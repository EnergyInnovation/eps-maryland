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231"/>
  <workbookPr/>
  <mc:AlternateContent xmlns:mc="http://schemas.openxmlformats.org/markup-compatibility/2006">
    <mc:Choice Requires="x15">
      <x15ac:absPath xmlns:x15ac="http://schemas.microsoft.com/office/spreadsheetml/2010/11/ac" url="C:\Users\Olivia Ashmoore\Documents\EPS_Models by Region\United States\us-eps\"/>
    </mc:Choice>
  </mc:AlternateContent>
  <xr:revisionPtr revIDLastSave="0" documentId="13_ncr:1_{5E7BFAF5-4744-4B53-9FC6-36B472C1442A}" xr6:coauthVersionLast="47" xr6:coauthVersionMax="47" xr10:uidLastSave="{00000000-0000-0000-0000-000000000000}"/>
  <bookViews>
    <workbookView xWindow="-120" yWindow="-120" windowWidth="29040" windowHeight="17520" tabRatio="859" activeTab="9" xr2:uid="{00000000-000D-0000-FFFF-FFFF00000000}"/>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Target Calculations" sheetId="15" r:id="rId10"/>
    <sheet name="MaxBoundCalculations" sheetId="13" r:id="rId11"/>
  </sheets>
  <definedNames>
    <definedName name="_xlnm._FilterDatabase" localSheetId="2" hidden="1">PolicyLevers!$H$1:$H$1541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161" i="1" l="1"/>
  <c r="Q161" i="1"/>
  <c r="P161" i="1"/>
  <c r="O161" i="1"/>
  <c r="N161" i="1"/>
  <c r="M161" i="1"/>
  <c r="L161" i="1"/>
  <c r="K161" i="1"/>
  <c r="J161" i="1"/>
  <c r="B161" i="1"/>
  <c r="A161" i="1"/>
  <c r="F700" i="15"/>
  <c r="D700" i="15"/>
  <c r="E700" i="15"/>
  <c r="B700" i="15" l="1"/>
  <c r="B699" i="15"/>
  <c r="B704" i="15"/>
  <c r="H688" i="15"/>
  <c r="H689" i="15"/>
  <c r="H59" i="15"/>
  <c r="H665" i="15" s="1"/>
  <c r="G59" i="15"/>
  <c r="G665" i="15" s="1"/>
  <c r="F59" i="15"/>
  <c r="F665" i="15" s="1"/>
  <c r="E59" i="15"/>
  <c r="E665" i="15" s="1"/>
  <c r="D59" i="15"/>
  <c r="D665" i="15" s="1"/>
  <c r="C59" i="15"/>
  <c r="C665" i="15" s="1"/>
  <c r="B59" i="15"/>
  <c r="B665" i="15" s="1"/>
  <c r="F163" i="8"/>
  <c r="F164" i="8"/>
  <c r="P468" i="1"/>
  <c r="O481" i="1"/>
  <c r="N484" i="1"/>
  <c r="C467" i="1"/>
  <c r="K467" i="1" s="1"/>
  <c r="C468" i="1"/>
  <c r="L468" i="1" s="1"/>
  <c r="C469" i="1"/>
  <c r="M469" i="1" s="1"/>
  <c r="C470" i="1"/>
  <c r="N470" i="1" s="1"/>
  <c r="C471" i="1"/>
  <c r="O471" i="1" s="1"/>
  <c r="C472" i="1"/>
  <c r="P472" i="1" s="1"/>
  <c r="C473" i="1"/>
  <c r="B473" i="1" s="1"/>
  <c r="C474" i="1"/>
  <c r="J474" i="1" s="1"/>
  <c r="C475" i="1"/>
  <c r="K475" i="1" s="1"/>
  <c r="C476" i="1"/>
  <c r="L476" i="1" s="1"/>
  <c r="C477" i="1"/>
  <c r="M477" i="1" s="1"/>
  <c r="C478" i="1"/>
  <c r="N478" i="1" s="1"/>
  <c r="C479" i="1"/>
  <c r="O479" i="1" s="1"/>
  <c r="C480" i="1"/>
  <c r="P480" i="1" s="1"/>
  <c r="C481" i="1"/>
  <c r="B481" i="1" s="1"/>
  <c r="C482" i="1"/>
  <c r="J482" i="1" s="1"/>
  <c r="C483" i="1"/>
  <c r="K483" i="1" s="1"/>
  <c r="C484" i="1"/>
  <c r="L484" i="1" s="1"/>
  <c r="C485" i="1"/>
  <c r="M485" i="1" s="1"/>
  <c r="C486" i="1"/>
  <c r="N486" i="1" s="1"/>
  <c r="C487" i="1"/>
  <c r="O487" i="1" s="1"/>
  <c r="C488" i="1"/>
  <c r="P488" i="1" s="1"/>
  <c r="C466" i="1"/>
  <c r="J466" i="1" s="1"/>
  <c r="J465" i="1"/>
  <c r="K465" i="1"/>
  <c r="L465" i="1"/>
  <c r="M465" i="1"/>
  <c r="N465" i="1"/>
  <c r="O465" i="1"/>
  <c r="P465" i="1"/>
  <c r="A465" i="1"/>
  <c r="B465" i="1"/>
  <c r="A484" i="1" l="1"/>
  <c r="A475" i="1"/>
  <c r="M487" i="1"/>
  <c r="O476" i="1"/>
  <c r="L475" i="1"/>
  <c r="B487" i="1"/>
  <c r="A476" i="1"/>
  <c r="A467" i="1"/>
  <c r="P484" i="1"/>
  <c r="M483" i="1"/>
  <c r="K477" i="1"/>
  <c r="N475" i="1"/>
  <c r="O469" i="1"/>
  <c r="B484" i="1"/>
  <c r="B475" i="1"/>
  <c r="N488" i="1"/>
  <c r="O484" i="1"/>
  <c r="L483" i="1"/>
  <c r="P476" i="1"/>
  <c r="M475" i="1"/>
  <c r="K469" i="1"/>
  <c r="B483" i="1"/>
  <c r="B472" i="1"/>
  <c r="L486" i="1"/>
  <c r="M484" i="1"/>
  <c r="N480" i="1"/>
  <c r="N476" i="1"/>
  <c r="O473" i="1"/>
  <c r="O468" i="1"/>
  <c r="A483" i="1"/>
  <c r="A472" i="1"/>
  <c r="J486" i="1"/>
  <c r="K484" i="1"/>
  <c r="M479" i="1"/>
  <c r="M476" i="1"/>
  <c r="N472" i="1"/>
  <c r="N468" i="1"/>
  <c r="B480" i="1"/>
  <c r="B468" i="1"/>
  <c r="P485" i="1"/>
  <c r="J484" i="1"/>
  <c r="L478" i="1"/>
  <c r="K476" i="1"/>
  <c r="M471" i="1"/>
  <c r="M468" i="1"/>
  <c r="B488" i="1"/>
  <c r="A480" i="1"/>
  <c r="A468" i="1"/>
  <c r="O485" i="1"/>
  <c r="O483" i="1"/>
  <c r="P477" i="1"/>
  <c r="J476" i="1"/>
  <c r="L470" i="1"/>
  <c r="K468" i="1"/>
  <c r="A488" i="1"/>
  <c r="B476" i="1"/>
  <c r="B467" i="1"/>
  <c r="K485" i="1"/>
  <c r="N483" i="1"/>
  <c r="O477" i="1"/>
  <c r="O475" i="1"/>
  <c r="P469" i="1"/>
  <c r="J468" i="1"/>
  <c r="P482" i="1"/>
  <c r="A487" i="1"/>
  <c r="A471" i="1"/>
  <c r="M482" i="1"/>
  <c r="L481" i="1"/>
  <c r="K480" i="1"/>
  <c r="J479" i="1"/>
  <c r="B486" i="1"/>
  <c r="B482" i="1"/>
  <c r="B478" i="1"/>
  <c r="B474" i="1"/>
  <c r="B470" i="1"/>
  <c r="B466" i="1"/>
  <c r="J488" i="1"/>
  <c r="P486" i="1"/>
  <c r="L482" i="1"/>
  <c r="K481" i="1"/>
  <c r="J480" i="1"/>
  <c r="P478" i="1"/>
  <c r="L474" i="1"/>
  <c r="K473" i="1"/>
  <c r="J472" i="1"/>
  <c r="P470" i="1"/>
  <c r="A486" i="1"/>
  <c r="A478" i="1"/>
  <c r="A474" i="1"/>
  <c r="A466" i="1"/>
  <c r="O486" i="1"/>
  <c r="A485" i="1"/>
  <c r="A481" i="1"/>
  <c r="A477" i="1"/>
  <c r="A473" i="1"/>
  <c r="A469" i="1"/>
  <c r="O488" i="1"/>
  <c r="N487" i="1"/>
  <c r="M486" i="1"/>
  <c r="L485" i="1"/>
  <c r="J483" i="1"/>
  <c r="P481" i="1"/>
  <c r="O480" i="1"/>
  <c r="N479" i="1"/>
  <c r="M478" i="1"/>
  <c r="L477" i="1"/>
  <c r="J475" i="1"/>
  <c r="P473" i="1"/>
  <c r="O472" i="1"/>
  <c r="N471" i="1"/>
  <c r="M470" i="1"/>
  <c r="L469" i="1"/>
  <c r="J467" i="1"/>
  <c r="P466" i="1"/>
  <c r="M488" i="1"/>
  <c r="L487" i="1"/>
  <c r="K486" i="1"/>
  <c r="J485" i="1"/>
  <c r="P483" i="1"/>
  <c r="O482" i="1"/>
  <c r="N481" i="1"/>
  <c r="M480" i="1"/>
  <c r="L479" i="1"/>
  <c r="K478" i="1"/>
  <c r="J477" i="1"/>
  <c r="P475" i="1"/>
  <c r="O474" i="1"/>
  <c r="N473" i="1"/>
  <c r="M472" i="1"/>
  <c r="L471" i="1"/>
  <c r="K470" i="1"/>
  <c r="J469" i="1"/>
  <c r="P467" i="1"/>
  <c r="O466" i="1"/>
  <c r="B479" i="1"/>
  <c r="B471" i="1"/>
  <c r="L488" i="1"/>
  <c r="K487" i="1"/>
  <c r="N482" i="1"/>
  <c r="M481" i="1"/>
  <c r="L480" i="1"/>
  <c r="K479" i="1"/>
  <c r="J478" i="1"/>
  <c r="N474" i="1"/>
  <c r="M473" i="1"/>
  <c r="L472" i="1"/>
  <c r="K471" i="1"/>
  <c r="J470" i="1"/>
  <c r="O467" i="1"/>
  <c r="N466" i="1"/>
  <c r="N467" i="1"/>
  <c r="M466" i="1"/>
  <c r="M467" i="1"/>
  <c r="L466" i="1"/>
  <c r="L467" i="1"/>
  <c r="K466" i="1"/>
  <c r="P474" i="1"/>
  <c r="A479" i="1"/>
  <c r="K488" i="1"/>
  <c r="J487" i="1"/>
  <c r="M474" i="1"/>
  <c r="L473" i="1"/>
  <c r="K472" i="1"/>
  <c r="J471" i="1"/>
  <c r="A482" i="1"/>
  <c r="A470" i="1"/>
  <c r="P487" i="1"/>
  <c r="N485" i="1"/>
  <c r="K482" i="1"/>
  <c r="J481" i="1"/>
  <c r="P479" i="1"/>
  <c r="O478" i="1"/>
  <c r="N477" i="1"/>
  <c r="K474" i="1"/>
  <c r="J473" i="1"/>
  <c r="P471" i="1"/>
  <c r="O470" i="1"/>
  <c r="N469" i="1"/>
  <c r="B485" i="1"/>
  <c r="B477" i="1"/>
  <c r="B469" i="1"/>
  <c r="J463" i="1"/>
  <c r="K463" i="1"/>
  <c r="L463" i="1"/>
  <c r="M463" i="1"/>
  <c r="N463" i="1"/>
  <c r="O463" i="1"/>
  <c r="P463" i="1"/>
  <c r="Q463" i="1"/>
  <c r="J464" i="1"/>
  <c r="K464" i="1"/>
  <c r="L464" i="1"/>
  <c r="M464" i="1"/>
  <c r="N464" i="1"/>
  <c r="O464" i="1"/>
  <c r="P464" i="1"/>
  <c r="Q464" i="1"/>
  <c r="A463" i="1"/>
  <c r="B463" i="1"/>
  <c r="A464" i="1"/>
  <c r="B464" i="1"/>
  <c r="J187" i="1" l="1"/>
  <c r="K187" i="1"/>
  <c r="L187" i="1"/>
  <c r="M187" i="1"/>
  <c r="N187" i="1"/>
  <c r="O187" i="1"/>
  <c r="P187" i="1"/>
  <c r="Q187" i="1"/>
  <c r="R187" i="1"/>
  <c r="A187" i="1"/>
  <c r="B187" i="1"/>
  <c r="C1527" i="1"/>
  <c r="L1527" i="1" s="1"/>
  <c r="C1528" i="1"/>
  <c r="O1528" i="1" s="1"/>
  <c r="C1529" i="1"/>
  <c r="L1529" i="1" s="1"/>
  <c r="C1526" i="1"/>
  <c r="J1526" i="1" s="1"/>
  <c r="I1529" i="1"/>
  <c r="I1528" i="1"/>
  <c r="I1527" i="1"/>
  <c r="I1526" i="1"/>
  <c r="R1525" i="1"/>
  <c r="O1525" i="1"/>
  <c r="N1525" i="1"/>
  <c r="M1525" i="1"/>
  <c r="L1525" i="1"/>
  <c r="K1525" i="1"/>
  <c r="J1525" i="1"/>
  <c r="B1525" i="1"/>
  <c r="A1525" i="1"/>
  <c r="C1502" i="1"/>
  <c r="J1502" i="1" s="1"/>
  <c r="C1503" i="1"/>
  <c r="M1503" i="1" s="1"/>
  <c r="C1504" i="1"/>
  <c r="J1504" i="1" s="1"/>
  <c r="C1501" i="1"/>
  <c r="K1501" i="1" s="1"/>
  <c r="I1504" i="1"/>
  <c r="I1503" i="1"/>
  <c r="I1502" i="1"/>
  <c r="I1501" i="1"/>
  <c r="O1500" i="1"/>
  <c r="N1500" i="1"/>
  <c r="M1500" i="1"/>
  <c r="L1500" i="1"/>
  <c r="K1500" i="1"/>
  <c r="J1500" i="1"/>
  <c r="B1500" i="1"/>
  <c r="A1500" i="1"/>
  <c r="J104" i="19"/>
  <c r="P1526" i="1" s="1"/>
  <c r="K104" i="19"/>
  <c r="Q1525" i="1" s="1"/>
  <c r="J99" i="19"/>
  <c r="P1500" i="1" s="1"/>
  <c r="K99" i="19"/>
  <c r="R1526" i="1" l="1"/>
  <c r="A1503" i="1"/>
  <c r="Q1502" i="1"/>
  <c r="M1527" i="1"/>
  <c r="A1501" i="1"/>
  <c r="J1503" i="1"/>
  <c r="L1501" i="1"/>
  <c r="L1503" i="1"/>
  <c r="N1527" i="1"/>
  <c r="M1501" i="1"/>
  <c r="N1503" i="1"/>
  <c r="J1529" i="1"/>
  <c r="N1501" i="1"/>
  <c r="K1529" i="1"/>
  <c r="Q1500" i="1"/>
  <c r="P1525" i="1"/>
  <c r="Q1526" i="1"/>
  <c r="Q1529" i="1"/>
  <c r="N1529" i="1"/>
  <c r="R1529" i="1"/>
  <c r="A1529" i="1"/>
  <c r="A1527" i="1"/>
  <c r="K1526" i="1"/>
  <c r="M1526" i="1"/>
  <c r="L1526" i="1"/>
  <c r="B1527" i="1"/>
  <c r="O1527" i="1"/>
  <c r="J1528" i="1"/>
  <c r="R1528" i="1"/>
  <c r="M1529" i="1"/>
  <c r="P1527" i="1"/>
  <c r="K1528" i="1"/>
  <c r="A1526" i="1"/>
  <c r="N1526" i="1"/>
  <c r="Q1527" i="1"/>
  <c r="L1528" i="1"/>
  <c r="B1529" i="1"/>
  <c r="O1529" i="1"/>
  <c r="Q1528" i="1"/>
  <c r="B1526" i="1"/>
  <c r="O1526" i="1"/>
  <c r="J1527" i="1"/>
  <c r="R1527" i="1"/>
  <c r="M1528" i="1"/>
  <c r="P1529" i="1"/>
  <c r="K1527" i="1"/>
  <c r="A1528" i="1"/>
  <c r="N1528" i="1"/>
  <c r="P1528" i="1"/>
  <c r="B1528" i="1"/>
  <c r="Q1504" i="1"/>
  <c r="K1503" i="1"/>
  <c r="J1501" i="1"/>
  <c r="B1501" i="1"/>
  <c r="O1501" i="1"/>
  <c r="K1502" i="1"/>
  <c r="B1503" i="1"/>
  <c r="O1503" i="1"/>
  <c r="K1504" i="1"/>
  <c r="P1501" i="1"/>
  <c r="L1502" i="1"/>
  <c r="P1503" i="1"/>
  <c r="L1504" i="1"/>
  <c r="Q1501" i="1"/>
  <c r="M1502" i="1"/>
  <c r="Q1503" i="1"/>
  <c r="M1504" i="1"/>
  <c r="A1502" i="1"/>
  <c r="N1502" i="1"/>
  <c r="A1504" i="1"/>
  <c r="N1504" i="1"/>
  <c r="B1502" i="1"/>
  <c r="O1502" i="1"/>
  <c r="B1504" i="1"/>
  <c r="O1504" i="1"/>
  <c r="P1502" i="1"/>
  <c r="P1504" i="1"/>
  <c r="H110" i="8" l="1"/>
  <c r="H116" i="8" s="1"/>
  <c r="I110" i="8"/>
  <c r="I116" i="8" s="1"/>
  <c r="H111" i="8"/>
  <c r="H117" i="8" s="1"/>
  <c r="I111" i="8"/>
  <c r="I117" i="8" s="1"/>
  <c r="H112" i="8"/>
  <c r="H118" i="8" s="1"/>
  <c r="I112" i="8"/>
  <c r="I118" i="8" s="1"/>
  <c r="H113" i="8"/>
  <c r="H119" i="8" s="1"/>
  <c r="I113" i="8"/>
  <c r="I119" i="8" s="1"/>
  <c r="I109" i="8"/>
  <c r="I115" i="8" s="1"/>
  <c r="H109" i="8"/>
  <c r="H115" i="8" s="1"/>
  <c r="C1452" i="1"/>
  <c r="C1388" i="1"/>
  <c r="C461" i="1"/>
  <c r="A461" i="1" s="1"/>
  <c r="C437" i="1"/>
  <c r="B437" i="1" s="1"/>
  <c r="C409" i="1"/>
  <c r="M409" i="1" s="1"/>
  <c r="C384" i="1"/>
  <c r="A384" i="1" s="1"/>
  <c r="C360" i="1"/>
  <c r="A360" i="1" s="1"/>
  <c r="C336" i="1"/>
  <c r="A336" i="1" s="1"/>
  <c r="C311" i="1"/>
  <c r="J311" i="1" s="1"/>
  <c r="C286" i="1"/>
  <c r="A286" i="1" s="1"/>
  <c r="C259" i="1"/>
  <c r="A259" i="1" s="1"/>
  <c r="J462" i="1"/>
  <c r="K462" i="1"/>
  <c r="L462" i="1"/>
  <c r="M462" i="1"/>
  <c r="N462" i="1"/>
  <c r="O462" i="1"/>
  <c r="P462" i="1"/>
  <c r="Q462" i="1"/>
  <c r="R462" i="1"/>
  <c r="A462" i="1"/>
  <c r="B462" i="1"/>
  <c r="G115" i="8"/>
  <c r="G116" i="8"/>
  <c r="G117" i="8"/>
  <c r="G118" i="8"/>
  <c r="G119" i="8"/>
  <c r="H114" i="8"/>
  <c r="I114" i="8"/>
  <c r="G114" i="8"/>
  <c r="F119" i="8"/>
  <c r="F118" i="8"/>
  <c r="F117" i="8"/>
  <c r="F116" i="8"/>
  <c r="F115" i="8"/>
  <c r="F114" i="8"/>
  <c r="F113" i="8"/>
  <c r="F112" i="8"/>
  <c r="F111" i="8"/>
  <c r="F110" i="8"/>
  <c r="F109" i="8"/>
  <c r="F108" i="8"/>
  <c r="B17" i="18"/>
  <c r="J261" i="1"/>
  <c r="K261" i="1"/>
  <c r="L261" i="1"/>
  <c r="M261" i="1"/>
  <c r="N261" i="1"/>
  <c r="O261" i="1"/>
  <c r="P261" i="1"/>
  <c r="Q261" i="1"/>
  <c r="R261" i="1"/>
  <c r="A261" i="1"/>
  <c r="B261" i="1"/>
  <c r="C774" i="1"/>
  <c r="N774" i="1" s="1"/>
  <c r="C775" i="1"/>
  <c r="N775" i="1" s="1"/>
  <c r="C776" i="1"/>
  <c r="O776" i="1" s="1"/>
  <c r="C777" i="1"/>
  <c r="L777" i="1" s="1"/>
  <c r="C778" i="1"/>
  <c r="O778" i="1" s="1"/>
  <c r="C779" i="1"/>
  <c r="J779" i="1" s="1"/>
  <c r="C780" i="1"/>
  <c r="Q780" i="1" s="1"/>
  <c r="C781" i="1"/>
  <c r="P781" i="1" s="1"/>
  <c r="C782" i="1"/>
  <c r="N782" i="1" s="1"/>
  <c r="C783" i="1"/>
  <c r="K783" i="1" s="1"/>
  <c r="C784" i="1"/>
  <c r="O784" i="1" s="1"/>
  <c r="C785" i="1"/>
  <c r="O785" i="1" s="1"/>
  <c r="C786" i="1"/>
  <c r="L786" i="1" s="1"/>
  <c r="C787" i="1"/>
  <c r="M787" i="1" s="1"/>
  <c r="C788" i="1"/>
  <c r="R788" i="1" s="1"/>
  <c r="C789" i="1"/>
  <c r="A789" i="1" s="1"/>
  <c r="C790" i="1"/>
  <c r="Q790" i="1" s="1"/>
  <c r="C791" i="1"/>
  <c r="K791" i="1" s="1"/>
  <c r="C792" i="1"/>
  <c r="K792" i="1" s="1"/>
  <c r="C793" i="1"/>
  <c r="N793" i="1" s="1"/>
  <c r="C794" i="1"/>
  <c r="C795" i="1"/>
  <c r="O795" i="1" s="1"/>
  <c r="C796" i="1"/>
  <c r="A796" i="1" s="1"/>
  <c r="C797" i="1"/>
  <c r="B797" i="1" s="1"/>
  <c r="C798" i="1"/>
  <c r="Q798" i="1" s="1"/>
  <c r="C799" i="1"/>
  <c r="K799" i="1" s="1"/>
  <c r="C800" i="1"/>
  <c r="K800" i="1" s="1"/>
  <c r="C801" i="1"/>
  <c r="L801" i="1" s="1"/>
  <c r="C802" i="1"/>
  <c r="C803" i="1"/>
  <c r="Q803" i="1" s="1"/>
  <c r="C804" i="1"/>
  <c r="A804" i="1" s="1"/>
  <c r="C805" i="1"/>
  <c r="O805" i="1" s="1"/>
  <c r="C806" i="1"/>
  <c r="Q806" i="1" s="1"/>
  <c r="C807" i="1"/>
  <c r="M807" i="1" s="1"/>
  <c r="C808" i="1"/>
  <c r="N808" i="1" s="1"/>
  <c r="C809" i="1"/>
  <c r="Q809" i="1" s="1"/>
  <c r="C810" i="1"/>
  <c r="C811" i="1"/>
  <c r="M811" i="1" s="1"/>
  <c r="C812" i="1"/>
  <c r="A812" i="1" s="1"/>
  <c r="C813" i="1"/>
  <c r="O813" i="1" s="1"/>
  <c r="C814" i="1"/>
  <c r="N814" i="1" s="1"/>
  <c r="C815" i="1"/>
  <c r="O815" i="1" s="1"/>
  <c r="C816" i="1"/>
  <c r="Q816" i="1" s="1"/>
  <c r="C817" i="1"/>
  <c r="N817" i="1" s="1"/>
  <c r="C818" i="1"/>
  <c r="C819" i="1"/>
  <c r="Q819" i="1" s="1"/>
  <c r="C820" i="1"/>
  <c r="J820" i="1" s="1"/>
  <c r="C821" i="1"/>
  <c r="P821" i="1" s="1"/>
  <c r="C822" i="1"/>
  <c r="N822" i="1" s="1"/>
  <c r="C823" i="1"/>
  <c r="Q823" i="1" s="1"/>
  <c r="C824" i="1"/>
  <c r="L824" i="1" s="1"/>
  <c r="C825" i="1"/>
  <c r="L825" i="1" s="1"/>
  <c r="C826" i="1"/>
  <c r="C827" i="1"/>
  <c r="M827" i="1" s="1"/>
  <c r="C828" i="1"/>
  <c r="P828" i="1" s="1"/>
  <c r="C829" i="1"/>
  <c r="O829" i="1" s="1"/>
  <c r="C830" i="1"/>
  <c r="Q830" i="1" s="1"/>
  <c r="C831" i="1"/>
  <c r="K831" i="1" s="1"/>
  <c r="C832" i="1"/>
  <c r="O832" i="1" s="1"/>
  <c r="C833" i="1"/>
  <c r="P833" i="1" s="1"/>
  <c r="C834" i="1"/>
  <c r="C835" i="1"/>
  <c r="Q835" i="1" s="1"/>
  <c r="C836" i="1"/>
  <c r="Q836" i="1" s="1"/>
  <c r="C837" i="1"/>
  <c r="P837" i="1" s="1"/>
  <c r="C838" i="1"/>
  <c r="Q838" i="1" s="1"/>
  <c r="C839" i="1"/>
  <c r="J839" i="1" s="1"/>
  <c r="C840" i="1"/>
  <c r="J840" i="1" s="1"/>
  <c r="C841" i="1"/>
  <c r="M841" i="1" s="1"/>
  <c r="C842" i="1"/>
  <c r="C843" i="1"/>
  <c r="M843" i="1" s="1"/>
  <c r="C844" i="1"/>
  <c r="R844" i="1" s="1"/>
  <c r="C845" i="1"/>
  <c r="A845" i="1" s="1"/>
  <c r="C846" i="1"/>
  <c r="Q846" i="1" s="1"/>
  <c r="C847" i="1"/>
  <c r="M847" i="1" s="1"/>
  <c r="C848" i="1"/>
  <c r="L848" i="1" s="1"/>
  <c r="C849" i="1"/>
  <c r="K849" i="1" s="1"/>
  <c r="C850" i="1"/>
  <c r="C851" i="1"/>
  <c r="P851" i="1" s="1"/>
  <c r="C852" i="1"/>
  <c r="A852" i="1" s="1"/>
  <c r="C853" i="1"/>
  <c r="Q853" i="1" s="1"/>
  <c r="C854" i="1"/>
  <c r="Q854" i="1" s="1"/>
  <c r="C855" i="1"/>
  <c r="P855" i="1" s="1"/>
  <c r="C856" i="1"/>
  <c r="O856" i="1" s="1"/>
  <c r="C857" i="1"/>
  <c r="P857" i="1" s="1"/>
  <c r="C858" i="1"/>
  <c r="C859" i="1"/>
  <c r="K859" i="1" s="1"/>
  <c r="C860" i="1"/>
  <c r="A860" i="1" s="1"/>
  <c r="C861" i="1"/>
  <c r="O861" i="1" s="1"/>
  <c r="C862" i="1"/>
  <c r="Q862" i="1" s="1"/>
  <c r="C863" i="1"/>
  <c r="K863" i="1" s="1"/>
  <c r="C864" i="1"/>
  <c r="J864" i="1" s="1"/>
  <c r="C865" i="1"/>
  <c r="K865" i="1" s="1"/>
  <c r="C866" i="1"/>
  <c r="C867" i="1"/>
  <c r="N867" i="1" s="1"/>
  <c r="C868" i="1"/>
  <c r="A868" i="1" s="1"/>
  <c r="C869" i="1"/>
  <c r="O869" i="1" s="1"/>
  <c r="C870" i="1"/>
  <c r="Q870" i="1" s="1"/>
  <c r="C871" i="1"/>
  <c r="O871" i="1" s="1"/>
  <c r="C872" i="1"/>
  <c r="M872" i="1" s="1"/>
  <c r="C873" i="1"/>
  <c r="P873" i="1" s="1"/>
  <c r="C874" i="1"/>
  <c r="C875" i="1"/>
  <c r="J875" i="1" s="1"/>
  <c r="C876" i="1"/>
  <c r="A876" i="1" s="1"/>
  <c r="C877" i="1"/>
  <c r="P877" i="1" s="1"/>
  <c r="C878" i="1"/>
  <c r="Q878" i="1" s="1"/>
  <c r="C879" i="1"/>
  <c r="K879" i="1" s="1"/>
  <c r="C880" i="1"/>
  <c r="P880" i="1" s="1"/>
  <c r="C881" i="1"/>
  <c r="O881" i="1" s="1"/>
  <c r="C882" i="1"/>
  <c r="C883" i="1"/>
  <c r="N883" i="1" s="1"/>
  <c r="C884" i="1"/>
  <c r="J884" i="1" s="1"/>
  <c r="C885" i="1"/>
  <c r="A885" i="1" s="1"/>
  <c r="C886" i="1"/>
  <c r="Q886" i="1" s="1"/>
  <c r="C887" i="1"/>
  <c r="P887" i="1" s="1"/>
  <c r="C888" i="1"/>
  <c r="J888" i="1" s="1"/>
  <c r="C889" i="1"/>
  <c r="Q889" i="1" s="1"/>
  <c r="C890" i="1"/>
  <c r="C891" i="1"/>
  <c r="Q891" i="1" s="1"/>
  <c r="C892" i="1"/>
  <c r="P892" i="1" s="1"/>
  <c r="C893" i="1"/>
  <c r="P893" i="1" s="1"/>
  <c r="C894" i="1"/>
  <c r="Q894" i="1" s="1"/>
  <c r="C895" i="1"/>
  <c r="K895" i="1" s="1"/>
  <c r="C896" i="1"/>
  <c r="L896" i="1" s="1"/>
  <c r="C897" i="1"/>
  <c r="K897" i="1" s="1"/>
  <c r="C898" i="1"/>
  <c r="C899" i="1"/>
  <c r="L899" i="1" s="1"/>
  <c r="C900" i="1"/>
  <c r="A900" i="1" s="1"/>
  <c r="C901" i="1"/>
  <c r="A901" i="1" s="1"/>
  <c r="C902" i="1"/>
  <c r="Q902" i="1" s="1"/>
  <c r="C903" i="1"/>
  <c r="N903" i="1" s="1"/>
  <c r="C904" i="1"/>
  <c r="N904" i="1" s="1"/>
  <c r="C905" i="1"/>
  <c r="M905" i="1" s="1"/>
  <c r="C906" i="1"/>
  <c r="C907" i="1"/>
  <c r="P907" i="1" s="1"/>
  <c r="C908" i="1"/>
  <c r="P908" i="1" s="1"/>
  <c r="C909" i="1"/>
  <c r="O909" i="1" s="1"/>
  <c r="C910" i="1"/>
  <c r="Q910" i="1" s="1"/>
  <c r="C911" i="1"/>
  <c r="J911" i="1" s="1"/>
  <c r="C912" i="1"/>
  <c r="Q912" i="1" s="1"/>
  <c r="C913" i="1"/>
  <c r="P913" i="1" s="1"/>
  <c r="C914" i="1"/>
  <c r="C915" i="1"/>
  <c r="L915" i="1" s="1"/>
  <c r="C916" i="1"/>
  <c r="J916" i="1" s="1"/>
  <c r="C917" i="1"/>
  <c r="O917" i="1" s="1"/>
  <c r="C918" i="1"/>
  <c r="Q918" i="1" s="1"/>
  <c r="C919" i="1"/>
  <c r="N919" i="1" s="1"/>
  <c r="C920" i="1"/>
  <c r="K920" i="1" s="1"/>
  <c r="C921" i="1"/>
  <c r="J921" i="1" s="1"/>
  <c r="C922" i="1"/>
  <c r="C923" i="1"/>
  <c r="P923" i="1" s="1"/>
  <c r="C924" i="1"/>
  <c r="O924" i="1" s="1"/>
  <c r="C925" i="1"/>
  <c r="M925" i="1" s="1"/>
  <c r="C926" i="1"/>
  <c r="O926" i="1" s="1"/>
  <c r="C927" i="1"/>
  <c r="Q927" i="1" s="1"/>
  <c r="C928" i="1"/>
  <c r="M928" i="1" s="1"/>
  <c r="C929" i="1"/>
  <c r="L929" i="1" s="1"/>
  <c r="C930" i="1"/>
  <c r="C931" i="1"/>
  <c r="L931" i="1" s="1"/>
  <c r="C932" i="1"/>
  <c r="L932" i="1" s="1"/>
  <c r="C933" i="1"/>
  <c r="O933" i="1" s="1"/>
  <c r="C934" i="1"/>
  <c r="P934" i="1" s="1"/>
  <c r="C935" i="1"/>
  <c r="M935" i="1" s="1"/>
  <c r="C936" i="1"/>
  <c r="O936" i="1" s="1"/>
  <c r="C937" i="1"/>
  <c r="N937" i="1" s="1"/>
  <c r="C938" i="1"/>
  <c r="C939" i="1"/>
  <c r="P939" i="1" s="1"/>
  <c r="C940" i="1"/>
  <c r="Q940" i="1" s="1"/>
  <c r="C941" i="1"/>
  <c r="Q941" i="1" s="1"/>
  <c r="C942" i="1"/>
  <c r="Q942" i="1" s="1"/>
  <c r="C943" i="1"/>
  <c r="O943" i="1" s="1"/>
  <c r="C944" i="1"/>
  <c r="Q944" i="1" s="1"/>
  <c r="C945" i="1"/>
  <c r="P945" i="1" s="1"/>
  <c r="C946" i="1"/>
  <c r="C947" i="1"/>
  <c r="K947" i="1" s="1"/>
  <c r="C948" i="1"/>
  <c r="L948" i="1" s="1"/>
  <c r="C949" i="1"/>
  <c r="J949" i="1" s="1"/>
  <c r="C950" i="1"/>
  <c r="J950" i="1" s="1"/>
  <c r="C951" i="1"/>
  <c r="Q951" i="1" s="1"/>
  <c r="C952" i="1"/>
  <c r="J952" i="1" s="1"/>
  <c r="C953" i="1"/>
  <c r="Q953" i="1" s="1"/>
  <c r="C954" i="1"/>
  <c r="C955" i="1"/>
  <c r="O955" i="1" s="1"/>
  <c r="C956" i="1"/>
  <c r="L956" i="1" s="1"/>
  <c r="C957" i="1"/>
  <c r="J957" i="1" s="1"/>
  <c r="C958" i="1"/>
  <c r="K958" i="1" s="1"/>
  <c r="C959" i="1"/>
  <c r="L959" i="1" s="1"/>
  <c r="C960" i="1"/>
  <c r="K960" i="1" s="1"/>
  <c r="C961" i="1"/>
  <c r="J961" i="1" s="1"/>
  <c r="C962" i="1"/>
  <c r="C963" i="1"/>
  <c r="K963" i="1" s="1"/>
  <c r="C964" i="1"/>
  <c r="L964" i="1" s="1"/>
  <c r="C965" i="1"/>
  <c r="J965" i="1" s="1"/>
  <c r="C966" i="1"/>
  <c r="L966" i="1" s="1"/>
  <c r="C967" i="1"/>
  <c r="P967" i="1" s="1"/>
  <c r="C968" i="1"/>
  <c r="M968" i="1" s="1"/>
  <c r="C969" i="1"/>
  <c r="L969" i="1" s="1"/>
  <c r="C970" i="1"/>
  <c r="C971" i="1"/>
  <c r="O971" i="1" s="1"/>
  <c r="C773" i="1"/>
  <c r="P773" i="1" s="1"/>
  <c r="J772" i="1"/>
  <c r="K772" i="1"/>
  <c r="L772" i="1"/>
  <c r="M772" i="1"/>
  <c r="N772" i="1"/>
  <c r="O772" i="1"/>
  <c r="P772" i="1"/>
  <c r="Q772" i="1"/>
  <c r="R772" i="1"/>
  <c r="J778" i="1"/>
  <c r="L778" i="1"/>
  <c r="M778" i="1"/>
  <c r="N778" i="1"/>
  <c r="Q778" i="1"/>
  <c r="R778" i="1"/>
  <c r="M779" i="1"/>
  <c r="J786" i="1"/>
  <c r="K786" i="1"/>
  <c r="M786" i="1"/>
  <c r="N786" i="1"/>
  <c r="O786" i="1"/>
  <c r="Q786" i="1"/>
  <c r="R786" i="1"/>
  <c r="J794" i="1"/>
  <c r="K794" i="1"/>
  <c r="L794" i="1"/>
  <c r="M794" i="1"/>
  <c r="N794" i="1"/>
  <c r="O794" i="1"/>
  <c r="P794" i="1"/>
  <c r="Q794" i="1"/>
  <c r="R794" i="1"/>
  <c r="J802" i="1"/>
  <c r="K802" i="1"/>
  <c r="L802" i="1"/>
  <c r="M802" i="1"/>
  <c r="N802" i="1"/>
  <c r="O802" i="1"/>
  <c r="P802" i="1"/>
  <c r="Q802" i="1"/>
  <c r="R802" i="1"/>
  <c r="J810" i="1"/>
  <c r="K810" i="1"/>
  <c r="L810" i="1"/>
  <c r="M810" i="1"/>
  <c r="N810" i="1"/>
  <c r="O810" i="1"/>
  <c r="P810" i="1"/>
  <c r="Q810" i="1"/>
  <c r="R810" i="1"/>
  <c r="J818" i="1"/>
  <c r="K818" i="1"/>
  <c r="L818" i="1"/>
  <c r="M818" i="1"/>
  <c r="N818" i="1"/>
  <c r="O818" i="1"/>
  <c r="P818" i="1"/>
  <c r="Q818" i="1"/>
  <c r="R818" i="1"/>
  <c r="J826" i="1"/>
  <c r="K826" i="1"/>
  <c r="L826" i="1"/>
  <c r="M826" i="1"/>
  <c r="N826" i="1"/>
  <c r="O826" i="1"/>
  <c r="P826" i="1"/>
  <c r="Q826" i="1"/>
  <c r="R826" i="1"/>
  <c r="J834" i="1"/>
  <c r="K834" i="1"/>
  <c r="L834" i="1"/>
  <c r="M834" i="1"/>
  <c r="N834" i="1"/>
  <c r="O834" i="1"/>
  <c r="P834" i="1"/>
  <c r="Q834" i="1"/>
  <c r="R834" i="1"/>
  <c r="J842" i="1"/>
  <c r="K842" i="1"/>
  <c r="L842" i="1"/>
  <c r="M842" i="1"/>
  <c r="N842" i="1"/>
  <c r="O842" i="1"/>
  <c r="P842" i="1"/>
  <c r="Q842" i="1"/>
  <c r="R842" i="1"/>
  <c r="J850" i="1"/>
  <c r="K850" i="1"/>
  <c r="L850" i="1"/>
  <c r="M850" i="1"/>
  <c r="N850" i="1"/>
  <c r="O850" i="1"/>
  <c r="P850" i="1"/>
  <c r="Q850" i="1"/>
  <c r="R850" i="1"/>
  <c r="O851" i="1"/>
  <c r="J858" i="1"/>
  <c r="K858" i="1"/>
  <c r="L858" i="1"/>
  <c r="M858" i="1"/>
  <c r="N858" i="1"/>
  <c r="O858" i="1"/>
  <c r="P858" i="1"/>
  <c r="Q858" i="1"/>
  <c r="R858" i="1"/>
  <c r="J866" i="1"/>
  <c r="K866" i="1"/>
  <c r="L866" i="1"/>
  <c r="M866" i="1"/>
  <c r="N866" i="1"/>
  <c r="O866" i="1"/>
  <c r="P866" i="1"/>
  <c r="Q866" i="1"/>
  <c r="R866" i="1"/>
  <c r="J874" i="1"/>
  <c r="K874" i="1"/>
  <c r="L874" i="1"/>
  <c r="M874" i="1"/>
  <c r="N874" i="1"/>
  <c r="O874" i="1"/>
  <c r="P874" i="1"/>
  <c r="Q874" i="1"/>
  <c r="R874" i="1"/>
  <c r="J882" i="1"/>
  <c r="K882" i="1"/>
  <c r="L882" i="1"/>
  <c r="M882" i="1"/>
  <c r="N882" i="1"/>
  <c r="O882" i="1"/>
  <c r="P882" i="1"/>
  <c r="Q882" i="1"/>
  <c r="R882" i="1"/>
  <c r="J890" i="1"/>
  <c r="K890" i="1"/>
  <c r="L890" i="1"/>
  <c r="M890" i="1"/>
  <c r="N890" i="1"/>
  <c r="O890" i="1"/>
  <c r="P890" i="1"/>
  <c r="Q890" i="1"/>
  <c r="R890" i="1"/>
  <c r="J898" i="1"/>
  <c r="K898" i="1"/>
  <c r="L898" i="1"/>
  <c r="M898" i="1"/>
  <c r="N898" i="1"/>
  <c r="O898" i="1"/>
  <c r="P898" i="1"/>
  <c r="Q898" i="1"/>
  <c r="R898" i="1"/>
  <c r="J906" i="1"/>
  <c r="K906" i="1"/>
  <c r="L906" i="1"/>
  <c r="M906" i="1"/>
  <c r="N906" i="1"/>
  <c r="O906" i="1"/>
  <c r="P906" i="1"/>
  <c r="Q906" i="1"/>
  <c r="R906" i="1"/>
  <c r="O907" i="1"/>
  <c r="J914" i="1"/>
  <c r="K914" i="1"/>
  <c r="L914" i="1"/>
  <c r="M914" i="1"/>
  <c r="N914" i="1"/>
  <c r="O914" i="1"/>
  <c r="P914" i="1"/>
  <c r="Q914" i="1"/>
  <c r="R914" i="1"/>
  <c r="Q915" i="1"/>
  <c r="J922" i="1"/>
  <c r="K922" i="1"/>
  <c r="L922" i="1"/>
  <c r="M922" i="1"/>
  <c r="N922" i="1"/>
  <c r="O922" i="1"/>
  <c r="P922" i="1"/>
  <c r="Q922" i="1"/>
  <c r="R922" i="1"/>
  <c r="J930" i="1"/>
  <c r="K930" i="1"/>
  <c r="L930" i="1"/>
  <c r="M930" i="1"/>
  <c r="N930" i="1"/>
  <c r="O930" i="1"/>
  <c r="P930" i="1"/>
  <c r="Q930" i="1"/>
  <c r="R930" i="1"/>
  <c r="J938" i="1"/>
  <c r="K938" i="1"/>
  <c r="L938" i="1"/>
  <c r="M938" i="1"/>
  <c r="N938" i="1"/>
  <c r="O938" i="1"/>
  <c r="P938" i="1"/>
  <c r="Q938" i="1"/>
  <c r="R938" i="1"/>
  <c r="O939" i="1"/>
  <c r="J946" i="1"/>
  <c r="K946" i="1"/>
  <c r="L946" i="1"/>
  <c r="M946" i="1"/>
  <c r="N946" i="1"/>
  <c r="O946" i="1"/>
  <c r="P946" i="1"/>
  <c r="Q946" i="1"/>
  <c r="R946" i="1"/>
  <c r="Q947" i="1"/>
  <c r="J954" i="1"/>
  <c r="K954" i="1"/>
  <c r="L954" i="1"/>
  <c r="M954" i="1"/>
  <c r="N954" i="1"/>
  <c r="O954" i="1"/>
  <c r="P954" i="1"/>
  <c r="Q954" i="1"/>
  <c r="R954" i="1"/>
  <c r="J962" i="1"/>
  <c r="K962" i="1"/>
  <c r="L962" i="1"/>
  <c r="M962" i="1"/>
  <c r="N962" i="1"/>
  <c r="O962" i="1"/>
  <c r="P962" i="1"/>
  <c r="Q962" i="1"/>
  <c r="R962" i="1"/>
  <c r="J970" i="1"/>
  <c r="K970" i="1"/>
  <c r="L970" i="1"/>
  <c r="M970" i="1"/>
  <c r="N970" i="1"/>
  <c r="O970" i="1"/>
  <c r="P970" i="1"/>
  <c r="Q970" i="1"/>
  <c r="R970" i="1"/>
  <c r="M971" i="1"/>
  <c r="A772" i="1"/>
  <c r="B772" i="1"/>
  <c r="A778" i="1"/>
  <c r="B778" i="1"/>
  <c r="A786" i="1"/>
  <c r="B786" i="1"/>
  <c r="A787" i="1"/>
  <c r="A794" i="1"/>
  <c r="B794" i="1"/>
  <c r="A802" i="1"/>
  <c r="B802" i="1"/>
  <c r="A810" i="1"/>
  <c r="B810" i="1"/>
  <c r="A818" i="1"/>
  <c r="B818" i="1"/>
  <c r="A826" i="1"/>
  <c r="B826" i="1"/>
  <c r="A834" i="1"/>
  <c r="B834" i="1"/>
  <c r="A842" i="1"/>
  <c r="B842" i="1"/>
  <c r="B843" i="1"/>
  <c r="A850" i="1"/>
  <c r="B850" i="1"/>
  <c r="A858" i="1"/>
  <c r="B858" i="1"/>
  <c r="A859" i="1"/>
  <c r="B859" i="1"/>
  <c r="A866" i="1"/>
  <c r="B866" i="1"/>
  <c r="A874" i="1"/>
  <c r="B874" i="1"/>
  <c r="A882" i="1"/>
  <c r="B882" i="1"/>
  <c r="A883" i="1"/>
  <c r="A890" i="1"/>
  <c r="B890" i="1"/>
  <c r="A898" i="1"/>
  <c r="B898" i="1"/>
  <c r="A906" i="1"/>
  <c r="B906" i="1"/>
  <c r="A907" i="1"/>
  <c r="B907" i="1"/>
  <c r="A914" i="1"/>
  <c r="B914" i="1"/>
  <c r="A922" i="1"/>
  <c r="B922" i="1"/>
  <c r="A923" i="1"/>
  <c r="B923" i="1"/>
  <c r="A930" i="1"/>
  <c r="B930" i="1"/>
  <c r="A938" i="1"/>
  <c r="B938" i="1"/>
  <c r="A939" i="1"/>
  <c r="A946" i="1"/>
  <c r="B946" i="1"/>
  <c r="A954" i="1"/>
  <c r="B954" i="1"/>
  <c r="B955" i="1"/>
  <c r="A962" i="1"/>
  <c r="B962" i="1"/>
  <c r="A963" i="1"/>
  <c r="A970" i="1"/>
  <c r="B970" i="1"/>
  <c r="M817" i="1" l="1"/>
  <c r="A947" i="1"/>
  <c r="J776" i="1"/>
  <c r="M793" i="1"/>
  <c r="J879" i="1"/>
  <c r="O873" i="1"/>
  <c r="A955" i="1"/>
  <c r="B899" i="1"/>
  <c r="B875" i="1"/>
  <c r="B835" i="1"/>
  <c r="N939" i="1"/>
  <c r="R811" i="1"/>
  <c r="B915" i="1"/>
  <c r="A875" i="1"/>
  <c r="A835" i="1"/>
  <c r="J963" i="1"/>
  <c r="M867" i="1"/>
  <c r="P835" i="1"/>
  <c r="B931" i="1"/>
  <c r="B851" i="1"/>
  <c r="A803" i="1"/>
  <c r="B779" i="1"/>
  <c r="K931" i="1"/>
  <c r="P891" i="1"/>
  <c r="N803" i="1"/>
  <c r="B971" i="1"/>
  <c r="B947" i="1"/>
  <c r="P859" i="1"/>
  <c r="R827" i="1"/>
  <c r="R947" i="1"/>
  <c r="K883" i="1"/>
  <c r="J859" i="1"/>
  <c r="J827" i="1"/>
  <c r="Q911" i="1"/>
  <c r="R791" i="1"/>
  <c r="M775" i="1"/>
  <c r="A831" i="1"/>
  <c r="J895" i="1"/>
  <c r="B823" i="1"/>
  <c r="J863" i="1"/>
  <c r="O857" i="1"/>
  <c r="N785" i="1"/>
  <c r="K777" i="1"/>
  <c r="B793" i="1"/>
  <c r="O833" i="1"/>
  <c r="A873" i="1"/>
  <c r="M889" i="1"/>
  <c r="R865" i="1"/>
  <c r="P809" i="1"/>
  <c r="A809" i="1"/>
  <c r="J865" i="1"/>
  <c r="R849" i="1"/>
  <c r="P969" i="1"/>
  <c r="J849" i="1"/>
  <c r="B969" i="1"/>
  <c r="K825" i="1"/>
  <c r="K801" i="1"/>
  <c r="A905" i="1"/>
  <c r="L841" i="1"/>
  <c r="K1452" i="1"/>
  <c r="B881" i="1"/>
  <c r="B857" i="1"/>
  <c r="B833" i="1"/>
  <c r="A793" i="1"/>
  <c r="L945" i="1"/>
  <c r="P929" i="1"/>
  <c r="N873" i="1"/>
  <c r="Q865" i="1"/>
  <c r="N857" i="1"/>
  <c r="Q849" i="1"/>
  <c r="K841" i="1"/>
  <c r="N833" i="1"/>
  <c r="R825" i="1"/>
  <c r="J825" i="1"/>
  <c r="L817" i="1"/>
  <c r="O809" i="1"/>
  <c r="R801" i="1"/>
  <c r="J801" i="1"/>
  <c r="L793" i="1"/>
  <c r="M785" i="1"/>
  <c r="A857" i="1"/>
  <c r="A833" i="1"/>
  <c r="B777" i="1"/>
  <c r="Q905" i="1"/>
  <c r="M873" i="1"/>
  <c r="P865" i="1"/>
  <c r="M857" i="1"/>
  <c r="P849" i="1"/>
  <c r="R841" i="1"/>
  <c r="J841" i="1"/>
  <c r="M833" i="1"/>
  <c r="Q825" i="1"/>
  <c r="K817" i="1"/>
  <c r="N809" i="1"/>
  <c r="Q801" i="1"/>
  <c r="K793" i="1"/>
  <c r="L785" i="1"/>
  <c r="A881" i="1"/>
  <c r="B865" i="1"/>
  <c r="B841" i="1"/>
  <c r="B817" i="1"/>
  <c r="A777" i="1"/>
  <c r="N961" i="1"/>
  <c r="N921" i="1"/>
  <c r="L873" i="1"/>
  <c r="O865" i="1"/>
  <c r="L857" i="1"/>
  <c r="O849" i="1"/>
  <c r="Q841" i="1"/>
  <c r="L833" i="1"/>
  <c r="P825" i="1"/>
  <c r="R817" i="1"/>
  <c r="J817" i="1"/>
  <c r="M809" i="1"/>
  <c r="P801" i="1"/>
  <c r="R793" i="1"/>
  <c r="J793" i="1"/>
  <c r="K785" i="1"/>
  <c r="L409" i="1"/>
  <c r="A865" i="1"/>
  <c r="A841" i="1"/>
  <c r="A817" i="1"/>
  <c r="B801" i="1"/>
  <c r="O897" i="1"/>
  <c r="K873" i="1"/>
  <c r="N865" i="1"/>
  <c r="K857" i="1"/>
  <c r="N849" i="1"/>
  <c r="P841" i="1"/>
  <c r="K833" i="1"/>
  <c r="O825" i="1"/>
  <c r="Q817" i="1"/>
  <c r="L809" i="1"/>
  <c r="O801" i="1"/>
  <c r="Q793" i="1"/>
  <c r="R785" i="1"/>
  <c r="J785" i="1"/>
  <c r="Q777" i="1"/>
  <c r="N777" i="1"/>
  <c r="A929" i="1"/>
  <c r="A801" i="1"/>
  <c r="B785" i="1"/>
  <c r="M953" i="1"/>
  <c r="R937" i="1"/>
  <c r="R873" i="1"/>
  <c r="J873" i="1"/>
  <c r="M865" i="1"/>
  <c r="R857" i="1"/>
  <c r="J857" i="1"/>
  <c r="M849" i="1"/>
  <c r="O841" i="1"/>
  <c r="R833" i="1"/>
  <c r="J833" i="1"/>
  <c r="N825" i="1"/>
  <c r="P817" i="1"/>
  <c r="K809" i="1"/>
  <c r="N801" i="1"/>
  <c r="P793" i="1"/>
  <c r="Q785" i="1"/>
  <c r="P777" i="1"/>
  <c r="B849" i="1"/>
  <c r="B825" i="1"/>
  <c r="A785" i="1"/>
  <c r="L913" i="1"/>
  <c r="Q873" i="1"/>
  <c r="L865" i="1"/>
  <c r="Q857" i="1"/>
  <c r="L849" i="1"/>
  <c r="N841" i="1"/>
  <c r="Q833" i="1"/>
  <c r="M825" i="1"/>
  <c r="O817" i="1"/>
  <c r="R809" i="1"/>
  <c r="J809" i="1"/>
  <c r="M801" i="1"/>
  <c r="O793" i="1"/>
  <c r="P785" i="1"/>
  <c r="M777" i="1"/>
  <c r="B945" i="1"/>
  <c r="J937" i="1"/>
  <c r="B905" i="1"/>
  <c r="B873" i="1"/>
  <c r="A849" i="1"/>
  <c r="A825" i="1"/>
  <c r="B809" i="1"/>
  <c r="K1388" i="1"/>
  <c r="O967" i="1"/>
  <c r="R895" i="1"/>
  <c r="R879" i="1"/>
  <c r="R863" i="1"/>
  <c r="M831" i="1"/>
  <c r="N815" i="1"/>
  <c r="Q409" i="1"/>
  <c r="A884" i="1"/>
  <c r="A839" i="1"/>
  <c r="N871" i="1"/>
  <c r="Q839" i="1"/>
  <c r="Q461" i="1"/>
  <c r="A964" i="1"/>
  <c r="M919" i="1"/>
  <c r="M903" i="1"/>
  <c r="O887" i="1"/>
  <c r="M823" i="1"/>
  <c r="N461" i="1"/>
  <c r="P951" i="1"/>
  <c r="O855" i="1"/>
  <c r="M461" i="1"/>
  <c r="L461" i="1"/>
  <c r="K461" i="1"/>
  <c r="J461" i="1"/>
  <c r="P461" i="1"/>
  <c r="B461" i="1"/>
  <c r="O848" i="1"/>
  <c r="L935" i="1"/>
  <c r="N888" i="1"/>
  <c r="A816" i="1"/>
  <c r="R856" i="1"/>
  <c r="Q808" i="1"/>
  <c r="K409" i="1"/>
  <c r="J409" i="1"/>
  <c r="K959" i="1"/>
  <c r="N943" i="1"/>
  <c r="B959" i="1"/>
  <c r="N792" i="1"/>
  <c r="B848" i="1"/>
  <c r="B928" i="1"/>
  <c r="P927" i="1"/>
  <c r="A437" i="1"/>
  <c r="N437" i="1"/>
  <c r="O437" i="1"/>
  <c r="M437" i="1"/>
  <c r="L437" i="1"/>
  <c r="K437" i="1"/>
  <c r="J437" i="1"/>
  <c r="Q437" i="1"/>
  <c r="P437" i="1"/>
  <c r="B963" i="1"/>
  <c r="A924" i="1"/>
  <c r="A908" i="1"/>
  <c r="A899" i="1"/>
  <c r="B883" i="1"/>
  <c r="A851" i="1"/>
  <c r="A843" i="1"/>
  <c r="B811" i="1"/>
  <c r="K971" i="1"/>
  <c r="P942" i="1"/>
  <c r="Q931" i="1"/>
  <c r="M907" i="1"/>
  <c r="M883" i="1"/>
  <c r="R859" i="1"/>
  <c r="M851" i="1"/>
  <c r="L827" i="1"/>
  <c r="P803" i="1"/>
  <c r="P409" i="1"/>
  <c r="A971" i="1"/>
  <c r="A931" i="1"/>
  <c r="B891" i="1"/>
  <c r="B795" i="1"/>
  <c r="A773" i="1"/>
  <c r="N955" i="1"/>
  <c r="O947" i="1"/>
  <c r="L939" i="1"/>
  <c r="K915" i="1"/>
  <c r="N891" i="1"/>
  <c r="K867" i="1"/>
  <c r="N835" i="1"/>
  <c r="L811" i="1"/>
  <c r="A891" i="1"/>
  <c r="B867" i="1"/>
  <c r="A795" i="1"/>
  <c r="R963" i="1"/>
  <c r="M955" i="1"/>
  <c r="J947" i="1"/>
  <c r="Q899" i="1"/>
  <c r="R843" i="1"/>
  <c r="J811" i="1"/>
  <c r="Q795" i="1"/>
  <c r="A827" i="1"/>
  <c r="B803" i="1"/>
  <c r="Q963" i="1"/>
  <c r="K955" i="1"/>
  <c r="O923" i="1"/>
  <c r="K899" i="1"/>
  <c r="Q875" i="1"/>
  <c r="L843" i="1"/>
  <c r="P819" i="1"/>
  <c r="B409" i="1"/>
  <c r="A940" i="1"/>
  <c r="A844" i="1"/>
  <c r="N971" i="1"/>
  <c r="O963" i="1"/>
  <c r="M923" i="1"/>
  <c r="O875" i="1"/>
  <c r="J843" i="1"/>
  <c r="N819" i="1"/>
  <c r="A409" i="1"/>
  <c r="O409" i="1"/>
  <c r="N409" i="1"/>
  <c r="N360" i="1"/>
  <c r="B311" i="1"/>
  <c r="A311" i="1"/>
  <c r="N384" i="1"/>
  <c r="L384" i="1"/>
  <c r="L847" i="1"/>
  <c r="M384" i="1"/>
  <c r="K384" i="1"/>
  <c r="J384" i="1"/>
  <c r="P384" i="1"/>
  <c r="B384" i="1"/>
  <c r="O384" i="1"/>
  <c r="L360" i="1"/>
  <c r="M360" i="1"/>
  <c r="K360" i="1"/>
  <c r="J360" i="1"/>
  <c r="P360" i="1"/>
  <c r="B360" i="1"/>
  <c r="O360" i="1"/>
  <c r="L971" i="1"/>
  <c r="P963" i="1"/>
  <c r="L955" i="1"/>
  <c r="P947" i="1"/>
  <c r="M939" i="1"/>
  <c r="R931" i="1"/>
  <c r="J931" i="1"/>
  <c r="N923" i="1"/>
  <c r="R915" i="1"/>
  <c r="J915" i="1"/>
  <c r="N907" i="1"/>
  <c r="R899" i="1"/>
  <c r="J899" i="1"/>
  <c r="O891" i="1"/>
  <c r="L883" i="1"/>
  <c r="P875" i="1"/>
  <c r="L867" i="1"/>
  <c r="Q859" i="1"/>
  <c r="N851" i="1"/>
  <c r="K843" i="1"/>
  <c r="O835" i="1"/>
  <c r="K827" i="1"/>
  <c r="O819" i="1"/>
  <c r="K811" i="1"/>
  <c r="O803" i="1"/>
  <c r="R795" i="1"/>
  <c r="L779" i="1"/>
  <c r="B939" i="1"/>
  <c r="A915" i="1"/>
  <c r="A867" i="1"/>
  <c r="B819" i="1"/>
  <c r="A811" i="1"/>
  <c r="A779" i="1"/>
  <c r="R971" i="1"/>
  <c r="J971" i="1"/>
  <c r="N963" i="1"/>
  <c r="R955" i="1"/>
  <c r="J955" i="1"/>
  <c r="N947" i="1"/>
  <c r="K939" i="1"/>
  <c r="P931" i="1"/>
  <c r="L923" i="1"/>
  <c r="P915" i="1"/>
  <c r="L907" i="1"/>
  <c r="P899" i="1"/>
  <c r="M891" i="1"/>
  <c r="R883" i="1"/>
  <c r="J883" i="1"/>
  <c r="N875" i="1"/>
  <c r="R867" i="1"/>
  <c r="J867" i="1"/>
  <c r="O859" i="1"/>
  <c r="L851" i="1"/>
  <c r="Q843" i="1"/>
  <c r="M835" i="1"/>
  <c r="Q827" i="1"/>
  <c r="M819" i="1"/>
  <c r="Q811" i="1"/>
  <c r="M803" i="1"/>
  <c r="N795" i="1"/>
  <c r="R787" i="1"/>
  <c r="B827" i="1"/>
  <c r="A819" i="1"/>
  <c r="B787" i="1"/>
  <c r="Q971" i="1"/>
  <c r="M963" i="1"/>
  <c r="Q955" i="1"/>
  <c r="M947" i="1"/>
  <c r="R939" i="1"/>
  <c r="J939" i="1"/>
  <c r="O931" i="1"/>
  <c r="K923" i="1"/>
  <c r="O915" i="1"/>
  <c r="K907" i="1"/>
  <c r="O899" i="1"/>
  <c r="L891" i="1"/>
  <c r="Q883" i="1"/>
  <c r="M875" i="1"/>
  <c r="Q867" i="1"/>
  <c r="N859" i="1"/>
  <c r="K851" i="1"/>
  <c r="P843" i="1"/>
  <c r="L835" i="1"/>
  <c r="P827" i="1"/>
  <c r="L819" i="1"/>
  <c r="P811" i="1"/>
  <c r="L803" i="1"/>
  <c r="M795" i="1"/>
  <c r="L787" i="1"/>
  <c r="Q336" i="1"/>
  <c r="P971" i="1"/>
  <c r="L963" i="1"/>
  <c r="P955" i="1"/>
  <c r="L947" i="1"/>
  <c r="Q939" i="1"/>
  <c r="N931" i="1"/>
  <c r="R923" i="1"/>
  <c r="J923" i="1"/>
  <c r="N915" i="1"/>
  <c r="R907" i="1"/>
  <c r="J907" i="1"/>
  <c r="N899" i="1"/>
  <c r="K891" i="1"/>
  <c r="P883" i="1"/>
  <c r="L875" i="1"/>
  <c r="P867" i="1"/>
  <c r="M859" i="1"/>
  <c r="R851" i="1"/>
  <c r="J851" i="1"/>
  <c r="O843" i="1"/>
  <c r="K835" i="1"/>
  <c r="O827" i="1"/>
  <c r="K819" i="1"/>
  <c r="O811" i="1"/>
  <c r="K803" i="1"/>
  <c r="L795" i="1"/>
  <c r="K787" i="1"/>
  <c r="N336" i="1"/>
  <c r="M931" i="1"/>
  <c r="Q923" i="1"/>
  <c r="M915" i="1"/>
  <c r="Q907" i="1"/>
  <c r="M899" i="1"/>
  <c r="R891" i="1"/>
  <c r="J891" i="1"/>
  <c r="O883" i="1"/>
  <c r="K875" i="1"/>
  <c r="O867" i="1"/>
  <c r="L859" i="1"/>
  <c r="Q851" i="1"/>
  <c r="N843" i="1"/>
  <c r="R835" i="1"/>
  <c r="J835" i="1"/>
  <c r="N827" i="1"/>
  <c r="R819" i="1"/>
  <c r="J819" i="1"/>
  <c r="N811" i="1"/>
  <c r="R803" i="1"/>
  <c r="J803" i="1"/>
  <c r="J795" i="1"/>
  <c r="J787" i="1"/>
  <c r="L336" i="1"/>
  <c r="R875" i="1"/>
  <c r="N779" i="1"/>
  <c r="M336" i="1"/>
  <c r="K336" i="1"/>
  <c r="R336" i="1"/>
  <c r="J336" i="1"/>
  <c r="P336" i="1"/>
  <c r="B336" i="1"/>
  <c r="O336" i="1"/>
  <c r="A828" i="1"/>
  <c r="B822" i="1"/>
  <c r="B774" i="1"/>
  <c r="K948" i="1"/>
  <c r="Q950" i="1"/>
  <c r="N926" i="1"/>
  <c r="A948" i="1"/>
  <c r="A862" i="1"/>
  <c r="A788" i="1"/>
  <c r="P787" i="1"/>
  <c r="P311" i="1"/>
  <c r="J958" i="1"/>
  <c r="O311" i="1"/>
  <c r="N311" i="1"/>
  <c r="B934" i="1"/>
  <c r="B910" i="1"/>
  <c r="A886" i="1"/>
  <c r="P900" i="1"/>
  <c r="M311" i="1"/>
  <c r="L311" i="1"/>
  <c r="K311" i="1"/>
  <c r="B887" i="1"/>
  <c r="A823" i="1"/>
  <c r="N967" i="1"/>
  <c r="R959" i="1"/>
  <c r="J959" i="1"/>
  <c r="O951" i="1"/>
  <c r="M943" i="1"/>
  <c r="K935" i="1"/>
  <c r="O927" i="1"/>
  <c r="L919" i="1"/>
  <c r="P911" i="1"/>
  <c r="L903" i="1"/>
  <c r="Q895" i="1"/>
  <c r="N887" i="1"/>
  <c r="Q879" i="1"/>
  <c r="M871" i="1"/>
  <c r="Q863" i="1"/>
  <c r="N855" i="1"/>
  <c r="K847" i="1"/>
  <c r="P839" i="1"/>
  <c r="J831" i="1"/>
  <c r="L823" i="1"/>
  <c r="M815" i="1"/>
  <c r="R807" i="1"/>
  <c r="Q791" i="1"/>
  <c r="A959" i="1"/>
  <c r="A967" i="1"/>
  <c r="B815" i="1"/>
  <c r="B807" i="1"/>
  <c r="M967" i="1"/>
  <c r="Q959" i="1"/>
  <c r="N951" i="1"/>
  <c r="L943" i="1"/>
  <c r="R935" i="1"/>
  <c r="J935" i="1"/>
  <c r="N927" i="1"/>
  <c r="K919" i="1"/>
  <c r="O911" i="1"/>
  <c r="K903" i="1"/>
  <c r="P895" i="1"/>
  <c r="M887" i="1"/>
  <c r="P879" i="1"/>
  <c r="L871" i="1"/>
  <c r="P863" i="1"/>
  <c r="M855" i="1"/>
  <c r="R847" i="1"/>
  <c r="J847" i="1"/>
  <c r="O839" i="1"/>
  <c r="K823" i="1"/>
  <c r="L815" i="1"/>
  <c r="Q807" i="1"/>
  <c r="R799" i="1"/>
  <c r="P791" i="1"/>
  <c r="K871" i="1"/>
  <c r="O863" i="1"/>
  <c r="L855" i="1"/>
  <c r="Q847" i="1"/>
  <c r="N839" i="1"/>
  <c r="R831" i="1"/>
  <c r="K815" i="1"/>
  <c r="P807" i="1"/>
  <c r="Q799" i="1"/>
  <c r="N791" i="1"/>
  <c r="B911" i="1"/>
  <c r="A815" i="1"/>
  <c r="A807" i="1"/>
  <c r="B799" i="1"/>
  <c r="B791" i="1"/>
  <c r="Q935" i="1"/>
  <c r="M927" i="1"/>
  <c r="R919" i="1"/>
  <c r="J919" i="1"/>
  <c r="N911" i="1"/>
  <c r="R903" i="1"/>
  <c r="J903" i="1"/>
  <c r="O895" i="1"/>
  <c r="A911" i="1"/>
  <c r="A895" i="1"/>
  <c r="A879" i="1"/>
  <c r="A871" i="1"/>
  <c r="B863" i="1"/>
  <c r="A799" i="1"/>
  <c r="A791" i="1"/>
  <c r="B783" i="1"/>
  <c r="B775" i="1"/>
  <c r="K967" i="1"/>
  <c r="O959" i="1"/>
  <c r="L951" i="1"/>
  <c r="R943" i="1"/>
  <c r="J943" i="1"/>
  <c r="P935" i="1"/>
  <c r="L927" i="1"/>
  <c r="Q919" i="1"/>
  <c r="M911" i="1"/>
  <c r="Q903" i="1"/>
  <c r="N895" i="1"/>
  <c r="K887" i="1"/>
  <c r="N879" i="1"/>
  <c r="R871" i="1"/>
  <c r="J871" i="1"/>
  <c r="N863" i="1"/>
  <c r="K855" i="1"/>
  <c r="P847" i="1"/>
  <c r="M839" i="1"/>
  <c r="Q831" i="1"/>
  <c r="J815" i="1"/>
  <c r="L807" i="1"/>
  <c r="P799" i="1"/>
  <c r="Q286" i="1"/>
  <c r="B871" i="1"/>
  <c r="L887" i="1"/>
  <c r="O879" i="1"/>
  <c r="B935" i="1"/>
  <c r="B919" i="1"/>
  <c r="B903" i="1"/>
  <c r="A863" i="1"/>
  <c r="B855" i="1"/>
  <c r="A783" i="1"/>
  <c r="A775" i="1"/>
  <c r="R967" i="1"/>
  <c r="J967" i="1"/>
  <c r="N959" i="1"/>
  <c r="K951" i="1"/>
  <c r="Q943" i="1"/>
  <c r="O935" i="1"/>
  <c r="K927" i="1"/>
  <c r="P919" i="1"/>
  <c r="L911" i="1"/>
  <c r="P903" i="1"/>
  <c r="M895" i="1"/>
  <c r="R887" i="1"/>
  <c r="J887" i="1"/>
  <c r="M879" i="1"/>
  <c r="Q871" i="1"/>
  <c r="M863" i="1"/>
  <c r="R855" i="1"/>
  <c r="J855" i="1"/>
  <c r="O847" i="1"/>
  <c r="L839" i="1"/>
  <c r="P831" i="1"/>
  <c r="P823" i="1"/>
  <c r="K807" i="1"/>
  <c r="N799" i="1"/>
  <c r="N286" i="1"/>
  <c r="B967" i="1"/>
  <c r="A887" i="1"/>
  <c r="B895" i="1"/>
  <c r="B879" i="1"/>
  <c r="L967" i="1"/>
  <c r="P959" i="1"/>
  <c r="M951" i="1"/>
  <c r="K943" i="1"/>
  <c r="B951" i="1"/>
  <c r="B943" i="1"/>
  <c r="A935" i="1"/>
  <c r="B927" i="1"/>
  <c r="A919" i="1"/>
  <c r="A903" i="1"/>
  <c r="A855" i="1"/>
  <c r="B847" i="1"/>
  <c r="Q967" i="1"/>
  <c r="M959" i="1"/>
  <c r="R951" i="1"/>
  <c r="J951" i="1"/>
  <c r="P943" i="1"/>
  <c r="N935" i="1"/>
  <c r="R927" i="1"/>
  <c r="J927" i="1"/>
  <c r="O919" i="1"/>
  <c r="K911" i="1"/>
  <c r="O903" i="1"/>
  <c r="L895" i="1"/>
  <c r="Q887" i="1"/>
  <c r="L879" i="1"/>
  <c r="P871" i="1"/>
  <c r="L863" i="1"/>
  <c r="Q855" i="1"/>
  <c r="N847" i="1"/>
  <c r="K839" i="1"/>
  <c r="O831" i="1"/>
  <c r="O823" i="1"/>
  <c r="R815" i="1"/>
  <c r="J807" i="1"/>
  <c r="M799" i="1"/>
  <c r="L286" i="1"/>
  <c r="A951" i="1"/>
  <c r="A943" i="1"/>
  <c r="A927" i="1"/>
  <c r="A847" i="1"/>
  <c r="B839" i="1"/>
  <c r="B831" i="1"/>
  <c r="R911" i="1"/>
  <c r="R839" i="1"/>
  <c r="N831" i="1"/>
  <c r="N823" i="1"/>
  <c r="Q815" i="1"/>
  <c r="M286" i="1"/>
  <c r="K286" i="1"/>
  <c r="R286" i="1"/>
  <c r="J286" i="1"/>
  <c r="P286" i="1"/>
  <c r="B286" i="1"/>
  <c r="O286" i="1"/>
  <c r="A928" i="1"/>
  <c r="B920" i="1"/>
  <c r="B896" i="1"/>
  <c r="B808" i="1"/>
  <c r="O934" i="1"/>
  <c r="R904" i="1"/>
  <c r="P896" i="1"/>
  <c r="M888" i="1"/>
  <c r="K856" i="1"/>
  <c r="M816" i="1"/>
  <c r="J808" i="1"/>
  <c r="A774" i="1"/>
  <c r="Q968" i="1"/>
  <c r="P960" i="1"/>
  <c r="M912" i="1"/>
  <c r="J904" i="1"/>
  <c r="P886" i="1"/>
  <c r="M864" i="1"/>
  <c r="P824" i="1"/>
  <c r="A840" i="1"/>
  <c r="A808" i="1"/>
  <c r="O896" i="1"/>
  <c r="N864" i="1"/>
  <c r="B872" i="1"/>
  <c r="A832" i="1"/>
  <c r="O960" i="1"/>
  <c r="O920" i="1"/>
  <c r="L912" i="1"/>
  <c r="N894" i="1"/>
  <c r="Q872" i="1"/>
  <c r="R832" i="1"/>
  <c r="O824" i="1"/>
  <c r="R784" i="1"/>
  <c r="Q259" i="1"/>
  <c r="B880" i="1"/>
  <c r="J856" i="1"/>
  <c r="L816" i="1"/>
  <c r="P968" i="1"/>
  <c r="O952" i="1"/>
  <c r="B952" i="1"/>
  <c r="A864" i="1"/>
  <c r="A792" i="1"/>
  <c r="J968" i="1"/>
  <c r="N960" i="1"/>
  <c r="N952" i="1"/>
  <c r="M944" i="1"/>
  <c r="R936" i="1"/>
  <c r="Q928" i="1"/>
  <c r="N920" i="1"/>
  <c r="P872" i="1"/>
  <c r="K832" i="1"/>
  <c r="L831" i="1"/>
  <c r="R823" i="1"/>
  <c r="J823" i="1"/>
  <c r="P815" i="1"/>
  <c r="O807" i="1"/>
  <c r="J799" i="1"/>
  <c r="J791" i="1"/>
  <c r="K784" i="1"/>
  <c r="N259" i="1"/>
  <c r="Q904" i="1"/>
  <c r="B832" i="1"/>
  <c r="A968" i="1"/>
  <c r="B960" i="1"/>
  <c r="A952" i="1"/>
  <c r="B824" i="1"/>
  <c r="A798" i="1"/>
  <c r="M952" i="1"/>
  <c r="L944" i="1"/>
  <c r="K936" i="1"/>
  <c r="P928" i="1"/>
  <c r="L880" i="1"/>
  <c r="N840" i="1"/>
  <c r="J832" i="1"/>
  <c r="N807" i="1"/>
  <c r="O800" i="1"/>
  <c r="O798" i="1"/>
  <c r="P790" i="1"/>
  <c r="J784" i="1"/>
  <c r="R776" i="1"/>
  <c r="L259" i="1"/>
  <c r="B904" i="1"/>
  <c r="R968" i="1"/>
  <c r="A944" i="1"/>
  <c r="B936" i="1"/>
  <c r="B856" i="1"/>
  <c r="B784" i="1"/>
  <c r="K966" i="1"/>
  <c r="R958" i="1"/>
  <c r="J936" i="1"/>
  <c r="L918" i="1"/>
  <c r="K880" i="1"/>
  <c r="P848" i="1"/>
  <c r="M840" i="1"/>
  <c r="R808" i="1"/>
  <c r="N800" i="1"/>
  <c r="O792" i="1"/>
  <c r="R783" i="1"/>
  <c r="K776" i="1"/>
  <c r="M259" i="1"/>
  <c r="K259" i="1"/>
  <c r="R259" i="1"/>
  <c r="J259" i="1"/>
  <c r="P259" i="1"/>
  <c r="B259" i="1"/>
  <c r="O259" i="1"/>
  <c r="K945" i="1"/>
  <c r="B913" i="1"/>
  <c r="B953" i="1"/>
  <c r="B912" i="1"/>
  <c r="B888" i="1"/>
  <c r="K969" i="1"/>
  <c r="L968" i="1"/>
  <c r="Q961" i="1"/>
  <c r="R960" i="1"/>
  <c r="J960" i="1"/>
  <c r="P953" i="1"/>
  <c r="Q952" i="1"/>
  <c r="O945" i="1"/>
  <c r="P944" i="1"/>
  <c r="M937" i="1"/>
  <c r="N936" i="1"/>
  <c r="K929" i="1"/>
  <c r="L928" i="1"/>
  <c r="Q921" i="1"/>
  <c r="R920" i="1"/>
  <c r="J920" i="1"/>
  <c r="O913" i="1"/>
  <c r="P912" i="1"/>
  <c r="L905" i="1"/>
  <c r="M904" i="1"/>
  <c r="R897" i="1"/>
  <c r="J897" i="1"/>
  <c r="K896" i="1"/>
  <c r="P889" i="1"/>
  <c r="Q888" i="1"/>
  <c r="N881" i="1"/>
  <c r="O880" i="1"/>
  <c r="L872" i="1"/>
  <c r="Q864" i="1"/>
  <c r="N856" i="1"/>
  <c r="K848" i="1"/>
  <c r="Q840" i="1"/>
  <c r="N832" i="1"/>
  <c r="K824" i="1"/>
  <c r="P816" i="1"/>
  <c r="M808" i="1"/>
  <c r="R800" i="1"/>
  <c r="J800" i="1"/>
  <c r="R792" i="1"/>
  <c r="J792" i="1"/>
  <c r="N784" i="1"/>
  <c r="N776" i="1"/>
  <c r="A945" i="1"/>
  <c r="O969" i="1"/>
  <c r="Q937" i="1"/>
  <c r="R881" i="1"/>
  <c r="B889" i="1"/>
  <c r="A960" i="1"/>
  <c r="A953" i="1"/>
  <c r="A936" i="1"/>
  <c r="B929" i="1"/>
  <c r="A912" i="1"/>
  <c r="A888" i="1"/>
  <c r="B864" i="1"/>
  <c r="B840" i="1"/>
  <c r="B816" i="1"/>
  <c r="B792" i="1"/>
  <c r="R969" i="1"/>
  <c r="J969" i="1"/>
  <c r="K968" i="1"/>
  <c r="P961" i="1"/>
  <c r="Q960" i="1"/>
  <c r="O953" i="1"/>
  <c r="P952" i="1"/>
  <c r="N945" i="1"/>
  <c r="O944" i="1"/>
  <c r="L937" i="1"/>
  <c r="M936" i="1"/>
  <c r="R929" i="1"/>
  <c r="J929" i="1"/>
  <c r="K928" i="1"/>
  <c r="P921" i="1"/>
  <c r="Q920" i="1"/>
  <c r="N913" i="1"/>
  <c r="O912" i="1"/>
  <c r="K905" i="1"/>
  <c r="L904" i="1"/>
  <c r="Q897" i="1"/>
  <c r="R896" i="1"/>
  <c r="J896" i="1"/>
  <c r="O889" i="1"/>
  <c r="P888" i="1"/>
  <c r="M881" i="1"/>
  <c r="N880" i="1"/>
  <c r="K872" i="1"/>
  <c r="P864" i="1"/>
  <c r="M856" i="1"/>
  <c r="R848" i="1"/>
  <c r="J848" i="1"/>
  <c r="P840" i="1"/>
  <c r="M832" i="1"/>
  <c r="R824" i="1"/>
  <c r="J824" i="1"/>
  <c r="O816" i="1"/>
  <c r="L808" i="1"/>
  <c r="Q800" i="1"/>
  <c r="Q792" i="1"/>
  <c r="M784" i="1"/>
  <c r="M776" i="1"/>
  <c r="Q969" i="1"/>
  <c r="O961" i="1"/>
  <c r="N953" i="1"/>
  <c r="M945" i="1"/>
  <c r="N944" i="1"/>
  <c r="K937" i="1"/>
  <c r="L936" i="1"/>
  <c r="Q929" i="1"/>
  <c r="R928" i="1"/>
  <c r="J928" i="1"/>
  <c r="O921" i="1"/>
  <c r="P920" i="1"/>
  <c r="M913" i="1"/>
  <c r="N912" i="1"/>
  <c r="R905" i="1"/>
  <c r="J905" i="1"/>
  <c r="K904" i="1"/>
  <c r="P897" i="1"/>
  <c r="Q896" i="1"/>
  <c r="N889" i="1"/>
  <c r="O888" i="1"/>
  <c r="L881" i="1"/>
  <c r="M880" i="1"/>
  <c r="R872" i="1"/>
  <c r="J872" i="1"/>
  <c r="O864" i="1"/>
  <c r="L856" i="1"/>
  <c r="Q848" i="1"/>
  <c r="O840" i="1"/>
  <c r="L832" i="1"/>
  <c r="Q824" i="1"/>
  <c r="N816" i="1"/>
  <c r="K808" i="1"/>
  <c r="P800" i="1"/>
  <c r="P792" i="1"/>
  <c r="L784" i="1"/>
  <c r="L776" i="1"/>
  <c r="A969" i="1"/>
  <c r="B921" i="1"/>
  <c r="O929" i="1"/>
  <c r="P905" i="1"/>
  <c r="L889" i="1"/>
  <c r="B968" i="1"/>
  <c r="B944" i="1"/>
  <c r="A921" i="1"/>
  <c r="A904" i="1"/>
  <c r="A897" i="1"/>
  <c r="A880" i="1"/>
  <c r="A856" i="1"/>
  <c r="A784" i="1"/>
  <c r="N969" i="1"/>
  <c r="O968" i="1"/>
  <c r="L961" i="1"/>
  <c r="M960" i="1"/>
  <c r="K953" i="1"/>
  <c r="L952" i="1"/>
  <c r="R945" i="1"/>
  <c r="J945" i="1"/>
  <c r="K944" i="1"/>
  <c r="P937" i="1"/>
  <c r="Q936" i="1"/>
  <c r="N929" i="1"/>
  <c r="O928" i="1"/>
  <c r="L921" i="1"/>
  <c r="M920" i="1"/>
  <c r="R913" i="1"/>
  <c r="J913" i="1"/>
  <c r="K912" i="1"/>
  <c r="O905" i="1"/>
  <c r="P904" i="1"/>
  <c r="M897" i="1"/>
  <c r="N896" i="1"/>
  <c r="K889" i="1"/>
  <c r="L888" i="1"/>
  <c r="Q881" i="1"/>
  <c r="R880" i="1"/>
  <c r="J880" i="1"/>
  <c r="O872" i="1"/>
  <c r="L864" i="1"/>
  <c r="Q856" i="1"/>
  <c r="N848" i="1"/>
  <c r="L840" i="1"/>
  <c r="Q832" i="1"/>
  <c r="N824" i="1"/>
  <c r="K816" i="1"/>
  <c r="P808" i="1"/>
  <c r="M800" i="1"/>
  <c r="M792" i="1"/>
  <c r="Q784" i="1"/>
  <c r="Q776" i="1"/>
  <c r="L953" i="1"/>
  <c r="N897" i="1"/>
  <c r="J881" i="1"/>
  <c r="B961" i="1"/>
  <c r="B800" i="1"/>
  <c r="B776" i="1"/>
  <c r="M969" i="1"/>
  <c r="N968" i="1"/>
  <c r="K961" i="1"/>
  <c r="L960" i="1"/>
  <c r="R953" i="1"/>
  <c r="J953" i="1"/>
  <c r="K952" i="1"/>
  <c r="Q945" i="1"/>
  <c r="R944" i="1"/>
  <c r="J944" i="1"/>
  <c r="O937" i="1"/>
  <c r="P936" i="1"/>
  <c r="M929" i="1"/>
  <c r="N928" i="1"/>
  <c r="K921" i="1"/>
  <c r="L920" i="1"/>
  <c r="Q913" i="1"/>
  <c r="R912" i="1"/>
  <c r="J912" i="1"/>
  <c r="N905" i="1"/>
  <c r="O904" i="1"/>
  <c r="L897" i="1"/>
  <c r="M896" i="1"/>
  <c r="R889" i="1"/>
  <c r="J889" i="1"/>
  <c r="K888" i="1"/>
  <c r="P881" i="1"/>
  <c r="Q880" i="1"/>
  <c r="N872" i="1"/>
  <c r="K864" i="1"/>
  <c r="P856" i="1"/>
  <c r="M848" i="1"/>
  <c r="K840" i="1"/>
  <c r="P832" i="1"/>
  <c r="M824" i="1"/>
  <c r="R816" i="1"/>
  <c r="J816" i="1"/>
  <c r="O808" i="1"/>
  <c r="L800" i="1"/>
  <c r="L792" i="1"/>
  <c r="P784" i="1"/>
  <c r="P776" i="1"/>
  <c r="K881" i="1"/>
  <c r="B897" i="1"/>
  <c r="M961" i="1"/>
  <c r="M921" i="1"/>
  <c r="K913" i="1"/>
  <c r="B937" i="1"/>
  <c r="A961" i="1"/>
  <c r="A937" i="1"/>
  <c r="A920" i="1"/>
  <c r="A913" i="1"/>
  <c r="A896" i="1"/>
  <c r="A889" i="1"/>
  <c r="A872" i="1"/>
  <c r="A848" i="1"/>
  <c r="A824" i="1"/>
  <c r="A800" i="1"/>
  <c r="A776" i="1"/>
  <c r="R961" i="1"/>
  <c r="R952" i="1"/>
  <c r="R921" i="1"/>
  <c r="R888" i="1"/>
  <c r="R864" i="1"/>
  <c r="R840" i="1"/>
  <c r="K964" i="1"/>
  <c r="K956" i="1"/>
  <c r="A820" i="1"/>
  <c r="A780" i="1"/>
  <c r="A956" i="1"/>
  <c r="J796" i="1"/>
  <c r="A916" i="1"/>
  <c r="A836" i="1"/>
  <c r="A932" i="1"/>
  <c r="A892" i="1"/>
  <c r="K940" i="1"/>
  <c r="B773" i="1"/>
  <c r="Q774" i="1"/>
  <c r="N783" i="1"/>
  <c r="M783" i="1"/>
  <c r="Q775" i="1"/>
  <c r="P775" i="1"/>
  <c r="A910" i="1"/>
  <c r="B870" i="1"/>
  <c r="P870" i="1"/>
  <c r="A958" i="1"/>
  <c r="B918" i="1"/>
  <c r="B894" i="1"/>
  <c r="A870" i="1"/>
  <c r="A846" i="1"/>
  <c r="B806" i="1"/>
  <c r="A782" i="1"/>
  <c r="Q966" i="1"/>
  <c r="P958" i="1"/>
  <c r="O950" i="1"/>
  <c r="N942" i="1"/>
  <c r="M934" i="1"/>
  <c r="L926" i="1"/>
  <c r="J918" i="1"/>
  <c r="O910" i="1"/>
  <c r="N886" i="1"/>
  <c r="O878" i="1"/>
  <c r="O870" i="1"/>
  <c r="O862" i="1"/>
  <c r="O854" i="1"/>
  <c r="O846" i="1"/>
  <c r="P838" i="1"/>
  <c r="L783" i="1"/>
  <c r="A934" i="1"/>
  <c r="A822" i="1"/>
  <c r="P950" i="1"/>
  <c r="O886" i="1"/>
  <c r="P854" i="1"/>
  <c r="B942" i="1"/>
  <c r="A918" i="1"/>
  <c r="B869" i="1"/>
  <c r="B830" i="1"/>
  <c r="A806" i="1"/>
  <c r="P966" i="1"/>
  <c r="O958" i="1"/>
  <c r="N950" i="1"/>
  <c r="M942" i="1"/>
  <c r="L934" i="1"/>
  <c r="K926" i="1"/>
  <c r="R918" i="1"/>
  <c r="N910" i="1"/>
  <c r="N878" i="1"/>
  <c r="N870" i="1"/>
  <c r="N862" i="1"/>
  <c r="N854" i="1"/>
  <c r="N846" i="1"/>
  <c r="O838" i="1"/>
  <c r="P830" i="1"/>
  <c r="B846" i="1"/>
  <c r="N934" i="1"/>
  <c r="M926" i="1"/>
  <c r="K918" i="1"/>
  <c r="P862" i="1"/>
  <c r="A894" i="1"/>
  <c r="B966" i="1"/>
  <c r="A942" i="1"/>
  <c r="A917" i="1"/>
  <c r="B878" i="1"/>
  <c r="B854" i="1"/>
  <c r="A830" i="1"/>
  <c r="B790" i="1"/>
  <c r="O966" i="1"/>
  <c r="N958" i="1"/>
  <c r="M950" i="1"/>
  <c r="L942" i="1"/>
  <c r="K934" i="1"/>
  <c r="R926" i="1"/>
  <c r="J926" i="1"/>
  <c r="P918" i="1"/>
  <c r="M910" i="1"/>
  <c r="P902" i="1"/>
  <c r="N838" i="1"/>
  <c r="O830" i="1"/>
  <c r="P822" i="1"/>
  <c r="P806" i="1"/>
  <c r="O942" i="1"/>
  <c r="P846" i="1"/>
  <c r="A966" i="1"/>
  <c r="B926" i="1"/>
  <c r="B902" i="1"/>
  <c r="A878" i="1"/>
  <c r="A854" i="1"/>
  <c r="B814" i="1"/>
  <c r="A790" i="1"/>
  <c r="N966" i="1"/>
  <c r="M958" i="1"/>
  <c r="L950" i="1"/>
  <c r="K942" i="1"/>
  <c r="R934" i="1"/>
  <c r="J934" i="1"/>
  <c r="Q926" i="1"/>
  <c r="O918" i="1"/>
  <c r="L910" i="1"/>
  <c r="O902" i="1"/>
  <c r="N830" i="1"/>
  <c r="O822" i="1"/>
  <c r="P814" i="1"/>
  <c r="O806" i="1"/>
  <c r="Q822" i="1"/>
  <c r="B958" i="1"/>
  <c r="R966" i="1"/>
  <c r="J966" i="1"/>
  <c r="P878" i="1"/>
  <c r="N798" i="1"/>
  <c r="B950" i="1"/>
  <c r="A926" i="1"/>
  <c r="A902" i="1"/>
  <c r="B838" i="1"/>
  <c r="A814" i="1"/>
  <c r="M966" i="1"/>
  <c r="L958" i="1"/>
  <c r="K950" i="1"/>
  <c r="R942" i="1"/>
  <c r="J942" i="1"/>
  <c r="Q934" i="1"/>
  <c r="P926" i="1"/>
  <c r="N918" i="1"/>
  <c r="N902" i="1"/>
  <c r="P894" i="1"/>
  <c r="O814" i="1"/>
  <c r="K775" i="1"/>
  <c r="B782" i="1"/>
  <c r="Q958" i="1"/>
  <c r="P910" i="1"/>
  <c r="L894" i="1"/>
  <c r="A950" i="1"/>
  <c r="B886" i="1"/>
  <c r="B862" i="1"/>
  <c r="A838" i="1"/>
  <c r="B798" i="1"/>
  <c r="R950" i="1"/>
  <c r="M918" i="1"/>
  <c r="L902" i="1"/>
  <c r="O894" i="1"/>
  <c r="B925" i="1"/>
  <c r="A797" i="1"/>
  <c r="M917" i="1"/>
  <c r="O893" i="1"/>
  <c r="O799" i="1"/>
  <c r="Q797" i="1"/>
  <c r="K795" i="1"/>
  <c r="O791" i="1"/>
  <c r="Q787" i="1"/>
  <c r="J783" i="1"/>
  <c r="K779" i="1"/>
  <c r="L775" i="1"/>
  <c r="Q814" i="1"/>
  <c r="O821" i="1"/>
  <c r="B805" i="1"/>
  <c r="Q965" i="1"/>
  <c r="Q957" i="1"/>
  <c r="Q949" i="1"/>
  <c r="P941" i="1"/>
  <c r="N933" i="1"/>
  <c r="M791" i="1"/>
  <c r="O787" i="1"/>
  <c r="Q783" i="1"/>
  <c r="Q779" i="1"/>
  <c r="A925" i="1"/>
  <c r="A853" i="1"/>
  <c r="O877" i="1"/>
  <c r="L799" i="1"/>
  <c r="P795" i="1"/>
  <c r="L791" i="1"/>
  <c r="N787" i="1"/>
  <c r="P783" i="1"/>
  <c r="P779" i="1"/>
  <c r="B933" i="1"/>
  <c r="B861" i="1"/>
  <c r="P853" i="1"/>
  <c r="O783" i="1"/>
  <c r="O779" i="1"/>
  <c r="A861" i="1"/>
  <c r="O837" i="1"/>
  <c r="B941" i="1"/>
  <c r="A933" i="1"/>
  <c r="B877" i="1"/>
  <c r="A869" i="1"/>
  <c r="B813" i="1"/>
  <c r="A805" i="1"/>
  <c r="P965" i="1"/>
  <c r="P957" i="1"/>
  <c r="P949" i="1"/>
  <c r="O941" i="1"/>
  <c r="M933" i="1"/>
  <c r="Q901" i="1"/>
  <c r="Q869" i="1"/>
  <c r="O853" i="1"/>
  <c r="P797" i="1"/>
  <c r="O790" i="1"/>
  <c r="P786" i="1"/>
  <c r="R779" i="1"/>
  <c r="K778" i="1"/>
  <c r="R775" i="1"/>
  <c r="J775" i="1"/>
  <c r="Q782" i="1"/>
  <c r="B949" i="1"/>
  <c r="A941" i="1"/>
  <c r="B885" i="1"/>
  <c r="A877" i="1"/>
  <c r="B821" i="1"/>
  <c r="A813" i="1"/>
  <c r="O965" i="1"/>
  <c r="O957" i="1"/>
  <c r="O949" i="1"/>
  <c r="N941" i="1"/>
  <c r="K933" i="1"/>
  <c r="Q925" i="1"/>
  <c r="P901" i="1"/>
  <c r="Q885" i="1"/>
  <c r="P869" i="1"/>
  <c r="Q845" i="1"/>
  <c r="Q829" i="1"/>
  <c r="Q813" i="1"/>
  <c r="O797" i="1"/>
  <c r="N790" i="1"/>
  <c r="P774" i="1"/>
  <c r="A949" i="1"/>
  <c r="N965" i="1"/>
  <c r="N957" i="1"/>
  <c r="N949" i="1"/>
  <c r="M941" i="1"/>
  <c r="P925" i="1"/>
  <c r="O901" i="1"/>
  <c r="P885" i="1"/>
  <c r="P845" i="1"/>
  <c r="P829" i="1"/>
  <c r="P813" i="1"/>
  <c r="Q789" i="1"/>
  <c r="P782" i="1"/>
  <c r="O774" i="1"/>
  <c r="B829" i="1"/>
  <c r="A821" i="1"/>
  <c r="B965" i="1"/>
  <c r="A957" i="1"/>
  <c r="B901" i="1"/>
  <c r="A893" i="1"/>
  <c r="B837" i="1"/>
  <c r="A829" i="1"/>
  <c r="M965" i="1"/>
  <c r="M957" i="1"/>
  <c r="M949" i="1"/>
  <c r="L941" i="1"/>
  <c r="O925" i="1"/>
  <c r="Q909" i="1"/>
  <c r="O885" i="1"/>
  <c r="Q861" i="1"/>
  <c r="O845" i="1"/>
  <c r="N806" i="1"/>
  <c r="P789" i="1"/>
  <c r="O782" i="1"/>
  <c r="P778" i="1"/>
  <c r="O775" i="1"/>
  <c r="B957" i="1"/>
  <c r="B893" i="1"/>
  <c r="A965" i="1"/>
  <c r="B909" i="1"/>
  <c r="B845" i="1"/>
  <c r="A837" i="1"/>
  <c r="B781" i="1"/>
  <c r="L965" i="1"/>
  <c r="L957" i="1"/>
  <c r="L949" i="1"/>
  <c r="K941" i="1"/>
  <c r="Q933" i="1"/>
  <c r="N925" i="1"/>
  <c r="Q917" i="1"/>
  <c r="P909" i="1"/>
  <c r="P861" i="1"/>
  <c r="Q805" i="1"/>
  <c r="P798" i="1"/>
  <c r="O789" i="1"/>
  <c r="B917" i="1"/>
  <c r="A909" i="1"/>
  <c r="B853" i="1"/>
  <c r="B789" i="1"/>
  <c r="A781" i="1"/>
  <c r="K965" i="1"/>
  <c r="K957" i="1"/>
  <c r="K949" i="1"/>
  <c r="P933" i="1"/>
  <c r="P917" i="1"/>
  <c r="Q893" i="1"/>
  <c r="Q877" i="1"/>
  <c r="Q837" i="1"/>
  <c r="Q821" i="1"/>
  <c r="P805" i="1"/>
  <c r="Q781" i="1"/>
  <c r="R965" i="1"/>
  <c r="R957" i="1"/>
  <c r="R949" i="1"/>
  <c r="K780" i="1"/>
  <c r="L780" i="1"/>
  <c r="M780" i="1"/>
  <c r="N780" i="1"/>
  <c r="O780" i="1"/>
  <c r="P780" i="1"/>
  <c r="K804" i="1"/>
  <c r="L804" i="1"/>
  <c r="M804" i="1"/>
  <c r="N804" i="1"/>
  <c r="O804" i="1"/>
  <c r="K812" i="1"/>
  <c r="L812" i="1"/>
  <c r="M812" i="1"/>
  <c r="N812" i="1"/>
  <c r="O812" i="1"/>
  <c r="K828" i="1"/>
  <c r="L828" i="1"/>
  <c r="M828" i="1"/>
  <c r="N828" i="1"/>
  <c r="O828" i="1"/>
  <c r="K836" i="1"/>
  <c r="L836" i="1"/>
  <c r="M836" i="1"/>
  <c r="N836" i="1"/>
  <c r="O836" i="1"/>
  <c r="K844" i="1"/>
  <c r="L844" i="1"/>
  <c r="M844" i="1"/>
  <c r="N844" i="1"/>
  <c r="O844" i="1"/>
  <c r="K852" i="1"/>
  <c r="L852" i="1"/>
  <c r="M852" i="1"/>
  <c r="N852" i="1"/>
  <c r="O852" i="1"/>
  <c r="K860" i="1"/>
  <c r="L860" i="1"/>
  <c r="M860" i="1"/>
  <c r="N860" i="1"/>
  <c r="O860" i="1"/>
  <c r="K868" i="1"/>
  <c r="L868" i="1"/>
  <c r="M868" i="1"/>
  <c r="N868" i="1"/>
  <c r="O868" i="1"/>
  <c r="K876" i="1"/>
  <c r="L876" i="1"/>
  <c r="M876" i="1"/>
  <c r="N876" i="1"/>
  <c r="O876" i="1"/>
  <c r="K884" i="1"/>
  <c r="L884" i="1"/>
  <c r="M884" i="1"/>
  <c r="N884" i="1"/>
  <c r="O884" i="1"/>
  <c r="K892" i="1"/>
  <c r="L892" i="1"/>
  <c r="M892" i="1"/>
  <c r="N892" i="1"/>
  <c r="O892" i="1"/>
  <c r="K900" i="1"/>
  <c r="L900" i="1"/>
  <c r="M900" i="1"/>
  <c r="N900" i="1"/>
  <c r="O900" i="1"/>
  <c r="K908" i="1"/>
  <c r="L908" i="1"/>
  <c r="M908" i="1"/>
  <c r="N908" i="1"/>
  <c r="O908" i="1"/>
  <c r="K916" i="1"/>
  <c r="L916" i="1"/>
  <c r="M916" i="1"/>
  <c r="O916" i="1"/>
  <c r="K924" i="1"/>
  <c r="L924" i="1"/>
  <c r="M924" i="1"/>
  <c r="K932" i="1"/>
  <c r="M932" i="1"/>
  <c r="R964" i="1"/>
  <c r="J964" i="1"/>
  <c r="R956" i="1"/>
  <c r="J956" i="1"/>
  <c r="R948" i="1"/>
  <c r="J948" i="1"/>
  <c r="P940" i="1"/>
  <c r="J932" i="1"/>
  <c r="N924" i="1"/>
  <c r="J908" i="1"/>
  <c r="J900" i="1"/>
  <c r="J892" i="1"/>
  <c r="R852" i="1"/>
  <c r="Q844" i="1"/>
  <c r="P836" i="1"/>
  <c r="J828" i="1"/>
  <c r="J780" i="1"/>
  <c r="J773" i="1"/>
  <c r="R773" i="1"/>
  <c r="K773" i="1"/>
  <c r="L773" i="1"/>
  <c r="M773" i="1"/>
  <c r="N773" i="1"/>
  <c r="O773" i="1"/>
  <c r="J781" i="1"/>
  <c r="R781" i="1"/>
  <c r="K781" i="1"/>
  <c r="L781" i="1"/>
  <c r="M781" i="1"/>
  <c r="N781" i="1"/>
  <c r="O781" i="1"/>
  <c r="J789" i="1"/>
  <c r="R789" i="1"/>
  <c r="K789" i="1"/>
  <c r="L789" i="1"/>
  <c r="M789" i="1"/>
  <c r="N789" i="1"/>
  <c r="J797" i="1"/>
  <c r="R797" i="1"/>
  <c r="K797" i="1"/>
  <c r="L797" i="1"/>
  <c r="M797" i="1"/>
  <c r="N797" i="1"/>
  <c r="J805" i="1"/>
  <c r="R805" i="1"/>
  <c r="K805" i="1"/>
  <c r="L805" i="1"/>
  <c r="M805" i="1"/>
  <c r="N805" i="1"/>
  <c r="J813" i="1"/>
  <c r="R813" i="1"/>
  <c r="K813" i="1"/>
  <c r="L813" i="1"/>
  <c r="M813" i="1"/>
  <c r="N813" i="1"/>
  <c r="J821" i="1"/>
  <c r="R821" i="1"/>
  <c r="K821" i="1"/>
  <c r="L821" i="1"/>
  <c r="M821" i="1"/>
  <c r="N821" i="1"/>
  <c r="J829" i="1"/>
  <c r="R829" i="1"/>
  <c r="K829" i="1"/>
  <c r="L829" i="1"/>
  <c r="M829" i="1"/>
  <c r="N829" i="1"/>
  <c r="J837" i="1"/>
  <c r="R837" i="1"/>
  <c r="K837" i="1"/>
  <c r="L837" i="1"/>
  <c r="M837" i="1"/>
  <c r="N837" i="1"/>
  <c r="J845" i="1"/>
  <c r="R845" i="1"/>
  <c r="K845" i="1"/>
  <c r="L845" i="1"/>
  <c r="M845" i="1"/>
  <c r="N845" i="1"/>
  <c r="J853" i="1"/>
  <c r="R853" i="1"/>
  <c r="K853" i="1"/>
  <c r="L853" i="1"/>
  <c r="M853" i="1"/>
  <c r="N853" i="1"/>
  <c r="J861" i="1"/>
  <c r="R861" i="1"/>
  <c r="K861" i="1"/>
  <c r="L861" i="1"/>
  <c r="M861" i="1"/>
  <c r="N861" i="1"/>
  <c r="J869" i="1"/>
  <c r="R869" i="1"/>
  <c r="K869" i="1"/>
  <c r="L869" i="1"/>
  <c r="M869" i="1"/>
  <c r="N869" i="1"/>
  <c r="J877" i="1"/>
  <c r="R877" i="1"/>
  <c r="K877" i="1"/>
  <c r="L877" i="1"/>
  <c r="M877" i="1"/>
  <c r="N877" i="1"/>
  <c r="J885" i="1"/>
  <c r="R885" i="1"/>
  <c r="K885" i="1"/>
  <c r="L885" i="1"/>
  <c r="M885" i="1"/>
  <c r="N885" i="1"/>
  <c r="J893" i="1"/>
  <c r="R893" i="1"/>
  <c r="K893" i="1"/>
  <c r="L893" i="1"/>
  <c r="M893" i="1"/>
  <c r="N893" i="1"/>
  <c r="J901" i="1"/>
  <c r="R901" i="1"/>
  <c r="K901" i="1"/>
  <c r="L901" i="1"/>
  <c r="M901" i="1"/>
  <c r="N901" i="1"/>
  <c r="J909" i="1"/>
  <c r="R909" i="1"/>
  <c r="K909" i="1"/>
  <c r="L909" i="1"/>
  <c r="M909" i="1"/>
  <c r="N909" i="1"/>
  <c r="J917" i="1"/>
  <c r="R917" i="1"/>
  <c r="K917" i="1"/>
  <c r="L917" i="1"/>
  <c r="N917" i="1"/>
  <c r="J925" i="1"/>
  <c r="R925" i="1"/>
  <c r="K925" i="1"/>
  <c r="L925" i="1"/>
  <c r="J933" i="1"/>
  <c r="R933" i="1"/>
  <c r="L933" i="1"/>
  <c r="J941" i="1"/>
  <c r="R941" i="1"/>
  <c r="K788" i="1"/>
  <c r="L788" i="1"/>
  <c r="M788" i="1"/>
  <c r="N788" i="1"/>
  <c r="O788" i="1"/>
  <c r="J924" i="1"/>
  <c r="P964" i="1"/>
  <c r="P956" i="1"/>
  <c r="P948" i="1"/>
  <c r="N940" i="1"/>
  <c r="R932" i="1"/>
  <c r="R868" i="1"/>
  <c r="Q860" i="1"/>
  <c r="P852" i="1"/>
  <c r="J844" i="1"/>
  <c r="R804" i="1"/>
  <c r="Q796" i="1"/>
  <c r="P788" i="1"/>
  <c r="K820" i="1"/>
  <c r="L820" i="1"/>
  <c r="M820" i="1"/>
  <c r="N820" i="1"/>
  <c r="O820" i="1"/>
  <c r="Q852" i="1"/>
  <c r="P844" i="1"/>
  <c r="Q788" i="1"/>
  <c r="O964" i="1"/>
  <c r="O956" i="1"/>
  <c r="O948" i="1"/>
  <c r="M940" i="1"/>
  <c r="Q932" i="1"/>
  <c r="R916" i="1"/>
  <c r="R876" i="1"/>
  <c r="Q868" i="1"/>
  <c r="P860" i="1"/>
  <c r="J852" i="1"/>
  <c r="R812" i="1"/>
  <c r="Q804" i="1"/>
  <c r="P796" i="1"/>
  <c r="J788" i="1"/>
  <c r="N964" i="1"/>
  <c r="N956" i="1"/>
  <c r="N948" i="1"/>
  <c r="L940" i="1"/>
  <c r="P932" i="1"/>
  <c r="R924" i="1"/>
  <c r="Q916" i="1"/>
  <c r="R884" i="1"/>
  <c r="Q876" i="1"/>
  <c r="P868" i="1"/>
  <c r="J860" i="1"/>
  <c r="R820" i="1"/>
  <c r="Q812" i="1"/>
  <c r="P804" i="1"/>
  <c r="K796" i="1"/>
  <c r="L796" i="1"/>
  <c r="M796" i="1"/>
  <c r="N796" i="1"/>
  <c r="O796" i="1"/>
  <c r="Q964" i="1"/>
  <c r="Q948" i="1"/>
  <c r="R860" i="1"/>
  <c r="M964" i="1"/>
  <c r="M956" i="1"/>
  <c r="M948" i="1"/>
  <c r="J940" i="1"/>
  <c r="O932" i="1"/>
  <c r="Q924" i="1"/>
  <c r="P916" i="1"/>
  <c r="R908" i="1"/>
  <c r="R900" i="1"/>
  <c r="R892" i="1"/>
  <c r="Q884" i="1"/>
  <c r="P876" i="1"/>
  <c r="J868" i="1"/>
  <c r="R828" i="1"/>
  <c r="Q820" i="1"/>
  <c r="P812" i="1"/>
  <c r="J804" i="1"/>
  <c r="Q773" i="1"/>
  <c r="Q956" i="1"/>
  <c r="O940" i="1"/>
  <c r="J836" i="1"/>
  <c r="R796" i="1"/>
  <c r="B964" i="1"/>
  <c r="B956" i="1"/>
  <c r="B948" i="1"/>
  <c r="B940" i="1"/>
  <c r="B932" i="1"/>
  <c r="B924" i="1"/>
  <c r="B916" i="1"/>
  <c r="B908" i="1"/>
  <c r="B900" i="1"/>
  <c r="B892" i="1"/>
  <c r="B884" i="1"/>
  <c r="B876" i="1"/>
  <c r="B868" i="1"/>
  <c r="B860" i="1"/>
  <c r="B852" i="1"/>
  <c r="B844" i="1"/>
  <c r="B836" i="1"/>
  <c r="B828" i="1"/>
  <c r="B820" i="1"/>
  <c r="B812" i="1"/>
  <c r="B804" i="1"/>
  <c r="B796" i="1"/>
  <c r="B788" i="1"/>
  <c r="B780" i="1"/>
  <c r="R940" i="1"/>
  <c r="N932" i="1"/>
  <c r="P924" i="1"/>
  <c r="N916" i="1"/>
  <c r="Q908" i="1"/>
  <c r="Q900" i="1"/>
  <c r="Q892" i="1"/>
  <c r="P884" i="1"/>
  <c r="J876" i="1"/>
  <c r="R836" i="1"/>
  <c r="Q828" i="1"/>
  <c r="P820" i="1"/>
  <c r="J812" i="1"/>
  <c r="R780" i="1"/>
  <c r="M902" i="1"/>
  <c r="M894" i="1"/>
  <c r="M886" i="1"/>
  <c r="M878" i="1"/>
  <c r="M870" i="1"/>
  <c r="M862" i="1"/>
  <c r="M854" i="1"/>
  <c r="M846" i="1"/>
  <c r="M838" i="1"/>
  <c r="M830" i="1"/>
  <c r="M822" i="1"/>
  <c r="M814" i="1"/>
  <c r="M806" i="1"/>
  <c r="M798" i="1"/>
  <c r="M790" i="1"/>
  <c r="M782" i="1"/>
  <c r="R777" i="1"/>
  <c r="J777" i="1"/>
  <c r="M774" i="1"/>
  <c r="L886" i="1"/>
  <c r="L878" i="1"/>
  <c r="L870" i="1"/>
  <c r="L862" i="1"/>
  <c r="L854" i="1"/>
  <c r="L846" i="1"/>
  <c r="L838" i="1"/>
  <c r="L830" i="1"/>
  <c r="L822" i="1"/>
  <c r="L814" i="1"/>
  <c r="L806" i="1"/>
  <c r="L798" i="1"/>
  <c r="L790" i="1"/>
  <c r="L782" i="1"/>
  <c r="L774" i="1"/>
  <c r="K910" i="1"/>
  <c r="K902" i="1"/>
  <c r="K894" i="1"/>
  <c r="K886" i="1"/>
  <c r="K878" i="1"/>
  <c r="K870" i="1"/>
  <c r="K862" i="1"/>
  <c r="K854" i="1"/>
  <c r="K846" i="1"/>
  <c r="K838" i="1"/>
  <c r="K830" i="1"/>
  <c r="K822" i="1"/>
  <c r="K814" i="1"/>
  <c r="K806" i="1"/>
  <c r="K798" i="1"/>
  <c r="K790" i="1"/>
  <c r="K782" i="1"/>
  <c r="K774" i="1"/>
  <c r="R910" i="1"/>
  <c r="J910" i="1"/>
  <c r="R902" i="1"/>
  <c r="J902" i="1"/>
  <c r="R894" i="1"/>
  <c r="J894" i="1"/>
  <c r="R886" i="1"/>
  <c r="J886" i="1"/>
  <c r="R878" i="1"/>
  <c r="J878" i="1"/>
  <c r="R870" i="1"/>
  <c r="J870" i="1"/>
  <c r="R862" i="1"/>
  <c r="J862" i="1"/>
  <c r="R854" i="1"/>
  <c r="J854" i="1"/>
  <c r="R846" i="1"/>
  <c r="J846" i="1"/>
  <c r="R838" i="1"/>
  <c r="J838" i="1"/>
  <c r="R830" i="1"/>
  <c r="J830" i="1"/>
  <c r="R822" i="1"/>
  <c r="J822" i="1"/>
  <c r="R814" i="1"/>
  <c r="J814" i="1"/>
  <c r="R806" i="1"/>
  <c r="J806" i="1"/>
  <c r="R798" i="1"/>
  <c r="J798" i="1"/>
  <c r="R790" i="1"/>
  <c r="J790" i="1"/>
  <c r="R782" i="1"/>
  <c r="J782" i="1"/>
  <c r="O777" i="1"/>
  <c r="R774" i="1"/>
  <c r="J774" i="1"/>
  <c r="C1440" i="1"/>
  <c r="K1440" i="1" s="1"/>
  <c r="C1441" i="1"/>
  <c r="K1441" i="1" s="1"/>
  <c r="C1442" i="1"/>
  <c r="K1442" i="1" s="1"/>
  <c r="C1443" i="1"/>
  <c r="K1443" i="1" s="1"/>
  <c r="C1444" i="1"/>
  <c r="K1444" i="1" s="1"/>
  <c r="C1445" i="1"/>
  <c r="K1445" i="1" s="1"/>
  <c r="C1446" i="1"/>
  <c r="K1446" i="1" s="1"/>
  <c r="C1447" i="1"/>
  <c r="K1447" i="1" s="1"/>
  <c r="C1448" i="1"/>
  <c r="K1448" i="1" s="1"/>
  <c r="C1449" i="1"/>
  <c r="K1449" i="1" s="1"/>
  <c r="C1450" i="1"/>
  <c r="K1450" i="1" s="1"/>
  <c r="C1451" i="1"/>
  <c r="K1451" i="1" s="1"/>
  <c r="C1367" i="1"/>
  <c r="C1368" i="1"/>
  <c r="C1369" i="1"/>
  <c r="C1370" i="1"/>
  <c r="C1371" i="1"/>
  <c r="C1372" i="1"/>
  <c r="C1373" i="1"/>
  <c r="C1374" i="1"/>
  <c r="K1374" i="1" s="1"/>
  <c r="C1375" i="1"/>
  <c r="C1376" i="1"/>
  <c r="C1377" i="1"/>
  <c r="C1378" i="1"/>
  <c r="C1379" i="1"/>
  <c r="C1380" i="1"/>
  <c r="K1380" i="1" s="1"/>
  <c r="C1381" i="1"/>
  <c r="C1382" i="1"/>
  <c r="C1383" i="1"/>
  <c r="C1384" i="1"/>
  <c r="K1384" i="1" s="1"/>
  <c r="C1385" i="1"/>
  <c r="C1386" i="1"/>
  <c r="C1387" i="1"/>
  <c r="C290" i="1"/>
  <c r="A290" i="1" s="1"/>
  <c r="C291" i="1"/>
  <c r="A291" i="1" s="1"/>
  <c r="C292" i="1"/>
  <c r="A292" i="1" s="1"/>
  <c r="C293" i="1"/>
  <c r="A293" i="1" s="1"/>
  <c r="C294" i="1"/>
  <c r="A294" i="1" s="1"/>
  <c r="C295" i="1"/>
  <c r="M295" i="1" s="1"/>
  <c r="C296" i="1"/>
  <c r="L296" i="1" s="1"/>
  <c r="C297" i="1"/>
  <c r="B297" i="1" s="1"/>
  <c r="C298" i="1"/>
  <c r="A298" i="1" s="1"/>
  <c r="C299" i="1"/>
  <c r="A299" i="1" s="1"/>
  <c r="C300" i="1"/>
  <c r="A300" i="1" s="1"/>
  <c r="C301" i="1"/>
  <c r="A301" i="1" s="1"/>
  <c r="C302" i="1"/>
  <c r="A302" i="1" s="1"/>
  <c r="C303" i="1"/>
  <c r="M303" i="1" s="1"/>
  <c r="C304" i="1"/>
  <c r="L304" i="1" s="1"/>
  <c r="C305" i="1"/>
  <c r="B305" i="1" s="1"/>
  <c r="C306" i="1"/>
  <c r="B306" i="1" s="1"/>
  <c r="C307" i="1"/>
  <c r="A307" i="1" s="1"/>
  <c r="C308" i="1"/>
  <c r="A308" i="1" s="1"/>
  <c r="C309" i="1"/>
  <c r="A309" i="1" s="1"/>
  <c r="C310" i="1"/>
  <c r="A310" i="1" s="1"/>
  <c r="C440" i="1"/>
  <c r="A440" i="1" s="1"/>
  <c r="C441" i="1"/>
  <c r="A441" i="1" s="1"/>
  <c r="C442" i="1"/>
  <c r="P442" i="1" s="1"/>
  <c r="C443" i="1"/>
  <c r="A443" i="1" s="1"/>
  <c r="C444" i="1"/>
  <c r="A444" i="1" s="1"/>
  <c r="C445" i="1"/>
  <c r="M445" i="1" s="1"/>
  <c r="C446" i="1"/>
  <c r="B446" i="1" s="1"/>
  <c r="C447" i="1"/>
  <c r="B447" i="1" s="1"/>
  <c r="C448" i="1"/>
  <c r="A448" i="1" s="1"/>
  <c r="C449" i="1"/>
  <c r="A449" i="1" s="1"/>
  <c r="C450" i="1"/>
  <c r="B450" i="1" s="1"/>
  <c r="C451" i="1"/>
  <c r="A451" i="1" s="1"/>
  <c r="C452" i="1"/>
  <c r="A452" i="1" s="1"/>
  <c r="C453" i="1"/>
  <c r="M453" i="1" s="1"/>
  <c r="C454" i="1"/>
  <c r="B454" i="1" s="1"/>
  <c r="C455" i="1"/>
  <c r="B455" i="1" s="1"/>
  <c r="C456" i="1"/>
  <c r="B456" i="1" s="1"/>
  <c r="C457" i="1"/>
  <c r="A457" i="1" s="1"/>
  <c r="C458" i="1"/>
  <c r="A458" i="1" s="1"/>
  <c r="C459" i="1"/>
  <c r="A459" i="1" s="1"/>
  <c r="C460" i="1"/>
  <c r="A460" i="1" s="1"/>
  <c r="C439" i="1"/>
  <c r="C416" i="1"/>
  <c r="A416" i="1" s="1"/>
  <c r="C417" i="1"/>
  <c r="A417" i="1" s="1"/>
  <c r="C418" i="1"/>
  <c r="A418" i="1" s="1"/>
  <c r="C419" i="1"/>
  <c r="A419" i="1" s="1"/>
  <c r="C420" i="1"/>
  <c r="A420" i="1" s="1"/>
  <c r="C421" i="1"/>
  <c r="A421" i="1" s="1"/>
  <c r="C422" i="1"/>
  <c r="B422" i="1" s="1"/>
  <c r="C423" i="1"/>
  <c r="A423" i="1" s="1"/>
  <c r="C424" i="1"/>
  <c r="B424" i="1" s="1"/>
  <c r="C425" i="1"/>
  <c r="B425" i="1" s="1"/>
  <c r="C426" i="1"/>
  <c r="B426" i="1" s="1"/>
  <c r="C427" i="1"/>
  <c r="A427" i="1" s="1"/>
  <c r="C428" i="1"/>
  <c r="A428" i="1" s="1"/>
  <c r="C429" i="1"/>
  <c r="A429" i="1" s="1"/>
  <c r="C430" i="1"/>
  <c r="B430" i="1" s="1"/>
  <c r="C431" i="1"/>
  <c r="A431" i="1" s="1"/>
  <c r="C432" i="1"/>
  <c r="B432" i="1" s="1"/>
  <c r="C433" i="1"/>
  <c r="B433" i="1" s="1"/>
  <c r="C434" i="1"/>
  <c r="A434" i="1" s="1"/>
  <c r="C435" i="1"/>
  <c r="A435" i="1" s="1"/>
  <c r="C436" i="1"/>
  <c r="A436" i="1" s="1"/>
  <c r="C408" i="1"/>
  <c r="A408" i="1" s="1"/>
  <c r="R410" i="1"/>
  <c r="Q410" i="1"/>
  <c r="P410" i="1"/>
  <c r="O410" i="1"/>
  <c r="N410" i="1"/>
  <c r="M410" i="1"/>
  <c r="L410" i="1"/>
  <c r="K410" i="1"/>
  <c r="J410" i="1"/>
  <c r="B410" i="1"/>
  <c r="A410" i="1"/>
  <c r="K1382" i="1" l="1"/>
  <c r="K1373" i="1"/>
  <c r="K1381" i="1"/>
  <c r="K1387" i="1"/>
  <c r="K1379" i="1"/>
  <c r="K1371" i="1"/>
  <c r="K1386" i="1"/>
  <c r="K1378" i="1"/>
  <c r="K1370" i="1"/>
  <c r="K1372" i="1"/>
  <c r="K1385" i="1"/>
  <c r="K1377" i="1"/>
  <c r="K1369" i="1"/>
  <c r="K1376" i="1"/>
  <c r="K1368" i="1"/>
  <c r="K1383" i="1"/>
  <c r="K1375" i="1"/>
  <c r="K1367" i="1"/>
  <c r="B310" i="1"/>
  <c r="A442" i="1"/>
  <c r="R446" i="1"/>
  <c r="L444" i="1"/>
  <c r="L309" i="1"/>
  <c r="N442" i="1"/>
  <c r="P297" i="1"/>
  <c r="Q296" i="1"/>
  <c r="N291" i="1"/>
  <c r="A304" i="1"/>
  <c r="R303" i="1"/>
  <c r="R295" i="1"/>
  <c r="M459" i="1"/>
  <c r="J303" i="1"/>
  <c r="J295" i="1"/>
  <c r="P305" i="1"/>
  <c r="K454" i="1"/>
  <c r="B303" i="1"/>
  <c r="A296" i="1"/>
  <c r="K310" i="1"/>
  <c r="K302" i="1"/>
  <c r="K294" i="1"/>
  <c r="Q304" i="1"/>
  <c r="M452" i="1"/>
  <c r="L301" i="1"/>
  <c r="L293" i="1"/>
  <c r="P448" i="1"/>
  <c r="B295" i="1"/>
  <c r="N307" i="1"/>
  <c r="M300" i="1"/>
  <c r="M292" i="1"/>
  <c r="O306" i="1"/>
  <c r="O298" i="1"/>
  <c r="M310" i="1"/>
  <c r="N309" i="1"/>
  <c r="O308" i="1"/>
  <c r="P307" i="1"/>
  <c r="Q306" i="1"/>
  <c r="R305" i="1"/>
  <c r="J305" i="1"/>
  <c r="K304" i="1"/>
  <c r="L303" i="1"/>
  <c r="M302" i="1"/>
  <c r="N301" i="1"/>
  <c r="O300" i="1"/>
  <c r="P299" i="1"/>
  <c r="Q298" i="1"/>
  <c r="R297" i="1"/>
  <c r="J297" i="1"/>
  <c r="K296" i="1"/>
  <c r="L295" i="1"/>
  <c r="M294" i="1"/>
  <c r="N293" i="1"/>
  <c r="O292" i="1"/>
  <c r="P291" i="1"/>
  <c r="Q290" i="1"/>
  <c r="N459" i="1"/>
  <c r="R447" i="1"/>
  <c r="B304" i="1"/>
  <c r="L310" i="1"/>
  <c r="M309" i="1"/>
  <c r="N308" i="1"/>
  <c r="O307" i="1"/>
  <c r="P306" i="1"/>
  <c r="Q305" i="1"/>
  <c r="R304" i="1"/>
  <c r="J304" i="1"/>
  <c r="K303" i="1"/>
  <c r="L302" i="1"/>
  <c r="M301" i="1"/>
  <c r="N300" i="1"/>
  <c r="O299" i="1"/>
  <c r="P298" i="1"/>
  <c r="Q297" i="1"/>
  <c r="R296" i="1"/>
  <c r="J296" i="1"/>
  <c r="K295" i="1"/>
  <c r="L294" i="1"/>
  <c r="M293" i="1"/>
  <c r="N292" i="1"/>
  <c r="O291" i="1"/>
  <c r="P290" i="1"/>
  <c r="O290" i="1"/>
  <c r="R454" i="1"/>
  <c r="K446" i="1"/>
  <c r="A295" i="1"/>
  <c r="R310" i="1"/>
  <c r="J310" i="1"/>
  <c r="K309" i="1"/>
  <c r="L308" i="1"/>
  <c r="M307" i="1"/>
  <c r="N306" i="1"/>
  <c r="O305" i="1"/>
  <c r="P304" i="1"/>
  <c r="Q303" i="1"/>
  <c r="R302" i="1"/>
  <c r="J302" i="1"/>
  <c r="K301" i="1"/>
  <c r="L300" i="1"/>
  <c r="M299" i="1"/>
  <c r="N298" i="1"/>
  <c r="O297" i="1"/>
  <c r="P296" i="1"/>
  <c r="Q295" i="1"/>
  <c r="R294" i="1"/>
  <c r="J294" i="1"/>
  <c r="K293" i="1"/>
  <c r="L292" i="1"/>
  <c r="M291" i="1"/>
  <c r="N290" i="1"/>
  <c r="N299" i="1"/>
  <c r="Q310" i="1"/>
  <c r="R309" i="1"/>
  <c r="J309" i="1"/>
  <c r="K308" i="1"/>
  <c r="L307" i="1"/>
  <c r="M306" i="1"/>
  <c r="N305" i="1"/>
  <c r="O304" i="1"/>
  <c r="P303" i="1"/>
  <c r="Q302" i="1"/>
  <c r="R301" i="1"/>
  <c r="J301" i="1"/>
  <c r="K300" i="1"/>
  <c r="L299" i="1"/>
  <c r="M298" i="1"/>
  <c r="N297" i="1"/>
  <c r="O296" i="1"/>
  <c r="P295" i="1"/>
  <c r="Q294" i="1"/>
  <c r="R293" i="1"/>
  <c r="J293" i="1"/>
  <c r="K292" i="1"/>
  <c r="L291" i="1"/>
  <c r="M290" i="1"/>
  <c r="M308" i="1"/>
  <c r="K453" i="1"/>
  <c r="N443" i="1"/>
  <c r="A306" i="1"/>
  <c r="A303" i="1"/>
  <c r="A297" i="1"/>
  <c r="B294" i="1"/>
  <c r="P310" i="1"/>
  <c r="Q309" i="1"/>
  <c r="R308" i="1"/>
  <c r="J308" i="1"/>
  <c r="K307" i="1"/>
  <c r="L306" i="1"/>
  <c r="M305" i="1"/>
  <c r="N304" i="1"/>
  <c r="O303" i="1"/>
  <c r="P302" i="1"/>
  <c r="Q301" i="1"/>
  <c r="R300" i="1"/>
  <c r="J300" i="1"/>
  <c r="K299" i="1"/>
  <c r="L298" i="1"/>
  <c r="M297" i="1"/>
  <c r="N296" i="1"/>
  <c r="O295" i="1"/>
  <c r="P294" i="1"/>
  <c r="Q293" i="1"/>
  <c r="R292" i="1"/>
  <c r="J292" i="1"/>
  <c r="K291" i="1"/>
  <c r="L290" i="1"/>
  <c r="O310" i="1"/>
  <c r="P309" i="1"/>
  <c r="Q308" i="1"/>
  <c r="R307" i="1"/>
  <c r="J307" i="1"/>
  <c r="K306" i="1"/>
  <c r="L305" i="1"/>
  <c r="M304" i="1"/>
  <c r="N303" i="1"/>
  <c r="O302" i="1"/>
  <c r="P301" i="1"/>
  <c r="Q300" i="1"/>
  <c r="R299" i="1"/>
  <c r="J299" i="1"/>
  <c r="K298" i="1"/>
  <c r="L297" i="1"/>
  <c r="M296" i="1"/>
  <c r="N295" i="1"/>
  <c r="O294" i="1"/>
  <c r="P293" i="1"/>
  <c r="Q292" i="1"/>
  <c r="R291" i="1"/>
  <c r="J291" i="1"/>
  <c r="K290" i="1"/>
  <c r="N450" i="1"/>
  <c r="A305" i="1"/>
  <c r="B302" i="1"/>
  <c r="B296" i="1"/>
  <c r="B293" i="1"/>
  <c r="N310" i="1"/>
  <c r="O309" i="1"/>
  <c r="P308" i="1"/>
  <c r="Q307" i="1"/>
  <c r="R306" i="1"/>
  <c r="J306" i="1"/>
  <c r="K305" i="1"/>
  <c r="N302" i="1"/>
  <c r="O301" i="1"/>
  <c r="P300" i="1"/>
  <c r="Q299" i="1"/>
  <c r="R298" i="1"/>
  <c r="J298" i="1"/>
  <c r="K297" i="1"/>
  <c r="N294" i="1"/>
  <c r="O293" i="1"/>
  <c r="P292" i="1"/>
  <c r="Q291" i="1"/>
  <c r="R290" i="1"/>
  <c r="J290" i="1"/>
  <c r="B292" i="1"/>
  <c r="B308" i="1"/>
  <c r="B300" i="1"/>
  <c r="B307" i="1"/>
  <c r="B299" i="1"/>
  <c r="B291" i="1"/>
  <c r="B309" i="1"/>
  <c r="B301" i="1"/>
  <c r="B298" i="1"/>
  <c r="B290" i="1"/>
  <c r="R455" i="1"/>
  <c r="L452" i="1"/>
  <c r="Q447" i="1"/>
  <c r="M443" i="1"/>
  <c r="P457" i="1"/>
  <c r="P431" i="1"/>
  <c r="M460" i="1"/>
  <c r="J455" i="1"/>
  <c r="J447" i="1"/>
  <c r="P449" i="1"/>
  <c r="P441" i="1"/>
  <c r="J454" i="1"/>
  <c r="J446" i="1"/>
  <c r="Q440" i="1"/>
  <c r="N458" i="1"/>
  <c r="L453" i="1"/>
  <c r="Q448" i="1"/>
  <c r="M444" i="1"/>
  <c r="P440" i="1"/>
  <c r="L460" i="1"/>
  <c r="A445" i="1"/>
  <c r="K460" i="1"/>
  <c r="L459" i="1"/>
  <c r="M458" i="1"/>
  <c r="N457" i="1"/>
  <c r="P455" i="1"/>
  <c r="Q454" i="1"/>
  <c r="R453" i="1"/>
  <c r="J453" i="1"/>
  <c r="K452" i="1"/>
  <c r="L451" i="1"/>
  <c r="M450" i="1"/>
  <c r="N449" i="1"/>
  <c r="P447" i="1"/>
  <c r="Q446" i="1"/>
  <c r="R445" i="1"/>
  <c r="J445" i="1"/>
  <c r="K444" i="1"/>
  <c r="L443" i="1"/>
  <c r="M442" i="1"/>
  <c r="N441" i="1"/>
  <c r="A454" i="1"/>
  <c r="R460" i="1"/>
  <c r="J460" i="1"/>
  <c r="K459" i="1"/>
  <c r="L458" i="1"/>
  <c r="M457" i="1"/>
  <c r="N456" i="1"/>
  <c r="P454" i="1"/>
  <c r="Q453" i="1"/>
  <c r="R452" i="1"/>
  <c r="J452" i="1"/>
  <c r="K451" i="1"/>
  <c r="L450" i="1"/>
  <c r="M449" i="1"/>
  <c r="N448" i="1"/>
  <c r="P446" i="1"/>
  <c r="Q445" i="1"/>
  <c r="R444" i="1"/>
  <c r="J444" i="1"/>
  <c r="K443" i="1"/>
  <c r="L442" i="1"/>
  <c r="M441" i="1"/>
  <c r="N440" i="1"/>
  <c r="N451" i="1"/>
  <c r="L445" i="1"/>
  <c r="Q460" i="1"/>
  <c r="R459" i="1"/>
  <c r="J459" i="1"/>
  <c r="K458" i="1"/>
  <c r="L457" i="1"/>
  <c r="M456" i="1"/>
  <c r="N455" i="1"/>
  <c r="P453" i="1"/>
  <c r="Q452" i="1"/>
  <c r="R451" i="1"/>
  <c r="J451" i="1"/>
  <c r="K450" i="1"/>
  <c r="L449" i="1"/>
  <c r="M448" i="1"/>
  <c r="N447" i="1"/>
  <c r="P445" i="1"/>
  <c r="Q444" i="1"/>
  <c r="R443" i="1"/>
  <c r="J443" i="1"/>
  <c r="K442" i="1"/>
  <c r="L441" i="1"/>
  <c r="M440" i="1"/>
  <c r="P456" i="1"/>
  <c r="Q455" i="1"/>
  <c r="M451" i="1"/>
  <c r="A433" i="1"/>
  <c r="B418" i="1"/>
  <c r="B459" i="1"/>
  <c r="B453" i="1"/>
  <c r="B443" i="1"/>
  <c r="P460" i="1"/>
  <c r="Q459" i="1"/>
  <c r="R458" i="1"/>
  <c r="J458" i="1"/>
  <c r="K457" i="1"/>
  <c r="L456" i="1"/>
  <c r="M455" i="1"/>
  <c r="N454" i="1"/>
  <c r="P452" i="1"/>
  <c r="Q451" i="1"/>
  <c r="R450" i="1"/>
  <c r="J450" i="1"/>
  <c r="K449" i="1"/>
  <c r="L448" i="1"/>
  <c r="M447" i="1"/>
  <c r="N446" i="1"/>
  <c r="P444" i="1"/>
  <c r="Q443" i="1"/>
  <c r="R442" i="1"/>
  <c r="J442" i="1"/>
  <c r="K441" i="1"/>
  <c r="L440" i="1"/>
  <c r="Q456" i="1"/>
  <c r="A453" i="1"/>
  <c r="P459" i="1"/>
  <c r="Q458" i="1"/>
  <c r="R457" i="1"/>
  <c r="J457" i="1"/>
  <c r="K456" i="1"/>
  <c r="L455" i="1"/>
  <c r="M454" i="1"/>
  <c r="N453" i="1"/>
  <c r="P451" i="1"/>
  <c r="Q450" i="1"/>
  <c r="R449" i="1"/>
  <c r="J449" i="1"/>
  <c r="K448" i="1"/>
  <c r="L447" i="1"/>
  <c r="M446" i="1"/>
  <c r="N445" i="1"/>
  <c r="P443" i="1"/>
  <c r="Q442" i="1"/>
  <c r="R441" i="1"/>
  <c r="J441" i="1"/>
  <c r="K440" i="1"/>
  <c r="B451" i="1"/>
  <c r="B445" i="1"/>
  <c r="K445" i="1"/>
  <c r="A446" i="1"/>
  <c r="B442" i="1"/>
  <c r="N460" i="1"/>
  <c r="P458" i="1"/>
  <c r="Q457" i="1"/>
  <c r="R456" i="1"/>
  <c r="J456" i="1"/>
  <c r="K455" i="1"/>
  <c r="L454" i="1"/>
  <c r="N452" i="1"/>
  <c r="P450" i="1"/>
  <c r="Q449" i="1"/>
  <c r="R448" i="1"/>
  <c r="J448" i="1"/>
  <c r="K447" i="1"/>
  <c r="L446" i="1"/>
  <c r="N444" i="1"/>
  <c r="Q441" i="1"/>
  <c r="R440" i="1"/>
  <c r="J440" i="1"/>
  <c r="A456" i="1"/>
  <c r="B460" i="1"/>
  <c r="A455" i="1"/>
  <c r="B452" i="1"/>
  <c r="A447" i="1"/>
  <c r="B444" i="1"/>
  <c r="A450" i="1"/>
  <c r="B457" i="1"/>
  <c r="B449" i="1"/>
  <c r="B441" i="1"/>
  <c r="B458" i="1"/>
  <c r="B448" i="1"/>
  <c r="B440" i="1"/>
  <c r="N408" i="1"/>
  <c r="M408" i="1"/>
  <c r="L408" i="1"/>
  <c r="A422" i="1"/>
  <c r="J408" i="1"/>
  <c r="R408" i="1"/>
  <c r="A430" i="1"/>
  <c r="A425" i="1"/>
  <c r="B421" i="1"/>
  <c r="K436" i="1"/>
  <c r="Q408" i="1"/>
  <c r="L435" i="1"/>
  <c r="P408" i="1"/>
  <c r="B429" i="1"/>
  <c r="A424" i="1"/>
  <c r="N433" i="1"/>
  <c r="O408" i="1"/>
  <c r="O432" i="1"/>
  <c r="Q416" i="1"/>
  <c r="R436" i="1"/>
  <c r="J436" i="1"/>
  <c r="K435" i="1"/>
  <c r="L434" i="1"/>
  <c r="M433" i="1"/>
  <c r="N432" i="1"/>
  <c r="O431" i="1"/>
  <c r="P416" i="1"/>
  <c r="M434" i="1"/>
  <c r="Q436" i="1"/>
  <c r="R435" i="1"/>
  <c r="J435" i="1"/>
  <c r="K434" i="1"/>
  <c r="L433" i="1"/>
  <c r="M432" i="1"/>
  <c r="N431" i="1"/>
  <c r="O416" i="1"/>
  <c r="P436" i="1"/>
  <c r="Q435" i="1"/>
  <c r="R434" i="1"/>
  <c r="J434" i="1"/>
  <c r="K433" i="1"/>
  <c r="L432" i="1"/>
  <c r="M431" i="1"/>
  <c r="N416" i="1"/>
  <c r="K408" i="1"/>
  <c r="A432" i="1"/>
  <c r="O436" i="1"/>
  <c r="P435" i="1"/>
  <c r="Q434" i="1"/>
  <c r="R433" i="1"/>
  <c r="J433" i="1"/>
  <c r="K432" i="1"/>
  <c r="L431" i="1"/>
  <c r="M416" i="1"/>
  <c r="N436" i="1"/>
  <c r="O435" i="1"/>
  <c r="P434" i="1"/>
  <c r="Q433" i="1"/>
  <c r="R432" i="1"/>
  <c r="J432" i="1"/>
  <c r="K431" i="1"/>
  <c r="L416" i="1"/>
  <c r="M436" i="1"/>
  <c r="N435" i="1"/>
  <c r="O434" i="1"/>
  <c r="P433" i="1"/>
  <c r="Q432" i="1"/>
  <c r="R431" i="1"/>
  <c r="J431" i="1"/>
  <c r="K416" i="1"/>
  <c r="L436" i="1"/>
  <c r="M435" i="1"/>
  <c r="N434" i="1"/>
  <c r="O433" i="1"/>
  <c r="P432" i="1"/>
  <c r="Q431" i="1"/>
  <c r="R416" i="1"/>
  <c r="J416" i="1"/>
  <c r="B434" i="1"/>
  <c r="B431" i="1"/>
  <c r="A426" i="1"/>
  <c r="B423" i="1"/>
  <c r="B436" i="1"/>
  <c r="B420" i="1"/>
  <c r="B428" i="1"/>
  <c r="B417" i="1"/>
  <c r="B435" i="1"/>
  <c r="B419" i="1"/>
  <c r="B427" i="1"/>
  <c r="B416" i="1"/>
  <c r="B408" i="1"/>
  <c r="C388" i="1" l="1"/>
  <c r="J388" i="1" s="1"/>
  <c r="C389" i="1"/>
  <c r="Q389" i="1" s="1"/>
  <c r="C390" i="1"/>
  <c r="P390" i="1" s="1"/>
  <c r="C391" i="1"/>
  <c r="O391" i="1" s="1"/>
  <c r="C392" i="1"/>
  <c r="N392" i="1" s="1"/>
  <c r="C393" i="1"/>
  <c r="M393" i="1" s="1"/>
  <c r="C394" i="1"/>
  <c r="L394" i="1" s="1"/>
  <c r="C395" i="1"/>
  <c r="K395" i="1" s="1"/>
  <c r="C396" i="1"/>
  <c r="J396" i="1" s="1"/>
  <c r="C397" i="1"/>
  <c r="Q397" i="1" s="1"/>
  <c r="C398" i="1"/>
  <c r="P398" i="1" s="1"/>
  <c r="C399" i="1"/>
  <c r="O399" i="1" s="1"/>
  <c r="C400" i="1"/>
  <c r="N400" i="1" s="1"/>
  <c r="C401" i="1"/>
  <c r="M401" i="1" s="1"/>
  <c r="C402" i="1"/>
  <c r="L402" i="1" s="1"/>
  <c r="C403" i="1"/>
  <c r="K403" i="1" s="1"/>
  <c r="C404" i="1"/>
  <c r="J404" i="1" s="1"/>
  <c r="C405" i="1"/>
  <c r="Q405" i="1" s="1"/>
  <c r="C406" i="1"/>
  <c r="P406" i="1" s="1"/>
  <c r="C407" i="1"/>
  <c r="O407" i="1" s="1"/>
  <c r="C387" i="1"/>
  <c r="K386" i="1"/>
  <c r="M418" i="1"/>
  <c r="Q423" i="1"/>
  <c r="N427" i="1"/>
  <c r="M428" i="1"/>
  <c r="K418" i="1"/>
  <c r="P418" i="1"/>
  <c r="Q418" i="1"/>
  <c r="M424" i="1"/>
  <c r="N424" i="1"/>
  <c r="O424" i="1"/>
  <c r="P424" i="1"/>
  <c r="M426" i="1"/>
  <c r="J385" i="1"/>
  <c r="K385" i="1"/>
  <c r="L385" i="1"/>
  <c r="M385" i="1"/>
  <c r="N385" i="1"/>
  <c r="O385" i="1"/>
  <c r="P385" i="1"/>
  <c r="Q385" i="1"/>
  <c r="R385" i="1"/>
  <c r="C363" i="1"/>
  <c r="A363" i="1" s="1"/>
  <c r="C364" i="1"/>
  <c r="A364" i="1" s="1"/>
  <c r="C365" i="1"/>
  <c r="P365" i="1" s="1"/>
  <c r="C366" i="1"/>
  <c r="A366" i="1" s="1"/>
  <c r="C367" i="1"/>
  <c r="A367" i="1" s="1"/>
  <c r="C368" i="1"/>
  <c r="M368" i="1" s="1"/>
  <c r="C369" i="1"/>
  <c r="L369" i="1" s="1"/>
  <c r="C370" i="1"/>
  <c r="A370" i="1" s="1"/>
  <c r="C371" i="1"/>
  <c r="A371" i="1" s="1"/>
  <c r="C372" i="1"/>
  <c r="B372" i="1" s="1"/>
  <c r="C373" i="1"/>
  <c r="A373" i="1" s="1"/>
  <c r="C374" i="1"/>
  <c r="A374" i="1" s="1"/>
  <c r="C375" i="1"/>
  <c r="A375" i="1" s="1"/>
  <c r="C376" i="1"/>
  <c r="M376" i="1" s="1"/>
  <c r="C377" i="1"/>
  <c r="L377" i="1" s="1"/>
  <c r="C378" i="1"/>
  <c r="A378" i="1" s="1"/>
  <c r="C379" i="1"/>
  <c r="B379" i="1" s="1"/>
  <c r="C380" i="1"/>
  <c r="B380" i="1" s="1"/>
  <c r="C381" i="1"/>
  <c r="A381" i="1" s="1"/>
  <c r="C382" i="1"/>
  <c r="A382" i="1" s="1"/>
  <c r="C383" i="1"/>
  <c r="A383" i="1" s="1"/>
  <c r="C339" i="1"/>
  <c r="B339" i="1" s="1"/>
  <c r="C354" i="1"/>
  <c r="A354" i="1" s="1"/>
  <c r="C355" i="1"/>
  <c r="A355" i="1" s="1"/>
  <c r="C356" i="1"/>
  <c r="A356" i="1" s="1"/>
  <c r="C357" i="1"/>
  <c r="P357" i="1" s="1"/>
  <c r="C358" i="1"/>
  <c r="O358" i="1" s="1"/>
  <c r="C359" i="1"/>
  <c r="A359" i="1" s="1"/>
  <c r="J314" i="1"/>
  <c r="K314" i="1"/>
  <c r="L314" i="1"/>
  <c r="M314" i="1"/>
  <c r="N314" i="1"/>
  <c r="O314" i="1"/>
  <c r="P314" i="1"/>
  <c r="Q314" i="1"/>
  <c r="R314" i="1"/>
  <c r="C330" i="1"/>
  <c r="B330" i="1" s="1"/>
  <c r="C331" i="1"/>
  <c r="A331" i="1" s="1"/>
  <c r="C332" i="1"/>
  <c r="B332" i="1" s="1"/>
  <c r="C333" i="1"/>
  <c r="A333" i="1" s="1"/>
  <c r="C334" i="1"/>
  <c r="B334" i="1" s="1"/>
  <c r="C335" i="1"/>
  <c r="L335" i="1" s="1"/>
  <c r="A314" i="1"/>
  <c r="B314" i="1"/>
  <c r="J287" i="1"/>
  <c r="K287" i="1"/>
  <c r="L287" i="1"/>
  <c r="M287" i="1"/>
  <c r="N287" i="1"/>
  <c r="O287" i="1"/>
  <c r="P287" i="1"/>
  <c r="Q287" i="1"/>
  <c r="R287" i="1"/>
  <c r="C280" i="1"/>
  <c r="K280" i="1" s="1"/>
  <c r="C281" i="1"/>
  <c r="A281" i="1" s="1"/>
  <c r="C282" i="1"/>
  <c r="B282" i="1" s="1"/>
  <c r="C283" i="1"/>
  <c r="P283" i="1" s="1"/>
  <c r="C284" i="1"/>
  <c r="A284" i="1" s="1"/>
  <c r="C285" i="1"/>
  <c r="B285" i="1" s="1"/>
  <c r="C265" i="1"/>
  <c r="B265" i="1" s="1"/>
  <c r="C238" i="1"/>
  <c r="C253" i="1"/>
  <c r="B253" i="1" s="1"/>
  <c r="C254" i="1"/>
  <c r="B254" i="1" s="1"/>
  <c r="C255" i="1"/>
  <c r="A255" i="1" s="1"/>
  <c r="C256" i="1"/>
  <c r="A256" i="1" s="1"/>
  <c r="C257" i="1"/>
  <c r="A257" i="1" s="1"/>
  <c r="C258" i="1"/>
  <c r="A258" i="1" s="1"/>
  <c r="A238" i="1" l="1"/>
  <c r="L238" i="1"/>
  <c r="M238" i="1"/>
  <c r="N238" i="1"/>
  <c r="O238" i="1"/>
  <c r="P238" i="1"/>
  <c r="Q238" i="1"/>
  <c r="J238" i="1"/>
  <c r="R238" i="1"/>
  <c r="K238" i="1"/>
  <c r="A405" i="1"/>
  <c r="O396" i="1"/>
  <c r="A397" i="1"/>
  <c r="L392" i="1"/>
  <c r="B393" i="1"/>
  <c r="O390" i="1"/>
  <c r="O406" i="1"/>
  <c r="O405" i="1"/>
  <c r="P403" i="1"/>
  <c r="K401" i="1"/>
  <c r="M400" i="1"/>
  <c r="Q396" i="1"/>
  <c r="Q394" i="1"/>
  <c r="B405" i="1"/>
  <c r="B396" i="1"/>
  <c r="P405" i="1"/>
  <c r="J403" i="1"/>
  <c r="J401" i="1"/>
  <c r="P396" i="1"/>
  <c r="K394" i="1"/>
  <c r="K392" i="1"/>
  <c r="B404" i="1"/>
  <c r="A393" i="1"/>
  <c r="Q404" i="1"/>
  <c r="Q402" i="1"/>
  <c r="L400" i="1"/>
  <c r="R395" i="1"/>
  <c r="R393" i="1"/>
  <c r="P389" i="1"/>
  <c r="R402" i="1"/>
  <c r="J394" i="1"/>
  <c r="B401" i="1"/>
  <c r="B392" i="1"/>
  <c r="P404" i="1"/>
  <c r="K402" i="1"/>
  <c r="K400" i="1"/>
  <c r="Q395" i="1"/>
  <c r="L393" i="1"/>
  <c r="O389" i="1"/>
  <c r="A401" i="1"/>
  <c r="B389" i="1"/>
  <c r="O404" i="1"/>
  <c r="J402" i="1"/>
  <c r="O398" i="1"/>
  <c r="P395" i="1"/>
  <c r="K393" i="1"/>
  <c r="Q388" i="1"/>
  <c r="B400" i="1"/>
  <c r="A389" i="1"/>
  <c r="R403" i="1"/>
  <c r="R401" i="1"/>
  <c r="P397" i="1"/>
  <c r="J395" i="1"/>
  <c r="J393" i="1"/>
  <c r="P388" i="1"/>
  <c r="B397" i="1"/>
  <c r="B388" i="1"/>
  <c r="Q403" i="1"/>
  <c r="L401" i="1"/>
  <c r="O397" i="1"/>
  <c r="R394" i="1"/>
  <c r="M392" i="1"/>
  <c r="O388" i="1"/>
  <c r="N407" i="1"/>
  <c r="N406" i="1"/>
  <c r="N399" i="1"/>
  <c r="N390" i="1"/>
  <c r="L407" i="1"/>
  <c r="M406" i="1"/>
  <c r="N405" i="1"/>
  <c r="L399" i="1"/>
  <c r="N397" i="1"/>
  <c r="L391" i="1"/>
  <c r="P429" i="1"/>
  <c r="K421" i="1"/>
  <c r="A404" i="1"/>
  <c r="A400" i="1"/>
  <c r="A396" i="1"/>
  <c r="A392" i="1"/>
  <c r="A388" i="1"/>
  <c r="K407" i="1"/>
  <c r="L406" i="1"/>
  <c r="M405" i="1"/>
  <c r="N404" i="1"/>
  <c r="O403" i="1"/>
  <c r="P402" i="1"/>
  <c r="Q401" i="1"/>
  <c r="R400" i="1"/>
  <c r="J400" i="1"/>
  <c r="K399" i="1"/>
  <c r="L398" i="1"/>
  <c r="M397" i="1"/>
  <c r="N396" i="1"/>
  <c r="O395" i="1"/>
  <c r="P394" i="1"/>
  <c r="Q393" i="1"/>
  <c r="R392" i="1"/>
  <c r="J392" i="1"/>
  <c r="K391" i="1"/>
  <c r="L390" i="1"/>
  <c r="M389" i="1"/>
  <c r="N388" i="1"/>
  <c r="M391" i="1"/>
  <c r="K429" i="1"/>
  <c r="J421" i="1"/>
  <c r="B407" i="1"/>
  <c r="B403" i="1"/>
  <c r="B399" i="1"/>
  <c r="B395" i="1"/>
  <c r="B391" i="1"/>
  <c r="R407" i="1"/>
  <c r="J407" i="1"/>
  <c r="K406" i="1"/>
  <c r="L405" i="1"/>
  <c r="M404" i="1"/>
  <c r="N403" i="1"/>
  <c r="O402" i="1"/>
  <c r="P401" i="1"/>
  <c r="Q400" i="1"/>
  <c r="R399" i="1"/>
  <c r="J399" i="1"/>
  <c r="K398" i="1"/>
  <c r="L397" i="1"/>
  <c r="M396" i="1"/>
  <c r="N395" i="1"/>
  <c r="O394" i="1"/>
  <c r="P393" i="1"/>
  <c r="Q392" i="1"/>
  <c r="R391" i="1"/>
  <c r="J391" i="1"/>
  <c r="K390" i="1"/>
  <c r="L389" i="1"/>
  <c r="M388" i="1"/>
  <c r="N391" i="1"/>
  <c r="M390" i="1"/>
  <c r="N389" i="1"/>
  <c r="A407" i="1"/>
  <c r="A403" i="1"/>
  <c r="A399" i="1"/>
  <c r="A395" i="1"/>
  <c r="A391" i="1"/>
  <c r="Q407" i="1"/>
  <c r="R406" i="1"/>
  <c r="J406" i="1"/>
  <c r="K405" i="1"/>
  <c r="L404" i="1"/>
  <c r="M403" i="1"/>
  <c r="N402" i="1"/>
  <c r="O401" i="1"/>
  <c r="P400" i="1"/>
  <c r="Q399" i="1"/>
  <c r="R398" i="1"/>
  <c r="J398" i="1"/>
  <c r="K397" i="1"/>
  <c r="L396" i="1"/>
  <c r="M395" i="1"/>
  <c r="N394" i="1"/>
  <c r="O393" i="1"/>
  <c r="P392" i="1"/>
  <c r="Q391" i="1"/>
  <c r="R390" i="1"/>
  <c r="J390" i="1"/>
  <c r="K389" i="1"/>
  <c r="L388" i="1"/>
  <c r="M399" i="1"/>
  <c r="N398" i="1"/>
  <c r="N421" i="1"/>
  <c r="M398" i="1"/>
  <c r="B406" i="1"/>
  <c r="B402" i="1"/>
  <c r="B398" i="1"/>
  <c r="B394" i="1"/>
  <c r="B390" i="1"/>
  <c r="P407" i="1"/>
  <c r="Q406" i="1"/>
  <c r="R405" i="1"/>
  <c r="J405" i="1"/>
  <c r="K404" i="1"/>
  <c r="L403" i="1"/>
  <c r="M402" i="1"/>
  <c r="N401" i="1"/>
  <c r="O400" i="1"/>
  <c r="P399" i="1"/>
  <c r="Q398" i="1"/>
  <c r="R397" i="1"/>
  <c r="J397" i="1"/>
  <c r="K396" i="1"/>
  <c r="L395" i="1"/>
  <c r="M394" i="1"/>
  <c r="N393" i="1"/>
  <c r="O392" i="1"/>
  <c r="P391" i="1"/>
  <c r="Q390" i="1"/>
  <c r="R389" i="1"/>
  <c r="J389" i="1"/>
  <c r="K388" i="1"/>
  <c r="M407" i="1"/>
  <c r="A406" i="1"/>
  <c r="A402" i="1"/>
  <c r="A398" i="1"/>
  <c r="A394" i="1"/>
  <c r="A390" i="1"/>
  <c r="R404" i="1"/>
  <c r="R396" i="1"/>
  <c r="R388" i="1"/>
  <c r="M427" i="1"/>
  <c r="P426" i="1"/>
  <c r="O418" i="1"/>
  <c r="N426" i="1"/>
  <c r="N418" i="1"/>
  <c r="L426" i="1"/>
  <c r="K426" i="1"/>
  <c r="P419" i="1"/>
  <c r="O419" i="1"/>
  <c r="L425" i="1"/>
  <c r="R420" i="1"/>
  <c r="Q428" i="1"/>
  <c r="L420" i="1"/>
  <c r="J420" i="1"/>
  <c r="Q417" i="1"/>
  <c r="Q386" i="1"/>
  <c r="N425" i="1"/>
  <c r="P421" i="1"/>
  <c r="R417" i="1"/>
  <c r="R386" i="1"/>
  <c r="J386" i="1"/>
  <c r="R429" i="1"/>
  <c r="K425" i="1"/>
  <c r="M421" i="1"/>
  <c r="O417" i="1"/>
  <c r="P386" i="1"/>
  <c r="B386" i="1"/>
  <c r="Q429" i="1"/>
  <c r="L421" i="1"/>
  <c r="J417" i="1"/>
  <c r="O386" i="1"/>
  <c r="A386" i="1"/>
  <c r="N386" i="1"/>
  <c r="M386" i="1"/>
  <c r="J429" i="1"/>
  <c r="Q425" i="1"/>
  <c r="L386" i="1"/>
  <c r="O425" i="1"/>
  <c r="R421" i="1"/>
  <c r="R430" i="1"/>
  <c r="R428" i="1"/>
  <c r="M425" i="1"/>
  <c r="P423" i="1"/>
  <c r="Q419" i="1"/>
  <c r="R422" i="1"/>
  <c r="J430" i="1"/>
  <c r="L428" i="1"/>
  <c r="Q420" i="1"/>
  <c r="K428" i="1"/>
  <c r="R425" i="1"/>
  <c r="J425" i="1"/>
  <c r="P420" i="1"/>
  <c r="M419" i="1"/>
  <c r="P417" i="1"/>
  <c r="Q430" i="1"/>
  <c r="J428" i="1"/>
  <c r="O420" i="1"/>
  <c r="P425" i="1"/>
  <c r="N420" i="1"/>
  <c r="L417" i="1"/>
  <c r="P430" i="1"/>
  <c r="O423" i="1"/>
  <c r="N423" i="1"/>
  <c r="N430" i="1"/>
  <c r="O429" i="1"/>
  <c r="P428" i="1"/>
  <c r="R426" i="1"/>
  <c r="J426" i="1"/>
  <c r="L424" i="1"/>
  <c r="M423" i="1"/>
  <c r="K419" i="1"/>
  <c r="M430" i="1"/>
  <c r="N429" i="1"/>
  <c r="O428" i="1"/>
  <c r="Q426" i="1"/>
  <c r="K424" i="1"/>
  <c r="L423" i="1"/>
  <c r="J419" i="1"/>
  <c r="O430" i="1"/>
  <c r="L430" i="1"/>
  <c r="M429" i="1"/>
  <c r="N428" i="1"/>
  <c r="R424" i="1"/>
  <c r="K423" i="1"/>
  <c r="J424" i="1"/>
  <c r="K430" i="1"/>
  <c r="L429" i="1"/>
  <c r="O426" i="1"/>
  <c r="Q424" i="1"/>
  <c r="R423" i="1"/>
  <c r="J423" i="1"/>
  <c r="R419" i="1"/>
  <c r="M420" i="1"/>
  <c r="N419" i="1"/>
  <c r="K420" i="1"/>
  <c r="L419" i="1"/>
  <c r="L427" i="1"/>
  <c r="Q422" i="1"/>
  <c r="K427" i="1"/>
  <c r="P422" i="1"/>
  <c r="R427" i="1"/>
  <c r="J427" i="1"/>
  <c r="O422" i="1"/>
  <c r="Q427" i="1"/>
  <c r="M422" i="1"/>
  <c r="P427" i="1"/>
  <c r="L422" i="1"/>
  <c r="O427" i="1"/>
  <c r="K422" i="1"/>
  <c r="J422" i="1"/>
  <c r="Q421" i="1"/>
  <c r="L418" i="1"/>
  <c r="M417" i="1"/>
  <c r="N422" i="1"/>
  <c r="O421" i="1"/>
  <c r="R418" i="1"/>
  <c r="J418" i="1"/>
  <c r="K417" i="1"/>
  <c r="N417" i="1"/>
  <c r="Q379" i="1"/>
  <c r="A330" i="1"/>
  <c r="B369" i="1"/>
  <c r="M383" i="1"/>
  <c r="P379" i="1"/>
  <c r="L376" i="1"/>
  <c r="P371" i="1"/>
  <c r="M367" i="1"/>
  <c r="L367" i="1"/>
  <c r="B381" i="1"/>
  <c r="B368" i="1"/>
  <c r="M375" i="1"/>
  <c r="R370" i="1"/>
  <c r="A368" i="1"/>
  <c r="L383" i="1"/>
  <c r="R378" i="1"/>
  <c r="L375" i="1"/>
  <c r="Q370" i="1"/>
  <c r="N382" i="1"/>
  <c r="Q378" i="1"/>
  <c r="N374" i="1"/>
  <c r="J370" i="1"/>
  <c r="N366" i="1"/>
  <c r="M382" i="1"/>
  <c r="J378" i="1"/>
  <c r="M374" i="1"/>
  <c r="R369" i="1"/>
  <c r="M366" i="1"/>
  <c r="O381" i="1"/>
  <c r="R377" i="1"/>
  <c r="O373" i="1"/>
  <c r="K369" i="1"/>
  <c r="O365" i="1"/>
  <c r="K368" i="1"/>
  <c r="A377" i="1"/>
  <c r="N381" i="1"/>
  <c r="K377" i="1"/>
  <c r="N373" i="1"/>
  <c r="J369" i="1"/>
  <c r="N365" i="1"/>
  <c r="P380" i="1"/>
  <c r="J377" i="1"/>
  <c r="Q371" i="1"/>
  <c r="L368" i="1"/>
  <c r="Q363" i="1"/>
  <c r="K376" i="1"/>
  <c r="P363" i="1"/>
  <c r="A380" i="1"/>
  <c r="B376" i="1"/>
  <c r="K383" i="1"/>
  <c r="L382" i="1"/>
  <c r="M381" i="1"/>
  <c r="N380" i="1"/>
  <c r="O379" i="1"/>
  <c r="P378" i="1"/>
  <c r="Q377" i="1"/>
  <c r="R376" i="1"/>
  <c r="J376" i="1"/>
  <c r="K375" i="1"/>
  <c r="L374" i="1"/>
  <c r="M373" i="1"/>
  <c r="N372" i="1"/>
  <c r="O371" i="1"/>
  <c r="P370" i="1"/>
  <c r="Q369" i="1"/>
  <c r="R368" i="1"/>
  <c r="J368" i="1"/>
  <c r="K367" i="1"/>
  <c r="L366" i="1"/>
  <c r="M365" i="1"/>
  <c r="N364" i="1"/>
  <c r="O363" i="1"/>
  <c r="P364" i="1"/>
  <c r="O372" i="1"/>
  <c r="O364" i="1"/>
  <c r="A376" i="1"/>
  <c r="R383" i="1"/>
  <c r="J383" i="1"/>
  <c r="K382" i="1"/>
  <c r="L381" i="1"/>
  <c r="M380" i="1"/>
  <c r="N379" i="1"/>
  <c r="O378" i="1"/>
  <c r="P377" i="1"/>
  <c r="Q376" i="1"/>
  <c r="R375" i="1"/>
  <c r="J375" i="1"/>
  <c r="K374" i="1"/>
  <c r="L373" i="1"/>
  <c r="M372" i="1"/>
  <c r="N371" i="1"/>
  <c r="O370" i="1"/>
  <c r="P369" i="1"/>
  <c r="Q368" i="1"/>
  <c r="R367" i="1"/>
  <c r="J367" i="1"/>
  <c r="K366" i="1"/>
  <c r="L365" i="1"/>
  <c r="M364" i="1"/>
  <c r="N363" i="1"/>
  <c r="A379" i="1"/>
  <c r="B366" i="1"/>
  <c r="Q383" i="1"/>
  <c r="R382" i="1"/>
  <c r="J382" i="1"/>
  <c r="K381" i="1"/>
  <c r="L380" i="1"/>
  <c r="M379" i="1"/>
  <c r="N378" i="1"/>
  <c r="O377" i="1"/>
  <c r="P376" i="1"/>
  <c r="Q375" i="1"/>
  <c r="R374" i="1"/>
  <c r="J374" i="1"/>
  <c r="K373" i="1"/>
  <c r="L372" i="1"/>
  <c r="M371" i="1"/>
  <c r="N370" i="1"/>
  <c r="O369" i="1"/>
  <c r="P368" i="1"/>
  <c r="Q367" i="1"/>
  <c r="R366" i="1"/>
  <c r="J366" i="1"/>
  <c r="K365" i="1"/>
  <c r="L364" i="1"/>
  <c r="M363" i="1"/>
  <c r="A372" i="1"/>
  <c r="P383" i="1"/>
  <c r="Q382" i="1"/>
  <c r="R381" i="1"/>
  <c r="J381" i="1"/>
  <c r="K380" i="1"/>
  <c r="L379" i="1"/>
  <c r="M378" i="1"/>
  <c r="N377" i="1"/>
  <c r="O376" i="1"/>
  <c r="P375" i="1"/>
  <c r="Q374" i="1"/>
  <c r="R373" i="1"/>
  <c r="J373" i="1"/>
  <c r="K372" i="1"/>
  <c r="L371" i="1"/>
  <c r="M370" i="1"/>
  <c r="N369" i="1"/>
  <c r="O368" i="1"/>
  <c r="P367" i="1"/>
  <c r="Q366" i="1"/>
  <c r="R365" i="1"/>
  <c r="J365" i="1"/>
  <c r="K364" i="1"/>
  <c r="L363" i="1"/>
  <c r="O380" i="1"/>
  <c r="A369" i="1"/>
  <c r="B365" i="1"/>
  <c r="O383" i="1"/>
  <c r="P382" i="1"/>
  <c r="Q381" i="1"/>
  <c r="R380" i="1"/>
  <c r="J380" i="1"/>
  <c r="K379" i="1"/>
  <c r="L378" i="1"/>
  <c r="M377" i="1"/>
  <c r="N376" i="1"/>
  <c r="O375" i="1"/>
  <c r="P374" i="1"/>
  <c r="Q373" i="1"/>
  <c r="R372" i="1"/>
  <c r="J372" i="1"/>
  <c r="K371" i="1"/>
  <c r="L370" i="1"/>
  <c r="M369" i="1"/>
  <c r="N368" i="1"/>
  <c r="O367" i="1"/>
  <c r="P366" i="1"/>
  <c r="Q365" i="1"/>
  <c r="R364" i="1"/>
  <c r="J364" i="1"/>
  <c r="K363" i="1"/>
  <c r="P372" i="1"/>
  <c r="A358" i="1"/>
  <c r="B377" i="1"/>
  <c r="B373" i="1"/>
  <c r="A365" i="1"/>
  <c r="N383" i="1"/>
  <c r="O382" i="1"/>
  <c r="P381" i="1"/>
  <c r="Q380" i="1"/>
  <c r="R379" i="1"/>
  <c r="J379" i="1"/>
  <c r="K378" i="1"/>
  <c r="N375" i="1"/>
  <c r="O374" i="1"/>
  <c r="P373" i="1"/>
  <c r="Q372" i="1"/>
  <c r="R371" i="1"/>
  <c r="J371" i="1"/>
  <c r="K370" i="1"/>
  <c r="N367" i="1"/>
  <c r="O366" i="1"/>
  <c r="Q364" i="1"/>
  <c r="R363" i="1"/>
  <c r="J363" i="1"/>
  <c r="B378" i="1"/>
  <c r="B370" i="1"/>
  <c r="B383" i="1"/>
  <c r="B375" i="1"/>
  <c r="B367" i="1"/>
  <c r="B364" i="1"/>
  <c r="B382" i="1"/>
  <c r="B374" i="1"/>
  <c r="B371" i="1"/>
  <c r="B363" i="1"/>
  <c r="B358" i="1"/>
  <c r="B355" i="1"/>
  <c r="M359" i="1"/>
  <c r="N358" i="1"/>
  <c r="O357" i="1"/>
  <c r="P356" i="1"/>
  <c r="Q355" i="1"/>
  <c r="R354" i="1"/>
  <c r="J354" i="1"/>
  <c r="Q339" i="1"/>
  <c r="L359" i="1"/>
  <c r="M358" i="1"/>
  <c r="N357" i="1"/>
  <c r="O356" i="1"/>
  <c r="P355" i="1"/>
  <c r="Q354" i="1"/>
  <c r="P339" i="1"/>
  <c r="K359" i="1"/>
  <c r="L358" i="1"/>
  <c r="M357" i="1"/>
  <c r="N356" i="1"/>
  <c r="O355" i="1"/>
  <c r="P354" i="1"/>
  <c r="O339" i="1"/>
  <c r="O332" i="1"/>
  <c r="R359" i="1"/>
  <c r="J359" i="1"/>
  <c r="K358" i="1"/>
  <c r="L357" i="1"/>
  <c r="M356" i="1"/>
  <c r="N355" i="1"/>
  <c r="O354" i="1"/>
  <c r="N339" i="1"/>
  <c r="N332" i="1"/>
  <c r="B357" i="1"/>
  <c r="Q359" i="1"/>
  <c r="R358" i="1"/>
  <c r="J358" i="1"/>
  <c r="K357" i="1"/>
  <c r="L356" i="1"/>
  <c r="M355" i="1"/>
  <c r="N354" i="1"/>
  <c r="M339" i="1"/>
  <c r="L332" i="1"/>
  <c r="A357" i="1"/>
  <c r="P359" i="1"/>
  <c r="Q358" i="1"/>
  <c r="R357" i="1"/>
  <c r="J357" i="1"/>
  <c r="K356" i="1"/>
  <c r="L355" i="1"/>
  <c r="M354" i="1"/>
  <c r="L339" i="1"/>
  <c r="O359" i="1"/>
  <c r="P358" i="1"/>
  <c r="Q357" i="1"/>
  <c r="R356" i="1"/>
  <c r="J356" i="1"/>
  <c r="K355" i="1"/>
  <c r="L354" i="1"/>
  <c r="K339" i="1"/>
  <c r="N359" i="1"/>
  <c r="Q356" i="1"/>
  <c r="R355" i="1"/>
  <c r="J355" i="1"/>
  <c r="K354" i="1"/>
  <c r="R339" i="1"/>
  <c r="J339" i="1"/>
  <c r="A339" i="1"/>
  <c r="B354" i="1"/>
  <c r="B359" i="1"/>
  <c r="B356" i="1"/>
  <c r="B335" i="1"/>
  <c r="K335" i="1"/>
  <c r="P331" i="1"/>
  <c r="L334" i="1"/>
  <c r="O331" i="1"/>
  <c r="N333" i="1"/>
  <c r="M331" i="1"/>
  <c r="Q335" i="1"/>
  <c r="M333" i="1"/>
  <c r="P330" i="1"/>
  <c r="K333" i="1"/>
  <c r="N330" i="1"/>
  <c r="A280" i="1"/>
  <c r="A335" i="1"/>
  <c r="R335" i="1"/>
  <c r="J335" i="1"/>
  <c r="K334" i="1"/>
  <c r="L333" i="1"/>
  <c r="M332" i="1"/>
  <c r="N331" i="1"/>
  <c r="O330" i="1"/>
  <c r="N283" i="1"/>
  <c r="P335" i="1"/>
  <c r="Q334" i="1"/>
  <c r="R333" i="1"/>
  <c r="J333" i="1"/>
  <c r="K332" i="1"/>
  <c r="L331" i="1"/>
  <c r="M330" i="1"/>
  <c r="J334" i="1"/>
  <c r="R280" i="1"/>
  <c r="B333" i="1"/>
  <c r="O335" i="1"/>
  <c r="P334" i="1"/>
  <c r="Q333" i="1"/>
  <c r="R332" i="1"/>
  <c r="J332" i="1"/>
  <c r="K331" i="1"/>
  <c r="L330" i="1"/>
  <c r="N335" i="1"/>
  <c r="O334" i="1"/>
  <c r="P333" i="1"/>
  <c r="Q332" i="1"/>
  <c r="R331" i="1"/>
  <c r="J331" i="1"/>
  <c r="K330" i="1"/>
  <c r="R334" i="1"/>
  <c r="M335" i="1"/>
  <c r="N334" i="1"/>
  <c r="O333" i="1"/>
  <c r="P332" i="1"/>
  <c r="Q331" i="1"/>
  <c r="R330" i="1"/>
  <c r="J330" i="1"/>
  <c r="M334" i="1"/>
  <c r="Q330" i="1"/>
  <c r="A332" i="1"/>
  <c r="A334" i="1"/>
  <c r="B331" i="1"/>
  <c r="K283" i="1"/>
  <c r="Q280" i="1"/>
  <c r="P282" i="1"/>
  <c r="N280" i="1"/>
  <c r="B280" i="1"/>
  <c r="O282" i="1"/>
  <c r="J280" i="1"/>
  <c r="L282" i="1"/>
  <c r="R265" i="1"/>
  <c r="Q281" i="1"/>
  <c r="O265" i="1"/>
  <c r="N284" i="1"/>
  <c r="P281" i="1"/>
  <c r="K265" i="1"/>
  <c r="A283" i="1"/>
  <c r="O283" i="1"/>
  <c r="M281" i="1"/>
  <c r="J265" i="1"/>
  <c r="L285" i="1"/>
  <c r="K285" i="1"/>
  <c r="L284" i="1"/>
  <c r="M283" i="1"/>
  <c r="N282" i="1"/>
  <c r="O281" i="1"/>
  <c r="P280" i="1"/>
  <c r="Q265" i="1"/>
  <c r="M284" i="1"/>
  <c r="B283" i="1"/>
  <c r="R285" i="1"/>
  <c r="J285" i="1"/>
  <c r="K284" i="1"/>
  <c r="L283" i="1"/>
  <c r="M282" i="1"/>
  <c r="N281" i="1"/>
  <c r="O280" i="1"/>
  <c r="P265" i="1"/>
  <c r="R284" i="1"/>
  <c r="P285" i="1"/>
  <c r="Q284" i="1"/>
  <c r="R283" i="1"/>
  <c r="J283" i="1"/>
  <c r="K282" i="1"/>
  <c r="L281" i="1"/>
  <c r="M280" i="1"/>
  <c r="N265" i="1"/>
  <c r="O285" i="1"/>
  <c r="P284" i="1"/>
  <c r="Q283" i="1"/>
  <c r="R282" i="1"/>
  <c r="J282" i="1"/>
  <c r="K281" i="1"/>
  <c r="L280" i="1"/>
  <c r="M265" i="1"/>
  <c r="M285" i="1"/>
  <c r="Q285" i="1"/>
  <c r="J284" i="1"/>
  <c r="N285" i="1"/>
  <c r="O284" i="1"/>
  <c r="Q282" i="1"/>
  <c r="R281" i="1"/>
  <c r="J281" i="1"/>
  <c r="L265" i="1"/>
  <c r="A282" i="1"/>
  <c r="A285" i="1"/>
  <c r="B284" i="1"/>
  <c r="B281" i="1"/>
  <c r="A265" i="1"/>
  <c r="L258" i="1"/>
  <c r="N256" i="1"/>
  <c r="P254" i="1"/>
  <c r="O254" i="1"/>
  <c r="M257" i="1"/>
  <c r="L257" i="1"/>
  <c r="K258" i="1"/>
  <c r="M256" i="1"/>
  <c r="O255" i="1"/>
  <c r="N255" i="1"/>
  <c r="P253" i="1"/>
  <c r="R258" i="1"/>
  <c r="J258" i="1"/>
  <c r="K257" i="1"/>
  <c r="L256" i="1"/>
  <c r="M255" i="1"/>
  <c r="N254" i="1"/>
  <c r="O253" i="1"/>
  <c r="Q258" i="1"/>
  <c r="R257" i="1"/>
  <c r="J257" i="1"/>
  <c r="K256" i="1"/>
  <c r="L255" i="1"/>
  <c r="M254" i="1"/>
  <c r="N253" i="1"/>
  <c r="P258" i="1"/>
  <c r="Q257" i="1"/>
  <c r="R256" i="1"/>
  <c r="J256" i="1"/>
  <c r="K255" i="1"/>
  <c r="L254" i="1"/>
  <c r="M253" i="1"/>
  <c r="O258" i="1"/>
  <c r="P257" i="1"/>
  <c r="Q256" i="1"/>
  <c r="R255" i="1"/>
  <c r="J255" i="1"/>
  <c r="K254" i="1"/>
  <c r="L253" i="1"/>
  <c r="N258" i="1"/>
  <c r="O257" i="1"/>
  <c r="P256" i="1"/>
  <c r="Q255" i="1"/>
  <c r="R254" i="1"/>
  <c r="J254" i="1"/>
  <c r="K253" i="1"/>
  <c r="Q253" i="1"/>
  <c r="M258" i="1"/>
  <c r="N257" i="1"/>
  <c r="O256" i="1"/>
  <c r="P255" i="1"/>
  <c r="Q254" i="1"/>
  <c r="R253" i="1"/>
  <c r="J253" i="1"/>
  <c r="B238" i="1"/>
  <c r="B258" i="1"/>
  <c r="A253" i="1"/>
  <c r="B255" i="1"/>
  <c r="A254" i="1"/>
  <c r="B257" i="1"/>
  <c r="B256" i="1"/>
  <c r="J288" i="1" l="1"/>
  <c r="K288" i="1"/>
  <c r="L288" i="1"/>
  <c r="M288" i="1"/>
  <c r="N288" i="1"/>
  <c r="O288" i="1"/>
  <c r="P288" i="1"/>
  <c r="Q288" i="1"/>
  <c r="R288" i="1"/>
  <c r="A288" i="1"/>
  <c r="B288" i="1"/>
  <c r="C289" i="1"/>
  <c r="A289" i="1" s="1"/>
  <c r="B4" i="18"/>
  <c r="F5" i="8" s="1"/>
  <c r="C225" i="1"/>
  <c r="P225" i="1" s="1"/>
  <c r="C224" i="1"/>
  <c r="R224" i="1" s="1"/>
  <c r="B223" i="1"/>
  <c r="F4" i="8" l="1"/>
  <c r="O289" i="1"/>
  <c r="N289" i="1"/>
  <c r="P289" i="1"/>
  <c r="M289" i="1"/>
  <c r="L289" i="1"/>
  <c r="K289" i="1"/>
  <c r="R289" i="1"/>
  <c r="J289" i="1"/>
  <c r="Q289" i="1"/>
  <c r="B289" i="1"/>
  <c r="M225" i="1"/>
  <c r="A225" i="1"/>
  <c r="L225" i="1"/>
  <c r="L224" i="1"/>
  <c r="O224" i="1"/>
  <c r="N224" i="1"/>
  <c r="M224" i="1"/>
  <c r="B224" i="1"/>
  <c r="K225" i="1"/>
  <c r="K224" i="1"/>
  <c r="Q225" i="1"/>
  <c r="Q224" i="1"/>
  <c r="R225" i="1"/>
  <c r="O225" i="1"/>
  <c r="N225" i="1"/>
  <c r="B225" i="1"/>
  <c r="A224" i="1"/>
  <c r="J225" i="1"/>
  <c r="J224" i="1"/>
  <c r="P224"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249" i="1"/>
  <c r="K1249" i="1"/>
  <c r="L1249" i="1"/>
  <c r="M1249" i="1"/>
  <c r="N1249" i="1"/>
  <c r="O1249" i="1"/>
  <c r="P1249" i="1"/>
  <c r="Q1249" i="1"/>
  <c r="R1249" i="1"/>
  <c r="A1249" i="1"/>
  <c r="B1249" i="1"/>
  <c r="A771" i="1" l="1"/>
  <c r="B771" i="1"/>
  <c r="J771" i="1"/>
  <c r="K771" i="1"/>
  <c r="L771" i="1"/>
  <c r="M771" i="1"/>
  <c r="N771" i="1"/>
  <c r="O771" i="1"/>
  <c r="P771" i="1"/>
  <c r="Q771" i="1"/>
  <c r="R771" i="1"/>
  <c r="C1287" i="1"/>
  <c r="Q1287" i="1" s="1"/>
  <c r="C1288" i="1"/>
  <c r="P1288" i="1" s="1"/>
  <c r="C1289" i="1"/>
  <c r="O1289" i="1" s="1"/>
  <c r="C1290" i="1"/>
  <c r="N1290" i="1" s="1"/>
  <c r="C1291" i="1"/>
  <c r="M1291" i="1" s="1"/>
  <c r="C1292" i="1"/>
  <c r="L1292" i="1" s="1"/>
  <c r="C1293" i="1"/>
  <c r="R1293" i="1" s="1"/>
  <c r="C1294" i="1"/>
  <c r="P1294" i="1" s="1"/>
  <c r="C1295" i="1"/>
  <c r="Q1295" i="1" s="1"/>
  <c r="C1296" i="1"/>
  <c r="P1296" i="1" s="1"/>
  <c r="C1297" i="1"/>
  <c r="O1297" i="1" s="1"/>
  <c r="C1298" i="1"/>
  <c r="N1298" i="1" s="1"/>
  <c r="C1299" i="1"/>
  <c r="M1299" i="1" s="1"/>
  <c r="C1300" i="1"/>
  <c r="L1300" i="1" s="1"/>
  <c r="C1301" i="1"/>
  <c r="J1301" i="1" s="1"/>
  <c r="C1302" i="1"/>
  <c r="P1302" i="1" s="1"/>
  <c r="C1303" i="1"/>
  <c r="Q1303" i="1" s="1"/>
  <c r="C1304" i="1"/>
  <c r="P1304" i="1" s="1"/>
  <c r="C1305" i="1"/>
  <c r="O1305" i="1" s="1"/>
  <c r="C1306" i="1"/>
  <c r="N1306" i="1" s="1"/>
  <c r="C1307" i="1"/>
  <c r="M1307" i="1" s="1"/>
  <c r="C1308" i="1"/>
  <c r="L1308" i="1" s="1"/>
  <c r="C1309" i="1"/>
  <c r="J1309" i="1" s="1"/>
  <c r="C1286" i="1"/>
  <c r="B20" i="18"/>
  <c r="F102" i="8" s="1"/>
  <c r="B19" i="18"/>
  <c r="F101" i="8" s="1"/>
  <c r="B18" i="18"/>
  <c r="F100" i="8" s="1"/>
  <c r="J1310" i="1"/>
  <c r="K1310" i="1"/>
  <c r="L1310" i="1"/>
  <c r="M1310" i="1"/>
  <c r="N1310" i="1"/>
  <c r="O1310" i="1"/>
  <c r="P1310" i="1"/>
  <c r="Q1310" i="1"/>
  <c r="R1310" i="1"/>
  <c r="A1310" i="1"/>
  <c r="B1310" i="1"/>
  <c r="B1285" i="1"/>
  <c r="A767" i="1"/>
  <c r="B767" i="1"/>
  <c r="A768" i="1"/>
  <c r="B768" i="1"/>
  <c r="A769" i="1"/>
  <c r="B769" i="1"/>
  <c r="A770" i="1"/>
  <c r="B770" i="1"/>
  <c r="A972" i="1"/>
  <c r="B972" i="1"/>
  <c r="A973" i="1"/>
  <c r="B973" i="1"/>
  <c r="C974" i="1"/>
  <c r="P974" i="1" s="1"/>
  <c r="C975" i="1"/>
  <c r="B975" i="1" s="1"/>
  <c r="C976" i="1"/>
  <c r="A976" i="1" s="1"/>
  <c r="C977" i="1"/>
  <c r="A977" i="1" s="1"/>
  <c r="C978" i="1"/>
  <c r="M978" i="1" s="1"/>
  <c r="C979" i="1"/>
  <c r="B979" i="1" s="1"/>
  <c r="C980" i="1"/>
  <c r="N980" i="1" s="1"/>
  <c r="C981" i="1"/>
  <c r="Q981" i="1" s="1"/>
  <c r="C982" i="1"/>
  <c r="Q982" i="1" s="1"/>
  <c r="C983" i="1"/>
  <c r="B983" i="1" s="1"/>
  <c r="C984" i="1"/>
  <c r="A984" i="1" s="1"/>
  <c r="C985" i="1"/>
  <c r="A985" i="1" s="1"/>
  <c r="C986" i="1"/>
  <c r="P986" i="1" s="1"/>
  <c r="C987" i="1"/>
  <c r="B987" i="1" s="1"/>
  <c r="C988" i="1"/>
  <c r="C989" i="1"/>
  <c r="A989" i="1" s="1"/>
  <c r="C990" i="1"/>
  <c r="R990" i="1" s="1"/>
  <c r="C991" i="1"/>
  <c r="B991" i="1" s="1"/>
  <c r="C992" i="1"/>
  <c r="A992" i="1" s="1"/>
  <c r="C993" i="1"/>
  <c r="A993" i="1" s="1"/>
  <c r="C994" i="1"/>
  <c r="K994" i="1" s="1"/>
  <c r="C995" i="1"/>
  <c r="B995" i="1" s="1"/>
  <c r="C996" i="1"/>
  <c r="P996" i="1" s="1"/>
  <c r="C997" i="1"/>
  <c r="A997" i="1" s="1"/>
  <c r="C998" i="1"/>
  <c r="K998" i="1" s="1"/>
  <c r="C999" i="1"/>
  <c r="B999" i="1" s="1"/>
  <c r="C1000" i="1"/>
  <c r="A1000" i="1" s="1"/>
  <c r="C1001" i="1"/>
  <c r="A1001" i="1" s="1"/>
  <c r="C1002" i="1"/>
  <c r="P1002" i="1" s="1"/>
  <c r="C1003" i="1"/>
  <c r="B1003" i="1" s="1"/>
  <c r="C1004" i="1"/>
  <c r="K1004" i="1" s="1"/>
  <c r="C1005" i="1"/>
  <c r="A1005" i="1" s="1"/>
  <c r="C1006" i="1"/>
  <c r="L1006" i="1" s="1"/>
  <c r="C1007" i="1"/>
  <c r="B1007" i="1" s="1"/>
  <c r="C1008" i="1"/>
  <c r="A1008" i="1" s="1"/>
  <c r="C1009" i="1"/>
  <c r="A1009" i="1" s="1"/>
  <c r="C1010" i="1"/>
  <c r="R1010" i="1" s="1"/>
  <c r="C1011" i="1"/>
  <c r="B1011" i="1" s="1"/>
  <c r="C1012" i="1"/>
  <c r="R1012" i="1" s="1"/>
  <c r="C1013" i="1"/>
  <c r="A1013" i="1" s="1"/>
  <c r="C1014" i="1"/>
  <c r="M1014" i="1" s="1"/>
  <c r="C1015" i="1"/>
  <c r="B1015" i="1" s="1"/>
  <c r="C1016" i="1"/>
  <c r="A1016" i="1" s="1"/>
  <c r="C1017" i="1"/>
  <c r="A1017" i="1" s="1"/>
  <c r="C1018" i="1"/>
  <c r="L1018" i="1" s="1"/>
  <c r="C1019" i="1"/>
  <c r="B1019" i="1" s="1"/>
  <c r="C1020" i="1"/>
  <c r="C1021" i="1"/>
  <c r="A1021" i="1" s="1"/>
  <c r="C1022" i="1"/>
  <c r="P1022" i="1" s="1"/>
  <c r="C1023" i="1"/>
  <c r="B1023" i="1" s="1"/>
  <c r="C1024" i="1"/>
  <c r="A1024" i="1" s="1"/>
  <c r="C1025" i="1"/>
  <c r="A1025" i="1" s="1"/>
  <c r="C1026" i="1"/>
  <c r="N1026" i="1" s="1"/>
  <c r="C1027" i="1"/>
  <c r="B1027" i="1" s="1"/>
  <c r="C1028" i="1"/>
  <c r="C1029" i="1"/>
  <c r="A1029" i="1" s="1"/>
  <c r="C1030" i="1"/>
  <c r="P1030" i="1" s="1"/>
  <c r="C1031" i="1"/>
  <c r="B1031" i="1" s="1"/>
  <c r="C1032" i="1"/>
  <c r="A1032" i="1" s="1"/>
  <c r="C1033" i="1"/>
  <c r="A1033" i="1" s="1"/>
  <c r="C1034" i="1"/>
  <c r="Q1034" i="1" s="1"/>
  <c r="C1035" i="1"/>
  <c r="O1035" i="1" s="1"/>
  <c r="C1036" i="1"/>
  <c r="A1036" i="1" s="1"/>
  <c r="C1037" i="1"/>
  <c r="A1037" i="1" s="1"/>
  <c r="C1038" i="1"/>
  <c r="Q1038" i="1" s="1"/>
  <c r="C1039" i="1"/>
  <c r="A1039" i="1" s="1"/>
  <c r="C1040" i="1"/>
  <c r="A1040" i="1" s="1"/>
  <c r="C1041" i="1"/>
  <c r="A1041" i="1" s="1"/>
  <c r="C1042" i="1"/>
  <c r="K1042" i="1" s="1"/>
  <c r="C1043" i="1"/>
  <c r="B1043" i="1" s="1"/>
  <c r="C1044" i="1"/>
  <c r="A1044" i="1" s="1"/>
  <c r="C1045" i="1"/>
  <c r="A1045" i="1" s="1"/>
  <c r="C1046" i="1"/>
  <c r="J1046" i="1" s="1"/>
  <c r="C1047" i="1"/>
  <c r="A1047" i="1" s="1"/>
  <c r="C1048" i="1"/>
  <c r="A1048" i="1" s="1"/>
  <c r="C1049" i="1"/>
  <c r="A1049" i="1" s="1"/>
  <c r="C1050" i="1"/>
  <c r="Q1050" i="1" s="1"/>
  <c r="C1051" i="1"/>
  <c r="B1051" i="1" s="1"/>
  <c r="C1052" i="1"/>
  <c r="A1052" i="1" s="1"/>
  <c r="C1053" i="1"/>
  <c r="A1053" i="1" s="1"/>
  <c r="C1054" i="1"/>
  <c r="J1054" i="1" s="1"/>
  <c r="C1055" i="1"/>
  <c r="A1055" i="1" s="1"/>
  <c r="C1056" i="1"/>
  <c r="A1056" i="1" s="1"/>
  <c r="C1057" i="1"/>
  <c r="A1057" i="1" s="1"/>
  <c r="C1058" i="1"/>
  <c r="N1058" i="1" s="1"/>
  <c r="C1059" i="1"/>
  <c r="B1059" i="1" s="1"/>
  <c r="C1060" i="1"/>
  <c r="B1060" i="1" s="1"/>
  <c r="C1061" i="1"/>
  <c r="A1061" i="1" s="1"/>
  <c r="C1062" i="1"/>
  <c r="R1062" i="1" s="1"/>
  <c r="C1063" i="1"/>
  <c r="A1063" i="1" s="1"/>
  <c r="C1064" i="1"/>
  <c r="A1064" i="1" s="1"/>
  <c r="C1065" i="1"/>
  <c r="A1065" i="1" s="1"/>
  <c r="C1066" i="1"/>
  <c r="P1066" i="1" s="1"/>
  <c r="C1067" i="1"/>
  <c r="B1067" i="1" s="1"/>
  <c r="C1068" i="1"/>
  <c r="A1068" i="1" s="1"/>
  <c r="C1069" i="1"/>
  <c r="A1069" i="1" s="1"/>
  <c r="C1070" i="1"/>
  <c r="R1070" i="1" s="1"/>
  <c r="C1071" i="1"/>
  <c r="A1071" i="1" s="1"/>
  <c r="C1072" i="1"/>
  <c r="A1072" i="1" s="1"/>
  <c r="C1073" i="1"/>
  <c r="A1073" i="1" s="1"/>
  <c r="C1074" i="1"/>
  <c r="R1074" i="1" s="1"/>
  <c r="C1075" i="1"/>
  <c r="B1075" i="1" s="1"/>
  <c r="C1076" i="1"/>
  <c r="B1076" i="1" s="1"/>
  <c r="C1077" i="1"/>
  <c r="A1077" i="1" s="1"/>
  <c r="C1078" i="1"/>
  <c r="L1078" i="1" s="1"/>
  <c r="C1079" i="1"/>
  <c r="A1079" i="1" s="1"/>
  <c r="C1080" i="1"/>
  <c r="A1080" i="1" s="1"/>
  <c r="C1081" i="1"/>
  <c r="A1081" i="1" s="1"/>
  <c r="C1082" i="1"/>
  <c r="L1082" i="1" s="1"/>
  <c r="C1083" i="1"/>
  <c r="B1083" i="1" s="1"/>
  <c r="C1084" i="1"/>
  <c r="B1084" i="1" s="1"/>
  <c r="C1085" i="1"/>
  <c r="A1085" i="1" s="1"/>
  <c r="I1486" i="1"/>
  <c r="I1487" i="1"/>
  <c r="I1488" i="1"/>
  <c r="I1489" i="1"/>
  <c r="I1491" i="1"/>
  <c r="I1492" i="1"/>
  <c r="I1493" i="1"/>
  <c r="I1494" i="1"/>
  <c r="I1496" i="1"/>
  <c r="I1497" i="1"/>
  <c r="I1498" i="1"/>
  <c r="I1499" i="1"/>
  <c r="I1506" i="1"/>
  <c r="I1507" i="1"/>
  <c r="I1508" i="1"/>
  <c r="I1509" i="1"/>
  <c r="I1511" i="1"/>
  <c r="I1512" i="1"/>
  <c r="I1513" i="1"/>
  <c r="I1514" i="1"/>
  <c r="I1516" i="1"/>
  <c r="I1517" i="1"/>
  <c r="I1518" i="1"/>
  <c r="I1519" i="1"/>
  <c r="I1521" i="1"/>
  <c r="I1522" i="1"/>
  <c r="I1523" i="1"/>
  <c r="I1524" i="1"/>
  <c r="I1531" i="1"/>
  <c r="I1532" i="1"/>
  <c r="I1533" i="1"/>
  <c r="I1534" i="1"/>
  <c r="I1536" i="1"/>
  <c r="I1537" i="1"/>
  <c r="I1538" i="1"/>
  <c r="I1539" i="1"/>
  <c r="A1541" i="1"/>
  <c r="B1541" i="1"/>
  <c r="J1541" i="1"/>
  <c r="K1541" i="1"/>
  <c r="L1541" i="1"/>
  <c r="M1541" i="1"/>
  <c r="N1541" i="1"/>
  <c r="O1541" i="1"/>
  <c r="P1541" i="1"/>
  <c r="Q1541" i="1"/>
  <c r="R1541" i="1"/>
  <c r="I691" i="15"/>
  <c r="B630" i="15"/>
  <c r="B676" i="15" s="1"/>
  <c r="B696" i="15" s="1"/>
  <c r="B598" i="15"/>
  <c r="B675" i="15" s="1"/>
  <c r="B511" i="15"/>
  <c r="B465" i="15"/>
  <c r="B60" i="15"/>
  <c r="B666" i="15" s="1"/>
  <c r="B62" i="15"/>
  <c r="B668" i="15" s="1"/>
  <c r="B691" i="15" s="1"/>
  <c r="J1234" i="1"/>
  <c r="K1234" i="1"/>
  <c r="L1234" i="1"/>
  <c r="M1234" i="1"/>
  <c r="N1234" i="1"/>
  <c r="O1234" i="1"/>
  <c r="P1234" i="1"/>
  <c r="Q1234" i="1"/>
  <c r="R1234" i="1"/>
  <c r="A1234" i="1"/>
  <c r="B1234" i="1"/>
  <c r="A62" i="1"/>
  <c r="B62" i="1"/>
  <c r="A63" i="1"/>
  <c r="B63" i="1"/>
  <c r="A147" i="1"/>
  <c r="B147" i="1"/>
  <c r="A148" i="1"/>
  <c r="B148" i="1"/>
  <c r="A160" i="1"/>
  <c r="B160" i="1"/>
  <c r="A162" i="1"/>
  <c r="B162" i="1"/>
  <c r="A188" i="1"/>
  <c r="B188" i="1"/>
  <c r="A203" i="1"/>
  <c r="B203" i="1"/>
  <c r="A221" i="1"/>
  <c r="B221" i="1"/>
  <c r="A222" i="1"/>
  <c r="B222" i="1"/>
  <c r="A223" i="1"/>
  <c r="A226" i="1"/>
  <c r="B226" i="1"/>
  <c r="A227" i="1"/>
  <c r="B227" i="1"/>
  <c r="A230" i="1"/>
  <c r="B230" i="1"/>
  <c r="A236" i="1"/>
  <c r="B236" i="1"/>
  <c r="A260" i="1"/>
  <c r="B260" i="1"/>
  <c r="A262" i="1"/>
  <c r="B262" i="1"/>
  <c r="A263" i="1"/>
  <c r="B263" i="1"/>
  <c r="A287" i="1"/>
  <c r="B287" i="1"/>
  <c r="A312" i="1"/>
  <c r="B312" i="1"/>
  <c r="A313" i="1"/>
  <c r="B313" i="1"/>
  <c r="A337" i="1"/>
  <c r="B337" i="1"/>
  <c r="A361" i="1"/>
  <c r="B361" i="1"/>
  <c r="A385" i="1"/>
  <c r="B385" i="1"/>
  <c r="A413" i="1"/>
  <c r="B413" i="1"/>
  <c r="A414" i="1"/>
  <c r="B414" i="1"/>
  <c r="A489" i="1"/>
  <c r="B489" i="1"/>
  <c r="A514" i="1"/>
  <c r="B514" i="1"/>
  <c r="A564" i="1"/>
  <c r="B564" i="1"/>
  <c r="A565" i="1"/>
  <c r="B565" i="1"/>
  <c r="A566" i="1"/>
  <c r="B566" i="1"/>
  <c r="A567" i="1"/>
  <c r="B567" i="1"/>
  <c r="A1223" i="1"/>
  <c r="B1223" i="1"/>
  <c r="A1226" i="1"/>
  <c r="B1226" i="1"/>
  <c r="A1230" i="1"/>
  <c r="B1230" i="1"/>
  <c r="A1235" i="1"/>
  <c r="B1235" i="1"/>
  <c r="A1244" i="1"/>
  <c r="B1244" i="1"/>
  <c r="A1245" i="1"/>
  <c r="B1245" i="1"/>
  <c r="A1246" i="1"/>
  <c r="B1246" i="1"/>
  <c r="A1247" i="1"/>
  <c r="B1247" i="1"/>
  <c r="A1248" i="1"/>
  <c r="B1248" i="1"/>
  <c r="A1250" i="1"/>
  <c r="B1250" i="1"/>
  <c r="A1251" i="1"/>
  <c r="B1251" i="1"/>
  <c r="A1252" i="1"/>
  <c r="B1252" i="1"/>
  <c r="A1253" i="1"/>
  <c r="B1253" i="1"/>
  <c r="A1254" i="1"/>
  <c r="B1254" i="1"/>
  <c r="A1255" i="1"/>
  <c r="B1255" i="1"/>
  <c r="A1256" i="1"/>
  <c r="B1256" i="1"/>
  <c r="A1257" i="1"/>
  <c r="B1257" i="1"/>
  <c r="A1263" i="1"/>
  <c r="B1263" i="1"/>
  <c r="A1284" i="1"/>
  <c r="B1284" i="1"/>
  <c r="A1285" i="1"/>
  <c r="A1311" i="1"/>
  <c r="B1311" i="1"/>
  <c r="A1314" i="1"/>
  <c r="B1314" i="1"/>
  <c r="A1326" i="1"/>
  <c r="B1326" i="1"/>
  <c r="A1341" i="1"/>
  <c r="B1341" i="1"/>
  <c r="A1358" i="1"/>
  <c r="B1358" i="1"/>
  <c r="A1421" i="1"/>
  <c r="B1421" i="1"/>
  <c r="A1422" i="1"/>
  <c r="B1422" i="1"/>
  <c r="A1540" i="1"/>
  <c r="B1540" i="1"/>
  <c r="A1485" i="1"/>
  <c r="B1485" i="1"/>
  <c r="A1490" i="1"/>
  <c r="B1490" i="1"/>
  <c r="A1495" i="1"/>
  <c r="B1495" i="1"/>
  <c r="A1505" i="1"/>
  <c r="B1505" i="1"/>
  <c r="A1510" i="1"/>
  <c r="B1510" i="1"/>
  <c r="A1515" i="1"/>
  <c r="B1515" i="1"/>
  <c r="A1520" i="1"/>
  <c r="B1520" i="1"/>
  <c r="A1530" i="1"/>
  <c r="B1530" i="1"/>
  <c r="A1535" i="1"/>
  <c r="B153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188" i="1"/>
  <c r="K188" i="1"/>
  <c r="L188" i="1"/>
  <c r="M188" i="1"/>
  <c r="N188" i="1"/>
  <c r="O188" i="1"/>
  <c r="P188" i="1"/>
  <c r="Q188" i="1"/>
  <c r="R188" i="1"/>
  <c r="J203" i="1"/>
  <c r="K203" i="1"/>
  <c r="L203" i="1"/>
  <c r="M203" i="1"/>
  <c r="N203" i="1"/>
  <c r="O203" i="1"/>
  <c r="P203" i="1"/>
  <c r="Q203" i="1"/>
  <c r="R203" i="1"/>
  <c r="J221" i="1"/>
  <c r="K221" i="1"/>
  <c r="L221" i="1"/>
  <c r="M221" i="1"/>
  <c r="N221" i="1"/>
  <c r="O221" i="1"/>
  <c r="P221" i="1"/>
  <c r="Q221" i="1"/>
  <c r="R221" i="1"/>
  <c r="J222" i="1"/>
  <c r="K222" i="1"/>
  <c r="L222" i="1"/>
  <c r="N222" i="1"/>
  <c r="O222" i="1"/>
  <c r="P222" i="1"/>
  <c r="Q222" i="1"/>
  <c r="R222" i="1"/>
  <c r="J223" i="1"/>
  <c r="K223" i="1"/>
  <c r="L223" i="1"/>
  <c r="M223" i="1"/>
  <c r="N223" i="1"/>
  <c r="O223" i="1"/>
  <c r="P223" i="1"/>
  <c r="Q223" i="1"/>
  <c r="R223" i="1"/>
  <c r="J226" i="1"/>
  <c r="K226" i="1"/>
  <c r="L226" i="1"/>
  <c r="M226" i="1"/>
  <c r="N226" i="1"/>
  <c r="O226" i="1"/>
  <c r="P226" i="1"/>
  <c r="Q226" i="1"/>
  <c r="R226" i="1"/>
  <c r="J227" i="1"/>
  <c r="K227" i="1"/>
  <c r="L227" i="1"/>
  <c r="M227" i="1"/>
  <c r="N227" i="1"/>
  <c r="O227" i="1"/>
  <c r="P227" i="1"/>
  <c r="Q227" i="1"/>
  <c r="R227" i="1"/>
  <c r="J230" i="1"/>
  <c r="K230" i="1"/>
  <c r="L230" i="1"/>
  <c r="M230" i="1"/>
  <c r="N230" i="1"/>
  <c r="O230" i="1"/>
  <c r="P230" i="1"/>
  <c r="Q230" i="1"/>
  <c r="R230" i="1"/>
  <c r="J236" i="1"/>
  <c r="K236" i="1"/>
  <c r="L236" i="1"/>
  <c r="M236" i="1"/>
  <c r="N236" i="1"/>
  <c r="O236" i="1"/>
  <c r="P236" i="1"/>
  <c r="Q236" i="1"/>
  <c r="R236" i="1"/>
  <c r="J260" i="1"/>
  <c r="K260" i="1"/>
  <c r="L260" i="1"/>
  <c r="M260" i="1"/>
  <c r="N260" i="1"/>
  <c r="O260" i="1"/>
  <c r="P260" i="1"/>
  <c r="Q260" i="1"/>
  <c r="R260" i="1"/>
  <c r="J262" i="1"/>
  <c r="K262" i="1"/>
  <c r="L262" i="1"/>
  <c r="M262" i="1"/>
  <c r="N262" i="1"/>
  <c r="O262" i="1"/>
  <c r="P262" i="1"/>
  <c r="Q262" i="1"/>
  <c r="R262" i="1"/>
  <c r="J263" i="1"/>
  <c r="K263" i="1"/>
  <c r="L263" i="1"/>
  <c r="M263" i="1"/>
  <c r="N263" i="1"/>
  <c r="O263" i="1"/>
  <c r="P263" i="1"/>
  <c r="Q263" i="1"/>
  <c r="R263" i="1"/>
  <c r="J312" i="1"/>
  <c r="K312" i="1"/>
  <c r="L312" i="1"/>
  <c r="M312" i="1"/>
  <c r="N312" i="1"/>
  <c r="O312" i="1"/>
  <c r="P312" i="1"/>
  <c r="Q312" i="1"/>
  <c r="R312" i="1"/>
  <c r="J313" i="1"/>
  <c r="K313" i="1"/>
  <c r="L313" i="1"/>
  <c r="M313" i="1"/>
  <c r="N313" i="1"/>
  <c r="O313" i="1"/>
  <c r="P313" i="1"/>
  <c r="Q313" i="1"/>
  <c r="R313" i="1"/>
  <c r="J337" i="1"/>
  <c r="K337" i="1"/>
  <c r="L337" i="1"/>
  <c r="M337" i="1"/>
  <c r="N337" i="1"/>
  <c r="O337" i="1"/>
  <c r="P337" i="1"/>
  <c r="Q337" i="1"/>
  <c r="R337" i="1"/>
  <c r="J361" i="1"/>
  <c r="K361" i="1"/>
  <c r="L361" i="1"/>
  <c r="M361" i="1"/>
  <c r="N361" i="1"/>
  <c r="O361" i="1"/>
  <c r="P361" i="1"/>
  <c r="Q361" i="1"/>
  <c r="R361" i="1"/>
  <c r="J413" i="1"/>
  <c r="K413" i="1"/>
  <c r="L413" i="1"/>
  <c r="M413" i="1"/>
  <c r="N413" i="1"/>
  <c r="O413" i="1"/>
  <c r="P413" i="1"/>
  <c r="Q413" i="1"/>
  <c r="R413" i="1"/>
  <c r="J414" i="1"/>
  <c r="K414" i="1"/>
  <c r="L414" i="1"/>
  <c r="M414" i="1"/>
  <c r="N414" i="1"/>
  <c r="O414" i="1"/>
  <c r="P414" i="1"/>
  <c r="Q414" i="1"/>
  <c r="R414" i="1"/>
  <c r="J489" i="1"/>
  <c r="K489" i="1"/>
  <c r="L489" i="1"/>
  <c r="M489" i="1"/>
  <c r="N489" i="1"/>
  <c r="O489" i="1"/>
  <c r="P489" i="1"/>
  <c r="Q489" i="1"/>
  <c r="R489" i="1"/>
  <c r="J514" i="1"/>
  <c r="K514" i="1"/>
  <c r="L514" i="1"/>
  <c r="M514" i="1"/>
  <c r="N514" i="1"/>
  <c r="O514" i="1"/>
  <c r="P514" i="1"/>
  <c r="Q514" i="1"/>
  <c r="R514" i="1"/>
  <c r="J564" i="1"/>
  <c r="K564" i="1"/>
  <c r="L564" i="1"/>
  <c r="M564" i="1"/>
  <c r="N564" i="1"/>
  <c r="O564" i="1"/>
  <c r="P564" i="1"/>
  <c r="Q564" i="1"/>
  <c r="R564" i="1"/>
  <c r="J565" i="1"/>
  <c r="K565" i="1"/>
  <c r="L565" i="1"/>
  <c r="M565" i="1"/>
  <c r="N565" i="1"/>
  <c r="O565" i="1"/>
  <c r="P565" i="1"/>
  <c r="Q565" i="1"/>
  <c r="R565" i="1"/>
  <c r="J566" i="1"/>
  <c r="K566" i="1"/>
  <c r="L566" i="1"/>
  <c r="M566" i="1"/>
  <c r="N566" i="1"/>
  <c r="O566" i="1"/>
  <c r="P566" i="1"/>
  <c r="Q566" i="1"/>
  <c r="R566" i="1"/>
  <c r="J973" i="1"/>
  <c r="K973" i="1"/>
  <c r="L973" i="1"/>
  <c r="M973" i="1"/>
  <c r="N973" i="1"/>
  <c r="O973" i="1"/>
  <c r="P973" i="1"/>
  <c r="Q973" i="1"/>
  <c r="R973" i="1"/>
  <c r="J972" i="1"/>
  <c r="K972" i="1"/>
  <c r="L972" i="1"/>
  <c r="M972" i="1"/>
  <c r="N972" i="1"/>
  <c r="O972" i="1"/>
  <c r="P972" i="1"/>
  <c r="Q972" i="1"/>
  <c r="R972" i="1"/>
  <c r="J567" i="1"/>
  <c r="K567" i="1"/>
  <c r="L567" i="1"/>
  <c r="M567" i="1"/>
  <c r="N567" i="1"/>
  <c r="O567" i="1"/>
  <c r="P567" i="1"/>
  <c r="Q567" i="1"/>
  <c r="R567" i="1"/>
  <c r="J767" i="1"/>
  <c r="K767" i="1"/>
  <c r="L767" i="1"/>
  <c r="M767" i="1"/>
  <c r="N767" i="1"/>
  <c r="O767" i="1"/>
  <c r="P767" i="1"/>
  <c r="Q767" i="1"/>
  <c r="R767" i="1"/>
  <c r="J768" i="1"/>
  <c r="K768" i="1"/>
  <c r="L768" i="1"/>
  <c r="M768" i="1"/>
  <c r="N768" i="1"/>
  <c r="O768" i="1"/>
  <c r="P768" i="1"/>
  <c r="Q768" i="1"/>
  <c r="R768" i="1"/>
  <c r="J769" i="1"/>
  <c r="K769" i="1"/>
  <c r="L769" i="1"/>
  <c r="M769" i="1"/>
  <c r="N769" i="1"/>
  <c r="O769" i="1"/>
  <c r="P769" i="1"/>
  <c r="Q769" i="1"/>
  <c r="R769" i="1"/>
  <c r="J770" i="1"/>
  <c r="K770" i="1"/>
  <c r="L770" i="1"/>
  <c r="M770" i="1"/>
  <c r="N770" i="1"/>
  <c r="O770" i="1"/>
  <c r="P770" i="1"/>
  <c r="Q770" i="1"/>
  <c r="R770" i="1"/>
  <c r="J1223" i="1"/>
  <c r="K1223" i="1"/>
  <c r="L1223" i="1"/>
  <c r="M1223" i="1"/>
  <c r="N1223" i="1"/>
  <c r="O1223" i="1"/>
  <c r="P1223" i="1"/>
  <c r="Q1223" i="1"/>
  <c r="R1223" i="1"/>
  <c r="J1226" i="1"/>
  <c r="K1226" i="1"/>
  <c r="L1226" i="1"/>
  <c r="M1226" i="1"/>
  <c r="N1226" i="1"/>
  <c r="O1226" i="1"/>
  <c r="P1226" i="1"/>
  <c r="Q1226" i="1"/>
  <c r="R1226" i="1"/>
  <c r="J1230" i="1"/>
  <c r="K1230" i="1"/>
  <c r="L1230" i="1"/>
  <c r="M1230" i="1"/>
  <c r="N1230" i="1"/>
  <c r="O1230" i="1"/>
  <c r="P1230" i="1"/>
  <c r="Q1230" i="1"/>
  <c r="R1230" i="1"/>
  <c r="J1235" i="1"/>
  <c r="K1235" i="1"/>
  <c r="L1235" i="1"/>
  <c r="M1235" i="1"/>
  <c r="N1235" i="1"/>
  <c r="O1235" i="1"/>
  <c r="P1235" i="1"/>
  <c r="Q1235" i="1"/>
  <c r="R1235" i="1"/>
  <c r="J1244" i="1"/>
  <c r="K1244" i="1"/>
  <c r="L1244" i="1"/>
  <c r="M1244" i="1"/>
  <c r="N1244" i="1"/>
  <c r="O1244" i="1"/>
  <c r="P1244" i="1"/>
  <c r="Q1244" i="1"/>
  <c r="R1244" i="1"/>
  <c r="J1245" i="1"/>
  <c r="K1245" i="1"/>
  <c r="L1245" i="1"/>
  <c r="M1245" i="1"/>
  <c r="N1245" i="1"/>
  <c r="O1245" i="1"/>
  <c r="P1245" i="1"/>
  <c r="Q1245" i="1"/>
  <c r="R1245" i="1"/>
  <c r="J1246" i="1"/>
  <c r="K1246" i="1"/>
  <c r="L1246" i="1"/>
  <c r="M1246" i="1"/>
  <c r="N1246" i="1"/>
  <c r="O1246" i="1"/>
  <c r="P1246" i="1"/>
  <c r="Q1246" i="1"/>
  <c r="R1246" i="1"/>
  <c r="J1247" i="1"/>
  <c r="K1247" i="1"/>
  <c r="L1247" i="1"/>
  <c r="M1247" i="1"/>
  <c r="N1247" i="1"/>
  <c r="O1247" i="1"/>
  <c r="P1247" i="1"/>
  <c r="Q1247" i="1"/>
  <c r="R1247" i="1"/>
  <c r="J1248" i="1"/>
  <c r="K1248" i="1"/>
  <c r="L1248" i="1"/>
  <c r="M1248" i="1"/>
  <c r="N1248" i="1"/>
  <c r="O1248" i="1"/>
  <c r="P1248" i="1"/>
  <c r="Q1248" i="1"/>
  <c r="R1248" i="1"/>
  <c r="J1250" i="1"/>
  <c r="K1250" i="1"/>
  <c r="L1250" i="1"/>
  <c r="M1250" i="1"/>
  <c r="N1250" i="1"/>
  <c r="O1250" i="1"/>
  <c r="P1250" i="1"/>
  <c r="Q1250" i="1"/>
  <c r="R1250" i="1"/>
  <c r="J1251" i="1"/>
  <c r="K1251" i="1"/>
  <c r="L1251" i="1"/>
  <c r="M1251" i="1"/>
  <c r="N1251" i="1"/>
  <c r="O1251" i="1"/>
  <c r="P1251" i="1"/>
  <c r="Q1251" i="1"/>
  <c r="R1251" i="1"/>
  <c r="J1252" i="1"/>
  <c r="K1252" i="1"/>
  <c r="L1252" i="1"/>
  <c r="M1252" i="1"/>
  <c r="N1252" i="1"/>
  <c r="O1252" i="1"/>
  <c r="P1252" i="1"/>
  <c r="Q1252" i="1"/>
  <c r="R1252" i="1"/>
  <c r="J1253" i="1"/>
  <c r="K1253" i="1"/>
  <c r="L1253" i="1"/>
  <c r="M1253" i="1"/>
  <c r="N1253" i="1"/>
  <c r="O1253" i="1"/>
  <c r="P1253" i="1"/>
  <c r="Q1253" i="1"/>
  <c r="R1253" i="1"/>
  <c r="J1254" i="1"/>
  <c r="K1254" i="1"/>
  <c r="L1254" i="1"/>
  <c r="M1254" i="1"/>
  <c r="N1254" i="1"/>
  <c r="O1254" i="1"/>
  <c r="P1254" i="1"/>
  <c r="Q1254" i="1"/>
  <c r="R1254" i="1"/>
  <c r="J1255" i="1"/>
  <c r="K1255" i="1"/>
  <c r="L1255" i="1"/>
  <c r="M1255" i="1"/>
  <c r="N1255" i="1"/>
  <c r="O1255" i="1"/>
  <c r="P1255" i="1"/>
  <c r="Q1255" i="1"/>
  <c r="R1255" i="1"/>
  <c r="J1256" i="1"/>
  <c r="K1256" i="1"/>
  <c r="L1256" i="1"/>
  <c r="M1256" i="1"/>
  <c r="N1256" i="1"/>
  <c r="O1256" i="1"/>
  <c r="P1256" i="1"/>
  <c r="Q1256" i="1"/>
  <c r="R1256" i="1"/>
  <c r="J1257" i="1"/>
  <c r="K1257" i="1"/>
  <c r="L1257" i="1"/>
  <c r="M1257" i="1"/>
  <c r="N1257" i="1"/>
  <c r="P1257" i="1"/>
  <c r="Q1257" i="1"/>
  <c r="R1257" i="1"/>
  <c r="J1263" i="1"/>
  <c r="K1263" i="1"/>
  <c r="L1263" i="1"/>
  <c r="M1263" i="1"/>
  <c r="N1263" i="1"/>
  <c r="O1263" i="1"/>
  <c r="P1263" i="1"/>
  <c r="Q1263" i="1"/>
  <c r="R1263" i="1"/>
  <c r="J1284" i="1"/>
  <c r="K1284" i="1"/>
  <c r="L1284" i="1"/>
  <c r="M1284" i="1"/>
  <c r="N1284" i="1"/>
  <c r="O1284" i="1"/>
  <c r="P1284" i="1"/>
  <c r="Q1284" i="1"/>
  <c r="R1284" i="1"/>
  <c r="J1285" i="1"/>
  <c r="K1285" i="1"/>
  <c r="L1285" i="1"/>
  <c r="M1285" i="1"/>
  <c r="N1285" i="1"/>
  <c r="O1285" i="1"/>
  <c r="P1285" i="1"/>
  <c r="Q1285" i="1"/>
  <c r="R1285" i="1"/>
  <c r="J1311" i="1"/>
  <c r="K1311" i="1"/>
  <c r="L1311" i="1"/>
  <c r="M1311" i="1"/>
  <c r="N1311" i="1"/>
  <c r="O1311" i="1"/>
  <c r="P1311" i="1"/>
  <c r="Q1311" i="1"/>
  <c r="R1311" i="1"/>
  <c r="J1314" i="1"/>
  <c r="K1314" i="1"/>
  <c r="L1314" i="1"/>
  <c r="M1314" i="1"/>
  <c r="N1314" i="1"/>
  <c r="O1314" i="1"/>
  <c r="P1314" i="1"/>
  <c r="Q1314" i="1"/>
  <c r="R1314" i="1"/>
  <c r="J1326" i="1"/>
  <c r="K1326" i="1"/>
  <c r="L1326" i="1"/>
  <c r="M1326" i="1"/>
  <c r="N1326" i="1"/>
  <c r="O1326" i="1"/>
  <c r="P1326" i="1"/>
  <c r="Q1326" i="1"/>
  <c r="R1326" i="1"/>
  <c r="J1341" i="1"/>
  <c r="K1341" i="1"/>
  <c r="L1341" i="1"/>
  <c r="M1341" i="1"/>
  <c r="N1341" i="1"/>
  <c r="O1341" i="1"/>
  <c r="P1341" i="1"/>
  <c r="Q1341" i="1"/>
  <c r="R1341" i="1"/>
  <c r="J1358" i="1"/>
  <c r="K1358" i="1"/>
  <c r="L1358" i="1"/>
  <c r="M1358" i="1"/>
  <c r="N1358" i="1"/>
  <c r="O1358" i="1"/>
  <c r="P1358" i="1"/>
  <c r="Q1358" i="1"/>
  <c r="R1358" i="1"/>
  <c r="K1364" i="1"/>
  <c r="K1365" i="1"/>
  <c r="K1389" i="1"/>
  <c r="K1414" i="1"/>
  <c r="J1421" i="1"/>
  <c r="K1421" i="1"/>
  <c r="L1421" i="1"/>
  <c r="M1421" i="1"/>
  <c r="N1421" i="1"/>
  <c r="O1421" i="1"/>
  <c r="P1421" i="1"/>
  <c r="Q1421" i="1"/>
  <c r="R1421" i="1"/>
  <c r="J1422" i="1"/>
  <c r="K1422" i="1"/>
  <c r="L1422" i="1"/>
  <c r="M1422" i="1"/>
  <c r="N1422" i="1"/>
  <c r="O1422" i="1"/>
  <c r="P1422" i="1"/>
  <c r="Q1422" i="1"/>
  <c r="R1422" i="1"/>
  <c r="K1428" i="1"/>
  <c r="K1429" i="1"/>
  <c r="K1453" i="1"/>
  <c r="K1478" i="1"/>
  <c r="J1540" i="1"/>
  <c r="K1540" i="1"/>
  <c r="L1540" i="1"/>
  <c r="M1540" i="1"/>
  <c r="N1540" i="1"/>
  <c r="O1540" i="1"/>
  <c r="P1540" i="1"/>
  <c r="Q1540" i="1"/>
  <c r="R1540" i="1"/>
  <c r="J1485" i="1"/>
  <c r="K1485" i="1"/>
  <c r="L1485" i="1"/>
  <c r="M1485" i="1"/>
  <c r="N1485" i="1"/>
  <c r="O1485" i="1"/>
  <c r="P1485" i="1"/>
  <c r="Q1485" i="1"/>
  <c r="R1485" i="1"/>
  <c r="J1490" i="1"/>
  <c r="K1490" i="1"/>
  <c r="L1490" i="1"/>
  <c r="M1490" i="1"/>
  <c r="N1490" i="1"/>
  <c r="O1490" i="1"/>
  <c r="R1490" i="1"/>
  <c r="J1495" i="1"/>
  <c r="K1495" i="1"/>
  <c r="L1495" i="1"/>
  <c r="M1495" i="1"/>
  <c r="N1495" i="1"/>
  <c r="O1495" i="1"/>
  <c r="R1495" i="1"/>
  <c r="J1505" i="1"/>
  <c r="K1505" i="1"/>
  <c r="L1505" i="1"/>
  <c r="M1505" i="1"/>
  <c r="N1505" i="1"/>
  <c r="O1505" i="1"/>
  <c r="R1505" i="1"/>
  <c r="J1510" i="1"/>
  <c r="K1510" i="1"/>
  <c r="L1510" i="1"/>
  <c r="M1510" i="1"/>
  <c r="N1510" i="1"/>
  <c r="O1510" i="1"/>
  <c r="R1510" i="1"/>
  <c r="J1515" i="1"/>
  <c r="K1515" i="1"/>
  <c r="L1515" i="1"/>
  <c r="M1515" i="1"/>
  <c r="N1515" i="1"/>
  <c r="O1515" i="1"/>
  <c r="R1515" i="1"/>
  <c r="J1520" i="1"/>
  <c r="K1520" i="1"/>
  <c r="L1520" i="1"/>
  <c r="M1520" i="1"/>
  <c r="N1520" i="1"/>
  <c r="O1520" i="1"/>
  <c r="R1520" i="1"/>
  <c r="J1530" i="1"/>
  <c r="K1530" i="1"/>
  <c r="L1530" i="1"/>
  <c r="M1530" i="1"/>
  <c r="N1530" i="1"/>
  <c r="O1530" i="1"/>
  <c r="R1530" i="1"/>
  <c r="J1535" i="1"/>
  <c r="K1535" i="1"/>
  <c r="L1535" i="1"/>
  <c r="M1535" i="1"/>
  <c r="N1535" i="1"/>
  <c r="O1535" i="1"/>
  <c r="R1535" i="1"/>
  <c r="K106" i="19"/>
  <c r="Q1535" i="1" s="1"/>
  <c r="K105" i="19"/>
  <c r="Q1530" i="1" s="1"/>
  <c r="K103" i="19"/>
  <c r="Q1520" i="1" s="1"/>
  <c r="K102" i="19"/>
  <c r="Q1515" i="1" s="1"/>
  <c r="K101" i="19"/>
  <c r="Q1510" i="1" s="1"/>
  <c r="K100" i="19"/>
  <c r="Q1505" i="1" s="1"/>
  <c r="K98" i="19"/>
  <c r="Q1495" i="1" s="1"/>
  <c r="K97" i="19"/>
  <c r="Q1490" i="1" s="1"/>
  <c r="J106" i="19"/>
  <c r="P1535" i="1" s="1"/>
  <c r="J105" i="19"/>
  <c r="P1530" i="1" s="1"/>
  <c r="J103" i="19"/>
  <c r="P1520" i="1" s="1"/>
  <c r="J102" i="19"/>
  <c r="P1515" i="1" s="1"/>
  <c r="J101" i="19"/>
  <c r="P1510" i="1" s="1"/>
  <c r="J100" i="19"/>
  <c r="P1505" i="1" s="1"/>
  <c r="J98" i="19"/>
  <c r="P1495" i="1" s="1"/>
  <c r="J97" i="19"/>
  <c r="P1490" i="1" s="1"/>
  <c r="L95" i="19"/>
  <c r="R1478" i="1" s="1"/>
  <c r="K95" i="19"/>
  <c r="Q1478" i="1" s="1"/>
  <c r="J95" i="19"/>
  <c r="P1478" i="1" s="1"/>
  <c r="I95" i="19"/>
  <c r="H95" i="19"/>
  <c r="N1478" i="1" s="1"/>
  <c r="G95" i="19"/>
  <c r="M1478" i="1" s="1"/>
  <c r="F95" i="19"/>
  <c r="L1478" i="1" s="1"/>
  <c r="D95" i="19"/>
  <c r="J1478" i="1" s="1"/>
  <c r="L94" i="19"/>
  <c r="R1453" i="1" s="1"/>
  <c r="K94" i="19"/>
  <c r="Q1453" i="1" s="1"/>
  <c r="J94" i="19"/>
  <c r="P1453" i="1" s="1"/>
  <c r="I94" i="19"/>
  <c r="O1453" i="1" s="1"/>
  <c r="H94" i="19"/>
  <c r="N1453" i="1" s="1"/>
  <c r="G94" i="19"/>
  <c r="M1453" i="1" s="1"/>
  <c r="F94" i="19"/>
  <c r="L1453" i="1" s="1"/>
  <c r="D94" i="19"/>
  <c r="J1453" i="1" s="1"/>
  <c r="L93" i="19"/>
  <c r="R1452" i="1" s="1"/>
  <c r="K93" i="19"/>
  <c r="Q1452" i="1" s="1"/>
  <c r="J93" i="19"/>
  <c r="P1452" i="1" s="1"/>
  <c r="I93" i="19"/>
  <c r="O1452" i="1" s="1"/>
  <c r="H93" i="19"/>
  <c r="N1452" i="1" s="1"/>
  <c r="G93" i="19"/>
  <c r="M1452" i="1" s="1"/>
  <c r="F93" i="19"/>
  <c r="L1452" i="1" s="1"/>
  <c r="D93" i="19"/>
  <c r="J1452" i="1" s="1"/>
  <c r="L92" i="19"/>
  <c r="R1428" i="1" s="1"/>
  <c r="K92" i="19"/>
  <c r="Q1428" i="1" s="1"/>
  <c r="J92" i="19"/>
  <c r="P1428" i="1" s="1"/>
  <c r="I92" i="19"/>
  <c r="O1428" i="1" s="1"/>
  <c r="H92" i="19"/>
  <c r="N1428" i="1" s="1"/>
  <c r="G92" i="19"/>
  <c r="M1428" i="1" s="1"/>
  <c r="F92" i="19"/>
  <c r="L1428" i="1" s="1"/>
  <c r="D92" i="19"/>
  <c r="J1428" i="1" s="1"/>
  <c r="B92" i="19"/>
  <c r="B1428" i="1" s="1"/>
  <c r="B93" i="19"/>
  <c r="B1452" i="1" s="1"/>
  <c r="B94" i="19"/>
  <c r="B1453" i="1" s="1"/>
  <c r="B95" i="19"/>
  <c r="B1478" i="1" s="1"/>
  <c r="A93" i="19"/>
  <c r="A1452" i="1" s="1"/>
  <c r="A94" i="19"/>
  <c r="A1453" i="1" s="1"/>
  <c r="A95" i="19"/>
  <c r="A1478" i="1" s="1"/>
  <c r="A92" i="19"/>
  <c r="A1428" i="1" s="1"/>
  <c r="L89" i="19"/>
  <c r="R1414" i="1" s="1"/>
  <c r="K89" i="19"/>
  <c r="Q1414" i="1" s="1"/>
  <c r="J89" i="19"/>
  <c r="P1414" i="1" s="1"/>
  <c r="I89" i="19"/>
  <c r="O1414" i="1" s="1"/>
  <c r="H89" i="19"/>
  <c r="N1414" i="1" s="1"/>
  <c r="G89" i="19"/>
  <c r="M1414" i="1" s="1"/>
  <c r="F89" i="19"/>
  <c r="L1414" i="1" s="1"/>
  <c r="D89" i="19"/>
  <c r="J1414" i="1" s="1"/>
  <c r="L88" i="19"/>
  <c r="K88" i="19"/>
  <c r="J88" i="19"/>
  <c r="P1389" i="1" s="1"/>
  <c r="I88" i="19"/>
  <c r="O1389" i="1" s="1"/>
  <c r="H88" i="19"/>
  <c r="N1389" i="1" s="1"/>
  <c r="G88" i="19"/>
  <c r="M1389" i="1" s="1"/>
  <c r="F88" i="19"/>
  <c r="L1389" i="1" s="1"/>
  <c r="D88" i="19"/>
  <c r="J1389" i="1" s="1"/>
  <c r="L87" i="19"/>
  <c r="R1388" i="1" s="1"/>
  <c r="K87" i="19"/>
  <c r="Q1388" i="1" s="1"/>
  <c r="J87" i="19"/>
  <c r="P1388" i="1" s="1"/>
  <c r="I87" i="19"/>
  <c r="O1388" i="1" s="1"/>
  <c r="H87" i="19"/>
  <c r="N1388" i="1" s="1"/>
  <c r="G87" i="19"/>
  <c r="M1388" i="1" s="1"/>
  <c r="F87" i="19"/>
  <c r="L1388" i="1" s="1"/>
  <c r="D87" i="19"/>
  <c r="J1388" i="1" s="1"/>
  <c r="L86" i="19"/>
  <c r="R1364" i="1" s="1"/>
  <c r="K86" i="19"/>
  <c r="Q1364" i="1" s="1"/>
  <c r="J86" i="19"/>
  <c r="P1364" i="1" s="1"/>
  <c r="I86" i="19"/>
  <c r="O1364" i="1" s="1"/>
  <c r="H86" i="19"/>
  <c r="N1364" i="1" s="1"/>
  <c r="G86" i="19"/>
  <c r="M1364" i="1" s="1"/>
  <c r="F86" i="19"/>
  <c r="L1364" i="1" s="1"/>
  <c r="D86" i="19"/>
  <c r="J1364" i="1" s="1"/>
  <c r="B89" i="19"/>
  <c r="B1414" i="1" s="1"/>
  <c r="A89" i="19"/>
  <c r="A1414" i="1" s="1"/>
  <c r="B88" i="19"/>
  <c r="B1389" i="1" s="1"/>
  <c r="A88" i="19"/>
  <c r="A1389" i="1" s="1"/>
  <c r="B87" i="19"/>
  <c r="B1388" i="1" s="1"/>
  <c r="A87" i="19"/>
  <c r="A1388" i="1" s="1"/>
  <c r="B86" i="19"/>
  <c r="B1364" i="1" s="1"/>
  <c r="A86" i="19"/>
  <c r="A1364" i="1" s="1"/>
  <c r="G20" i="19"/>
  <c r="M222" i="1" s="1"/>
  <c r="G13" i="19"/>
  <c r="M162" i="1" s="1"/>
  <c r="G10" i="19"/>
  <c r="M148" i="1" s="1"/>
  <c r="C491" i="1"/>
  <c r="B491" i="1" s="1"/>
  <c r="C492" i="1"/>
  <c r="C493" i="1"/>
  <c r="P493" i="1" s="1"/>
  <c r="C494" i="1"/>
  <c r="C495" i="1"/>
  <c r="C496" i="1"/>
  <c r="O496" i="1" s="1"/>
  <c r="C497" i="1"/>
  <c r="C498" i="1"/>
  <c r="C499" i="1"/>
  <c r="A499" i="1" s="1"/>
  <c r="C500" i="1"/>
  <c r="C501" i="1"/>
  <c r="M501" i="1" s="1"/>
  <c r="C502" i="1"/>
  <c r="C503" i="1"/>
  <c r="C504" i="1"/>
  <c r="Q504" i="1" s="1"/>
  <c r="C505" i="1"/>
  <c r="K505" i="1" s="1"/>
  <c r="C506" i="1"/>
  <c r="C507" i="1"/>
  <c r="Q507" i="1" s="1"/>
  <c r="C508" i="1"/>
  <c r="C509" i="1"/>
  <c r="B509" i="1" s="1"/>
  <c r="C510" i="1"/>
  <c r="C511" i="1"/>
  <c r="M511" i="1" s="1"/>
  <c r="C512" i="1"/>
  <c r="B512" i="1" s="1"/>
  <c r="C513" i="1"/>
  <c r="C490"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461" i="1"/>
  <c r="C1462" i="1"/>
  <c r="K1462" i="1" s="1"/>
  <c r="C1463" i="1"/>
  <c r="C1464" i="1"/>
  <c r="C1465" i="1"/>
  <c r="C1466" i="1"/>
  <c r="C1467" i="1"/>
  <c r="C1468" i="1"/>
  <c r="K1468" i="1" s="1"/>
  <c r="C1469" i="1"/>
  <c r="C1470" i="1"/>
  <c r="C1471" i="1"/>
  <c r="C1472" i="1"/>
  <c r="C1473" i="1"/>
  <c r="C1474" i="1"/>
  <c r="C1475" i="1"/>
  <c r="C1476" i="1"/>
  <c r="C1477" i="1"/>
  <c r="C1397" i="1"/>
  <c r="C1398" i="1"/>
  <c r="C1399" i="1"/>
  <c r="C1400" i="1"/>
  <c r="C1401" i="1"/>
  <c r="C1402" i="1"/>
  <c r="C1403" i="1"/>
  <c r="C1404" i="1"/>
  <c r="C1405" i="1"/>
  <c r="C1406" i="1"/>
  <c r="C1407" i="1"/>
  <c r="C1408" i="1"/>
  <c r="C1409" i="1"/>
  <c r="C1410" i="1"/>
  <c r="C1411" i="1"/>
  <c r="C1412" i="1"/>
  <c r="C1413" i="1"/>
  <c r="C1231" i="1"/>
  <c r="Q1231" i="1" s="1"/>
  <c r="C1227" i="1"/>
  <c r="C631" i="1"/>
  <c r="C632" i="1"/>
  <c r="R632" i="1" s="1"/>
  <c r="C633" i="1"/>
  <c r="C634" i="1"/>
  <c r="A634" i="1" s="1"/>
  <c r="C635" i="1"/>
  <c r="J635" i="1" s="1"/>
  <c r="C636" i="1"/>
  <c r="C637" i="1"/>
  <c r="M637" i="1" s="1"/>
  <c r="C638" i="1"/>
  <c r="P638" i="1" s="1"/>
  <c r="C639" i="1"/>
  <c r="K639" i="1" s="1"/>
  <c r="C640" i="1"/>
  <c r="C641" i="1"/>
  <c r="Q641" i="1" s="1"/>
  <c r="C642" i="1"/>
  <c r="C643" i="1"/>
  <c r="B643" i="1" s="1"/>
  <c r="C644" i="1"/>
  <c r="P644" i="1" s="1"/>
  <c r="C645" i="1"/>
  <c r="C646" i="1"/>
  <c r="C647" i="1"/>
  <c r="C648" i="1"/>
  <c r="L648" i="1" s="1"/>
  <c r="C649" i="1"/>
  <c r="K649" i="1" s="1"/>
  <c r="C650" i="1"/>
  <c r="P650" i="1" s="1"/>
  <c r="C651" i="1"/>
  <c r="C652" i="1"/>
  <c r="M652" i="1" s="1"/>
  <c r="C653" i="1"/>
  <c r="C654" i="1"/>
  <c r="M654" i="1" s="1"/>
  <c r="C655" i="1"/>
  <c r="P655" i="1" s="1"/>
  <c r="C656" i="1"/>
  <c r="J656" i="1" s="1"/>
  <c r="C657" i="1"/>
  <c r="C658" i="1"/>
  <c r="N658" i="1" s="1"/>
  <c r="C659" i="1"/>
  <c r="C660" i="1"/>
  <c r="M660" i="1" s="1"/>
  <c r="C661" i="1"/>
  <c r="M661" i="1" s="1"/>
  <c r="C662" i="1"/>
  <c r="C663" i="1"/>
  <c r="C664" i="1"/>
  <c r="C665" i="1"/>
  <c r="L665" i="1" s="1"/>
  <c r="C666" i="1"/>
  <c r="K666" i="1" s="1"/>
  <c r="C667" i="1"/>
  <c r="J667" i="1" s="1"/>
  <c r="C668" i="1"/>
  <c r="M668" i="1" s="1"/>
  <c r="C669" i="1"/>
  <c r="C670" i="1"/>
  <c r="J670" i="1" s="1"/>
  <c r="C671" i="1"/>
  <c r="A671" i="1" s="1"/>
  <c r="C672" i="1"/>
  <c r="P672" i="1" s="1"/>
  <c r="C673" i="1"/>
  <c r="Q673" i="1" s="1"/>
  <c r="C674" i="1"/>
  <c r="A674" i="1" s="1"/>
  <c r="C675" i="1"/>
  <c r="N675" i="1" s="1"/>
  <c r="C676" i="1"/>
  <c r="R676" i="1" s="1"/>
  <c r="C677" i="1"/>
  <c r="O677" i="1" s="1"/>
  <c r="C678" i="1"/>
  <c r="C679" i="1"/>
  <c r="N679" i="1" s="1"/>
  <c r="C680" i="1"/>
  <c r="R680" i="1" s="1"/>
  <c r="C681" i="1"/>
  <c r="O681" i="1" s="1"/>
  <c r="C682" i="1"/>
  <c r="R682" i="1" s="1"/>
  <c r="C683" i="1"/>
  <c r="C684" i="1"/>
  <c r="R684" i="1" s="1"/>
  <c r="C685" i="1"/>
  <c r="Q685" i="1" s="1"/>
  <c r="C686" i="1"/>
  <c r="P686" i="1" s="1"/>
  <c r="C687" i="1"/>
  <c r="O687" i="1" s="1"/>
  <c r="C688" i="1"/>
  <c r="J688" i="1" s="1"/>
  <c r="C689" i="1"/>
  <c r="C690" i="1"/>
  <c r="A690" i="1" s="1"/>
  <c r="C691" i="1"/>
  <c r="C692" i="1"/>
  <c r="L692" i="1" s="1"/>
  <c r="C693" i="1"/>
  <c r="K693" i="1" s="1"/>
  <c r="C694" i="1"/>
  <c r="B694" i="1" s="1"/>
  <c r="C695" i="1"/>
  <c r="C696" i="1"/>
  <c r="C697" i="1"/>
  <c r="C698" i="1"/>
  <c r="B698" i="1" s="1"/>
  <c r="C699" i="1"/>
  <c r="K699" i="1" s="1"/>
  <c r="C700" i="1"/>
  <c r="J700" i="1" s="1"/>
  <c r="C701" i="1"/>
  <c r="P701" i="1" s="1"/>
  <c r="C702" i="1"/>
  <c r="A702" i="1" s="1"/>
  <c r="C703" i="1"/>
  <c r="B703" i="1" s="1"/>
  <c r="C704" i="1"/>
  <c r="B704" i="1" s="1"/>
  <c r="C705" i="1"/>
  <c r="N705" i="1" s="1"/>
  <c r="C706" i="1"/>
  <c r="L706" i="1" s="1"/>
  <c r="C707" i="1"/>
  <c r="C708" i="1"/>
  <c r="C709" i="1"/>
  <c r="C710" i="1"/>
  <c r="C711" i="1"/>
  <c r="J711" i="1" s="1"/>
  <c r="C712" i="1"/>
  <c r="B712" i="1" s="1"/>
  <c r="C713" i="1"/>
  <c r="N713" i="1" s="1"/>
  <c r="C714" i="1"/>
  <c r="M714" i="1" s="1"/>
  <c r="C715" i="1"/>
  <c r="C716" i="1"/>
  <c r="A716" i="1" s="1"/>
  <c r="C717" i="1"/>
  <c r="A717" i="1" s="1"/>
  <c r="C718" i="1"/>
  <c r="P718" i="1" s="1"/>
  <c r="C719" i="1"/>
  <c r="Q719" i="1" s="1"/>
  <c r="C720" i="1"/>
  <c r="R720" i="1" s="1"/>
  <c r="C721" i="1"/>
  <c r="C722" i="1"/>
  <c r="C723" i="1"/>
  <c r="C724" i="1"/>
  <c r="P724" i="1" s="1"/>
  <c r="C725" i="1"/>
  <c r="A725" i="1" s="1"/>
  <c r="C726" i="1"/>
  <c r="P726" i="1" s="1"/>
  <c r="C727" i="1"/>
  <c r="C728" i="1"/>
  <c r="B728" i="1" s="1"/>
  <c r="C729" i="1"/>
  <c r="R729" i="1" s="1"/>
  <c r="C730" i="1"/>
  <c r="P730" i="1" s="1"/>
  <c r="C731" i="1"/>
  <c r="R731" i="1" s="1"/>
  <c r="C732" i="1"/>
  <c r="Q732" i="1" s="1"/>
  <c r="C733" i="1"/>
  <c r="A733" i="1" s="1"/>
  <c r="C734" i="1"/>
  <c r="P734" i="1" s="1"/>
  <c r="C735" i="1"/>
  <c r="C736" i="1"/>
  <c r="C737" i="1"/>
  <c r="M737" i="1" s="1"/>
  <c r="C738" i="1"/>
  <c r="Q738" i="1" s="1"/>
  <c r="C739" i="1"/>
  <c r="J739" i="1" s="1"/>
  <c r="C740" i="1"/>
  <c r="N740" i="1" s="1"/>
  <c r="C741" i="1"/>
  <c r="C742" i="1"/>
  <c r="C743" i="1"/>
  <c r="O743" i="1" s="1"/>
  <c r="C744" i="1"/>
  <c r="Q744" i="1" s="1"/>
  <c r="C745" i="1"/>
  <c r="M745" i="1" s="1"/>
  <c r="C746" i="1"/>
  <c r="A746" i="1" s="1"/>
  <c r="C747" i="1"/>
  <c r="C748" i="1"/>
  <c r="C749" i="1"/>
  <c r="O749" i="1" s="1"/>
  <c r="C750" i="1"/>
  <c r="C751" i="1"/>
  <c r="B751" i="1" s="1"/>
  <c r="C752" i="1"/>
  <c r="C753" i="1"/>
  <c r="O753" i="1" s="1"/>
  <c r="C754" i="1"/>
  <c r="K754" i="1" s="1"/>
  <c r="C755" i="1"/>
  <c r="M755" i="1" s="1"/>
  <c r="C756" i="1"/>
  <c r="M756" i="1" s="1"/>
  <c r="C757" i="1"/>
  <c r="C758" i="1"/>
  <c r="J758" i="1" s="1"/>
  <c r="C759" i="1"/>
  <c r="C760" i="1"/>
  <c r="C761" i="1"/>
  <c r="C762" i="1"/>
  <c r="C763" i="1"/>
  <c r="J763" i="1" s="1"/>
  <c r="C764" i="1"/>
  <c r="J764" i="1" s="1"/>
  <c r="C765" i="1"/>
  <c r="O765" i="1" s="1"/>
  <c r="C766" i="1"/>
  <c r="R766" i="1" s="1"/>
  <c r="B639" i="1"/>
  <c r="C1086" i="1"/>
  <c r="J1086" i="1" s="1"/>
  <c r="C1087" i="1"/>
  <c r="C1088" i="1"/>
  <c r="C1089" i="1"/>
  <c r="K1089" i="1" s="1"/>
  <c r="C1090" i="1"/>
  <c r="J1090" i="1" s="1"/>
  <c r="C1091" i="1"/>
  <c r="A1091" i="1" s="1"/>
  <c r="C1092" i="1"/>
  <c r="K1092" i="1" s="1"/>
  <c r="C1093" i="1"/>
  <c r="O1093" i="1" s="1"/>
  <c r="C1094" i="1"/>
  <c r="K1094" i="1" s="1"/>
  <c r="C1095" i="1"/>
  <c r="M1095" i="1" s="1"/>
  <c r="C1096" i="1"/>
  <c r="L1096" i="1" s="1"/>
  <c r="C1097" i="1"/>
  <c r="J1097" i="1" s="1"/>
  <c r="C1098" i="1"/>
  <c r="C1099" i="1"/>
  <c r="L1099" i="1" s="1"/>
  <c r="C1100" i="1"/>
  <c r="Q1100" i="1" s="1"/>
  <c r="C1101" i="1"/>
  <c r="A1101" i="1" s="1"/>
  <c r="C1102" i="1"/>
  <c r="P1102" i="1" s="1"/>
  <c r="C1103" i="1"/>
  <c r="N1103" i="1" s="1"/>
  <c r="C1104" i="1"/>
  <c r="B1104" i="1" s="1"/>
  <c r="C1105" i="1"/>
  <c r="J1105" i="1" s="1"/>
  <c r="C1106" i="1"/>
  <c r="Q1106" i="1" s="1"/>
  <c r="C1107" i="1"/>
  <c r="A1107" i="1" s="1"/>
  <c r="C1108" i="1"/>
  <c r="L1108" i="1" s="1"/>
  <c r="C1109" i="1"/>
  <c r="R1109" i="1" s="1"/>
  <c r="C1110" i="1"/>
  <c r="C1111" i="1"/>
  <c r="C1112" i="1"/>
  <c r="C1113" i="1"/>
  <c r="B1113" i="1" s="1"/>
  <c r="C1114" i="1"/>
  <c r="N1114" i="1" s="1"/>
  <c r="C1115" i="1"/>
  <c r="C1116" i="1"/>
  <c r="C1117" i="1"/>
  <c r="C1118" i="1"/>
  <c r="R1118" i="1" s="1"/>
  <c r="C1119" i="1"/>
  <c r="N1119" i="1" s="1"/>
  <c r="C1120" i="1"/>
  <c r="P1120" i="1" s="1"/>
  <c r="C1121" i="1"/>
  <c r="M1121" i="1" s="1"/>
  <c r="C1122" i="1"/>
  <c r="Q1122" i="1" s="1"/>
  <c r="C1123" i="1"/>
  <c r="L1123" i="1" s="1"/>
  <c r="C1124" i="1"/>
  <c r="Q1124" i="1" s="1"/>
  <c r="C1125" i="1"/>
  <c r="M1125" i="1" s="1"/>
  <c r="C1126" i="1"/>
  <c r="C1127" i="1"/>
  <c r="C1128" i="1"/>
  <c r="C1129" i="1"/>
  <c r="K1129" i="1" s="1"/>
  <c r="C1130" i="1"/>
  <c r="R1130" i="1" s="1"/>
  <c r="C1131" i="1"/>
  <c r="B1131" i="1" s="1"/>
  <c r="C1132" i="1"/>
  <c r="N1132" i="1" s="1"/>
  <c r="C1133" i="1"/>
  <c r="L1133" i="1" s="1"/>
  <c r="C1134" i="1"/>
  <c r="M1134" i="1" s="1"/>
  <c r="C1135" i="1"/>
  <c r="C1136" i="1"/>
  <c r="M1136" i="1" s="1"/>
  <c r="C1137" i="1"/>
  <c r="L1137" i="1" s="1"/>
  <c r="C1138" i="1"/>
  <c r="L1138" i="1" s="1"/>
  <c r="C1139" i="1"/>
  <c r="P1139" i="1" s="1"/>
  <c r="C1140" i="1"/>
  <c r="C1141" i="1"/>
  <c r="L1141" i="1" s="1"/>
  <c r="C1142" i="1"/>
  <c r="C1143" i="1"/>
  <c r="C1144" i="1"/>
  <c r="K1144" i="1" s="1"/>
  <c r="C1145" i="1"/>
  <c r="O1145" i="1" s="1"/>
  <c r="C1146" i="1"/>
  <c r="N1146" i="1" s="1"/>
  <c r="C1147" i="1"/>
  <c r="J1147" i="1" s="1"/>
  <c r="C1148" i="1"/>
  <c r="C1149" i="1"/>
  <c r="O1149" i="1" s="1"/>
  <c r="C1150" i="1"/>
  <c r="B1150" i="1" s="1"/>
  <c r="C1151" i="1"/>
  <c r="C1152" i="1"/>
  <c r="C1153" i="1"/>
  <c r="O1153" i="1" s="1"/>
  <c r="C1154" i="1"/>
  <c r="O1154" i="1" s="1"/>
  <c r="C1155" i="1"/>
  <c r="C1156" i="1"/>
  <c r="J1156" i="1" s="1"/>
  <c r="C1157" i="1"/>
  <c r="B1157" i="1" s="1"/>
  <c r="C1158" i="1"/>
  <c r="O1158" i="1" s="1"/>
  <c r="C1159" i="1"/>
  <c r="J1159" i="1" s="1"/>
  <c r="C1160" i="1"/>
  <c r="M1160" i="1" s="1"/>
  <c r="C1161" i="1"/>
  <c r="K1161" i="1" s="1"/>
  <c r="C1162" i="1"/>
  <c r="P1162" i="1" s="1"/>
  <c r="C1163" i="1"/>
  <c r="J1163" i="1" s="1"/>
  <c r="C1164" i="1"/>
  <c r="L1164" i="1" s="1"/>
  <c r="C1165" i="1"/>
  <c r="L1165" i="1" s="1"/>
  <c r="C1166" i="1"/>
  <c r="J1166" i="1" s="1"/>
  <c r="C1167" i="1"/>
  <c r="N1167" i="1" s="1"/>
  <c r="C1168" i="1"/>
  <c r="C1169" i="1"/>
  <c r="B1169" i="1" s="1"/>
  <c r="C1170" i="1"/>
  <c r="C1171" i="1"/>
  <c r="R1171" i="1" s="1"/>
  <c r="C1172" i="1"/>
  <c r="C1173" i="1"/>
  <c r="Q1173" i="1" s="1"/>
  <c r="C1174" i="1"/>
  <c r="O1174" i="1" s="1"/>
  <c r="C1175" i="1"/>
  <c r="Q1175" i="1" s="1"/>
  <c r="C1176" i="1"/>
  <c r="M1176" i="1" s="1"/>
  <c r="C1177" i="1"/>
  <c r="J1177" i="1" s="1"/>
  <c r="C1178" i="1"/>
  <c r="K1178" i="1" s="1"/>
  <c r="C1179" i="1"/>
  <c r="B1179" i="1" s="1"/>
  <c r="C1180" i="1"/>
  <c r="C1181" i="1"/>
  <c r="A1181" i="1" s="1"/>
  <c r="C1182" i="1"/>
  <c r="R1182" i="1" s="1"/>
  <c r="C1183" i="1"/>
  <c r="C1184" i="1"/>
  <c r="P1184" i="1" s="1"/>
  <c r="C1185" i="1"/>
  <c r="L1185" i="1" s="1"/>
  <c r="C1186" i="1"/>
  <c r="B1186" i="1" s="1"/>
  <c r="C1187" i="1"/>
  <c r="B1187" i="1" s="1"/>
  <c r="C1188" i="1"/>
  <c r="N1188" i="1" s="1"/>
  <c r="C1189" i="1"/>
  <c r="C1190" i="1"/>
  <c r="C1191" i="1"/>
  <c r="C1192" i="1"/>
  <c r="C1193" i="1"/>
  <c r="N1193" i="1" s="1"/>
  <c r="C1194" i="1"/>
  <c r="C1195" i="1"/>
  <c r="C1196" i="1"/>
  <c r="C1197" i="1"/>
  <c r="J1197" i="1" s="1"/>
  <c r="C1198" i="1"/>
  <c r="C1199" i="1"/>
  <c r="C1200" i="1"/>
  <c r="C1201" i="1"/>
  <c r="R1201" i="1" s="1"/>
  <c r="C1202" i="1"/>
  <c r="J1202" i="1" s="1"/>
  <c r="C1203" i="1"/>
  <c r="R1203" i="1" s="1"/>
  <c r="C1204" i="1"/>
  <c r="J1204" i="1" s="1"/>
  <c r="C1205" i="1"/>
  <c r="A1205" i="1" s="1"/>
  <c r="C1206" i="1"/>
  <c r="Q1206" i="1" s="1"/>
  <c r="C1207" i="1"/>
  <c r="B1207" i="1" s="1"/>
  <c r="C1208" i="1"/>
  <c r="C1209" i="1"/>
  <c r="L1209" i="1" s="1"/>
  <c r="C1210" i="1"/>
  <c r="C1211" i="1"/>
  <c r="O1211" i="1" s="1"/>
  <c r="C1212" i="1"/>
  <c r="M1212" i="1" s="1"/>
  <c r="C1213" i="1"/>
  <c r="N1213" i="1" s="1"/>
  <c r="C1214" i="1"/>
  <c r="B1214" i="1" s="1"/>
  <c r="C1215" i="1"/>
  <c r="C1216" i="1"/>
  <c r="R1216" i="1" s="1"/>
  <c r="C1217" i="1"/>
  <c r="C1218" i="1"/>
  <c r="L1218" i="1" s="1"/>
  <c r="C1219" i="1"/>
  <c r="K1219" i="1" s="1"/>
  <c r="C1220" i="1"/>
  <c r="P1220" i="1" s="1"/>
  <c r="C1221" i="1"/>
  <c r="C1222" i="1"/>
  <c r="A1175" i="1"/>
  <c r="O1076" i="1"/>
  <c r="R1076" i="1"/>
  <c r="R1060" i="1"/>
  <c r="M1060" i="1"/>
  <c r="M1084" i="1"/>
  <c r="P1084" i="1"/>
  <c r="L1068" i="1"/>
  <c r="N1068" i="1"/>
  <c r="M1068" i="1"/>
  <c r="P1080" i="1"/>
  <c r="N1080" i="1"/>
  <c r="M1080" i="1"/>
  <c r="L1080" i="1"/>
  <c r="Q1072" i="1"/>
  <c r="L1072" i="1"/>
  <c r="M1072" i="1"/>
  <c r="L1064" i="1"/>
  <c r="N1064" i="1"/>
  <c r="K1064" i="1"/>
  <c r="R1056" i="1"/>
  <c r="L1056" i="1"/>
  <c r="M1056" i="1"/>
  <c r="Q1056" i="1"/>
  <c r="C530" i="1"/>
  <c r="N530" i="1" s="1"/>
  <c r="C531" i="1"/>
  <c r="C532" i="1"/>
  <c r="O532" i="1" s="1"/>
  <c r="C533" i="1"/>
  <c r="B533" i="1" s="1"/>
  <c r="C534" i="1"/>
  <c r="M534" i="1" s="1"/>
  <c r="C535" i="1"/>
  <c r="B535" i="1" s="1"/>
  <c r="C536" i="1"/>
  <c r="L536" i="1" s="1"/>
  <c r="C537" i="1"/>
  <c r="N537" i="1" s="1"/>
  <c r="C538" i="1"/>
  <c r="R538" i="1" s="1"/>
  <c r="C539" i="1"/>
  <c r="C540" i="1"/>
  <c r="C541" i="1"/>
  <c r="C542" i="1"/>
  <c r="C543" i="1"/>
  <c r="C544" i="1"/>
  <c r="L544" i="1" s="1"/>
  <c r="C545" i="1"/>
  <c r="C546" i="1"/>
  <c r="J546" i="1" s="1"/>
  <c r="C547" i="1"/>
  <c r="C548" i="1"/>
  <c r="A548" i="1" s="1"/>
  <c r="C549" i="1"/>
  <c r="K549" i="1" s="1"/>
  <c r="C550" i="1"/>
  <c r="C551" i="1"/>
  <c r="P551" i="1" s="1"/>
  <c r="C552" i="1"/>
  <c r="C553" i="1"/>
  <c r="K553" i="1" s="1"/>
  <c r="C554" i="1"/>
  <c r="L554" i="1" s="1"/>
  <c r="C555" i="1"/>
  <c r="C556" i="1"/>
  <c r="C557" i="1"/>
  <c r="M557" i="1" s="1"/>
  <c r="C558" i="1"/>
  <c r="N558" i="1" s="1"/>
  <c r="C559" i="1"/>
  <c r="P559" i="1" s="1"/>
  <c r="C560" i="1"/>
  <c r="N560" i="1" s="1"/>
  <c r="C561" i="1"/>
  <c r="C562" i="1"/>
  <c r="L562" i="1" s="1"/>
  <c r="C563" i="1"/>
  <c r="G152" i="13"/>
  <c r="G139" i="13"/>
  <c r="C516" i="1"/>
  <c r="C517" i="1"/>
  <c r="A517" i="1" s="1"/>
  <c r="C518" i="1"/>
  <c r="N518" i="1" s="1"/>
  <c r="C519" i="1"/>
  <c r="A519" i="1" s="1"/>
  <c r="C520" i="1"/>
  <c r="B520" i="1" s="1"/>
  <c r="C521" i="1"/>
  <c r="C522" i="1"/>
  <c r="L522" i="1" s="1"/>
  <c r="C523" i="1"/>
  <c r="C524" i="1"/>
  <c r="C525" i="1"/>
  <c r="L525" i="1" s="1"/>
  <c r="C526" i="1"/>
  <c r="C527" i="1"/>
  <c r="C528" i="1"/>
  <c r="K528" i="1" s="1"/>
  <c r="C529" i="1"/>
  <c r="C515" i="1"/>
  <c r="P515" i="1" s="1"/>
  <c r="C340" i="1"/>
  <c r="C341" i="1"/>
  <c r="C342" i="1"/>
  <c r="C343" i="1"/>
  <c r="C344" i="1"/>
  <c r="C345" i="1"/>
  <c r="C346" i="1"/>
  <c r="C347" i="1"/>
  <c r="C348" i="1"/>
  <c r="C349" i="1"/>
  <c r="C350" i="1"/>
  <c r="C351" i="1"/>
  <c r="C352" i="1"/>
  <c r="C353" i="1"/>
  <c r="C338" i="1"/>
  <c r="R338"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206" i="13"/>
  <c r="C173" i="1"/>
  <c r="L173" i="1" s="1"/>
  <c r="C172" i="1"/>
  <c r="B172" i="1" s="1"/>
  <c r="C171" i="1"/>
  <c r="C170" i="1"/>
  <c r="C169" i="1"/>
  <c r="C168" i="1"/>
  <c r="K168" i="1" s="1"/>
  <c r="C167" i="1"/>
  <c r="A167" i="1" s="1"/>
  <c r="C166" i="1"/>
  <c r="C165" i="1"/>
  <c r="O165" i="1" s="1"/>
  <c r="C164" i="1"/>
  <c r="A164" i="1" s="1"/>
  <c r="C1316" i="1"/>
  <c r="A1316" i="1" s="1"/>
  <c r="C1317" i="1"/>
  <c r="P1317" i="1" s="1"/>
  <c r="C1318" i="1"/>
  <c r="M1318" i="1" s="1"/>
  <c r="C1319" i="1"/>
  <c r="R1319" i="1" s="1"/>
  <c r="C1320" i="1"/>
  <c r="O1320" i="1" s="1"/>
  <c r="C1321" i="1"/>
  <c r="A1321" i="1" s="1"/>
  <c r="C1322" i="1"/>
  <c r="L1322" i="1" s="1"/>
  <c r="C1323" i="1"/>
  <c r="C1324" i="1"/>
  <c r="P1324" i="1" s="1"/>
  <c r="C1325" i="1"/>
  <c r="K1325" i="1" s="1"/>
  <c r="C1315" i="1"/>
  <c r="O1315" i="1" s="1"/>
  <c r="J1048" i="1"/>
  <c r="R1048" i="1"/>
  <c r="L1048" i="1"/>
  <c r="N1048" i="1"/>
  <c r="Q1040" i="1"/>
  <c r="J1040" i="1"/>
  <c r="R1040" i="1"/>
  <c r="K1040" i="1"/>
  <c r="P1032" i="1"/>
  <c r="Q1032" i="1"/>
  <c r="J1032" i="1"/>
  <c r="R1032" i="1"/>
  <c r="M1032" i="1"/>
  <c r="P1024" i="1"/>
  <c r="Q1024" i="1"/>
  <c r="J1024" i="1"/>
  <c r="N1024" i="1"/>
  <c r="O1024" i="1"/>
  <c r="P1016" i="1"/>
  <c r="Q1016" i="1"/>
  <c r="N1016" i="1"/>
  <c r="O1016" i="1"/>
  <c r="M1016" i="1"/>
  <c r="P1008" i="1"/>
  <c r="N1008" i="1"/>
  <c r="O1008" i="1"/>
  <c r="K1008" i="1"/>
  <c r="L1008" i="1"/>
  <c r="K1000" i="1"/>
  <c r="L1000" i="1"/>
  <c r="M1000" i="1"/>
  <c r="N1000" i="1"/>
  <c r="R992" i="1"/>
  <c r="L992" i="1"/>
  <c r="O992" i="1"/>
  <c r="K992" i="1"/>
  <c r="J984" i="1"/>
  <c r="R984" i="1"/>
  <c r="K984" i="1"/>
  <c r="L984" i="1"/>
  <c r="L1052" i="1"/>
  <c r="N1052" i="1"/>
  <c r="R1052" i="1"/>
  <c r="L1044" i="1"/>
  <c r="J1044" i="1"/>
  <c r="Q104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492" i="1"/>
  <c r="B1492" i="1" s="1"/>
  <c r="C1493" i="1"/>
  <c r="C1494" i="1"/>
  <c r="M1494" i="1" s="1"/>
  <c r="C1491" i="1"/>
  <c r="B1491" i="1" s="1"/>
  <c r="C1497" i="1"/>
  <c r="N1497" i="1" s="1"/>
  <c r="C1498" i="1"/>
  <c r="L1498" i="1" s="1"/>
  <c r="C1499" i="1"/>
  <c r="P1499" i="1" s="1"/>
  <c r="C1496" i="1"/>
  <c r="C1507" i="1"/>
  <c r="M1507" i="1" s="1"/>
  <c r="C1508" i="1"/>
  <c r="M1508" i="1" s="1"/>
  <c r="C1509" i="1"/>
  <c r="L1509" i="1" s="1"/>
  <c r="C1506" i="1"/>
  <c r="A1506" i="1" s="1"/>
  <c r="C1512" i="1"/>
  <c r="C1513" i="1"/>
  <c r="N1513" i="1" s="1"/>
  <c r="C1514" i="1"/>
  <c r="J1514" i="1" s="1"/>
  <c r="C1511" i="1"/>
  <c r="B1511" i="1" s="1"/>
  <c r="C1517" i="1"/>
  <c r="O1517" i="1" s="1"/>
  <c r="C1518" i="1"/>
  <c r="C1519" i="1"/>
  <c r="B1519" i="1" s="1"/>
  <c r="C1516" i="1"/>
  <c r="O1516" i="1" s="1"/>
  <c r="C1522" i="1"/>
  <c r="R1522" i="1" s="1"/>
  <c r="C1523" i="1"/>
  <c r="O1523" i="1" s="1"/>
  <c r="C1524" i="1"/>
  <c r="B1524" i="1" s="1"/>
  <c r="C1521" i="1"/>
  <c r="C1532" i="1"/>
  <c r="J1532" i="1" s="1"/>
  <c r="C1533" i="1"/>
  <c r="C1534" i="1"/>
  <c r="O1534" i="1" s="1"/>
  <c r="C1531" i="1"/>
  <c r="B1531" i="1" s="1"/>
  <c r="C1536" i="1"/>
  <c r="C1537" i="1"/>
  <c r="A1537" i="1" s="1"/>
  <c r="C1538" i="1"/>
  <c r="K1538" i="1" s="1"/>
  <c r="C1539" i="1"/>
  <c r="C1486" i="1"/>
  <c r="J1486" i="1" s="1"/>
  <c r="C1487" i="1"/>
  <c r="K1487" i="1" s="1"/>
  <c r="C1488" i="1"/>
  <c r="C1489" i="1"/>
  <c r="P1489" i="1" s="1"/>
  <c r="B10" i="18"/>
  <c r="F46" i="8" s="1"/>
  <c r="B12" i="18"/>
  <c r="F80" i="8" s="1"/>
  <c r="B13" i="18"/>
  <c r="F79" i="8" s="1"/>
  <c r="B14" i="18"/>
  <c r="F66" i="8" s="1"/>
  <c r="B11" i="18"/>
  <c r="F52" i="8" s="1"/>
  <c r="B31" i="18"/>
  <c r="F165" i="8" s="1"/>
  <c r="B7" i="18"/>
  <c r="F33" i="8" s="1"/>
  <c r="B5" i="18"/>
  <c r="F9" i="8" s="1"/>
  <c r="B50" i="18"/>
  <c r="I41" i="19" s="1"/>
  <c r="O461" i="1" s="1"/>
  <c r="B49" i="18"/>
  <c r="I77" i="19" s="1"/>
  <c r="B45" i="18"/>
  <c r="F211" i="8" s="1"/>
  <c r="B44" i="18"/>
  <c r="F208" i="8" s="1"/>
  <c r="B43" i="18"/>
  <c r="F207" i="8" s="1"/>
  <c r="B42" i="18"/>
  <c r="F206" i="8" s="1"/>
  <c r="B41" i="18"/>
  <c r="F205" i="8" s="1"/>
  <c r="B40" i="18"/>
  <c r="F203" i="8" s="1"/>
  <c r="B39" i="18"/>
  <c r="F201" i="8" s="1"/>
  <c r="B38" i="18"/>
  <c r="F199" i="8" s="1"/>
  <c r="B37" i="18"/>
  <c r="F198" i="8" s="1"/>
  <c r="B36" i="18"/>
  <c r="F182" i="8" s="1"/>
  <c r="B35" i="18"/>
  <c r="F173" i="8" s="1"/>
  <c r="B34" i="18"/>
  <c r="F170" i="8"/>
  <c r="B33" i="18"/>
  <c r="F169" i="8" s="1"/>
  <c r="B32" i="18"/>
  <c r="F172" i="8" s="1"/>
  <c r="B30" i="18"/>
  <c r="F156" i="8" s="1"/>
  <c r="B29" i="18"/>
  <c r="F127" i="8" s="1"/>
  <c r="B28" i="18"/>
  <c r="F131" i="8" s="1"/>
  <c r="B27" i="18"/>
  <c r="B26" i="18"/>
  <c r="F120" i="8" s="1"/>
  <c r="B25" i="18"/>
  <c r="F137" i="8" s="1"/>
  <c r="B24" i="18"/>
  <c r="F136" i="8" s="1"/>
  <c r="B23" i="18"/>
  <c r="F107" i="8" s="1"/>
  <c r="B22" i="18"/>
  <c r="F103" i="8" s="1"/>
  <c r="B21" i="18"/>
  <c r="F98" i="8" s="1"/>
  <c r="B16" i="18"/>
  <c r="F104" i="8" s="1"/>
  <c r="B15" i="18"/>
  <c r="B9" i="18"/>
  <c r="F75" i="8" s="1"/>
  <c r="B8" i="18"/>
  <c r="F42" i="8" s="1"/>
  <c r="B6" i="18"/>
  <c r="F23" i="8" s="1"/>
  <c r="B3" i="18"/>
  <c r="F153" i="8" s="1"/>
  <c r="C245" i="1"/>
  <c r="B245" i="1" s="1"/>
  <c r="C279" i="1"/>
  <c r="O279" i="1" s="1"/>
  <c r="C278" i="1"/>
  <c r="N278" i="1" s="1"/>
  <c r="C277" i="1"/>
  <c r="R277" i="1" s="1"/>
  <c r="C276" i="1"/>
  <c r="L276" i="1" s="1"/>
  <c r="C275" i="1"/>
  <c r="O275" i="1" s="1"/>
  <c r="C274" i="1"/>
  <c r="C273" i="1"/>
  <c r="P273" i="1" s="1"/>
  <c r="C272" i="1"/>
  <c r="R272" i="1" s="1"/>
  <c r="C271" i="1"/>
  <c r="B271" i="1" s="1"/>
  <c r="C270" i="1"/>
  <c r="M270" i="1" s="1"/>
  <c r="C269" i="1"/>
  <c r="P269" i="1" s="1"/>
  <c r="C268" i="1"/>
  <c r="C267" i="1"/>
  <c r="Q267" i="1" s="1"/>
  <c r="C266" i="1"/>
  <c r="C264" i="1"/>
  <c r="J264" i="1" s="1"/>
  <c r="C1484" i="1"/>
  <c r="C1420" i="1"/>
  <c r="C415" i="1"/>
  <c r="Q415" i="1" s="1"/>
  <c r="C1233" i="1"/>
  <c r="K1233" i="1" s="1"/>
  <c r="C1232" i="1"/>
  <c r="J1232" i="1" s="1"/>
  <c r="C1228" i="1"/>
  <c r="O1228" i="1" s="1"/>
  <c r="C1229" i="1"/>
  <c r="J1229" i="1" s="1"/>
  <c r="C1340" i="1"/>
  <c r="O1340" i="1" s="1"/>
  <c r="C1339" i="1"/>
  <c r="P1339" i="1" s="1"/>
  <c r="C1338" i="1"/>
  <c r="C1337" i="1"/>
  <c r="Q1337" i="1" s="1"/>
  <c r="C1336" i="1"/>
  <c r="C1335" i="1"/>
  <c r="C1334" i="1"/>
  <c r="J1334" i="1" s="1"/>
  <c r="C1333" i="1"/>
  <c r="L1333" i="1" s="1"/>
  <c r="C1332" i="1"/>
  <c r="N1332" i="1" s="1"/>
  <c r="C1331" i="1"/>
  <c r="R1331" i="1" s="1"/>
  <c r="C1330" i="1"/>
  <c r="C1329" i="1"/>
  <c r="O1329" i="1" s="1"/>
  <c r="C1328" i="1"/>
  <c r="C1327" i="1"/>
  <c r="C329" i="1"/>
  <c r="Q329" i="1" s="1"/>
  <c r="C328" i="1"/>
  <c r="N328" i="1" s="1"/>
  <c r="C327" i="1"/>
  <c r="N327" i="1" s="1"/>
  <c r="C252" i="1"/>
  <c r="K252" i="1" s="1"/>
  <c r="C251" i="1"/>
  <c r="R251" i="1" s="1"/>
  <c r="C250" i="1"/>
  <c r="C1313" i="1"/>
  <c r="K1313" i="1" s="1"/>
  <c r="C1312" i="1"/>
  <c r="C575" i="1"/>
  <c r="C576" i="1"/>
  <c r="C577" i="1"/>
  <c r="A577" i="1" s="1"/>
  <c r="C578" i="1"/>
  <c r="L578" i="1" s="1"/>
  <c r="C579" i="1"/>
  <c r="O579" i="1" s="1"/>
  <c r="C580" i="1"/>
  <c r="C581" i="1"/>
  <c r="Q581" i="1" s="1"/>
  <c r="C582" i="1"/>
  <c r="A582" i="1" s="1"/>
  <c r="C583" i="1"/>
  <c r="R583" i="1" s="1"/>
  <c r="C584" i="1"/>
  <c r="Q584" i="1" s="1"/>
  <c r="C585" i="1"/>
  <c r="A585" i="1" s="1"/>
  <c r="C586" i="1"/>
  <c r="R586" i="1" s="1"/>
  <c r="C587" i="1"/>
  <c r="O587" i="1" s="1"/>
  <c r="C588" i="1"/>
  <c r="B588" i="1" s="1"/>
  <c r="C589" i="1"/>
  <c r="R589" i="1" s="1"/>
  <c r="C590" i="1"/>
  <c r="K590" i="1" s="1"/>
  <c r="C591" i="1"/>
  <c r="M591" i="1" s="1"/>
  <c r="C592" i="1"/>
  <c r="J592" i="1" s="1"/>
  <c r="C593" i="1"/>
  <c r="L593" i="1" s="1"/>
  <c r="C594" i="1"/>
  <c r="C595" i="1"/>
  <c r="B595" i="1" s="1"/>
  <c r="C596" i="1"/>
  <c r="J596" i="1" s="1"/>
  <c r="C597" i="1"/>
  <c r="B597" i="1" s="1"/>
  <c r="C598" i="1"/>
  <c r="C599" i="1"/>
  <c r="C600" i="1"/>
  <c r="C601" i="1"/>
  <c r="Q601" i="1" s="1"/>
  <c r="C602" i="1"/>
  <c r="C603" i="1"/>
  <c r="M603" i="1" s="1"/>
  <c r="C604" i="1"/>
  <c r="C605" i="1"/>
  <c r="B605" i="1" s="1"/>
  <c r="C606" i="1"/>
  <c r="Q606" i="1" s="1"/>
  <c r="C607" i="1"/>
  <c r="J607" i="1" s="1"/>
  <c r="C608" i="1"/>
  <c r="C609" i="1"/>
  <c r="J609" i="1" s="1"/>
  <c r="C610" i="1"/>
  <c r="O610" i="1" s="1"/>
  <c r="C611" i="1"/>
  <c r="K611" i="1" s="1"/>
  <c r="C612" i="1"/>
  <c r="C613" i="1"/>
  <c r="J613" i="1" s="1"/>
  <c r="C614" i="1"/>
  <c r="C615" i="1"/>
  <c r="K615" i="1" s="1"/>
  <c r="C616" i="1"/>
  <c r="M616" i="1" s="1"/>
  <c r="C617" i="1"/>
  <c r="K617" i="1" s="1"/>
  <c r="C618" i="1"/>
  <c r="O618" i="1" s="1"/>
  <c r="C619" i="1"/>
  <c r="R619" i="1" s="1"/>
  <c r="C620" i="1"/>
  <c r="C621" i="1"/>
  <c r="C622" i="1"/>
  <c r="Q622" i="1" s="1"/>
  <c r="C623" i="1"/>
  <c r="P623" i="1" s="1"/>
  <c r="C624" i="1"/>
  <c r="L624" i="1" s="1"/>
  <c r="C625" i="1"/>
  <c r="A625" i="1" s="1"/>
  <c r="C626" i="1"/>
  <c r="C627" i="1"/>
  <c r="A627" i="1" s="1"/>
  <c r="C628" i="1"/>
  <c r="A628" i="1" s="1"/>
  <c r="C629" i="1"/>
  <c r="A629" i="1" s="1"/>
  <c r="C630" i="1"/>
  <c r="J630" i="1" s="1"/>
  <c r="C574" i="1"/>
  <c r="C573" i="1"/>
  <c r="R573" i="1" s="1"/>
  <c r="C1243" i="1"/>
  <c r="J1243" i="1" s="1"/>
  <c r="C1242" i="1"/>
  <c r="J1242" i="1" s="1"/>
  <c r="C1241" i="1"/>
  <c r="C1240" i="1"/>
  <c r="C1239" i="1"/>
  <c r="R1239" i="1" s="1"/>
  <c r="C1238" i="1"/>
  <c r="B1238" i="1" s="1"/>
  <c r="C1237" i="1"/>
  <c r="C1236" i="1"/>
  <c r="L1236" i="1" s="1"/>
  <c r="C1279" i="1"/>
  <c r="C1280" i="1"/>
  <c r="L1280" i="1" s="1"/>
  <c r="C1281" i="1"/>
  <c r="C1282" i="1"/>
  <c r="R1282" i="1" s="1"/>
  <c r="C1283" i="1"/>
  <c r="P1283" i="1" s="1"/>
  <c r="C1353" i="1"/>
  <c r="Q1353" i="1" s="1"/>
  <c r="C1354" i="1"/>
  <c r="C1355" i="1"/>
  <c r="B1355" i="1" s="1"/>
  <c r="C1356" i="1"/>
  <c r="C1357" i="1"/>
  <c r="Q1357" i="1" s="1"/>
  <c r="C192" i="1"/>
  <c r="C197" i="1"/>
  <c r="B197" i="1" s="1"/>
  <c r="C202" i="1"/>
  <c r="J202" i="1" s="1"/>
  <c r="C190" i="1"/>
  <c r="K190" i="1" s="1"/>
  <c r="C191" i="1"/>
  <c r="J191" i="1" s="1"/>
  <c r="C193" i="1"/>
  <c r="Q193" i="1" s="1"/>
  <c r="C194" i="1"/>
  <c r="M194" i="1" s="1"/>
  <c r="C195" i="1"/>
  <c r="O195" i="1" s="1"/>
  <c r="C196" i="1"/>
  <c r="C198" i="1"/>
  <c r="Q198" i="1" s="1"/>
  <c r="C199" i="1"/>
  <c r="Q199" i="1" s="1"/>
  <c r="C200" i="1"/>
  <c r="P200" i="1" s="1"/>
  <c r="C201" i="1"/>
  <c r="P201" i="1" s="1"/>
  <c r="B17" i="10"/>
  <c r="C1225" i="1"/>
  <c r="K1225" i="1" s="1"/>
  <c r="C1224"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362" i="1"/>
  <c r="N362" i="1" s="1"/>
  <c r="C322" i="1"/>
  <c r="J322" i="1" s="1"/>
  <c r="C572" i="1"/>
  <c r="C571" i="1"/>
  <c r="B571" i="1" s="1"/>
  <c r="C570" i="1"/>
  <c r="C569" i="1"/>
  <c r="P569" i="1" s="1"/>
  <c r="C568" i="1"/>
  <c r="A568" i="1" s="1"/>
  <c r="C412" i="1"/>
  <c r="C411" i="1"/>
  <c r="C143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439" i="1"/>
  <c r="C249" i="1"/>
  <c r="K249" i="1" s="1"/>
  <c r="C326" i="1"/>
  <c r="Q326" i="1" s="1"/>
  <c r="C1438" i="1"/>
  <c r="N1438" i="1" s="1"/>
  <c r="C248" i="1"/>
  <c r="R248" i="1" s="1"/>
  <c r="C325" i="1"/>
  <c r="C1278" i="1"/>
  <c r="A1278" i="1" s="1"/>
  <c r="C1352" i="1"/>
  <c r="L1352" i="1" s="1"/>
  <c r="C163" i="1"/>
  <c r="C1277" i="1"/>
  <c r="K1277"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258" i="1"/>
  <c r="A1258" i="1" s="1"/>
  <c r="C1259" i="1"/>
  <c r="C1260" i="1"/>
  <c r="N1260" i="1" s="1"/>
  <c r="C1261" i="1"/>
  <c r="C1262" i="1"/>
  <c r="A1262" i="1" s="1"/>
  <c r="C239" i="1"/>
  <c r="B239" i="1" s="1"/>
  <c r="C240" i="1"/>
  <c r="C241" i="1"/>
  <c r="P241" i="1" s="1"/>
  <c r="C242" i="1"/>
  <c r="J242" i="1" s="1"/>
  <c r="C243" i="1"/>
  <c r="N243" i="1" s="1"/>
  <c r="C244" i="1"/>
  <c r="J244" i="1" s="1"/>
  <c r="C246" i="1"/>
  <c r="C247" i="1"/>
  <c r="R247" i="1" s="1"/>
  <c r="C237" i="1"/>
  <c r="J237" i="1" s="1"/>
  <c r="C323" i="1"/>
  <c r="Q323" i="1" s="1"/>
  <c r="C324" i="1"/>
  <c r="C189" i="1"/>
  <c r="M189" i="1" s="1"/>
  <c r="C209" i="1"/>
  <c r="A209" i="1" s="1"/>
  <c r="C210" i="1"/>
  <c r="O210" i="1" s="1"/>
  <c r="C211" i="1"/>
  <c r="C212" i="1"/>
  <c r="R212" i="1" s="1"/>
  <c r="C213" i="1"/>
  <c r="B213" i="1" s="1"/>
  <c r="C214" i="1"/>
  <c r="C215" i="1"/>
  <c r="C216" i="1"/>
  <c r="A216" i="1" s="1"/>
  <c r="C217" i="1"/>
  <c r="K217" i="1" s="1"/>
  <c r="C218" i="1"/>
  <c r="B218" i="1" s="1"/>
  <c r="C219" i="1"/>
  <c r="C220" i="1"/>
  <c r="O220" i="1" s="1"/>
  <c r="B194" i="13"/>
  <c r="B196" i="13"/>
  <c r="B197" i="13"/>
  <c r="C1483" i="1"/>
  <c r="C1482" i="1"/>
  <c r="C1481" i="1"/>
  <c r="C1480" i="1"/>
  <c r="C1479" i="1"/>
  <c r="C1460" i="1"/>
  <c r="C1459" i="1"/>
  <c r="C1458" i="1"/>
  <c r="C1457" i="1"/>
  <c r="C1456" i="1"/>
  <c r="C1455" i="1"/>
  <c r="C1454" i="1"/>
  <c r="C1436" i="1"/>
  <c r="K1436" i="1" s="1"/>
  <c r="C1435" i="1"/>
  <c r="C1434" i="1"/>
  <c r="N1434" i="1" s="1"/>
  <c r="C1433" i="1"/>
  <c r="C1432" i="1"/>
  <c r="C1431" i="1"/>
  <c r="C1430" i="1"/>
  <c r="C1419" i="1"/>
  <c r="C1418" i="1"/>
  <c r="K1418" i="1" s="1"/>
  <c r="C1417" i="1"/>
  <c r="C1416" i="1"/>
  <c r="C1415" i="1"/>
  <c r="C1427" i="1"/>
  <c r="C1426" i="1"/>
  <c r="N1426" i="1" s="1"/>
  <c r="C1425" i="1"/>
  <c r="N1425" i="1" s="1"/>
  <c r="C1424" i="1"/>
  <c r="B1424" i="1" s="1"/>
  <c r="C1423" i="1"/>
  <c r="N1423" i="1" s="1"/>
  <c r="C1396" i="1"/>
  <c r="C1395" i="1"/>
  <c r="C1394" i="1"/>
  <c r="C1393" i="1"/>
  <c r="C1392" i="1"/>
  <c r="C1391" i="1"/>
  <c r="K1391" i="1" s="1"/>
  <c r="C1390" i="1"/>
  <c r="C1366" i="1"/>
  <c r="C1360" i="1"/>
  <c r="C1361" i="1"/>
  <c r="A1361" i="1" s="1"/>
  <c r="C1362" i="1"/>
  <c r="C1363" i="1"/>
  <c r="C1359" i="1"/>
  <c r="C1276" i="1"/>
  <c r="C1265" i="1"/>
  <c r="C1266" i="1"/>
  <c r="P1266" i="1" s="1"/>
  <c r="C1267" i="1"/>
  <c r="B1267" i="1" s="1"/>
  <c r="C1268" i="1"/>
  <c r="J1268" i="1" s="1"/>
  <c r="C1269" i="1"/>
  <c r="A1269" i="1" s="1"/>
  <c r="C1270" i="1"/>
  <c r="Q1270" i="1" s="1"/>
  <c r="C1271" i="1"/>
  <c r="C1272" i="1"/>
  <c r="K1272" i="1" s="1"/>
  <c r="C1273" i="1"/>
  <c r="L1273" i="1" s="1"/>
  <c r="C1274" i="1"/>
  <c r="B1274" i="1" s="1"/>
  <c r="C1275" i="1"/>
  <c r="C1264" i="1"/>
  <c r="K1264" i="1" s="1"/>
  <c r="C316" i="1"/>
  <c r="B316" i="1" s="1"/>
  <c r="C317" i="1"/>
  <c r="C318" i="1"/>
  <c r="R318" i="1" s="1"/>
  <c r="C319" i="1"/>
  <c r="C320" i="1"/>
  <c r="L320" i="1" s="1"/>
  <c r="C321" i="1"/>
  <c r="R321" i="1" s="1"/>
  <c r="C315" i="1"/>
  <c r="N315" i="1" s="1"/>
  <c r="C232" i="1"/>
  <c r="P232" i="1" s="1"/>
  <c r="C233" i="1"/>
  <c r="C234" i="1"/>
  <c r="A234" i="1" s="1"/>
  <c r="C235" i="1"/>
  <c r="C231" i="1"/>
  <c r="A231" i="1" s="1"/>
  <c r="C229" i="1"/>
  <c r="C228" i="1"/>
  <c r="P228" i="1" s="1"/>
  <c r="C205" i="1"/>
  <c r="L205" i="1" s="1"/>
  <c r="C206" i="1"/>
  <c r="C207" i="1"/>
  <c r="K207" i="1" s="1"/>
  <c r="C208" i="1"/>
  <c r="C204" i="1"/>
  <c r="C150" i="1"/>
  <c r="L150" i="1" s="1"/>
  <c r="C1351" i="1"/>
  <c r="C1350" i="1"/>
  <c r="C1349" i="1"/>
  <c r="A1349" i="1" s="1"/>
  <c r="C1348" i="1"/>
  <c r="O1348" i="1" s="1"/>
  <c r="C1347" i="1"/>
  <c r="B1347" i="1" s="1"/>
  <c r="C1346" i="1"/>
  <c r="L1346" i="1" s="1"/>
  <c r="C1345" i="1"/>
  <c r="C1344" i="1"/>
  <c r="C1343" i="1"/>
  <c r="N1343" i="1" s="1"/>
  <c r="C1342" i="1"/>
  <c r="R439" i="1"/>
  <c r="F91" i="8"/>
  <c r="M974" i="1"/>
  <c r="O976" i="1"/>
  <c r="J976" i="1"/>
  <c r="K976" i="1"/>
  <c r="L976" i="1"/>
  <c r="P980" i="1"/>
  <c r="F181" i="8"/>
  <c r="F105" i="8"/>
  <c r="F72" i="8"/>
  <c r="F2" i="8"/>
  <c r="B159" i="13"/>
  <c r="F71" i="8"/>
  <c r="F34" i="8"/>
  <c r="F95" i="8"/>
  <c r="F133" i="8"/>
  <c r="F29" i="8"/>
  <c r="F187" i="8"/>
  <c r="F20" i="8"/>
  <c r="F134" i="8"/>
  <c r="F122" i="8"/>
  <c r="F196" i="8"/>
  <c r="B188" i="13"/>
  <c r="B189" i="13"/>
  <c r="F210" i="8"/>
  <c r="F97" i="8"/>
  <c r="F15" i="8"/>
  <c r="F132" i="8"/>
  <c r="F28" i="8"/>
  <c r="F49" i="8"/>
  <c r="F124" i="8"/>
  <c r="B160" i="13"/>
  <c r="F96" i="8"/>
  <c r="A131" i="13"/>
  <c r="F128" i="8"/>
  <c r="A118" i="13"/>
  <c r="A120" i="13"/>
  <c r="A121" i="13"/>
  <c r="F180" i="8"/>
  <c r="F18" i="8"/>
  <c r="F146" i="8"/>
  <c r="F167" i="8"/>
  <c r="F19" i="8"/>
  <c r="F8" i="8"/>
  <c r="F27" i="8"/>
  <c r="F58" i="8"/>
  <c r="F39" i="8"/>
  <c r="F123" i="8"/>
  <c r="F14" i="8"/>
  <c r="F21" i="8"/>
  <c r="F171" i="8"/>
  <c r="B163" i="13"/>
  <c r="A103" i="13"/>
  <c r="A105" i="13"/>
  <c r="A106" i="13"/>
  <c r="F92" i="8"/>
  <c r="F16" i="8"/>
  <c r="F11" i="8"/>
  <c r="F30" i="8"/>
  <c r="F38" i="8"/>
  <c r="F149" i="8"/>
  <c r="F35" i="8"/>
  <c r="F3" i="8"/>
  <c r="F148" i="8"/>
  <c r="F13" i="8"/>
  <c r="F24" i="8"/>
  <c r="F93" i="8"/>
  <c r="F147" i="8"/>
  <c r="F37" i="8"/>
  <c r="F12" i="8"/>
  <c r="F150" i="8"/>
  <c r="F36" i="8"/>
  <c r="F6" i="8"/>
  <c r="F151" i="8"/>
  <c r="F88" i="8"/>
  <c r="F94" i="8"/>
  <c r="F32" i="8"/>
  <c r="F7" i="8"/>
  <c r="F31" i="8"/>
  <c r="F10" i="8"/>
  <c r="F17" i="8"/>
  <c r="F26" i="8"/>
  <c r="F90" i="8"/>
  <c r="F89" i="8"/>
  <c r="F60" i="8"/>
  <c r="A122" i="13"/>
  <c r="A111" i="13"/>
  <c r="A107" i="13"/>
  <c r="F204" i="8" l="1"/>
  <c r="F200" i="8"/>
  <c r="F696" i="15"/>
  <c r="C695" i="15"/>
  <c r="B679" i="15"/>
  <c r="B678" i="15" s="1"/>
  <c r="B688" i="15" s="1"/>
  <c r="C694" i="15"/>
  <c r="E693" i="15"/>
  <c r="B689" i="15"/>
  <c r="C693" i="15"/>
  <c r="O1429" i="1"/>
  <c r="Q1062" i="1"/>
  <c r="Q1054" i="1"/>
  <c r="J1062" i="1"/>
  <c r="P1070" i="1"/>
  <c r="R998" i="1"/>
  <c r="K1006" i="1"/>
  <c r="L999" i="1"/>
  <c r="L1014" i="1"/>
  <c r="N1039" i="1"/>
  <c r="J1070" i="1"/>
  <c r="O1022" i="1"/>
  <c r="R1078" i="1"/>
  <c r="K1015" i="1"/>
  <c r="N1030" i="1"/>
  <c r="N1055" i="1"/>
  <c r="M975" i="1"/>
  <c r="P982" i="1"/>
  <c r="P1038" i="1"/>
  <c r="J1071" i="1"/>
  <c r="P990" i="1"/>
  <c r="O1046" i="1"/>
  <c r="J990" i="1"/>
  <c r="P983" i="1"/>
  <c r="L975" i="1"/>
  <c r="O983" i="1"/>
  <c r="R999" i="1"/>
  <c r="Q1015" i="1"/>
  <c r="L1039" i="1"/>
  <c r="M1055" i="1"/>
  <c r="K1071" i="1"/>
  <c r="R975" i="1"/>
  <c r="L983" i="1"/>
  <c r="J999" i="1"/>
  <c r="M1023" i="1"/>
  <c r="K1039" i="1"/>
  <c r="J1055" i="1"/>
  <c r="Q1071" i="1"/>
  <c r="Q983" i="1"/>
  <c r="O1007" i="1"/>
  <c r="L1023" i="1"/>
  <c r="O1047" i="1"/>
  <c r="O1063" i="1"/>
  <c r="L1079" i="1"/>
  <c r="P991" i="1"/>
  <c r="K1007" i="1"/>
  <c r="J1023" i="1"/>
  <c r="P1047" i="1"/>
  <c r="L1063" i="1"/>
  <c r="O1079" i="1"/>
  <c r="L991" i="1"/>
  <c r="R1007" i="1"/>
  <c r="O1031" i="1"/>
  <c r="L1047" i="1"/>
  <c r="N1063" i="1"/>
  <c r="K1079" i="1"/>
  <c r="J991" i="1"/>
  <c r="M1015" i="1"/>
  <c r="N1031" i="1"/>
  <c r="Q1047" i="1"/>
  <c r="Q1063" i="1"/>
  <c r="Q991" i="1"/>
  <c r="N1015" i="1"/>
  <c r="R1031" i="1"/>
  <c r="R1071" i="1"/>
  <c r="F161" i="8"/>
  <c r="F174" i="8"/>
  <c r="F162" i="8"/>
  <c r="F155" i="8"/>
  <c r="F202" i="8"/>
  <c r="F168" i="8"/>
  <c r="F141" i="8"/>
  <c r="F138" i="8"/>
  <c r="F139" i="8"/>
  <c r="F197" i="8"/>
  <c r="F209" i="8"/>
  <c r="F158" i="8"/>
  <c r="F144" i="8"/>
  <c r="F166" i="8"/>
  <c r="F145" i="8"/>
  <c r="F186" i="8"/>
  <c r="F126" i="8"/>
  <c r="F157" i="8"/>
  <c r="F177" i="8"/>
  <c r="F99" i="8"/>
  <c r="F183" i="8"/>
  <c r="F142" i="8"/>
  <c r="F176" i="8"/>
  <c r="F41" i="8"/>
  <c r="L974" i="1"/>
  <c r="O982" i="1"/>
  <c r="O990" i="1"/>
  <c r="Q998" i="1"/>
  <c r="J998" i="1"/>
  <c r="R1006" i="1"/>
  <c r="K1014" i="1"/>
  <c r="L1022" i="1"/>
  <c r="M1030" i="1"/>
  <c r="O1038" i="1"/>
  <c r="M1046" i="1"/>
  <c r="O1062" i="1"/>
  <c r="O1054" i="1"/>
  <c r="M1070" i="1"/>
  <c r="O1078" i="1"/>
  <c r="J1078" i="1"/>
  <c r="M982" i="1"/>
  <c r="M990" i="1"/>
  <c r="P998" i="1"/>
  <c r="P1006" i="1"/>
  <c r="J1006" i="1"/>
  <c r="R1014" i="1"/>
  <c r="K1022" i="1"/>
  <c r="L1030" i="1"/>
  <c r="M1038" i="1"/>
  <c r="N1046" i="1"/>
  <c r="N1062" i="1"/>
  <c r="M1054" i="1"/>
  <c r="Q1070" i="1"/>
  <c r="M1078" i="1"/>
  <c r="L982" i="1"/>
  <c r="Q990" i="1"/>
  <c r="O998" i="1"/>
  <c r="N1006" i="1"/>
  <c r="Q1014" i="1"/>
  <c r="J1014" i="1"/>
  <c r="R1022" i="1"/>
  <c r="K1030" i="1"/>
  <c r="L1038" i="1"/>
  <c r="P1046" i="1"/>
  <c r="P1062" i="1"/>
  <c r="N1054" i="1"/>
  <c r="O1070" i="1"/>
  <c r="K1078" i="1"/>
  <c r="J974" i="1"/>
  <c r="R974" i="1"/>
  <c r="K982" i="1"/>
  <c r="N990" i="1"/>
  <c r="M998" i="1"/>
  <c r="O1006" i="1"/>
  <c r="P1014" i="1"/>
  <c r="N1022" i="1"/>
  <c r="J1022" i="1"/>
  <c r="R1030" i="1"/>
  <c r="K1038" i="1"/>
  <c r="L1046" i="1"/>
  <c r="M1062" i="1"/>
  <c r="P1054" i="1"/>
  <c r="N1070" i="1"/>
  <c r="Q1078" i="1"/>
  <c r="O974" i="1"/>
  <c r="J982" i="1"/>
  <c r="L990" i="1"/>
  <c r="N998" i="1"/>
  <c r="M1006" i="1"/>
  <c r="O1014" i="1"/>
  <c r="M1022" i="1"/>
  <c r="Q1030" i="1"/>
  <c r="J1030" i="1"/>
  <c r="R1038" i="1"/>
  <c r="K1046" i="1"/>
  <c r="K1062" i="1"/>
  <c r="L1054" i="1"/>
  <c r="K1070" i="1"/>
  <c r="P1078" i="1"/>
  <c r="Q974" i="1"/>
  <c r="R982" i="1"/>
  <c r="K990" i="1"/>
  <c r="L998" i="1"/>
  <c r="Q1006" i="1"/>
  <c r="N1014" i="1"/>
  <c r="Q1022" i="1"/>
  <c r="O1030" i="1"/>
  <c r="N1038" i="1"/>
  <c r="J1038" i="1"/>
  <c r="R1046" i="1"/>
  <c r="L1062" i="1"/>
  <c r="R1054" i="1"/>
  <c r="L1070" i="1"/>
  <c r="N1078" i="1"/>
  <c r="K974" i="1"/>
  <c r="N974" i="1"/>
  <c r="N982" i="1"/>
  <c r="Q1046" i="1"/>
  <c r="K1054" i="1"/>
  <c r="Q599" i="1"/>
  <c r="K599" i="1"/>
  <c r="L599" i="1"/>
  <c r="M599" i="1"/>
  <c r="N599" i="1"/>
  <c r="O599" i="1"/>
  <c r="P599" i="1"/>
  <c r="J599" i="1"/>
  <c r="O1064" i="1"/>
  <c r="K1072" i="1"/>
  <c r="O1080" i="1"/>
  <c r="Q984" i="1"/>
  <c r="J992" i="1"/>
  <c r="R1000" i="1"/>
  <c r="M1008" i="1"/>
  <c r="L1016" i="1"/>
  <c r="M1024" i="1"/>
  <c r="K1032" i="1"/>
  <c r="N1040" i="1"/>
  <c r="P1040" i="1"/>
  <c r="Q1048" i="1"/>
  <c r="J1056" i="1"/>
  <c r="R1064" i="1"/>
  <c r="N1072" i="1"/>
  <c r="K1080" i="1"/>
  <c r="O984" i="1"/>
  <c r="P984" i="1"/>
  <c r="Q992" i="1"/>
  <c r="J1000" i="1"/>
  <c r="R1008" i="1"/>
  <c r="K1016" i="1"/>
  <c r="L1024" i="1"/>
  <c r="O1032" i="1"/>
  <c r="O1040" i="1"/>
  <c r="M1048" i="1"/>
  <c r="P1048" i="1"/>
  <c r="N1056" i="1"/>
  <c r="P1056" i="1"/>
  <c r="J1064" i="1"/>
  <c r="R1072" i="1"/>
  <c r="Q1080" i="1"/>
  <c r="P976" i="1"/>
  <c r="N984" i="1"/>
  <c r="N992" i="1"/>
  <c r="P992" i="1"/>
  <c r="Q1000" i="1"/>
  <c r="J1008" i="1"/>
  <c r="R1016" i="1"/>
  <c r="K1024" i="1"/>
  <c r="L1032" i="1"/>
  <c r="M1040" i="1"/>
  <c r="K1048" i="1"/>
  <c r="K1056" i="1"/>
  <c r="Q1064" i="1"/>
  <c r="P1064" i="1"/>
  <c r="J1072" i="1"/>
  <c r="R1080" i="1"/>
  <c r="R976" i="1"/>
  <c r="N976" i="1"/>
  <c r="Q976" i="1"/>
  <c r="M976" i="1"/>
  <c r="M984" i="1"/>
  <c r="M992" i="1"/>
  <c r="O1000" i="1"/>
  <c r="P1000" i="1"/>
  <c r="Q1008" i="1"/>
  <c r="J1016" i="1"/>
  <c r="R1024" i="1"/>
  <c r="N1032" i="1"/>
  <c r="L1040" i="1"/>
  <c r="O1048" i="1"/>
  <c r="O1056" i="1"/>
  <c r="M1064" i="1"/>
  <c r="O1072" i="1"/>
  <c r="P1072" i="1"/>
  <c r="J1080" i="1"/>
  <c r="B1481" i="1"/>
  <c r="P1365" i="1"/>
  <c r="P1383" i="1"/>
  <c r="P1367" i="1"/>
  <c r="P1380" i="1"/>
  <c r="P1385" i="1"/>
  <c r="P1369" i="1"/>
  <c r="P1382" i="1"/>
  <c r="P1372" i="1"/>
  <c r="P1387" i="1"/>
  <c r="P1386" i="1"/>
  <c r="P1378" i="1"/>
  <c r="P1375" i="1"/>
  <c r="P1374" i="1"/>
  <c r="P1370" i="1"/>
  <c r="P1377" i="1"/>
  <c r="P1376" i="1"/>
  <c r="P1381" i="1"/>
  <c r="P1368" i="1"/>
  <c r="P1373" i="1"/>
  <c r="P1379" i="1"/>
  <c r="P1371" i="1"/>
  <c r="P1384" i="1"/>
  <c r="O1441" i="1"/>
  <c r="O1449" i="1"/>
  <c r="O1444" i="1"/>
  <c r="O1442" i="1"/>
  <c r="O1450" i="1"/>
  <c r="O1443" i="1"/>
  <c r="O1445" i="1"/>
  <c r="O1446" i="1"/>
  <c r="O1447" i="1"/>
  <c r="O1440" i="1"/>
  <c r="O1448" i="1"/>
  <c r="O1451" i="1"/>
  <c r="Q1365" i="1"/>
  <c r="Q1382" i="1"/>
  <c r="Q1375" i="1"/>
  <c r="Q1370" i="1"/>
  <c r="Q1369" i="1"/>
  <c r="Q1387" i="1"/>
  <c r="Q1374" i="1"/>
  <c r="Q1378" i="1"/>
  <c r="Q1379" i="1"/>
  <c r="Q1381" i="1"/>
  <c r="Q1371" i="1"/>
  <c r="Q1386" i="1"/>
  <c r="Q1385" i="1"/>
  <c r="Q1377" i="1"/>
  <c r="Q1384" i="1"/>
  <c r="Q1373" i="1"/>
  <c r="Q1376" i="1"/>
  <c r="Q1368" i="1"/>
  <c r="Q1380" i="1"/>
  <c r="Q1383" i="1"/>
  <c r="Q1367" i="1"/>
  <c r="Q1372" i="1"/>
  <c r="B1429" i="1"/>
  <c r="B1443" i="1"/>
  <c r="B1442" i="1"/>
  <c r="B1445" i="1"/>
  <c r="B1451" i="1"/>
  <c r="B1444" i="1"/>
  <c r="B1450" i="1"/>
  <c r="B1449" i="1"/>
  <c r="B1446" i="1"/>
  <c r="B1441" i="1"/>
  <c r="B1448" i="1"/>
  <c r="B1447" i="1"/>
  <c r="B1440" i="1"/>
  <c r="P1429" i="1"/>
  <c r="P1440" i="1"/>
  <c r="P1448" i="1"/>
  <c r="P1450" i="1"/>
  <c r="P1441" i="1"/>
  <c r="P1449" i="1"/>
  <c r="P1443" i="1"/>
  <c r="P1444" i="1"/>
  <c r="P1445" i="1"/>
  <c r="P1446" i="1"/>
  <c r="P1442" i="1"/>
  <c r="P1451" i="1"/>
  <c r="P1447" i="1"/>
  <c r="R1365" i="1"/>
  <c r="R1375" i="1"/>
  <c r="R1386" i="1"/>
  <c r="R1369" i="1"/>
  <c r="R1378" i="1"/>
  <c r="R1382" i="1"/>
  <c r="R1373" i="1"/>
  <c r="R1380" i="1"/>
  <c r="R1370" i="1"/>
  <c r="R1385" i="1"/>
  <c r="R1384" i="1"/>
  <c r="R1376" i="1"/>
  <c r="R1368" i="1"/>
  <c r="R1372" i="1"/>
  <c r="R1383" i="1"/>
  <c r="R1381" i="1"/>
  <c r="R1367" i="1"/>
  <c r="R1374" i="1"/>
  <c r="R1387" i="1"/>
  <c r="R1371" i="1"/>
  <c r="R1379" i="1"/>
  <c r="R1377" i="1"/>
  <c r="Q1429" i="1"/>
  <c r="Q1447" i="1"/>
  <c r="Q1441" i="1"/>
  <c r="Q1440" i="1"/>
  <c r="Q1448" i="1"/>
  <c r="Q1450" i="1"/>
  <c r="Q1443" i="1"/>
  <c r="Q1451" i="1"/>
  <c r="Q1444" i="1"/>
  <c r="Q1445" i="1"/>
  <c r="Q1449" i="1"/>
  <c r="Q1446" i="1"/>
  <c r="Q1442" i="1"/>
  <c r="J1365" i="1"/>
  <c r="J1369" i="1"/>
  <c r="J1374" i="1"/>
  <c r="J1382" i="1"/>
  <c r="J1381" i="1"/>
  <c r="J1371" i="1"/>
  <c r="J1386" i="1"/>
  <c r="J1375" i="1"/>
  <c r="J1378" i="1"/>
  <c r="J1379" i="1"/>
  <c r="J1377" i="1"/>
  <c r="J1373" i="1"/>
  <c r="J1383" i="1"/>
  <c r="J1380" i="1"/>
  <c r="J1370" i="1"/>
  <c r="J1384" i="1"/>
  <c r="J1376" i="1"/>
  <c r="J1368" i="1"/>
  <c r="J1367" i="1"/>
  <c r="J1372" i="1"/>
  <c r="J1387" i="1"/>
  <c r="J1385" i="1"/>
  <c r="J1429" i="1"/>
  <c r="J1446" i="1"/>
  <c r="J1448" i="1"/>
  <c r="J1447" i="1"/>
  <c r="J1440" i="1"/>
  <c r="J1441" i="1"/>
  <c r="J1442" i="1"/>
  <c r="J1450" i="1"/>
  <c r="J1443" i="1"/>
  <c r="J1451" i="1"/>
  <c r="J1444" i="1"/>
  <c r="J1449" i="1"/>
  <c r="J1445" i="1"/>
  <c r="R1429" i="1"/>
  <c r="R1446" i="1"/>
  <c r="R1447" i="1"/>
  <c r="R1442" i="1"/>
  <c r="R1450" i="1"/>
  <c r="R1443" i="1"/>
  <c r="R1451" i="1"/>
  <c r="R1444" i="1"/>
  <c r="R1441" i="1"/>
  <c r="R1445" i="1"/>
  <c r="R1440" i="1"/>
  <c r="R1448" i="1"/>
  <c r="R1449" i="1"/>
  <c r="O1365" i="1"/>
  <c r="O1384" i="1"/>
  <c r="O1383" i="1"/>
  <c r="O1373" i="1"/>
  <c r="O1387" i="1"/>
  <c r="O1379" i="1"/>
  <c r="O1385" i="1"/>
  <c r="O1377" i="1"/>
  <c r="O1375" i="1"/>
  <c r="O1371" i="1"/>
  <c r="O1378" i="1"/>
  <c r="O1376" i="1"/>
  <c r="O1367" i="1"/>
  <c r="O1372" i="1"/>
  <c r="O1381" i="1"/>
  <c r="O1380" i="1"/>
  <c r="O1382" i="1"/>
  <c r="O1370" i="1"/>
  <c r="O1369" i="1"/>
  <c r="O1368" i="1"/>
  <c r="O1374" i="1"/>
  <c r="O1386" i="1"/>
  <c r="O448" i="1"/>
  <c r="O452" i="1"/>
  <c r="O456" i="1"/>
  <c r="O457" i="1"/>
  <c r="O449" i="1"/>
  <c r="O440" i="1"/>
  <c r="O455" i="1"/>
  <c r="O444" i="1"/>
  <c r="O460" i="1"/>
  <c r="O450" i="1"/>
  <c r="O447" i="1"/>
  <c r="O441" i="1"/>
  <c r="O458" i="1"/>
  <c r="O442" i="1"/>
  <c r="O454" i="1"/>
  <c r="O446" i="1"/>
  <c r="O453" i="1"/>
  <c r="O451" i="1"/>
  <c r="O445" i="1"/>
  <c r="O459" i="1"/>
  <c r="O443" i="1"/>
  <c r="L1365" i="1"/>
  <c r="L1371" i="1"/>
  <c r="L1380" i="1"/>
  <c r="L1385" i="1"/>
  <c r="L1379" i="1"/>
  <c r="L1377" i="1"/>
  <c r="L1370" i="1"/>
  <c r="L1381" i="1"/>
  <c r="L1375" i="1"/>
  <c r="L1383" i="1"/>
  <c r="L1367" i="1"/>
  <c r="L1369" i="1"/>
  <c r="L1387" i="1"/>
  <c r="L1373" i="1"/>
  <c r="L1384" i="1"/>
  <c r="L1386" i="1"/>
  <c r="L1376" i="1"/>
  <c r="L1372" i="1"/>
  <c r="L1378" i="1"/>
  <c r="L1368" i="1"/>
  <c r="L1382" i="1"/>
  <c r="L1374" i="1"/>
  <c r="L1429" i="1"/>
  <c r="L1444" i="1"/>
  <c r="L1445" i="1"/>
  <c r="L1447" i="1"/>
  <c r="L1440" i="1"/>
  <c r="L1448" i="1"/>
  <c r="L1441" i="1"/>
  <c r="L1449" i="1"/>
  <c r="L1442" i="1"/>
  <c r="L1450" i="1"/>
  <c r="L1446" i="1"/>
  <c r="L1443" i="1"/>
  <c r="L1451" i="1"/>
  <c r="B1396" i="1"/>
  <c r="B1404" i="1"/>
  <c r="A1365" i="1"/>
  <c r="A1369" i="1"/>
  <c r="A1380" i="1"/>
  <c r="A1375" i="1"/>
  <c r="A1378" i="1"/>
  <c r="A1367" i="1"/>
  <c r="A1379" i="1"/>
  <c r="A1386" i="1"/>
  <c r="A1377" i="1"/>
  <c r="A1371" i="1"/>
  <c r="A1383" i="1"/>
  <c r="A1370" i="1"/>
  <c r="A1373" i="1"/>
  <c r="A1368" i="1"/>
  <c r="A1387" i="1"/>
  <c r="A1384" i="1"/>
  <c r="A1372" i="1"/>
  <c r="A1385" i="1"/>
  <c r="A1382" i="1"/>
  <c r="A1376" i="1"/>
  <c r="A1374" i="1"/>
  <c r="A1381" i="1"/>
  <c r="M1365" i="1"/>
  <c r="M1382" i="1"/>
  <c r="M1369" i="1"/>
  <c r="M1373" i="1"/>
  <c r="M1372" i="1"/>
  <c r="M1384" i="1"/>
  <c r="M1367" i="1"/>
  <c r="M1374" i="1"/>
  <c r="M1376" i="1"/>
  <c r="M1381" i="1"/>
  <c r="M1371" i="1"/>
  <c r="M1368" i="1"/>
  <c r="M1386" i="1"/>
  <c r="M1370" i="1"/>
  <c r="M1380" i="1"/>
  <c r="M1383" i="1"/>
  <c r="M1379" i="1"/>
  <c r="M1387" i="1"/>
  <c r="M1378" i="1"/>
  <c r="M1385" i="1"/>
  <c r="M1375" i="1"/>
  <c r="M1377" i="1"/>
  <c r="M1429" i="1"/>
  <c r="M1443" i="1"/>
  <c r="M1451" i="1"/>
  <c r="M1444" i="1"/>
  <c r="M1447" i="1"/>
  <c r="M1440" i="1"/>
  <c r="M1448" i="1"/>
  <c r="M1441" i="1"/>
  <c r="M1449" i="1"/>
  <c r="M1442" i="1"/>
  <c r="M1450" i="1"/>
  <c r="M1445" i="1"/>
  <c r="M1446" i="1"/>
  <c r="O1366" i="1"/>
  <c r="O1479" i="1"/>
  <c r="B1365" i="1"/>
  <c r="B1370" i="1"/>
  <c r="B1372" i="1"/>
  <c r="B1374" i="1"/>
  <c r="B1387" i="1"/>
  <c r="B1376" i="1"/>
  <c r="B1382" i="1"/>
  <c r="B1379" i="1"/>
  <c r="B1371" i="1"/>
  <c r="B1367" i="1"/>
  <c r="B1380" i="1"/>
  <c r="B1368" i="1"/>
  <c r="B1384" i="1"/>
  <c r="B1375" i="1"/>
  <c r="B1369" i="1"/>
  <c r="B1377" i="1"/>
  <c r="B1386" i="1"/>
  <c r="B1373" i="1"/>
  <c r="B1383" i="1"/>
  <c r="B1381" i="1"/>
  <c r="B1385" i="1"/>
  <c r="B1378" i="1"/>
  <c r="N1369" i="1"/>
  <c r="N1371" i="1"/>
  <c r="N1376" i="1"/>
  <c r="N1372" i="1"/>
  <c r="N1377" i="1"/>
  <c r="N1368" i="1"/>
  <c r="N1373" i="1"/>
  <c r="N1379" i="1"/>
  <c r="N1383" i="1"/>
  <c r="N1375" i="1"/>
  <c r="N1370" i="1"/>
  <c r="N1378" i="1"/>
  <c r="N1367" i="1"/>
  <c r="N1381" i="1"/>
  <c r="N1386" i="1"/>
  <c r="N1385" i="1"/>
  <c r="N1384" i="1"/>
  <c r="N1380" i="1"/>
  <c r="N1382" i="1"/>
  <c r="N1387" i="1"/>
  <c r="N1374" i="1"/>
  <c r="A1429" i="1"/>
  <c r="A1442" i="1"/>
  <c r="A1446" i="1"/>
  <c r="A1445" i="1"/>
  <c r="A1450" i="1"/>
  <c r="A1440" i="1"/>
  <c r="A1448" i="1"/>
  <c r="A1447" i="1"/>
  <c r="A1443" i="1"/>
  <c r="A1441" i="1"/>
  <c r="A1449" i="1"/>
  <c r="A1444" i="1"/>
  <c r="A1451" i="1"/>
  <c r="N1429" i="1"/>
  <c r="N1442" i="1"/>
  <c r="N1450" i="1"/>
  <c r="N1444" i="1"/>
  <c r="N1443" i="1"/>
  <c r="N1451" i="1"/>
  <c r="N1446" i="1"/>
  <c r="N1447" i="1"/>
  <c r="N1440" i="1"/>
  <c r="N1448" i="1"/>
  <c r="N1445" i="1"/>
  <c r="N1441" i="1"/>
  <c r="N1449" i="1"/>
  <c r="K1033" i="1"/>
  <c r="O1001" i="1"/>
  <c r="M1081" i="1"/>
  <c r="J583" i="1"/>
  <c r="P1331" i="1"/>
  <c r="L1494" i="1"/>
  <c r="K1509" i="1"/>
  <c r="O278" i="1"/>
  <c r="J1332" i="1"/>
  <c r="M605" i="1"/>
  <c r="M277" i="1"/>
  <c r="L617" i="1"/>
  <c r="O591" i="1"/>
  <c r="N579" i="1"/>
  <c r="K1001" i="1"/>
  <c r="M1025" i="1"/>
  <c r="O993" i="1"/>
  <c r="Q348" i="1"/>
  <c r="J348" i="1"/>
  <c r="R348" i="1"/>
  <c r="K348" i="1"/>
  <c r="L348" i="1"/>
  <c r="M348" i="1"/>
  <c r="N348" i="1"/>
  <c r="O348" i="1"/>
  <c r="P348" i="1"/>
  <c r="Q340" i="1"/>
  <c r="J340" i="1"/>
  <c r="R340" i="1"/>
  <c r="K340" i="1"/>
  <c r="L340" i="1"/>
  <c r="M340" i="1"/>
  <c r="N340" i="1"/>
  <c r="O340" i="1"/>
  <c r="P340" i="1"/>
  <c r="Q1001" i="1"/>
  <c r="N1033" i="1"/>
  <c r="P1049" i="1"/>
  <c r="J347" i="1"/>
  <c r="R347" i="1"/>
  <c r="K347" i="1"/>
  <c r="L347" i="1"/>
  <c r="M347" i="1"/>
  <c r="N347" i="1"/>
  <c r="O347" i="1"/>
  <c r="P347" i="1"/>
  <c r="Q347" i="1"/>
  <c r="L1073" i="1"/>
  <c r="L1513" i="1"/>
  <c r="P977" i="1"/>
  <c r="R1009" i="1"/>
  <c r="J1041" i="1"/>
  <c r="L353" i="1"/>
  <c r="M353" i="1"/>
  <c r="N353" i="1"/>
  <c r="O353" i="1"/>
  <c r="P353" i="1"/>
  <c r="Q353" i="1"/>
  <c r="J353" i="1"/>
  <c r="R353" i="1"/>
  <c r="K353" i="1"/>
  <c r="L345" i="1"/>
  <c r="M345" i="1"/>
  <c r="N345" i="1"/>
  <c r="O345" i="1"/>
  <c r="P345" i="1"/>
  <c r="Q345" i="1"/>
  <c r="J345" i="1"/>
  <c r="R345" i="1"/>
  <c r="K345" i="1"/>
  <c r="Q242" i="1"/>
  <c r="P1513" i="1"/>
  <c r="L977" i="1"/>
  <c r="P1009" i="1"/>
  <c r="N1041" i="1"/>
  <c r="M985" i="1"/>
  <c r="M352" i="1"/>
  <c r="N352" i="1"/>
  <c r="O352" i="1"/>
  <c r="P352" i="1"/>
  <c r="Q352" i="1"/>
  <c r="J352" i="1"/>
  <c r="R352" i="1"/>
  <c r="K352" i="1"/>
  <c r="L352" i="1"/>
  <c r="M344" i="1"/>
  <c r="N344" i="1"/>
  <c r="O344" i="1"/>
  <c r="P344" i="1"/>
  <c r="Q344" i="1"/>
  <c r="J344" i="1"/>
  <c r="R344" i="1"/>
  <c r="K344" i="1"/>
  <c r="L344" i="1"/>
  <c r="K346" i="1"/>
  <c r="L346" i="1"/>
  <c r="M346" i="1"/>
  <c r="N346" i="1"/>
  <c r="O346" i="1"/>
  <c r="P346" i="1"/>
  <c r="Q346" i="1"/>
  <c r="J346" i="1"/>
  <c r="R346" i="1"/>
  <c r="M1537" i="1"/>
  <c r="K1017" i="1"/>
  <c r="K985" i="1"/>
  <c r="N351" i="1"/>
  <c r="O351" i="1"/>
  <c r="P351" i="1"/>
  <c r="Q351" i="1"/>
  <c r="J351" i="1"/>
  <c r="R351" i="1"/>
  <c r="K351" i="1"/>
  <c r="L351" i="1"/>
  <c r="M351" i="1"/>
  <c r="N343" i="1"/>
  <c r="O343" i="1"/>
  <c r="P343" i="1"/>
  <c r="Q343" i="1"/>
  <c r="J343" i="1"/>
  <c r="R343" i="1"/>
  <c r="K343" i="1"/>
  <c r="L343" i="1"/>
  <c r="M343" i="1"/>
  <c r="K1537" i="1"/>
  <c r="Q1017" i="1"/>
  <c r="R993" i="1"/>
  <c r="O350" i="1"/>
  <c r="P350" i="1"/>
  <c r="Q350" i="1"/>
  <c r="J350" i="1"/>
  <c r="R350" i="1"/>
  <c r="K350" i="1"/>
  <c r="L350" i="1"/>
  <c r="M350" i="1"/>
  <c r="N350" i="1"/>
  <c r="O342" i="1"/>
  <c r="P342" i="1"/>
  <c r="Q342" i="1"/>
  <c r="J342" i="1"/>
  <c r="R342" i="1"/>
  <c r="K342" i="1"/>
  <c r="L342" i="1"/>
  <c r="M342" i="1"/>
  <c r="N342" i="1"/>
  <c r="R1025" i="1"/>
  <c r="M993" i="1"/>
  <c r="P349" i="1"/>
  <c r="Q349" i="1"/>
  <c r="J349" i="1"/>
  <c r="R349" i="1"/>
  <c r="K349" i="1"/>
  <c r="L349" i="1"/>
  <c r="M349" i="1"/>
  <c r="N349" i="1"/>
  <c r="O349" i="1"/>
  <c r="A341" i="1"/>
  <c r="P341" i="1"/>
  <c r="Q341" i="1"/>
  <c r="J341" i="1"/>
  <c r="R341" i="1"/>
  <c r="K341" i="1"/>
  <c r="L341" i="1"/>
  <c r="M341" i="1"/>
  <c r="N341" i="1"/>
  <c r="O341" i="1"/>
  <c r="O977" i="1"/>
  <c r="P1001" i="1"/>
  <c r="Q1009" i="1"/>
  <c r="J1017" i="1"/>
  <c r="N1025" i="1"/>
  <c r="L1033" i="1"/>
  <c r="R1041" i="1"/>
  <c r="L985" i="1"/>
  <c r="N993" i="1"/>
  <c r="R1049" i="1"/>
  <c r="N1081" i="1"/>
  <c r="J1001" i="1"/>
  <c r="N1009" i="1"/>
  <c r="O1009" i="1"/>
  <c r="P1017" i="1"/>
  <c r="Q1025" i="1"/>
  <c r="J1033" i="1"/>
  <c r="M1041" i="1"/>
  <c r="R985" i="1"/>
  <c r="L993" i="1"/>
  <c r="O1049" i="1"/>
  <c r="N1057" i="1"/>
  <c r="J977" i="1"/>
  <c r="R1001" i="1"/>
  <c r="L1009" i="1"/>
  <c r="R1017" i="1"/>
  <c r="O1017" i="1"/>
  <c r="P1025" i="1"/>
  <c r="Q1033" i="1"/>
  <c r="K1041" i="1"/>
  <c r="J985" i="1"/>
  <c r="J993" i="1"/>
  <c r="M1057" i="1"/>
  <c r="N977" i="1"/>
  <c r="N1001" i="1"/>
  <c r="M1009" i="1"/>
  <c r="N1017" i="1"/>
  <c r="L1025" i="1"/>
  <c r="O1025" i="1"/>
  <c r="P1033" i="1"/>
  <c r="Q1041" i="1"/>
  <c r="Q985" i="1"/>
  <c r="K993" i="1"/>
  <c r="K1065" i="1"/>
  <c r="R977" i="1"/>
  <c r="M977" i="1"/>
  <c r="M1001" i="1"/>
  <c r="K1009" i="1"/>
  <c r="M1017" i="1"/>
  <c r="J1025" i="1"/>
  <c r="R1033" i="1"/>
  <c r="O1033" i="1"/>
  <c r="P1041" i="1"/>
  <c r="P985" i="1"/>
  <c r="Q993" i="1"/>
  <c r="R1065" i="1"/>
  <c r="K977" i="1"/>
  <c r="Q977" i="1"/>
  <c r="L1001" i="1"/>
  <c r="J1009" i="1"/>
  <c r="L1017" i="1"/>
  <c r="K1025" i="1"/>
  <c r="M1033" i="1"/>
  <c r="L1041" i="1"/>
  <c r="O1041" i="1"/>
  <c r="N985" i="1"/>
  <c r="O985" i="1"/>
  <c r="P993" i="1"/>
  <c r="N1073" i="1"/>
  <c r="Q17" i="1"/>
  <c r="P67" i="1"/>
  <c r="P242" i="1"/>
  <c r="R198" i="1"/>
  <c r="N152" i="1"/>
  <c r="O67" i="1"/>
  <c r="J1258" i="1"/>
  <c r="K242" i="1"/>
  <c r="R216" i="1"/>
  <c r="Q1460" i="1"/>
  <c r="Q1430" i="1"/>
  <c r="Q1455" i="1"/>
  <c r="P1534" i="1"/>
  <c r="P1533" i="1"/>
  <c r="L1403" i="1"/>
  <c r="L1407" i="1"/>
  <c r="M278" i="1"/>
  <c r="M1332" i="1"/>
  <c r="B242" i="1"/>
  <c r="N1516" i="1"/>
  <c r="A278" i="1"/>
  <c r="J584" i="1"/>
  <c r="M1516" i="1"/>
  <c r="L1489" i="1"/>
  <c r="P1332" i="1"/>
  <c r="K189" i="1"/>
  <c r="A270" i="1"/>
  <c r="P584" i="1"/>
  <c r="R189" i="1"/>
  <c r="N1531" i="1"/>
  <c r="O584" i="1"/>
  <c r="J1489" i="1"/>
  <c r="M1531" i="1"/>
  <c r="N1506" i="1"/>
  <c r="Q1258" i="1"/>
  <c r="J216" i="1"/>
  <c r="A1531" i="1"/>
  <c r="Q630" i="1"/>
  <c r="Q149" i="1"/>
  <c r="J149" i="1"/>
  <c r="N1486" i="1"/>
  <c r="R587" i="1"/>
  <c r="N987" i="1"/>
  <c r="L152" i="1"/>
  <c r="M979" i="1"/>
  <c r="K979" i="1"/>
  <c r="L1027" i="1"/>
  <c r="Q201" i="1"/>
  <c r="J1067" i="1"/>
  <c r="P152" i="1"/>
  <c r="K17" i="1"/>
  <c r="M987" i="1"/>
  <c r="K1027" i="1"/>
  <c r="P1075" i="1"/>
  <c r="M1519" i="1"/>
  <c r="J603" i="1"/>
  <c r="N149" i="1"/>
  <c r="N67" i="1"/>
  <c r="P1258" i="1"/>
  <c r="O242" i="1"/>
  <c r="A242" i="1"/>
  <c r="J189" i="1"/>
  <c r="Q216" i="1"/>
  <c r="K975" i="1"/>
  <c r="R979" i="1"/>
  <c r="O1513" i="1"/>
  <c r="A1524" i="1"/>
  <c r="P415" i="1"/>
  <c r="Q593" i="1"/>
  <c r="K28" i="1"/>
  <c r="N983" i="1"/>
  <c r="O991" i="1"/>
  <c r="O999" i="1"/>
  <c r="Q999" i="1"/>
  <c r="J1007" i="1"/>
  <c r="R1015" i="1"/>
  <c r="K1023" i="1"/>
  <c r="L1031" i="1"/>
  <c r="M1039" i="1"/>
  <c r="N1047" i="1"/>
  <c r="O995" i="1"/>
  <c r="O1055" i="1"/>
  <c r="P1063" i="1"/>
  <c r="N1071" i="1"/>
  <c r="P1079" i="1"/>
  <c r="Q1079" i="1"/>
  <c r="Q1075" i="1"/>
  <c r="A1519" i="1"/>
  <c r="M615" i="1"/>
  <c r="A149" i="1"/>
  <c r="M67" i="1"/>
  <c r="N1258" i="1"/>
  <c r="N242" i="1"/>
  <c r="Q189" i="1"/>
  <c r="B189" i="1"/>
  <c r="P216" i="1"/>
  <c r="J975" i="1"/>
  <c r="Q979" i="1"/>
  <c r="O592" i="1"/>
  <c r="R1523" i="1"/>
  <c r="R275" i="1"/>
  <c r="L1337" i="1"/>
  <c r="M983" i="1"/>
  <c r="N991" i="1"/>
  <c r="N999" i="1"/>
  <c r="P1007" i="1"/>
  <c r="Q1007" i="1"/>
  <c r="J1015" i="1"/>
  <c r="R1023" i="1"/>
  <c r="K1031" i="1"/>
  <c r="O1039" i="1"/>
  <c r="M1047" i="1"/>
  <c r="N995" i="1"/>
  <c r="P1043" i="1"/>
  <c r="L1055" i="1"/>
  <c r="R1063" i="1"/>
  <c r="L1071" i="1"/>
  <c r="N1079" i="1"/>
  <c r="L1083" i="1"/>
  <c r="R593" i="1"/>
  <c r="J275" i="1"/>
  <c r="J415" i="1"/>
  <c r="M242" i="1"/>
  <c r="P189" i="1"/>
  <c r="O216" i="1"/>
  <c r="J1003" i="1"/>
  <c r="J1083" i="1"/>
  <c r="R67" i="1"/>
  <c r="L242" i="1"/>
  <c r="O189" i="1"/>
  <c r="N216" i="1"/>
  <c r="P975" i="1"/>
  <c r="O979" i="1"/>
  <c r="R1498" i="1"/>
  <c r="N1523" i="1"/>
  <c r="L267" i="1"/>
  <c r="M1329" i="1"/>
  <c r="A1313" i="1"/>
  <c r="R613" i="1"/>
  <c r="P1011" i="1"/>
  <c r="K983" i="1"/>
  <c r="M991" i="1"/>
  <c r="P999" i="1"/>
  <c r="N1007" i="1"/>
  <c r="L1015" i="1"/>
  <c r="P1023" i="1"/>
  <c r="Q1023" i="1"/>
  <c r="J1031" i="1"/>
  <c r="R1039" i="1"/>
  <c r="K1047" i="1"/>
  <c r="O1003" i="1"/>
  <c r="R1051" i="1"/>
  <c r="R1055" i="1"/>
  <c r="M1063" i="1"/>
  <c r="P1071" i="1"/>
  <c r="J1079" i="1"/>
  <c r="Q1059" i="1"/>
  <c r="P1099" i="1"/>
  <c r="L67" i="1"/>
  <c r="M1258" i="1"/>
  <c r="A189" i="1"/>
  <c r="O1498" i="1"/>
  <c r="K1337" i="1"/>
  <c r="M613" i="1"/>
  <c r="L1258" i="1"/>
  <c r="B216" i="1"/>
  <c r="J67" i="1"/>
  <c r="N979" i="1"/>
  <c r="L1011" i="1"/>
  <c r="R983" i="1"/>
  <c r="K991" i="1"/>
  <c r="M999" i="1"/>
  <c r="M1007" i="1"/>
  <c r="P1015" i="1"/>
  <c r="N1023" i="1"/>
  <c r="M1031" i="1"/>
  <c r="Q1031" i="1"/>
  <c r="J1039" i="1"/>
  <c r="R1047" i="1"/>
  <c r="R1019" i="1"/>
  <c r="Q1051" i="1"/>
  <c r="K1055" i="1"/>
  <c r="J1063" i="1"/>
  <c r="O1071" i="1"/>
  <c r="M1079" i="1"/>
  <c r="N1059" i="1"/>
  <c r="J1139" i="1"/>
  <c r="J979" i="1"/>
  <c r="K67" i="1"/>
  <c r="P979" i="1"/>
  <c r="J1523" i="1"/>
  <c r="K1043" i="1"/>
  <c r="P271" i="1"/>
  <c r="B67" i="1"/>
  <c r="A67" i="1"/>
  <c r="K1258" i="1"/>
  <c r="B1258" i="1"/>
  <c r="R242" i="1"/>
  <c r="N189" i="1"/>
  <c r="L216" i="1"/>
  <c r="Q975" i="1"/>
  <c r="O975" i="1"/>
  <c r="P1498" i="1"/>
  <c r="B1523" i="1"/>
  <c r="K267" i="1"/>
  <c r="L1329" i="1"/>
  <c r="P581" i="1"/>
  <c r="A619" i="1"/>
  <c r="K1494" i="1"/>
  <c r="M1333" i="1"/>
  <c r="A152" i="1"/>
  <c r="R1258" i="1"/>
  <c r="L189" i="1"/>
  <c r="K216" i="1"/>
  <c r="N975" i="1"/>
  <c r="L979" i="1"/>
  <c r="B1498" i="1"/>
  <c r="R1537" i="1"/>
  <c r="Q587" i="1"/>
  <c r="M625" i="1"/>
  <c r="O1011" i="1"/>
  <c r="J983" i="1"/>
  <c r="R991" i="1"/>
  <c r="K999" i="1"/>
  <c r="L1007" i="1"/>
  <c r="O1015" i="1"/>
  <c r="O1023" i="1"/>
  <c r="P1031" i="1"/>
  <c r="P1039" i="1"/>
  <c r="Q1039" i="1"/>
  <c r="J1047" i="1"/>
  <c r="K987" i="1"/>
  <c r="Q1019" i="1"/>
  <c r="P1055" i="1"/>
  <c r="Q1055" i="1"/>
  <c r="K1063" i="1"/>
  <c r="M1071" i="1"/>
  <c r="R1079" i="1"/>
  <c r="N1067" i="1"/>
  <c r="K152" i="1"/>
  <c r="P149" i="1"/>
  <c r="P315" i="1"/>
  <c r="K201" i="1"/>
  <c r="L17" i="1"/>
  <c r="A277" i="1"/>
  <c r="A1331" i="1"/>
  <c r="M579" i="1"/>
  <c r="P591" i="1"/>
  <c r="L605" i="1"/>
  <c r="Q617" i="1"/>
  <c r="R152" i="1"/>
  <c r="B152" i="1"/>
  <c r="O149" i="1"/>
  <c r="P1349" i="1"/>
  <c r="R201" i="1"/>
  <c r="N17" i="1"/>
  <c r="L269" i="1"/>
  <c r="K1339" i="1"/>
  <c r="P251" i="1"/>
  <c r="P579" i="1"/>
  <c r="B591" i="1"/>
  <c r="A605" i="1"/>
  <c r="N623" i="1"/>
  <c r="B1349" i="1"/>
  <c r="J201" i="1"/>
  <c r="M17" i="1"/>
  <c r="K269" i="1"/>
  <c r="O1339" i="1"/>
  <c r="L251" i="1"/>
  <c r="K585" i="1"/>
  <c r="A591" i="1"/>
  <c r="R611" i="1"/>
  <c r="M623" i="1"/>
  <c r="L623" i="1"/>
  <c r="J152" i="1"/>
  <c r="K149" i="1"/>
  <c r="B149" i="1"/>
  <c r="O201" i="1"/>
  <c r="B17" i="1"/>
  <c r="K277" i="1"/>
  <c r="N269" i="1"/>
  <c r="M1339" i="1"/>
  <c r="A251" i="1"/>
  <c r="R585" i="1"/>
  <c r="Q611" i="1"/>
  <c r="N1201" i="1"/>
  <c r="B1107" i="1"/>
  <c r="L277" i="1"/>
  <c r="O269" i="1"/>
  <c r="N1339" i="1"/>
  <c r="J251" i="1"/>
  <c r="J585" i="1"/>
  <c r="O611" i="1"/>
  <c r="Q152" i="1"/>
  <c r="L149" i="1"/>
  <c r="J277" i="1"/>
  <c r="M269" i="1"/>
  <c r="J1331" i="1"/>
  <c r="B251" i="1"/>
  <c r="Q591" i="1"/>
  <c r="B611" i="1"/>
  <c r="N595" i="1"/>
  <c r="N201" i="1"/>
  <c r="A201" i="1"/>
  <c r="Q277" i="1"/>
  <c r="Q1331" i="1"/>
  <c r="K579" i="1"/>
  <c r="R591" i="1"/>
  <c r="N605" i="1"/>
  <c r="A611" i="1"/>
  <c r="R599" i="1"/>
  <c r="M193" i="1"/>
  <c r="O1123" i="1"/>
  <c r="L1002" i="1"/>
  <c r="J994" i="1"/>
  <c r="P978" i="1"/>
  <c r="J56" i="1"/>
  <c r="N1508" i="1"/>
  <c r="K712" i="1"/>
  <c r="K986" i="1"/>
  <c r="J1018" i="1"/>
  <c r="L1034" i="1"/>
  <c r="J1010" i="1"/>
  <c r="J1026" i="1"/>
  <c r="M149" i="1"/>
  <c r="M152" i="1"/>
  <c r="F73" i="8"/>
  <c r="F69" i="8"/>
  <c r="F78" i="8"/>
  <c r="F50" i="8"/>
  <c r="F154" i="8"/>
  <c r="F185" i="8"/>
  <c r="F62" i="8"/>
  <c r="F68" i="8"/>
  <c r="F45" i="8"/>
  <c r="F184" i="8"/>
  <c r="F74" i="8"/>
  <c r="F106" i="8"/>
  <c r="F48" i="8"/>
  <c r="F82" i="8"/>
  <c r="F70" i="8"/>
  <c r="F40" i="8"/>
  <c r="F159" i="8"/>
  <c r="F160" i="8"/>
  <c r="F152" i="8"/>
  <c r="F64" i="8"/>
  <c r="F47" i="8"/>
  <c r="F76" i="8"/>
  <c r="F178" i="8"/>
  <c r="F44" i="8"/>
  <c r="F43" i="8"/>
  <c r="F77" i="8"/>
  <c r="F61" i="8"/>
  <c r="F193" i="8"/>
  <c r="F194" i="8"/>
  <c r="F195" i="8"/>
  <c r="F191" i="8"/>
  <c r="F192" i="8"/>
  <c r="F188" i="8"/>
  <c r="F189" i="8"/>
  <c r="F190" i="8"/>
  <c r="F67" i="8"/>
  <c r="F65" i="8"/>
  <c r="F179" i="8"/>
  <c r="F130" i="8"/>
  <c r="F129" i="8"/>
  <c r="F87" i="8"/>
  <c r="F121" i="8"/>
  <c r="F125" i="8"/>
  <c r="L1516" i="1"/>
  <c r="L1531" i="1"/>
  <c r="K16" i="1"/>
  <c r="Q275" i="1"/>
  <c r="R267" i="1"/>
  <c r="O415" i="1"/>
  <c r="R1337" i="1"/>
  <c r="R1329" i="1"/>
  <c r="M1313" i="1"/>
  <c r="M581" i="1"/>
  <c r="P587" i="1"/>
  <c r="P593" i="1"/>
  <c r="Q613" i="1"/>
  <c r="N625" i="1"/>
  <c r="Q1489" i="1"/>
  <c r="R1044" i="1"/>
  <c r="O1052" i="1"/>
  <c r="R989" i="1"/>
  <c r="Q1068" i="1"/>
  <c r="R1179" i="1"/>
  <c r="N1084" i="1"/>
  <c r="P1060" i="1"/>
  <c r="M1076" i="1"/>
  <c r="K1516" i="1"/>
  <c r="K1531" i="1"/>
  <c r="A1260" i="1"/>
  <c r="P275" i="1"/>
  <c r="P267" i="1"/>
  <c r="N415" i="1"/>
  <c r="J1337" i="1"/>
  <c r="J1329" i="1"/>
  <c r="R1313" i="1"/>
  <c r="L581" i="1"/>
  <c r="M587" i="1"/>
  <c r="K593" i="1"/>
  <c r="O613" i="1"/>
  <c r="L625" i="1"/>
  <c r="B1489" i="1"/>
  <c r="P1044" i="1"/>
  <c r="K1052" i="1"/>
  <c r="O1068" i="1"/>
  <c r="A1185" i="1"/>
  <c r="R1084" i="1"/>
  <c r="L1084" i="1"/>
  <c r="N1060" i="1"/>
  <c r="J1076" i="1"/>
  <c r="R1516" i="1"/>
  <c r="B1516" i="1"/>
  <c r="R1531" i="1"/>
  <c r="M1361" i="1"/>
  <c r="B275" i="1"/>
  <c r="O267" i="1"/>
  <c r="M415" i="1"/>
  <c r="P1337" i="1"/>
  <c r="Q1329" i="1"/>
  <c r="J1313" i="1"/>
  <c r="J581" i="1"/>
  <c r="J587" i="1"/>
  <c r="N593" i="1"/>
  <c r="A613" i="1"/>
  <c r="Q625" i="1"/>
  <c r="O1044" i="1"/>
  <c r="J1052" i="1"/>
  <c r="P1068" i="1"/>
  <c r="O1084" i="1"/>
  <c r="Q1060" i="1"/>
  <c r="L1060" i="1"/>
  <c r="N1076" i="1"/>
  <c r="J703" i="1"/>
  <c r="J1516" i="1"/>
  <c r="A1516" i="1"/>
  <c r="J1531" i="1"/>
  <c r="M275" i="1"/>
  <c r="A275" i="1"/>
  <c r="B267" i="1"/>
  <c r="L415" i="1"/>
  <c r="O1337" i="1"/>
  <c r="P1329" i="1"/>
  <c r="Q1313" i="1"/>
  <c r="K581" i="1"/>
  <c r="N587" i="1"/>
  <c r="A593" i="1"/>
  <c r="P619" i="1"/>
  <c r="K1044" i="1"/>
  <c r="Q1052" i="1"/>
  <c r="K1068" i="1"/>
  <c r="K1084" i="1"/>
  <c r="O1060" i="1"/>
  <c r="Q1076" i="1"/>
  <c r="L1076" i="1"/>
  <c r="O703" i="1"/>
  <c r="P1481" i="1"/>
  <c r="L275" i="1"/>
  <c r="N1337" i="1"/>
  <c r="N581" i="1"/>
  <c r="Q1036" i="1"/>
  <c r="N1044" i="1"/>
  <c r="P1052" i="1"/>
  <c r="Q1184" i="1"/>
  <c r="J1068" i="1"/>
  <c r="J1084" i="1"/>
  <c r="K1060" i="1"/>
  <c r="P1076" i="1"/>
  <c r="B729" i="1"/>
  <c r="Q1516" i="1"/>
  <c r="P1531" i="1"/>
  <c r="Q1531" i="1"/>
  <c r="N267" i="1"/>
  <c r="A267" i="1"/>
  <c r="A415" i="1"/>
  <c r="N1329" i="1"/>
  <c r="O1313" i="1"/>
  <c r="B587" i="1"/>
  <c r="K619" i="1"/>
  <c r="A1274" i="1"/>
  <c r="O1531" i="1"/>
  <c r="B1236" i="1"/>
  <c r="K275" i="1"/>
  <c r="M267" i="1"/>
  <c r="B415" i="1"/>
  <c r="A1337" i="1"/>
  <c r="B1329" i="1"/>
  <c r="N1313" i="1"/>
  <c r="A581" i="1"/>
  <c r="A587" i="1"/>
  <c r="J619" i="1"/>
  <c r="O1489" i="1"/>
  <c r="R1506" i="1"/>
  <c r="N1036" i="1"/>
  <c r="M1044" i="1"/>
  <c r="M1052" i="1"/>
  <c r="A1216" i="1"/>
  <c r="R1068" i="1"/>
  <c r="Q1084" i="1"/>
  <c r="J1060" i="1"/>
  <c r="K1076" i="1"/>
  <c r="N1085" i="1"/>
  <c r="R1236" i="1"/>
  <c r="N1355" i="1"/>
  <c r="N193" i="1"/>
  <c r="R32" i="1"/>
  <c r="O1514" i="1"/>
  <c r="J978" i="1"/>
  <c r="L978" i="1"/>
  <c r="Q994" i="1"/>
  <c r="O986" i="1"/>
  <c r="P1018" i="1"/>
  <c r="M1010" i="1"/>
  <c r="L1026" i="1"/>
  <c r="O1002" i="1"/>
  <c r="J1236" i="1"/>
  <c r="M1355" i="1"/>
  <c r="B193" i="1"/>
  <c r="N24" i="1"/>
  <c r="L1418" i="1"/>
  <c r="N1524" i="1"/>
  <c r="R978" i="1"/>
  <c r="M994" i="1"/>
  <c r="M986" i="1"/>
  <c r="N986" i="1"/>
  <c r="O1018" i="1"/>
  <c r="L1010" i="1"/>
  <c r="M1026" i="1"/>
  <c r="M1002" i="1"/>
  <c r="N1002" i="1"/>
  <c r="N1236" i="1"/>
  <c r="A1355" i="1"/>
  <c r="A193" i="1"/>
  <c r="M16" i="1"/>
  <c r="A1418" i="1"/>
  <c r="M1524" i="1"/>
  <c r="Q978" i="1"/>
  <c r="R994" i="1"/>
  <c r="L986" i="1"/>
  <c r="K1018" i="1"/>
  <c r="N1018" i="1"/>
  <c r="K1010" i="1"/>
  <c r="K1026" i="1"/>
  <c r="K1002" i="1"/>
  <c r="M1092" i="1"/>
  <c r="A1348" i="1"/>
  <c r="R1355" i="1"/>
  <c r="L193" i="1"/>
  <c r="R56" i="1"/>
  <c r="L1268" i="1"/>
  <c r="N1499" i="1"/>
  <c r="L1538" i="1"/>
  <c r="O978" i="1"/>
  <c r="P994" i="1"/>
  <c r="R986" i="1"/>
  <c r="R1018" i="1"/>
  <c r="J1034" i="1"/>
  <c r="P1010" i="1"/>
  <c r="R1026" i="1"/>
  <c r="J1002" i="1"/>
  <c r="Q1236" i="1"/>
  <c r="J1355" i="1"/>
  <c r="K193" i="1"/>
  <c r="K48" i="1"/>
  <c r="L1514" i="1"/>
  <c r="B1538" i="1"/>
  <c r="N978" i="1"/>
  <c r="O994" i="1"/>
  <c r="J986" i="1"/>
  <c r="Q1018" i="1"/>
  <c r="O1010" i="1"/>
  <c r="P1026" i="1"/>
  <c r="R1002" i="1"/>
  <c r="R1058" i="1"/>
  <c r="M1236" i="1"/>
  <c r="Q1355" i="1"/>
  <c r="J193" i="1"/>
  <c r="L48" i="1"/>
  <c r="K1514" i="1"/>
  <c r="K978" i="1"/>
  <c r="L994" i="1"/>
  <c r="N994" i="1"/>
  <c r="Q986" i="1"/>
  <c r="M1018" i="1"/>
  <c r="Q1010" i="1"/>
  <c r="N1010" i="1"/>
  <c r="O1026" i="1"/>
  <c r="Q1002" i="1"/>
  <c r="K1236" i="1"/>
  <c r="P1355" i="1"/>
  <c r="P193" i="1"/>
  <c r="B40" i="1"/>
  <c r="Q1026" i="1"/>
  <c r="O1455" i="1"/>
  <c r="M210" i="1"/>
  <c r="K989" i="1"/>
  <c r="P1430" i="1"/>
  <c r="M997" i="1"/>
  <c r="L1005" i="1"/>
  <c r="Q1425" i="1"/>
  <c r="J220" i="1"/>
  <c r="P1029" i="1"/>
  <c r="M1013" i="1"/>
  <c r="O755" i="1"/>
  <c r="P1353" i="1"/>
  <c r="R1391" i="1"/>
  <c r="J249" i="1"/>
  <c r="J1021" i="1"/>
  <c r="Q1053" i="1"/>
  <c r="N58" i="1"/>
  <c r="L1366" i="1"/>
  <c r="L248" i="1"/>
  <c r="N1037" i="1"/>
  <c r="P1218" i="1"/>
  <c r="O1061" i="1"/>
  <c r="O34" i="1"/>
  <c r="O1266" i="1"/>
  <c r="Q1045" i="1"/>
  <c r="A1147" i="1"/>
  <c r="J1069" i="1"/>
  <c r="Q665" i="1"/>
  <c r="P671" i="1"/>
  <c r="N18" i="1"/>
  <c r="J1274" i="1"/>
  <c r="N981" i="1"/>
  <c r="L1090" i="1"/>
  <c r="J1077" i="1"/>
  <c r="P190" i="1"/>
  <c r="K58" i="1"/>
  <c r="K34" i="1"/>
  <c r="B18" i="1"/>
  <c r="L1481" i="1"/>
  <c r="M1455" i="1"/>
  <c r="O1430" i="1"/>
  <c r="O1425" i="1"/>
  <c r="Q1391" i="1"/>
  <c r="K1366" i="1"/>
  <c r="N1266" i="1"/>
  <c r="Q1274" i="1"/>
  <c r="P249" i="1"/>
  <c r="B248" i="1"/>
  <c r="O244" i="1"/>
  <c r="L218" i="1"/>
  <c r="M321" i="1"/>
  <c r="L997" i="1"/>
  <c r="M1029" i="1"/>
  <c r="M981" i="1"/>
  <c r="Q989" i="1"/>
  <c r="N1005" i="1"/>
  <c r="K1005" i="1"/>
  <c r="L1013" i="1"/>
  <c r="M1021" i="1"/>
  <c r="J1037" i="1"/>
  <c r="P1045" i="1"/>
  <c r="O1053" i="1"/>
  <c r="J1061" i="1"/>
  <c r="Q1069" i="1"/>
  <c r="R1077" i="1"/>
  <c r="J1085" i="1"/>
  <c r="K1481" i="1"/>
  <c r="L1455" i="1"/>
  <c r="N1430" i="1"/>
  <c r="M1425" i="1"/>
  <c r="N1391" i="1"/>
  <c r="J1366" i="1"/>
  <c r="M1266" i="1"/>
  <c r="P1274" i="1"/>
  <c r="Q249" i="1"/>
  <c r="L244" i="1"/>
  <c r="K218" i="1"/>
  <c r="Q997" i="1"/>
  <c r="K997" i="1"/>
  <c r="L1029" i="1"/>
  <c r="L981" i="1"/>
  <c r="P989" i="1"/>
  <c r="J1005" i="1"/>
  <c r="Q1013" i="1"/>
  <c r="K1013" i="1"/>
  <c r="L1021" i="1"/>
  <c r="M1037" i="1"/>
  <c r="N1045" i="1"/>
  <c r="M1053" i="1"/>
  <c r="Q1061" i="1"/>
  <c r="N1069" i="1"/>
  <c r="P1077" i="1"/>
  <c r="L1085" i="1"/>
  <c r="R1481" i="1"/>
  <c r="A1455" i="1"/>
  <c r="K1425" i="1"/>
  <c r="L1425" i="1"/>
  <c r="M1391" i="1"/>
  <c r="K1266" i="1"/>
  <c r="L1266" i="1"/>
  <c r="O1274" i="1"/>
  <c r="B249" i="1"/>
  <c r="P244" i="1"/>
  <c r="R218" i="1"/>
  <c r="P997" i="1"/>
  <c r="O1029" i="1"/>
  <c r="K1029" i="1"/>
  <c r="K981" i="1"/>
  <c r="N989" i="1"/>
  <c r="R1005" i="1"/>
  <c r="O1013" i="1"/>
  <c r="R1021" i="1"/>
  <c r="K1021" i="1"/>
  <c r="L1037" i="1"/>
  <c r="M1045" i="1"/>
  <c r="P1053" i="1"/>
  <c r="K1053" i="1"/>
  <c r="M1061" i="1"/>
  <c r="L1069" i="1"/>
  <c r="O1077" i="1"/>
  <c r="R1085" i="1"/>
  <c r="B58" i="1"/>
  <c r="R34" i="1"/>
  <c r="M1238" i="1"/>
  <c r="B34" i="1"/>
  <c r="O1238" i="1"/>
  <c r="B190" i="1"/>
  <c r="A50" i="1"/>
  <c r="R26" i="1"/>
  <c r="K1430" i="1"/>
  <c r="J1425" i="1"/>
  <c r="B1425" i="1"/>
  <c r="B1391" i="1"/>
  <c r="R1266" i="1"/>
  <c r="B1266" i="1"/>
  <c r="N1274" i="1"/>
  <c r="A249" i="1"/>
  <c r="Q1260" i="1"/>
  <c r="N244" i="1"/>
  <c r="P218" i="1"/>
  <c r="N997" i="1"/>
  <c r="J1029" i="1"/>
  <c r="P981" i="1"/>
  <c r="J989" i="1"/>
  <c r="Q1005" i="1"/>
  <c r="P1013" i="1"/>
  <c r="Q1021" i="1"/>
  <c r="R1037" i="1"/>
  <c r="K1037" i="1"/>
  <c r="L1045" i="1"/>
  <c r="J1113" i="1"/>
  <c r="N1053" i="1"/>
  <c r="L1061" i="1"/>
  <c r="K1061" i="1"/>
  <c r="M1069" i="1"/>
  <c r="L1077" i="1"/>
  <c r="Q1085" i="1"/>
  <c r="O1481" i="1"/>
  <c r="R190" i="1"/>
  <c r="J190" i="1"/>
  <c r="Q50" i="1"/>
  <c r="A1238" i="1"/>
  <c r="L200" i="1"/>
  <c r="O42" i="1"/>
  <c r="K26" i="1"/>
  <c r="K1455" i="1"/>
  <c r="J1430" i="1"/>
  <c r="R1425" i="1"/>
  <c r="A1425" i="1"/>
  <c r="A1391" i="1"/>
  <c r="J1266" i="1"/>
  <c r="A1266" i="1"/>
  <c r="M1274" i="1"/>
  <c r="M248" i="1"/>
  <c r="P1260" i="1"/>
  <c r="B244" i="1"/>
  <c r="A218" i="1"/>
  <c r="J997" i="1"/>
  <c r="N1029" i="1"/>
  <c r="R981" i="1"/>
  <c r="O989" i="1"/>
  <c r="P1005" i="1"/>
  <c r="N1013" i="1"/>
  <c r="P1021" i="1"/>
  <c r="P1037" i="1"/>
  <c r="O1045" i="1"/>
  <c r="K1045" i="1"/>
  <c r="Q1153" i="1"/>
  <c r="Q1089" i="1"/>
  <c r="J1053" i="1"/>
  <c r="R1061" i="1"/>
  <c r="R1069" i="1"/>
  <c r="K1069" i="1"/>
  <c r="M1077" i="1"/>
  <c r="O1085" i="1"/>
  <c r="O200" i="1"/>
  <c r="N42" i="1"/>
  <c r="K18" i="1"/>
  <c r="R1455" i="1"/>
  <c r="L1391" i="1"/>
  <c r="N249" i="1"/>
  <c r="P248" i="1"/>
  <c r="M1260" i="1"/>
  <c r="Q210" i="1"/>
  <c r="R997" i="1"/>
  <c r="R1029" i="1"/>
  <c r="J981" i="1"/>
  <c r="M989" i="1"/>
  <c r="O1005" i="1"/>
  <c r="J1013" i="1"/>
  <c r="O1021" i="1"/>
  <c r="Q1037" i="1"/>
  <c r="J1045" i="1"/>
  <c r="J1169" i="1"/>
  <c r="N1121" i="1"/>
  <c r="L1053" i="1"/>
  <c r="P1061" i="1"/>
  <c r="P1069" i="1"/>
  <c r="Q1077" i="1"/>
  <c r="K1077" i="1"/>
  <c r="M1085" i="1"/>
  <c r="M1353" i="1"/>
  <c r="R1430" i="1"/>
  <c r="P1425" i="1"/>
  <c r="P1366" i="1"/>
  <c r="Q1266" i="1"/>
  <c r="K1274" i="1"/>
  <c r="L1274" i="1"/>
  <c r="K1353" i="1"/>
  <c r="O58" i="1"/>
  <c r="L42" i="1"/>
  <c r="J18" i="1"/>
  <c r="Q569" i="1"/>
  <c r="R1274" i="1"/>
  <c r="L249" i="1"/>
  <c r="N248" i="1"/>
  <c r="B1260" i="1"/>
  <c r="P210" i="1"/>
  <c r="O997" i="1"/>
  <c r="Q1029" i="1"/>
  <c r="O981" i="1"/>
  <c r="L989" i="1"/>
  <c r="M1005" i="1"/>
  <c r="R1013" i="1"/>
  <c r="N1021" i="1"/>
  <c r="O1037" i="1"/>
  <c r="R1045" i="1"/>
  <c r="B1193" i="1"/>
  <c r="M1145" i="1"/>
  <c r="R1053" i="1"/>
  <c r="N1061" i="1"/>
  <c r="O1069" i="1"/>
  <c r="N1077" i="1"/>
  <c r="P1085" i="1"/>
  <c r="K1085" i="1"/>
  <c r="P73" i="1"/>
  <c r="J65" i="1"/>
  <c r="L73" i="1"/>
  <c r="P65" i="1"/>
  <c r="Q65" i="1"/>
  <c r="K73" i="1"/>
  <c r="L65" i="1"/>
  <c r="R73" i="1"/>
  <c r="M65" i="1"/>
  <c r="J73" i="1"/>
  <c r="B65" i="1"/>
  <c r="B73" i="1"/>
  <c r="N73" i="1"/>
  <c r="N66" i="1"/>
  <c r="R65" i="1"/>
  <c r="P1420" i="1"/>
  <c r="B1455" i="1"/>
  <c r="Q1366" i="1"/>
  <c r="R1419" i="1"/>
  <c r="O1478" i="1"/>
  <c r="O1482" i="1"/>
  <c r="N1399" i="1"/>
  <c r="B1464" i="1"/>
  <c r="P1516" i="1"/>
  <c r="A1366" i="1"/>
  <c r="N1413" i="1"/>
  <c r="J1405" i="1"/>
  <c r="R271" i="1"/>
  <c r="A1420" i="1"/>
  <c r="A1229" i="1"/>
  <c r="O577" i="1"/>
  <c r="P597" i="1"/>
  <c r="R615" i="1"/>
  <c r="Q271" i="1"/>
  <c r="P1333" i="1"/>
  <c r="B577" i="1"/>
  <c r="K597" i="1"/>
  <c r="P615" i="1"/>
  <c r="B277" i="1"/>
  <c r="B269" i="1"/>
  <c r="B1331" i="1"/>
  <c r="O251" i="1"/>
  <c r="L585" i="1"/>
  <c r="P605" i="1"/>
  <c r="A212" i="1"/>
  <c r="M1113" i="1"/>
  <c r="A1153" i="1"/>
  <c r="M1089" i="1"/>
  <c r="J1129" i="1"/>
  <c r="L603" i="1"/>
  <c r="P1209" i="1"/>
  <c r="N1097" i="1"/>
  <c r="N1145" i="1"/>
  <c r="B1041" i="1"/>
  <c r="J279" i="1"/>
  <c r="B1333" i="1"/>
  <c r="J327" i="1"/>
  <c r="N1137" i="1"/>
  <c r="O1177" i="1"/>
  <c r="N1209" i="1"/>
  <c r="K1097" i="1"/>
  <c r="L1145" i="1"/>
  <c r="P279" i="1"/>
  <c r="K271" i="1"/>
  <c r="O327" i="1"/>
  <c r="K603" i="1"/>
  <c r="N279" i="1"/>
  <c r="A271" i="1"/>
  <c r="N1229" i="1"/>
  <c r="B327" i="1"/>
  <c r="A603" i="1"/>
  <c r="M617" i="1"/>
  <c r="J1137" i="1"/>
  <c r="N1177" i="1"/>
  <c r="L1105" i="1"/>
  <c r="N271" i="1"/>
  <c r="B583" i="1"/>
  <c r="M1511" i="1"/>
  <c r="K1137" i="1"/>
  <c r="M1177" i="1"/>
  <c r="O1105" i="1"/>
  <c r="P1185" i="1"/>
  <c r="M279" i="1"/>
  <c r="N1420" i="1"/>
  <c r="R1229" i="1"/>
  <c r="M577" i="1"/>
  <c r="R609" i="1"/>
  <c r="K279" i="1"/>
  <c r="K1420" i="1"/>
  <c r="B1229" i="1"/>
  <c r="L577" i="1"/>
  <c r="J597" i="1"/>
  <c r="M609" i="1"/>
  <c r="N629" i="1"/>
  <c r="M1153" i="1"/>
  <c r="M1193" i="1"/>
  <c r="B1105" i="1"/>
  <c r="O1185" i="1"/>
  <c r="P30" i="1"/>
  <c r="L669" i="1"/>
  <c r="Q669" i="1"/>
  <c r="N636" i="1"/>
  <c r="J636" i="1"/>
  <c r="J662" i="1"/>
  <c r="B662" i="1"/>
  <c r="J270" i="1"/>
  <c r="O1332" i="1"/>
  <c r="R630" i="1"/>
  <c r="R1486" i="1"/>
  <c r="B649" i="1"/>
  <c r="K1198" i="1"/>
  <c r="O1198" i="1"/>
  <c r="J233" i="1"/>
  <c r="R233" i="1"/>
  <c r="N1362" i="1"/>
  <c r="R1362" i="1"/>
  <c r="N1280" i="1"/>
  <c r="K623" i="1"/>
  <c r="O623" i="1"/>
  <c r="A623" i="1"/>
  <c r="R623" i="1"/>
  <c r="B623" i="1"/>
  <c r="J623" i="1"/>
  <c r="Q623" i="1"/>
  <c r="N617" i="1"/>
  <c r="P617" i="1"/>
  <c r="R617" i="1"/>
  <c r="B617" i="1"/>
  <c r="O617" i="1"/>
  <c r="M611" i="1"/>
  <c r="L611" i="1"/>
  <c r="N611" i="1"/>
  <c r="P611" i="1"/>
  <c r="J611" i="1"/>
  <c r="Q605" i="1"/>
  <c r="O605" i="1"/>
  <c r="J605" i="1"/>
  <c r="R605" i="1"/>
  <c r="K605" i="1"/>
  <c r="J591" i="1"/>
  <c r="K591" i="1"/>
  <c r="L591" i="1"/>
  <c r="N591" i="1"/>
  <c r="B585" i="1"/>
  <c r="O585" i="1"/>
  <c r="P585" i="1"/>
  <c r="N585" i="1"/>
  <c r="M585" i="1"/>
  <c r="Q585" i="1"/>
  <c r="Q579" i="1"/>
  <c r="R579" i="1"/>
  <c r="A579" i="1"/>
  <c r="J579" i="1"/>
  <c r="B579" i="1"/>
  <c r="L579" i="1"/>
  <c r="Q251" i="1"/>
  <c r="K251" i="1"/>
  <c r="M251" i="1"/>
  <c r="N251" i="1"/>
  <c r="L1331" i="1"/>
  <c r="K1331" i="1"/>
  <c r="M1331" i="1"/>
  <c r="N1331" i="1"/>
  <c r="O1331" i="1"/>
  <c r="Q1339" i="1"/>
  <c r="A1339" i="1"/>
  <c r="J1339" i="1"/>
  <c r="B1339" i="1"/>
  <c r="R1339" i="1"/>
  <c r="L1339" i="1"/>
  <c r="Q269" i="1"/>
  <c r="J269" i="1"/>
  <c r="A269" i="1"/>
  <c r="R269" i="1"/>
  <c r="N277" i="1"/>
  <c r="O277" i="1"/>
  <c r="P277" i="1"/>
  <c r="M1487" i="1"/>
  <c r="N1487" i="1"/>
  <c r="O1487" i="1"/>
  <c r="R1487" i="1"/>
  <c r="O1493" i="1"/>
  <c r="B1493" i="1"/>
  <c r="N1437" i="1"/>
  <c r="Q1437" i="1"/>
  <c r="J1437" i="1"/>
  <c r="P14" i="1"/>
  <c r="M14" i="1"/>
  <c r="M38" i="1"/>
  <c r="O38" i="1"/>
  <c r="J54" i="1"/>
  <c r="P54" i="1"/>
  <c r="L1224" i="1"/>
  <c r="A1224" i="1"/>
  <c r="B1224" i="1"/>
  <c r="K1357" i="1"/>
  <c r="R1357" i="1"/>
  <c r="B630" i="1"/>
  <c r="L630" i="1"/>
  <c r="M630" i="1"/>
  <c r="O630" i="1"/>
  <c r="R584" i="1"/>
  <c r="K584" i="1"/>
  <c r="M584" i="1"/>
  <c r="L1332" i="1"/>
  <c r="K1332" i="1"/>
  <c r="O270" i="1"/>
  <c r="N270" i="1"/>
  <c r="P270" i="1"/>
  <c r="Q270" i="1"/>
  <c r="L278" i="1"/>
  <c r="P278" i="1"/>
  <c r="J278" i="1"/>
  <c r="O1486" i="1"/>
  <c r="B1486" i="1"/>
  <c r="A1486" i="1"/>
  <c r="M1486" i="1"/>
  <c r="M1036" i="1"/>
  <c r="J1043" i="1"/>
  <c r="P1051" i="1"/>
  <c r="O1059" i="1"/>
  <c r="Q1067" i="1"/>
  <c r="L1075" i="1"/>
  <c r="P1083" i="1"/>
  <c r="K1036" i="1"/>
  <c r="L1036" i="1"/>
  <c r="R1043" i="1"/>
  <c r="L1051" i="1"/>
  <c r="P1059" i="1"/>
  <c r="M1059" i="1"/>
  <c r="O1067" i="1"/>
  <c r="K1075" i="1"/>
  <c r="N1083" i="1"/>
  <c r="P583" i="1"/>
  <c r="N597" i="1"/>
  <c r="L615" i="1"/>
  <c r="L629" i="1"/>
  <c r="M216" i="1"/>
  <c r="P24" i="1"/>
  <c r="K1260" i="1"/>
  <c r="L210" i="1"/>
  <c r="M218" i="1"/>
  <c r="P1313" i="1"/>
  <c r="R581" i="1"/>
  <c r="L587" i="1"/>
  <c r="O593" i="1"/>
  <c r="B599" i="1"/>
  <c r="N613" i="1"/>
  <c r="Q619" i="1"/>
  <c r="Q157" i="1"/>
  <c r="R1036" i="1"/>
  <c r="O1043" i="1"/>
  <c r="J1051" i="1"/>
  <c r="L1136" i="1"/>
  <c r="L1059" i="1"/>
  <c r="R1067" i="1"/>
  <c r="M1067" i="1"/>
  <c r="O1075" i="1"/>
  <c r="K1083" i="1"/>
  <c r="L1262" i="1"/>
  <c r="O157" i="1"/>
  <c r="P1036" i="1"/>
  <c r="N1043" i="1"/>
  <c r="O1051" i="1"/>
  <c r="J1059" i="1"/>
  <c r="P1067" i="1"/>
  <c r="N1075" i="1"/>
  <c r="M1075" i="1"/>
  <c r="O1083" i="1"/>
  <c r="B705" i="1"/>
  <c r="O1036" i="1"/>
  <c r="Q1043" i="1"/>
  <c r="M1043" i="1"/>
  <c r="N1051" i="1"/>
  <c r="P1160" i="1"/>
  <c r="K1059" i="1"/>
  <c r="L1067" i="1"/>
  <c r="J1075" i="1"/>
  <c r="R1083" i="1"/>
  <c r="M1083" i="1"/>
  <c r="Q743" i="1"/>
  <c r="J1036" i="1"/>
  <c r="L1043" i="1"/>
  <c r="K1051" i="1"/>
  <c r="M1051" i="1"/>
  <c r="R1059" i="1"/>
  <c r="K1067" i="1"/>
  <c r="R1075" i="1"/>
  <c r="Q1083" i="1"/>
  <c r="B1082" i="1"/>
  <c r="M1082" i="1"/>
  <c r="R1082" i="1"/>
  <c r="Q1082" i="1"/>
  <c r="K1082" i="1"/>
  <c r="N1082" i="1"/>
  <c r="O1082" i="1"/>
  <c r="P1082" i="1"/>
  <c r="J1082" i="1"/>
  <c r="B1074" i="1"/>
  <c r="J1074" i="1"/>
  <c r="K1074" i="1"/>
  <c r="O1074" i="1"/>
  <c r="L1074" i="1"/>
  <c r="M1074" i="1"/>
  <c r="N1074" i="1"/>
  <c r="Q1074" i="1"/>
  <c r="P1074" i="1"/>
  <c r="B1066" i="1"/>
  <c r="O1066" i="1"/>
  <c r="R1066" i="1"/>
  <c r="L1066" i="1"/>
  <c r="K1066" i="1"/>
  <c r="M1066" i="1"/>
  <c r="Q1066" i="1"/>
  <c r="N1066" i="1"/>
  <c r="J1066" i="1"/>
  <c r="B1058" i="1"/>
  <c r="P1058" i="1"/>
  <c r="L1058" i="1"/>
  <c r="O1058" i="1"/>
  <c r="Q1058" i="1"/>
  <c r="J1058" i="1"/>
  <c r="K1058" i="1"/>
  <c r="M1058" i="1"/>
  <c r="B1050" i="1"/>
  <c r="M1050" i="1"/>
  <c r="N1050" i="1"/>
  <c r="R1050" i="1"/>
  <c r="O1050" i="1"/>
  <c r="P1050" i="1"/>
  <c r="J1050" i="1"/>
  <c r="K1050" i="1"/>
  <c r="L1050" i="1"/>
  <c r="B1042" i="1"/>
  <c r="J1042" i="1"/>
  <c r="L1042" i="1"/>
  <c r="N1042" i="1"/>
  <c r="Q1042" i="1"/>
  <c r="O1042" i="1"/>
  <c r="P1042" i="1"/>
  <c r="M1042" i="1"/>
  <c r="R1042" i="1"/>
  <c r="B1035" i="1"/>
  <c r="L1035" i="1"/>
  <c r="Q1035" i="1"/>
  <c r="R1035" i="1"/>
  <c r="J1035" i="1"/>
  <c r="K1035" i="1"/>
  <c r="M1035" i="1"/>
  <c r="P1035" i="1"/>
  <c r="N1035" i="1"/>
  <c r="P233" i="1"/>
  <c r="O412" i="1"/>
  <c r="K412" i="1"/>
  <c r="B278" i="1"/>
  <c r="B270" i="1"/>
  <c r="B1332" i="1"/>
  <c r="B584" i="1"/>
  <c r="A630" i="1"/>
  <c r="R1348" i="1"/>
  <c r="Q1362" i="1"/>
  <c r="Q1486" i="1"/>
  <c r="M56" i="1"/>
  <c r="M24" i="1"/>
  <c r="R16" i="1"/>
  <c r="L412" i="1"/>
  <c r="M1479" i="1"/>
  <c r="L1423" i="1"/>
  <c r="R1361" i="1"/>
  <c r="M1264" i="1"/>
  <c r="K1347" i="1"/>
  <c r="Q1242" i="1"/>
  <c r="B1357" i="1"/>
  <c r="N54" i="1"/>
  <c r="M30" i="1"/>
  <c r="Q71" i="1"/>
  <c r="Q1262" i="1"/>
  <c r="N220" i="1"/>
  <c r="K980" i="1"/>
  <c r="A157" i="1"/>
  <c r="J32" i="1"/>
  <c r="A32" i="1"/>
  <c r="M48" i="1"/>
  <c r="N48" i="1"/>
  <c r="R278" i="1"/>
  <c r="R270" i="1"/>
  <c r="R1332" i="1"/>
  <c r="L584" i="1"/>
  <c r="A584" i="1"/>
  <c r="J1348" i="1"/>
  <c r="M1460" i="1"/>
  <c r="P1362" i="1"/>
  <c r="P1486" i="1"/>
  <c r="L56" i="1"/>
  <c r="O40" i="1"/>
  <c r="K32" i="1"/>
  <c r="L24" i="1"/>
  <c r="J16" i="1"/>
  <c r="R412" i="1"/>
  <c r="B1479" i="1"/>
  <c r="P1423" i="1"/>
  <c r="P1361" i="1"/>
  <c r="L1264" i="1"/>
  <c r="P1242" i="1"/>
  <c r="R195" i="1"/>
  <c r="A54" i="1"/>
  <c r="K30" i="1"/>
  <c r="N71" i="1"/>
  <c r="M1278" i="1"/>
  <c r="L220" i="1"/>
  <c r="R980" i="1"/>
  <c r="M762" i="1"/>
  <c r="A762" i="1"/>
  <c r="P762" i="1"/>
  <c r="N756" i="1"/>
  <c r="Q756" i="1"/>
  <c r="A756" i="1"/>
  <c r="K756" i="1"/>
  <c r="L756" i="1"/>
  <c r="J750" i="1"/>
  <c r="P750" i="1"/>
  <c r="P736" i="1"/>
  <c r="B736" i="1"/>
  <c r="J736" i="1"/>
  <c r="R736" i="1"/>
  <c r="L736" i="1"/>
  <c r="M736" i="1"/>
  <c r="A730" i="1"/>
  <c r="J730" i="1"/>
  <c r="R730" i="1"/>
  <c r="K730" i="1"/>
  <c r="L730" i="1"/>
  <c r="O730" i="1"/>
  <c r="A724" i="1"/>
  <c r="B724" i="1"/>
  <c r="J724" i="1"/>
  <c r="R724" i="1"/>
  <c r="K724" i="1"/>
  <c r="O724" i="1"/>
  <c r="Q724" i="1"/>
  <c r="A718" i="1"/>
  <c r="B718" i="1"/>
  <c r="J718" i="1"/>
  <c r="L718" i="1"/>
  <c r="N718" i="1"/>
  <c r="O718" i="1"/>
  <c r="Q718" i="1"/>
  <c r="J704" i="1"/>
  <c r="R704" i="1"/>
  <c r="M704" i="1"/>
  <c r="N704" i="1"/>
  <c r="O704" i="1"/>
  <c r="P704" i="1"/>
  <c r="R698" i="1"/>
  <c r="L698" i="1"/>
  <c r="M698" i="1"/>
  <c r="O698" i="1"/>
  <c r="Q698" i="1"/>
  <c r="A698" i="1"/>
  <c r="O692" i="1"/>
  <c r="K692" i="1"/>
  <c r="P692" i="1"/>
  <c r="R692" i="1"/>
  <c r="Q692" i="1"/>
  <c r="A692" i="1"/>
  <c r="B692" i="1"/>
  <c r="Q686" i="1"/>
  <c r="R686" i="1"/>
  <c r="J686" i="1"/>
  <c r="M686" i="1"/>
  <c r="K686" i="1"/>
  <c r="A686" i="1"/>
  <c r="B686" i="1"/>
  <c r="R672" i="1"/>
  <c r="J672" i="1"/>
  <c r="M672" i="1"/>
  <c r="B672" i="1"/>
  <c r="N672" i="1"/>
  <c r="O672" i="1"/>
  <c r="M666" i="1"/>
  <c r="Q666" i="1"/>
  <c r="R666" i="1"/>
  <c r="A666" i="1"/>
  <c r="L666" i="1"/>
  <c r="O666" i="1"/>
  <c r="P666" i="1"/>
  <c r="R660" i="1"/>
  <c r="J660" i="1"/>
  <c r="L660" i="1"/>
  <c r="N660" i="1"/>
  <c r="O660" i="1"/>
  <c r="K660" i="1"/>
  <c r="R654" i="1"/>
  <c r="B654" i="1"/>
  <c r="L654" i="1"/>
  <c r="O654" i="1"/>
  <c r="K654" i="1"/>
  <c r="J654" i="1"/>
  <c r="B640" i="1"/>
  <c r="L640" i="1"/>
  <c r="N640" i="1"/>
  <c r="O640" i="1"/>
  <c r="P640" i="1"/>
  <c r="Q640" i="1"/>
  <c r="R640" i="1"/>
  <c r="B634" i="1"/>
  <c r="L634" i="1"/>
  <c r="N634" i="1"/>
  <c r="P634" i="1"/>
  <c r="Q634" i="1"/>
  <c r="J634" i="1"/>
  <c r="R634" i="1"/>
  <c r="A1028" i="1"/>
  <c r="L1028" i="1"/>
  <c r="J1028" i="1"/>
  <c r="M1028" i="1"/>
  <c r="N1028" i="1"/>
  <c r="K1028" i="1"/>
  <c r="O1028" i="1"/>
  <c r="P1028" i="1"/>
  <c r="Q1028" i="1"/>
  <c r="A988" i="1"/>
  <c r="P988" i="1"/>
  <c r="J988" i="1"/>
  <c r="K988" i="1"/>
  <c r="O988" i="1"/>
  <c r="Q988" i="1"/>
  <c r="L988" i="1"/>
  <c r="R988" i="1"/>
  <c r="M988" i="1"/>
  <c r="Q1348" i="1"/>
  <c r="L1460" i="1"/>
  <c r="M1362" i="1"/>
  <c r="P40" i="1"/>
  <c r="P32" i="1"/>
  <c r="J24" i="1"/>
  <c r="B16" i="1"/>
  <c r="Q412" i="1"/>
  <c r="O1436" i="1"/>
  <c r="K1423" i="1"/>
  <c r="O1361" i="1"/>
  <c r="B1242" i="1"/>
  <c r="N195" i="1"/>
  <c r="M46" i="1"/>
  <c r="P22" i="1"/>
  <c r="R322" i="1"/>
  <c r="K1278" i="1"/>
  <c r="P247" i="1"/>
  <c r="B220" i="1"/>
  <c r="J980" i="1"/>
  <c r="O231" i="1"/>
  <c r="K625" i="1"/>
  <c r="R625" i="1"/>
  <c r="O736" i="1"/>
  <c r="A1020" i="1"/>
  <c r="P1020" i="1"/>
  <c r="L1020" i="1"/>
  <c r="R1020" i="1"/>
  <c r="M1020" i="1"/>
  <c r="N1020" i="1"/>
  <c r="J1020" i="1"/>
  <c r="K1020" i="1"/>
  <c r="O1020" i="1"/>
  <c r="A996" i="1"/>
  <c r="K996" i="1"/>
  <c r="O996" i="1"/>
  <c r="Q996" i="1"/>
  <c r="R996" i="1"/>
  <c r="L996" i="1"/>
  <c r="J996" i="1"/>
  <c r="M996" i="1"/>
  <c r="N996" i="1"/>
  <c r="J1264" i="1"/>
  <c r="N1264" i="1"/>
  <c r="R1268" i="1"/>
  <c r="N1268" i="1"/>
  <c r="N1397" i="1"/>
  <c r="K1397" i="1"/>
  <c r="Q1470" i="1"/>
  <c r="K1470" i="1"/>
  <c r="N1348" i="1"/>
  <c r="K1460" i="1"/>
  <c r="A1362" i="1"/>
  <c r="Q48" i="1"/>
  <c r="M32" i="1"/>
  <c r="P412" i="1"/>
  <c r="N1436" i="1"/>
  <c r="Q1423" i="1"/>
  <c r="N1361" i="1"/>
  <c r="Q1264" i="1"/>
  <c r="M1280" i="1"/>
  <c r="A195" i="1"/>
  <c r="Q247" i="1"/>
  <c r="Q1020" i="1"/>
  <c r="J1222" i="1"/>
  <c r="M1222" i="1"/>
  <c r="J1190" i="1"/>
  <c r="A1190" i="1"/>
  <c r="J1142" i="1"/>
  <c r="P1142" i="1"/>
  <c r="Q1142" i="1"/>
  <c r="K1110" i="1"/>
  <c r="Q1110" i="1"/>
  <c r="L1102" i="1"/>
  <c r="R1102" i="1"/>
  <c r="A1012" i="1"/>
  <c r="K1012" i="1"/>
  <c r="J1012" i="1"/>
  <c r="L1012" i="1"/>
  <c r="O1012" i="1"/>
  <c r="M1012" i="1"/>
  <c r="N1012" i="1"/>
  <c r="P1012" i="1"/>
  <c r="Q1012" i="1"/>
  <c r="A1004" i="1"/>
  <c r="O1004" i="1"/>
  <c r="P1004" i="1"/>
  <c r="Q1004" i="1"/>
  <c r="L1004" i="1"/>
  <c r="R1004" i="1"/>
  <c r="M1004" i="1"/>
  <c r="N1004" i="1"/>
  <c r="J1004" i="1"/>
  <c r="A980" i="1"/>
  <c r="M980" i="1"/>
  <c r="J1362" i="1"/>
  <c r="O980" i="1"/>
  <c r="O71" i="1"/>
  <c r="J71" i="1"/>
  <c r="K24" i="1"/>
  <c r="A24" i="1"/>
  <c r="R40" i="1"/>
  <c r="L40" i="1"/>
  <c r="Q56" i="1"/>
  <c r="K56" i="1"/>
  <c r="N988" i="1"/>
  <c r="K1348" i="1"/>
  <c r="R1460" i="1"/>
  <c r="P48" i="1"/>
  <c r="K40" i="1"/>
  <c r="L32" i="1"/>
  <c r="O16" i="1"/>
  <c r="B412" i="1"/>
  <c r="R1418" i="1"/>
  <c r="B1423" i="1"/>
  <c r="Q1268" i="1"/>
  <c r="B1264" i="1"/>
  <c r="R1396" i="1"/>
  <c r="J38" i="1"/>
  <c r="O14" i="1"/>
  <c r="L1437" i="1"/>
  <c r="K247" i="1"/>
  <c r="L980" i="1"/>
  <c r="A617" i="1"/>
  <c r="J617" i="1"/>
  <c r="R1028" i="1"/>
  <c r="B1348" i="1"/>
  <c r="B1460" i="1"/>
  <c r="L1362" i="1"/>
  <c r="P56" i="1"/>
  <c r="J48" i="1"/>
  <c r="N40" i="1"/>
  <c r="Q24" i="1"/>
  <c r="P16" i="1"/>
  <c r="A412" i="1"/>
  <c r="O1418" i="1"/>
  <c r="M1268" i="1"/>
  <c r="A1264" i="1"/>
  <c r="M212" i="1"/>
  <c r="Q980" i="1"/>
  <c r="O322" i="1"/>
  <c r="M322" i="1"/>
  <c r="R22" i="1"/>
  <c r="K22" i="1"/>
  <c r="L46" i="1"/>
  <c r="B46" i="1"/>
  <c r="Q1224" i="1"/>
  <c r="P1224" i="1"/>
  <c r="O1280" i="1"/>
  <c r="A1280" i="1"/>
  <c r="Q681" i="1"/>
  <c r="A751" i="1"/>
  <c r="N275" i="1"/>
  <c r="J267" i="1"/>
  <c r="M1337" i="1"/>
  <c r="B1337" i="1"/>
  <c r="O581" i="1"/>
  <c r="B581" i="1"/>
  <c r="K587" i="1"/>
  <c r="P613" i="1"/>
  <c r="L619" i="1"/>
  <c r="N1493" i="1"/>
  <c r="A1031" i="1"/>
  <c r="M9" i="1"/>
  <c r="N9" i="1"/>
  <c r="A9" i="1"/>
  <c r="O9" i="1"/>
  <c r="B9" i="1"/>
  <c r="P9" i="1"/>
  <c r="L9" i="1"/>
  <c r="Q9" i="1"/>
  <c r="J9" i="1"/>
  <c r="R9" i="1"/>
  <c r="K9" i="1"/>
  <c r="N574" i="1"/>
  <c r="R574" i="1"/>
  <c r="L1327" i="1"/>
  <c r="B1327" i="1"/>
  <c r="J1335" i="1"/>
  <c r="K1335" i="1"/>
  <c r="M205" i="1"/>
  <c r="J17" i="1"/>
  <c r="P1236" i="1"/>
  <c r="O1355" i="1"/>
  <c r="R193" i="1"/>
  <c r="N56" i="1"/>
  <c r="R48" i="1"/>
  <c r="B48" i="1"/>
  <c r="M40" i="1"/>
  <c r="N32" i="1"/>
  <c r="O24" i="1"/>
  <c r="Q16" i="1"/>
  <c r="A16" i="1"/>
  <c r="J412" i="1"/>
  <c r="Q244" i="1"/>
  <c r="J210" i="1"/>
  <c r="J218" i="1"/>
  <c r="P316" i="1"/>
  <c r="J1513" i="1"/>
  <c r="A1523" i="1"/>
  <c r="R1524" i="1"/>
  <c r="O1242" i="1"/>
  <c r="K1280" i="1"/>
  <c r="N1357" i="1"/>
  <c r="J195" i="1"/>
  <c r="M1224" i="1"/>
  <c r="Q54" i="1"/>
  <c r="K46" i="1"/>
  <c r="A46" i="1"/>
  <c r="B38" i="1"/>
  <c r="A30" i="1"/>
  <c r="B22" i="1"/>
  <c r="L14" i="1"/>
  <c r="Q322" i="1"/>
  <c r="N1242" i="1"/>
  <c r="J1280" i="1"/>
  <c r="M1357" i="1"/>
  <c r="Q195" i="1"/>
  <c r="K1224" i="1"/>
  <c r="L54" i="1"/>
  <c r="J46" i="1"/>
  <c r="Q38" i="1"/>
  <c r="Q30" i="1"/>
  <c r="Q22" i="1"/>
  <c r="A22" i="1"/>
  <c r="B14" i="1"/>
  <c r="P322" i="1"/>
  <c r="Q273" i="1"/>
  <c r="K3" i="1"/>
  <c r="L3" i="1"/>
  <c r="M3" i="1"/>
  <c r="R3" i="1"/>
  <c r="N3" i="1"/>
  <c r="O3" i="1"/>
  <c r="B3" i="1"/>
  <c r="J3" i="1"/>
  <c r="P3" i="1"/>
  <c r="A3" i="1"/>
  <c r="Q3" i="1"/>
  <c r="K11" i="1"/>
  <c r="L11" i="1"/>
  <c r="J11" i="1"/>
  <c r="M11" i="1"/>
  <c r="R11" i="1"/>
  <c r="N11" i="1"/>
  <c r="O11" i="1"/>
  <c r="P11" i="1"/>
  <c r="Q11" i="1"/>
  <c r="K1283" i="1"/>
  <c r="R1283" i="1"/>
  <c r="J625" i="1"/>
  <c r="B625" i="1"/>
  <c r="P625" i="1"/>
  <c r="B619" i="1"/>
  <c r="M619" i="1"/>
  <c r="N619" i="1"/>
  <c r="K613" i="1"/>
  <c r="L613" i="1"/>
  <c r="A599" i="1"/>
  <c r="M593" i="1"/>
  <c r="B593" i="1"/>
  <c r="J593" i="1"/>
  <c r="B1313" i="1"/>
  <c r="L1313" i="1"/>
  <c r="A1329" i="1"/>
  <c r="K1329" i="1"/>
  <c r="K415" i="1"/>
  <c r="R415" i="1"/>
  <c r="K1489" i="1"/>
  <c r="M1489" i="1"/>
  <c r="J1506" i="1"/>
  <c r="O1506" i="1"/>
  <c r="K1242" i="1"/>
  <c r="P1280" i="1"/>
  <c r="L1357" i="1"/>
  <c r="P195" i="1"/>
  <c r="R1224" i="1"/>
  <c r="K54" i="1"/>
  <c r="R46" i="1"/>
  <c r="L38" i="1"/>
  <c r="O30" i="1"/>
  <c r="N22" i="1"/>
  <c r="K14" i="1"/>
  <c r="A322" i="1"/>
  <c r="A4" i="1"/>
  <c r="J4" i="1"/>
  <c r="R4" i="1"/>
  <c r="B4" i="1"/>
  <c r="K4" i="1"/>
  <c r="L4" i="1"/>
  <c r="M4" i="1"/>
  <c r="N4" i="1"/>
  <c r="Q4" i="1"/>
  <c r="O4" i="1"/>
  <c r="P4" i="1"/>
  <c r="B12" i="1"/>
  <c r="J12" i="1"/>
  <c r="R12" i="1"/>
  <c r="K12" i="1"/>
  <c r="L12" i="1"/>
  <c r="M12" i="1"/>
  <c r="N12" i="1"/>
  <c r="Q12" i="1"/>
  <c r="O12" i="1"/>
  <c r="P12" i="1"/>
  <c r="K630" i="1"/>
  <c r="M201" i="1"/>
  <c r="P17" i="1"/>
  <c r="A17" i="1"/>
  <c r="O1236" i="1"/>
  <c r="A1236" i="1"/>
  <c r="O193" i="1"/>
  <c r="O48" i="1"/>
  <c r="Q40" i="1"/>
  <c r="A40" i="1"/>
  <c r="R24" i="1"/>
  <c r="L16" i="1"/>
  <c r="O207" i="1"/>
  <c r="N1498" i="1"/>
  <c r="B1513" i="1"/>
  <c r="L1537" i="1"/>
  <c r="J1499" i="1"/>
  <c r="K1524" i="1"/>
  <c r="B613" i="1"/>
  <c r="O619" i="1"/>
  <c r="O625" i="1"/>
  <c r="O1437" i="1"/>
  <c r="R1489" i="1"/>
  <c r="R157" i="1"/>
  <c r="P155" i="1"/>
  <c r="B155" i="1"/>
  <c r="K322" i="1"/>
  <c r="B322" i="1"/>
  <c r="N322" i="1"/>
  <c r="P6" i="1"/>
  <c r="Q6" i="1"/>
  <c r="J6" i="1"/>
  <c r="R6" i="1"/>
  <c r="K6" i="1"/>
  <c r="A6" i="1"/>
  <c r="L6" i="1"/>
  <c r="O6" i="1"/>
  <c r="B6" i="1"/>
  <c r="M6" i="1"/>
  <c r="N6" i="1"/>
  <c r="A14" i="1"/>
  <c r="Q14" i="1"/>
  <c r="J14" i="1"/>
  <c r="M22" i="1"/>
  <c r="J22" i="1"/>
  <c r="L30" i="1"/>
  <c r="R30" i="1"/>
  <c r="B30" i="1"/>
  <c r="K38" i="1"/>
  <c r="A38" i="1"/>
  <c r="R38" i="1"/>
  <c r="P46" i="1"/>
  <c r="Q46" i="1"/>
  <c r="B54" i="1"/>
  <c r="R54" i="1"/>
  <c r="M54" i="1"/>
  <c r="J1224" i="1"/>
  <c r="O1224" i="1"/>
  <c r="M195" i="1"/>
  <c r="B195" i="1"/>
  <c r="K195" i="1"/>
  <c r="A1357" i="1"/>
  <c r="O1357" i="1"/>
  <c r="P1357" i="1"/>
  <c r="Q1280" i="1"/>
  <c r="R1280" i="1"/>
  <c r="L1242" i="1"/>
  <c r="R1242" i="1"/>
  <c r="M1242" i="1"/>
  <c r="A1242" i="1"/>
  <c r="B1280" i="1"/>
  <c r="J1357" i="1"/>
  <c r="L195" i="1"/>
  <c r="N1224" i="1"/>
  <c r="O54" i="1"/>
  <c r="O46" i="1"/>
  <c r="P38" i="1"/>
  <c r="N30" i="1"/>
  <c r="O22" i="1"/>
  <c r="N14" i="1"/>
  <c r="L322" i="1"/>
  <c r="K1437" i="1"/>
  <c r="K1342" i="1"/>
  <c r="P1342" i="1"/>
  <c r="O7" i="1"/>
  <c r="B7" i="1"/>
  <c r="P7" i="1"/>
  <c r="Q7" i="1"/>
  <c r="J7" i="1"/>
  <c r="R7" i="1"/>
  <c r="K7" i="1"/>
  <c r="N7" i="1"/>
  <c r="L7" i="1"/>
  <c r="A7" i="1"/>
  <c r="M7" i="1"/>
  <c r="A8" i="1"/>
  <c r="N8" i="1"/>
  <c r="B8" i="1"/>
  <c r="O8" i="1"/>
  <c r="P8" i="1"/>
  <c r="Q8" i="1"/>
  <c r="J8" i="1"/>
  <c r="R8" i="1"/>
  <c r="M8" i="1"/>
  <c r="K8" i="1"/>
  <c r="L8" i="1"/>
  <c r="P602" i="1"/>
  <c r="O602" i="1"/>
  <c r="K1195" i="1"/>
  <c r="M1195" i="1"/>
  <c r="A1155" i="1"/>
  <c r="P1155" i="1"/>
  <c r="A1115" i="1"/>
  <c r="B1115" i="1"/>
  <c r="R1137" i="1"/>
  <c r="L1193" i="1"/>
  <c r="O1209" i="1"/>
  <c r="J1185" i="1"/>
  <c r="R1107" i="1"/>
  <c r="K1147" i="1"/>
  <c r="L1187" i="1"/>
  <c r="Q1506" i="1"/>
  <c r="L1195" i="1"/>
  <c r="O1217" i="1"/>
  <c r="K1217" i="1"/>
  <c r="K1201" i="1"/>
  <c r="P1201" i="1"/>
  <c r="P1177" i="1"/>
  <c r="L1177" i="1"/>
  <c r="O1169" i="1"/>
  <c r="N1169" i="1"/>
  <c r="J1161" i="1"/>
  <c r="O1161" i="1"/>
  <c r="L1153" i="1"/>
  <c r="R1153" i="1"/>
  <c r="O1129" i="1"/>
  <c r="R1129" i="1"/>
  <c r="N1113" i="1"/>
  <c r="A1113" i="1"/>
  <c r="P1105" i="1"/>
  <c r="Q1105" i="1"/>
  <c r="N1089" i="1"/>
  <c r="O1089" i="1"/>
  <c r="K707" i="1"/>
  <c r="Q707" i="1"/>
  <c r="P1115" i="1"/>
  <c r="O1155" i="1"/>
  <c r="N1203" i="1"/>
  <c r="R1192" i="1"/>
  <c r="B1192" i="1"/>
  <c r="A1104" i="1"/>
  <c r="L1104" i="1"/>
  <c r="B642" i="1"/>
  <c r="Q642" i="1"/>
  <c r="O1163" i="1"/>
  <c r="Q1203" i="1"/>
  <c r="A765" i="1"/>
  <c r="R1113" i="1"/>
  <c r="Q1137" i="1"/>
  <c r="R1169" i="1"/>
  <c r="B1177" i="1"/>
  <c r="M1201" i="1"/>
  <c r="P1097" i="1"/>
  <c r="J1121" i="1"/>
  <c r="K1145" i="1"/>
  <c r="R1217" i="1"/>
  <c r="B1123" i="1"/>
  <c r="B1163" i="1"/>
  <c r="M1211" i="1"/>
  <c r="J1158" i="1"/>
  <c r="A1158" i="1"/>
  <c r="R1086" i="1"/>
  <c r="M1086" i="1"/>
  <c r="K641" i="1"/>
  <c r="N701" i="1"/>
  <c r="J756" i="1"/>
  <c r="O756" i="1"/>
  <c r="K736" i="1"/>
  <c r="A736" i="1"/>
  <c r="Q736" i="1"/>
  <c r="B730" i="1"/>
  <c r="N730" i="1"/>
  <c r="M724" i="1"/>
  <c r="L724" i="1"/>
  <c r="R718" i="1"/>
  <c r="K718" i="1"/>
  <c r="L704" i="1"/>
  <c r="A704" i="1"/>
  <c r="Q704" i="1"/>
  <c r="J698" i="1"/>
  <c r="N698" i="1"/>
  <c r="M692" i="1"/>
  <c r="J692" i="1"/>
  <c r="O686" i="1"/>
  <c r="N686" i="1"/>
  <c r="K672" i="1"/>
  <c r="A672" i="1"/>
  <c r="Q672" i="1"/>
  <c r="N666" i="1"/>
  <c r="J666" i="1"/>
  <c r="A660" i="1"/>
  <c r="P660" i="1"/>
  <c r="P654" i="1"/>
  <c r="N654" i="1"/>
  <c r="K640" i="1"/>
  <c r="A640" i="1"/>
  <c r="M640" i="1"/>
  <c r="O634" i="1"/>
  <c r="K634" i="1"/>
  <c r="B1397" i="1"/>
  <c r="L1113" i="1"/>
  <c r="B1137" i="1"/>
  <c r="K1169" i="1"/>
  <c r="P1193" i="1"/>
  <c r="B1201" i="1"/>
  <c r="Q1097" i="1"/>
  <c r="A1121" i="1"/>
  <c r="A1145" i="1"/>
  <c r="J1217" i="1"/>
  <c r="J1091" i="1"/>
  <c r="P1131" i="1"/>
  <c r="J1171" i="1"/>
  <c r="J1211" i="1"/>
  <c r="A673" i="1"/>
  <c r="A643" i="1"/>
  <c r="A703" i="1"/>
  <c r="R703" i="1"/>
  <c r="L212" i="1"/>
  <c r="P212" i="1"/>
  <c r="R1262" i="1"/>
  <c r="N1262" i="1"/>
  <c r="J1278" i="1"/>
  <c r="Q1278" i="1"/>
  <c r="Q5" i="1"/>
  <c r="J5" i="1"/>
  <c r="R5" i="1"/>
  <c r="P5" i="1"/>
  <c r="A5" i="1"/>
  <c r="K5" i="1"/>
  <c r="B5" i="1"/>
  <c r="L5" i="1"/>
  <c r="M5" i="1"/>
  <c r="N5" i="1"/>
  <c r="O5" i="1"/>
  <c r="Q13" i="1"/>
  <c r="J13" i="1"/>
  <c r="R13" i="1"/>
  <c r="K13" i="1"/>
  <c r="P13" i="1"/>
  <c r="L13" i="1"/>
  <c r="M13" i="1"/>
  <c r="N13" i="1"/>
  <c r="O13" i="1"/>
  <c r="N1176" i="1"/>
  <c r="K1113" i="1"/>
  <c r="N1153" i="1"/>
  <c r="L1169" i="1"/>
  <c r="O1193" i="1"/>
  <c r="J1209" i="1"/>
  <c r="P1089" i="1"/>
  <c r="B1097" i="1"/>
  <c r="B1121" i="1"/>
  <c r="P1161" i="1"/>
  <c r="Q1102" i="1"/>
  <c r="B1222" i="1"/>
  <c r="K1099" i="1"/>
  <c r="L1139" i="1"/>
  <c r="K1179" i="1"/>
  <c r="R1219" i="1"/>
  <c r="M634" i="1"/>
  <c r="J640" i="1"/>
  <c r="Q654" i="1"/>
  <c r="A654" i="1"/>
  <c r="B660" i="1"/>
  <c r="B666" i="1"/>
  <c r="L672" i="1"/>
  <c r="L686" i="1"/>
  <c r="N692" i="1"/>
  <c r="K698" i="1"/>
  <c r="K704" i="1"/>
  <c r="M718" i="1"/>
  <c r="N724" i="1"/>
  <c r="M730" i="1"/>
  <c r="N736" i="1"/>
  <c r="L729" i="1"/>
  <c r="B756" i="1"/>
  <c r="R707" i="1"/>
  <c r="L10" i="1"/>
  <c r="M10" i="1"/>
  <c r="N10" i="1"/>
  <c r="O10" i="1"/>
  <c r="A10" i="1"/>
  <c r="P10" i="1"/>
  <c r="K10" i="1"/>
  <c r="B10" i="1"/>
  <c r="Q10" i="1"/>
  <c r="J10" i="1"/>
  <c r="R10" i="1"/>
  <c r="L1430" i="1"/>
  <c r="P1391" i="1"/>
  <c r="A1460" i="1"/>
  <c r="J1479" i="1"/>
  <c r="Q1418" i="1"/>
  <c r="N1405" i="1"/>
  <c r="N1479" i="1"/>
  <c r="N1481" i="1"/>
  <c r="N1455" i="1"/>
  <c r="A1430" i="1"/>
  <c r="N1366" i="1"/>
  <c r="M1481" i="1"/>
  <c r="M150" i="1"/>
  <c r="N1457" i="1"/>
  <c r="O1462" i="1"/>
  <c r="L1410" i="1"/>
  <c r="L1402" i="1"/>
  <c r="M1366" i="1"/>
  <c r="R1436" i="1"/>
  <c r="R1437" i="1"/>
  <c r="R1420" i="1"/>
  <c r="N1462" i="1"/>
  <c r="B1401" i="1"/>
  <c r="A1436" i="1"/>
  <c r="Q1523" i="1"/>
  <c r="A1459" i="1"/>
  <c r="Q1514" i="1"/>
  <c r="Q1481" i="1"/>
  <c r="J1481" i="1"/>
  <c r="P1437" i="1"/>
  <c r="A1437" i="1"/>
  <c r="P1418" i="1"/>
  <c r="Q1522" i="1"/>
  <c r="N1365" i="1"/>
  <c r="J1420" i="1"/>
  <c r="J1391" i="1"/>
  <c r="Q1412" i="1"/>
  <c r="A1477" i="1"/>
  <c r="N1469" i="1"/>
  <c r="N1461" i="1"/>
  <c r="J1455" i="1"/>
  <c r="M1430" i="1"/>
  <c r="R1366" i="1"/>
  <c r="P1460" i="1"/>
  <c r="A1484" i="1"/>
  <c r="M1436" i="1"/>
  <c r="B1437" i="1"/>
  <c r="B1417" i="1"/>
  <c r="P1455" i="1"/>
  <c r="Q1537" i="1"/>
  <c r="A1479" i="1"/>
  <c r="J1470" i="1"/>
  <c r="B1430" i="1"/>
  <c r="B1366" i="1"/>
  <c r="Q1498" i="1"/>
  <c r="M1437" i="1"/>
  <c r="Q1466" i="1"/>
  <c r="L1400" i="1"/>
  <c r="R1465" i="1"/>
  <c r="A1481" i="1"/>
  <c r="O1391" i="1"/>
  <c r="O1393" i="1"/>
  <c r="B1432" i="1"/>
  <c r="R1462" i="1"/>
  <c r="Q1464" i="1"/>
  <c r="H679" i="15"/>
  <c r="H678" i="15" s="1"/>
  <c r="D696" i="15"/>
  <c r="E679" i="15"/>
  <c r="G679" i="15"/>
  <c r="B694" i="15"/>
  <c r="D694" i="15"/>
  <c r="F679" i="15"/>
  <c r="B685" i="15"/>
  <c r="G693" i="15"/>
  <c r="F693" i="15"/>
  <c r="B693" i="15"/>
  <c r="D679" i="15"/>
  <c r="C679" i="15"/>
  <c r="D693" i="15"/>
  <c r="E696" i="15"/>
  <c r="D695" i="15"/>
  <c r="J695" i="15" s="1"/>
  <c r="J692" i="15"/>
  <c r="B708" i="15"/>
  <c r="B706" i="15"/>
  <c r="J690" i="15"/>
  <c r="J691" i="15"/>
  <c r="B707" i="15"/>
  <c r="P577" i="1"/>
  <c r="O583" i="1"/>
  <c r="Q597" i="1"/>
  <c r="N603" i="1"/>
  <c r="A609" i="1"/>
  <c r="B629" i="1"/>
  <c r="L1238" i="1"/>
  <c r="L190" i="1"/>
  <c r="L58" i="1"/>
  <c r="R50" i="1"/>
  <c r="N34" i="1"/>
  <c r="L18" i="1"/>
  <c r="M1348" i="1"/>
  <c r="N1460" i="1"/>
  <c r="O1460" i="1"/>
  <c r="K1362" i="1"/>
  <c r="B1362" i="1"/>
  <c r="Q1479" i="1"/>
  <c r="Q1436" i="1"/>
  <c r="J1436" i="1"/>
  <c r="N1418" i="1"/>
  <c r="J1423" i="1"/>
  <c r="A1423" i="1"/>
  <c r="J1361" i="1"/>
  <c r="P1268" i="1"/>
  <c r="B1268" i="1"/>
  <c r="P1264" i="1"/>
  <c r="N233" i="1"/>
  <c r="J1347" i="1"/>
  <c r="O1396" i="1"/>
  <c r="J1498" i="1"/>
  <c r="K1513" i="1"/>
  <c r="A1513" i="1"/>
  <c r="M1523" i="1"/>
  <c r="O1537" i="1"/>
  <c r="O1499" i="1"/>
  <c r="Q1524" i="1"/>
  <c r="R1538" i="1"/>
  <c r="M71" i="1"/>
  <c r="O1278" i="1"/>
  <c r="P1278" i="1"/>
  <c r="P1262" i="1"/>
  <c r="O247" i="1"/>
  <c r="O212" i="1"/>
  <c r="Q220" i="1"/>
  <c r="J157" i="1"/>
  <c r="R239" i="1"/>
  <c r="A245" i="1"/>
  <c r="N264" i="1"/>
  <c r="M329" i="1"/>
  <c r="L1348" i="1"/>
  <c r="P1479" i="1"/>
  <c r="P1436" i="1"/>
  <c r="B1436" i="1"/>
  <c r="M1418" i="1"/>
  <c r="R1423" i="1"/>
  <c r="Q1361" i="1"/>
  <c r="O1268" i="1"/>
  <c r="A1268" i="1"/>
  <c r="O1264" i="1"/>
  <c r="M233" i="1"/>
  <c r="O1347" i="1"/>
  <c r="M1396" i="1"/>
  <c r="K1498" i="1"/>
  <c r="R1513" i="1"/>
  <c r="K1523" i="1"/>
  <c r="L1523" i="1"/>
  <c r="N1537" i="1"/>
  <c r="K71" i="1"/>
  <c r="L71" i="1"/>
  <c r="N1278" i="1"/>
  <c r="B1278" i="1"/>
  <c r="B1262" i="1"/>
  <c r="M247" i="1"/>
  <c r="N212" i="1"/>
  <c r="P220" i="1"/>
  <c r="P157" i="1"/>
  <c r="K1484" i="1"/>
  <c r="A264" i="1"/>
  <c r="P1282" i="1"/>
  <c r="O549" i="1"/>
  <c r="B557" i="1"/>
  <c r="Q1208" i="1"/>
  <c r="J1208" i="1"/>
  <c r="N1200" i="1"/>
  <c r="O1200" i="1"/>
  <c r="A1168" i="1"/>
  <c r="O1168" i="1"/>
  <c r="J1152" i="1"/>
  <c r="R1152" i="1"/>
  <c r="N1152" i="1"/>
  <c r="B1128" i="1"/>
  <c r="J1128" i="1"/>
  <c r="O1128" i="1"/>
  <c r="R1112" i="1"/>
  <c r="L1112" i="1"/>
  <c r="O1088" i="1"/>
  <c r="P1088" i="1"/>
  <c r="J1088" i="1"/>
  <c r="R71" i="1"/>
  <c r="A71" i="1"/>
  <c r="L1278" i="1"/>
  <c r="M1262" i="1"/>
  <c r="L247" i="1"/>
  <c r="A247" i="1"/>
  <c r="K212" i="1"/>
  <c r="M220" i="1"/>
  <c r="N157" i="1"/>
  <c r="N1335" i="1"/>
  <c r="P28" i="1"/>
  <c r="N1439" i="1"/>
  <c r="L1439" i="1"/>
  <c r="R51" i="1"/>
  <c r="P51" i="1"/>
  <c r="Q558" i="1"/>
  <c r="A558" i="1"/>
  <c r="B550" i="1"/>
  <c r="P550" i="1"/>
  <c r="O542" i="1"/>
  <c r="B542" i="1"/>
  <c r="L542" i="1"/>
  <c r="O534" i="1"/>
  <c r="R534" i="1"/>
  <c r="J167" i="1"/>
  <c r="R167" i="1"/>
  <c r="M167" i="1"/>
  <c r="N167" i="1"/>
  <c r="B541" i="1"/>
  <c r="N541" i="1"/>
  <c r="R541" i="1"/>
  <c r="K533" i="1"/>
  <c r="R533" i="1"/>
  <c r="M533" i="1"/>
  <c r="J508" i="1"/>
  <c r="P508" i="1"/>
  <c r="P500" i="1"/>
  <c r="L500" i="1"/>
  <c r="K492" i="1"/>
  <c r="O492" i="1"/>
  <c r="O1229" i="1"/>
  <c r="K1333" i="1"/>
  <c r="M327" i="1"/>
  <c r="K583" i="1"/>
  <c r="A597" i="1"/>
  <c r="P609" i="1"/>
  <c r="B615" i="1"/>
  <c r="J629" i="1"/>
  <c r="J1238" i="1"/>
  <c r="N1353" i="1"/>
  <c r="R200" i="1"/>
  <c r="P50" i="1"/>
  <c r="J42" i="1"/>
  <c r="O26" i="1"/>
  <c r="N569" i="1"/>
  <c r="P1348" i="1"/>
  <c r="P1243" i="1"/>
  <c r="J1460" i="1"/>
  <c r="O1362" i="1"/>
  <c r="J154" i="1"/>
  <c r="K1479" i="1"/>
  <c r="L1479" i="1"/>
  <c r="L1436" i="1"/>
  <c r="J1418" i="1"/>
  <c r="B1418" i="1"/>
  <c r="O1423" i="1"/>
  <c r="L1361" i="1"/>
  <c r="B1361" i="1"/>
  <c r="K1268" i="1"/>
  <c r="R1264" i="1"/>
  <c r="L316" i="1"/>
  <c r="P207" i="1"/>
  <c r="M1498" i="1"/>
  <c r="A1498" i="1"/>
  <c r="Q1513" i="1"/>
  <c r="P1523" i="1"/>
  <c r="J1537" i="1"/>
  <c r="B1537" i="1"/>
  <c r="K1499" i="1"/>
  <c r="M1514" i="1"/>
  <c r="O1538" i="1"/>
  <c r="P71" i="1"/>
  <c r="R1278" i="1"/>
  <c r="K1262" i="1"/>
  <c r="J212" i="1"/>
  <c r="B212" i="1"/>
  <c r="K220" i="1"/>
  <c r="K209" i="1"/>
  <c r="M157" i="1"/>
  <c r="B157" i="1"/>
  <c r="L568" i="1"/>
  <c r="N1327" i="1"/>
  <c r="B601" i="1"/>
  <c r="K558" i="1"/>
  <c r="B247" i="1"/>
  <c r="N247" i="1"/>
  <c r="A575" i="1"/>
  <c r="J575" i="1"/>
  <c r="Q1420" i="1"/>
  <c r="K1229" i="1"/>
  <c r="R1333" i="1"/>
  <c r="L327" i="1"/>
  <c r="L583" i="1"/>
  <c r="Q603" i="1"/>
  <c r="O609" i="1"/>
  <c r="A615" i="1"/>
  <c r="P629" i="1"/>
  <c r="R1238" i="1"/>
  <c r="B1353" i="1"/>
  <c r="J200" i="1"/>
  <c r="B42" i="1"/>
  <c r="R1479" i="1"/>
  <c r="M1423" i="1"/>
  <c r="K1361" i="1"/>
  <c r="R316" i="1"/>
  <c r="B207" i="1"/>
  <c r="M1513" i="1"/>
  <c r="P1537" i="1"/>
  <c r="R1499" i="1"/>
  <c r="B1514" i="1"/>
  <c r="N1538" i="1"/>
  <c r="J1262" i="1"/>
  <c r="J247" i="1"/>
  <c r="Q212" i="1"/>
  <c r="R220" i="1"/>
  <c r="A220" i="1"/>
  <c r="K157" i="1"/>
  <c r="J1327" i="1"/>
  <c r="B607" i="1"/>
  <c r="A1489" i="1"/>
  <c r="N1489" i="1"/>
  <c r="P1506" i="1"/>
  <c r="M1506" i="1"/>
  <c r="B758" i="1"/>
  <c r="N1099" i="1"/>
  <c r="N1115" i="1"/>
  <c r="A1123" i="1"/>
  <c r="O1139" i="1"/>
  <c r="R1155" i="1"/>
  <c r="A1163" i="1"/>
  <c r="J1179" i="1"/>
  <c r="J1195" i="1"/>
  <c r="K1211" i="1"/>
  <c r="R693" i="1"/>
  <c r="M729" i="1"/>
  <c r="A642" i="1"/>
  <c r="N764" i="1"/>
  <c r="M1188" i="1"/>
  <c r="P1091" i="1"/>
  <c r="B1099" i="1"/>
  <c r="L1115" i="1"/>
  <c r="K1131" i="1"/>
  <c r="B1139" i="1"/>
  <c r="Q1155" i="1"/>
  <c r="N1171" i="1"/>
  <c r="M1187" i="1"/>
  <c r="Q1195" i="1"/>
  <c r="R1211" i="1"/>
  <c r="O662" i="1"/>
  <c r="J1300" i="1"/>
  <c r="P1113" i="1"/>
  <c r="O1137" i="1"/>
  <c r="K1153" i="1"/>
  <c r="Q1169" i="1"/>
  <c r="R1193" i="1"/>
  <c r="O1201" i="1"/>
  <c r="K1209" i="1"/>
  <c r="J1089" i="1"/>
  <c r="M1097" i="1"/>
  <c r="R1121" i="1"/>
  <c r="A1129" i="1"/>
  <c r="L1161" i="1"/>
  <c r="Q1217" i="1"/>
  <c r="P1158" i="1"/>
  <c r="R1091" i="1"/>
  <c r="O1107" i="1"/>
  <c r="Q1131" i="1"/>
  <c r="P1147" i="1"/>
  <c r="K1163" i="1"/>
  <c r="O1171" i="1"/>
  <c r="R1187" i="1"/>
  <c r="M1203" i="1"/>
  <c r="N1219" i="1"/>
  <c r="Q660" i="1"/>
  <c r="P698" i="1"/>
  <c r="Q730" i="1"/>
  <c r="O665" i="1"/>
  <c r="P755" i="1"/>
  <c r="R756" i="1"/>
  <c r="B668" i="1"/>
  <c r="N643" i="1"/>
  <c r="R681" i="1"/>
  <c r="L1397" i="1"/>
  <c r="Q1091" i="1"/>
  <c r="L1107" i="1"/>
  <c r="P1123" i="1"/>
  <c r="O1131" i="1"/>
  <c r="Q1147" i="1"/>
  <c r="L1163" i="1"/>
  <c r="B1171" i="1"/>
  <c r="J1187" i="1"/>
  <c r="K1203" i="1"/>
  <c r="M1219" i="1"/>
  <c r="N700" i="1"/>
  <c r="K1107" i="1"/>
  <c r="N1123" i="1"/>
  <c r="B1147" i="1"/>
  <c r="L1179" i="1"/>
  <c r="L1219" i="1"/>
  <c r="M700" i="1"/>
  <c r="O1356" i="1"/>
  <c r="A1356" i="1"/>
  <c r="M1356" i="1"/>
  <c r="M1330" i="1"/>
  <c r="J1330" i="1"/>
  <c r="R1494" i="1"/>
  <c r="A1494" i="1"/>
  <c r="M1509" i="1"/>
  <c r="L1519" i="1"/>
  <c r="M1534" i="1"/>
  <c r="N1534" i="1"/>
  <c r="M66" i="1"/>
  <c r="O1243" i="1"/>
  <c r="N23" i="1"/>
  <c r="Q438" i="1"/>
  <c r="K438" i="1"/>
  <c r="Q1344" i="1"/>
  <c r="A1344" i="1"/>
  <c r="R319" i="1"/>
  <c r="B319" i="1"/>
  <c r="M319" i="1"/>
  <c r="P319" i="1"/>
  <c r="N412" i="1"/>
  <c r="M412" i="1"/>
  <c r="B32" i="1"/>
  <c r="Q32" i="1"/>
  <c r="A56" i="1"/>
  <c r="O56" i="1"/>
  <c r="L1355" i="1"/>
  <c r="K1355" i="1"/>
  <c r="P1487" i="1"/>
  <c r="A1487" i="1"/>
  <c r="Q1487" i="1"/>
  <c r="B1487" i="1"/>
  <c r="J1487" i="1"/>
  <c r="L1487" i="1"/>
  <c r="A1533" i="1"/>
  <c r="M1533" i="1"/>
  <c r="M1518" i="1"/>
  <c r="J1518" i="1"/>
  <c r="K1518" i="1"/>
  <c r="L66" i="1"/>
  <c r="M1243" i="1"/>
  <c r="M1216" i="1"/>
  <c r="N1216" i="1"/>
  <c r="O1216" i="1"/>
  <c r="P1216" i="1"/>
  <c r="Q1216" i="1"/>
  <c r="J1216" i="1"/>
  <c r="L1216" i="1"/>
  <c r="A1208" i="1"/>
  <c r="L1208" i="1"/>
  <c r="K1208" i="1"/>
  <c r="M1208" i="1"/>
  <c r="N1208" i="1"/>
  <c r="O1208" i="1"/>
  <c r="P1208" i="1"/>
  <c r="B1208" i="1"/>
  <c r="R1208" i="1"/>
  <c r="Q1200" i="1"/>
  <c r="A1200" i="1"/>
  <c r="J1200" i="1"/>
  <c r="B1200" i="1"/>
  <c r="R1200" i="1"/>
  <c r="L1200" i="1"/>
  <c r="K1200" i="1"/>
  <c r="M1200" i="1"/>
  <c r="P1200" i="1"/>
  <c r="N1192" i="1"/>
  <c r="O1192" i="1"/>
  <c r="P1192" i="1"/>
  <c r="Q1192" i="1"/>
  <c r="A1192" i="1"/>
  <c r="J1192" i="1"/>
  <c r="M1192" i="1"/>
  <c r="B1184" i="1"/>
  <c r="R1184" i="1"/>
  <c r="L1184" i="1"/>
  <c r="K1184" i="1"/>
  <c r="M1184" i="1"/>
  <c r="N1184" i="1"/>
  <c r="O1184" i="1"/>
  <c r="A1184" i="1"/>
  <c r="J1184" i="1"/>
  <c r="P1176" i="1"/>
  <c r="Q1176" i="1"/>
  <c r="A1176" i="1"/>
  <c r="J1176" i="1"/>
  <c r="B1176" i="1"/>
  <c r="R1176" i="1"/>
  <c r="L1176" i="1"/>
  <c r="K1176" i="1"/>
  <c r="O1176" i="1"/>
  <c r="R1168" i="1"/>
  <c r="M1168" i="1"/>
  <c r="K1168" i="1"/>
  <c r="L1168" i="1"/>
  <c r="N1168" i="1"/>
  <c r="J1168" i="1"/>
  <c r="Q1168" i="1"/>
  <c r="A1160" i="1"/>
  <c r="N1160" i="1"/>
  <c r="B1160" i="1"/>
  <c r="O1160" i="1"/>
  <c r="J1160" i="1"/>
  <c r="Q1160" i="1"/>
  <c r="R1160" i="1"/>
  <c r="L1160" i="1"/>
  <c r="K1160" i="1"/>
  <c r="M1152" i="1"/>
  <c r="P1152" i="1"/>
  <c r="O1152" i="1"/>
  <c r="A1152" i="1"/>
  <c r="Q1152" i="1"/>
  <c r="B1152" i="1"/>
  <c r="K1152" i="1"/>
  <c r="L1152" i="1"/>
  <c r="J1144" i="1"/>
  <c r="Q1144" i="1"/>
  <c r="R1144" i="1"/>
  <c r="L1144" i="1"/>
  <c r="M1144" i="1"/>
  <c r="P1144" i="1"/>
  <c r="B1144" i="1"/>
  <c r="O1144" i="1"/>
  <c r="O1136" i="1"/>
  <c r="A1136" i="1"/>
  <c r="Q1136" i="1"/>
  <c r="B1136" i="1"/>
  <c r="K1136" i="1"/>
  <c r="J1136" i="1"/>
  <c r="N1136" i="1"/>
  <c r="R1136" i="1"/>
  <c r="P1136" i="1"/>
  <c r="L1128" i="1"/>
  <c r="M1128" i="1"/>
  <c r="P1128" i="1"/>
  <c r="K1128" i="1"/>
  <c r="A1128" i="1"/>
  <c r="N1128" i="1"/>
  <c r="R1128" i="1"/>
  <c r="B1120" i="1"/>
  <c r="K1120" i="1"/>
  <c r="J1120" i="1"/>
  <c r="N1120" i="1"/>
  <c r="R1120" i="1"/>
  <c r="L1120" i="1"/>
  <c r="M1120" i="1"/>
  <c r="A1120" i="1"/>
  <c r="Q1120" i="1"/>
  <c r="P1112" i="1"/>
  <c r="K1112" i="1"/>
  <c r="A1112" i="1"/>
  <c r="N1112" i="1"/>
  <c r="B1112" i="1"/>
  <c r="O1112" i="1"/>
  <c r="J1112" i="1"/>
  <c r="Q1112" i="1"/>
  <c r="M1112" i="1"/>
  <c r="M1104" i="1"/>
  <c r="O1104" i="1"/>
  <c r="Q1104" i="1"/>
  <c r="K1104" i="1"/>
  <c r="J1104" i="1"/>
  <c r="P1104" i="1"/>
  <c r="R1104" i="1"/>
  <c r="A1096" i="1"/>
  <c r="K1096" i="1"/>
  <c r="B1096" i="1"/>
  <c r="M1096" i="1"/>
  <c r="P1096" i="1"/>
  <c r="Q1096" i="1"/>
  <c r="J1096" i="1"/>
  <c r="R1096" i="1"/>
  <c r="O1096" i="1"/>
  <c r="L1088" i="1"/>
  <c r="M1088" i="1"/>
  <c r="Q1088" i="1"/>
  <c r="A1088" i="1"/>
  <c r="K1088" i="1"/>
  <c r="B1088" i="1"/>
  <c r="N1088" i="1"/>
  <c r="R1088" i="1"/>
  <c r="L580" i="1"/>
  <c r="N580" i="1"/>
  <c r="J250" i="1"/>
  <c r="B250" i="1"/>
  <c r="K250" i="1"/>
  <c r="M1338" i="1"/>
  <c r="A1338" i="1"/>
  <c r="J1338" i="1"/>
  <c r="B276" i="1"/>
  <c r="J276" i="1"/>
  <c r="P1488" i="1"/>
  <c r="L1488" i="1"/>
  <c r="Q1494" i="1"/>
  <c r="Q1509" i="1"/>
  <c r="J1509" i="1"/>
  <c r="R1519" i="1"/>
  <c r="K1534" i="1"/>
  <c r="A1534" i="1"/>
  <c r="B66" i="1"/>
  <c r="L1243" i="1"/>
  <c r="A1456" i="1"/>
  <c r="Q1456" i="1"/>
  <c r="R606" i="1"/>
  <c r="N606" i="1"/>
  <c r="P1494" i="1"/>
  <c r="P1509" i="1"/>
  <c r="B1509" i="1"/>
  <c r="J1519" i="1"/>
  <c r="R1534" i="1"/>
  <c r="R66" i="1"/>
  <c r="K1243" i="1"/>
  <c r="O580" i="1"/>
  <c r="M318" i="1"/>
  <c r="J150" i="1"/>
  <c r="N1096" i="1"/>
  <c r="O1120" i="1"/>
  <c r="N1144" i="1"/>
  <c r="P1168" i="1"/>
  <c r="K1192" i="1"/>
  <c r="K1216" i="1"/>
  <c r="J1279" i="1"/>
  <c r="A1279" i="1"/>
  <c r="J1494" i="1"/>
  <c r="B1494" i="1"/>
  <c r="R1509" i="1"/>
  <c r="K1519" i="1"/>
  <c r="L1534" i="1"/>
  <c r="B1534" i="1"/>
  <c r="O1494" i="1"/>
  <c r="O1509" i="1"/>
  <c r="A1509" i="1"/>
  <c r="Q1519" i="1"/>
  <c r="J1534" i="1"/>
  <c r="K66" i="1"/>
  <c r="R1243" i="1"/>
  <c r="Q586" i="1"/>
  <c r="Q1279" i="1"/>
  <c r="L1344" i="1"/>
  <c r="A268" i="1"/>
  <c r="J268" i="1"/>
  <c r="M268" i="1"/>
  <c r="M1472" i="1"/>
  <c r="Q1472" i="1"/>
  <c r="N1472" i="1"/>
  <c r="N1494" i="1"/>
  <c r="N1509" i="1"/>
  <c r="O1519" i="1"/>
  <c r="P1519" i="1"/>
  <c r="Q1534" i="1"/>
  <c r="Q66" i="1"/>
  <c r="B1243" i="1"/>
  <c r="O586" i="1"/>
  <c r="O55" i="1"/>
  <c r="L1493" i="1"/>
  <c r="N1104" i="1"/>
  <c r="Q1128" i="1"/>
  <c r="A1144" i="1"/>
  <c r="B1168" i="1"/>
  <c r="L1192" i="1"/>
  <c r="B1216" i="1"/>
  <c r="N1265" i="1"/>
  <c r="M1265" i="1"/>
  <c r="N1519" i="1"/>
  <c r="P66" i="1"/>
  <c r="A1243" i="1"/>
  <c r="M154" i="1"/>
  <c r="A1330" i="1"/>
  <c r="Q592" i="1"/>
  <c r="B55" i="1"/>
  <c r="Q1011" i="1"/>
  <c r="Q1049" i="1"/>
  <c r="M1034" i="1"/>
  <c r="O987" i="1"/>
  <c r="Q995" i="1"/>
  <c r="K1003" i="1"/>
  <c r="J1019" i="1"/>
  <c r="P1027" i="1"/>
  <c r="J1057" i="1"/>
  <c r="J1065" i="1"/>
  <c r="R1073" i="1"/>
  <c r="R1081" i="1"/>
  <c r="O1081" i="1"/>
  <c r="M636" i="1"/>
  <c r="A738" i="1"/>
  <c r="Q602" i="1"/>
  <c r="Q70" i="1"/>
  <c r="P213" i="1"/>
  <c r="M1228" i="1"/>
  <c r="K1011" i="1"/>
  <c r="M1049" i="1"/>
  <c r="P1034" i="1"/>
  <c r="J987" i="1"/>
  <c r="R995" i="1"/>
  <c r="M995" i="1"/>
  <c r="N1003" i="1"/>
  <c r="O1019" i="1"/>
  <c r="J1027" i="1"/>
  <c r="B167" i="1"/>
  <c r="K1057" i="1"/>
  <c r="P1065" i="1"/>
  <c r="M1073" i="1"/>
  <c r="J1081" i="1"/>
  <c r="M642" i="1"/>
  <c r="R668" i="1"/>
  <c r="Q700" i="1"/>
  <c r="K1049" i="1"/>
  <c r="O1034" i="1"/>
  <c r="R987" i="1"/>
  <c r="P995" i="1"/>
  <c r="R1003" i="1"/>
  <c r="M1003" i="1"/>
  <c r="N1019" i="1"/>
  <c r="O1027" i="1"/>
  <c r="Q1057" i="1"/>
  <c r="M1065" i="1"/>
  <c r="J1073" i="1"/>
  <c r="P1081" i="1"/>
  <c r="O316" i="1"/>
  <c r="N207" i="1"/>
  <c r="N1347" i="1"/>
  <c r="J1396" i="1"/>
  <c r="R1439" i="1"/>
  <c r="N1011" i="1"/>
  <c r="L1049" i="1"/>
  <c r="R1034" i="1"/>
  <c r="N1034" i="1"/>
  <c r="P987" i="1"/>
  <c r="L995" i="1"/>
  <c r="P1003" i="1"/>
  <c r="P1019" i="1"/>
  <c r="M1019" i="1"/>
  <c r="N1027" i="1"/>
  <c r="N525" i="1"/>
  <c r="R1057" i="1"/>
  <c r="O1057" i="1"/>
  <c r="Q1065" i="1"/>
  <c r="P1073" i="1"/>
  <c r="L1081" i="1"/>
  <c r="R648" i="1"/>
  <c r="Q674" i="1"/>
  <c r="A712" i="1"/>
  <c r="Q1413" i="1"/>
  <c r="K499" i="1"/>
  <c r="A316" i="1"/>
  <c r="L207" i="1"/>
  <c r="L1347" i="1"/>
  <c r="P1396" i="1"/>
  <c r="K1352" i="1"/>
  <c r="R628" i="1"/>
  <c r="A44" i="1"/>
  <c r="J1011" i="1"/>
  <c r="M1011" i="1"/>
  <c r="J1049" i="1"/>
  <c r="K1034" i="1"/>
  <c r="L987" i="1"/>
  <c r="K995" i="1"/>
  <c r="Q1003" i="1"/>
  <c r="K1019" i="1"/>
  <c r="Q1027" i="1"/>
  <c r="M1027" i="1"/>
  <c r="K167" i="1"/>
  <c r="P1057" i="1"/>
  <c r="N1065" i="1"/>
  <c r="O1065" i="1"/>
  <c r="Q1073" i="1"/>
  <c r="K1081" i="1"/>
  <c r="A648" i="1"/>
  <c r="B680" i="1"/>
  <c r="J717" i="1"/>
  <c r="A1413" i="1"/>
  <c r="Q233" i="1"/>
  <c r="R207" i="1"/>
  <c r="A1347" i="1"/>
  <c r="A1396" i="1"/>
  <c r="O628" i="1"/>
  <c r="R1011" i="1"/>
  <c r="N1049" i="1"/>
  <c r="Q987" i="1"/>
  <c r="J995" i="1"/>
  <c r="L1003" i="1"/>
  <c r="L1019" i="1"/>
  <c r="R1027" i="1"/>
  <c r="Q167" i="1"/>
  <c r="L1057" i="1"/>
  <c r="L1065" i="1"/>
  <c r="K1073" i="1"/>
  <c r="O1073" i="1"/>
  <c r="Q1081" i="1"/>
  <c r="P636" i="1"/>
  <c r="P738" i="1"/>
  <c r="O66" i="1"/>
  <c r="N1243" i="1"/>
  <c r="P154" i="1"/>
  <c r="Q154" i="1"/>
  <c r="P276" i="1"/>
  <c r="P268" i="1"/>
  <c r="P1338" i="1"/>
  <c r="Q1330" i="1"/>
  <c r="O250" i="1"/>
  <c r="J580" i="1"/>
  <c r="M586" i="1"/>
  <c r="P592" i="1"/>
  <c r="M606" i="1"/>
  <c r="M1279" i="1"/>
  <c r="J1356" i="1"/>
  <c r="J55" i="1"/>
  <c r="P1456" i="1"/>
  <c r="R209" i="1"/>
  <c r="P23" i="1"/>
  <c r="N543" i="1"/>
  <c r="K543" i="1"/>
  <c r="N154" i="1"/>
  <c r="B154" i="1"/>
  <c r="O276" i="1"/>
  <c r="O268" i="1"/>
  <c r="O1338" i="1"/>
  <c r="P1330" i="1"/>
  <c r="N250" i="1"/>
  <c r="R580" i="1"/>
  <c r="K586" i="1"/>
  <c r="N592" i="1"/>
  <c r="L606" i="1"/>
  <c r="L1279" i="1"/>
  <c r="Q1356" i="1"/>
  <c r="R55" i="1"/>
  <c r="B23" i="1"/>
  <c r="L154" i="1"/>
  <c r="A154" i="1"/>
  <c r="A276" i="1"/>
  <c r="N268" i="1"/>
  <c r="N1338" i="1"/>
  <c r="N1330" i="1"/>
  <c r="R250" i="1"/>
  <c r="P580" i="1"/>
  <c r="J586" i="1"/>
  <c r="K592" i="1"/>
  <c r="K606" i="1"/>
  <c r="R1279" i="1"/>
  <c r="P1356" i="1"/>
  <c r="P55" i="1"/>
  <c r="L1265" i="1"/>
  <c r="M1323" i="1"/>
  <c r="R1323" i="1"/>
  <c r="L1323" i="1"/>
  <c r="O154" i="1"/>
  <c r="K229" i="1"/>
  <c r="R229" i="1"/>
  <c r="P1273" i="1"/>
  <c r="J1273" i="1"/>
  <c r="K1273" i="1"/>
  <c r="J1265" i="1"/>
  <c r="A1265" i="1"/>
  <c r="R1265" i="1"/>
  <c r="B1265" i="1"/>
  <c r="K1265" i="1"/>
  <c r="O1265" i="1"/>
  <c r="P1265" i="1"/>
  <c r="Q1265" i="1"/>
  <c r="A1392" i="1"/>
  <c r="P1392" i="1"/>
  <c r="R1392" i="1"/>
  <c r="K1392" i="1"/>
  <c r="B1431" i="1"/>
  <c r="O1431" i="1"/>
  <c r="P1431" i="1"/>
  <c r="M1456" i="1"/>
  <c r="N1456" i="1"/>
  <c r="O1456" i="1"/>
  <c r="B1456" i="1"/>
  <c r="J1456" i="1"/>
  <c r="K1456" i="1"/>
  <c r="R1456" i="1"/>
  <c r="L1456" i="1"/>
  <c r="O217" i="1"/>
  <c r="P217" i="1"/>
  <c r="P209" i="1"/>
  <c r="Q209" i="1"/>
  <c r="J209" i="1"/>
  <c r="B209" i="1"/>
  <c r="L209" i="1"/>
  <c r="N209" i="1"/>
  <c r="M209" i="1"/>
  <c r="O209" i="1"/>
  <c r="K74" i="1"/>
  <c r="Q74" i="1"/>
  <c r="J74" i="1"/>
  <c r="R74" i="1"/>
  <c r="N74" i="1"/>
  <c r="J411" i="1"/>
  <c r="K411" i="1"/>
  <c r="R362" i="1"/>
  <c r="B362" i="1"/>
  <c r="M362" i="1"/>
  <c r="O362" i="1"/>
  <c r="L362" i="1"/>
  <c r="M23" i="1"/>
  <c r="O23" i="1"/>
  <c r="R23" i="1"/>
  <c r="K23" i="1"/>
  <c r="Q23" i="1"/>
  <c r="J23" i="1"/>
  <c r="L23" i="1"/>
  <c r="M39" i="1"/>
  <c r="J39" i="1"/>
  <c r="N39" i="1"/>
  <c r="O39" i="1"/>
  <c r="P39" i="1"/>
  <c r="A39" i="1"/>
  <c r="Q39" i="1"/>
  <c r="B39" i="1"/>
  <c r="R39" i="1"/>
  <c r="L55" i="1"/>
  <c r="A55" i="1"/>
  <c r="Q55" i="1"/>
  <c r="L1225" i="1"/>
  <c r="Q1225" i="1"/>
  <c r="J1225" i="1"/>
  <c r="R1225" i="1"/>
  <c r="B1225" i="1"/>
  <c r="M1225" i="1"/>
  <c r="K1356" i="1"/>
  <c r="R1356" i="1"/>
  <c r="N1356" i="1"/>
  <c r="K1279" i="1"/>
  <c r="O1279" i="1"/>
  <c r="N1279" i="1"/>
  <c r="N612" i="1"/>
  <c r="Q612" i="1"/>
  <c r="R612" i="1"/>
  <c r="K612" i="1"/>
  <c r="L612" i="1"/>
  <c r="M612" i="1"/>
  <c r="B606" i="1"/>
  <c r="O606" i="1"/>
  <c r="J606" i="1"/>
  <c r="L592" i="1"/>
  <c r="M592" i="1"/>
  <c r="A586" i="1"/>
  <c r="N586" i="1"/>
  <c r="L586" i="1"/>
  <c r="Q580" i="1"/>
  <c r="A580" i="1"/>
  <c r="K580" i="1"/>
  <c r="P250" i="1"/>
  <c r="Q250" i="1"/>
  <c r="L250" i="1"/>
  <c r="B1330" i="1"/>
  <c r="K1330" i="1"/>
  <c r="O1330" i="1"/>
  <c r="Q1338" i="1"/>
  <c r="B1338" i="1"/>
  <c r="K1338" i="1"/>
  <c r="Q268" i="1"/>
  <c r="B268" i="1"/>
  <c r="K268" i="1"/>
  <c r="N276" i="1"/>
  <c r="M276" i="1"/>
  <c r="Q276" i="1"/>
  <c r="J1488" i="1"/>
  <c r="Q1488" i="1"/>
  <c r="R1488" i="1"/>
  <c r="M1488" i="1"/>
  <c r="N1488" i="1"/>
  <c r="A1488" i="1"/>
  <c r="O1488" i="1"/>
  <c r="A763" i="1"/>
  <c r="N763" i="1"/>
  <c r="B763" i="1"/>
  <c r="P763" i="1"/>
  <c r="Q763" i="1"/>
  <c r="O763" i="1"/>
  <c r="R763" i="1"/>
  <c r="K763" i="1"/>
  <c r="L763" i="1"/>
  <c r="M763" i="1"/>
  <c r="K757" i="1"/>
  <c r="L757" i="1"/>
  <c r="M757" i="1"/>
  <c r="B757" i="1"/>
  <c r="P757" i="1"/>
  <c r="Q757" i="1"/>
  <c r="O757" i="1"/>
  <c r="J757" i="1"/>
  <c r="R757" i="1"/>
  <c r="M743" i="1"/>
  <c r="A743" i="1"/>
  <c r="N743" i="1"/>
  <c r="B743" i="1"/>
  <c r="P743" i="1"/>
  <c r="J743" i="1"/>
  <c r="R743" i="1"/>
  <c r="K743" i="1"/>
  <c r="L743" i="1"/>
  <c r="R737" i="1"/>
  <c r="K737" i="1"/>
  <c r="L737" i="1"/>
  <c r="B737" i="1"/>
  <c r="N737" i="1"/>
  <c r="A737" i="1"/>
  <c r="P737" i="1"/>
  <c r="Q737" i="1"/>
  <c r="O737" i="1"/>
  <c r="J737" i="1"/>
  <c r="A731" i="1"/>
  <c r="P731" i="1"/>
  <c r="Q731" i="1"/>
  <c r="O731" i="1"/>
  <c r="J731" i="1"/>
  <c r="K731" i="1"/>
  <c r="L731" i="1"/>
  <c r="M731" i="1"/>
  <c r="B731" i="1"/>
  <c r="N731" i="1"/>
  <c r="L725" i="1"/>
  <c r="M725" i="1"/>
  <c r="B725" i="1"/>
  <c r="N725" i="1"/>
  <c r="Q725" i="1"/>
  <c r="O725" i="1"/>
  <c r="J725" i="1"/>
  <c r="R725" i="1"/>
  <c r="K725" i="1"/>
  <c r="B711" i="1"/>
  <c r="N711" i="1"/>
  <c r="A711" i="1"/>
  <c r="P711" i="1"/>
  <c r="Q711" i="1"/>
  <c r="O711" i="1"/>
  <c r="R711" i="1"/>
  <c r="K711" i="1"/>
  <c r="L711" i="1"/>
  <c r="M711" i="1"/>
  <c r="K705" i="1"/>
  <c r="L705" i="1"/>
  <c r="M705" i="1"/>
  <c r="A705" i="1"/>
  <c r="P705" i="1"/>
  <c r="Q705" i="1"/>
  <c r="O705" i="1"/>
  <c r="J705" i="1"/>
  <c r="R705" i="1"/>
  <c r="Q699" i="1"/>
  <c r="O699" i="1"/>
  <c r="J699" i="1"/>
  <c r="R699" i="1"/>
  <c r="L699" i="1"/>
  <c r="M699" i="1"/>
  <c r="B699" i="1"/>
  <c r="N699" i="1"/>
  <c r="A699" i="1"/>
  <c r="P699" i="1"/>
  <c r="O693" i="1"/>
  <c r="B693" i="1"/>
  <c r="P693" i="1"/>
  <c r="A693" i="1"/>
  <c r="Q693" i="1"/>
  <c r="M693" i="1"/>
  <c r="N693" i="1"/>
  <c r="J693" i="1"/>
  <c r="L693" i="1"/>
  <c r="A679" i="1"/>
  <c r="L679" i="1"/>
  <c r="K679" i="1"/>
  <c r="J679" i="1"/>
  <c r="M679" i="1"/>
  <c r="O679" i="1"/>
  <c r="P679" i="1"/>
  <c r="Q679" i="1"/>
  <c r="B679" i="1"/>
  <c r="R679" i="1"/>
  <c r="J673" i="1"/>
  <c r="L673" i="1"/>
  <c r="B673" i="1"/>
  <c r="P673" i="1"/>
  <c r="K673" i="1"/>
  <c r="R673" i="1"/>
  <c r="M673" i="1"/>
  <c r="N673" i="1"/>
  <c r="O673" i="1"/>
  <c r="M667" i="1"/>
  <c r="N667" i="1"/>
  <c r="O667" i="1"/>
  <c r="R667" i="1"/>
  <c r="A667" i="1"/>
  <c r="Q667" i="1"/>
  <c r="B667" i="1"/>
  <c r="P667" i="1"/>
  <c r="K667" i="1"/>
  <c r="L667" i="1"/>
  <c r="A661" i="1"/>
  <c r="L661" i="1"/>
  <c r="B661" i="1"/>
  <c r="P661" i="1"/>
  <c r="K661" i="1"/>
  <c r="Q661" i="1"/>
  <c r="N661" i="1"/>
  <c r="O661" i="1"/>
  <c r="J661" i="1"/>
  <c r="R661" i="1"/>
  <c r="K647" i="1"/>
  <c r="P647" i="1"/>
  <c r="M647" i="1"/>
  <c r="N647" i="1"/>
  <c r="J647" i="1"/>
  <c r="R647" i="1"/>
  <c r="A647" i="1"/>
  <c r="L647" i="1"/>
  <c r="B647" i="1"/>
  <c r="Q647" i="1"/>
  <c r="J641" i="1"/>
  <c r="A641" i="1"/>
  <c r="R641" i="1"/>
  <c r="B641" i="1"/>
  <c r="L641" i="1"/>
  <c r="M641" i="1"/>
  <c r="N641" i="1"/>
  <c r="O641" i="1"/>
  <c r="P641" i="1"/>
  <c r="N635" i="1"/>
  <c r="O635" i="1"/>
  <c r="P635" i="1"/>
  <c r="A635" i="1"/>
  <c r="R635" i="1"/>
  <c r="B635" i="1"/>
  <c r="Q635" i="1"/>
  <c r="K635" i="1"/>
  <c r="L635" i="1"/>
  <c r="M635" i="1"/>
  <c r="J66" i="1"/>
  <c r="Q1243" i="1"/>
  <c r="K154" i="1"/>
  <c r="K276" i="1"/>
  <c r="L268" i="1"/>
  <c r="L1338" i="1"/>
  <c r="L1330" i="1"/>
  <c r="A250" i="1"/>
  <c r="B580" i="1"/>
  <c r="B586" i="1"/>
  <c r="B592" i="1"/>
  <c r="P606" i="1"/>
  <c r="P1279" i="1"/>
  <c r="L1356" i="1"/>
  <c r="N55" i="1"/>
  <c r="K1488" i="1"/>
  <c r="K39" i="1"/>
  <c r="L74" i="1"/>
  <c r="L527" i="1"/>
  <c r="O527" i="1"/>
  <c r="A527" i="1"/>
  <c r="N757" i="1"/>
  <c r="R276" i="1"/>
  <c r="R268" i="1"/>
  <c r="R1338" i="1"/>
  <c r="R1330" i="1"/>
  <c r="M250" i="1"/>
  <c r="M580" i="1"/>
  <c r="P586" i="1"/>
  <c r="R592" i="1"/>
  <c r="A592" i="1"/>
  <c r="A606" i="1"/>
  <c r="B1279" i="1"/>
  <c r="B1356" i="1"/>
  <c r="M55" i="1"/>
  <c r="B1488" i="1"/>
  <c r="L39" i="1"/>
  <c r="O647" i="1"/>
  <c r="P725" i="1"/>
  <c r="A757" i="1"/>
  <c r="O167" i="1"/>
  <c r="P549" i="1"/>
  <c r="J550" i="1"/>
  <c r="L636" i="1"/>
  <c r="J648" i="1"/>
  <c r="A662" i="1"/>
  <c r="K680" i="1"/>
  <c r="O694" i="1"/>
  <c r="O712" i="1"/>
  <c r="A726" i="1"/>
  <c r="M765" i="1"/>
  <c r="N687" i="1"/>
  <c r="O733" i="1"/>
  <c r="K1413" i="1"/>
  <c r="B1301" i="1"/>
  <c r="N1296" i="1"/>
  <c r="Q550" i="1"/>
  <c r="L668" i="1"/>
  <c r="J680" i="1"/>
  <c r="A694" i="1"/>
  <c r="M712" i="1"/>
  <c r="M732" i="1"/>
  <c r="O758" i="1"/>
  <c r="R1413" i="1"/>
  <c r="P492" i="1"/>
  <c r="A1301" i="1"/>
  <c r="P1295" i="1"/>
  <c r="A12" i="1"/>
  <c r="M738" i="1"/>
  <c r="Q758" i="1"/>
  <c r="B1052" i="1"/>
  <c r="B1293" i="1"/>
  <c r="O1295" i="1"/>
  <c r="B1044" i="1"/>
  <c r="R1309" i="1"/>
  <c r="J1293" i="1"/>
  <c r="A1023" i="1"/>
  <c r="Q1309" i="1"/>
  <c r="K1291" i="1"/>
  <c r="P648" i="1"/>
  <c r="P662" i="1"/>
  <c r="N674" i="1"/>
  <c r="P700" i="1"/>
  <c r="N726" i="1"/>
  <c r="O744" i="1"/>
  <c r="Q764" i="1"/>
  <c r="B713" i="1"/>
  <c r="Q1397" i="1"/>
  <c r="A1470" i="1"/>
  <c r="R1308" i="1"/>
  <c r="K648" i="1"/>
  <c r="N662" i="1"/>
  <c r="L674" i="1"/>
  <c r="R706" i="1"/>
  <c r="M726" i="1"/>
  <c r="P744" i="1"/>
  <c r="Q745" i="1"/>
  <c r="M719" i="1"/>
  <c r="L1470" i="1"/>
  <c r="L1405" i="1"/>
  <c r="M1305" i="1"/>
  <c r="P338" i="1"/>
  <c r="O680" i="1"/>
  <c r="Q694" i="1"/>
  <c r="Q706" i="1"/>
  <c r="B726" i="1"/>
  <c r="B744" i="1"/>
  <c r="M733" i="1"/>
  <c r="M1340" i="1"/>
  <c r="N1342" i="1"/>
  <c r="A1342" i="1"/>
  <c r="J1342" i="1"/>
  <c r="R1342" i="1"/>
  <c r="L1342" i="1"/>
  <c r="M1342" i="1"/>
  <c r="L1350" i="1"/>
  <c r="A1350" i="1"/>
  <c r="J228" i="1"/>
  <c r="B228" i="1"/>
  <c r="M228" i="1"/>
  <c r="N228" i="1"/>
  <c r="O228" i="1"/>
  <c r="R228" i="1"/>
  <c r="L228" i="1"/>
  <c r="A321" i="1"/>
  <c r="N321" i="1"/>
  <c r="B321" i="1"/>
  <c r="O321" i="1"/>
  <c r="Q321" i="1"/>
  <c r="P321" i="1"/>
  <c r="J321" i="1"/>
  <c r="K321" i="1"/>
  <c r="L321" i="1"/>
  <c r="Q218" i="1"/>
  <c r="N218" i="1"/>
  <c r="O218" i="1"/>
  <c r="N210" i="1"/>
  <c r="A210" i="1"/>
  <c r="R210" i="1"/>
  <c r="B210" i="1"/>
  <c r="K210" i="1"/>
  <c r="A244" i="1"/>
  <c r="M244" i="1"/>
  <c r="R244" i="1"/>
  <c r="K244" i="1"/>
  <c r="L1260" i="1"/>
  <c r="J1260" i="1"/>
  <c r="R1260" i="1"/>
  <c r="J248" i="1"/>
  <c r="O248" i="1"/>
  <c r="Q248" i="1"/>
  <c r="A248" i="1"/>
  <c r="K248" i="1"/>
  <c r="R249" i="1"/>
  <c r="M249" i="1"/>
  <c r="O249" i="1"/>
  <c r="N65" i="1"/>
  <c r="A65" i="1"/>
  <c r="K65" i="1"/>
  <c r="A73" i="1"/>
  <c r="O73" i="1"/>
  <c r="M73" i="1"/>
  <c r="Q170" i="1"/>
  <c r="J170" i="1"/>
  <c r="Q278" i="1"/>
  <c r="K270" i="1"/>
  <c r="L270" i="1"/>
  <c r="Q1332" i="1"/>
  <c r="A1332" i="1"/>
  <c r="N584" i="1"/>
  <c r="N630" i="1"/>
  <c r="L201" i="1"/>
  <c r="B201" i="1"/>
  <c r="R17" i="1"/>
  <c r="K1486" i="1"/>
  <c r="L1486" i="1"/>
  <c r="K241" i="1"/>
  <c r="K170" i="1"/>
  <c r="J41" i="1"/>
  <c r="B1345" i="1"/>
  <c r="A1345" i="1"/>
  <c r="N1345" i="1"/>
  <c r="Q1345" i="1"/>
  <c r="K1345" i="1"/>
  <c r="O204" i="1"/>
  <c r="A204" i="1"/>
  <c r="K204" i="1"/>
  <c r="N204" i="1"/>
  <c r="P204" i="1"/>
  <c r="R204" i="1"/>
  <c r="P235" i="1"/>
  <c r="K235" i="1"/>
  <c r="L235" i="1"/>
  <c r="O235" i="1"/>
  <c r="N235" i="1"/>
  <c r="B318" i="1"/>
  <c r="A318" i="1"/>
  <c r="N318" i="1"/>
  <c r="Q318" i="1"/>
  <c r="A1271" i="1"/>
  <c r="R1271" i="1"/>
  <c r="Q1359" i="1"/>
  <c r="A1359" i="1"/>
  <c r="M1359" i="1"/>
  <c r="J1394" i="1"/>
  <c r="N1394" i="1"/>
  <c r="P1415" i="1"/>
  <c r="N1415" i="1"/>
  <c r="L1415" i="1"/>
  <c r="K1433" i="1"/>
  <c r="J1433" i="1"/>
  <c r="R1433" i="1"/>
  <c r="B1458" i="1"/>
  <c r="R1458" i="1"/>
  <c r="M1458" i="1"/>
  <c r="A215" i="1"/>
  <c r="K215" i="1"/>
  <c r="B68" i="1"/>
  <c r="M68" i="1"/>
  <c r="N68" i="1"/>
  <c r="Q68" i="1"/>
  <c r="L68" i="1"/>
  <c r="A68" i="1"/>
  <c r="K1237" i="1"/>
  <c r="A1237" i="1"/>
  <c r="M1237" i="1"/>
  <c r="K604" i="1"/>
  <c r="M604" i="1"/>
  <c r="A598" i="1"/>
  <c r="B598" i="1"/>
  <c r="K598" i="1"/>
  <c r="N598" i="1"/>
  <c r="J235" i="1"/>
  <c r="B1433" i="1"/>
  <c r="N1215" i="1"/>
  <c r="B1215" i="1"/>
  <c r="M1215" i="1"/>
  <c r="O1215" i="1"/>
  <c r="P1215" i="1"/>
  <c r="R1215" i="1"/>
  <c r="K1215" i="1"/>
  <c r="A1215" i="1"/>
  <c r="L1215" i="1"/>
  <c r="N1199" i="1"/>
  <c r="K1199" i="1"/>
  <c r="L1199" i="1"/>
  <c r="B1199" i="1"/>
  <c r="O1199" i="1"/>
  <c r="Q1199" i="1"/>
  <c r="J1199" i="1"/>
  <c r="A1191" i="1"/>
  <c r="B1191" i="1"/>
  <c r="B1183" i="1"/>
  <c r="M1183" i="1"/>
  <c r="N1183" i="1"/>
  <c r="P1183" i="1"/>
  <c r="Q1183" i="1"/>
  <c r="R1183" i="1"/>
  <c r="L1183" i="1"/>
  <c r="A1183" i="1"/>
  <c r="J1167" i="1"/>
  <c r="Q1167" i="1"/>
  <c r="A1167" i="1"/>
  <c r="R1167" i="1"/>
  <c r="L1167" i="1"/>
  <c r="O1167" i="1"/>
  <c r="P1159" i="1"/>
  <c r="B1159" i="1"/>
  <c r="A1151" i="1"/>
  <c r="O1151" i="1"/>
  <c r="B1151" i="1"/>
  <c r="P1151" i="1"/>
  <c r="K1151" i="1"/>
  <c r="R1151" i="1"/>
  <c r="M1151" i="1"/>
  <c r="Q1151" i="1"/>
  <c r="J1151" i="1"/>
  <c r="L1151" i="1"/>
  <c r="A1143" i="1"/>
  <c r="B1143" i="1"/>
  <c r="M1143" i="1"/>
  <c r="P1143" i="1"/>
  <c r="R1143" i="1"/>
  <c r="L1143" i="1"/>
  <c r="A1135" i="1"/>
  <c r="O1135" i="1"/>
  <c r="B1135" i="1"/>
  <c r="K1135" i="1"/>
  <c r="K1127" i="1"/>
  <c r="R1127" i="1"/>
  <c r="J1119" i="1"/>
  <c r="B1119" i="1"/>
  <c r="K1119" i="1"/>
  <c r="M1119" i="1"/>
  <c r="L1119" i="1"/>
  <c r="O1119" i="1"/>
  <c r="R1119" i="1"/>
  <c r="O1111" i="1"/>
  <c r="B1111" i="1"/>
  <c r="J1111" i="1"/>
  <c r="L1111" i="1"/>
  <c r="O1103" i="1"/>
  <c r="P1103" i="1"/>
  <c r="J1103" i="1"/>
  <c r="A1103" i="1"/>
  <c r="L1103" i="1"/>
  <c r="Q1103" i="1"/>
  <c r="R1103" i="1"/>
  <c r="K1103" i="1"/>
  <c r="M1103" i="1"/>
  <c r="R1095" i="1"/>
  <c r="A1095" i="1"/>
  <c r="B1095" i="1"/>
  <c r="K1095" i="1"/>
  <c r="J1095" i="1"/>
  <c r="N1095" i="1"/>
  <c r="L1095" i="1"/>
  <c r="O1095" i="1"/>
  <c r="B1087" i="1"/>
  <c r="O1087" i="1"/>
  <c r="N1087" i="1"/>
  <c r="J204" i="1"/>
  <c r="Q598" i="1"/>
  <c r="Q1394" i="1"/>
  <c r="B1103" i="1"/>
  <c r="N1143" i="1"/>
  <c r="K278" i="1"/>
  <c r="P630" i="1"/>
  <c r="M1345" i="1"/>
  <c r="R598" i="1"/>
  <c r="Q228" i="1"/>
  <c r="N1151" i="1"/>
  <c r="M1199" i="1"/>
  <c r="P1345" i="1"/>
  <c r="M1271" i="1"/>
  <c r="R1350" i="1"/>
  <c r="J1215" i="1"/>
  <c r="J1183" i="1"/>
  <c r="K1191" i="1"/>
  <c r="P519" i="1"/>
  <c r="R549" i="1"/>
  <c r="P542" i="1"/>
  <c r="L560" i="1"/>
  <c r="B1217" i="1"/>
  <c r="O1086" i="1"/>
  <c r="A1142" i="1"/>
  <c r="P756" i="1"/>
  <c r="O642" i="1"/>
  <c r="O668" i="1"/>
  <c r="P680" i="1"/>
  <c r="R694" i="1"/>
  <c r="A700" i="1"/>
  <c r="B732" i="1"/>
  <c r="P764" i="1"/>
  <c r="J643" i="1"/>
  <c r="K687" i="1"/>
  <c r="P1470" i="1"/>
  <c r="B1405" i="1"/>
  <c r="Q1402" i="1"/>
  <c r="M492" i="1"/>
  <c r="A500" i="1"/>
  <c r="B1309" i="1"/>
  <c r="B1289" i="1"/>
  <c r="K1307" i="1"/>
  <c r="O1303" i="1"/>
  <c r="L1298" i="1"/>
  <c r="R1292" i="1"/>
  <c r="M1289" i="1"/>
  <c r="P1352" i="1"/>
  <c r="P239" i="1"/>
  <c r="P596" i="1"/>
  <c r="A35" i="1"/>
  <c r="N627" i="1"/>
  <c r="L44" i="1"/>
  <c r="K706" i="1"/>
  <c r="A732" i="1"/>
  <c r="L492" i="1"/>
  <c r="B500" i="1"/>
  <c r="A1084" i="1"/>
  <c r="B1013" i="1"/>
  <c r="B1305" i="1"/>
  <c r="A1289" i="1"/>
  <c r="M1306" i="1"/>
  <c r="Q1302" i="1"/>
  <c r="N1297" i="1"/>
  <c r="K1292" i="1"/>
  <c r="O1288" i="1"/>
  <c r="N237" i="1"/>
  <c r="L596" i="1"/>
  <c r="R19" i="1"/>
  <c r="M627" i="1"/>
  <c r="R44" i="1"/>
  <c r="R165" i="1"/>
  <c r="J530" i="1"/>
  <c r="Q1468" i="1"/>
  <c r="J492" i="1"/>
  <c r="K508" i="1"/>
  <c r="B1068" i="1"/>
  <c r="A1305" i="1"/>
  <c r="L1306" i="1"/>
  <c r="R1300" i="1"/>
  <c r="M1297" i="1"/>
  <c r="J1292" i="1"/>
  <c r="N1288" i="1"/>
  <c r="N1305" i="1"/>
  <c r="K1300" i="1"/>
  <c r="O1296" i="1"/>
  <c r="L1291" i="1"/>
  <c r="P1287" i="1"/>
  <c r="O1287" i="1"/>
  <c r="R1399" i="1"/>
  <c r="B1297" i="1"/>
  <c r="K1308" i="1"/>
  <c r="O1304" i="1"/>
  <c r="L1299" i="1"/>
  <c r="M1290" i="1"/>
  <c r="M1438" i="1"/>
  <c r="P1410" i="1"/>
  <c r="K500" i="1"/>
  <c r="A1297" i="1"/>
  <c r="J1308" i="1"/>
  <c r="N1304" i="1"/>
  <c r="K1299" i="1"/>
  <c r="L1290" i="1"/>
  <c r="R1438" i="1"/>
  <c r="M328" i="1"/>
  <c r="A199" i="1"/>
  <c r="O607" i="1"/>
  <c r="R1477" i="1"/>
  <c r="Q500" i="1"/>
  <c r="L1307" i="1"/>
  <c r="P1303" i="1"/>
  <c r="M1298" i="1"/>
  <c r="N1289" i="1"/>
  <c r="P1462" i="1"/>
  <c r="R1405" i="1"/>
  <c r="R1398" i="1"/>
  <c r="P1464" i="1"/>
  <c r="Q1389" i="1"/>
  <c r="Q1409" i="1"/>
  <c r="R1389" i="1"/>
  <c r="P1469" i="1"/>
  <c r="K1360" i="1"/>
  <c r="L1360" i="1"/>
  <c r="O1360" i="1"/>
  <c r="P1360" i="1"/>
  <c r="Q1360" i="1"/>
  <c r="M1360" i="1"/>
  <c r="J1360" i="1"/>
  <c r="A1360" i="1"/>
  <c r="N1360" i="1"/>
  <c r="Q1390" i="1"/>
  <c r="K1390" i="1"/>
  <c r="R1424" i="1"/>
  <c r="A1424" i="1"/>
  <c r="L1424" i="1"/>
  <c r="N1424" i="1"/>
  <c r="P1424" i="1"/>
  <c r="O1454" i="1"/>
  <c r="J1454" i="1"/>
  <c r="B1454" i="1"/>
  <c r="Q1454" i="1"/>
  <c r="K1454" i="1"/>
  <c r="A1454" i="1"/>
  <c r="R1454" i="1"/>
  <c r="L1454" i="1"/>
  <c r="M1454" i="1"/>
  <c r="N1454" i="1"/>
  <c r="R246" i="1"/>
  <c r="M246" i="1"/>
  <c r="B246" i="1"/>
  <c r="L246" i="1"/>
  <c r="N246" i="1"/>
  <c r="P246" i="1"/>
  <c r="J246" i="1"/>
  <c r="K246" i="1"/>
  <c r="O246" i="1"/>
  <c r="N325" i="1"/>
  <c r="O325" i="1"/>
  <c r="Q72" i="1"/>
  <c r="B72" i="1"/>
  <c r="P72" i="1"/>
  <c r="M72" i="1"/>
  <c r="N72" i="1"/>
  <c r="M29" i="1"/>
  <c r="O29" i="1"/>
  <c r="A29" i="1"/>
  <c r="R29" i="1"/>
  <c r="K29" i="1"/>
  <c r="B29" i="1"/>
  <c r="L29" i="1"/>
  <c r="N29" i="1"/>
  <c r="P29" i="1"/>
  <c r="J29" i="1"/>
  <c r="B53" i="1"/>
  <c r="J53" i="1"/>
  <c r="Q53" i="1"/>
  <c r="M53" i="1"/>
  <c r="O53" i="1"/>
  <c r="P53" i="1"/>
  <c r="N53" i="1"/>
  <c r="R53" i="1"/>
  <c r="K53" i="1"/>
  <c r="L53" i="1"/>
  <c r="P1281" i="1"/>
  <c r="Q1281" i="1"/>
  <c r="R1281" i="1"/>
  <c r="J1281" i="1"/>
  <c r="K1281" i="1"/>
  <c r="L1281" i="1"/>
  <c r="A1281" i="1"/>
  <c r="B1281" i="1"/>
  <c r="M1281" i="1"/>
  <c r="N1281" i="1"/>
  <c r="M594" i="1"/>
  <c r="K594" i="1"/>
  <c r="A594" i="1"/>
  <c r="L594" i="1"/>
  <c r="J594" i="1"/>
  <c r="N594" i="1"/>
  <c r="O594" i="1"/>
  <c r="P594" i="1"/>
  <c r="Q594" i="1"/>
  <c r="R594" i="1"/>
  <c r="J1336" i="1"/>
  <c r="R1336" i="1"/>
  <c r="M1336" i="1"/>
  <c r="A1336" i="1"/>
  <c r="N1336" i="1"/>
  <c r="B1336" i="1"/>
  <c r="O1336" i="1"/>
  <c r="P1336" i="1"/>
  <c r="Q1336" i="1"/>
  <c r="K1336" i="1"/>
  <c r="J266" i="1"/>
  <c r="B266" i="1"/>
  <c r="N266" i="1"/>
  <c r="L266" i="1"/>
  <c r="M266" i="1"/>
  <c r="O266" i="1"/>
  <c r="A266" i="1"/>
  <c r="P266" i="1"/>
  <c r="Q266" i="1"/>
  <c r="R266" i="1"/>
  <c r="L1536" i="1"/>
  <c r="R1536" i="1"/>
  <c r="N1536" i="1"/>
  <c r="O1536" i="1"/>
  <c r="K1536" i="1"/>
  <c r="A1536" i="1"/>
  <c r="Q1536" i="1"/>
  <c r="B1497" i="1"/>
  <c r="O1497" i="1"/>
  <c r="L1497" i="1"/>
  <c r="J1497" i="1"/>
  <c r="K1497" i="1"/>
  <c r="M1497" i="1"/>
  <c r="O72" i="1"/>
  <c r="R1497" i="1"/>
  <c r="Q29" i="1"/>
  <c r="B1360" i="1"/>
  <c r="N439" i="1"/>
  <c r="B439" i="1"/>
  <c r="Q439" i="1"/>
  <c r="K439" i="1"/>
  <c r="L439" i="1"/>
  <c r="L1349" i="1"/>
  <c r="N1349" i="1"/>
  <c r="J1349" i="1"/>
  <c r="Q1349" i="1"/>
  <c r="R1349" i="1"/>
  <c r="J205" i="1"/>
  <c r="Q205" i="1"/>
  <c r="K205" i="1"/>
  <c r="N205" i="1"/>
  <c r="A205" i="1"/>
  <c r="O205" i="1"/>
  <c r="K315" i="1"/>
  <c r="B315" i="1"/>
  <c r="M315" i="1"/>
  <c r="Q315" i="1"/>
  <c r="J315" i="1"/>
  <c r="P1275" i="1"/>
  <c r="L1275" i="1"/>
  <c r="A1275" i="1"/>
  <c r="M1275" i="1"/>
  <c r="B1275" i="1"/>
  <c r="J1275" i="1"/>
  <c r="N1275" i="1"/>
  <c r="O1275" i="1"/>
  <c r="K572" i="1"/>
  <c r="O572" i="1"/>
  <c r="B572" i="1"/>
  <c r="R572" i="1"/>
  <c r="P572" i="1"/>
  <c r="A572" i="1"/>
  <c r="Q572" i="1"/>
  <c r="N572" i="1"/>
  <c r="J572" i="1"/>
  <c r="L572" i="1"/>
  <c r="A13" i="1"/>
  <c r="B13" i="1"/>
  <c r="L37" i="1"/>
  <c r="M37" i="1"/>
  <c r="B37" i="1"/>
  <c r="J37" i="1"/>
  <c r="A37" i="1"/>
  <c r="O37" i="1"/>
  <c r="P37" i="1"/>
  <c r="Q37" i="1"/>
  <c r="K37" i="1"/>
  <c r="N37" i="1"/>
  <c r="R37" i="1"/>
  <c r="L196" i="1"/>
  <c r="B196" i="1"/>
  <c r="J196" i="1"/>
  <c r="K196" i="1"/>
  <c r="N196" i="1"/>
  <c r="O196" i="1"/>
  <c r="P196" i="1"/>
  <c r="Q196" i="1"/>
  <c r="R196" i="1"/>
  <c r="A196" i="1"/>
  <c r="Q1241" i="1"/>
  <c r="R1241" i="1"/>
  <c r="L1241" i="1"/>
  <c r="N1241" i="1"/>
  <c r="O1241" i="1"/>
  <c r="P1241" i="1"/>
  <c r="A1241" i="1"/>
  <c r="B1241" i="1"/>
  <c r="M1241" i="1"/>
  <c r="J1241" i="1"/>
  <c r="B626" i="1"/>
  <c r="O626" i="1"/>
  <c r="A626" i="1"/>
  <c r="L626" i="1"/>
  <c r="J626" i="1"/>
  <c r="R626" i="1"/>
  <c r="K626" i="1"/>
  <c r="M626" i="1"/>
  <c r="N626" i="1"/>
  <c r="P626" i="1"/>
  <c r="N588" i="1"/>
  <c r="O588" i="1"/>
  <c r="M588" i="1"/>
  <c r="J588" i="1"/>
  <c r="R588" i="1"/>
  <c r="K588" i="1"/>
  <c r="L588" i="1"/>
  <c r="P588" i="1"/>
  <c r="A588" i="1"/>
  <c r="Q588" i="1"/>
  <c r="B1312" i="1"/>
  <c r="M1312" i="1"/>
  <c r="Q1312" i="1"/>
  <c r="A1312" i="1"/>
  <c r="O1312" i="1"/>
  <c r="P1312" i="1"/>
  <c r="J1312" i="1"/>
  <c r="R1312" i="1"/>
  <c r="K1312" i="1"/>
  <c r="L1312" i="1"/>
  <c r="A1328" i="1"/>
  <c r="L1328" i="1"/>
  <c r="K1328" i="1"/>
  <c r="N1328" i="1"/>
  <c r="B1328" i="1"/>
  <c r="O1328" i="1"/>
  <c r="P1328" i="1"/>
  <c r="Q1328" i="1"/>
  <c r="J1328" i="1"/>
  <c r="R1328" i="1"/>
  <c r="J1522" i="1"/>
  <c r="A1522" i="1"/>
  <c r="K1522" i="1"/>
  <c r="M1522" i="1"/>
  <c r="L1522" i="1"/>
  <c r="O1522" i="1"/>
  <c r="P1522" i="1"/>
  <c r="L315" i="1"/>
  <c r="R205" i="1"/>
  <c r="P439" i="1"/>
  <c r="L72" i="1"/>
  <c r="Q1497" i="1"/>
  <c r="N1522" i="1"/>
  <c r="L1336" i="1"/>
  <c r="B594" i="1"/>
  <c r="K1241" i="1"/>
  <c r="K1480" i="1"/>
  <c r="R1480" i="1"/>
  <c r="B1480" i="1"/>
  <c r="N211" i="1"/>
  <c r="J211" i="1"/>
  <c r="M211" i="1"/>
  <c r="Q211" i="1"/>
  <c r="A211" i="1"/>
  <c r="O211" i="1"/>
  <c r="R211" i="1"/>
  <c r="K211" i="1"/>
  <c r="B211" i="1"/>
  <c r="P211" i="1"/>
  <c r="L1261" i="1"/>
  <c r="A1261" i="1"/>
  <c r="N1261" i="1"/>
  <c r="B1261" i="1"/>
  <c r="P1261" i="1"/>
  <c r="Q1261" i="1"/>
  <c r="J1261" i="1"/>
  <c r="R1261" i="1"/>
  <c r="K387" i="1"/>
  <c r="B387"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192" i="1"/>
  <c r="L192" i="1"/>
  <c r="K192" i="1"/>
  <c r="A192" i="1"/>
  <c r="N192" i="1"/>
  <c r="J192" i="1"/>
  <c r="R192" i="1"/>
  <c r="M192" i="1"/>
  <c r="O192" i="1"/>
  <c r="P192" i="1"/>
  <c r="R620" i="1"/>
  <c r="M620" i="1"/>
  <c r="Q620" i="1"/>
  <c r="J620" i="1"/>
  <c r="K620" i="1"/>
  <c r="L620" i="1"/>
  <c r="A620" i="1"/>
  <c r="O620" i="1"/>
  <c r="B620" i="1"/>
  <c r="N620" i="1"/>
  <c r="P614" i="1"/>
  <c r="R614" i="1"/>
  <c r="Q614" i="1"/>
  <c r="J614" i="1"/>
  <c r="K614" i="1"/>
  <c r="M614" i="1"/>
  <c r="L614" i="1"/>
  <c r="A614" i="1"/>
  <c r="O614" i="1"/>
  <c r="B614" i="1"/>
  <c r="Q600" i="1"/>
  <c r="N600" i="1"/>
  <c r="O600" i="1"/>
  <c r="P600" i="1"/>
  <c r="J600" i="1"/>
  <c r="R600" i="1"/>
  <c r="K600" i="1"/>
  <c r="M600" i="1"/>
  <c r="A600" i="1"/>
  <c r="L600" i="1"/>
  <c r="R582" i="1"/>
  <c r="L582" i="1"/>
  <c r="B582" i="1"/>
  <c r="M582" i="1"/>
  <c r="J582" i="1"/>
  <c r="K582" i="1"/>
  <c r="N582" i="1"/>
  <c r="O582" i="1"/>
  <c r="Q582" i="1"/>
  <c r="P1233" i="1"/>
  <c r="O1233" i="1"/>
  <c r="J1233" i="1"/>
  <c r="M1233" i="1"/>
  <c r="N1233" i="1"/>
  <c r="A1233" i="1"/>
  <c r="B1233" i="1"/>
  <c r="Q1233" i="1"/>
  <c r="R1233" i="1"/>
  <c r="L1233" i="1"/>
  <c r="A274" i="1"/>
  <c r="N274" i="1"/>
  <c r="L274" i="1"/>
  <c r="K274" i="1"/>
  <c r="M274" i="1"/>
  <c r="O274" i="1"/>
  <c r="B274" i="1"/>
  <c r="P274" i="1"/>
  <c r="Q274" i="1"/>
  <c r="J274" i="1"/>
  <c r="R1512" i="1"/>
  <c r="Q1512" i="1"/>
  <c r="K1512" i="1"/>
  <c r="B1512" i="1"/>
  <c r="M1512" i="1"/>
  <c r="O1512" i="1"/>
  <c r="N1512" i="1"/>
  <c r="R315" i="1"/>
  <c r="B205" i="1"/>
  <c r="M439" i="1"/>
  <c r="Q1424" i="1"/>
  <c r="K72" i="1"/>
  <c r="A1497" i="1"/>
  <c r="B1522" i="1"/>
  <c r="O64" i="1"/>
  <c r="M1328" i="1"/>
  <c r="B600" i="1"/>
  <c r="O1281" i="1"/>
  <c r="O1424" i="1"/>
  <c r="A72" i="1"/>
  <c r="L1512" i="1"/>
  <c r="J1536" i="1"/>
  <c r="Q192" i="1"/>
  <c r="M572" i="1"/>
  <c r="L64" i="1"/>
  <c r="O315" i="1"/>
  <c r="O1349" i="1"/>
  <c r="J439" i="1"/>
  <c r="K1424" i="1"/>
  <c r="P1512" i="1"/>
  <c r="P1536" i="1"/>
  <c r="M1261" i="1"/>
  <c r="N614" i="1"/>
  <c r="M196" i="1"/>
  <c r="M1349" i="1"/>
  <c r="J1512" i="1"/>
  <c r="M1536" i="1"/>
  <c r="K1261" i="1"/>
  <c r="R274" i="1"/>
  <c r="P620" i="1"/>
  <c r="A315" i="1"/>
  <c r="A439" i="1"/>
  <c r="J1424" i="1"/>
  <c r="Q246" i="1"/>
  <c r="N1312" i="1"/>
  <c r="B61" i="1"/>
  <c r="P205" i="1"/>
  <c r="K1349" i="1"/>
  <c r="M1424" i="1"/>
  <c r="R72" i="1"/>
  <c r="P1497" i="1"/>
  <c r="A1512" i="1"/>
  <c r="B1536" i="1"/>
  <c r="A246" i="1"/>
  <c r="K266" i="1"/>
  <c r="P582" i="1"/>
  <c r="Q626" i="1"/>
  <c r="A53" i="1"/>
  <c r="J316" i="1"/>
  <c r="K233" i="1"/>
  <c r="B233" i="1"/>
  <c r="J207" i="1"/>
  <c r="Q1347" i="1"/>
  <c r="L1396" i="1"/>
  <c r="M1499" i="1"/>
  <c r="B1499" i="1"/>
  <c r="N1514" i="1"/>
  <c r="P1524" i="1"/>
  <c r="Q1538" i="1"/>
  <c r="J1538" i="1"/>
  <c r="P318" i="1"/>
  <c r="Q235" i="1"/>
  <c r="B235" i="1"/>
  <c r="M204" i="1"/>
  <c r="R1345" i="1"/>
  <c r="N602" i="1"/>
  <c r="P68" i="1"/>
  <c r="M598" i="1"/>
  <c r="P70" i="1"/>
  <c r="J1439" i="1"/>
  <c r="Q1438" i="1"/>
  <c r="B1352" i="1"/>
  <c r="M239" i="1"/>
  <c r="O213" i="1"/>
  <c r="R1415" i="1"/>
  <c r="R1359" i="1"/>
  <c r="L231" i="1"/>
  <c r="K1344" i="1"/>
  <c r="J1493" i="1"/>
  <c r="P1518" i="1"/>
  <c r="B1533" i="1"/>
  <c r="P1484" i="1"/>
  <c r="A596" i="1"/>
  <c r="N628" i="1"/>
  <c r="B19" i="1"/>
  <c r="J215" i="1"/>
  <c r="P578" i="1"/>
  <c r="O1492" i="1"/>
  <c r="O1432" i="1"/>
  <c r="J622" i="1"/>
  <c r="Q316" i="1"/>
  <c r="O233" i="1"/>
  <c r="A233" i="1"/>
  <c r="Q207" i="1"/>
  <c r="P1347" i="1"/>
  <c r="K1396" i="1"/>
  <c r="L1499" i="1"/>
  <c r="A1499" i="1"/>
  <c r="P1514" i="1"/>
  <c r="O1524" i="1"/>
  <c r="P1538" i="1"/>
  <c r="A1538" i="1"/>
  <c r="O318" i="1"/>
  <c r="M235" i="1"/>
  <c r="A235" i="1"/>
  <c r="L204" i="1"/>
  <c r="J1345" i="1"/>
  <c r="M602" i="1"/>
  <c r="O68" i="1"/>
  <c r="L598" i="1"/>
  <c r="O70" i="1"/>
  <c r="P1439" i="1"/>
  <c r="A1438" i="1"/>
  <c r="A1352" i="1"/>
  <c r="M213" i="1"/>
  <c r="B1484" i="1"/>
  <c r="O199" i="1"/>
  <c r="O35" i="1"/>
  <c r="R602" i="1"/>
  <c r="L602" i="1"/>
  <c r="N70" i="1"/>
  <c r="B1439" i="1"/>
  <c r="B1438" i="1"/>
  <c r="K237" i="1"/>
  <c r="R213" i="1"/>
  <c r="L245" i="1"/>
  <c r="N199" i="1"/>
  <c r="L35" i="1"/>
  <c r="Q158" i="1"/>
  <c r="P1334" i="1"/>
  <c r="N438" i="1"/>
  <c r="P438" i="1"/>
  <c r="J438" i="1"/>
  <c r="B438" i="1"/>
  <c r="M438" i="1"/>
  <c r="L438" i="1"/>
  <c r="B1344" i="1"/>
  <c r="M1344" i="1"/>
  <c r="P1344" i="1"/>
  <c r="J1344" i="1"/>
  <c r="O1344" i="1"/>
  <c r="R1344" i="1"/>
  <c r="K150" i="1"/>
  <c r="B150" i="1"/>
  <c r="P150" i="1"/>
  <c r="N150" i="1"/>
  <c r="O150" i="1"/>
  <c r="R150" i="1"/>
  <c r="A150" i="1"/>
  <c r="R231" i="1"/>
  <c r="Q231" i="1"/>
  <c r="B231" i="1"/>
  <c r="M231" i="1"/>
  <c r="N231" i="1"/>
  <c r="P231" i="1"/>
  <c r="J231" i="1"/>
  <c r="A319" i="1"/>
  <c r="O319" i="1"/>
  <c r="Q319" i="1"/>
  <c r="N319" i="1"/>
  <c r="J319" i="1"/>
  <c r="L319" i="1"/>
  <c r="J1272" i="1"/>
  <c r="L1272" i="1"/>
  <c r="M1272" i="1"/>
  <c r="J1276" i="1"/>
  <c r="O1276" i="1"/>
  <c r="K1276" i="1"/>
  <c r="A1393" i="1"/>
  <c r="R1393" i="1"/>
  <c r="M1393" i="1"/>
  <c r="B1393" i="1"/>
  <c r="O1427" i="1"/>
  <c r="B1427" i="1"/>
  <c r="R1427" i="1"/>
  <c r="K1427" i="1"/>
  <c r="N1432" i="1"/>
  <c r="M1432" i="1"/>
  <c r="K1432" i="1"/>
  <c r="J1432" i="1"/>
  <c r="L1457" i="1"/>
  <c r="J1457" i="1"/>
  <c r="O1457" i="1"/>
  <c r="P1457" i="1"/>
  <c r="Q1483" i="1"/>
  <c r="O1483" i="1"/>
  <c r="R1483" i="1"/>
  <c r="K1533" i="1"/>
  <c r="O1533" i="1"/>
  <c r="Q1533" i="1"/>
  <c r="L1533" i="1"/>
  <c r="N1533" i="1"/>
  <c r="J1533" i="1"/>
  <c r="R1518" i="1"/>
  <c r="B1518" i="1"/>
  <c r="O1518" i="1"/>
  <c r="Q1518" i="1"/>
  <c r="N1518" i="1"/>
  <c r="L1518" i="1"/>
  <c r="B1508" i="1"/>
  <c r="J1508" i="1"/>
  <c r="P1508" i="1"/>
  <c r="A1508" i="1"/>
  <c r="R1508" i="1"/>
  <c r="K1508" i="1"/>
  <c r="O1508" i="1"/>
  <c r="Q1493" i="1"/>
  <c r="P1493" i="1"/>
  <c r="R1493" i="1"/>
  <c r="A1493" i="1"/>
  <c r="M1493" i="1"/>
  <c r="K1493" i="1"/>
  <c r="J602" i="1"/>
  <c r="B602" i="1"/>
  <c r="O1438" i="1"/>
  <c r="M1352" i="1"/>
  <c r="R237" i="1"/>
  <c r="J245" i="1"/>
  <c r="P1228" i="1"/>
  <c r="O328" i="1"/>
  <c r="L199" i="1"/>
  <c r="K35" i="1"/>
  <c r="O1271" i="1"/>
  <c r="N1271" i="1"/>
  <c r="Q1271" i="1"/>
  <c r="J1271" i="1"/>
  <c r="K1271" i="1"/>
  <c r="B1271" i="1"/>
  <c r="L1359" i="1"/>
  <c r="B1359" i="1"/>
  <c r="N1359" i="1"/>
  <c r="J1359" i="1"/>
  <c r="K1359" i="1"/>
  <c r="P1359" i="1"/>
  <c r="A1394" i="1"/>
  <c r="P1394" i="1"/>
  <c r="R1394" i="1"/>
  <c r="K1394" i="1"/>
  <c r="M1394" i="1"/>
  <c r="B1394" i="1"/>
  <c r="J1415" i="1"/>
  <c r="A1415" i="1"/>
  <c r="K1415" i="1"/>
  <c r="O1415" i="1"/>
  <c r="Q1415" i="1"/>
  <c r="B1415" i="1"/>
  <c r="N1433" i="1"/>
  <c r="P1433" i="1"/>
  <c r="M1433" i="1"/>
  <c r="Q1433" i="1"/>
  <c r="A1433" i="1"/>
  <c r="L1433" i="1"/>
  <c r="A1458" i="1"/>
  <c r="N1458" i="1"/>
  <c r="Q1458" i="1"/>
  <c r="P1458" i="1"/>
  <c r="J1458" i="1"/>
  <c r="K1458" i="1"/>
  <c r="L215" i="1"/>
  <c r="Q215" i="1"/>
  <c r="N215" i="1"/>
  <c r="O215" i="1"/>
  <c r="B215" i="1"/>
  <c r="R215" i="1"/>
  <c r="M215" i="1"/>
  <c r="P215" i="1"/>
  <c r="B324" i="1"/>
  <c r="A324" i="1"/>
  <c r="Q324" i="1"/>
  <c r="K324" i="1"/>
  <c r="M241" i="1"/>
  <c r="B241" i="1"/>
  <c r="R241" i="1"/>
  <c r="J241" i="1"/>
  <c r="Q241" i="1"/>
  <c r="L241" i="1"/>
  <c r="O241" i="1"/>
  <c r="L1277" i="1"/>
  <c r="M1277" i="1"/>
  <c r="N1277" i="1"/>
  <c r="B1277" i="1"/>
  <c r="J1277" i="1"/>
  <c r="R1277" i="1"/>
  <c r="O1277" i="1"/>
  <c r="A1277" i="1"/>
  <c r="N568" i="1"/>
  <c r="J568" i="1"/>
  <c r="Q568" i="1"/>
  <c r="K568" i="1"/>
  <c r="B568" i="1"/>
  <c r="R568" i="1"/>
  <c r="O568" i="1"/>
  <c r="P5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191" i="1"/>
  <c r="A191" i="1"/>
  <c r="O191" i="1"/>
  <c r="Q191" i="1"/>
  <c r="P191" i="1"/>
  <c r="K191" i="1"/>
  <c r="M191" i="1"/>
  <c r="B1354" i="1"/>
  <c r="Q1354" i="1"/>
  <c r="J1354" i="1"/>
  <c r="L1354" i="1"/>
  <c r="R1354" i="1"/>
  <c r="O1237" i="1"/>
  <c r="Q1237" i="1"/>
  <c r="R1237" i="1"/>
  <c r="L1237" i="1"/>
  <c r="B1237" i="1"/>
  <c r="N1237" i="1"/>
  <c r="P1237" i="1"/>
  <c r="J1237" i="1"/>
  <c r="A616" i="1"/>
  <c r="K616" i="1"/>
  <c r="L616" i="1"/>
  <c r="N616" i="1"/>
  <c r="O616" i="1"/>
  <c r="P616" i="1"/>
  <c r="J616" i="1"/>
  <c r="R616" i="1"/>
  <c r="L610" i="1"/>
  <c r="Q610" i="1"/>
  <c r="A610" i="1"/>
  <c r="P610" i="1"/>
  <c r="B610" i="1"/>
  <c r="N610" i="1"/>
  <c r="K610" i="1"/>
  <c r="L604" i="1"/>
  <c r="N604" i="1"/>
  <c r="J604" i="1"/>
  <c r="O604" i="1"/>
  <c r="P604" i="1"/>
  <c r="A604" i="1"/>
  <c r="R604" i="1"/>
  <c r="Q604" i="1"/>
  <c r="Q578" i="1"/>
  <c r="M578" i="1"/>
  <c r="A578" i="1"/>
  <c r="K578" i="1"/>
  <c r="R578" i="1"/>
  <c r="N578" i="1"/>
  <c r="O578" i="1"/>
  <c r="B578" i="1"/>
  <c r="L252" i="1"/>
  <c r="M252" i="1"/>
  <c r="Q252" i="1"/>
  <c r="B252" i="1"/>
  <c r="J252" i="1"/>
  <c r="R252" i="1"/>
  <c r="L1340" i="1"/>
  <c r="N1340" i="1"/>
  <c r="Q1340" i="1"/>
  <c r="P1340" i="1"/>
  <c r="K1340" i="1"/>
  <c r="R1532" i="1"/>
  <c r="A1532" i="1"/>
  <c r="L1532" i="1"/>
  <c r="M1532" i="1"/>
  <c r="N1532" i="1"/>
  <c r="B1532" i="1"/>
  <c r="K1532" i="1"/>
  <c r="R1517" i="1"/>
  <c r="A1517" i="1"/>
  <c r="Q1517" i="1"/>
  <c r="M1517" i="1"/>
  <c r="P1517" i="1"/>
  <c r="B1517" i="1"/>
  <c r="L1517" i="1"/>
  <c r="K1517" i="1"/>
  <c r="N1517" i="1"/>
  <c r="N1507" i="1"/>
  <c r="O1507" i="1"/>
  <c r="P1507" i="1"/>
  <c r="R1507" i="1"/>
  <c r="L1507" i="1"/>
  <c r="Q1507" i="1"/>
  <c r="Q1492" i="1"/>
  <c r="A1492" i="1"/>
  <c r="M1492" i="1"/>
  <c r="P1492" i="1"/>
  <c r="N1492" i="1"/>
  <c r="R1492" i="1"/>
  <c r="J1492" i="1"/>
  <c r="L1492" i="1"/>
  <c r="M316" i="1"/>
  <c r="N316" i="1"/>
  <c r="L233" i="1"/>
  <c r="M207" i="1"/>
  <c r="A207" i="1"/>
  <c r="M1347" i="1"/>
  <c r="Q1396" i="1"/>
  <c r="Q1499" i="1"/>
  <c r="R1514" i="1"/>
  <c r="A1514" i="1"/>
  <c r="L1524" i="1"/>
  <c r="M1538" i="1"/>
  <c r="K318" i="1"/>
  <c r="L318" i="1"/>
  <c r="R235" i="1"/>
  <c r="Q204" i="1"/>
  <c r="B204" i="1"/>
  <c r="O1345" i="1"/>
  <c r="K602" i="1"/>
  <c r="A602" i="1"/>
  <c r="R68" i="1"/>
  <c r="P598" i="1"/>
  <c r="J598" i="1"/>
  <c r="O1458" i="1"/>
  <c r="O1433" i="1"/>
  <c r="O1394" i="1"/>
  <c r="L1271" i="1"/>
  <c r="K319" i="1"/>
  <c r="Q150" i="1"/>
  <c r="R438" i="1"/>
  <c r="Q1508" i="1"/>
  <c r="A1518" i="1"/>
  <c r="P1277" i="1"/>
  <c r="N241" i="1"/>
  <c r="B604" i="1"/>
  <c r="L191" i="1"/>
  <c r="O1532" i="1"/>
  <c r="M1354" i="1"/>
  <c r="Q1417" i="1"/>
  <c r="K1417" i="1"/>
  <c r="M1417" i="1"/>
  <c r="O1417" i="1"/>
  <c r="A1417" i="1"/>
  <c r="L1417" i="1"/>
  <c r="P1417" i="1"/>
  <c r="R1417" i="1"/>
  <c r="P1435" i="1"/>
  <c r="M1435" i="1"/>
  <c r="L213" i="1"/>
  <c r="N213" i="1"/>
  <c r="J213" i="1"/>
  <c r="K213" i="1"/>
  <c r="A213" i="1"/>
  <c r="Q213" i="1"/>
  <c r="L237" i="1"/>
  <c r="O237" i="1"/>
  <c r="P237" i="1"/>
  <c r="B237" i="1"/>
  <c r="Q237" i="1"/>
  <c r="M237" i="1"/>
  <c r="J239" i="1"/>
  <c r="A239" i="1"/>
  <c r="L239" i="1"/>
  <c r="K239" i="1"/>
  <c r="O239" i="1"/>
  <c r="N239" i="1"/>
  <c r="O1352" i="1"/>
  <c r="N1352" i="1"/>
  <c r="Q1352" i="1"/>
  <c r="R1352" i="1"/>
  <c r="L1438" i="1"/>
  <c r="P1438" i="1"/>
  <c r="J1438" i="1"/>
  <c r="Q1439" i="1"/>
  <c r="A1439" i="1"/>
  <c r="M1439" i="1"/>
  <c r="O1439" i="1"/>
  <c r="B70" i="1"/>
  <c r="L70" i="1"/>
  <c r="K70" i="1"/>
  <c r="A70" i="1"/>
  <c r="R70" i="1"/>
  <c r="J158" i="1"/>
  <c r="L158" i="1"/>
  <c r="N158" i="1"/>
  <c r="P158" i="1"/>
  <c r="M158" i="1"/>
  <c r="A158" i="1"/>
  <c r="K158" i="1"/>
  <c r="B570" i="1"/>
  <c r="Q570" i="1"/>
  <c r="A570" i="1"/>
  <c r="L570" i="1"/>
  <c r="P570"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199" i="1"/>
  <c r="M199" i="1"/>
  <c r="P199" i="1"/>
  <c r="J199" i="1"/>
  <c r="B199" i="1"/>
  <c r="R199" i="1"/>
  <c r="A202" i="1"/>
  <c r="K202" i="1"/>
  <c r="N202" i="1"/>
  <c r="R202" i="1"/>
  <c r="L1283" i="1"/>
  <c r="O1283" i="1"/>
  <c r="B1283" i="1"/>
  <c r="M1283" i="1"/>
  <c r="N1283" i="1"/>
  <c r="Q1283" i="1"/>
  <c r="A1283" i="1"/>
  <c r="L1239" i="1"/>
  <c r="J1239" i="1"/>
  <c r="P1239" i="1"/>
  <c r="N1239" i="1"/>
  <c r="O1239" i="1"/>
  <c r="A573" i="1"/>
  <c r="L573" i="1"/>
  <c r="P573" i="1"/>
  <c r="Q573" i="1"/>
  <c r="M573" i="1"/>
  <c r="B628" i="1"/>
  <c r="M628" i="1"/>
  <c r="J628" i="1"/>
  <c r="L628" i="1"/>
  <c r="K628" i="1"/>
  <c r="P628" i="1"/>
  <c r="M622" i="1"/>
  <c r="L622" i="1"/>
  <c r="K622" i="1"/>
  <c r="B622" i="1"/>
  <c r="M608" i="1"/>
  <c r="Q608" i="1"/>
  <c r="B608" i="1"/>
  <c r="L608" i="1"/>
  <c r="O608" i="1"/>
  <c r="R608" i="1"/>
  <c r="P608" i="1"/>
  <c r="M596" i="1"/>
  <c r="O596" i="1"/>
  <c r="Q596" i="1"/>
  <c r="R596" i="1"/>
  <c r="B596" i="1"/>
  <c r="K596" i="1"/>
  <c r="J590" i="1"/>
  <c r="N590" i="1"/>
  <c r="M590" i="1"/>
  <c r="R590" i="1"/>
  <c r="Q590" i="1"/>
  <c r="A590" i="1"/>
  <c r="O576" i="1"/>
  <c r="A576" i="1"/>
  <c r="M576" i="1"/>
  <c r="J576" i="1"/>
  <c r="R576" i="1"/>
  <c r="L576" i="1"/>
  <c r="L328" i="1"/>
  <c r="A328" i="1"/>
  <c r="Q328" i="1"/>
  <c r="R328" i="1"/>
  <c r="B328" i="1"/>
  <c r="K328" i="1"/>
  <c r="P328" i="1"/>
  <c r="M1334" i="1"/>
  <c r="L1334" i="1"/>
  <c r="Q1334" i="1"/>
  <c r="N1334" i="1"/>
  <c r="O1334" i="1"/>
  <c r="A1334" i="1"/>
  <c r="A1228" i="1"/>
  <c r="L1228" i="1"/>
  <c r="J1228" i="1"/>
  <c r="B1228" i="1"/>
  <c r="R1228" i="1"/>
  <c r="N1228" i="1"/>
  <c r="Q1228" i="1"/>
  <c r="K1228" i="1"/>
  <c r="J1484" i="1"/>
  <c r="R1484" i="1"/>
  <c r="L1484" i="1"/>
  <c r="Q1484" i="1"/>
  <c r="M1484" i="1"/>
  <c r="O1484" i="1"/>
  <c r="L272" i="1"/>
  <c r="K272" i="1"/>
  <c r="P272" i="1"/>
  <c r="J272" i="1"/>
  <c r="N272" i="1"/>
  <c r="O272" i="1"/>
  <c r="M245" i="1"/>
  <c r="P245" i="1"/>
  <c r="Q245" i="1"/>
  <c r="R245" i="1"/>
  <c r="K245" i="1"/>
  <c r="N245" i="1"/>
  <c r="O245" i="1"/>
  <c r="B526" i="1"/>
  <c r="O526" i="1"/>
  <c r="Q526" i="1"/>
  <c r="R526" i="1"/>
  <c r="P518" i="1"/>
  <c r="A518" i="1"/>
  <c r="O518" i="1"/>
  <c r="L518" i="1"/>
  <c r="A1221" i="1"/>
  <c r="R1221" i="1"/>
  <c r="N1189" i="1"/>
  <c r="M1189" i="1"/>
  <c r="K316" i="1"/>
  <c r="R1347" i="1"/>
  <c r="N1396" i="1"/>
  <c r="J1524" i="1"/>
  <c r="J318" i="1"/>
  <c r="L1345" i="1"/>
  <c r="K68" i="1"/>
  <c r="O598" i="1"/>
  <c r="J70" i="1"/>
  <c r="K1439" i="1"/>
  <c r="K1438" i="1"/>
  <c r="J1352" i="1"/>
  <c r="Q239" i="1"/>
  <c r="A237" i="1"/>
  <c r="L1458" i="1"/>
  <c r="M1415" i="1"/>
  <c r="L1394" i="1"/>
  <c r="O1359" i="1"/>
  <c r="P1271" i="1"/>
  <c r="K231" i="1"/>
  <c r="N1344" i="1"/>
  <c r="A438" i="1"/>
  <c r="L1508" i="1"/>
  <c r="R1533" i="1"/>
  <c r="N1484" i="1"/>
  <c r="J328" i="1"/>
  <c r="N596" i="1"/>
  <c r="Q628" i="1"/>
  <c r="J1283" i="1"/>
  <c r="O51" i="1"/>
  <c r="M19" i="1"/>
  <c r="Q1277" i="1"/>
  <c r="A241" i="1"/>
  <c r="B616" i="1"/>
  <c r="R41" i="1"/>
  <c r="M568" i="1"/>
  <c r="J1417" i="1"/>
  <c r="P1532" i="1"/>
  <c r="K1483" i="1"/>
  <c r="B576" i="1"/>
  <c r="R43" i="1"/>
  <c r="R324" i="1"/>
  <c r="J229" i="1"/>
  <c r="P1351" i="1"/>
  <c r="A1351" i="1"/>
  <c r="O1273" i="1"/>
  <c r="B1273" i="1"/>
  <c r="N1273" i="1"/>
  <c r="M1273" i="1"/>
  <c r="O1392" i="1"/>
  <c r="B1392" i="1"/>
  <c r="Q1392" i="1"/>
  <c r="M1392" i="1"/>
  <c r="J1392" i="1"/>
  <c r="A1431" i="1"/>
  <c r="N1431" i="1"/>
  <c r="R1431" i="1"/>
  <c r="Q1431" i="1"/>
  <c r="J217" i="1"/>
  <c r="Q217" i="1"/>
  <c r="A217" i="1"/>
  <c r="N217" i="1"/>
  <c r="B348" i="1"/>
  <c r="A348" i="1"/>
  <c r="B340" i="1"/>
  <c r="P1322" i="1"/>
  <c r="O1322" i="1"/>
  <c r="B171" i="1"/>
  <c r="A171" i="1"/>
  <c r="N171" i="1"/>
  <c r="P171" i="1"/>
  <c r="O171" i="1"/>
  <c r="O571" i="1"/>
  <c r="Q571" i="1"/>
  <c r="K36" i="1"/>
  <c r="A36" i="1"/>
  <c r="N60" i="1"/>
  <c r="L60" i="1"/>
  <c r="N197" i="1"/>
  <c r="P197" i="1"/>
  <c r="M198" i="1"/>
  <c r="L571" i="1"/>
  <c r="N529" i="1"/>
  <c r="K529" i="1"/>
  <c r="R529" i="1"/>
  <c r="K1218" i="1"/>
  <c r="K1106" i="1"/>
  <c r="N1204" i="1"/>
  <c r="M1204" i="1"/>
  <c r="B1148" i="1"/>
  <c r="R1148" i="1"/>
  <c r="P1108" i="1"/>
  <c r="N1108" i="1"/>
  <c r="N1320" i="1"/>
  <c r="P167" i="1"/>
  <c r="N533" i="1"/>
  <c r="P557" i="1"/>
  <c r="L1188" i="1"/>
  <c r="M1130" i="1"/>
  <c r="N1194" i="1"/>
  <c r="R1194" i="1"/>
  <c r="L1092" i="1"/>
  <c r="B1162" i="1"/>
  <c r="K1410" i="1"/>
  <c r="M1410" i="1"/>
  <c r="N1410" i="1"/>
  <c r="B1410" i="1"/>
  <c r="Q1410" i="1"/>
  <c r="R1410" i="1"/>
  <c r="O1410" i="1"/>
  <c r="O1402" i="1"/>
  <c r="N1402" i="1"/>
  <c r="P1402" i="1"/>
  <c r="R1402" i="1"/>
  <c r="B1402" i="1"/>
  <c r="A1402" i="1"/>
  <c r="M1402" i="1"/>
  <c r="K1475" i="1"/>
  <c r="L1475" i="1"/>
  <c r="M1475" i="1"/>
  <c r="P1475" i="1"/>
  <c r="B1475" i="1"/>
  <c r="A1475" i="1"/>
  <c r="Q1475" i="1"/>
  <c r="R1475" i="1"/>
  <c r="N1475" i="1"/>
  <c r="R1467" i="1"/>
  <c r="L1467" i="1"/>
  <c r="M1467" i="1"/>
  <c r="P1467" i="1"/>
  <c r="K1467" i="1"/>
  <c r="N1467" i="1"/>
  <c r="O1467" i="1"/>
  <c r="A1467" i="1"/>
  <c r="A981" i="1"/>
  <c r="B981" i="1"/>
  <c r="L575" i="1"/>
  <c r="N1323" i="1"/>
  <c r="M551" i="1"/>
  <c r="P558" i="1"/>
  <c r="R558" i="1"/>
  <c r="Q542" i="1"/>
  <c r="N542" i="1"/>
  <c r="N534" i="1"/>
  <c r="L534" i="1"/>
  <c r="A1124" i="1"/>
  <c r="Q1467" i="1"/>
  <c r="B534" i="1"/>
  <c r="N550" i="1"/>
  <c r="L541" i="1"/>
  <c r="O541" i="1"/>
  <c r="Q1218" i="1"/>
  <c r="A1148" i="1"/>
  <c r="O1194" i="1"/>
  <c r="Q1202" i="1"/>
  <c r="A761" i="1"/>
  <c r="J761" i="1"/>
  <c r="A755" i="1"/>
  <c r="J755" i="1"/>
  <c r="B755" i="1"/>
  <c r="R755" i="1"/>
  <c r="K755" i="1"/>
  <c r="Q755" i="1"/>
  <c r="L755" i="1"/>
  <c r="N755" i="1"/>
  <c r="K749" i="1"/>
  <c r="P749" i="1"/>
  <c r="J749" i="1"/>
  <c r="R749" i="1"/>
  <c r="M749" i="1"/>
  <c r="P735" i="1"/>
  <c r="N735" i="1"/>
  <c r="B735" i="1"/>
  <c r="O735" i="1"/>
  <c r="R735" i="1"/>
  <c r="N729" i="1"/>
  <c r="O729" i="1"/>
  <c r="P729" i="1"/>
  <c r="A729" i="1"/>
  <c r="J729" i="1"/>
  <c r="K729" i="1"/>
  <c r="Q729" i="1"/>
  <c r="B723" i="1"/>
  <c r="R723" i="1"/>
  <c r="K723" i="1"/>
  <c r="O723" i="1"/>
  <c r="M717" i="1"/>
  <c r="Q717" i="1"/>
  <c r="B717" i="1"/>
  <c r="R717" i="1"/>
  <c r="K717" i="1"/>
  <c r="K703" i="1"/>
  <c r="Q703" i="1"/>
  <c r="L703" i="1"/>
  <c r="M703" i="1"/>
  <c r="N703" i="1"/>
  <c r="P703" i="1"/>
  <c r="B697" i="1"/>
  <c r="O697" i="1"/>
  <c r="A697" i="1"/>
  <c r="L697" i="1"/>
  <c r="N697" i="1"/>
  <c r="J697" i="1"/>
  <c r="A691" i="1"/>
  <c r="O691" i="1"/>
  <c r="P691" i="1"/>
  <c r="K691" i="1"/>
  <c r="B685" i="1"/>
  <c r="A685" i="1"/>
  <c r="L671" i="1"/>
  <c r="O671" i="1"/>
  <c r="R671" i="1"/>
  <c r="Q671" i="1"/>
  <c r="K671" i="1"/>
  <c r="M671" i="1"/>
  <c r="N665" i="1"/>
  <c r="A665" i="1"/>
  <c r="R665" i="1"/>
  <c r="B665" i="1"/>
  <c r="K665" i="1"/>
  <c r="M665" i="1"/>
  <c r="J665" i="1"/>
  <c r="P665" i="1"/>
  <c r="M659" i="1"/>
  <c r="J659" i="1"/>
  <c r="J653" i="1"/>
  <c r="A653" i="1"/>
  <c r="P653" i="1"/>
  <c r="K653" i="1"/>
  <c r="N639" i="1"/>
  <c r="M639" i="1"/>
  <c r="J639" i="1"/>
  <c r="O633" i="1"/>
  <c r="J633" i="1"/>
  <c r="B1467" i="1"/>
  <c r="Q1215" i="1"/>
  <c r="O1113" i="1"/>
  <c r="M1137" i="1"/>
  <c r="P1153" i="1"/>
  <c r="B1153" i="1"/>
  <c r="A1169" i="1"/>
  <c r="A1177" i="1"/>
  <c r="K1193" i="1"/>
  <c r="L1201" i="1"/>
  <c r="A1209" i="1"/>
  <c r="O1183" i="1"/>
  <c r="A1089" i="1"/>
  <c r="N1105" i="1"/>
  <c r="P1121" i="1"/>
  <c r="L1129" i="1"/>
  <c r="Q1145" i="1"/>
  <c r="Q1185" i="1"/>
  <c r="P1217" i="1"/>
  <c r="P1095" i="1"/>
  <c r="Q1095" i="1"/>
  <c r="Q1143" i="1"/>
  <c r="R1199" i="1"/>
  <c r="A1199" i="1"/>
  <c r="P1119" i="1"/>
  <c r="A1119" i="1"/>
  <c r="K1167" i="1"/>
  <c r="L1191" i="1"/>
  <c r="P1111" i="1"/>
  <c r="M1087" i="1"/>
  <c r="M1207" i="1"/>
  <c r="R636" i="1"/>
  <c r="N642" i="1"/>
  <c r="O648" i="1"/>
  <c r="B648" i="1"/>
  <c r="Q662" i="1"/>
  <c r="P668" i="1"/>
  <c r="J668" i="1"/>
  <c r="M674" i="1"/>
  <c r="N680" i="1"/>
  <c r="A680" i="1"/>
  <c r="P694" i="1"/>
  <c r="O700" i="1"/>
  <c r="B700" i="1"/>
  <c r="J706" i="1"/>
  <c r="L712" i="1"/>
  <c r="O726" i="1"/>
  <c r="O732" i="1"/>
  <c r="N738" i="1"/>
  <c r="N744" i="1"/>
  <c r="A758" i="1"/>
  <c r="A764" i="1"/>
  <c r="N762" i="1"/>
  <c r="K762" i="1"/>
  <c r="N1127" i="1"/>
  <c r="K636" i="1"/>
  <c r="B636" i="1"/>
  <c r="L642" i="1"/>
  <c r="Q648" i="1"/>
  <c r="M662" i="1"/>
  <c r="K668" i="1"/>
  <c r="A668" i="1"/>
  <c r="R674" i="1"/>
  <c r="Q680" i="1"/>
  <c r="N694" i="1"/>
  <c r="L700" i="1"/>
  <c r="N706" i="1"/>
  <c r="P706" i="1"/>
  <c r="R712" i="1"/>
  <c r="K726" i="1"/>
  <c r="L732" i="1"/>
  <c r="L738" i="1"/>
  <c r="L744" i="1"/>
  <c r="M758" i="1"/>
  <c r="M764" i="1"/>
  <c r="L751" i="1"/>
  <c r="M1407" i="1"/>
  <c r="O1407" i="1"/>
  <c r="P1399" i="1"/>
  <c r="M1399" i="1"/>
  <c r="L1472" i="1"/>
  <c r="A1472" i="1"/>
  <c r="K1472" i="1"/>
  <c r="R1472" i="1"/>
  <c r="L1464" i="1"/>
  <c r="K1464" i="1"/>
  <c r="M1464" i="1"/>
  <c r="Q1113" i="1"/>
  <c r="J1153" i="1"/>
  <c r="P1169" i="1"/>
  <c r="Q1177" i="1"/>
  <c r="Q1193" i="1"/>
  <c r="J1201" i="1"/>
  <c r="Q1209" i="1"/>
  <c r="K1183" i="1"/>
  <c r="R1089" i="1"/>
  <c r="R1097" i="1"/>
  <c r="K1105" i="1"/>
  <c r="Q1121" i="1"/>
  <c r="B1129" i="1"/>
  <c r="N1161" i="1"/>
  <c r="N1185" i="1"/>
  <c r="A1217" i="1"/>
  <c r="M1190" i="1"/>
  <c r="O1143" i="1"/>
  <c r="K1143" i="1"/>
  <c r="P1199" i="1"/>
  <c r="Q1119" i="1"/>
  <c r="M1167" i="1"/>
  <c r="M1159" i="1"/>
  <c r="A1087" i="1"/>
  <c r="R1175" i="1"/>
  <c r="Q636" i="1"/>
  <c r="A636" i="1"/>
  <c r="R642" i="1"/>
  <c r="N648" i="1"/>
  <c r="L662" i="1"/>
  <c r="Q668" i="1"/>
  <c r="O674" i="1"/>
  <c r="J674" i="1"/>
  <c r="M680" i="1"/>
  <c r="M694" i="1"/>
  <c r="K700" i="1"/>
  <c r="O706" i="1"/>
  <c r="B706" i="1"/>
  <c r="J712" i="1"/>
  <c r="R726" i="1"/>
  <c r="R732" i="1"/>
  <c r="K738" i="1"/>
  <c r="K744" i="1"/>
  <c r="L758" i="1"/>
  <c r="L764" i="1"/>
  <c r="R751" i="1"/>
  <c r="R1301" i="1"/>
  <c r="Q1294" i="1"/>
  <c r="O636" i="1"/>
  <c r="P642" i="1"/>
  <c r="J642" i="1"/>
  <c r="M648" i="1"/>
  <c r="R662" i="1"/>
  <c r="N668" i="1"/>
  <c r="P674" i="1"/>
  <c r="B674" i="1"/>
  <c r="L680" i="1"/>
  <c r="J694" i="1"/>
  <c r="L694" i="1"/>
  <c r="R700" i="1"/>
  <c r="M706" i="1"/>
  <c r="A706" i="1"/>
  <c r="Q712" i="1"/>
  <c r="J726" i="1"/>
  <c r="J732" i="1"/>
  <c r="J738" i="1"/>
  <c r="R744" i="1"/>
  <c r="R758" i="1"/>
  <c r="K764" i="1"/>
  <c r="B1231" i="1"/>
  <c r="L1413" i="1"/>
  <c r="B1413" i="1"/>
  <c r="P1413" i="1"/>
  <c r="M1413" i="1"/>
  <c r="K1405" i="1"/>
  <c r="P1405" i="1"/>
  <c r="Q1405" i="1"/>
  <c r="M1405" i="1"/>
  <c r="R1397" i="1"/>
  <c r="O1397" i="1"/>
  <c r="P1397" i="1"/>
  <c r="M1397" i="1"/>
  <c r="N1470" i="1"/>
  <c r="B1470" i="1"/>
  <c r="M1470" i="1"/>
  <c r="R1470" i="1"/>
  <c r="B1462" i="1"/>
  <c r="A1462" i="1"/>
  <c r="M1462" i="1"/>
  <c r="Q1462" i="1"/>
  <c r="O504" i="1"/>
  <c r="Q1301" i="1"/>
  <c r="J1143" i="1"/>
  <c r="J1135" i="1"/>
  <c r="K642" i="1"/>
  <c r="K662" i="1"/>
  <c r="K674" i="1"/>
  <c r="K694" i="1"/>
  <c r="N712" i="1"/>
  <c r="P712" i="1"/>
  <c r="P765" i="1"/>
  <c r="L765" i="1"/>
  <c r="J745" i="1"/>
  <c r="O745" i="1"/>
  <c r="R739" i="1"/>
  <c r="P739" i="1"/>
  <c r="P733" i="1"/>
  <c r="L733" i="1"/>
  <c r="J719" i="1"/>
  <c r="O719" i="1"/>
  <c r="O713" i="1"/>
  <c r="K713" i="1"/>
  <c r="Q701" i="1"/>
  <c r="B701" i="1"/>
  <c r="K681" i="1"/>
  <c r="A681" i="1"/>
  <c r="A675" i="1"/>
  <c r="M675" i="1"/>
  <c r="M669" i="1"/>
  <c r="O669" i="1"/>
  <c r="O655" i="1"/>
  <c r="L655" i="1"/>
  <c r="L649" i="1"/>
  <c r="O649" i="1"/>
  <c r="N637" i="1"/>
  <c r="K637" i="1"/>
  <c r="J1286" i="1"/>
  <c r="R1286" i="1"/>
  <c r="A1286" i="1"/>
  <c r="K1286" i="1"/>
  <c r="B1286" i="1"/>
  <c r="L1286" i="1"/>
  <c r="M1286" i="1"/>
  <c r="N1286" i="1"/>
  <c r="O1286" i="1"/>
  <c r="J1302" i="1"/>
  <c r="R1302" i="1"/>
  <c r="A1302" i="1"/>
  <c r="K1302" i="1"/>
  <c r="B1302" i="1"/>
  <c r="L1302" i="1"/>
  <c r="M1302" i="1"/>
  <c r="N1302" i="1"/>
  <c r="O1302" i="1"/>
  <c r="J1294" i="1"/>
  <c r="R1294" i="1"/>
  <c r="A1294" i="1"/>
  <c r="K1294" i="1"/>
  <c r="B1294" i="1"/>
  <c r="L1294" i="1"/>
  <c r="M1294" i="1"/>
  <c r="N1294" i="1"/>
  <c r="O1294" i="1"/>
  <c r="Q1286" i="1"/>
  <c r="B764" i="1"/>
  <c r="O764" i="1"/>
  <c r="R764" i="1"/>
  <c r="K758" i="1"/>
  <c r="P758" i="1"/>
  <c r="N758" i="1"/>
  <c r="A744" i="1"/>
  <c r="M744" i="1"/>
  <c r="J744" i="1"/>
  <c r="R738" i="1"/>
  <c r="B738" i="1"/>
  <c r="O738" i="1"/>
  <c r="P732" i="1"/>
  <c r="N732" i="1"/>
  <c r="K732" i="1"/>
  <c r="L726" i="1"/>
  <c r="Q726" i="1"/>
  <c r="K1309" i="1"/>
  <c r="L1309" i="1"/>
  <c r="M1309" i="1"/>
  <c r="N1309" i="1"/>
  <c r="O1309" i="1"/>
  <c r="P1309" i="1"/>
  <c r="K1301" i="1"/>
  <c r="L1301" i="1"/>
  <c r="M1301" i="1"/>
  <c r="N1301" i="1"/>
  <c r="O1301" i="1"/>
  <c r="P1301" i="1"/>
  <c r="K1293" i="1"/>
  <c r="L1293" i="1"/>
  <c r="M1293" i="1"/>
  <c r="N1293" i="1"/>
  <c r="O1293" i="1"/>
  <c r="P1293" i="1"/>
  <c r="A1309" i="1"/>
  <c r="A1293" i="1"/>
  <c r="Q1293" i="1"/>
  <c r="P1286" i="1"/>
  <c r="R492" i="1"/>
  <c r="R500" i="1"/>
  <c r="A508" i="1"/>
  <c r="A1076" i="1"/>
  <c r="B1049" i="1"/>
  <c r="A1015" i="1"/>
  <c r="B1308" i="1"/>
  <c r="B1304" i="1"/>
  <c r="B1300" i="1"/>
  <c r="B1296" i="1"/>
  <c r="B1292" i="1"/>
  <c r="B1288" i="1"/>
  <c r="Q1308" i="1"/>
  <c r="R1307" i="1"/>
  <c r="J1307" i="1"/>
  <c r="K1306" i="1"/>
  <c r="L1305" i="1"/>
  <c r="M1304" i="1"/>
  <c r="N1303" i="1"/>
  <c r="Q1300" i="1"/>
  <c r="R1299" i="1"/>
  <c r="J1299" i="1"/>
  <c r="K1298" i="1"/>
  <c r="L1297" i="1"/>
  <c r="M1296" i="1"/>
  <c r="N1295" i="1"/>
  <c r="Q1292" i="1"/>
  <c r="R1291" i="1"/>
  <c r="J1291" i="1"/>
  <c r="K1290" i="1"/>
  <c r="L1289" i="1"/>
  <c r="M1288" i="1"/>
  <c r="N1287" i="1"/>
  <c r="A1308" i="1"/>
  <c r="A1304" i="1"/>
  <c r="A1300" i="1"/>
  <c r="A1296" i="1"/>
  <c r="A1292" i="1"/>
  <c r="A1288" i="1"/>
  <c r="P1308" i="1"/>
  <c r="Q1307" i="1"/>
  <c r="R1306" i="1"/>
  <c r="J1306" i="1"/>
  <c r="K1305" i="1"/>
  <c r="L1304" i="1"/>
  <c r="M1303" i="1"/>
  <c r="P1300" i="1"/>
  <c r="Q1299" i="1"/>
  <c r="R1298" i="1"/>
  <c r="J1298" i="1"/>
  <c r="K1297" i="1"/>
  <c r="L1296" i="1"/>
  <c r="M1295" i="1"/>
  <c r="P1292" i="1"/>
  <c r="Q1291" i="1"/>
  <c r="R1290" i="1"/>
  <c r="J1290" i="1"/>
  <c r="K1289" i="1"/>
  <c r="L1288" i="1"/>
  <c r="M1287" i="1"/>
  <c r="A991" i="1"/>
  <c r="B1307" i="1"/>
  <c r="B1303" i="1"/>
  <c r="B1299" i="1"/>
  <c r="B1295" i="1"/>
  <c r="B1291" i="1"/>
  <c r="B1287" i="1"/>
  <c r="O1308" i="1"/>
  <c r="P1307" i="1"/>
  <c r="Q1306" i="1"/>
  <c r="R1305" i="1"/>
  <c r="J1305" i="1"/>
  <c r="K1304" i="1"/>
  <c r="L1303" i="1"/>
  <c r="O1300" i="1"/>
  <c r="P1299" i="1"/>
  <c r="Q1298" i="1"/>
  <c r="R1297" i="1"/>
  <c r="J1297" i="1"/>
  <c r="K1296" i="1"/>
  <c r="L1295" i="1"/>
  <c r="O1292" i="1"/>
  <c r="P1291" i="1"/>
  <c r="Q1290" i="1"/>
  <c r="R1289" i="1"/>
  <c r="J1289" i="1"/>
  <c r="K1288" i="1"/>
  <c r="L1287" i="1"/>
  <c r="A1307" i="1"/>
  <c r="A1303" i="1"/>
  <c r="A1299" i="1"/>
  <c r="A1295" i="1"/>
  <c r="A1291" i="1"/>
  <c r="A1287" i="1"/>
  <c r="N1308" i="1"/>
  <c r="O1307" i="1"/>
  <c r="P1306" i="1"/>
  <c r="Q1305" i="1"/>
  <c r="R1304" i="1"/>
  <c r="J1304" i="1"/>
  <c r="K1303" i="1"/>
  <c r="N1300" i="1"/>
  <c r="O1299" i="1"/>
  <c r="P1298" i="1"/>
  <c r="Q1297" i="1"/>
  <c r="R1296" i="1"/>
  <c r="J1296" i="1"/>
  <c r="K1295" i="1"/>
  <c r="N1292" i="1"/>
  <c r="O1291" i="1"/>
  <c r="P1290" i="1"/>
  <c r="Q1289" i="1"/>
  <c r="R1288" i="1"/>
  <c r="J1288" i="1"/>
  <c r="K1287" i="1"/>
  <c r="B492" i="1"/>
  <c r="M508" i="1"/>
  <c r="B1073" i="1"/>
  <c r="B1306" i="1"/>
  <c r="B1298" i="1"/>
  <c r="B1290" i="1"/>
  <c r="M1308" i="1"/>
  <c r="N1307" i="1"/>
  <c r="O1306" i="1"/>
  <c r="P1305" i="1"/>
  <c r="Q1304" i="1"/>
  <c r="R1303" i="1"/>
  <c r="J1303" i="1"/>
  <c r="M1300" i="1"/>
  <c r="N1299" i="1"/>
  <c r="O1298" i="1"/>
  <c r="P1297" i="1"/>
  <c r="Q1296" i="1"/>
  <c r="R1295" i="1"/>
  <c r="J1295" i="1"/>
  <c r="M1292" i="1"/>
  <c r="N1291" i="1"/>
  <c r="O1290" i="1"/>
  <c r="P1289" i="1"/>
  <c r="Q1288" i="1"/>
  <c r="R1287" i="1"/>
  <c r="J1287" i="1"/>
  <c r="M500" i="1"/>
  <c r="L508" i="1"/>
  <c r="A1306" i="1"/>
  <c r="A1298" i="1"/>
  <c r="A1290" i="1"/>
  <c r="N1346" i="1"/>
  <c r="O1346" i="1"/>
  <c r="P1346" i="1"/>
  <c r="Q1346" i="1"/>
  <c r="J1346" i="1"/>
  <c r="A1346" i="1"/>
  <c r="R1346" i="1"/>
  <c r="B1346" i="1"/>
  <c r="K1346" i="1"/>
  <c r="K208" i="1"/>
  <c r="B208" i="1"/>
  <c r="L208" i="1"/>
  <c r="A208" i="1"/>
  <c r="M208" i="1"/>
  <c r="O208" i="1"/>
  <c r="N208" i="1"/>
  <c r="P208" i="1"/>
  <c r="Q208" i="1"/>
  <c r="J208" i="1"/>
  <c r="B317" i="1"/>
  <c r="P317" i="1"/>
  <c r="Q317" i="1"/>
  <c r="B1363" i="1"/>
  <c r="R1363" i="1"/>
  <c r="L1363" i="1"/>
  <c r="K1363" i="1"/>
  <c r="M1363" i="1"/>
  <c r="N1363" i="1"/>
  <c r="O1363" i="1"/>
  <c r="P1363" i="1"/>
  <c r="Q1363" i="1"/>
  <c r="J1395" i="1"/>
  <c r="R1395" i="1"/>
  <c r="K1395" i="1"/>
  <c r="L1395" i="1"/>
  <c r="M1395" i="1"/>
  <c r="A1395" i="1"/>
  <c r="N1395" i="1"/>
  <c r="B1395" i="1"/>
  <c r="O1395" i="1"/>
  <c r="A1416" i="1"/>
  <c r="R1416" i="1"/>
  <c r="B1416" i="1"/>
  <c r="L1416" i="1"/>
  <c r="M1416" i="1"/>
  <c r="K1416" i="1"/>
  <c r="N1416" i="1"/>
  <c r="O1416" i="1"/>
  <c r="P1416" i="1"/>
  <c r="Q1416" i="1"/>
  <c r="P1459" i="1"/>
  <c r="O1459" i="1"/>
  <c r="Q1459" i="1"/>
  <c r="J1459" i="1"/>
  <c r="R1459" i="1"/>
  <c r="K1459" i="1"/>
  <c r="L1459" i="1"/>
  <c r="B1459" i="1"/>
  <c r="M1459" i="1"/>
  <c r="L214" i="1"/>
  <c r="M214" i="1"/>
  <c r="N214" i="1"/>
  <c r="A214" i="1"/>
  <c r="O214" i="1"/>
  <c r="B214" i="1"/>
  <c r="P214" i="1"/>
  <c r="Q214" i="1"/>
  <c r="J214" i="1"/>
  <c r="R214" i="1"/>
  <c r="R240" i="1"/>
  <c r="L240" i="1"/>
  <c r="N240" i="1"/>
  <c r="O240" i="1"/>
  <c r="P240" i="1"/>
  <c r="K240" i="1"/>
  <c r="B240" i="1"/>
  <c r="M240"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569" i="1"/>
  <c r="K569" i="1"/>
  <c r="P26" i="1"/>
  <c r="Q26" i="1"/>
  <c r="B50" i="1"/>
  <c r="O50" i="1"/>
  <c r="M1539" i="1"/>
  <c r="A1539" i="1"/>
  <c r="N1539" i="1"/>
  <c r="B1539" i="1"/>
  <c r="O1539" i="1"/>
  <c r="Q1539" i="1"/>
  <c r="P1539" i="1"/>
  <c r="J1539" i="1"/>
  <c r="R1539" i="1"/>
  <c r="K1539" i="1"/>
  <c r="P1521" i="1"/>
  <c r="Q1521" i="1"/>
  <c r="J1521" i="1"/>
  <c r="R1521" i="1"/>
  <c r="A1521" i="1"/>
  <c r="K1521" i="1"/>
  <c r="B1521" i="1"/>
  <c r="L1521" i="1"/>
  <c r="N1521" i="1"/>
  <c r="M1521" i="1"/>
  <c r="L1496" i="1"/>
  <c r="N1496" i="1"/>
  <c r="A1496" i="1"/>
  <c r="O1496" i="1"/>
  <c r="B1496" i="1"/>
  <c r="P1496" i="1"/>
  <c r="J1496" i="1"/>
  <c r="Q1496" i="1"/>
  <c r="R1496" i="1"/>
  <c r="K1496" i="1"/>
  <c r="K540" i="1"/>
  <c r="P540" i="1"/>
  <c r="Q540" i="1"/>
  <c r="J540" i="1"/>
  <c r="R540" i="1"/>
  <c r="L540" i="1"/>
  <c r="L279" i="1"/>
  <c r="O271" i="1"/>
  <c r="O1420" i="1"/>
  <c r="B1420" i="1"/>
  <c r="P1229" i="1"/>
  <c r="Q1333" i="1"/>
  <c r="J1333" i="1"/>
  <c r="R327" i="1"/>
  <c r="K327" i="1"/>
  <c r="K577" i="1"/>
  <c r="Q583" i="1"/>
  <c r="A583" i="1"/>
  <c r="O597" i="1"/>
  <c r="R603" i="1"/>
  <c r="B603" i="1"/>
  <c r="N609" i="1"/>
  <c r="J615" i="1"/>
  <c r="O629" i="1"/>
  <c r="Q1238" i="1"/>
  <c r="L1353" i="1"/>
  <c r="A1353" i="1"/>
  <c r="Q190" i="1"/>
  <c r="Q200" i="1"/>
  <c r="Q58" i="1"/>
  <c r="M50" i="1"/>
  <c r="M42" i="1"/>
  <c r="A42" i="1"/>
  <c r="J34" i="1"/>
  <c r="L26" i="1"/>
  <c r="R18" i="1"/>
  <c r="O569" i="1"/>
  <c r="J240" i="1"/>
  <c r="J1416" i="1"/>
  <c r="O1521" i="1"/>
  <c r="B540" i="1"/>
  <c r="R279" i="1"/>
  <c r="B279" i="1"/>
  <c r="M271" i="1"/>
  <c r="M1420" i="1"/>
  <c r="M1229" i="1"/>
  <c r="O1333" i="1"/>
  <c r="A1333" i="1"/>
  <c r="Q327" i="1"/>
  <c r="A327" i="1"/>
  <c r="R577" i="1"/>
  <c r="N583" i="1"/>
  <c r="M597" i="1"/>
  <c r="P603" i="1"/>
  <c r="L609" i="1"/>
  <c r="K609" i="1"/>
  <c r="O615" i="1"/>
  <c r="M629" i="1"/>
  <c r="N1238" i="1"/>
  <c r="R1353" i="1"/>
  <c r="O190" i="1"/>
  <c r="N200" i="1"/>
  <c r="A200" i="1"/>
  <c r="R58" i="1"/>
  <c r="L50" i="1"/>
  <c r="P42" i="1"/>
  <c r="M34" i="1"/>
  <c r="A34" i="1"/>
  <c r="B26" i="1"/>
  <c r="Q18" i="1"/>
  <c r="L569" i="1"/>
  <c r="P1395" i="1"/>
  <c r="L1539" i="1"/>
  <c r="N163" i="1"/>
  <c r="K214" i="1"/>
  <c r="Q279" i="1"/>
  <c r="A279" i="1"/>
  <c r="L271" i="1"/>
  <c r="L1420" i="1"/>
  <c r="L1229" i="1"/>
  <c r="N1333" i="1"/>
  <c r="P327" i="1"/>
  <c r="Q577" i="1"/>
  <c r="J577" i="1"/>
  <c r="M583" i="1"/>
  <c r="L597" i="1"/>
  <c r="O603" i="1"/>
  <c r="Q609" i="1"/>
  <c r="B609" i="1"/>
  <c r="N615" i="1"/>
  <c r="Q629" i="1"/>
  <c r="K629" i="1"/>
  <c r="P1238" i="1"/>
  <c r="J1353" i="1"/>
  <c r="M190" i="1"/>
  <c r="M200" i="1"/>
  <c r="B200" i="1"/>
  <c r="J58" i="1"/>
  <c r="K50" i="1"/>
  <c r="Q42" i="1"/>
  <c r="P34" i="1"/>
  <c r="N26" i="1"/>
  <c r="A26" i="1"/>
  <c r="P18" i="1"/>
  <c r="M569" i="1"/>
  <c r="B569" i="1"/>
  <c r="Q1395" i="1"/>
  <c r="J271" i="1"/>
  <c r="Q1229" i="1"/>
  <c r="N577" i="1"/>
  <c r="R597" i="1"/>
  <c r="Q615" i="1"/>
  <c r="R629" i="1"/>
  <c r="K1238" i="1"/>
  <c r="O1353" i="1"/>
  <c r="K200" i="1"/>
  <c r="P58" i="1"/>
  <c r="A58" i="1"/>
  <c r="J50" i="1"/>
  <c r="R42" i="1"/>
  <c r="L34" i="1"/>
  <c r="J26" i="1"/>
  <c r="M18" i="1"/>
  <c r="A18" i="1"/>
  <c r="J569" i="1"/>
  <c r="R208" i="1"/>
  <c r="J1363" i="1"/>
  <c r="M1346" i="1"/>
  <c r="L151" i="1"/>
  <c r="K159" i="1"/>
  <c r="O524" i="1"/>
  <c r="J524" i="1"/>
  <c r="R524" i="1"/>
  <c r="L524" i="1"/>
  <c r="N524" i="1"/>
  <c r="O516" i="1"/>
  <c r="A516" i="1"/>
  <c r="R569" i="1"/>
  <c r="N1459" i="1"/>
  <c r="A1363" i="1"/>
  <c r="M1496" i="1"/>
  <c r="O69" i="1"/>
  <c r="B516" i="1"/>
  <c r="Q234" i="1"/>
  <c r="K234" i="1"/>
  <c r="L234" i="1"/>
  <c r="M234" i="1"/>
  <c r="N234" i="1"/>
  <c r="J234" i="1"/>
  <c r="B234" i="1"/>
  <c r="P234" i="1"/>
  <c r="J1270" i="1"/>
  <c r="R1270" i="1"/>
  <c r="K1270" i="1"/>
  <c r="L1270" i="1"/>
  <c r="A1270" i="1"/>
  <c r="M1270" i="1"/>
  <c r="B1270" i="1"/>
  <c r="N1270" i="1"/>
  <c r="P1270" i="1"/>
  <c r="O1270" i="1"/>
  <c r="O1434" i="1"/>
  <c r="P1434" i="1"/>
  <c r="Q1434" i="1"/>
  <c r="B1434" i="1"/>
  <c r="J1434" i="1"/>
  <c r="A1434" i="1"/>
  <c r="R1434" i="1"/>
  <c r="L1434" i="1"/>
  <c r="K1434" i="1"/>
  <c r="M1434" i="1"/>
  <c r="P323" i="1"/>
  <c r="J323" i="1"/>
  <c r="R323" i="1"/>
  <c r="K323" i="1"/>
  <c r="L323" i="1"/>
  <c r="A323" i="1"/>
  <c r="M323" i="1"/>
  <c r="B323" i="1"/>
  <c r="N323" i="1"/>
  <c r="O323" i="1"/>
  <c r="A190" i="1"/>
  <c r="N190" i="1"/>
  <c r="A1511" i="1"/>
  <c r="N1511" i="1"/>
  <c r="P1511" i="1"/>
  <c r="O1511" i="1"/>
  <c r="K1511" i="1"/>
  <c r="Q1511" i="1"/>
  <c r="J1511" i="1"/>
  <c r="R1511" i="1"/>
  <c r="L1511" i="1"/>
  <c r="N556" i="1"/>
  <c r="B556" i="1"/>
  <c r="O556" i="1"/>
  <c r="Q556" i="1"/>
  <c r="R556" i="1"/>
  <c r="K556" i="1"/>
  <c r="L556" i="1"/>
  <c r="P556" i="1"/>
  <c r="L548" i="1"/>
  <c r="B548" i="1"/>
  <c r="P548" i="1"/>
  <c r="Q548" i="1"/>
  <c r="R548" i="1"/>
  <c r="K548" i="1"/>
  <c r="M548" i="1"/>
  <c r="N548" i="1"/>
  <c r="R532" i="1"/>
  <c r="P532" i="1"/>
  <c r="Q532" i="1"/>
  <c r="J532" i="1"/>
  <c r="M532" i="1"/>
  <c r="N532" i="1"/>
  <c r="A532" i="1"/>
  <c r="B532" i="1"/>
  <c r="O759" i="1"/>
  <c r="J759" i="1"/>
  <c r="R759" i="1"/>
  <c r="L759" i="1"/>
  <c r="K759" i="1"/>
  <c r="A759" i="1"/>
  <c r="M759" i="1"/>
  <c r="B753" i="1"/>
  <c r="J753" i="1"/>
  <c r="R753" i="1"/>
  <c r="A753" i="1"/>
  <c r="P753" i="1"/>
  <c r="J747" i="1"/>
  <c r="B747" i="1"/>
  <c r="L747" i="1"/>
  <c r="K747" i="1"/>
  <c r="Q741" i="1"/>
  <c r="K741" i="1"/>
  <c r="B741" i="1"/>
  <c r="M741" i="1"/>
  <c r="N741" i="1"/>
  <c r="P741" i="1"/>
  <c r="N727" i="1"/>
  <c r="L727" i="1"/>
  <c r="B727" i="1"/>
  <c r="K727" i="1"/>
  <c r="A727" i="1"/>
  <c r="M727" i="1"/>
  <c r="O727" i="1"/>
  <c r="J727" i="1"/>
  <c r="P721" i="1"/>
  <c r="Q721" i="1"/>
  <c r="Q715" i="1"/>
  <c r="O715" i="1"/>
  <c r="M709" i="1"/>
  <c r="J709" i="1"/>
  <c r="R709" i="1"/>
  <c r="B709" i="1"/>
  <c r="L709" i="1"/>
  <c r="A709" i="1"/>
  <c r="N709" i="1"/>
  <c r="P709" i="1"/>
  <c r="A695" i="1"/>
  <c r="L695" i="1"/>
  <c r="K695" i="1"/>
  <c r="R689" i="1"/>
  <c r="M689" i="1"/>
  <c r="R683" i="1"/>
  <c r="P683" i="1"/>
  <c r="L677" i="1"/>
  <c r="R677" i="1"/>
  <c r="K677" i="1"/>
  <c r="M677" i="1"/>
  <c r="B677" i="1"/>
  <c r="N677" i="1"/>
  <c r="A677" i="1"/>
  <c r="P677" i="1"/>
  <c r="Q677" i="1"/>
  <c r="O663" i="1"/>
  <c r="M663" i="1"/>
  <c r="A663" i="1"/>
  <c r="B663" i="1"/>
  <c r="N657" i="1"/>
  <c r="R657" i="1"/>
  <c r="K657" i="1"/>
  <c r="J651" i="1"/>
  <c r="O651" i="1"/>
  <c r="Q651" i="1"/>
  <c r="P651" i="1"/>
  <c r="B645" i="1"/>
  <c r="N645" i="1"/>
  <c r="A645" i="1"/>
  <c r="Q631" i="1"/>
  <c r="B631" i="1"/>
  <c r="O631" i="1"/>
  <c r="P631" i="1"/>
  <c r="M631" i="1"/>
  <c r="O1343" i="1"/>
  <c r="M1322" i="1"/>
  <c r="N526" i="1"/>
  <c r="B527" i="1"/>
  <c r="R518" i="1"/>
  <c r="O519" i="1"/>
  <c r="J534" i="1"/>
  <c r="K542" i="1"/>
  <c r="A542" i="1"/>
  <c r="M550" i="1"/>
  <c r="O558" i="1"/>
  <c r="R543" i="1"/>
  <c r="N1198" i="1"/>
  <c r="K1100" i="1"/>
  <c r="Q709" i="1"/>
  <c r="N759" i="1"/>
  <c r="J1343" i="1"/>
  <c r="R1321" i="1"/>
  <c r="B1322" i="1"/>
  <c r="N165" i="1"/>
  <c r="A526" i="1"/>
  <c r="R528" i="1"/>
  <c r="J518" i="1"/>
  <c r="N519" i="1"/>
  <c r="Q534" i="1"/>
  <c r="R542" i="1"/>
  <c r="L550" i="1"/>
  <c r="A550" i="1"/>
  <c r="M558" i="1"/>
  <c r="O1142" i="1"/>
  <c r="Q1190" i="1"/>
  <c r="O709" i="1"/>
  <c r="B759" i="1"/>
  <c r="K320" i="1"/>
  <c r="J324" i="1"/>
  <c r="K1350" i="1"/>
  <c r="J1435" i="1"/>
  <c r="J1321" i="1"/>
  <c r="A1322" i="1"/>
  <c r="R171" i="1"/>
  <c r="J338" i="1"/>
  <c r="O517" i="1"/>
  <c r="R527" i="1"/>
  <c r="Q518" i="1"/>
  <c r="M519" i="1"/>
  <c r="L557" i="1"/>
  <c r="P534" i="1"/>
  <c r="J542" i="1"/>
  <c r="R550" i="1"/>
  <c r="L558" i="1"/>
  <c r="B558" i="1"/>
  <c r="O551" i="1"/>
  <c r="B1086" i="1"/>
  <c r="L1142" i="1"/>
  <c r="P1190" i="1"/>
  <c r="R727" i="1"/>
  <c r="L645" i="1"/>
  <c r="B1406" i="1"/>
  <c r="L1406" i="1"/>
  <c r="M1406" i="1"/>
  <c r="P1398" i="1"/>
  <c r="K1398" i="1"/>
  <c r="M1398" i="1"/>
  <c r="N1398" i="1"/>
  <c r="P1471" i="1"/>
  <c r="Q1471" i="1"/>
  <c r="K1471" i="1"/>
  <c r="B1463" i="1"/>
  <c r="M1463" i="1"/>
  <c r="Q1321" i="1"/>
  <c r="Q527" i="1"/>
  <c r="L519" i="1"/>
  <c r="N551" i="1"/>
  <c r="R1222" i="1"/>
  <c r="A1222" i="1"/>
  <c r="A1126" i="1"/>
  <c r="M1126" i="1"/>
  <c r="O1110" i="1"/>
  <c r="L1110" i="1"/>
  <c r="Q727" i="1"/>
  <c r="L663" i="1"/>
  <c r="L741" i="1"/>
  <c r="L689" i="1"/>
  <c r="M229" i="1"/>
  <c r="L1482" i="1"/>
  <c r="J1491" i="1"/>
  <c r="J47" i="1"/>
  <c r="R1322" i="1"/>
  <c r="J168" i="1"/>
  <c r="N527" i="1"/>
  <c r="O559" i="1"/>
  <c r="O741" i="1"/>
  <c r="N715" i="1"/>
  <c r="B1351" i="1"/>
  <c r="B1426" i="1"/>
  <c r="J194" i="1"/>
  <c r="L155" i="1"/>
  <c r="P168" i="1"/>
  <c r="P526" i="1"/>
  <c r="M527" i="1"/>
  <c r="J519" i="1"/>
  <c r="K534" i="1"/>
  <c r="A534" i="1"/>
  <c r="M542" i="1"/>
  <c r="O550" i="1"/>
  <c r="J558" i="1"/>
  <c r="R535" i="1"/>
  <c r="J1102" i="1"/>
  <c r="N1158" i="1"/>
  <c r="O1222" i="1"/>
  <c r="N1110" i="1"/>
  <c r="A1134" i="1"/>
  <c r="J677" i="1"/>
  <c r="Q753" i="1"/>
  <c r="A747" i="1"/>
  <c r="P1463" i="1"/>
  <c r="B1077" i="1"/>
  <c r="P745" i="1"/>
  <c r="N765" i="1"/>
  <c r="B765" i="1"/>
  <c r="L637" i="1"/>
  <c r="P643" i="1"/>
  <c r="R649" i="1"/>
  <c r="Q649" i="1"/>
  <c r="M655" i="1"/>
  <c r="K669" i="1"/>
  <c r="J675" i="1"/>
  <c r="P681" i="1"/>
  <c r="B681" i="1"/>
  <c r="L687" i="1"/>
  <c r="M701" i="1"/>
  <c r="O701" i="1"/>
  <c r="J707" i="1"/>
  <c r="L713" i="1"/>
  <c r="A713" i="1"/>
  <c r="P719" i="1"/>
  <c r="N733" i="1"/>
  <c r="B733" i="1"/>
  <c r="Q739" i="1"/>
  <c r="K751" i="1"/>
  <c r="L762" i="1"/>
  <c r="P1231" i="1"/>
  <c r="B508" i="1"/>
  <c r="J1467" i="1"/>
  <c r="A1082" i="1"/>
  <c r="A1060" i="1"/>
  <c r="A999" i="1"/>
  <c r="P1191" i="1"/>
  <c r="A1111" i="1"/>
  <c r="L1087" i="1"/>
  <c r="L1207" i="1"/>
  <c r="N745" i="1"/>
  <c r="B745" i="1"/>
  <c r="K765" i="1"/>
  <c r="R637" i="1"/>
  <c r="Q637" i="1"/>
  <c r="M643" i="1"/>
  <c r="N649" i="1"/>
  <c r="A649" i="1"/>
  <c r="K655" i="1"/>
  <c r="R669" i="1"/>
  <c r="B669" i="1"/>
  <c r="L675" i="1"/>
  <c r="N681" i="1"/>
  <c r="J687" i="1"/>
  <c r="Q687" i="1"/>
  <c r="L701" i="1"/>
  <c r="A701" i="1"/>
  <c r="P707" i="1"/>
  <c r="R713" i="1"/>
  <c r="N719" i="1"/>
  <c r="B719" i="1"/>
  <c r="K733" i="1"/>
  <c r="M739" i="1"/>
  <c r="O739" i="1"/>
  <c r="J751" i="1"/>
  <c r="P697" i="1"/>
  <c r="O717" i="1"/>
  <c r="M735" i="1"/>
  <c r="B749" i="1"/>
  <c r="J762" i="1"/>
  <c r="P761" i="1"/>
  <c r="A1231" i="1"/>
  <c r="L1399" i="1"/>
  <c r="R1464" i="1"/>
  <c r="R1407" i="1"/>
  <c r="R512" i="1"/>
  <c r="N491" i="1"/>
  <c r="B1081" i="1"/>
  <c r="B1065" i="1"/>
  <c r="B1045" i="1"/>
  <c r="A983" i="1"/>
  <c r="M1191" i="1"/>
  <c r="L1159" i="1"/>
  <c r="R1087" i="1"/>
  <c r="N1207" i="1"/>
  <c r="K1175" i="1"/>
  <c r="L745" i="1"/>
  <c r="A745" i="1"/>
  <c r="R765" i="1"/>
  <c r="O637" i="1"/>
  <c r="B637" i="1"/>
  <c r="L643" i="1"/>
  <c r="J649" i="1"/>
  <c r="J655" i="1"/>
  <c r="Q655" i="1"/>
  <c r="N669" i="1"/>
  <c r="A669" i="1"/>
  <c r="K675" i="1"/>
  <c r="M681" i="1"/>
  <c r="M687" i="1"/>
  <c r="B687" i="1"/>
  <c r="K701" i="1"/>
  <c r="M707" i="1"/>
  <c r="O707" i="1"/>
  <c r="J713" i="1"/>
  <c r="L719" i="1"/>
  <c r="A719" i="1"/>
  <c r="R733" i="1"/>
  <c r="N739" i="1"/>
  <c r="A739" i="1"/>
  <c r="Q751" i="1"/>
  <c r="L717" i="1"/>
  <c r="L735" i="1"/>
  <c r="A749" i="1"/>
  <c r="B762" i="1"/>
  <c r="Q723" i="1"/>
  <c r="M761" i="1"/>
  <c r="L1404" i="1"/>
  <c r="K1399" i="1"/>
  <c r="Q1407" i="1"/>
  <c r="N508" i="1"/>
  <c r="L501" i="1"/>
  <c r="A1075" i="1"/>
  <c r="B1069" i="1"/>
  <c r="K745" i="1"/>
  <c r="J765" i="1"/>
  <c r="J637" i="1"/>
  <c r="A637" i="1"/>
  <c r="K643" i="1"/>
  <c r="P649" i="1"/>
  <c r="N655" i="1"/>
  <c r="B655" i="1"/>
  <c r="J669" i="1"/>
  <c r="R675" i="1"/>
  <c r="Q675" i="1"/>
  <c r="J681" i="1"/>
  <c r="R687" i="1"/>
  <c r="A687" i="1"/>
  <c r="R701" i="1"/>
  <c r="N707" i="1"/>
  <c r="B707" i="1"/>
  <c r="Q713" i="1"/>
  <c r="K719" i="1"/>
  <c r="J733" i="1"/>
  <c r="L739" i="1"/>
  <c r="B739" i="1"/>
  <c r="P751" i="1"/>
  <c r="R1135" i="1"/>
  <c r="J1175" i="1"/>
  <c r="R745" i="1"/>
  <c r="Q765" i="1"/>
  <c r="P637" i="1"/>
  <c r="O643" i="1"/>
  <c r="Q643" i="1"/>
  <c r="M649" i="1"/>
  <c r="R655" i="1"/>
  <c r="A655" i="1"/>
  <c r="P669" i="1"/>
  <c r="P675" i="1"/>
  <c r="B675" i="1"/>
  <c r="L681" i="1"/>
  <c r="P687" i="1"/>
  <c r="J701" i="1"/>
  <c r="L707" i="1"/>
  <c r="A707" i="1"/>
  <c r="P713" i="1"/>
  <c r="R719" i="1"/>
  <c r="Q733" i="1"/>
  <c r="K739" i="1"/>
  <c r="M751" i="1"/>
  <c r="O751" i="1"/>
  <c r="Q762" i="1"/>
  <c r="M1461" i="1"/>
  <c r="P1472" i="1"/>
  <c r="Q1399" i="1"/>
  <c r="N1464" i="1"/>
  <c r="N1407" i="1"/>
  <c r="R643" i="1"/>
  <c r="O675" i="1"/>
  <c r="M713" i="1"/>
  <c r="N751" i="1"/>
  <c r="L1461" i="1"/>
  <c r="Q155" i="1"/>
  <c r="B1272" i="1"/>
  <c r="N1272" i="1"/>
  <c r="P1272" i="1"/>
  <c r="B1276" i="1"/>
  <c r="L1276" i="1"/>
  <c r="N1276" i="1"/>
  <c r="N1393" i="1"/>
  <c r="Q1393" i="1"/>
  <c r="J1393" i="1"/>
  <c r="M1427" i="1"/>
  <c r="N1427" i="1"/>
  <c r="P1432" i="1"/>
  <c r="L1432" i="1"/>
  <c r="A1432" i="1"/>
  <c r="K1457" i="1"/>
  <c r="A1457" i="1"/>
  <c r="M1483" i="1"/>
  <c r="B1483" i="1"/>
  <c r="P1483" i="1"/>
  <c r="A153" i="1"/>
  <c r="P153" i="1"/>
  <c r="M1431" i="1"/>
  <c r="N1392" i="1"/>
  <c r="Q1273" i="1"/>
  <c r="K228" i="1"/>
  <c r="A228" i="1"/>
  <c r="Q1342" i="1"/>
  <c r="M74" i="1"/>
  <c r="M217" i="1"/>
  <c r="B612" i="1"/>
  <c r="A1225" i="1"/>
  <c r="A362" i="1"/>
  <c r="L1483" i="1"/>
  <c r="R1457" i="1"/>
  <c r="L1427" i="1"/>
  <c r="L1393" i="1"/>
  <c r="P1276" i="1"/>
  <c r="A1272" i="1"/>
  <c r="P229" i="1"/>
  <c r="N1482" i="1"/>
  <c r="R1491" i="1"/>
  <c r="K153" i="1"/>
  <c r="K194" i="1"/>
  <c r="N1319" i="1"/>
  <c r="L1319" i="1"/>
  <c r="M1319" i="1"/>
  <c r="B1319" i="1"/>
  <c r="K1319" i="1"/>
  <c r="B353" i="1"/>
  <c r="A345" i="1"/>
  <c r="B345" i="1"/>
  <c r="J1431" i="1"/>
  <c r="L1392" i="1"/>
  <c r="L1506" i="1"/>
  <c r="R217" i="1"/>
  <c r="K362" i="1"/>
  <c r="Q320" i="1"/>
  <c r="A229" i="1"/>
  <c r="R1482" i="1"/>
  <c r="P1350" i="1"/>
  <c r="O1491" i="1"/>
  <c r="P523" i="1"/>
  <c r="J523" i="1"/>
  <c r="O320" i="1"/>
  <c r="O1351" i="1"/>
  <c r="Q1482" i="1"/>
  <c r="M1350" i="1"/>
  <c r="L243" i="1"/>
  <c r="M15" i="1"/>
  <c r="R206" i="1"/>
  <c r="B206" i="1"/>
  <c r="L206" i="1"/>
  <c r="R20" i="1"/>
  <c r="B20" i="1"/>
  <c r="L20" i="1"/>
  <c r="A52" i="1"/>
  <c r="R52" i="1"/>
  <c r="N52" i="1"/>
  <c r="B1240" i="1"/>
  <c r="K1240" i="1"/>
  <c r="M621" i="1"/>
  <c r="R621" i="1"/>
  <c r="O589" i="1"/>
  <c r="A589" i="1"/>
  <c r="Q589" i="1"/>
  <c r="K329" i="1"/>
  <c r="P329" i="1"/>
  <c r="P561" i="1"/>
  <c r="A561" i="1"/>
  <c r="P545" i="1"/>
  <c r="J545" i="1"/>
  <c r="R545" i="1"/>
  <c r="K545" i="1"/>
  <c r="B1342" i="1"/>
  <c r="O1342" i="1"/>
  <c r="Q1350" i="1"/>
  <c r="J1350" i="1"/>
  <c r="N1350" i="1"/>
  <c r="N155" i="1"/>
  <c r="K155" i="1"/>
  <c r="M155" i="1"/>
  <c r="J155" i="1"/>
  <c r="P1491" i="1"/>
  <c r="K1491" i="1"/>
  <c r="K1343" i="1"/>
  <c r="B1343" i="1"/>
  <c r="N1351" i="1"/>
  <c r="L1351" i="1"/>
  <c r="M1351" i="1"/>
  <c r="A320" i="1"/>
  <c r="R320" i="1"/>
  <c r="M1426" i="1"/>
  <c r="O1426" i="1"/>
  <c r="Q1426" i="1"/>
  <c r="A1426" i="1"/>
  <c r="L1259" i="1"/>
  <c r="K1259" i="1"/>
  <c r="Q1259" i="1"/>
  <c r="B74" i="1"/>
  <c r="P74" i="1"/>
  <c r="R411" i="1"/>
  <c r="P411" i="1"/>
  <c r="Q362" i="1"/>
  <c r="P362" i="1"/>
  <c r="J362" i="1"/>
  <c r="L15" i="1"/>
  <c r="J15" i="1"/>
  <c r="N1225" i="1"/>
  <c r="O1225" i="1"/>
  <c r="P1225" i="1"/>
  <c r="A194" i="1"/>
  <c r="B194" i="1"/>
  <c r="K624" i="1"/>
  <c r="M624" i="1"/>
  <c r="M618" i="1"/>
  <c r="N618" i="1"/>
  <c r="A618" i="1"/>
  <c r="P612" i="1"/>
  <c r="J612" i="1"/>
  <c r="M1321" i="1"/>
  <c r="B1320" i="1"/>
  <c r="P1320" i="1"/>
  <c r="P165" i="1"/>
  <c r="B525" i="1"/>
  <c r="Q524" i="1"/>
  <c r="M524" i="1"/>
  <c r="A524" i="1"/>
  <c r="K516" i="1"/>
  <c r="J516" i="1"/>
  <c r="L516" i="1"/>
  <c r="M516" i="1"/>
  <c r="O544" i="1"/>
  <c r="L1132" i="1"/>
  <c r="L1220" i="1"/>
  <c r="B168" i="1"/>
  <c r="R168" i="1"/>
  <c r="B344" i="1"/>
  <c r="B552" i="1"/>
  <c r="O552" i="1"/>
  <c r="J552" i="1"/>
  <c r="O1220" i="1"/>
  <c r="A1220" i="1"/>
  <c r="B1220" i="1"/>
  <c r="Q1220" i="1"/>
  <c r="N1212" i="1"/>
  <c r="A1212" i="1"/>
  <c r="Q1212" i="1"/>
  <c r="K1212" i="1"/>
  <c r="L1212" i="1"/>
  <c r="R1204" i="1"/>
  <c r="K1204" i="1"/>
  <c r="L1204" i="1"/>
  <c r="A1204" i="1"/>
  <c r="K1196" i="1"/>
  <c r="L1196" i="1"/>
  <c r="P1196" i="1"/>
  <c r="P1188" i="1"/>
  <c r="O1188" i="1"/>
  <c r="Q1188" i="1"/>
  <c r="J1188" i="1"/>
  <c r="B1180" i="1"/>
  <c r="A1180" i="1"/>
  <c r="R1180" i="1"/>
  <c r="L1180" i="1"/>
  <c r="N1180" i="1"/>
  <c r="P1172" i="1"/>
  <c r="A1172" i="1"/>
  <c r="N1172" i="1"/>
  <c r="R1172" i="1"/>
  <c r="R1164" i="1"/>
  <c r="A1164" i="1"/>
  <c r="J1164" i="1"/>
  <c r="B1164" i="1"/>
  <c r="K1164" i="1"/>
  <c r="M1156" i="1"/>
  <c r="B1156" i="1"/>
  <c r="N1156" i="1"/>
  <c r="Q1156" i="1"/>
  <c r="R1156" i="1"/>
  <c r="Q1148" i="1"/>
  <c r="L1148" i="1"/>
  <c r="J1148" i="1"/>
  <c r="L1140" i="1"/>
  <c r="K1140" i="1"/>
  <c r="O1140" i="1"/>
  <c r="R1140" i="1"/>
  <c r="R1132" i="1"/>
  <c r="K1132" i="1"/>
  <c r="O1132" i="1"/>
  <c r="B1132" i="1"/>
  <c r="B1124" i="1"/>
  <c r="R1124" i="1"/>
  <c r="N1124" i="1"/>
  <c r="J1124" i="1"/>
  <c r="P1124" i="1"/>
  <c r="A1116" i="1"/>
  <c r="P1116" i="1"/>
  <c r="K1116" i="1"/>
  <c r="K1108" i="1"/>
  <c r="J1108" i="1"/>
  <c r="A1108" i="1"/>
  <c r="M1108" i="1"/>
  <c r="P1100" i="1"/>
  <c r="B1100" i="1"/>
  <c r="J1100" i="1"/>
  <c r="N1092" i="1"/>
  <c r="P1092" i="1"/>
  <c r="R1092" i="1"/>
  <c r="N168" i="1"/>
  <c r="P169" i="1"/>
  <c r="O169" i="1"/>
  <c r="B351" i="1"/>
  <c r="A351" i="1"/>
  <c r="A343" i="1"/>
  <c r="B521" i="1"/>
  <c r="O521" i="1"/>
  <c r="P521" i="1"/>
  <c r="N559" i="1"/>
  <c r="B559" i="1"/>
  <c r="K559" i="1"/>
  <c r="A559" i="1"/>
  <c r="M559" i="1"/>
  <c r="L559" i="1"/>
  <c r="B551" i="1"/>
  <c r="Q551" i="1"/>
  <c r="R551" i="1"/>
  <c r="A551" i="1"/>
  <c r="K551" i="1"/>
  <c r="O543" i="1"/>
  <c r="P543" i="1"/>
  <c r="Q543" i="1"/>
  <c r="J543" i="1"/>
  <c r="L535" i="1"/>
  <c r="N535" i="1"/>
  <c r="O535" i="1"/>
  <c r="P535" i="1"/>
  <c r="B1092" i="1"/>
  <c r="B1108" i="1"/>
  <c r="O1148" i="1"/>
  <c r="P1164" i="1"/>
  <c r="K1188" i="1"/>
  <c r="Q1204" i="1"/>
  <c r="A1156" i="1"/>
  <c r="N1100" i="1"/>
  <c r="O1318" i="1"/>
  <c r="M1320" i="1"/>
  <c r="N1321" i="1"/>
  <c r="O1317" i="1"/>
  <c r="N169" i="1"/>
  <c r="Q168" i="1"/>
  <c r="B170" i="1"/>
  <c r="M170" i="1"/>
  <c r="B524" i="1"/>
  <c r="J529" i="1"/>
  <c r="J535" i="1"/>
  <c r="M543" i="1"/>
  <c r="L551" i="1"/>
  <c r="A1092" i="1"/>
  <c r="O1124" i="1"/>
  <c r="M1148" i="1"/>
  <c r="O1164" i="1"/>
  <c r="R1188" i="1"/>
  <c r="P1204" i="1"/>
  <c r="M1172" i="1"/>
  <c r="P1140" i="1"/>
  <c r="B1218" i="1"/>
  <c r="J1218" i="1"/>
  <c r="A1210" i="1"/>
  <c r="L1210" i="1"/>
  <c r="O1210" i="1"/>
  <c r="N1202" i="1"/>
  <c r="B1202" i="1"/>
  <c r="R1186" i="1"/>
  <c r="L1186" i="1"/>
  <c r="M1186" i="1"/>
  <c r="Q1186" i="1"/>
  <c r="B1178" i="1"/>
  <c r="R1178" i="1"/>
  <c r="P1178" i="1"/>
  <c r="K1170" i="1"/>
  <c r="A1170" i="1"/>
  <c r="N1170" i="1"/>
  <c r="R1170" i="1"/>
  <c r="J1170" i="1"/>
  <c r="K1162" i="1"/>
  <c r="L1162" i="1"/>
  <c r="Q1162" i="1"/>
  <c r="N1154" i="1"/>
  <c r="A1154" i="1"/>
  <c r="K1154" i="1"/>
  <c r="Q1154" i="1"/>
  <c r="L1146" i="1"/>
  <c r="M1146" i="1"/>
  <c r="R1138" i="1"/>
  <c r="B1138" i="1"/>
  <c r="K1138" i="1"/>
  <c r="N1138" i="1"/>
  <c r="B1130" i="1"/>
  <c r="J1130" i="1"/>
  <c r="R1122" i="1"/>
  <c r="A1122" i="1"/>
  <c r="B1122" i="1"/>
  <c r="K1122" i="1"/>
  <c r="O1122" i="1"/>
  <c r="R1114" i="1"/>
  <c r="J1114" i="1"/>
  <c r="L1114" i="1"/>
  <c r="B1106" i="1"/>
  <c r="R1106" i="1"/>
  <c r="N1106" i="1"/>
  <c r="L1098" i="1"/>
  <c r="N1098" i="1"/>
  <c r="P1098" i="1"/>
  <c r="J1098" i="1"/>
  <c r="P1090" i="1"/>
  <c r="K1090" i="1"/>
  <c r="A1090" i="1"/>
  <c r="P324" i="1"/>
  <c r="R1340" i="1"/>
  <c r="B1340" i="1"/>
  <c r="P252" i="1"/>
  <c r="M610" i="1"/>
  <c r="O1354" i="1"/>
  <c r="J57" i="1"/>
  <c r="K33" i="1"/>
  <c r="P1390" i="1"/>
  <c r="P49" i="1"/>
  <c r="M325" i="1"/>
  <c r="L1320" i="1"/>
  <c r="P1323" i="1"/>
  <c r="K1323" i="1"/>
  <c r="K173" i="1"/>
  <c r="M169" i="1"/>
  <c r="R170" i="1"/>
  <c r="A168" i="1"/>
  <c r="R525" i="1"/>
  <c r="Q535" i="1"/>
  <c r="L543" i="1"/>
  <c r="R559" i="1"/>
  <c r="J1092" i="1"/>
  <c r="R1108" i="1"/>
  <c r="M1124" i="1"/>
  <c r="K1148" i="1"/>
  <c r="M1164" i="1"/>
  <c r="B1188" i="1"/>
  <c r="B1204" i="1"/>
  <c r="O1116" i="1"/>
  <c r="Q1172" i="1"/>
  <c r="A1140" i="1"/>
  <c r="O324" i="1"/>
  <c r="J1340" i="1"/>
  <c r="A1340" i="1"/>
  <c r="N252" i="1"/>
  <c r="J610" i="1"/>
  <c r="N1354" i="1"/>
  <c r="L57" i="1"/>
  <c r="A33" i="1"/>
  <c r="P387" i="1"/>
  <c r="N49" i="1"/>
  <c r="A325" i="1"/>
  <c r="R1315" i="1"/>
  <c r="K1320" i="1"/>
  <c r="O1323" i="1"/>
  <c r="Q1322" i="1"/>
  <c r="K1322" i="1"/>
  <c r="Q173" i="1"/>
  <c r="O170" i="1"/>
  <c r="B343" i="1"/>
  <c r="O525" i="1"/>
  <c r="N516" i="1"/>
  <c r="Q546" i="1"/>
  <c r="Q536" i="1"/>
  <c r="M535" i="1"/>
  <c r="A543" i="1"/>
  <c r="J559" i="1"/>
  <c r="Q1092" i="1"/>
  <c r="O1108" i="1"/>
  <c r="K1124" i="1"/>
  <c r="P1148" i="1"/>
  <c r="Q1164" i="1"/>
  <c r="A1188" i="1"/>
  <c r="Q1098" i="1"/>
  <c r="J1146" i="1"/>
  <c r="M1116" i="1"/>
  <c r="R1196" i="1"/>
  <c r="M1180" i="1"/>
  <c r="M168" i="1"/>
  <c r="K517" i="1"/>
  <c r="N517" i="1"/>
  <c r="R517" i="1"/>
  <c r="A535" i="1"/>
  <c r="B543" i="1"/>
  <c r="Q559" i="1"/>
  <c r="N563" i="1"/>
  <c r="A563" i="1"/>
  <c r="R539" i="1"/>
  <c r="B539" i="1"/>
  <c r="O1092" i="1"/>
  <c r="Q1108" i="1"/>
  <c r="L1124" i="1"/>
  <c r="N1148" i="1"/>
  <c r="N1164" i="1"/>
  <c r="O1204" i="1"/>
  <c r="J1116" i="1"/>
  <c r="J1196" i="1"/>
  <c r="N1220" i="1"/>
  <c r="Q490" i="1"/>
  <c r="P490" i="1"/>
  <c r="J490" i="1"/>
  <c r="R490" i="1"/>
  <c r="K490" i="1"/>
  <c r="M490" i="1"/>
  <c r="B490" i="1"/>
  <c r="N490" i="1"/>
  <c r="A490" i="1"/>
  <c r="L490" i="1"/>
  <c r="O490" i="1"/>
  <c r="M506" i="1"/>
  <c r="B506" i="1"/>
  <c r="N506" i="1"/>
  <c r="A506" i="1"/>
  <c r="O506" i="1"/>
  <c r="Q506" i="1"/>
  <c r="P506" i="1"/>
  <c r="R506" i="1"/>
  <c r="K506" i="1"/>
  <c r="L506" i="1"/>
  <c r="R498" i="1"/>
  <c r="K498" i="1"/>
  <c r="L498" i="1"/>
  <c r="M498" i="1"/>
  <c r="A498" i="1"/>
  <c r="O498" i="1"/>
  <c r="Q498" i="1"/>
  <c r="P498" i="1"/>
  <c r="B498" i="1"/>
  <c r="J498" i="1"/>
  <c r="N498" i="1"/>
  <c r="J1093" i="1"/>
  <c r="B1219" i="1"/>
  <c r="A1219" i="1"/>
  <c r="P1219" i="1"/>
  <c r="L1211" i="1"/>
  <c r="N1211" i="1"/>
  <c r="J1203" i="1"/>
  <c r="L1203" i="1"/>
  <c r="A1195" i="1"/>
  <c r="R1195" i="1"/>
  <c r="K1187" i="1"/>
  <c r="Q1187" i="1"/>
  <c r="Q1179" i="1"/>
  <c r="A1179" i="1"/>
  <c r="O1179" i="1"/>
  <c r="Q1171" i="1"/>
  <c r="K1171" i="1"/>
  <c r="R1163" i="1"/>
  <c r="M1163" i="1"/>
  <c r="B1155" i="1"/>
  <c r="J1155" i="1"/>
  <c r="M1147" i="1"/>
  <c r="O1147" i="1"/>
  <c r="Q1139" i="1"/>
  <c r="A1139" i="1"/>
  <c r="N1139" i="1"/>
  <c r="A1131" i="1"/>
  <c r="L1131" i="1"/>
  <c r="R1123" i="1"/>
  <c r="M1123" i="1"/>
  <c r="O1115" i="1"/>
  <c r="J1115" i="1"/>
  <c r="J1107" i="1"/>
  <c r="M1107" i="1"/>
  <c r="Q1099" i="1"/>
  <c r="A1099" i="1"/>
  <c r="R1099" i="1"/>
  <c r="B1091" i="1"/>
  <c r="K1091" i="1"/>
  <c r="Q338" i="1"/>
  <c r="K526" i="1"/>
  <c r="J527" i="1"/>
  <c r="K519" i="1"/>
  <c r="B519" i="1"/>
  <c r="A533" i="1"/>
  <c r="N549" i="1"/>
  <c r="M1169" i="1"/>
  <c r="J1193" i="1"/>
  <c r="A1193" i="1"/>
  <c r="M1209" i="1"/>
  <c r="L1089" i="1"/>
  <c r="B1089" i="1"/>
  <c r="O1097" i="1"/>
  <c r="M1105" i="1"/>
  <c r="O1121" i="1"/>
  <c r="P1129" i="1"/>
  <c r="J1145" i="1"/>
  <c r="B1145" i="1"/>
  <c r="Q1161" i="1"/>
  <c r="M1185" i="1"/>
  <c r="N1217" i="1"/>
  <c r="N1091" i="1"/>
  <c r="J1099" i="1"/>
  <c r="Q1107" i="1"/>
  <c r="M1115" i="1"/>
  <c r="K1123" i="1"/>
  <c r="M1131" i="1"/>
  <c r="K1139" i="1"/>
  <c r="N1147" i="1"/>
  <c r="L1155" i="1"/>
  <c r="Q1163" i="1"/>
  <c r="M1171" i="1"/>
  <c r="A1171" i="1"/>
  <c r="P1187" i="1"/>
  <c r="A1187" i="1"/>
  <c r="B1195" i="1"/>
  <c r="B1203" i="1"/>
  <c r="Q1211" i="1"/>
  <c r="J1219" i="1"/>
  <c r="J1141" i="1"/>
  <c r="J506" i="1"/>
  <c r="L1121" i="1"/>
  <c r="N1129" i="1"/>
  <c r="R1145" i="1"/>
  <c r="M1161" i="1"/>
  <c r="A1161" i="1"/>
  <c r="K1185" i="1"/>
  <c r="M1217" i="1"/>
  <c r="O1091" i="1"/>
  <c r="O1099" i="1"/>
  <c r="P1107" i="1"/>
  <c r="R1115" i="1"/>
  <c r="J1123" i="1"/>
  <c r="R1131" i="1"/>
  <c r="M1139" i="1"/>
  <c r="L1147" i="1"/>
  <c r="K1155" i="1"/>
  <c r="P1163" i="1"/>
  <c r="L1171" i="1"/>
  <c r="N1179" i="1"/>
  <c r="O1187" i="1"/>
  <c r="P1195" i="1"/>
  <c r="P1203" i="1"/>
  <c r="A1203" i="1"/>
  <c r="B1211" i="1"/>
  <c r="Q1219" i="1"/>
  <c r="J1207" i="1"/>
  <c r="O1207" i="1"/>
  <c r="J1191" i="1"/>
  <c r="R1191" i="1"/>
  <c r="N1175" i="1"/>
  <c r="O1175" i="1"/>
  <c r="B1167" i="1"/>
  <c r="P1167" i="1"/>
  <c r="K1159" i="1"/>
  <c r="A1159" i="1"/>
  <c r="N1135" i="1"/>
  <c r="P1135" i="1"/>
  <c r="A1127" i="1"/>
  <c r="P1127" i="1"/>
  <c r="R1111" i="1"/>
  <c r="N1111" i="1"/>
  <c r="P527" i="1"/>
  <c r="Q519" i="1"/>
  <c r="J557" i="1"/>
  <c r="R1209" i="1"/>
  <c r="B1209" i="1"/>
  <c r="R1105" i="1"/>
  <c r="A1105" i="1"/>
  <c r="K1121" i="1"/>
  <c r="P1145" i="1"/>
  <c r="R1185" i="1"/>
  <c r="B1185" i="1"/>
  <c r="L1217" i="1"/>
  <c r="M1091" i="1"/>
  <c r="M1099" i="1"/>
  <c r="N1107" i="1"/>
  <c r="Q1115" i="1"/>
  <c r="Q1123" i="1"/>
  <c r="J1131" i="1"/>
  <c r="R1139" i="1"/>
  <c r="R1147" i="1"/>
  <c r="M1155" i="1"/>
  <c r="N1163" i="1"/>
  <c r="P1171" i="1"/>
  <c r="M1179" i="1"/>
  <c r="N1187" i="1"/>
  <c r="O1195" i="1"/>
  <c r="O1203" i="1"/>
  <c r="P1211" i="1"/>
  <c r="A1211" i="1"/>
  <c r="K1165" i="1"/>
  <c r="R1207" i="1"/>
  <c r="Q1127" i="1"/>
  <c r="Q1198" i="1"/>
  <c r="L1198" i="1"/>
  <c r="B760" i="1"/>
  <c r="N760" i="1"/>
  <c r="R760" i="1"/>
  <c r="N754" i="1"/>
  <c r="P754" i="1"/>
  <c r="L754" i="1"/>
  <c r="Q748" i="1"/>
  <c r="L748" i="1"/>
  <c r="P748" i="1"/>
  <c r="K742" i="1"/>
  <c r="A742" i="1"/>
  <c r="N742" i="1"/>
  <c r="P742" i="1"/>
  <c r="J742" i="1"/>
  <c r="N728" i="1"/>
  <c r="L728" i="1"/>
  <c r="O728" i="1"/>
  <c r="K728" i="1"/>
  <c r="K722" i="1"/>
  <c r="M722" i="1"/>
  <c r="A722" i="1"/>
  <c r="L722" i="1"/>
  <c r="P722" i="1"/>
  <c r="J722" i="1"/>
  <c r="N716" i="1"/>
  <c r="P716" i="1"/>
  <c r="Q716" i="1"/>
  <c r="J716" i="1"/>
  <c r="A710" i="1"/>
  <c r="L710" i="1"/>
  <c r="N710" i="1"/>
  <c r="K710" i="1"/>
  <c r="J710" i="1"/>
  <c r="Q696" i="1"/>
  <c r="B696" i="1"/>
  <c r="L696" i="1"/>
  <c r="N696" i="1"/>
  <c r="O696" i="1"/>
  <c r="R696" i="1"/>
  <c r="R690" i="1"/>
  <c r="P690" i="1"/>
  <c r="M690" i="1"/>
  <c r="K690" i="1"/>
  <c r="A684" i="1"/>
  <c r="B684" i="1"/>
  <c r="Q684" i="1"/>
  <c r="L684" i="1"/>
  <c r="O684" i="1"/>
  <c r="P678" i="1"/>
  <c r="B678" i="1"/>
  <c r="Q678" i="1"/>
  <c r="R678" i="1"/>
  <c r="L678" i="1"/>
  <c r="L664" i="1"/>
  <c r="A664" i="1"/>
  <c r="B664" i="1"/>
  <c r="P664" i="1"/>
  <c r="J664" i="1"/>
  <c r="R664" i="1"/>
  <c r="K664" i="1"/>
  <c r="P658" i="1"/>
  <c r="J658" i="1"/>
  <c r="R658" i="1"/>
  <c r="K658" i="1"/>
  <c r="O658" i="1"/>
  <c r="P652" i="1"/>
  <c r="K652" i="1"/>
  <c r="L652" i="1"/>
  <c r="A652" i="1"/>
  <c r="J652" i="1"/>
  <c r="K646" i="1"/>
  <c r="A646" i="1"/>
  <c r="N646" i="1"/>
  <c r="J646" i="1"/>
  <c r="M646" i="1"/>
  <c r="O646" i="1"/>
  <c r="L632" i="1"/>
  <c r="O632" i="1"/>
  <c r="B632" i="1"/>
  <c r="N632" i="1"/>
  <c r="Q632" i="1"/>
  <c r="L1117" i="1"/>
  <c r="J1117" i="1"/>
  <c r="A721" i="1"/>
  <c r="L721" i="1"/>
  <c r="B695" i="1"/>
  <c r="R695" i="1"/>
  <c r="O683" i="1"/>
  <c r="M683" i="1"/>
  <c r="N631" i="1"/>
  <c r="A631" i="1"/>
  <c r="K645" i="1"/>
  <c r="M651" i="1"/>
  <c r="B651" i="1"/>
  <c r="J657" i="1"/>
  <c r="N663" i="1"/>
  <c r="J683" i="1"/>
  <c r="K689" i="1"/>
  <c r="J695" i="1"/>
  <c r="M715" i="1"/>
  <c r="O721" i="1"/>
  <c r="R747" i="1"/>
  <c r="L631" i="1"/>
  <c r="R645" i="1"/>
  <c r="L651" i="1"/>
  <c r="A651" i="1"/>
  <c r="Q657" i="1"/>
  <c r="K663" i="1"/>
  <c r="Q683" i="1"/>
  <c r="J689" i="1"/>
  <c r="Q695" i="1"/>
  <c r="K715" i="1"/>
  <c r="A715" i="1"/>
  <c r="N721" i="1"/>
  <c r="Q747" i="1"/>
  <c r="L1231" i="1"/>
  <c r="K1231" i="1"/>
  <c r="P503" i="1"/>
  <c r="M503" i="1"/>
  <c r="M495" i="1"/>
  <c r="A495" i="1"/>
  <c r="K709" i="1"/>
  <c r="P727" i="1"/>
  <c r="R741" i="1"/>
  <c r="A741" i="1"/>
  <c r="N753" i="1"/>
  <c r="Q759" i="1"/>
  <c r="K631" i="1"/>
  <c r="J645" i="1"/>
  <c r="N651" i="1"/>
  <c r="M657" i="1"/>
  <c r="O657" i="1"/>
  <c r="R663" i="1"/>
  <c r="A683" i="1"/>
  <c r="Q689" i="1"/>
  <c r="P695" i="1"/>
  <c r="L715" i="1"/>
  <c r="B715" i="1"/>
  <c r="M721" i="1"/>
  <c r="P747" i="1"/>
  <c r="O1231" i="1"/>
  <c r="J495" i="1"/>
  <c r="J741" i="1"/>
  <c r="K753" i="1"/>
  <c r="M753" i="1"/>
  <c r="P759" i="1"/>
  <c r="R631" i="1"/>
  <c r="Q645" i="1"/>
  <c r="K651" i="1"/>
  <c r="P657" i="1"/>
  <c r="B657" i="1"/>
  <c r="J663" i="1"/>
  <c r="N683" i="1"/>
  <c r="B683" i="1"/>
  <c r="O689" i="1"/>
  <c r="O695" i="1"/>
  <c r="R715" i="1"/>
  <c r="K721" i="1"/>
  <c r="B721" i="1"/>
  <c r="O747" i="1"/>
  <c r="M1231" i="1"/>
  <c r="L753" i="1"/>
  <c r="J631" i="1"/>
  <c r="P645" i="1"/>
  <c r="O645" i="1"/>
  <c r="R651" i="1"/>
  <c r="L657" i="1"/>
  <c r="A657" i="1"/>
  <c r="Q663" i="1"/>
  <c r="L683" i="1"/>
  <c r="P689" i="1"/>
  <c r="A689" i="1"/>
  <c r="N695" i="1"/>
  <c r="J715" i="1"/>
  <c r="R721" i="1"/>
  <c r="N747" i="1"/>
  <c r="R762" i="1"/>
  <c r="O762" i="1"/>
  <c r="M750" i="1"/>
  <c r="B750" i="1"/>
  <c r="N1231" i="1"/>
  <c r="M645" i="1"/>
  <c r="P663" i="1"/>
  <c r="K683" i="1"/>
  <c r="N689" i="1"/>
  <c r="B689" i="1"/>
  <c r="M695" i="1"/>
  <c r="P715" i="1"/>
  <c r="J721" i="1"/>
  <c r="M747" i="1"/>
  <c r="R1231" i="1"/>
  <c r="P1406" i="1"/>
  <c r="Q1406" i="1"/>
  <c r="R1406" i="1"/>
  <c r="L1471" i="1"/>
  <c r="B1471" i="1"/>
  <c r="M1471" i="1"/>
  <c r="A1463" i="1"/>
  <c r="Q1463" i="1"/>
  <c r="K1463" i="1"/>
  <c r="O508" i="1"/>
  <c r="M509" i="1"/>
  <c r="A1050" i="1"/>
  <c r="B1021" i="1"/>
  <c r="B989" i="1"/>
  <c r="J509" i="1"/>
  <c r="A1083" i="1"/>
  <c r="A1059" i="1"/>
  <c r="B1053" i="1"/>
  <c r="A1007" i="1"/>
  <c r="A975" i="1"/>
  <c r="B1085" i="1"/>
  <c r="A1067" i="1"/>
  <c r="B1061" i="1"/>
  <c r="B1057" i="1"/>
  <c r="A1043" i="1"/>
  <c r="B1037" i="1"/>
  <c r="B1005" i="1"/>
  <c r="K493" i="1"/>
  <c r="L1462" i="1"/>
  <c r="B1472" i="1"/>
  <c r="B1399" i="1"/>
  <c r="B1407" i="1"/>
  <c r="Q492" i="1"/>
  <c r="J500" i="1"/>
  <c r="R508" i="1"/>
  <c r="J493" i="1"/>
  <c r="A1051" i="1"/>
  <c r="B1029" i="1"/>
  <c r="B997" i="1"/>
  <c r="O1257" i="1"/>
  <c r="O1260" i="1"/>
  <c r="O1261" i="1"/>
  <c r="O1258" i="1"/>
  <c r="O1262" i="1"/>
  <c r="O439" i="1"/>
  <c r="O438" i="1"/>
  <c r="F56" i="8"/>
  <c r="F51" i="8"/>
  <c r="F59" i="8"/>
  <c r="F54" i="8"/>
  <c r="F86" i="8"/>
  <c r="F135" i="8"/>
  <c r="F22" i="8"/>
  <c r="F175" i="8"/>
  <c r="F84" i="8"/>
  <c r="F140" i="8"/>
  <c r="F143" i="8"/>
  <c r="F81" i="8"/>
  <c r="F25" i="8"/>
  <c r="F57" i="8"/>
  <c r="F83" i="8"/>
  <c r="F55" i="8"/>
  <c r="F85" i="8"/>
  <c r="F63" i="8"/>
  <c r="F53" i="8"/>
  <c r="L607" i="1"/>
  <c r="Q627" i="1"/>
  <c r="R1240" i="1"/>
  <c r="J1483" i="1"/>
  <c r="M1457" i="1"/>
  <c r="Q1432" i="1"/>
  <c r="P1427" i="1"/>
  <c r="A1427" i="1"/>
  <c r="K1393" i="1"/>
  <c r="M1276" i="1"/>
  <c r="R1272" i="1"/>
  <c r="N576" i="1"/>
  <c r="J608" i="1"/>
  <c r="J573" i="1"/>
  <c r="A1239" i="1"/>
  <c r="B43" i="1"/>
  <c r="R570" i="1"/>
  <c r="L1491" i="1"/>
  <c r="O153" i="1"/>
  <c r="K49" i="1"/>
  <c r="P325" i="1"/>
  <c r="R1269" i="1"/>
  <c r="O234" i="1"/>
  <c r="R234" i="1"/>
  <c r="J317" i="1"/>
  <c r="O317" i="1"/>
  <c r="A240" i="1"/>
  <c r="Q240" i="1"/>
  <c r="B163" i="1"/>
  <c r="O163" i="1"/>
  <c r="B69" i="1"/>
  <c r="K69" i="1"/>
  <c r="P159" i="1"/>
  <c r="M159" i="1"/>
  <c r="O232" i="1"/>
  <c r="M27" i="1"/>
  <c r="J27" i="1"/>
  <c r="B51" i="1"/>
  <c r="L51" i="1"/>
  <c r="K59" i="1"/>
  <c r="J59" i="1"/>
  <c r="O202" i="1"/>
  <c r="B202" i="1"/>
  <c r="L202" i="1"/>
  <c r="N573" i="1"/>
  <c r="O573" i="1"/>
  <c r="N622" i="1"/>
  <c r="P622" i="1"/>
  <c r="O590" i="1"/>
  <c r="B590" i="1"/>
  <c r="L590" i="1"/>
  <c r="R1334" i="1"/>
  <c r="K1334" i="1"/>
  <c r="M272" i="1"/>
  <c r="A272" i="1"/>
  <c r="Q272" i="1"/>
  <c r="A1507" i="1"/>
  <c r="J1507" i="1"/>
  <c r="L36" i="1"/>
  <c r="Q36" i="1"/>
  <c r="J60" i="1"/>
  <c r="P60" i="1"/>
  <c r="N1282" i="1"/>
  <c r="B1282" i="1"/>
  <c r="L574" i="1"/>
  <c r="A574" i="1"/>
  <c r="Q621" i="1"/>
  <c r="K621" i="1"/>
  <c r="O601" i="1"/>
  <c r="L601" i="1"/>
  <c r="B1232" i="1"/>
  <c r="M1232" i="1"/>
  <c r="A273" i="1"/>
  <c r="K273" i="1"/>
  <c r="K1275" i="1"/>
  <c r="R1275" i="1"/>
  <c r="M1267" i="1"/>
  <c r="L1267" i="1"/>
  <c r="R1267" i="1"/>
  <c r="M1419" i="1"/>
  <c r="B1419" i="1"/>
  <c r="P1419" i="1"/>
  <c r="O1480" i="1"/>
  <c r="A1480" i="1"/>
  <c r="J1480" i="1"/>
  <c r="P219" i="1"/>
  <c r="L219" i="1"/>
  <c r="N219" i="1"/>
  <c r="R387" i="1"/>
  <c r="Q387" i="1"/>
  <c r="A387" i="1"/>
  <c r="L326" i="1"/>
  <c r="K326" i="1"/>
  <c r="J326" i="1"/>
  <c r="P1454" i="1"/>
  <c r="R1360" i="1"/>
  <c r="Q1275" i="1"/>
  <c r="O206" i="1"/>
  <c r="L211" i="1"/>
  <c r="N1417" i="1"/>
  <c r="K1492" i="1"/>
  <c r="K1507" i="1"/>
  <c r="B1507" i="1"/>
  <c r="J1517" i="1"/>
  <c r="Q1532" i="1"/>
  <c r="K264" i="1"/>
  <c r="B1335" i="1"/>
  <c r="O575" i="1"/>
  <c r="Q595" i="1"/>
  <c r="K197" i="1"/>
  <c r="P52" i="1"/>
  <c r="P20" i="1"/>
  <c r="R158" i="1"/>
  <c r="B158" i="1"/>
  <c r="Q1457" i="1"/>
  <c r="B1457" i="1"/>
  <c r="R1432" i="1"/>
  <c r="P1393" i="1"/>
  <c r="Q1276" i="1"/>
  <c r="B272" i="1"/>
  <c r="B1334" i="1"/>
  <c r="P576" i="1"/>
  <c r="P590" i="1"/>
  <c r="N608" i="1"/>
  <c r="O622" i="1"/>
  <c r="K573" i="1"/>
  <c r="Q1239" i="1"/>
  <c r="Q202" i="1"/>
  <c r="O59" i="1"/>
  <c r="L43" i="1"/>
  <c r="N27" i="1"/>
  <c r="O570" i="1"/>
  <c r="L324" i="1"/>
  <c r="J1426" i="1"/>
  <c r="R153" i="1"/>
  <c r="O1390" i="1"/>
  <c r="N15" i="1"/>
  <c r="O326" i="1"/>
  <c r="L1435" i="1"/>
  <c r="R624" i="1"/>
  <c r="O219" i="1"/>
  <c r="P202" i="1"/>
  <c r="P59" i="1"/>
  <c r="P43" i="1"/>
  <c r="P27" i="1"/>
  <c r="M570" i="1"/>
  <c r="N1390" i="1"/>
  <c r="B326" i="1"/>
  <c r="K1435" i="1"/>
  <c r="N1269" i="1"/>
  <c r="L1343" i="1"/>
  <c r="P1343" i="1"/>
  <c r="R1351" i="1"/>
  <c r="J1351" i="1"/>
  <c r="N229" i="1"/>
  <c r="Q229" i="1"/>
  <c r="N320" i="1"/>
  <c r="M320" i="1"/>
  <c r="A1273" i="1"/>
  <c r="R1273" i="1"/>
  <c r="K1431" i="1"/>
  <c r="L1431" i="1"/>
  <c r="M1482" i="1"/>
  <c r="A1482" i="1"/>
  <c r="B217" i="1"/>
  <c r="L217" i="1"/>
  <c r="Q243" i="1"/>
  <c r="J243" i="1"/>
  <c r="A74" i="1"/>
  <c r="O74" i="1"/>
  <c r="B31" i="1"/>
  <c r="K31" i="1"/>
  <c r="L31" i="1"/>
  <c r="L47" i="1"/>
  <c r="A47" i="1"/>
  <c r="Q47" i="1"/>
  <c r="P194" i="1"/>
  <c r="L194" i="1"/>
  <c r="L618" i="1"/>
  <c r="K618" i="1"/>
  <c r="A612" i="1"/>
  <c r="O612" i="1"/>
  <c r="O1267" i="1"/>
  <c r="A1435" i="1"/>
  <c r="M1269" i="1"/>
  <c r="O1272" i="1"/>
  <c r="Q1272" i="1"/>
  <c r="A1276" i="1"/>
  <c r="R1276" i="1"/>
  <c r="J1427" i="1"/>
  <c r="Q1427" i="1"/>
  <c r="A1483" i="1"/>
  <c r="N1483" i="1"/>
  <c r="B153" i="1"/>
  <c r="M153" i="1"/>
  <c r="B1506" i="1"/>
  <c r="K1506" i="1"/>
  <c r="Q1491" i="1"/>
  <c r="A1491" i="1"/>
  <c r="M1491" i="1"/>
  <c r="R622" i="1"/>
  <c r="A622" i="1"/>
  <c r="B573" i="1"/>
  <c r="K1239" i="1"/>
  <c r="M202" i="1"/>
  <c r="Q59" i="1"/>
  <c r="J43" i="1"/>
  <c r="K27" i="1"/>
  <c r="J570" i="1"/>
  <c r="N1491" i="1"/>
  <c r="P1480" i="1"/>
  <c r="N1267" i="1"/>
  <c r="O387" i="1"/>
  <c r="K1419" i="1"/>
  <c r="K325" i="1"/>
  <c r="L1269" i="1"/>
  <c r="N324" i="1"/>
  <c r="M324" i="1"/>
  <c r="L33" i="1"/>
  <c r="M33" i="1"/>
  <c r="Q49" i="1"/>
  <c r="L49" i="1"/>
  <c r="A57" i="1"/>
  <c r="O57" i="1"/>
  <c r="K57" i="1"/>
  <c r="B191" i="1"/>
  <c r="N191" i="1"/>
  <c r="P1354" i="1"/>
  <c r="A1354" i="1"/>
  <c r="K1354" i="1"/>
  <c r="J578" i="1"/>
  <c r="Q616" i="1"/>
  <c r="O252" i="1"/>
  <c r="A252" i="1"/>
  <c r="R610" i="1"/>
  <c r="Q1316" i="1"/>
  <c r="P172" i="1"/>
  <c r="L166" i="1"/>
  <c r="P166" i="1"/>
  <c r="J1324" i="1"/>
  <c r="P164" i="1"/>
  <c r="A349" i="1"/>
  <c r="B349" i="1"/>
  <c r="B341" i="1"/>
  <c r="P1315" i="1"/>
  <c r="K1315" i="1"/>
  <c r="L1315" i="1"/>
  <c r="M1315" i="1"/>
  <c r="N1315" i="1"/>
  <c r="N1318" i="1"/>
  <c r="B1318" i="1"/>
  <c r="Q1318" i="1"/>
  <c r="J1318" i="1"/>
  <c r="L1318" i="1"/>
  <c r="Q1324" i="1"/>
  <c r="A1324" i="1"/>
  <c r="B1324" i="1"/>
  <c r="M1324" i="1"/>
  <c r="N1324" i="1"/>
  <c r="O1324" i="1"/>
  <c r="L1316" i="1"/>
  <c r="M1316" i="1"/>
  <c r="N1316" i="1"/>
  <c r="O1316" i="1"/>
  <c r="P1316" i="1"/>
  <c r="Q164" i="1"/>
  <c r="M164" i="1"/>
  <c r="J164" i="1"/>
  <c r="R164" i="1"/>
  <c r="K164" i="1"/>
  <c r="O164" i="1"/>
  <c r="J172" i="1"/>
  <c r="L172" i="1"/>
  <c r="M172" i="1"/>
  <c r="N172" i="1"/>
  <c r="O172" i="1"/>
  <c r="J1319" i="1"/>
  <c r="A1320" i="1"/>
  <c r="P1321" i="1"/>
  <c r="J1322" i="1"/>
  <c r="J173" i="1"/>
  <c r="Q171" i="1"/>
  <c r="J169" i="1"/>
  <c r="J165" i="1"/>
  <c r="L170" i="1"/>
  <c r="O168" i="1"/>
  <c r="A338" i="1"/>
  <c r="A352" i="1"/>
  <c r="A340" i="1"/>
  <c r="M517" i="1"/>
  <c r="M525" i="1"/>
  <c r="A525" i="1"/>
  <c r="N528" i="1"/>
  <c r="N521" i="1"/>
  <c r="B529" i="1"/>
  <c r="L533" i="1"/>
  <c r="M541" i="1"/>
  <c r="A541" i="1"/>
  <c r="O557" i="1"/>
  <c r="A557" i="1"/>
  <c r="P537" i="1"/>
  <c r="L553" i="1"/>
  <c r="O538" i="1"/>
  <c r="Q1210" i="1"/>
  <c r="R1325" i="1"/>
  <c r="O1321" i="1"/>
  <c r="O173" i="1"/>
  <c r="Q169" i="1"/>
  <c r="B165" i="1"/>
  <c r="A342" i="1"/>
  <c r="M528" i="1"/>
  <c r="M521" i="1"/>
  <c r="R522" i="1"/>
  <c r="M526" i="1"/>
  <c r="L526" i="1"/>
  <c r="B518" i="1"/>
  <c r="K518" i="1"/>
  <c r="P546" i="1"/>
  <c r="O537" i="1"/>
  <c r="N173" i="1"/>
  <c r="A165" i="1"/>
  <c r="B342" i="1"/>
  <c r="L515" i="1"/>
  <c r="P525" i="1"/>
  <c r="K525" i="1"/>
  <c r="B517" i="1"/>
  <c r="J517" i="1"/>
  <c r="O546" i="1"/>
  <c r="Q561" i="1"/>
  <c r="N554" i="1"/>
  <c r="Q557" i="1"/>
  <c r="N557" i="1"/>
  <c r="B549" i="1"/>
  <c r="A549" i="1"/>
  <c r="M549" i="1"/>
  <c r="J541" i="1"/>
  <c r="K541" i="1"/>
  <c r="O533" i="1"/>
  <c r="J533" i="1"/>
  <c r="L1321" i="1"/>
  <c r="B1321" i="1"/>
  <c r="N1322" i="1"/>
  <c r="M173" i="1"/>
  <c r="K171" i="1"/>
  <c r="B169" i="1"/>
  <c r="L168" i="1"/>
  <c r="A350" i="1"/>
  <c r="Q517" i="1"/>
  <c r="J525" i="1"/>
  <c r="J526" i="1"/>
  <c r="J520" i="1"/>
  <c r="M518" i="1"/>
  <c r="Q529" i="1"/>
  <c r="P524" i="1"/>
  <c r="K524" i="1"/>
  <c r="P516" i="1"/>
  <c r="R516" i="1"/>
  <c r="Q533" i="1"/>
  <c r="Q541" i="1"/>
  <c r="J549" i="1"/>
  <c r="K557" i="1"/>
  <c r="R546" i="1"/>
  <c r="P530" i="1"/>
  <c r="Q545" i="1"/>
  <c r="K561" i="1"/>
  <c r="A556" i="1"/>
  <c r="J556" i="1"/>
  <c r="J548" i="1"/>
  <c r="O548" i="1"/>
  <c r="O540" i="1"/>
  <c r="A540" i="1"/>
  <c r="M540" i="1"/>
  <c r="K532" i="1"/>
  <c r="L532" i="1"/>
  <c r="K1321" i="1"/>
  <c r="B350" i="1"/>
  <c r="P517" i="1"/>
  <c r="Q525" i="1"/>
  <c r="R520" i="1"/>
  <c r="P529" i="1"/>
  <c r="P533" i="1"/>
  <c r="P541" i="1"/>
  <c r="Q549" i="1"/>
  <c r="R557" i="1"/>
  <c r="P520" i="1"/>
  <c r="O515" i="1"/>
  <c r="N515" i="1"/>
  <c r="B562" i="1"/>
  <c r="O562" i="1"/>
  <c r="Q554" i="1"/>
  <c r="O554" i="1"/>
  <c r="M546" i="1"/>
  <c r="B546" i="1"/>
  <c r="M538" i="1"/>
  <c r="J538" i="1"/>
  <c r="B538" i="1"/>
  <c r="L530" i="1"/>
  <c r="Q530" i="1"/>
  <c r="A530" i="1"/>
  <c r="A1218" i="1"/>
  <c r="O1218" i="1"/>
  <c r="R1218" i="1"/>
  <c r="M1218" i="1"/>
  <c r="N1218" i="1"/>
  <c r="B1210" i="1"/>
  <c r="P1210" i="1"/>
  <c r="K1210" i="1"/>
  <c r="M1210" i="1"/>
  <c r="N1210" i="1"/>
  <c r="J1210" i="1"/>
  <c r="R1210" i="1"/>
  <c r="M1202" i="1"/>
  <c r="L1202" i="1"/>
  <c r="O1202" i="1"/>
  <c r="A1202" i="1"/>
  <c r="P1202" i="1"/>
  <c r="R1202" i="1"/>
  <c r="K1202" i="1"/>
  <c r="M1194" i="1"/>
  <c r="J1194" i="1"/>
  <c r="K1194" i="1"/>
  <c r="L1194" i="1"/>
  <c r="A1194" i="1"/>
  <c r="P1194" i="1"/>
  <c r="B1194" i="1"/>
  <c r="Q1194" i="1"/>
  <c r="K520" i="1"/>
  <c r="K521" i="1"/>
  <c r="A521" i="1"/>
  <c r="N562" i="1"/>
  <c r="M561" i="1"/>
  <c r="O561" i="1"/>
  <c r="B561" i="1"/>
  <c r="J561" i="1"/>
  <c r="J553" i="1"/>
  <c r="M553" i="1"/>
  <c r="N553" i="1"/>
  <c r="N545" i="1"/>
  <c r="B545" i="1"/>
  <c r="K537" i="1"/>
  <c r="M537" i="1"/>
  <c r="A537" i="1"/>
  <c r="B537" i="1"/>
  <c r="K550" i="1"/>
  <c r="R1090" i="1"/>
  <c r="N1090" i="1"/>
  <c r="R1098" i="1"/>
  <c r="L1106" i="1"/>
  <c r="A1106" i="1"/>
  <c r="J1122" i="1"/>
  <c r="N1130" i="1"/>
  <c r="O1138" i="1"/>
  <c r="Q1146" i="1"/>
  <c r="B1146" i="1"/>
  <c r="J1154" i="1"/>
  <c r="R1162" i="1"/>
  <c r="M1178" i="1"/>
  <c r="O1186" i="1"/>
  <c r="N1086" i="1"/>
  <c r="K1102" i="1"/>
  <c r="R1142" i="1"/>
  <c r="K1158" i="1"/>
  <c r="R1190" i="1"/>
  <c r="K1222" i="1"/>
  <c r="Q1114" i="1"/>
  <c r="B1114" i="1"/>
  <c r="P1170" i="1"/>
  <c r="J1110" i="1"/>
  <c r="J1198" i="1"/>
  <c r="L1157" i="1"/>
  <c r="M1181" i="1"/>
  <c r="N1205" i="1"/>
  <c r="N1150" i="1"/>
  <c r="M1090" i="1"/>
  <c r="B1090" i="1"/>
  <c r="O1098" i="1"/>
  <c r="J1106" i="1"/>
  <c r="L1122" i="1"/>
  <c r="P1122" i="1"/>
  <c r="K1130" i="1"/>
  <c r="M1138" i="1"/>
  <c r="O1146" i="1"/>
  <c r="A1146" i="1"/>
  <c r="B1154" i="1"/>
  <c r="J1162" i="1"/>
  <c r="L1178" i="1"/>
  <c r="N1186" i="1"/>
  <c r="O1114" i="1"/>
  <c r="L1170" i="1"/>
  <c r="B1170" i="1"/>
  <c r="N1093" i="1"/>
  <c r="Q1117" i="1"/>
  <c r="Q1141" i="1"/>
  <c r="O1205" i="1"/>
  <c r="P1222" i="1"/>
  <c r="Q1222" i="1"/>
  <c r="Q1214" i="1"/>
  <c r="O1214" i="1"/>
  <c r="J1206" i="1"/>
  <c r="N1206" i="1"/>
  <c r="P1206" i="1"/>
  <c r="M1206" i="1"/>
  <c r="P1198" i="1"/>
  <c r="B1198" i="1"/>
  <c r="M1198" i="1"/>
  <c r="B1190" i="1"/>
  <c r="O1190" i="1"/>
  <c r="O1182" i="1"/>
  <c r="L1182" i="1"/>
  <c r="M1182" i="1"/>
  <c r="P1174" i="1"/>
  <c r="A1174" i="1"/>
  <c r="N1174" i="1"/>
  <c r="R1174" i="1"/>
  <c r="A1166" i="1"/>
  <c r="Q1166" i="1"/>
  <c r="K1166" i="1"/>
  <c r="R1158" i="1"/>
  <c r="B1158" i="1"/>
  <c r="Q1158" i="1"/>
  <c r="J1150" i="1"/>
  <c r="M1150" i="1"/>
  <c r="N1142" i="1"/>
  <c r="M1142" i="1"/>
  <c r="L1134" i="1"/>
  <c r="B1134" i="1"/>
  <c r="R1134" i="1"/>
  <c r="K1134" i="1"/>
  <c r="B1126" i="1"/>
  <c r="O1126" i="1"/>
  <c r="J1126" i="1"/>
  <c r="K1126" i="1"/>
  <c r="L1118" i="1"/>
  <c r="A1118" i="1"/>
  <c r="B1118" i="1"/>
  <c r="K1118" i="1"/>
  <c r="B1110" i="1"/>
  <c r="M1110" i="1"/>
  <c r="A1102" i="1"/>
  <c r="N1102" i="1"/>
  <c r="P1094" i="1"/>
  <c r="M1094" i="1"/>
  <c r="P1086" i="1"/>
  <c r="L1086" i="1"/>
  <c r="O1221" i="1"/>
  <c r="M1221" i="1"/>
  <c r="B1221" i="1"/>
  <c r="K1213" i="1"/>
  <c r="O1213" i="1"/>
  <c r="P1213" i="1"/>
  <c r="R1213" i="1"/>
  <c r="Q1205" i="1"/>
  <c r="P1205" i="1"/>
  <c r="K1205" i="1"/>
  <c r="L1205" i="1"/>
  <c r="B1197" i="1"/>
  <c r="L1197" i="1"/>
  <c r="A1197" i="1"/>
  <c r="R1189" i="1"/>
  <c r="B1189" i="1"/>
  <c r="O1189" i="1"/>
  <c r="J1189" i="1"/>
  <c r="P1181" i="1"/>
  <c r="O1181" i="1"/>
  <c r="R1181" i="1"/>
  <c r="K1181" i="1"/>
  <c r="N1181" i="1"/>
  <c r="B1173" i="1"/>
  <c r="K1173" i="1"/>
  <c r="Q1165" i="1"/>
  <c r="B1165" i="1"/>
  <c r="A1165" i="1"/>
  <c r="O1165" i="1"/>
  <c r="M1157" i="1"/>
  <c r="A1157" i="1"/>
  <c r="K1157" i="1"/>
  <c r="R1157" i="1"/>
  <c r="N1157" i="1"/>
  <c r="L1149" i="1"/>
  <c r="J1149" i="1"/>
  <c r="R1149" i="1"/>
  <c r="P1141" i="1"/>
  <c r="B1141" i="1"/>
  <c r="O1141" i="1"/>
  <c r="A1133" i="1"/>
  <c r="B1133" i="1"/>
  <c r="P1133" i="1"/>
  <c r="K1133" i="1"/>
  <c r="N1133" i="1"/>
  <c r="R1125" i="1"/>
  <c r="K1125" i="1"/>
  <c r="N1125" i="1"/>
  <c r="Q1125" i="1"/>
  <c r="O1117" i="1"/>
  <c r="R1117" i="1"/>
  <c r="M1117" i="1"/>
  <c r="B1109" i="1"/>
  <c r="O1109" i="1"/>
  <c r="P1109" i="1"/>
  <c r="J1109" i="1"/>
  <c r="N1101" i="1"/>
  <c r="L1101" i="1"/>
  <c r="R1101" i="1"/>
  <c r="J1101" i="1"/>
  <c r="K1093" i="1"/>
  <c r="P1093" i="1"/>
  <c r="A1093" i="1"/>
  <c r="Q1090" i="1"/>
  <c r="M1098" i="1"/>
  <c r="B1098" i="1"/>
  <c r="P1106" i="1"/>
  <c r="M1122" i="1"/>
  <c r="Q1130" i="1"/>
  <c r="P1130" i="1"/>
  <c r="J1138" i="1"/>
  <c r="K1146" i="1"/>
  <c r="M1154" i="1"/>
  <c r="O1162" i="1"/>
  <c r="A1162" i="1"/>
  <c r="J1178" i="1"/>
  <c r="K1186" i="1"/>
  <c r="Q1086" i="1"/>
  <c r="A1086" i="1"/>
  <c r="B1102" i="1"/>
  <c r="B1142" i="1"/>
  <c r="L1158" i="1"/>
  <c r="N1190" i="1"/>
  <c r="N1222" i="1"/>
  <c r="K1114" i="1"/>
  <c r="Q1170" i="1"/>
  <c r="A1110" i="1"/>
  <c r="A1198" i="1"/>
  <c r="M1174" i="1"/>
  <c r="B1093" i="1"/>
  <c r="A1117" i="1"/>
  <c r="M1141" i="1"/>
  <c r="P1165" i="1"/>
  <c r="Q1189" i="1"/>
  <c r="J1213" i="1"/>
  <c r="R1094" i="1"/>
  <c r="N1182" i="1"/>
  <c r="L1214" i="1"/>
  <c r="R1220" i="1"/>
  <c r="J1220" i="1"/>
  <c r="K1220" i="1"/>
  <c r="M1220" i="1"/>
  <c r="J1212" i="1"/>
  <c r="B1212" i="1"/>
  <c r="O1212" i="1"/>
  <c r="P1212" i="1"/>
  <c r="R1212" i="1"/>
  <c r="B1196" i="1"/>
  <c r="M1196" i="1"/>
  <c r="A1196" i="1"/>
  <c r="O1196" i="1"/>
  <c r="Q1196" i="1"/>
  <c r="P1180" i="1"/>
  <c r="Q1180" i="1"/>
  <c r="J1180" i="1"/>
  <c r="K1180" i="1"/>
  <c r="J1172" i="1"/>
  <c r="K1172" i="1"/>
  <c r="L1172" i="1"/>
  <c r="B1172" i="1"/>
  <c r="O1172" i="1"/>
  <c r="P1156" i="1"/>
  <c r="L1156" i="1"/>
  <c r="K1156" i="1"/>
  <c r="O1156" i="1"/>
  <c r="M1140" i="1"/>
  <c r="B1140" i="1"/>
  <c r="J1140" i="1"/>
  <c r="N1140" i="1"/>
  <c r="Q1140" i="1"/>
  <c r="A1132" i="1"/>
  <c r="P1132" i="1"/>
  <c r="Q1132" i="1"/>
  <c r="J1132" i="1"/>
  <c r="L1116" i="1"/>
  <c r="B1116" i="1"/>
  <c r="R1116" i="1"/>
  <c r="N1116" i="1"/>
  <c r="Q1116" i="1"/>
  <c r="R1100" i="1"/>
  <c r="M1100" i="1"/>
  <c r="A1100" i="1"/>
  <c r="O1100" i="1"/>
  <c r="L1100" i="1"/>
  <c r="O1090" i="1"/>
  <c r="K1098" i="1"/>
  <c r="A1098" i="1"/>
  <c r="M1106" i="1"/>
  <c r="N1122" i="1"/>
  <c r="O1130" i="1"/>
  <c r="A1130" i="1"/>
  <c r="P1138" i="1"/>
  <c r="R1146" i="1"/>
  <c r="M1162" i="1"/>
  <c r="Q1178" i="1"/>
  <c r="J1186" i="1"/>
  <c r="O1170" i="1"/>
  <c r="K1174" i="1"/>
  <c r="M1101" i="1"/>
  <c r="P1125" i="1"/>
  <c r="K1149" i="1"/>
  <c r="R1173" i="1"/>
  <c r="K1197" i="1"/>
  <c r="L1221" i="1"/>
  <c r="M1118" i="1"/>
  <c r="B1182" i="1"/>
  <c r="P1214" i="1"/>
  <c r="K510" i="1"/>
  <c r="R510" i="1"/>
  <c r="N510" i="1"/>
  <c r="B502" i="1"/>
  <c r="A502" i="1"/>
  <c r="L502" i="1"/>
  <c r="P494" i="1"/>
  <c r="O494" i="1"/>
  <c r="J494" i="1"/>
  <c r="K494" i="1"/>
  <c r="A1178" i="1"/>
  <c r="O1178" i="1"/>
  <c r="P1154" i="1"/>
  <c r="L1154" i="1"/>
  <c r="A1114" i="1"/>
  <c r="M1114" i="1"/>
  <c r="O1106" i="1"/>
  <c r="L1130" i="1"/>
  <c r="Q1138" i="1"/>
  <c r="A1138" i="1"/>
  <c r="P1146" i="1"/>
  <c r="R1154" i="1"/>
  <c r="N1162" i="1"/>
  <c r="N1178" i="1"/>
  <c r="P1186" i="1"/>
  <c r="A1186" i="1"/>
  <c r="K1086" i="1"/>
  <c r="O1102" i="1"/>
  <c r="K1142" i="1"/>
  <c r="M1158" i="1"/>
  <c r="K1190" i="1"/>
  <c r="L1222" i="1"/>
  <c r="P1114" i="1"/>
  <c r="M1170" i="1"/>
  <c r="R1110" i="1"/>
  <c r="R1198" i="1"/>
  <c r="B1101" i="1"/>
  <c r="A1125" i="1"/>
  <c r="M1149" i="1"/>
  <c r="P1173" i="1"/>
  <c r="Q1197" i="1"/>
  <c r="J1221" i="1"/>
  <c r="O1150" i="1"/>
  <c r="B1010" i="1"/>
  <c r="A1010" i="1"/>
  <c r="B978" i="1"/>
  <c r="A978" i="1"/>
  <c r="M491" i="1"/>
  <c r="N495" i="1"/>
  <c r="Q1191" i="1"/>
  <c r="Q1111" i="1"/>
  <c r="R1159" i="1"/>
  <c r="J1087" i="1"/>
  <c r="L1135" i="1"/>
  <c r="K1207" i="1"/>
  <c r="A1207" i="1"/>
  <c r="M1127" i="1"/>
  <c r="P1175" i="1"/>
  <c r="N671" i="1"/>
  <c r="B671" i="1"/>
  <c r="M697" i="1"/>
  <c r="P717" i="1"/>
  <c r="Q735" i="1"/>
  <c r="K735" i="1"/>
  <c r="N749" i="1"/>
  <c r="R633" i="1"/>
  <c r="R659" i="1"/>
  <c r="R685" i="1"/>
  <c r="R1412" i="1"/>
  <c r="L1412" i="1"/>
  <c r="N1412" i="1"/>
  <c r="Q1404" i="1"/>
  <c r="R1404" i="1"/>
  <c r="B1477" i="1"/>
  <c r="O1477" i="1"/>
  <c r="P1477" i="1"/>
  <c r="M1477" i="1"/>
  <c r="K1469" i="1"/>
  <c r="M1469" i="1"/>
  <c r="A1469" i="1"/>
  <c r="A1461" i="1"/>
  <c r="P1461" i="1"/>
  <c r="R1461" i="1"/>
  <c r="B1034" i="1"/>
  <c r="A1034" i="1"/>
  <c r="B1002" i="1"/>
  <c r="A1002" i="1"/>
  <c r="R1411" i="1"/>
  <c r="Q1411" i="1"/>
  <c r="M1411" i="1"/>
  <c r="M1403" i="1"/>
  <c r="Q1403" i="1"/>
  <c r="J1403" i="1"/>
  <c r="B1476" i="1"/>
  <c r="Q1476" i="1"/>
  <c r="M1468" i="1"/>
  <c r="P1468" i="1"/>
  <c r="J507" i="1"/>
  <c r="L507" i="1"/>
  <c r="N507" i="1"/>
  <c r="O507" i="1"/>
  <c r="B507" i="1"/>
  <c r="A507" i="1"/>
  <c r="P499" i="1"/>
  <c r="Q499" i="1"/>
  <c r="J499" i="1"/>
  <c r="P491" i="1"/>
  <c r="J491" i="1"/>
  <c r="R491" i="1"/>
  <c r="A1058" i="1"/>
  <c r="O1191" i="1"/>
  <c r="M1111" i="1"/>
  <c r="Q1159" i="1"/>
  <c r="K1087" i="1"/>
  <c r="Q1135" i="1"/>
  <c r="Q1207" i="1"/>
  <c r="O1127" i="1"/>
  <c r="B1127" i="1"/>
  <c r="M1175" i="1"/>
  <c r="J671" i="1"/>
  <c r="Q697" i="1"/>
  <c r="K697" i="1"/>
  <c r="N717" i="1"/>
  <c r="J735" i="1"/>
  <c r="A735" i="1"/>
  <c r="L749" i="1"/>
  <c r="O659" i="1"/>
  <c r="K685" i="1"/>
  <c r="L1411" i="1"/>
  <c r="B1465" i="1"/>
  <c r="Q511" i="1"/>
  <c r="B1026" i="1"/>
  <c r="A1026" i="1"/>
  <c r="B994" i="1"/>
  <c r="A994" i="1"/>
  <c r="N1191" i="1"/>
  <c r="K1111" i="1"/>
  <c r="N1159" i="1"/>
  <c r="Q1087" i="1"/>
  <c r="M1135" i="1"/>
  <c r="P1207" i="1"/>
  <c r="L1127" i="1"/>
  <c r="L1175" i="1"/>
  <c r="B1175" i="1"/>
  <c r="R697" i="1"/>
  <c r="Q749" i="1"/>
  <c r="R750" i="1"/>
  <c r="K750" i="1"/>
  <c r="L750" i="1"/>
  <c r="N750" i="1"/>
  <c r="Q750" i="1"/>
  <c r="L1476" i="1"/>
  <c r="M1400" i="1"/>
  <c r="Q503" i="1"/>
  <c r="P511" i="1"/>
  <c r="A1066" i="1"/>
  <c r="B761" i="1"/>
  <c r="R761" i="1"/>
  <c r="K761" i="1"/>
  <c r="Q761" i="1"/>
  <c r="L761" i="1"/>
  <c r="N761" i="1"/>
  <c r="O761" i="1"/>
  <c r="L723" i="1"/>
  <c r="M723" i="1"/>
  <c r="N723" i="1"/>
  <c r="P723" i="1"/>
  <c r="A723" i="1"/>
  <c r="J723" i="1"/>
  <c r="Q691" i="1"/>
  <c r="R691" i="1"/>
  <c r="J691" i="1"/>
  <c r="B691" i="1"/>
  <c r="N691" i="1"/>
  <c r="M691" i="1"/>
  <c r="L691" i="1"/>
  <c r="M685" i="1"/>
  <c r="J685" i="1"/>
  <c r="O685" i="1"/>
  <c r="P685" i="1"/>
  <c r="L685" i="1"/>
  <c r="N685" i="1"/>
  <c r="P659" i="1"/>
  <c r="Q659" i="1"/>
  <c r="L659" i="1"/>
  <c r="A659" i="1"/>
  <c r="K659" i="1"/>
  <c r="B659" i="1"/>
  <c r="N659" i="1"/>
  <c r="B653" i="1"/>
  <c r="N653" i="1"/>
  <c r="M653" i="1"/>
  <c r="R653" i="1"/>
  <c r="O653" i="1"/>
  <c r="Q653" i="1"/>
  <c r="L653" i="1"/>
  <c r="O639" i="1"/>
  <c r="P639" i="1"/>
  <c r="Q639" i="1"/>
  <c r="R639" i="1"/>
  <c r="A639" i="1"/>
  <c r="L639" i="1"/>
  <c r="A633" i="1"/>
  <c r="L633" i="1"/>
  <c r="B633" i="1"/>
  <c r="K633" i="1"/>
  <c r="M633" i="1"/>
  <c r="N633" i="1"/>
  <c r="P633" i="1"/>
  <c r="Q633" i="1"/>
  <c r="K1476" i="1"/>
  <c r="B1018" i="1"/>
  <c r="A1018" i="1"/>
  <c r="B986" i="1"/>
  <c r="A986" i="1"/>
  <c r="K507" i="1"/>
  <c r="M499" i="1"/>
  <c r="B511" i="1"/>
  <c r="J511" i="1"/>
  <c r="A511" i="1"/>
  <c r="R511" i="1"/>
  <c r="L511" i="1"/>
  <c r="K511" i="1"/>
  <c r="N511" i="1"/>
  <c r="O511" i="1"/>
  <c r="A503" i="1"/>
  <c r="J503" i="1"/>
  <c r="B503" i="1"/>
  <c r="R503" i="1"/>
  <c r="L503" i="1"/>
  <c r="K503" i="1"/>
  <c r="N503" i="1"/>
  <c r="O503" i="1"/>
  <c r="O495" i="1"/>
  <c r="P495" i="1"/>
  <c r="Q495" i="1"/>
  <c r="B495" i="1"/>
  <c r="R495" i="1"/>
  <c r="L495" i="1"/>
  <c r="K495" i="1"/>
  <c r="A1074" i="1"/>
  <c r="A1042" i="1"/>
  <c r="B1032" i="1"/>
  <c r="B1024" i="1"/>
  <c r="B1016" i="1"/>
  <c r="B1008" i="1"/>
  <c r="B1000" i="1"/>
  <c r="B992" i="1"/>
  <c r="B984" i="1"/>
  <c r="B976" i="1"/>
  <c r="R748" i="1"/>
  <c r="A754" i="1"/>
  <c r="J1231" i="1"/>
  <c r="K1402" i="1"/>
  <c r="B1036" i="1"/>
  <c r="B1028" i="1"/>
  <c r="B1020" i="1"/>
  <c r="B1012" i="1"/>
  <c r="B1004" i="1"/>
  <c r="B996" i="1"/>
  <c r="B988" i="1"/>
  <c r="B980" i="1"/>
  <c r="B1080" i="1"/>
  <c r="B1072" i="1"/>
  <c r="B1064" i="1"/>
  <c r="B1056" i="1"/>
  <c r="B1048" i="1"/>
  <c r="B1040" i="1"/>
  <c r="N748" i="1"/>
  <c r="K760" i="1"/>
  <c r="A1035" i="1"/>
  <c r="A1027" i="1"/>
  <c r="A1019" i="1"/>
  <c r="A1011" i="1"/>
  <c r="A1003" i="1"/>
  <c r="A995" i="1"/>
  <c r="A987" i="1"/>
  <c r="A979" i="1"/>
  <c r="A1408" i="1"/>
  <c r="B748" i="1"/>
  <c r="L760" i="1"/>
  <c r="J206" i="1"/>
  <c r="M273" i="1"/>
  <c r="P264" i="1"/>
  <c r="Q264" i="1"/>
  <c r="N1232" i="1"/>
  <c r="A1232" i="1"/>
  <c r="Q1335" i="1"/>
  <c r="K1327" i="1"/>
  <c r="R329" i="1"/>
  <c r="M575" i="1"/>
  <c r="N589" i="1"/>
  <c r="R595" i="1"/>
  <c r="A595" i="1"/>
  <c r="N601" i="1"/>
  <c r="Q607" i="1"/>
  <c r="P621" i="1"/>
  <c r="R627" i="1"/>
  <c r="J574" i="1"/>
  <c r="O574" i="1"/>
  <c r="M1240" i="1"/>
  <c r="A1240" i="1"/>
  <c r="M1282" i="1"/>
  <c r="M197" i="1"/>
  <c r="O198" i="1"/>
  <c r="B198" i="1"/>
  <c r="O60" i="1"/>
  <c r="K52" i="1"/>
  <c r="M44" i="1"/>
  <c r="P44" i="1"/>
  <c r="R36" i="1"/>
  <c r="O28" i="1"/>
  <c r="A28" i="1"/>
  <c r="O20" i="1"/>
  <c r="R571" i="1"/>
  <c r="Q1343" i="1"/>
  <c r="P1482" i="1"/>
  <c r="B1482" i="1"/>
  <c r="L1426" i="1"/>
  <c r="R243" i="1"/>
  <c r="A243" i="1"/>
  <c r="L1480" i="1"/>
  <c r="P1267" i="1"/>
  <c r="R232" i="1"/>
  <c r="A232" i="1"/>
  <c r="B618" i="1"/>
  <c r="N194" i="1"/>
  <c r="N31" i="1"/>
  <c r="P15" i="1"/>
  <c r="M411" i="1"/>
  <c r="B411" i="1"/>
  <c r="J387" i="1"/>
  <c r="N1435" i="1"/>
  <c r="N1259" i="1"/>
  <c r="N1419" i="1"/>
  <c r="N624" i="1"/>
  <c r="A624" i="1"/>
  <c r="M47" i="1"/>
  <c r="Q325" i="1"/>
  <c r="J219" i="1"/>
  <c r="P1269" i="1"/>
  <c r="M317" i="1"/>
  <c r="L317" i="1"/>
  <c r="P206" i="1"/>
  <c r="Q206" i="1"/>
  <c r="L273" i="1"/>
  <c r="O264" i="1"/>
  <c r="B264" i="1"/>
  <c r="L1232" i="1"/>
  <c r="O1335" i="1"/>
  <c r="P1335" i="1"/>
  <c r="R1327" i="1"/>
  <c r="J329" i="1"/>
  <c r="K575" i="1"/>
  <c r="M589" i="1"/>
  <c r="J595" i="1"/>
  <c r="K601" i="1"/>
  <c r="M601" i="1"/>
  <c r="P607" i="1"/>
  <c r="O621" i="1"/>
  <c r="J627" i="1"/>
  <c r="K574" i="1"/>
  <c r="B574" i="1"/>
  <c r="L1240" i="1"/>
  <c r="K1282" i="1"/>
  <c r="L1282" i="1"/>
  <c r="L197" i="1"/>
  <c r="N198" i="1"/>
  <c r="A198" i="1"/>
  <c r="Q60" i="1"/>
  <c r="O52" i="1"/>
  <c r="K44" i="1"/>
  <c r="B44" i="1"/>
  <c r="J36" i="1"/>
  <c r="J28" i="1"/>
  <c r="K20" i="1"/>
  <c r="N20" i="1"/>
  <c r="P571" i="1"/>
  <c r="J571" i="1"/>
  <c r="P243" i="1"/>
  <c r="B243" i="1"/>
  <c r="L232" i="1"/>
  <c r="M31" i="1"/>
  <c r="O15" i="1"/>
  <c r="L411" i="1"/>
  <c r="M1259" i="1"/>
  <c r="L1419" i="1"/>
  <c r="O624" i="1"/>
  <c r="P47" i="1"/>
  <c r="B47" i="1"/>
  <c r="Q219" i="1"/>
  <c r="B1269" i="1"/>
  <c r="O1269" i="1"/>
  <c r="K570" i="1"/>
  <c r="N570" i="1"/>
  <c r="Q43" i="1"/>
  <c r="O43" i="1"/>
  <c r="B1239" i="1"/>
  <c r="M1239" i="1"/>
  <c r="A608" i="1"/>
  <c r="K608" i="1"/>
  <c r="K576" i="1"/>
  <c r="Q576" i="1"/>
  <c r="N206" i="1"/>
  <c r="A206" i="1"/>
  <c r="R273" i="1"/>
  <c r="M264" i="1"/>
  <c r="K1232" i="1"/>
  <c r="M1335" i="1"/>
  <c r="A1335" i="1"/>
  <c r="Q1327" i="1"/>
  <c r="O329" i="1"/>
  <c r="B329" i="1"/>
  <c r="R575" i="1"/>
  <c r="J589" i="1"/>
  <c r="L589" i="1"/>
  <c r="P595" i="1"/>
  <c r="R601" i="1"/>
  <c r="A601" i="1"/>
  <c r="N607" i="1"/>
  <c r="N621" i="1"/>
  <c r="B621" i="1"/>
  <c r="P627" i="1"/>
  <c r="Q574" i="1"/>
  <c r="Q1240" i="1"/>
  <c r="J1282" i="1"/>
  <c r="A1282" i="1"/>
  <c r="R197" i="1"/>
  <c r="L198" i="1"/>
  <c r="R60" i="1"/>
  <c r="B60" i="1"/>
  <c r="J52" i="1"/>
  <c r="N44" i="1"/>
  <c r="M36" i="1"/>
  <c r="P36" i="1"/>
  <c r="M28" i="1"/>
  <c r="Q20" i="1"/>
  <c r="A20" i="1"/>
  <c r="N571" i="1"/>
  <c r="A571" i="1"/>
  <c r="N232" i="1"/>
  <c r="R1259" i="1"/>
  <c r="B1259" i="1"/>
  <c r="A1390" i="1"/>
  <c r="L1390" i="1"/>
  <c r="A326" i="1"/>
  <c r="R326" i="1"/>
  <c r="M206" i="1"/>
  <c r="J273" i="1"/>
  <c r="L264" i="1"/>
  <c r="R1232" i="1"/>
  <c r="L1335" i="1"/>
  <c r="O1327" i="1"/>
  <c r="P1327" i="1"/>
  <c r="N329" i="1"/>
  <c r="A329" i="1"/>
  <c r="Q575" i="1"/>
  <c r="K589" i="1"/>
  <c r="B589" i="1"/>
  <c r="O595" i="1"/>
  <c r="J601" i="1"/>
  <c r="K607" i="1"/>
  <c r="M607" i="1"/>
  <c r="L621" i="1"/>
  <c r="A621" i="1"/>
  <c r="O627" i="1"/>
  <c r="P574" i="1"/>
  <c r="N1240" i="1"/>
  <c r="Q1282" i="1"/>
  <c r="Q197" i="1"/>
  <c r="J197" i="1"/>
  <c r="K198" i="1"/>
  <c r="M60" i="1"/>
  <c r="A60" i="1"/>
  <c r="Q52" i="1"/>
  <c r="O44" i="1"/>
  <c r="N36" i="1"/>
  <c r="B36" i="1"/>
  <c r="L28" i="1"/>
  <c r="M20" i="1"/>
  <c r="M571" i="1"/>
  <c r="J320" i="1"/>
  <c r="K1351" i="1"/>
  <c r="K1482" i="1"/>
  <c r="M243" i="1"/>
  <c r="Q1480" i="1"/>
  <c r="M1390" i="1"/>
  <c r="B1390" i="1"/>
  <c r="K1267" i="1"/>
  <c r="M232" i="1"/>
  <c r="R194" i="1"/>
  <c r="O31" i="1"/>
  <c r="K15" i="1"/>
  <c r="Q411" i="1"/>
  <c r="P326" i="1"/>
  <c r="N387" i="1"/>
  <c r="R1435" i="1"/>
  <c r="B1435" i="1"/>
  <c r="N317" i="1"/>
  <c r="J1259" i="1"/>
  <c r="A1259" i="1"/>
  <c r="J1419" i="1"/>
  <c r="K47" i="1"/>
  <c r="L325" i="1"/>
  <c r="B325" i="1"/>
  <c r="M219" i="1"/>
  <c r="K1269" i="1"/>
  <c r="B1350" i="1"/>
  <c r="O1350" i="1"/>
  <c r="A155" i="1"/>
  <c r="O155" i="1"/>
  <c r="K232" i="1"/>
  <c r="A1343" i="1"/>
  <c r="M1343" i="1"/>
  <c r="L229" i="1"/>
  <c r="O229" i="1"/>
  <c r="K1426" i="1"/>
  <c r="R1426" i="1"/>
  <c r="A31" i="1"/>
  <c r="Q31" i="1"/>
  <c r="P624" i="1"/>
  <c r="Q624" i="1"/>
  <c r="P618" i="1"/>
  <c r="Q618" i="1"/>
  <c r="K206" i="1"/>
  <c r="O273" i="1"/>
  <c r="B273" i="1"/>
  <c r="R264" i="1"/>
  <c r="P1232" i="1"/>
  <c r="Q1232" i="1"/>
  <c r="R1335" i="1"/>
  <c r="M1327" i="1"/>
  <c r="A1327" i="1"/>
  <c r="L329" i="1"/>
  <c r="P575" i="1"/>
  <c r="B575" i="1"/>
  <c r="P589" i="1"/>
  <c r="K595" i="1"/>
  <c r="M595" i="1"/>
  <c r="P601" i="1"/>
  <c r="R607" i="1"/>
  <c r="A607" i="1"/>
  <c r="J621" i="1"/>
  <c r="K627" i="1"/>
  <c r="B627" i="1"/>
  <c r="M574" i="1"/>
  <c r="P1240" i="1"/>
  <c r="J1240" i="1"/>
  <c r="O1282" i="1"/>
  <c r="O197" i="1"/>
  <c r="A197" i="1"/>
  <c r="J198" i="1"/>
  <c r="K60" i="1"/>
  <c r="M52" i="1"/>
  <c r="B52" i="1"/>
  <c r="J44" i="1"/>
  <c r="O36" i="1"/>
  <c r="Q28" i="1"/>
  <c r="N28" i="1"/>
  <c r="J20" i="1"/>
  <c r="K571" i="1"/>
  <c r="P320" i="1"/>
  <c r="B320" i="1"/>
  <c r="B229" i="1"/>
  <c r="Q1351" i="1"/>
  <c r="R1343" i="1"/>
  <c r="J1482" i="1"/>
  <c r="P1426" i="1"/>
  <c r="K243" i="1"/>
  <c r="N1480" i="1"/>
  <c r="R1390" i="1"/>
  <c r="J1267" i="1"/>
  <c r="A1267" i="1"/>
  <c r="Q232" i="1"/>
  <c r="R618" i="1"/>
  <c r="Q194" i="1"/>
  <c r="J31" i="1"/>
  <c r="Q15" i="1"/>
  <c r="A15" i="1"/>
  <c r="O411" i="1"/>
  <c r="N326" i="1"/>
  <c r="M387" i="1"/>
  <c r="Q1435" i="1"/>
  <c r="K317" i="1"/>
  <c r="A317" i="1"/>
  <c r="P1259" i="1"/>
  <c r="Q1419" i="1"/>
  <c r="A1419" i="1"/>
  <c r="J624" i="1"/>
  <c r="O47" i="1"/>
  <c r="R325" i="1"/>
  <c r="K219" i="1"/>
  <c r="B219" i="1"/>
  <c r="J1269" i="1"/>
  <c r="J153" i="1"/>
  <c r="Q153" i="1"/>
  <c r="N273" i="1"/>
  <c r="O1232" i="1"/>
  <c r="N575" i="1"/>
  <c r="L595" i="1"/>
  <c r="L627" i="1"/>
  <c r="O1240" i="1"/>
  <c r="P198" i="1"/>
  <c r="L52" i="1"/>
  <c r="R28" i="1"/>
  <c r="N153" i="1"/>
  <c r="O243" i="1"/>
  <c r="M1480" i="1"/>
  <c r="J1390" i="1"/>
  <c r="Q1267" i="1"/>
  <c r="J232" i="1"/>
  <c r="B232" i="1"/>
  <c r="J618" i="1"/>
  <c r="O194" i="1"/>
  <c r="P31" i="1"/>
  <c r="R15" i="1"/>
  <c r="N411" i="1"/>
  <c r="A411" i="1"/>
  <c r="M326" i="1"/>
  <c r="L387" i="1"/>
  <c r="O1435" i="1"/>
  <c r="R317" i="1"/>
  <c r="O1259" i="1"/>
  <c r="O1419" i="1"/>
  <c r="B624" i="1"/>
  <c r="N47" i="1"/>
  <c r="R155" i="1"/>
  <c r="J325" i="1"/>
  <c r="R219" i="1"/>
  <c r="A219" i="1"/>
  <c r="Q1269" i="1"/>
  <c r="Q1320" i="1"/>
  <c r="L1325" i="1"/>
  <c r="Q1317" i="1"/>
  <c r="A1317" i="1"/>
  <c r="B1323" i="1"/>
  <c r="P1319" i="1"/>
  <c r="O1319" i="1"/>
  <c r="Q1319" i="1"/>
  <c r="M166" i="1"/>
  <c r="M171" i="1"/>
  <c r="R169" i="1"/>
  <c r="L164" i="1"/>
  <c r="N164" i="1"/>
  <c r="R172" i="1"/>
  <c r="K172" i="1"/>
  <c r="A353" i="1"/>
  <c r="M522" i="1"/>
  <c r="O523" i="1"/>
  <c r="M539" i="1"/>
  <c r="Q563" i="1"/>
  <c r="Q1315" i="1"/>
  <c r="A1315" i="1"/>
  <c r="J1315" i="1"/>
  <c r="R1318" i="1"/>
  <c r="K1318" i="1"/>
  <c r="K165" i="1"/>
  <c r="M165" i="1"/>
  <c r="Q165" i="1"/>
  <c r="A173" i="1"/>
  <c r="P173" i="1"/>
  <c r="B173" i="1"/>
  <c r="R173" i="1"/>
  <c r="B352" i="1"/>
  <c r="A344" i="1"/>
  <c r="R523" i="1"/>
  <c r="A1325" i="1"/>
  <c r="O1325" i="1"/>
  <c r="B1325" i="1"/>
  <c r="P1325" i="1"/>
  <c r="K1317" i="1"/>
  <c r="L1317" i="1"/>
  <c r="A166" i="1"/>
  <c r="R166" i="1"/>
  <c r="K166" i="1"/>
  <c r="J166" i="1"/>
  <c r="L563" i="1"/>
  <c r="M563" i="1"/>
  <c r="J563" i="1"/>
  <c r="B563" i="1"/>
  <c r="O563" i="1"/>
  <c r="P563" i="1"/>
  <c r="R563" i="1"/>
  <c r="K563" i="1"/>
  <c r="A555" i="1"/>
  <c r="O555" i="1"/>
  <c r="P555" i="1"/>
  <c r="Q555" i="1"/>
  <c r="R555" i="1"/>
  <c r="K555" i="1"/>
  <c r="M555" i="1"/>
  <c r="B555" i="1"/>
  <c r="N555" i="1"/>
  <c r="K547" i="1"/>
  <c r="L547" i="1"/>
  <c r="A547" i="1"/>
  <c r="N547" i="1"/>
  <c r="P547" i="1"/>
  <c r="O547" i="1"/>
  <c r="J547" i="1"/>
  <c r="R547" i="1"/>
  <c r="Q539" i="1"/>
  <c r="J539" i="1"/>
  <c r="K539" i="1"/>
  <c r="L539" i="1"/>
  <c r="A539" i="1"/>
  <c r="N539" i="1"/>
  <c r="P539" i="1"/>
  <c r="O539" i="1"/>
  <c r="B531" i="1"/>
  <c r="M531" i="1"/>
  <c r="A531" i="1"/>
  <c r="N531" i="1"/>
  <c r="Q531" i="1"/>
  <c r="J531" i="1"/>
  <c r="K531" i="1"/>
  <c r="L531" i="1"/>
  <c r="P1318" i="1"/>
  <c r="A1318" i="1"/>
  <c r="B1315" i="1"/>
  <c r="A1319" i="1"/>
  <c r="J1325" i="1"/>
  <c r="N1317" i="1"/>
  <c r="K1324" i="1"/>
  <c r="R1324" i="1"/>
  <c r="L1324" i="1"/>
  <c r="B1316" i="1"/>
  <c r="J1316" i="1"/>
  <c r="K1316" i="1"/>
  <c r="R1316" i="1"/>
  <c r="Q172" i="1"/>
  <c r="A172" i="1"/>
  <c r="B164" i="1"/>
  <c r="B166" i="1"/>
  <c r="L165" i="1"/>
  <c r="M547" i="1"/>
  <c r="M1317" i="1"/>
  <c r="Q1323" i="1"/>
  <c r="A1323" i="1"/>
  <c r="J1323" i="1"/>
  <c r="B523" i="1"/>
  <c r="M523" i="1"/>
  <c r="A523" i="1"/>
  <c r="N523" i="1"/>
  <c r="Q523" i="1"/>
  <c r="K523" i="1"/>
  <c r="L523" i="1"/>
  <c r="Q547" i="1"/>
  <c r="Q1325" i="1"/>
  <c r="R1317" i="1"/>
  <c r="Q166" i="1"/>
  <c r="K169" i="1"/>
  <c r="A169" i="1"/>
  <c r="L169" i="1"/>
  <c r="R515" i="1"/>
  <c r="K515" i="1"/>
  <c r="B515" i="1"/>
  <c r="M515" i="1"/>
  <c r="Q515" i="1"/>
  <c r="J515" i="1"/>
  <c r="Q522" i="1"/>
  <c r="P522" i="1"/>
  <c r="J522" i="1"/>
  <c r="K522" i="1"/>
  <c r="A522" i="1"/>
  <c r="N522" i="1"/>
  <c r="B522" i="1"/>
  <c r="O522" i="1"/>
  <c r="O531" i="1"/>
  <c r="B547" i="1"/>
  <c r="Q560" i="1"/>
  <c r="A560" i="1"/>
  <c r="J560" i="1"/>
  <c r="K560" i="1"/>
  <c r="R560" i="1"/>
  <c r="M560" i="1"/>
  <c r="O560" i="1"/>
  <c r="P560" i="1"/>
  <c r="M552" i="1"/>
  <c r="N552" i="1"/>
  <c r="P552" i="1"/>
  <c r="A552" i="1"/>
  <c r="Q552" i="1"/>
  <c r="K552" i="1"/>
  <c r="R552" i="1"/>
  <c r="L552" i="1"/>
  <c r="B544" i="1"/>
  <c r="J544" i="1"/>
  <c r="K544" i="1"/>
  <c r="R544" i="1"/>
  <c r="M544" i="1"/>
  <c r="N544" i="1"/>
  <c r="P544" i="1"/>
  <c r="A544" i="1"/>
  <c r="Q544" i="1"/>
  <c r="O536" i="1"/>
  <c r="P536" i="1"/>
  <c r="B536" i="1"/>
  <c r="J536" i="1"/>
  <c r="K536" i="1"/>
  <c r="R536" i="1"/>
  <c r="M536" i="1"/>
  <c r="N536" i="1"/>
  <c r="N1325" i="1"/>
  <c r="J1317" i="1"/>
  <c r="O166" i="1"/>
  <c r="A347" i="1"/>
  <c r="B347" i="1"/>
  <c r="R531" i="1"/>
  <c r="L555" i="1"/>
  <c r="M1325" i="1"/>
  <c r="B1317" i="1"/>
  <c r="J1320" i="1"/>
  <c r="R1320" i="1"/>
  <c r="N166" i="1"/>
  <c r="J171" i="1"/>
  <c r="L171" i="1"/>
  <c r="N338" i="1"/>
  <c r="O338" i="1"/>
  <c r="B338" i="1"/>
  <c r="K338" i="1"/>
  <c r="M338" i="1"/>
  <c r="L338" i="1"/>
  <c r="B346" i="1"/>
  <c r="A346" i="1"/>
  <c r="A515" i="1"/>
  <c r="A528" i="1"/>
  <c r="Q528" i="1"/>
  <c r="B528" i="1"/>
  <c r="J528" i="1"/>
  <c r="L528" i="1"/>
  <c r="O528" i="1"/>
  <c r="P528" i="1"/>
  <c r="N520" i="1"/>
  <c r="O520" i="1"/>
  <c r="A520" i="1"/>
  <c r="Q520" i="1"/>
  <c r="L520" i="1"/>
  <c r="M520" i="1"/>
  <c r="A536" i="1"/>
  <c r="B560" i="1"/>
  <c r="P531" i="1"/>
  <c r="J555" i="1"/>
  <c r="R521" i="1"/>
  <c r="M529" i="1"/>
  <c r="L546" i="1"/>
  <c r="K530" i="1"/>
  <c r="K562" i="1"/>
  <c r="A562" i="1"/>
  <c r="R537" i="1"/>
  <c r="M545" i="1"/>
  <c r="P553" i="1"/>
  <c r="B553" i="1"/>
  <c r="L561" i="1"/>
  <c r="L538" i="1"/>
  <c r="J554" i="1"/>
  <c r="B554" i="1"/>
  <c r="Q521" i="1"/>
  <c r="J521" i="1"/>
  <c r="L529" i="1"/>
  <c r="K546" i="1"/>
  <c r="R530" i="1"/>
  <c r="J562" i="1"/>
  <c r="Q537" i="1"/>
  <c r="J537" i="1"/>
  <c r="L545" i="1"/>
  <c r="O553" i="1"/>
  <c r="A553" i="1"/>
  <c r="R561" i="1"/>
  <c r="K538" i="1"/>
  <c r="R554" i="1"/>
  <c r="A554" i="1"/>
  <c r="A1201" i="1"/>
  <c r="Q1201" i="1"/>
  <c r="K1177" i="1"/>
  <c r="R1177" i="1"/>
  <c r="B1161" i="1"/>
  <c r="R1161" i="1"/>
  <c r="A1137" i="1"/>
  <c r="P1137" i="1"/>
  <c r="Q1129" i="1"/>
  <c r="M1129" i="1"/>
  <c r="A1097" i="1"/>
  <c r="L1097" i="1"/>
  <c r="O530" i="1"/>
  <c r="B530" i="1"/>
  <c r="M562" i="1"/>
  <c r="P538" i="1"/>
  <c r="Q538" i="1"/>
  <c r="M554" i="1"/>
  <c r="P170" i="1"/>
  <c r="A170" i="1"/>
  <c r="L521" i="1"/>
  <c r="O529" i="1"/>
  <c r="A529" i="1"/>
  <c r="Q516" i="1"/>
  <c r="N546" i="1"/>
  <c r="A546" i="1"/>
  <c r="M530" i="1"/>
  <c r="R562" i="1"/>
  <c r="Q562" i="1"/>
  <c r="L537" i="1"/>
  <c r="O545" i="1"/>
  <c r="A545" i="1"/>
  <c r="R553" i="1"/>
  <c r="N561" i="1"/>
  <c r="N538" i="1"/>
  <c r="A538" i="1"/>
  <c r="K554" i="1"/>
  <c r="L167" i="1"/>
  <c r="N170" i="1"/>
  <c r="L517" i="1"/>
  <c r="K527" i="1"/>
  <c r="R519" i="1"/>
  <c r="N540" i="1"/>
  <c r="M556" i="1"/>
  <c r="L549" i="1"/>
  <c r="K535" i="1"/>
  <c r="J551" i="1"/>
  <c r="P562" i="1"/>
  <c r="Q553" i="1"/>
  <c r="P554" i="1"/>
  <c r="A766" i="1"/>
  <c r="K766" i="1"/>
  <c r="N766" i="1"/>
  <c r="L766" i="1"/>
  <c r="Q766" i="1"/>
  <c r="N752" i="1"/>
  <c r="L752" i="1"/>
  <c r="P752" i="1"/>
  <c r="R752" i="1"/>
  <c r="R746" i="1"/>
  <c r="B746" i="1"/>
  <c r="M746" i="1"/>
  <c r="P746" i="1"/>
  <c r="P740" i="1"/>
  <c r="J740" i="1"/>
  <c r="B740" i="1"/>
  <c r="M740" i="1"/>
  <c r="B734" i="1"/>
  <c r="M734" i="1"/>
  <c r="O734" i="1"/>
  <c r="J734" i="1"/>
  <c r="O720" i="1"/>
  <c r="Q720" i="1"/>
  <c r="A720" i="1"/>
  <c r="K720" i="1"/>
  <c r="A714" i="1"/>
  <c r="K714" i="1"/>
  <c r="N714" i="1"/>
  <c r="L714" i="1"/>
  <c r="Q714" i="1"/>
  <c r="Q708" i="1"/>
  <c r="R708" i="1"/>
  <c r="N708" i="1"/>
  <c r="L708" i="1"/>
  <c r="N702" i="1"/>
  <c r="L702" i="1"/>
  <c r="P702" i="1"/>
  <c r="R702" i="1"/>
  <c r="R688" i="1"/>
  <c r="Q688" i="1"/>
  <c r="B688" i="1"/>
  <c r="O688" i="1"/>
  <c r="J682" i="1"/>
  <c r="M682" i="1"/>
  <c r="A676" i="1"/>
  <c r="Q676" i="1"/>
  <c r="J676" i="1"/>
  <c r="K670" i="1"/>
  <c r="A670" i="1"/>
  <c r="M670" i="1"/>
  <c r="O656" i="1"/>
  <c r="P656" i="1"/>
  <c r="Q656" i="1"/>
  <c r="R650" i="1"/>
  <c r="O650" i="1"/>
  <c r="B644" i="1"/>
  <c r="N644" i="1"/>
  <c r="R644" i="1"/>
  <c r="L638" i="1"/>
  <c r="B638" i="1"/>
  <c r="Q638" i="1"/>
  <c r="A1227" i="1"/>
  <c r="K1227" i="1"/>
  <c r="L1227" i="1"/>
  <c r="O1227" i="1"/>
  <c r="R1227" i="1"/>
  <c r="N1409" i="1"/>
  <c r="J1409" i="1"/>
  <c r="A1409" i="1"/>
  <c r="R1409" i="1"/>
  <c r="B1409" i="1"/>
  <c r="M1409" i="1"/>
  <c r="K1401" i="1"/>
  <c r="P1401" i="1"/>
  <c r="Q1401" i="1"/>
  <c r="R1401" i="1"/>
  <c r="L1401" i="1"/>
  <c r="B1474" i="1"/>
  <c r="M1474" i="1"/>
  <c r="N1474" i="1"/>
  <c r="P1474" i="1"/>
  <c r="R1474" i="1"/>
  <c r="A1466" i="1"/>
  <c r="O1466" i="1"/>
  <c r="M1466" i="1"/>
  <c r="N1466" i="1"/>
  <c r="P1466" i="1"/>
  <c r="R1466" i="1"/>
  <c r="A513" i="1"/>
  <c r="O513" i="1"/>
  <c r="P513" i="1"/>
  <c r="B513" i="1"/>
  <c r="Q513" i="1"/>
  <c r="J513" i="1"/>
  <c r="L513" i="1"/>
  <c r="L505" i="1"/>
  <c r="N505" i="1"/>
  <c r="O505" i="1"/>
  <c r="A505" i="1"/>
  <c r="P505" i="1"/>
  <c r="R505" i="1"/>
  <c r="J497" i="1"/>
  <c r="Q497" i="1"/>
  <c r="L497" i="1"/>
  <c r="M497" i="1"/>
  <c r="N497" i="1"/>
  <c r="B497" i="1"/>
  <c r="A638" i="1"/>
  <c r="A644" i="1"/>
  <c r="B650" i="1"/>
  <c r="B656" i="1"/>
  <c r="P670" i="1"/>
  <c r="P676" i="1"/>
  <c r="P682" i="1"/>
  <c r="P688" i="1"/>
  <c r="M708" i="1"/>
  <c r="R714" i="1"/>
  <c r="J720" i="1"/>
  <c r="N734" i="1"/>
  <c r="A740" i="1"/>
  <c r="M752" i="1"/>
  <c r="J766" i="1"/>
  <c r="P1409" i="1"/>
  <c r="B1466" i="1"/>
  <c r="A1401" i="1"/>
  <c r="R1408" i="1"/>
  <c r="Q1408" i="1"/>
  <c r="K1408" i="1"/>
  <c r="M1408" i="1"/>
  <c r="R1400" i="1"/>
  <c r="K1400" i="1"/>
  <c r="B1400" i="1"/>
  <c r="N1400" i="1"/>
  <c r="N1473" i="1"/>
  <c r="P1473" i="1"/>
  <c r="A1473" i="1"/>
  <c r="Q1473" i="1"/>
  <c r="B1473" i="1"/>
  <c r="L1473" i="1"/>
  <c r="L1465" i="1"/>
  <c r="P1465" i="1"/>
  <c r="Q1465" i="1"/>
  <c r="A1465" i="1"/>
  <c r="K1465" i="1"/>
  <c r="P497" i="1"/>
  <c r="J505" i="1"/>
  <c r="P512" i="1"/>
  <c r="L512" i="1"/>
  <c r="M512" i="1"/>
  <c r="N512" i="1"/>
  <c r="A512" i="1"/>
  <c r="J512" i="1"/>
  <c r="M504" i="1"/>
  <c r="A504" i="1"/>
  <c r="R504" i="1"/>
  <c r="K504" i="1"/>
  <c r="L504" i="1"/>
  <c r="P504" i="1"/>
  <c r="B496" i="1"/>
  <c r="J496" i="1"/>
  <c r="Q496" i="1"/>
  <c r="A496" i="1"/>
  <c r="R496" i="1"/>
  <c r="K496" i="1"/>
  <c r="N496" i="1"/>
  <c r="R1126" i="1"/>
  <c r="L1174" i="1"/>
  <c r="B1174" i="1"/>
  <c r="L1093" i="1"/>
  <c r="O1101" i="1"/>
  <c r="K1101" i="1"/>
  <c r="K1109" i="1"/>
  <c r="N1117" i="1"/>
  <c r="B1117" i="1"/>
  <c r="O1125" i="1"/>
  <c r="J1133" i="1"/>
  <c r="N1141" i="1"/>
  <c r="A1141" i="1"/>
  <c r="P1149" i="1"/>
  <c r="J1157" i="1"/>
  <c r="N1165" i="1"/>
  <c r="M1165" i="1"/>
  <c r="J1173" i="1"/>
  <c r="L1181" i="1"/>
  <c r="B1181" i="1"/>
  <c r="P1189" i="1"/>
  <c r="R1197" i="1"/>
  <c r="M1205" i="1"/>
  <c r="B1205" i="1"/>
  <c r="Q1213" i="1"/>
  <c r="K1221" i="1"/>
  <c r="L1094" i="1"/>
  <c r="Q1118" i="1"/>
  <c r="P1150" i="1"/>
  <c r="L1150" i="1"/>
  <c r="R1166" i="1"/>
  <c r="K1182" i="1"/>
  <c r="A1182" i="1"/>
  <c r="O1206" i="1"/>
  <c r="Q1134" i="1"/>
  <c r="M1214" i="1"/>
  <c r="N1214" i="1"/>
  <c r="N638" i="1"/>
  <c r="Q644" i="1"/>
  <c r="M650" i="1"/>
  <c r="A650" i="1"/>
  <c r="A656" i="1"/>
  <c r="B670" i="1"/>
  <c r="B676" i="1"/>
  <c r="B682" i="1"/>
  <c r="A688" i="1"/>
  <c r="M702" i="1"/>
  <c r="K708" i="1"/>
  <c r="J714" i="1"/>
  <c r="P720" i="1"/>
  <c r="A734" i="1"/>
  <c r="L746" i="1"/>
  <c r="K752" i="1"/>
  <c r="P766" i="1"/>
  <c r="Q1227" i="1"/>
  <c r="L1409" i="1"/>
  <c r="O1473" i="1"/>
  <c r="P1408" i="1"/>
  <c r="L1474" i="1"/>
  <c r="N504" i="1"/>
  <c r="O497" i="1"/>
  <c r="B505" i="1"/>
  <c r="Q509" i="1"/>
  <c r="O638" i="1"/>
  <c r="O644" i="1"/>
  <c r="Q650" i="1"/>
  <c r="N656" i="1"/>
  <c r="Q670" i="1"/>
  <c r="M676" i="1"/>
  <c r="L682" i="1"/>
  <c r="A682" i="1"/>
  <c r="K702" i="1"/>
  <c r="J708" i="1"/>
  <c r="P714" i="1"/>
  <c r="N720" i="1"/>
  <c r="L740" i="1"/>
  <c r="K746" i="1"/>
  <c r="J752" i="1"/>
  <c r="O766" i="1"/>
  <c r="M1227" i="1"/>
  <c r="K1409" i="1"/>
  <c r="M1473" i="1"/>
  <c r="N1408" i="1"/>
  <c r="K1474" i="1"/>
  <c r="P496" i="1"/>
  <c r="B504" i="1"/>
  <c r="K497" i="1"/>
  <c r="N513" i="1"/>
  <c r="Q510" i="1"/>
  <c r="O510" i="1"/>
  <c r="P510" i="1"/>
  <c r="J510" i="1"/>
  <c r="A510" i="1"/>
  <c r="L510" i="1"/>
  <c r="N502" i="1"/>
  <c r="M502" i="1"/>
  <c r="O502" i="1"/>
  <c r="P502" i="1"/>
  <c r="R502" i="1"/>
  <c r="B494" i="1"/>
  <c r="R494" i="1"/>
  <c r="A494" i="1"/>
  <c r="L494" i="1"/>
  <c r="M494" i="1"/>
  <c r="N494" i="1"/>
  <c r="Q494" i="1"/>
  <c r="N1094" i="1"/>
  <c r="J1094" i="1"/>
  <c r="J1118" i="1"/>
  <c r="K1150" i="1"/>
  <c r="A1150" i="1"/>
  <c r="O1166" i="1"/>
  <c r="J1182" i="1"/>
  <c r="L1206" i="1"/>
  <c r="B1206" i="1"/>
  <c r="J1134" i="1"/>
  <c r="K1214" i="1"/>
  <c r="A1214" i="1"/>
  <c r="M638" i="1"/>
  <c r="M644" i="1"/>
  <c r="N650" i="1"/>
  <c r="M656" i="1"/>
  <c r="N670" i="1"/>
  <c r="N676" i="1"/>
  <c r="Q682" i="1"/>
  <c r="N688" i="1"/>
  <c r="J702" i="1"/>
  <c r="P708" i="1"/>
  <c r="O714" i="1"/>
  <c r="B720" i="1"/>
  <c r="L734" i="1"/>
  <c r="K740" i="1"/>
  <c r="J746" i="1"/>
  <c r="Q752" i="1"/>
  <c r="B766" i="1"/>
  <c r="J1227" i="1"/>
  <c r="K1473" i="1"/>
  <c r="L1408" i="1"/>
  <c r="Q1474" i="1"/>
  <c r="R497" i="1"/>
  <c r="M513" i="1"/>
  <c r="A509" i="1"/>
  <c r="K509" i="1"/>
  <c r="L509" i="1"/>
  <c r="N509" i="1"/>
  <c r="O509" i="1"/>
  <c r="P509" i="1"/>
  <c r="R509" i="1"/>
  <c r="Q501" i="1"/>
  <c r="R501" i="1"/>
  <c r="B501" i="1"/>
  <c r="N501" i="1"/>
  <c r="O501" i="1"/>
  <c r="K501" i="1"/>
  <c r="N493" i="1"/>
  <c r="M493" i="1"/>
  <c r="Q493" i="1"/>
  <c r="A493" i="1"/>
  <c r="B493" i="1"/>
  <c r="O493" i="1"/>
  <c r="R493" i="1"/>
  <c r="O1400" i="1"/>
  <c r="N1126" i="1"/>
  <c r="J1174" i="1"/>
  <c r="Q1093" i="1"/>
  <c r="P1101" i="1"/>
  <c r="Q1109" i="1"/>
  <c r="M1109" i="1"/>
  <c r="K1117" i="1"/>
  <c r="L1125" i="1"/>
  <c r="B1125" i="1"/>
  <c r="O1133" i="1"/>
  <c r="R1141" i="1"/>
  <c r="Q1149" i="1"/>
  <c r="A1149" i="1"/>
  <c r="P1157" i="1"/>
  <c r="J1165" i="1"/>
  <c r="N1173" i="1"/>
  <c r="O1173" i="1"/>
  <c r="J1181" i="1"/>
  <c r="L1189" i="1"/>
  <c r="A1189" i="1"/>
  <c r="P1197" i="1"/>
  <c r="R1205" i="1"/>
  <c r="M1213" i="1"/>
  <c r="B1213" i="1"/>
  <c r="Q1221" i="1"/>
  <c r="Q1094" i="1"/>
  <c r="B1094" i="1"/>
  <c r="O1118" i="1"/>
  <c r="Q1150" i="1"/>
  <c r="P1166" i="1"/>
  <c r="L1166" i="1"/>
  <c r="Q1182" i="1"/>
  <c r="K1206" i="1"/>
  <c r="A1206" i="1"/>
  <c r="O1134" i="1"/>
  <c r="R1214" i="1"/>
  <c r="K638" i="1"/>
  <c r="L644" i="1"/>
  <c r="L650" i="1"/>
  <c r="L656" i="1"/>
  <c r="O670" i="1"/>
  <c r="O676" i="1"/>
  <c r="O682" i="1"/>
  <c r="M688" i="1"/>
  <c r="Q702" i="1"/>
  <c r="O708" i="1"/>
  <c r="B714" i="1"/>
  <c r="K734" i="1"/>
  <c r="R740" i="1"/>
  <c r="Q746" i="1"/>
  <c r="O752" i="1"/>
  <c r="P1227" i="1"/>
  <c r="R1473" i="1"/>
  <c r="B1408" i="1"/>
  <c r="A1474" i="1"/>
  <c r="B1412" i="1"/>
  <c r="O1412" i="1"/>
  <c r="K1412" i="1"/>
  <c r="M1412" i="1"/>
  <c r="P1412" i="1"/>
  <c r="N1404" i="1"/>
  <c r="K1404" i="1"/>
  <c r="M1404" i="1"/>
  <c r="P1404" i="1"/>
  <c r="K1477" i="1"/>
  <c r="Q1477" i="1"/>
  <c r="L1477" i="1"/>
  <c r="N1477" i="1"/>
  <c r="R1469" i="1"/>
  <c r="Q1469" i="1"/>
  <c r="L1469" i="1"/>
  <c r="B1469" i="1"/>
  <c r="Q1461" i="1"/>
  <c r="J1461" i="1"/>
  <c r="K1461" i="1"/>
  <c r="B1461" i="1"/>
  <c r="M496" i="1"/>
  <c r="Q512" i="1"/>
  <c r="A497" i="1"/>
  <c r="K513" i="1"/>
  <c r="K502" i="1"/>
  <c r="M510" i="1"/>
  <c r="J501" i="1"/>
  <c r="Q1126" i="1"/>
  <c r="L1126" i="1"/>
  <c r="Q1174" i="1"/>
  <c r="M1093" i="1"/>
  <c r="Q1101" i="1"/>
  <c r="N1109" i="1"/>
  <c r="A1109" i="1"/>
  <c r="P1117" i="1"/>
  <c r="J1125" i="1"/>
  <c r="R1133" i="1"/>
  <c r="M1133" i="1"/>
  <c r="K1141" i="1"/>
  <c r="N1149" i="1"/>
  <c r="B1149" i="1"/>
  <c r="O1157" i="1"/>
  <c r="R1165" i="1"/>
  <c r="M1173" i="1"/>
  <c r="A1173" i="1"/>
  <c r="Q1181" i="1"/>
  <c r="K1189" i="1"/>
  <c r="N1197" i="1"/>
  <c r="O1197" i="1"/>
  <c r="J1205" i="1"/>
  <c r="L1213" i="1"/>
  <c r="A1213" i="1"/>
  <c r="P1221" i="1"/>
  <c r="O1094" i="1"/>
  <c r="A1094" i="1"/>
  <c r="N1118" i="1"/>
  <c r="R1150" i="1"/>
  <c r="N1166" i="1"/>
  <c r="B1166" i="1"/>
  <c r="P1182" i="1"/>
  <c r="R1206" i="1"/>
  <c r="N1134" i="1"/>
  <c r="J1214" i="1"/>
  <c r="R638" i="1"/>
  <c r="K644" i="1"/>
  <c r="K650" i="1"/>
  <c r="K656" i="1"/>
  <c r="L670" i="1"/>
  <c r="L676" i="1"/>
  <c r="N682" i="1"/>
  <c r="L688" i="1"/>
  <c r="O702" i="1"/>
  <c r="B708" i="1"/>
  <c r="L720" i="1"/>
  <c r="R734" i="1"/>
  <c r="Q740" i="1"/>
  <c r="O746" i="1"/>
  <c r="B752" i="1"/>
  <c r="P760" i="1"/>
  <c r="Q760" i="1"/>
  <c r="A760" i="1"/>
  <c r="J760" i="1"/>
  <c r="M760" i="1"/>
  <c r="M754" i="1"/>
  <c r="O754" i="1"/>
  <c r="Q754" i="1"/>
  <c r="B754" i="1"/>
  <c r="R754" i="1"/>
  <c r="A748" i="1"/>
  <c r="K748" i="1"/>
  <c r="M748" i="1"/>
  <c r="O748" i="1"/>
  <c r="J748" i="1"/>
  <c r="O742" i="1"/>
  <c r="B742" i="1"/>
  <c r="R742" i="1"/>
  <c r="M742" i="1"/>
  <c r="Q742" i="1"/>
  <c r="Q728" i="1"/>
  <c r="P728" i="1"/>
  <c r="A728" i="1"/>
  <c r="J728" i="1"/>
  <c r="M728" i="1"/>
  <c r="N722" i="1"/>
  <c r="O722" i="1"/>
  <c r="Q722" i="1"/>
  <c r="B722" i="1"/>
  <c r="R722" i="1"/>
  <c r="B716" i="1"/>
  <c r="R716" i="1"/>
  <c r="M716" i="1"/>
  <c r="O716" i="1"/>
  <c r="K716" i="1"/>
  <c r="P710" i="1"/>
  <c r="B710" i="1"/>
  <c r="R710" i="1"/>
  <c r="M710" i="1"/>
  <c r="Q710" i="1"/>
  <c r="A696" i="1"/>
  <c r="K696" i="1"/>
  <c r="P696" i="1"/>
  <c r="J696" i="1"/>
  <c r="M696" i="1"/>
  <c r="L690" i="1"/>
  <c r="Q690" i="1"/>
  <c r="O690" i="1"/>
  <c r="B690" i="1"/>
  <c r="J690" i="1"/>
  <c r="N684" i="1"/>
  <c r="P684" i="1"/>
  <c r="J684" i="1"/>
  <c r="M684" i="1"/>
  <c r="A678" i="1"/>
  <c r="O678" i="1"/>
  <c r="N678" i="1"/>
  <c r="K678" i="1"/>
  <c r="J678" i="1"/>
  <c r="N664" i="1"/>
  <c r="O664" i="1"/>
  <c r="Q664" i="1"/>
  <c r="M664" i="1"/>
  <c r="M658" i="1"/>
  <c r="B658" i="1"/>
  <c r="L658" i="1"/>
  <c r="Q658" i="1"/>
  <c r="Q652" i="1"/>
  <c r="R652" i="1"/>
  <c r="B652" i="1"/>
  <c r="O652" i="1"/>
  <c r="B646" i="1"/>
  <c r="L646" i="1"/>
  <c r="P646" i="1"/>
  <c r="R646" i="1"/>
  <c r="P632" i="1"/>
  <c r="J632" i="1"/>
  <c r="A632" i="1"/>
  <c r="M632" i="1"/>
  <c r="N1227" i="1"/>
  <c r="N1465" i="1"/>
  <c r="Q1400" i="1"/>
  <c r="L1466" i="1"/>
  <c r="N1401" i="1"/>
  <c r="N1411" i="1"/>
  <c r="P1411" i="1"/>
  <c r="B1411" i="1"/>
  <c r="K1411" i="1"/>
  <c r="R1403" i="1"/>
  <c r="N1403" i="1"/>
  <c r="P1403" i="1"/>
  <c r="B1403" i="1"/>
  <c r="K1403" i="1"/>
  <c r="A1476" i="1"/>
  <c r="N1476" i="1"/>
  <c r="P1476" i="1"/>
  <c r="R1476" i="1"/>
  <c r="M1476" i="1"/>
  <c r="L1468" i="1"/>
  <c r="N1468" i="1"/>
  <c r="A1468" i="1"/>
  <c r="B1468" i="1"/>
  <c r="R1468" i="1"/>
  <c r="L496" i="1"/>
  <c r="O512" i="1"/>
  <c r="Q505" i="1"/>
  <c r="R513" i="1"/>
  <c r="J502" i="1"/>
  <c r="B510" i="1"/>
  <c r="P501" i="1"/>
  <c r="M1102" i="1"/>
  <c r="L1190" i="1"/>
  <c r="P1110" i="1"/>
  <c r="L1091" i="1"/>
  <c r="K1115" i="1"/>
  <c r="N1131" i="1"/>
  <c r="N1155" i="1"/>
  <c r="P1179" i="1"/>
  <c r="N1195" i="1"/>
  <c r="O1219" i="1"/>
  <c r="M1132" i="1"/>
  <c r="N1196" i="1"/>
  <c r="O1180" i="1"/>
  <c r="P1126" i="1"/>
  <c r="O1159" i="1"/>
  <c r="R1093" i="1"/>
  <c r="L1109" i="1"/>
  <c r="Q1133" i="1"/>
  <c r="Q1157" i="1"/>
  <c r="L1173" i="1"/>
  <c r="M1197" i="1"/>
  <c r="N1221" i="1"/>
  <c r="P1118" i="1"/>
  <c r="M1166" i="1"/>
  <c r="P1087" i="1"/>
  <c r="P1134" i="1"/>
  <c r="J1127" i="1"/>
  <c r="J638" i="1"/>
  <c r="J644" i="1"/>
  <c r="J650" i="1"/>
  <c r="R656" i="1"/>
  <c r="R670" i="1"/>
  <c r="K676" i="1"/>
  <c r="K682" i="1"/>
  <c r="K688" i="1"/>
  <c r="B702" i="1"/>
  <c r="A708" i="1"/>
  <c r="M720" i="1"/>
  <c r="Q734" i="1"/>
  <c r="O740" i="1"/>
  <c r="N746" i="1"/>
  <c r="A752" i="1"/>
  <c r="M766" i="1"/>
  <c r="K632" i="1"/>
  <c r="Q646" i="1"/>
  <c r="N652" i="1"/>
  <c r="A658" i="1"/>
  <c r="M678" i="1"/>
  <c r="K684" i="1"/>
  <c r="N690" i="1"/>
  <c r="O710" i="1"/>
  <c r="L716" i="1"/>
  <c r="R728" i="1"/>
  <c r="L742" i="1"/>
  <c r="J754" i="1"/>
  <c r="O760" i="1"/>
  <c r="B1227" i="1"/>
  <c r="M1465" i="1"/>
  <c r="P1400" i="1"/>
  <c r="K1466" i="1"/>
  <c r="M1401" i="1"/>
  <c r="J504" i="1"/>
  <c r="K512" i="1"/>
  <c r="M505" i="1"/>
  <c r="Q502" i="1"/>
  <c r="L493" i="1"/>
  <c r="A501" i="1"/>
  <c r="A750" i="1"/>
  <c r="O750" i="1"/>
  <c r="R1463" i="1"/>
  <c r="R1471" i="1"/>
  <c r="L1398" i="1"/>
  <c r="K1406" i="1"/>
  <c r="P1407" i="1"/>
  <c r="M507" i="1"/>
  <c r="N492" i="1"/>
  <c r="A492" i="1"/>
  <c r="Q508" i="1"/>
  <c r="K491" i="1"/>
  <c r="R499" i="1"/>
  <c r="N1463" i="1"/>
  <c r="N1471" i="1"/>
  <c r="Q1398" i="1"/>
  <c r="N1406" i="1"/>
  <c r="A1464" i="1"/>
  <c r="J1464" i="1"/>
  <c r="R507" i="1"/>
  <c r="O500" i="1"/>
  <c r="N500" i="1"/>
  <c r="J1402" i="1"/>
  <c r="B499" i="1"/>
  <c r="N499" i="1"/>
  <c r="L499" i="1"/>
  <c r="L491" i="1"/>
  <c r="Q491" i="1"/>
  <c r="L1463" i="1"/>
  <c r="A1471" i="1"/>
  <c r="B1398" i="1"/>
  <c r="K1407" i="1"/>
  <c r="P507" i="1"/>
  <c r="O491" i="1"/>
  <c r="A491" i="1"/>
  <c r="O499" i="1"/>
  <c r="B19" i="10" a="1"/>
  <c r="B19" i="10" s="1"/>
  <c r="A1078" i="1"/>
  <c r="B1078" i="1"/>
  <c r="A1070" i="1"/>
  <c r="B1070" i="1"/>
  <c r="A1062" i="1"/>
  <c r="B1062" i="1"/>
  <c r="A1054" i="1"/>
  <c r="B1054" i="1"/>
  <c r="A1046" i="1"/>
  <c r="B1046" i="1"/>
  <c r="A1038" i="1"/>
  <c r="B1038" i="1"/>
  <c r="A1030" i="1"/>
  <c r="B1030" i="1"/>
  <c r="A1022" i="1"/>
  <c r="B1022" i="1"/>
  <c r="A1014" i="1"/>
  <c r="B1014" i="1"/>
  <c r="A1006" i="1"/>
  <c r="B1006" i="1"/>
  <c r="A998" i="1"/>
  <c r="B998" i="1"/>
  <c r="A990" i="1"/>
  <c r="B990" i="1"/>
  <c r="A982" i="1"/>
  <c r="B982" i="1"/>
  <c r="A974" i="1"/>
  <c r="B974" i="1"/>
  <c r="O1465" i="1"/>
  <c r="B1079" i="1"/>
  <c r="B1071" i="1"/>
  <c r="B1063" i="1"/>
  <c r="B1055" i="1"/>
  <c r="B1047" i="1"/>
  <c r="B1039" i="1"/>
  <c r="B1033" i="1"/>
  <c r="B1025" i="1"/>
  <c r="B1017" i="1"/>
  <c r="B1009" i="1"/>
  <c r="B1001" i="1"/>
  <c r="B993" i="1"/>
  <c r="B985" i="1"/>
  <c r="B977" i="1"/>
  <c r="A1412" i="1"/>
  <c r="O1476" i="1"/>
  <c r="O1463" i="1"/>
  <c r="J1471" i="1"/>
  <c r="O1398" i="1"/>
  <c r="J1406" i="1"/>
  <c r="J1472" i="1"/>
  <c r="O1399" i="1"/>
  <c r="O1468" i="1"/>
  <c r="O1403" i="1"/>
  <c r="O1408" i="1"/>
  <c r="J1474" i="1"/>
  <c r="O1401" i="1"/>
  <c r="J1475" i="1"/>
  <c r="O1461" i="1"/>
  <c r="J1469" i="1"/>
  <c r="J1404" i="1"/>
  <c r="A1397" i="1"/>
  <c r="O1409" i="1"/>
  <c r="A1403" i="1"/>
  <c r="O1470" i="1"/>
  <c r="O1405" i="1"/>
  <c r="J1413" i="1"/>
  <c r="A1398" i="1"/>
  <c r="J1411" i="1"/>
  <c r="O1464" i="1"/>
  <c r="J1465" i="1"/>
  <c r="J1400" i="1"/>
  <c r="A1400" i="1"/>
  <c r="O1474" i="1"/>
  <c r="O1475" i="1"/>
  <c r="O1404" i="1"/>
  <c r="O1471" i="1"/>
  <c r="O1406" i="1"/>
  <c r="O1472" i="1"/>
  <c r="A1407" i="1"/>
  <c r="O1469" i="1"/>
  <c r="J1477" i="1"/>
  <c r="J1412" i="1"/>
  <c r="J1462" i="1"/>
  <c r="J1397" i="1"/>
  <c r="A1405" i="1"/>
  <c r="A1399" i="1"/>
  <c r="O1411" i="1"/>
  <c r="J1407" i="1"/>
  <c r="J1410" i="1"/>
  <c r="A1404" i="1"/>
  <c r="O1413" i="1"/>
  <c r="J1476" i="1"/>
  <c r="J1463" i="1"/>
  <c r="J1398" i="1"/>
  <c r="A1406" i="1"/>
  <c r="J1399" i="1"/>
  <c r="J1468" i="1"/>
  <c r="A1411" i="1"/>
  <c r="A1410" i="1"/>
  <c r="J1473" i="1"/>
  <c r="J1408" i="1"/>
  <c r="J1466" i="1"/>
  <c r="J1401"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7"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4"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5"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1"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77"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9"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1"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85" authorId="11"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91" authorId="12"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96" authorId="13"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4"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8"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9"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2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2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22"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3"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24"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<sst xmlns="http://schemas.openxmlformats.org/spreadsheetml/2006/main" count="16561" uniqueCount="3744">
  <si>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</si>
  <si>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</si>
  <si>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</si>
  <si>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</si>
  <si>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</si>
  <si>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</si>
  <si>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</si>
  <si>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</si>
  <si>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</si>
  <si>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</si>
  <si>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</si>
  <si>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</si>
  <si>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</si>
  <si>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</si>
  <si>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</si>
  <si>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</si>
  <si>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</si>
  <si>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</si>
  <si>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</si>
  <si>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</si>
  <si>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</si>
  <si>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</si>
  <si>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</si>
  <si>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</si>
  <si>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</si>
  <si>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</si>
  <si>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</si>
  <si>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</si>
  <si>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</si>
  <si>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</si>
  <si>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</si>
  <si>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</si>
  <si>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</si>
  <si>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</si>
  <si>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</si>
  <si>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</si>
  <si>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</si>
  <si>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</si>
  <si>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</si>
  <si>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</si>
  <si>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</si>
  <si>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</si>
  <si>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</si>
  <si>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</si>
  <si>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</si>
  <si>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</si>
  <si>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</si>
  <si>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</si>
  <si>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</si>
  <si>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</si>
  <si>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</si>
  <si>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</si>
  <si>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</si>
  <si>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</si>
  <si>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</si>
  <si>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</si>
  <si>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</si>
  <si>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</si>
  <si>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</si>
  <si>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</si>
  <si>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</si>
  <si>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</si>
  <si>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</si>
  <si>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</si>
  <si>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</si>
  <si>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</si>
  <si>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</si>
  <si>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</si>
  <si>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</si>
  <si>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</si>
  <si>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</si>
  <si>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</si>
  <si>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</si>
  <si>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</si>
  <si>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</si>
  <si>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</si>
  <si>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</si>
  <si>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</si>
  <si>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</si>
  <si>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</si>
  <si>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</si>
  <si>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</si>
  <si>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</si>
  <si>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</si>
  <si>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</si>
  <si>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</si>
  <si>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</si>
  <si>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</si>
  <si>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</si>
  <si>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</si>
  <si>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</si>
  <si>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</si>
  <si>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</si>
  <si>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</si>
  <si>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</si>
  <si>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</si>
  <si>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</si>
  <si>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</si>
  <si>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</si>
  <si>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</si>
  <si>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</si>
  <si>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</si>
  <si>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</si>
  <si>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</si>
  <si>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</si>
  <si>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</si>
  <si>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</si>
  <si>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</si>
  <si>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</si>
  <si>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</si>
  <si>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</si>
  <si>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</si>
  <si>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</si>
  <si>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</si>
  <si>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</si>
  <si>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</si>
  <si>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</si>
  <si>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</si>
  <si>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</si>
  <si>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</si>
  <si>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</si>
  <si>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</si>
  <si>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</si>
  <si>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</si>
  <si>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</si>
  <si>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</si>
  <si>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</si>
  <si>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</si>
  <si>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</si>
  <si>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</si>
  <si>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</si>
  <si>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</si>
  <si>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</si>
  <si>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</si>
  <si>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</si>
  <si>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</si>
  <si>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</si>
  <si>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Business as Usual</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</si>
  <si>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</si>
  <si>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</si>
  <si>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</si>
  <si>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</si>
  <si>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</si>
  <si>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</si>
  <si>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</si>
  <si>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</si>
  <si>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</si>
  <si>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</si>
  <si>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</si>
  <si>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</si>
  <si>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</si>
  <si>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</si>
  <si>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</si>
  <si>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</si>
  <si>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</si>
  <si>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</si>
  <si>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</si>
  <si>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</si>
  <si>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</si>
  <si>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</si>
  <si>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</si>
  <si>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</si>
  <si>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</si>
  <si>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</si>
  <si>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</si>
  <si>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</si>
  <si>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</si>
  <si>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</si>
  <si>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</si>
  <si>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</si>
  <si>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</si>
  <si>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</si>
  <si>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</si>
  <si>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</si>
  <si>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</si>
  <si>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</si>
  <si>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</si>
  <si>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</si>
  <si>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</si>
  <si>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</si>
  <si>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</si>
  <si>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</si>
  <si>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</si>
  <si>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</si>
  <si>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</si>
  <si>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</si>
  <si>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</si>
  <si>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</si>
  <si>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</si>
  <si>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</si>
  <si>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</si>
  <si>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</si>
  <si>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</si>
  <si>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</si>
  <si>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</si>
  <si>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</si>
  <si>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</si>
  <si>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</si>
  <si>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</si>
  <si>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</si>
  <si>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</si>
  <si>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</si>
  <si>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</si>
  <si>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</si>
  <si>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</si>
  <si>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</si>
  <si>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</si>
  <si>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</si>
  <si>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</si>
  <si>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</si>
  <si>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</si>
  <si>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</si>
  <si>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</si>
  <si>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</si>
  <si>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</si>
  <si>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</si>
  <si>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</si>
  <si>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</si>
  <si>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</si>
  <si>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</si>
  <si>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</si>
  <si>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</si>
  <si>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</si>
  <si>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</si>
  <si>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</si>
  <si>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</si>
  <si>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</si>
  <si>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</si>
  <si>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</si>
  <si>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</si>
  <si>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</si>
  <si>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</si>
  <si>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</si>
  <si>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</si>
  <si>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</si>
  <si>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</si>
  <si>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</si>
  <si>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</si>
  <si>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</si>
  <si>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</si>
  <si>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</si>
  <si>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</si>
  <si>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</si>
  <si>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</si>
  <si>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</si>
  <si>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</si>
  <si>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</si>
  <si>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</si>
  <si>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</si>
  <si>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</si>
  <si>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</si>
  <si>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</si>
  <si>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</si>
  <si>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</si>
  <si>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</si>
  <si>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</si>
  <si>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</si>
  <si>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</si>
  <si>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</si>
  <si>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</si>
  <si>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</si>
  <si>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</si>
  <si>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</si>
  <si>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</si>
  <si>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</si>
  <si>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</si>
  <si>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</si>
  <si>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</si>
  <si>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</si>
  <si>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</si>
  <si>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</si>
  <si>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</si>
  <si>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</si>
  <si>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</si>
  <si>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</si>
  <si>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</si>
  <si>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</si>
  <si>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</si>
  <si>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</si>
  <si>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</si>
  <si>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</si>
  <si>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</si>
  <si>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</si>
  <si>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</si>
  <si>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</si>
  <si>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</si>
  <si>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</si>
  <si>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</si>
  <si>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</si>
  <si>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</si>
  <si>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</si>
  <si>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</si>
  <si>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</si>
  <si>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</si>
  <si>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</si>
  <si>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</si>
  <si>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</si>
  <si>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</si>
  <si>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</si>
  <si>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</si>
  <si>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</si>
  <si>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</si>
  <si>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</si>
  <si>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</si>
  <si>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</si>
  <si>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</si>
  <si>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</si>
  <si>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</si>
  <si>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</si>
  <si>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</si>
  <si>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</si>
  <si>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</si>
  <si>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</si>
  <si>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</si>
  <si>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</si>
  <si>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</si>
  <si>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</si>
  <si>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</si>
  <si>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</si>
  <si>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</si>
  <si>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</si>
  <si>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</si>
  <si>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</si>
  <si>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</si>
  <si>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</si>
  <si>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</si>
  <si>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</si>
  <si>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</si>
  <si>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</si>
  <si>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</si>
  <si>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</si>
  <si>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</si>
  <si>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</si>
  <si>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</si>
  <si>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</si>
  <si>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</si>
  <si>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</si>
  <si>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</si>
  <si>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</si>
  <si>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</si>
  <si>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</si>
  <si>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</si>
  <si>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</si>
  <si>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</si>
  <si>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</si>
  <si>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</si>
  <si>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</si>
  <si>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</si>
  <si>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</si>
  <si>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</si>
  <si>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</si>
  <si>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</si>
  <si>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</si>
  <si>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</si>
  <si>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</si>
  <si>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</si>
  <si>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</si>
  <si>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</si>
  <si>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</si>
  <si>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</si>
  <si>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</si>
  <si>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</si>
  <si>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</si>
  <si>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</si>
  <si>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</si>
  <si>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</si>
  <si>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</si>
  <si>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</si>
  <si>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</si>
  <si>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</si>
  <si>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</si>
  <si>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</si>
  <si>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</si>
  <si>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</si>
  <si>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</si>
  <si>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</si>
  <si>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</si>
  <si>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</si>
  <si>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</si>
  <si>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</si>
  <si>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</si>
  <si>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</si>
  <si>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</si>
  <si>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</si>
  <si>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</si>
  <si>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</si>
  <si>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</si>
  <si>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</si>
  <si>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</si>
  <si>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</si>
  <si>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</si>
  <si>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</si>
  <si>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</si>
  <si>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</si>
  <si>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</si>
  <si>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</si>
  <si>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</si>
  <si>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</si>
  <si>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</si>
  <si>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</si>
  <si>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</si>
  <si>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</si>
  <si>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</si>
  <si>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</si>
  <si>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</si>
  <si>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</si>
  <si>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</si>
  <si>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</si>
  <si>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</si>
  <si>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</si>
  <si>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</si>
  <si>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</si>
  <si>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</si>
  <si>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</si>
  <si>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</si>
  <si>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</si>
  <si>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</si>
  <si>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</si>
  <si>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</si>
  <si>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</si>
  <si>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</si>
  <si>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</si>
  <si>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</si>
  <si>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</si>
  <si>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</si>
  <si>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</si>
  <si>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</si>
  <si>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</si>
  <si>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</si>
  <si>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</si>
  <si>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</si>
  <si>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</si>
  <si>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</si>
  <si>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</si>
  <si>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</si>
  <si>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</si>
  <si>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</si>
  <si>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</si>
  <si>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</si>
  <si>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</si>
  <si>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</si>
  <si>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</si>
  <si>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</si>
  <si>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</si>
  <si>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</si>
  <si>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</si>
  <si>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</si>
  <si>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</si>
  <si>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</si>
  <si>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</si>
  <si>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</si>
  <si>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</si>
  <si>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</si>
  <si>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</si>
  <si>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</si>
  <si>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</si>
  <si>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</si>
  <si>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</si>
  <si>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</si>
  <si>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</si>
  <si>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</si>
  <si>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</si>
  <si>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</si>
  <si>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</si>
  <si>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</si>
  <si>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</si>
  <si>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</si>
  <si>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</si>
  <si>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</si>
  <si>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</si>
  <si>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</si>
  <si>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</si>
  <si>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</si>
  <si>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</si>
  <si>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</si>
  <si>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</si>
  <si>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</si>
  <si>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</si>
  <si>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</si>
  <si>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</si>
  <si>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</si>
  <si>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</si>
  <si>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</si>
  <si>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</si>
  <si>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</si>
  <si>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</si>
  <si>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</si>
  <si>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</si>
  <si>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</si>
  <si>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</si>
  <si>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</si>
  <si>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</si>
  <si>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</si>
  <si>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</si>
  <si>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</si>
  <si>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</si>
  <si>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</si>
  <si>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</si>
  <si>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</si>
  <si>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</si>
  <si>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</si>
  <si>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</si>
  <si>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</si>
  <si>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</si>
  <si>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</si>
  <si>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</si>
  <si>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</si>
  <si>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</si>
  <si>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</si>
  <si>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</si>
  <si>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</si>
  <si>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</si>
  <si>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</si>
  <si>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</si>
  <si>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</si>
  <si>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</si>
  <si>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</si>
  <si>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</si>
  <si>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</si>
  <si>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</si>
  <si>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</si>
  <si>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</si>
  <si>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</si>
  <si>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</si>
  <si>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</si>
  <si>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</si>
  <si>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</si>
  <si>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</si>
  <si>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</si>
  <si>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</si>
  <si>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</si>
  <si>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</si>
  <si>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</si>
  <si>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</si>
  <si>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</si>
  <si>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</si>
  <si>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</si>
  <si>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</si>
  <si>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</si>
  <si>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</si>
  <si>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</si>
  <si>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</si>
  <si>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</si>
  <si>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</si>
  <si>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</si>
  <si>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</si>
  <si>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</si>
  <si>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</si>
  <si>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</si>
  <si>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</si>
  <si>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</si>
  <si>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</si>
  <si>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</si>
  <si>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</si>
  <si>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</si>
  <si>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</si>
  <si>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</si>
  <si>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</si>
  <si>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</si>
  <si>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</si>
  <si>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</si>
  <si>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</si>
  <si>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</si>
  <si>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</si>
  <si>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</si>
  <si>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</si>
  <si>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</si>
  <si>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</si>
  <si>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</si>
  <si>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</si>
  <si>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</si>
  <si>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</si>
  <si>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</si>
  <si>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</si>
  <si>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</si>
  <si>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</si>
  <si>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</si>
  <si>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</si>
  <si>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</si>
  <si>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</si>
  <si>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</si>
  <si>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</si>
  <si>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</si>
  <si>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</si>
  <si>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</si>
  <si>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</si>
  <si>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</si>
  <si>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</si>
  <si>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</si>
  <si>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</si>
  <si>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</si>
  <si>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</si>
  <si>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</si>
  <si>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</si>
  <si>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</si>
  <si>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</si>
  <si>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</si>
  <si>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</si>
  <si>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</si>
  <si>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</si>
  <si>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</si>
  <si>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</si>
  <si>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</si>
  <si>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</si>
  <si>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</si>
  <si>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</si>
  <si>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</si>
  <si>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</si>
  <si>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</si>
  <si>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</si>
  <si>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</si>
  <si>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</si>
  <si>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</si>
  <si>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</si>
  <si>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</si>
  <si>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</si>
  <si>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</si>
  <si>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</si>
  <si>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</si>
  <si>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</si>
  <si>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</si>
  <si>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</si>
  <si>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</si>
  <si>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</si>
  <si>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</si>
  <si>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</si>
  <si>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</si>
  <si>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</si>
  <si>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</si>
  <si>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</si>
  <si>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</si>
  <si>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</si>
  <si>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</si>
  <si>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</si>
  <si>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</si>
  <si>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</si>
  <si>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</si>
  <si>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</si>
  <si>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</si>
  <si>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</si>
  <si>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</si>
  <si>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</si>
  <si>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</si>
  <si>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</si>
  <si>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</si>
  <si>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</si>
  <si>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</si>
  <si>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</si>
  <si>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</si>
  <si>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</si>
  <si>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</si>
  <si>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</si>
  <si>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</si>
  <si>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</si>
  <si>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</si>
  <si>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</si>
  <si>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</si>
  <si>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</si>
  <si>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</si>
  <si>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</si>
  <si>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</si>
  <si>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</si>
  <si>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</si>
  <si>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</si>
  <si>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</si>
  <si>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</si>
  <si>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</si>
  <si>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</si>
  <si>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</si>
  <si>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</si>
  <si>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</si>
  <si>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</si>
  <si>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</si>
  <si>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</si>
  <si>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</si>
  <si>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</si>
  <si>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</si>
  <si>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</si>
  <si>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</si>
  <si>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</si>
  <si>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</si>
  <si>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</si>
  <si>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</si>
  <si>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</si>
  <si>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</si>
  <si>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</si>
  <si>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</si>
  <si>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</si>
  <si>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</si>
  <si>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</si>
  <si>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</si>
  <si>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</si>
  <si>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</si>
  <si>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</si>
  <si>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</si>
  <si>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</si>
  <si>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</si>
  <si>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</si>
  <si>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</si>
  <si>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</si>
  <si>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</si>
  <si>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</si>
  <si>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</si>
  <si>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</si>
  <si>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</si>
  <si>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</si>
  <si>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</si>
  <si>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</si>
  <si>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</si>
  <si>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</si>
  <si>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</si>
  <si>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</si>
  <si>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</si>
  <si>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</si>
  <si>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</si>
  <si>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</si>
  <si>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</si>
  <si>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</si>
  <si>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</si>
  <si>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</si>
  <si>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</si>
  <si>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</si>
  <si>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</si>
  <si>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</si>
  <si>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</si>
  <si>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</si>
  <si>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</si>
  <si>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</si>
  <si>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</si>
  <si>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</si>
  <si>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</si>
  <si>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</si>
  <si>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</si>
  <si>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</si>
  <si>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</si>
  <si>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</si>
  <si>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</si>
  <si>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</si>
  <si>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</si>
  <si>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</si>
  <si>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</si>
  <si>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</si>
  <si>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</si>
  <si>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</si>
  <si>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</si>
  <si>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</si>
  <si>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</si>
  <si>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</si>
  <si>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</si>
  <si>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</si>
  <si>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</si>
  <si>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</si>
  <si>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</si>
  <si>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</si>
  <si>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</si>
  <si>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</si>
  <si>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</si>
  <si>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</si>
  <si>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</si>
  <si>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</si>
  <si>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</si>
  <si>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</si>
  <si>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</si>
  <si>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</si>
  <si>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</si>
  <si>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</si>
  <si>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</si>
  <si>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</si>
  <si>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</si>
  <si>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</si>
  <si>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</si>
  <si>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</si>
  <si>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</si>
  <si>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</si>
  <si>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</si>
  <si>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</si>
  <si>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</si>
  <si>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</si>
  <si>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</si>
  <si>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</si>
  <si>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</si>
  <si>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</si>
  <si>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</si>
  <si>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</si>
  <si>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</si>
  <si>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</si>
  <si>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</si>
  <si>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</si>
  <si>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</si>
  <si>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</si>
  <si>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</si>
  <si>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</si>
  <si>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</si>
  <si>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</si>
  <si>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</si>
  <si>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</si>
  <si>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</si>
  <si>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</si>
  <si>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</si>
  <si>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</si>
  <si>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</si>
  <si>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</si>
  <si>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</si>
  <si>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</si>
  <si>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</si>
  <si>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</si>
  <si>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</si>
  <si>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</si>
  <si>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</si>
  <si>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</si>
  <si>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</si>
  <si>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</si>
  <si>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</si>
  <si>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</si>
  <si>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</si>
  <si>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</si>
  <si>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</si>
  <si>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</si>
  <si>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</si>
  <si>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</si>
  <si>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</si>
  <si>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</si>
  <si>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</si>
  <si>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</si>
  <si>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</si>
  <si>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</si>
  <si>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</si>
  <si>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</si>
  <si>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</si>
  <si>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</si>
  <si>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</si>
  <si>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</si>
  <si>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</si>
  <si>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</si>
  <si>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</si>
  <si>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</si>
  <si>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</si>
  <si>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</si>
  <si>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</si>
  <si>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</si>
  <si>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</si>
  <si>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</si>
  <si>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</si>
  <si>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</si>
  <si>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</si>
  <si>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</si>
  <si>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</si>
  <si>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</si>
  <si>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</si>
  <si>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</si>
  <si>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</si>
  <si>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</si>
  <si>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</si>
  <si>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</si>
  <si>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</si>
  <si>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</si>
  <si>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</si>
  <si>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</si>
  <si>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</si>
  <si>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</si>
  <si>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</si>
  <si>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</si>
  <si>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</si>
  <si>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</si>
  <si>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</si>
  <si>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</si>
  <si>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</si>
  <si>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</si>
  <si>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</si>
  <si>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</si>
  <si>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</si>
  <si>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</si>
  <si>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</si>
  <si>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</si>
  <si>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</si>
  <si>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</si>
  <si>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</si>
  <si>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</si>
  <si>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</si>
  <si>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</si>
  <si>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</si>
  <si>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</si>
  <si>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</si>
  <si>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</si>
  <si>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</si>
  <si>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</si>
  <si>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</si>
  <si>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</si>
  <si>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</si>
  <si>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</si>
  <si>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</si>
  <si>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</si>
  <si>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</si>
  <si>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</si>
  <si>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</si>
  <si>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</si>
  <si>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</si>
  <si>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</si>
  <si>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</si>
  <si>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</si>
  <si>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</si>
  <si>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</si>
  <si>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</si>
  <si>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</si>
  <si>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</si>
  <si>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</si>
  <si>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</si>
  <si>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</si>
  <si>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</si>
  <si>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</si>
  <si>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</si>
  <si>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</si>
  <si>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</si>
  <si>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</si>
  <si>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</si>
  <si>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</si>
  <si>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</si>
  <si>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</si>
  <si>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</si>
  <si>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</si>
  <si>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</si>
  <si>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</si>
  <si>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</si>
  <si>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</si>
  <si>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</si>
  <si>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</si>
  <si>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</si>
  <si>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</si>
  <si>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</si>
  <si>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</si>
  <si>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</si>
  <si>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</si>
  <si>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</si>
  <si>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</si>
  <si>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</si>
  <si>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</si>
  <si>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</si>
  <si>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</si>
  <si>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</si>
  <si>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</si>
  <si>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</si>
  <si>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</si>
  <si>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</si>
  <si>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</si>
  <si>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</si>
  <si>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</si>
  <si>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</si>
  <si>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</si>
  <si>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</si>
  <si>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</si>
  <si>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</si>
  <si>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</si>
  <si>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</si>
  <si>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</si>
  <si>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</si>
  <si>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</si>
  <si>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</si>
  <si>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</si>
  <si>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</si>
  <si>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</si>
  <si>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</si>
  <si>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</si>
  <si>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</si>
  <si>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</si>
  <si>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</si>
  <si>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</si>
  <si>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</si>
  <si>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</si>
  <si>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</si>
  <si>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</si>
  <si>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</si>
  <si>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</si>
  <si>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</si>
  <si>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</si>
  <si>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</si>
  <si>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</si>
  <si>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</si>
  <si>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</si>
  <si>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</si>
  <si>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</si>
  <si>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</si>
  <si>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</si>
  <si>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</si>
  <si>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</si>
  <si>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</si>
  <si>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</si>
  <si>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</si>
  <si>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</si>
  <si>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</si>
  <si>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</si>
  <si>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</si>
  <si>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</si>
  <si>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</si>
  <si>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</si>
  <si>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</si>
  <si>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</si>
  <si>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</si>
  <si>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</si>
  <si>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</si>
  <si>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</si>
  <si>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</si>
  <si>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</si>
  <si>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</si>
  <si>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</si>
  <si>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</si>
  <si>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</si>
  <si>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</si>
  <si>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</si>
  <si>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</si>
  <si>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</si>
  <si>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</si>
  <si>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</si>
  <si>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</si>
  <si>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</si>
  <si>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</si>
  <si>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</si>
  <si>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</si>
  <si>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</si>
  <si>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</si>
  <si>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</si>
  <si>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</si>
  <si>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</si>
  <si>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</si>
  <si>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</si>
  <si>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</si>
  <si>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</si>
  <si>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</si>
  <si>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</si>
  <si>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</si>
  <si>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</si>
  <si>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</si>
  <si>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</si>
  <si>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</si>
  <si>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</si>
  <si>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</si>
  <si>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</si>
  <si>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</si>
  <si>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</si>
  <si>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</si>
  <si>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</si>
  <si>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</si>
  <si>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</si>
  <si>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</si>
  <si>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</si>
  <si>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</si>
  <si>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</si>
  <si>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</si>
  <si>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</si>
  <si>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</si>
  <si>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</si>
  <si>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</si>
  <si>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</si>
  <si>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</si>
  <si>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</si>
  <si>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</si>
  <si>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</si>
  <si>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</si>
  <si>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</si>
  <si>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</si>
  <si>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</si>
  <si>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</si>
  <si>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</si>
  <si>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</si>
  <si>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</si>
  <si>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</si>
  <si>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</si>
  <si>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</si>
  <si>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</si>
  <si>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</si>
  <si>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</si>
  <si>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</si>
  <si>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</si>
  <si>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</si>
  <si>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</si>
  <si>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</si>
  <si>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</si>
  <si>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</si>
  <si>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</si>
  <si>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</si>
  <si>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</si>
  <si>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</si>
  <si>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</si>
  <si>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</si>
  <si>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</si>
  <si>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</si>
  <si>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</si>
  <si>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</si>
  <si>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</si>
  <si>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</si>
  <si>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</si>
  <si>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</si>
  <si>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</si>
  <si>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</si>
  <si>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</si>
  <si>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</si>
  <si>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</si>
  <si>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</si>
  <si>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</si>
  <si>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</si>
  <si>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</si>
  <si>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</si>
  <si>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</si>
  <si>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</si>
  <si>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</si>
  <si>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</si>
  <si>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</si>
  <si>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</si>
  <si>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</si>
  <si>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</si>
  <si>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</si>
  <si>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</si>
  <si>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</si>
  <si>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</si>
  <si>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</si>
  <si>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</si>
  <si>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</si>
  <si>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</si>
  <si>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</si>
  <si>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</si>
  <si>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</si>
  <si>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</si>
  <si>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</si>
  <si>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</si>
  <si>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</si>
  <si>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</si>
  <si>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</si>
  <si>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</si>
  <si>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</si>
  <si>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</si>
  <si>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</si>
  <si>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</si>
  <si>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</si>
  <si>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</si>
  <si>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</si>
  <si>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</si>
  <si>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</si>
  <si>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</si>
  <si>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</si>
  <si>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</si>
  <si>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</si>
  <si>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</si>
  <si>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</si>
  <si>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</si>
  <si>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</si>
  <si>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</si>
  <si>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</si>
  <si>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</si>
  <si>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</si>
  <si>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</si>
  <si>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</si>
  <si>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</si>
  <si>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</si>
  <si>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</si>
  <si>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</si>
  <si>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</si>
  <si>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</si>
  <si>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</si>
  <si>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</si>
  <si>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</si>
  <si>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</si>
  <si>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</si>
  <si>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</si>
  <si>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</si>
  <si>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</si>
  <si>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</si>
  <si>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</si>
  <si>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</si>
  <si>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</si>
  <si>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</si>
  <si>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</si>
  <si>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</si>
  <si>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</si>
  <si>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</si>
  <si>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</si>
  <si>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</si>
  <si>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</si>
  <si>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</si>
  <si>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</si>
  <si>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</si>
  <si>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</si>
  <si>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</si>
  <si>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</si>
  <si>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</si>
  <si>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</si>
  <si>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</si>
  <si>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</si>
  <si>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</si>
  <si>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</si>
  <si>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</si>
  <si>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</si>
  <si>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</si>
  <si>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</si>
  <si>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</si>
  <si>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</si>
  <si>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</si>
  <si>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</si>
  <si>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</si>
  <si>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</si>
  <si>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</si>
  <si>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</si>
  <si>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</si>
  <si>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</si>
  <si>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</si>
  <si>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</si>
  <si>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</si>
  <si>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</si>
  <si>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</si>
  <si>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</si>
  <si>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</si>
  <si>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</si>
  <si>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</si>
  <si>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</si>
  <si>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</si>
  <si>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</si>
  <si>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</si>
  <si>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</si>
  <si>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</si>
  <si>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</si>
  <si>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</si>
  <si>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</si>
  <si>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</si>
  <si>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</si>
  <si>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</si>
  <si>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</si>
  <si>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</si>
  <si>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</si>
  <si>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</si>
  <si>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</si>
  <si>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</si>
  <si>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</si>
  <si>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</si>
  <si>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</si>
  <si>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</si>
  <si>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</si>
  <si>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</si>
  <si>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</si>
  <si>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</si>
  <si>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</si>
  <si>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</si>
  <si>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</si>
  <si>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</si>
  <si>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</si>
  <si>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</si>
  <si>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</si>
  <si>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</si>
  <si>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</si>
  <si>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</si>
  <si>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</si>
  <si>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</si>
  <si>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</si>
  <si>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</si>
  <si>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</si>
  <si>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</si>
  <si>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</si>
  <si>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</si>
  <si>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</si>
  <si>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</si>
  <si>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</si>
  <si>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</si>
  <si>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</si>
  <si>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</si>
  <si>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</si>
  <si>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</si>
  <si>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</si>
  <si>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</si>
  <si>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</si>
  <si>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</si>
  <si>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</si>
  <si>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</si>
  <si>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</si>
  <si>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</si>
  <si>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</si>
  <si>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</si>
  <si>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</si>
  <si>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</si>
  <si>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</si>
  <si>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</si>
  <si>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</si>
  <si>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</si>
  <si>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</si>
  <si>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</si>
  <si>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</si>
  <si>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</si>
  <si>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</si>
  <si>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</si>
  <si>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</si>
  <si>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</si>
  <si>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</si>
  <si>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</si>
  <si>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</si>
  <si>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</si>
  <si>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</si>
  <si>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</si>
  <si>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</si>
  <si>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</si>
  <si>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</si>
  <si>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</si>
  <si>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</si>
  <si>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</si>
  <si>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</si>
  <si>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</si>
  <si>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</si>
  <si>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</si>
  <si>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</si>
  <si>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</si>
  <si>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</si>
  <si>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</si>
  <si>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</si>
  <si>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</si>
  <si>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</si>
  <si>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</si>
  <si>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</si>
  <si>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</si>
  <si>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</si>
  <si>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</si>
  <si>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</si>
  <si>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</si>
  <si>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</si>
  <si>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</si>
  <si>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</si>
  <si>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</si>
  <si>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</si>
  <si>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</si>
  <si>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</si>
  <si>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</si>
  <si>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</si>
  <si>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</si>
  <si>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</si>
  <si>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</si>
  <si>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</si>
  <si>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</si>
  <si>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</si>
  <si>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</si>
  <si>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</si>
  <si>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</si>
  <si>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</si>
  <si>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</si>
  <si>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</si>
  <si>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</si>
  <si>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</si>
  <si>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</si>
  <si>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</si>
  <si>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</si>
  <si>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</si>
  <si>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</si>
  <si>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</si>
  <si>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</si>
  <si>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</si>
  <si>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</si>
  <si>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</si>
  <si>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</si>
  <si>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</si>
  <si>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</si>
  <si>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</si>
  <si>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</si>
  <si>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</si>
  <si>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</si>
  <si>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</si>
  <si>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</si>
  <si>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</si>
  <si>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</si>
  <si>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</si>
  <si>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</si>
  <si>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</si>
  <si>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</si>
  <si>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</si>
  <si>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</si>
  <si>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</si>
  <si>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</si>
  <si>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</si>
  <si>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</si>
  <si>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</si>
  <si>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</si>
  <si>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</si>
  <si>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</si>
  <si>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</si>
  <si>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</si>
  <si>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</si>
  <si>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</si>
  <si>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</si>
  <si>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</si>
  <si>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</si>
  <si>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</si>
  <si>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</si>
  <si>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</si>
  <si>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</si>
  <si>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</si>
  <si>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</si>
  <si>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</si>
  <si>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</si>
  <si>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</si>
  <si>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</si>
  <si>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</si>
  <si>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</si>
  <si>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</si>
  <si>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</si>
  <si>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</si>
  <si>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</si>
  <si>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</si>
  <si>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</si>
  <si>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</si>
  <si>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</si>
  <si>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</si>
  <si>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</si>
  <si>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</si>
  <si>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</si>
  <si>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</si>
  <si>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</si>
  <si>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</si>
  <si>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</si>
  <si>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</si>
  <si>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</si>
  <si>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</si>
  <si>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</si>
  <si>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</si>
  <si>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</si>
  <si>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</si>
  <si>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</si>
  <si>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</si>
  <si>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</si>
  <si>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</si>
  <si>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</si>
  <si>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</si>
  <si>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</si>
  <si>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</si>
  <si>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</si>
  <si>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</si>
  <si>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</si>
  <si>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</si>
  <si>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</si>
  <si>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</si>
  <si>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</si>
  <si>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</si>
  <si>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</si>
  <si>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</si>
  <si>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</si>
  <si>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</si>
  <si>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</si>
  <si>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</si>
  <si>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</si>
  <si>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</si>
  <si>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</si>
  <si>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</si>
  <si>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</si>
  <si>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</si>
  <si>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</si>
  <si>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</si>
  <si>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</si>
  <si>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</si>
  <si>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</si>
  <si>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</si>
  <si>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</si>
  <si>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</si>
  <si>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</si>
  <si>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</si>
  <si>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</si>
  <si>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</si>
  <si>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</si>
  <si>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</si>
  <si>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</si>
  <si>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</si>
  <si>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</si>
  <si>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</si>
  <si>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</si>
  <si>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</si>
  <si>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</si>
  <si>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</si>
  <si>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</si>
  <si>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</si>
  <si>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</si>
  <si>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</si>
  <si>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</si>
  <si>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</si>
  <si>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</si>
  <si>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</si>
  <si>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</si>
  <si>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</si>
  <si>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</si>
  <si>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</si>
  <si>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</si>
  <si>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</si>
  <si>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</si>
  <si>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</si>
  <si>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</si>
  <si>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</si>
  <si>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</si>
  <si>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</si>
  <si>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</si>
  <si>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</si>
  <si>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</si>
  <si>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</si>
  <si>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</si>
  <si>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</si>
  <si>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</si>
  <si>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</si>
  <si>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</si>
  <si>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</si>
  <si>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</si>
  <si>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</si>
  <si>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</si>
  <si>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</si>
  <si>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</si>
  <si>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</si>
  <si>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</si>
  <si>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</si>
  <si>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</si>
  <si>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</si>
  <si>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</si>
  <si>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</si>
  <si>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</si>
  <si>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</si>
  <si>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</si>
  <si>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</si>
  <si>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</si>
  <si>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</si>
  <si>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</si>
  <si>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</si>
  <si>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</si>
  <si>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</si>
  <si>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</si>
  <si>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</si>
  <si>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</si>
  <si>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</si>
  <si>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</si>
  <si>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</si>
  <si>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</si>
  <si>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</si>
  <si>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</si>
  <si>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</si>
  <si>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</si>
  <si>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</si>
  <si>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</si>
  <si>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</si>
  <si>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</si>
  <si>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</si>
  <si>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</si>
  <si>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</si>
  <si>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</si>
  <si>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</si>
  <si>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</si>
  <si>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</si>
  <si>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</si>
  <si>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</si>
  <si>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</si>
  <si>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</si>
  <si>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</si>
  <si>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</si>
  <si>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</si>
  <si>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</si>
  <si>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</si>
  <si>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</si>
  <si>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</si>
  <si>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</si>
  <si>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</si>
  <si>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</si>
  <si>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</si>
  <si>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</si>
  <si>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</si>
  <si>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</si>
  <si>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</si>
  <si>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</si>
  <si>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</si>
  <si>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</si>
  <si>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</si>
  <si>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</si>
  <si>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</si>
  <si>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</si>
  <si>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</si>
  <si>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</si>
  <si>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</si>
  <si>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</si>
  <si>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</si>
  <si>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</si>
  <si>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</si>
  <si>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</si>
  <si>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</si>
  <si>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</si>
  <si>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</si>
  <si>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</si>
  <si>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</si>
  <si>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</si>
  <si>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</si>
  <si>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</si>
  <si>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</si>
  <si>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</si>
  <si>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</si>
  <si>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</si>
  <si>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</si>
  <si>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</si>
  <si>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</si>
  <si>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</si>
  <si>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</si>
  <si>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</si>
  <si>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</si>
  <si>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</si>
  <si>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</si>
  <si>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</si>
  <si>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</si>
  <si>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</si>
  <si>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</si>
  <si>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</si>
  <si>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</si>
  <si>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</si>
  <si>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</si>
  <si>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</si>
  <si>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</si>
  <si>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</si>
  <si>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</si>
  <si>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</si>
  <si>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</si>
  <si>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</si>
  <si>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</si>
  <si>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</si>
  <si>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</si>
  <si>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</si>
  <si>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</si>
  <si>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</si>
  <si>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</si>
  <si>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</si>
  <si>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</si>
  <si>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</si>
  <si>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</si>
  <si>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</si>
  <si>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</si>
  <si>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</si>
  <si>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</si>
  <si>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</si>
  <si>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</si>
  <si>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</si>
  <si>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</si>
  <si>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</si>
  <si>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</si>
  <si>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</si>
  <si>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</si>
  <si>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</si>
  <si>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</si>
  <si>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</si>
  <si>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</si>
  <si>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</si>
  <si>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</si>
  <si>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</si>
  <si>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</si>
  <si>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</si>
  <si>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</si>
  <si>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</si>
  <si>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</si>
  <si>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</si>
  <si>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</si>
  <si>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</si>
  <si>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</si>
  <si>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</si>
  <si>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</si>
  <si>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</si>
  <si>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</si>
  <si>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</si>
  <si>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</si>
  <si>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</si>
  <si>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</si>
  <si>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</si>
  <si>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</si>
  <si>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</si>
  <si>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</si>
  <si>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</si>
  <si>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</si>
  <si>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</si>
  <si>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</si>
  <si>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</si>
  <si>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</si>
  <si>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</si>
  <si>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</si>
  <si>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</si>
  <si>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</si>
  <si>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</si>
  <si>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</si>
  <si>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</si>
  <si>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</si>
  <si>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</si>
  <si>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</si>
  <si>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</si>
  <si>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</si>
  <si>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</si>
  <si>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</si>
  <si>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</si>
  <si>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</si>
  <si>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</si>
  <si>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</si>
  <si>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</si>
  <si>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</si>
  <si>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</si>
  <si>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</si>
  <si>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</si>
  <si>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</si>
  <si>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</si>
  <si>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</si>
  <si>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</si>
  <si>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</si>
  <si>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</si>
  <si>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</si>
  <si>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</si>
  <si>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</si>
  <si>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</si>
  <si>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</si>
  <si>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</si>
  <si>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</si>
  <si>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</si>
  <si>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</si>
  <si>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</si>
  <si>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</si>
  <si>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</si>
  <si>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</si>
  <si>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</si>
  <si>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</si>
  <si>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</si>
  <si>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</si>
  <si>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</si>
  <si>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</si>
  <si>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</si>
  <si>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</si>
  <si>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</si>
  <si>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</si>
  <si>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</si>
  <si>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</si>
  <si>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</si>
  <si>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</si>
  <si>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</si>
  <si>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</si>
  <si>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</si>
  <si>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</si>
  <si>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</si>
  <si>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</si>
  <si>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</si>
  <si>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</si>
  <si>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</si>
  <si>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</si>
  <si>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</si>
  <si>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</si>
  <si>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</si>
  <si>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</si>
  <si>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</si>
  <si>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</si>
  <si>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</si>
  <si>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</si>
  <si>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</si>
  <si>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</si>
  <si>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</si>
  <si>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</si>
  <si>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</si>
  <si>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</si>
  <si>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</si>
  <si>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</si>
  <si>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</si>
  <si>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</si>
  <si>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</si>
  <si>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</si>
  <si>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</si>
  <si>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</si>
  <si>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</si>
  <si>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</si>
  <si>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</si>
  <si>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</si>
  <si>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</si>
  <si>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</si>
  <si>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</si>
  <si>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</si>
  <si>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</si>
  <si>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</si>
  <si>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</si>
  <si>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</si>
  <si>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</si>
  <si>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</si>
  <si>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</si>
  <si>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</si>
  <si>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</si>
  <si>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</si>
  <si>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</si>
  <si>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</si>
  <si>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</si>
  <si>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</si>
  <si>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</si>
  <si>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</si>
  <si>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</si>
  <si>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</si>
  <si>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</si>
  <si>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</si>
  <si>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</si>
  <si>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</si>
  <si>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</si>
  <si>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</si>
  <si>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</si>
  <si>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</si>
  <si>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</si>
  <si>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</si>
  <si>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</si>
  <si>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</si>
  <si>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</si>
  <si>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</si>
  <si>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</si>
  <si>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</si>
  <si>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</si>
  <si>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</si>
  <si>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</si>
  <si>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</si>
  <si>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</si>
  <si>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</si>
  <si>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</si>
  <si>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</si>
  <si>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</si>
  <si>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</si>
  <si>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</si>
  <si>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</si>
  <si>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</si>
  <si>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</si>
  <si>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</si>
  <si>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</si>
  <si>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</si>
  <si>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</si>
  <si>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</si>
  <si>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</si>
  <si>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</si>
  <si>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</si>
  <si>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</si>
  <si>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</si>
  <si>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</si>
  <si>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</si>
  <si>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</si>
  <si>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</si>
  <si>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</si>
  <si>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</si>
  <si>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</si>
  <si>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</si>
  <si>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</si>
  <si>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</si>
  <si>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</si>
  <si>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</si>
  <si>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</si>
  <si>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</si>
  <si>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</si>
  <si>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</si>
  <si>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</si>
  <si>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</si>
  <si>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</si>
  <si>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</si>
  <si>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</si>
  <si>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</si>
  <si>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</si>
  <si>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</si>
  <si>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</si>
  <si>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</si>
  <si>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</si>
  <si>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</si>
  <si>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</si>
  <si>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</si>
  <si>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</si>
  <si>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</si>
  <si>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</si>
  <si>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</si>
  <si>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</si>
  <si>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</si>
  <si>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</si>
  <si>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</si>
  <si>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</si>
  <si>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</si>
  <si>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</si>
  <si>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</si>
  <si>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</si>
  <si>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</si>
  <si>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</si>
  <si>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</si>
  <si>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</si>
  <si>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</si>
  <si>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</si>
  <si>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</si>
  <si>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</si>
  <si>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</si>
  <si>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</si>
  <si>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</si>
  <si>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</si>
  <si>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</si>
  <si>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</si>
  <si>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</si>
  <si>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</si>
  <si>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</si>
  <si>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</si>
  <si>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</si>
  <si>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</si>
  <si>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</si>
  <si>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</si>
  <si>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</si>
  <si>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</si>
  <si>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</si>
  <si>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</si>
  <si>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</si>
  <si>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</si>
  <si>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</si>
  <si>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</si>
  <si>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</si>
  <si>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</si>
  <si>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</si>
  <si>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</si>
  <si>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</si>
  <si>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</si>
  <si>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</si>
  <si>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</si>
  <si>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</si>
  <si>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</si>
  <si>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</si>
  <si>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</si>
  <si>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</si>
  <si>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</si>
  <si>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</si>
  <si>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</si>
  <si>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</si>
  <si>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</si>
  <si>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</si>
  <si>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</si>
  <si>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</si>
  <si>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</si>
  <si>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</si>
  <si>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</si>
  <si>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</si>
  <si>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</si>
  <si>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</si>
  <si>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</si>
  <si>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</si>
  <si>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</si>
  <si>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</si>
  <si>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</si>
  <si>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</si>
  <si>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</si>
  <si>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</si>
  <si>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</si>
  <si>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</si>
  <si>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</si>
  <si>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</si>
  <si>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</si>
  <si>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</si>
  <si>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</si>
  <si>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</si>
  <si>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</si>
  <si>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</si>
  <si>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</si>
  <si>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</si>
  <si>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</si>
  <si>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</si>
  <si>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</si>
  <si>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</si>
  <si>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</si>
  <si>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</si>
  <si>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</si>
  <si>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</si>
  <si>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</si>
  <si>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</si>
  <si>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</si>
  <si>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</si>
  <si>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</si>
  <si>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</si>
  <si>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</si>
  <si>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</si>
  <si>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</si>
  <si>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</si>
  <si>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</si>
  <si>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</si>
  <si>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</si>
  <si>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</si>
  <si>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</si>
  <si>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</si>
  <si>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</si>
  <si>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</si>
  <si>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</si>
  <si>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</si>
  <si>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</si>
  <si>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</si>
  <si>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</si>
  <si>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</si>
  <si>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</si>
  <si>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</si>
  <si>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</si>
  <si>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</si>
  <si>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</si>
  <si>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</si>
  <si>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</si>
  <si>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</si>
  <si>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</si>
  <si>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</si>
  <si>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</si>
  <si>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</si>
  <si>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</si>
  <si>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</si>
  <si>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</si>
  <si>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</si>
  <si>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</si>
  <si>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</si>
  <si>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</si>
  <si>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</si>
  <si>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</si>
  <si>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</si>
  <si>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</si>
  <si>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</si>
  <si>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</si>
  <si>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</si>
  <si>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</si>
  <si>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</si>
  <si>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</si>
  <si>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</si>
  <si>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</si>
  <si>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</si>
  <si>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</si>
  <si>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</si>
  <si>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</si>
  <si>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</si>
  <si>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</si>
  <si>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</si>
  <si>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</si>
  <si>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</si>
  <si>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</si>
  <si>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</si>
  <si>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</si>
  <si>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</si>
  <si>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</si>
  <si>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</si>
  <si>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</si>
  <si>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</si>
  <si>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</si>
  <si>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</si>
  <si>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</si>
  <si>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</si>
  <si>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</si>
  <si>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</si>
  <si>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</si>
  <si>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</si>
  <si>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</si>
  <si>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</si>
  <si>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</si>
  <si>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</si>
  <si>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</si>
  <si>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</si>
  <si>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</si>
  <si>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</si>
  <si>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</si>
  <si>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</si>
  <si>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</si>
  <si>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</si>
  <si>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</si>
  <si>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</si>
  <si>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</si>
  <si>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</si>
  <si>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</si>
  <si>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</si>
  <si>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</si>
  <si>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</si>
  <si>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</si>
  <si>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</si>
  <si>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</si>
  <si>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</si>
  <si>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</si>
  <si>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</si>
  <si>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</si>
  <si>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</si>
  <si>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</si>
  <si>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</si>
  <si>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</si>
  <si>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</si>
  <si>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</si>
  <si>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</si>
  <si>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</si>
  <si>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</si>
  <si>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</si>
  <si>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</si>
  <si>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</si>
  <si>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</si>
  <si>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</si>
  <si>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</si>
  <si>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</si>
  <si>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</si>
  <si>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</si>
  <si>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</si>
  <si>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</si>
  <si>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</si>
  <si>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</si>
  <si>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</si>
  <si>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</si>
  <si>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</si>
  <si>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</si>
  <si>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</si>
  <si>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</si>
  <si>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</si>
  <si>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</si>
  <si>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</si>
  <si>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</si>
  <si>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</si>
  <si>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</si>
  <si>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</si>
  <si>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</si>
  <si>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</si>
  <si>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</si>
  <si>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</si>
  <si>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</si>
  <si>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</si>
  <si>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</si>
  <si>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</si>
  <si>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</si>
  <si>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</si>
  <si>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</si>
  <si>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</si>
  <si>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</si>
  <si>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</si>
  <si>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</si>
  <si>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</si>
  <si>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</si>
  <si>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</si>
  <si>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</si>
  <si>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</si>
  <si>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</si>
  <si>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</si>
  <si>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</si>
  <si>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</si>
  <si>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</si>
  <si>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</si>
  <si>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</si>
  <si>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</si>
  <si>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</si>
  <si>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</si>
  <si>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</si>
  <si>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</si>
  <si>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</si>
  <si>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</si>
  <si>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</si>
  <si>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</si>
  <si>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</si>
  <si>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</si>
  <si>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</si>
  <si>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</si>
  <si>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</si>
  <si>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</si>
  <si>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</si>
  <si>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</si>
  <si>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</si>
  <si>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</si>
  <si>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</si>
  <si>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</si>
  <si>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</si>
  <si>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</si>
  <si>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</si>
  <si>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</si>
  <si>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</si>
  <si>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</si>
  <si>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</si>
  <si>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</si>
  <si>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</si>
  <si>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</si>
  <si>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</si>
  <si>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</si>
  <si>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</si>
  <si>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</si>
  <si>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</si>
  <si>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</si>
  <si>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</si>
  <si>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</si>
  <si>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</si>
  <si>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</si>
  <si>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</si>
  <si>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</si>
  <si>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</si>
  <si>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</si>
  <si>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</si>
  <si>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</si>
  <si>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</si>
  <si>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</si>
  <si>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</si>
  <si>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</si>
  <si>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</si>
  <si>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</si>
  <si>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</si>
  <si>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</si>
  <si>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</si>
  <si>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</si>
  <si>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</si>
  <si>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</si>
  <si>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</si>
  <si>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</si>
  <si>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</si>
  <si>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</si>
  <si>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</si>
  <si>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</si>
  <si>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</si>
  <si>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</si>
  <si>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</si>
  <si>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</si>
  <si>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</si>
  <si>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</si>
  <si>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</si>
  <si>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</si>
  <si>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</si>
  <si>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</si>
  <si>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</si>
  <si>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</si>
  <si>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</si>
  <si>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</si>
  <si>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</si>
  <si>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</si>
  <si>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</si>
  <si>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</si>
  <si>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</si>
  <si>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</si>
  <si>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</si>
  <si>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</si>
  <si>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</si>
  <si>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</si>
  <si>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</si>
  <si>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</si>
  <si>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</si>
  <si>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</si>
  <si>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</si>
  <si>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</si>
  <si>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</si>
  <si>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</si>
  <si>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</si>
  <si>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</si>
  <si>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</si>
  <si>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</si>
  <si>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</si>
  <si>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</si>
  <si>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</si>
  <si>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</si>
  <si>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</si>
  <si>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</si>
  <si>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</si>
  <si>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</si>
  <si>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</si>
  <si>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</si>
  <si>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</si>
  <si>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</si>
  <si>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</si>
  <si>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</si>
  <si>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</si>
  <si>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</si>
  <si>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</si>
  <si>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</si>
  <si>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</si>
  <si>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</si>
  <si>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</si>
  <si>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</si>
  <si>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</si>
  <si>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</si>
  <si>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</si>
  <si>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</si>
  <si>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</si>
  <si>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</si>
  <si>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</si>
  <si>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</si>
  <si>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</si>
  <si>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</si>
  <si>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</si>
  <si>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</si>
  <si>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</si>
  <si>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</si>
  <si>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</si>
  <si>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</si>
  <si>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</si>
  <si>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</si>
  <si>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</si>
  <si>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</si>
  <si>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</si>
  <si>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</si>
  <si>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</si>
  <si>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</si>
  <si>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</si>
  <si>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</si>
  <si>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</si>
  <si>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</si>
  <si>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</si>
  <si>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</si>
  <si>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</si>
  <si>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</si>
  <si>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</si>
  <si>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</si>
  <si>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</si>
  <si>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</si>
  <si>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</si>
  <si>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</si>
  <si>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</si>
  <si>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</si>
  <si>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</si>
  <si>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</si>
  <si>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</si>
  <si>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</si>
  <si>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</si>
  <si>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</si>
  <si>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</si>
  <si>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</si>
  <si>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</si>
  <si>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</si>
  <si>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</si>
  <si>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</si>
  <si>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</si>
  <si>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</si>
  <si>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</si>
  <si>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</si>
  <si>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</si>
  <si>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</si>
  <si>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</si>
  <si>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percentage reduction in carbon emissions from the transportation sector that must be achieved via fuel switching.  This value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</si>
  <si>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</si>
  <si>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</si>
  <si>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</si>
  <si>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</si>
  <si>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</si>
  <si>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</si>
  <si>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</si>
  <si>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</si>
  <si>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</si>
  <si>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</si>
  <si>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</si>
  <si>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</si>
  <si>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</si>
  <si>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</si>
  <si>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</si>
  <si>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</si>
  <si>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</si>
  <si>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</si>
  <si>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</si>
  <si>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</si>
  <si>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</si>
  <si>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</si>
  <si>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</si>
  <si>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</si>
  <si>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</si>
  <si>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</si>
  <si>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</si>
  <si>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</si>
  <si>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</si>
  <si>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</si>
  <si>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</si>
  <si>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</si>
  <si>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</si>
  <si>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</si>
  <si>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</si>
  <si>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</si>
  <si>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</si>
  <si>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</si>
  <si>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</si>
  <si>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</si>
  <si>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</si>
  <si>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</si>
  <si>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</si>
  <si>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</si>
  <si>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</si>
  <si>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</si>
  <si>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</si>
  <si>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</si>
  <si>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</si>
  <si>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</si>
  <si>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</si>
  <si>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</si>
  <si>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</si>
  <si>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</si>
  <si>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</si>
  <si>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</si>
  <si>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</si>
  <si>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</si>
  <si>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</si>
  <si>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</si>
  <si>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</si>
  <si>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</si>
  <si>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</si>
  <si>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</si>
  <si>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</si>
  <si>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</si>
  <si>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</si>
  <si>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</si>
  <si>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</si>
  <si>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</si>
  <si>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</si>
  <si>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</si>
  <si>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</si>
  <si>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</si>
  <si>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</si>
  <si>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</si>
  <si>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</si>
  <si>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</si>
  <si>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</si>
  <si>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</si>
  <si>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</si>
  <si>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</si>
  <si>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</si>
  <si>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</si>
  <si>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</si>
  <si>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</si>
  <si>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</si>
  <si>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</si>
  <si>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</si>
  <si>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</si>
  <si>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</si>
  <si>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</si>
  <si>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</si>
  <si>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</si>
  <si>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</si>
  <si>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</si>
  <si>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</si>
  <si>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</si>
  <si>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</si>
  <si>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</si>
  <si>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</si>
  <si>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</si>
  <si>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</si>
  <si>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</si>
  <si>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</si>
  <si>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</si>
  <si>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</si>
  <si>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</si>
  <si>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</si>
  <si>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</si>
  <si>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</si>
  <si>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</si>
  <si>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</si>
  <si>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</si>
  <si>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</si>
  <si>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</si>
  <si>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</si>
  <si>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</si>
  <si>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</si>
  <si>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</si>
  <si>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</si>
  <si>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</si>
  <si>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</si>
  <si>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</si>
  <si>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</si>
  <si>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</si>
  <si>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</si>
  <si>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</si>
  <si>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</si>
  <si>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</si>
  <si>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</si>
  <si>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</si>
  <si>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</si>
  <si>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</si>
  <si>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</si>
  <si>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</si>
  <si>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</si>
  <si>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</si>
  <si>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</si>
  <si>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</si>
  <si>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</si>
  <si>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</si>
  <si>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</si>
  <si>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</si>
  <si>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</si>
  <si>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</si>
  <si>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</si>
  <si>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</si>
  <si>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</si>
  <si>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</si>
  <si>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</si>
  <si>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</si>
  <si>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</si>
  <si>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</si>
  <si>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</si>
  <si>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</si>
  <si>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</si>
  <si>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</si>
  <si>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</si>
  <si>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</si>
  <si>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</si>
  <si>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</si>
  <si>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</si>
  <si>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</si>
  <si>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</si>
  <si>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</si>
  <si>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</si>
  <si>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</si>
  <si>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</si>
  <si>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</si>
  <si>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</si>
  <si>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</si>
  <si>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</si>
  <si>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</si>
  <si>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</si>
  <si>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</si>
  <si>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</si>
  <si>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</si>
  <si>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</si>
  <si>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</si>
  <si>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</si>
  <si>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</si>
  <si>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</si>
  <si>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</si>
  <si>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</si>
  <si>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</si>
  <si>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</si>
  <si>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</si>
  <si>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</si>
  <si>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</si>
  <si>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</si>
  <si>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</si>
  <si>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</si>
  <si>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</si>
  <si>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</si>
  <si>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</si>
  <si>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</si>
  <si>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</si>
  <si>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620e7a, f593e0, 04ffaf, c01b00, 969696, 087bf1</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</si>
  <si>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</si>
  <si>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</si>
  <si>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</si>
  <si>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</si>
  <si>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</si>
  <si>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</si>
  <si>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</si>
  <si>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</si>
  <si>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</si>
  <si>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</si>
  <si>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</si>
  <si>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</si>
  <si>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</si>
  <si>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</si>
  <si>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</si>
  <si>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</si>
  <si>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</si>
  <si>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</si>
  <si>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</si>
  <si>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</si>
  <si>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</si>
  <si>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</si>
  <si>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</si>
  <si>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</si>
  <si>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</si>
  <si>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</si>
  <si>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</si>
  <si>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</si>
  <si>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</si>
  <si>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</si>
  <si>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</si>
  <si>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</si>
  <si>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</si>
  <si>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</si>
  <si>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</si>
  <si>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</si>
  <si>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</si>
  <si>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</si>
  <si>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</si>
  <si>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</si>
  <si>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</si>
  <si>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</si>
  <si>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</si>
  <si>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</si>
  <si>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</si>
  <si>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</si>
  <si>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</si>
  <si>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</si>
  <si>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</si>
  <si>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</si>
  <si>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</si>
  <si>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</si>
  <si>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</si>
  <si>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</si>
  <si>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</si>
  <si>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</si>
  <si>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</si>
  <si>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</si>
  <si>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</si>
  <si>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</si>
  <si>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</si>
  <si>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</si>
  <si>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</si>
  <si>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</si>
  <si>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</si>
  <si>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</si>
  <si>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</si>
  <si>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</si>
  <si>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</si>
  <si>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</si>
  <si>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</si>
  <si>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</si>
  <si>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</si>
  <si>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</si>
  <si>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</si>
  <si>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</si>
  <si>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</si>
  <si>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</si>
  <si>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</si>
  <si>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</si>
  <si>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</si>
  <si>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</si>
  <si>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</si>
  <si>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</si>
  <si>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</si>
  <si>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</si>
  <si>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</si>
  <si>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</si>
  <si>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</si>
  <si>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</si>
  <si>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</si>
  <si>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</si>
  <si>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</si>
  <si>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</si>
  <si>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</si>
  <si>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</si>
  <si>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</si>
  <si>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</si>
  <si>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</si>
  <si>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</si>
  <si>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</si>
  <si>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</si>
  <si>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</si>
  <si>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</si>
  <si>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</si>
  <si>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</si>
  <si>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</si>
  <si>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</si>
  <si>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</si>
  <si>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</si>
  <si>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</si>
  <si>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</si>
  <si>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</si>
  <si>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</si>
  <si>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</si>
  <si>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</si>
  <si>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</si>
  <si>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</si>
  <si>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</si>
  <si>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</si>
  <si>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</si>
  <si>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</si>
  <si>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</si>
  <si>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</si>
  <si>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</si>
  <si>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</si>
  <si>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</si>
  <si>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</si>
  <si>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</si>
  <si>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</si>
  <si>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</si>
  <si>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</si>
  <si>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</si>
  <si>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</si>
  <si>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</si>
  <si>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</si>
  <si>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</si>
  <si>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</si>
  <si>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</si>
  <si>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</si>
  <si>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</si>
  <si>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</si>
  <si>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</si>
  <si>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</si>
  <si>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</si>
  <si>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</si>
  <si>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</si>
  <si>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</si>
  <si>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</si>
  <si>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</si>
  <si>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</si>
  <si>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</si>
  <si>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</si>
  <si>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</si>
  <si>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</si>
  <si>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</si>
  <si>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</si>
  <si>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</si>
  <si>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</si>
  <si>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</si>
  <si>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</si>
  <si>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</si>
  <si>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</si>
  <si>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</si>
  <si>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</si>
  <si>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</si>
  <si>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</si>
  <si>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</si>
  <si>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</si>
  <si>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</si>
  <si>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</si>
  <si>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</si>
  <si>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</si>
  <si>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</si>
  <si>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</si>
  <si>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</si>
  <si>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</si>
  <si>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</si>
  <si>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</si>
  <si>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</si>
  <si>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</si>
  <si>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</si>
  <si>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</si>
  <si>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</si>
  <si>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</si>
  <si>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</si>
  <si>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</si>
  <si>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</si>
  <si>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</si>
  <si>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</si>
  <si>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</si>
  <si>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</si>
  <si>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</si>
  <si>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</si>
  <si>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</si>
  <si>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</si>
  <si>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</si>
  <si>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</si>
  <si>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</si>
  <si>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</si>
  <si>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</si>
  <si>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</si>
  <si>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</si>
  <si>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</si>
  <si>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</si>
  <si>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</si>
  <si>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</si>
  <si>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</si>
  <si>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</si>
  <si>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</si>
  <si>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</si>
  <si>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</si>
  <si>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</si>
  <si>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</si>
  <si>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</si>
  <si>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</si>
  <si>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</si>
  <si>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</si>
  <si>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</si>
  <si>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</si>
  <si>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</si>
  <si>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</si>
  <si>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</si>
  <si>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</si>
  <si>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</si>
  <si>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</si>
  <si>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</si>
  <si>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</si>
  <si>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</si>
  <si>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</si>
  <si>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</si>
  <si>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</si>
  <si>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</si>
  <si>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</si>
  <si>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</si>
  <si>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</si>
  <si>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</si>
  <si>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</si>
  <si>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</si>
  <si>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</si>
  <si>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</si>
  <si>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</si>
  <si>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Produce District Heat with Hydrogen</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</si>
  <si>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</si>
  <si>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</si>
  <si>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</si>
  <si>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</si>
  <si>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</si>
  <si>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</si>
  <si>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</si>
  <si>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</si>
  <si>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</si>
  <si>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</si>
  <si>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</si>
  <si>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</si>
  <si>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</si>
  <si>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</si>
  <si>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</si>
  <si>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</si>
  <si>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</si>
  <si>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</si>
  <si>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</si>
  <si>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</si>
  <si>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</si>
  <si>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</si>
  <si>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</si>
  <si>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</si>
  <si>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</si>
  <si>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</si>
  <si>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</si>
  <si>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</si>
  <si>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</si>
  <si>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</si>
  <si>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</si>
  <si>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</si>
  <si>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</si>
  <si>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</si>
  <si>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</si>
  <si>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</si>
  <si>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</si>
  <si>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</si>
  <si>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</si>
  <si>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</si>
  <si>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</si>
  <si>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</si>
  <si>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</si>
  <si>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</si>
  <si>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</si>
  <si>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</si>
  <si>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</si>
  <si>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</si>
  <si>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</si>
  <si>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</si>
  <si>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</si>
  <si>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**Description:** This policy reduces greenhouse gas emissions from agriculture through livestock-related measures, such as feed supplements or drugs to prevent enteric methane formation. // **Guidance for setting values:** If this policy is fully implemented, agricultural process emissions in 2050 are reduced by 10%.</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</si>
  <si>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</si>
  <si>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</si>
  <si>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</si>
  <si>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</si>
  <si>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</si>
  <si>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</si>
  <si>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</si>
  <si>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</si>
  <si>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</si>
  <si>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</si>
  <si>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</si>
  <si>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</si>
  <si>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</si>
  <si>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</si>
  <si>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</si>
  <si>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</si>
  <si>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</si>
  <si>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</si>
  <si>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</si>
  <si>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</si>
  <si>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</si>
  <si>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</si>
  <si>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</si>
  <si>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</si>
  <si>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</si>
  <si>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</si>
  <si>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</si>
  <si>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</si>
  <si>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</si>
  <si>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</si>
  <si>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</si>
  <si>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</si>
  <si>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</si>
  <si>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</si>
  <si>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</si>
  <si>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</si>
  <si>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</si>
  <si>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</si>
  <si>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</si>
  <si>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</si>
  <si>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</si>
  <si>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</si>
  <si>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</si>
  <si>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</si>
  <si>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</si>
  <si>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</si>
  <si>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</si>
  <si>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</si>
  <si>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</si>
  <si>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</si>
  <si>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</si>
  <si>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</si>
  <si>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</si>
  <si>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</si>
  <si>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</si>
  <si>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</si>
  <si>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</si>
  <si>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</si>
  <si>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</si>
  <si>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</si>
  <si>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</si>
  <si>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</si>
  <si>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</si>
  <si>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</si>
  <si>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</si>
  <si>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</si>
  <si>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</si>
  <si>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</si>
  <si>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</si>
  <si>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</si>
  <si>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</si>
  <si>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</si>
  <si>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</si>
  <si>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</si>
  <si>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</si>
  <si>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</si>
  <si>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</si>
  <si>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</si>
  <si>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</si>
  <si>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</si>
  <si>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</si>
  <si>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</si>
  <si>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</si>
  <si>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</si>
  <si>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</si>
  <si>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</si>
  <si>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</si>
  <si>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</si>
  <si>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</si>
  <si>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</si>
  <si>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</si>
  <si>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</si>
  <si>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</si>
  <si>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</si>
  <si>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</si>
  <si>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</si>
  <si>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</si>
  <si>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</si>
  <si>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</si>
  <si>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</si>
  <si>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</si>
  <si>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</si>
  <si>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</si>
  <si>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</si>
  <si>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</si>
  <si>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</si>
  <si>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</si>
  <si>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</si>
  <si>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</si>
  <si>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</si>
  <si>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</si>
  <si>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</si>
  <si>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</si>
  <si>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</si>
  <si>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</si>
  <si>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</si>
  <si>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</si>
  <si>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</si>
  <si>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</si>
  <si>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</si>
  <si>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</si>
  <si>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</si>
  <si>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</si>
  <si>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</si>
  <si>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</si>
  <si>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</si>
  <si>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</si>
  <si>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</si>
  <si>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</si>
  <si>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</si>
  <si>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</si>
  <si>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</si>
  <si>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</si>
  <si>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</si>
  <si>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</si>
  <si>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</si>
  <si>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</si>
  <si>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</si>
  <si>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</si>
  <si>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</si>
  <si>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</si>
  <si>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</si>
  <si>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</si>
  <si>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</si>
  <si>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</si>
  <si>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</si>
  <si>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</si>
  <si>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</si>
  <si>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</si>
  <si>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</si>
  <si>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</si>
  <si>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</si>
  <si>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</si>
  <si>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**Description:** This policy causes a percentage of the district heat to be generated by burning hydrogen instead of the fuels used in the BAU case. // **Guidance for setting values:**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</si>
  <si>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</si>
  <si>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</si>
  <si>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</si>
  <si>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</si>
  <si>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</si>
  <si>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</si>
  <si>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</si>
  <si>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</si>
  <si>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</si>
  <si>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</si>
  <si>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</si>
  <si>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</si>
  <si>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</si>
  <si>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</si>
  <si>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</si>
  <si>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</si>
  <si>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</si>
  <si>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</si>
  <si>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</si>
  <si>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</si>
  <si>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</si>
  <si>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</si>
  <si>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</si>
  <si>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</si>
  <si>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</si>
  <si>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</si>
  <si>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</si>
  <si>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</si>
  <si>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</si>
  <si>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</si>
  <si>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</si>
  <si>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</si>
  <si>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</si>
  <si>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</si>
  <si>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</si>
  <si>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</si>
  <si>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</si>
  <si>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</si>
  <si>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</si>
  <si>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</si>
  <si>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</si>
  <si>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</si>
  <si>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</si>
  <si>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</si>
  <si>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</si>
  <si>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</si>
  <si>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</si>
  <si>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</si>
  <si>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</si>
  <si>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</si>
  <si>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</si>
  <si>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</si>
  <si>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</si>
  <si>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</si>
  <si>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</si>
  <si>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</si>
  <si>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</si>
  <si>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</si>
  <si>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</si>
  <si>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</si>
  <si>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</si>
  <si>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</si>
  <si>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</si>
  <si>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</si>
  <si>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</si>
  <si>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</si>
  <si>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</si>
  <si>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</si>
  <si>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</si>
  <si>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</si>
  <si>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</si>
  <si>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</si>
  <si>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</si>
  <si>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</si>
  <si>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</si>
  <si>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</si>
  <si>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</si>
  <si>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</si>
  <si>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</si>
  <si>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</si>
  <si>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</si>
  <si>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</si>
  <si>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</si>
  <si>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</si>
  <si>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</si>
  <si>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</si>
  <si>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</si>
  <si>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</si>
  <si>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</si>
  <si>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</si>
  <si>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</si>
  <si>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</si>
  <si>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</si>
  <si>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</si>
  <si>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</si>
  <si>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</si>
  <si>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</si>
  <si>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</si>
  <si>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</si>
  <si>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</si>
  <si>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</si>
  <si>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</si>
  <si>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</si>
  <si>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</si>
  <si>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</si>
  <si>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</si>
  <si>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</si>
  <si>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</si>
  <si>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</si>
  <si>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</si>
  <si>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</si>
  <si>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</si>
  <si>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</si>
  <si>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</si>
  <si>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</si>
  <si>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</si>
  <si>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</si>
  <si>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</si>
  <si>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</si>
  <si>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</si>
  <si>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</si>
  <si>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</si>
  <si>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</si>
  <si>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</si>
  <si>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</si>
  <si>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</si>
  <si>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</si>
  <si>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</si>
  <si>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</si>
  <si>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</si>
  <si>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</si>
  <si>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</si>
  <si>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</si>
  <si>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</si>
  <si>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</si>
  <si>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</si>
  <si>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</si>
  <si>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</si>
  <si>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</si>
  <si>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</si>
  <si>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</si>
  <si>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</si>
  <si>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</si>
  <si>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</si>
  <si>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</si>
  <si>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</si>
  <si>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</si>
  <si>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</si>
  <si>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</si>
  <si>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</si>
  <si>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</si>
  <si>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</si>
  <si>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</si>
  <si>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</si>
  <si>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</si>
  <si>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</si>
  <si>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</si>
  <si>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</si>
  <si>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</si>
  <si>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</si>
  <si>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</si>
  <si>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</si>
  <si>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</si>
  <si>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</si>
  <si>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</si>
  <si>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</si>
  <si>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</si>
  <si>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</si>
  <si>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</si>
  <si>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</si>
  <si>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</si>
  <si>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</si>
  <si>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</si>
  <si>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</si>
  <si>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</si>
  <si>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</si>
  <si>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</si>
  <si>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</si>
  <si>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</si>
  <si>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</si>
  <si>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</si>
  <si>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</si>
  <si>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</si>
  <si>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</si>
  <si>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</si>
  <si>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</si>
  <si>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</si>
  <si>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</si>
  <si>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</si>
  <si>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</si>
  <si>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</si>
  <si>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</si>
  <si>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</si>
  <si>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</si>
  <si>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</si>
  <si>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</si>
  <si>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</si>
  <si>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</si>
  <si>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</si>
  <si>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</si>
  <si>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</si>
  <si>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</si>
  <si>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</si>
  <si>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</si>
  <si>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</si>
  <si>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</si>
  <si>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</si>
  <si>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</si>
  <si>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</si>
  <si>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</si>
  <si>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</si>
  <si>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</si>
  <si>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</si>
  <si>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</si>
  <si>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</si>
  <si>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</si>
  <si>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</si>
  <si>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</si>
  <si>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</si>
  <si>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</si>
  <si>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</si>
  <si>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</si>
  <si>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</si>
  <si>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</si>
  <si>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</si>
  <si>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</si>
  <si>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</si>
  <si>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</si>
  <si>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</si>
  <si>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</si>
  <si>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</si>
  <si>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</si>
  <si>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</si>
  <si>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</si>
  <si>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</si>
  <si>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</si>
  <si>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</si>
  <si>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</si>
  <si>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</si>
  <si>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</si>
  <si>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</si>
  <si>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</si>
  <si>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</si>
  <si>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</si>
  <si>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</si>
  <si>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</si>
  <si>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</si>
  <si>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</si>
  <si>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</si>
  <si>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</si>
  <si>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</si>
  <si>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</si>
  <si>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</si>
  <si>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</si>
  <si>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</si>
  <si>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</si>
  <si>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</si>
  <si>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t>
  </si>
  <si>
    <t>**Description:**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</si>
  <si>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</si>
  <si>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methane emissions from the selected industry by increasing the capture of methane that is currently being released into the atmosphere (for example, stopping leaks from wellheads, pipes, coal mines, landfills, etc.).</t>
  </si>
  <si>
    <t>**Description:** This policy reduces methane emissions from the selected industry by increasing the burning of methane that is currently being released into the atmosphere (i.e. flaring instead of venting/leaking).</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</si>
  <si>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</si>
  <si>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</si>
  <si>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</si>
  <si>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</si>
  <si>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</si>
  <si>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</si>
  <si>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</si>
  <si>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</si>
  <si>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</si>
  <si>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</si>
  <si>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</si>
  <si>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</si>
  <si>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</si>
  <si>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</si>
  <si>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</si>
  <si>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</si>
  <si>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</si>
  <si>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</si>
  <si>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</si>
  <si>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</si>
  <si>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</si>
  <si>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</si>
  <si>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</si>
  <si>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</si>
  <si>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</si>
  <si>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</si>
  <si>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</si>
  <si>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</si>
  <si>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</si>
  <si>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</si>
  <si>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</si>
  <si>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</si>
  <si>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</si>
  <si>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</si>
  <si>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</si>
  <si>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</si>
  <si>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</si>
  <si>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</si>
  <si>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</si>
  <si>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</si>
  <si>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</si>
  <si>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</si>
  <si>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</si>
  <si>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</si>
  <si>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</si>
  <si>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</si>
  <si>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</si>
  <si>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</si>
  <si>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</si>
  <si>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</si>
  <si>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</si>
  <si>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</si>
  <si>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</si>
  <si>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</si>
  <si>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</si>
  <si>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</si>
  <si>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</si>
  <si>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</si>
  <si>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</si>
  <si>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</si>
  <si>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</si>
  <si>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</si>
  <si>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</si>
  <si>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</si>
  <si>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</si>
  <si>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</si>
  <si>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</si>
  <si>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</si>
  <si>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**Description:** This policy reduces emissions of high-GWP, fluorinated gases (F-gases) from the industry sector by substituting less-harmful chemicals. // **Guidance for setting values:** If this policy is fully implemented, F-gas emissions in 2050 are reduced by 61%.</t>
  </si>
  <si>
    <t>**Description:** This policy reduces emissions of high-GWP, fluorinated gases (F-gases) by recovering F-gases from equipment at the end of its service life and destroying or recycling those F-gases. // **Guidance for setting values:** If this policy is fully implemented, F-gas emissions in 2050 are reduced by 4%.</t>
  </si>
  <si>
    <t>**Description:** This policy reduces emissions of high-GWP, fluorinated gases (F-gases) from the industry sector by destroying F-gases created as byproducts during the creation of desired products. // **Guidance for setting values:** If this policy is fully implemented, F-gas emissions in 2050 are reduced by 1%.</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</si>
  <si>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</si>
  <si>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</si>
  <si>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</si>
  <si>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</si>
  <si>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</si>
  <si>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</si>
  <si>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</si>
  <si>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</si>
  <si>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</si>
  <si>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</si>
  <si>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</si>
  <si>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</si>
  <si>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</si>
  <si>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</si>
  <si>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</si>
  <si>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</si>
  <si>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</si>
  <si>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</si>
  <si>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</si>
  <si>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</si>
  <si>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</si>
  <si>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</si>
  <si>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</si>
  <si>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</si>
  <si>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</si>
  <si>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</si>
  <si>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</si>
  <si>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</si>
  <si>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</si>
  <si>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</si>
  <si>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</si>
  <si>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</si>
  <si>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3.5 million acres per year in 2050 (roughly equal to 0.175% of the land area of the lower 48 states).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</si>
  <si>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</si>
  <si>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t>
  </si>
  <si>
    <t>2020 dollars / metric ton CO2e abated, Annual average abatement (million metric tons CO2e)</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</si>
  <si>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</si>
  <si>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</si>
  <si>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</si>
  <si>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</si>
  <si>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</si>
  <si>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</si>
  <si>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</si>
  <si>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</si>
  <si>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</si>
  <si>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</si>
  <si>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</si>
  <si>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</si>
  <si>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</si>
  <si>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</si>
  <si>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</si>
  <si>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</si>
  <si>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</si>
  <si>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</si>
  <si>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</si>
  <si>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</si>
  <si>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</si>
  <si>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</si>
  <si>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</si>
  <si>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</si>
  <si>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</si>
  <si>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</si>
  <si>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</si>
  <si>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</si>
  <si>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</si>
  <si>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</si>
  <si>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Share of Generation from Clean Sources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</si>
  <si>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</si>
  <si>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</si>
  <si>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</si>
  <si>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</si>
  <si>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</si>
  <si>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</si>
  <si>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</si>
  <si>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</si>
  <si>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</si>
  <si>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</si>
  <si>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</si>
  <si>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</si>
  <si>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</si>
  <si>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</si>
  <si>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t>
  </si>
  <si>
    <t>Fraction of CO2 Storage Through Tillage Practices</t>
  </si>
  <si>
    <t>indst tillage</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</si>
  <si>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If this policy is fully implemented, agricultural process emissions in 2050 are reduced by 2%.</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</si>
  <si>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</si>
  <si>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</si>
  <si>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</si>
  <si>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</si>
  <si>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</si>
  <si>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</si>
  <si>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</si>
  <si>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</si>
  <si>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</si>
  <si>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</si>
  <si>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</si>
  <si>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</si>
  <si>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</si>
  <si>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</si>
  <si>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</si>
  <si>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</si>
  <si>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</si>
  <si>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</si>
  <si>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</si>
  <si>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</si>
  <si>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</si>
  <si>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</si>
  <si>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</si>
  <si>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</si>
  <si>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</si>
  <si>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</si>
  <si>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</si>
  <si>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</si>
  <si>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</si>
  <si>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</si>
  <si>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</si>
  <si>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</si>
  <si>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</si>
  <si>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</si>
  <si>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</si>
  <si>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</si>
  <si>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</si>
  <si>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</si>
  <si>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</si>
  <si>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</si>
  <si>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</si>
  <si>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</si>
  <si>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</si>
  <si>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</si>
  <si>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</si>
  <si>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</si>
  <si>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</si>
  <si>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</si>
  <si>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</si>
  <si>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</si>
  <si>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</si>
  <si>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</si>
  <si>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</si>
  <si>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</si>
  <si>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</si>
  <si>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</si>
  <si>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</si>
  <si>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</si>
  <si>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</si>
  <si>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</si>
  <si>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</si>
  <si>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</si>
  <si>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</si>
  <si>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</si>
  <si>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</si>
  <si>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</si>
  <si>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</si>
  <si>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</si>
  <si>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</si>
  <si>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</si>
  <si>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</si>
  <si>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</si>
  <si>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</si>
  <si>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</si>
  <si>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</si>
  <si>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</si>
  <si>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</si>
  <si>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</si>
  <si>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</si>
  <si>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</si>
  <si>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</si>
  <si>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</si>
  <si>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</si>
  <si>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</si>
  <si>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t>
  </si>
  <si>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</si>
  <si>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</si>
  <si>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</si>
  <si>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</si>
  <si>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</si>
  <si>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</si>
  <si>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</si>
  <si>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</si>
  <si>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</si>
  <si>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</si>
  <si>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</si>
  <si>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</si>
  <si>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</si>
  <si>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</si>
  <si>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</si>
  <si>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</si>
  <si>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</si>
  <si>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</si>
  <si>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</si>
  <si>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</si>
  <si>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</si>
  <si>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t>
  </si>
  <si>
    <t>**Description:**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</si>
  <si>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</si>
  <si>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</si>
  <si>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</si>
  <si>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</si>
  <si>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</si>
  <si>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</si>
  <si>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</si>
  <si>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</si>
  <si>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</si>
  <si>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</si>
  <si>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</si>
  <si>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</si>
  <si>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</si>
  <si>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</si>
  <si>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</si>
  <si>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</si>
  <si>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</si>
  <si>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</si>
  <si>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</si>
  <si>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</si>
  <si>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</si>
  <si>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noadditional effect on EV deployment.</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</si>
  <si>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</si>
  <si>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</si>
  <si>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</si>
  <si>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</si>
  <si>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</si>
  <si>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</si>
  <si>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</si>
  <si>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</si>
  <si>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</si>
  <si>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</si>
  <si>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</si>
  <si>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</si>
  <si>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</si>
  <si>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</si>
  <si>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</si>
  <si>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</si>
  <si>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</si>
  <si>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</si>
  <si>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</si>
  <si>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</si>
  <si>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</si>
  <si>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</si>
  <si>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</si>
  <si>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</si>
  <si>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</si>
  <si>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</si>
  <si>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</si>
  <si>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</si>
  <si>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</si>
  <si>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</si>
  <si>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</si>
  <si>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</si>
  <si>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</si>
  <si>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</si>
  <si>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</si>
  <si>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</si>
  <si>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</si>
  <si>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</si>
  <si>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</si>
  <si>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</si>
  <si>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</si>
  <si>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</si>
  <si>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</si>
  <si>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</si>
  <si>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</si>
  <si>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</si>
  <si>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</si>
  <si>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</si>
  <si>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</si>
  <si>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</si>
  <si>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</si>
  <si>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</si>
  <si>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</si>
  <si>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</si>
  <si>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</si>
  <si>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</si>
  <si>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</si>
  <si>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</si>
  <si>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</si>
  <si>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</si>
  <si>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</si>
  <si>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</si>
  <si>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</si>
  <si>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</si>
  <si>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</si>
  <si>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</si>
  <si>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</si>
  <si>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</si>
  <si>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Output Industrial Electricity Use by Industrial Process[other process];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</si>
  <si>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process];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</si>
  <si>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</si>
  <si>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</si>
  <si>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</si>
  <si>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</si>
  <si>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</si>
  <si>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</si>
  <si>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</si>
  <si>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</si>
  <si>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</si>
  <si>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</si>
  <si>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</si>
  <si>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</si>
  <si>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</si>
  <si>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</si>
  <si>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</si>
  <si>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</si>
  <si>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</si>
  <si>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</si>
  <si>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</si>
  <si>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</si>
  <si>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</si>
  <si>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</si>
  <si>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</si>
  <si>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</si>
  <si>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</si>
  <si>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</si>
  <si>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</si>
  <si>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</si>
  <si>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</si>
  <si>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</si>
  <si>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</si>
  <si>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</si>
  <si>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</si>
  <si>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</si>
  <si>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</si>
  <si>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</si>
  <si>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</si>
  <si>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</si>
  <si>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</si>
  <si>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</si>
  <si>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</si>
  <si>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</si>
  <si>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</si>
  <si>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</si>
  <si>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</si>
  <si>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</si>
  <si>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</si>
  <si>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</si>
  <si>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</si>
  <si>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</si>
  <si>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</si>
  <si>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</si>
  <si>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</si>
  <si>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</si>
  <si>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</si>
  <si>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</si>
  <si>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</si>
  <si>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</si>
  <si>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</si>
  <si>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</si>
  <si>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</si>
  <si>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</si>
  <si>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</si>
  <si>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</si>
  <si>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</si>
  <si>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</si>
  <si>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</si>
  <si>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</si>
  <si>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</si>
  <si>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</si>
  <si>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</si>
  <si>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</si>
  <si>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</si>
  <si>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</si>
  <si>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</si>
  <si>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</si>
  <si>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</si>
  <si>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</si>
  <si>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</si>
  <si>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</si>
  <si>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</si>
  <si>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</si>
  <si>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</si>
  <si>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</si>
  <si>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</si>
  <si>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</si>
  <si>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</si>
  <si>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350 GW of demand response capacity in 2050 (on top of a BAU quantity of 41 GW).</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</si>
  <si>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</si>
  <si>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</si>
  <si>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</si>
  <si>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</si>
  <si>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</si>
  <si>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</si>
  <si>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</si>
  <si>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</si>
  <si>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</si>
  <si>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</si>
  <si>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</si>
  <si>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 / kWh</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</si>
  <si>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</si>
  <si>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</si>
  <si>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</si>
  <si>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</si>
  <si>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</si>
  <si>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</si>
  <si>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</si>
  <si>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</si>
  <si>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</si>
  <si>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 **Guidance for setting values:** The Inflation Reduction Act provides tax credits for grid battery capacity additions, with the value depending on whether the project meets certain criteria for bonus credits. We assume an average tax credit of 42%.</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</si>
  <si>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</si>
  <si>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</si>
  <si>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</si>
  <si>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</si>
  <si>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</si>
  <si>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</si>
  <si>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</si>
  <si>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</si>
  <si>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</si>
  <si>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</si>
  <si>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</si>
  <si>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</si>
  <si>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</si>
  <si>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</si>
  <si>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</si>
  <si>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</si>
  <si>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</si>
  <si>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</si>
  <si>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</si>
  <si>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</si>
  <si>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</si>
  <si>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</si>
  <si>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</si>
  <si>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af64ff, 620e7a, 65fffb, 00b050, ff6400, f1bb18, ffff00, c2dffd, 087bf1, 004185, e5ffcc, ff9999, ccff33, 04ffaf, bfb088, ff00ff, 000000, f593e0, ff0000, 9b1cb0, c01b00, 6e8000, 004d10, 009999, 969696, b49f00</t>
  </si>
  <si>
    <t>af64ff, 620e7a, 65fffb, 00b050, ff6400, f1bb18, ffff00, c2dffd, 087bf1, 004185, e5ffcc, ff9999, ccff33, 04ffaf, bfb088, ff00ff, 000000, f593e0, ff0000, 9b1cb0, c01b00, 6e8000, 004d10, 009999, 969696</t>
  </si>
  <si>
    <t>af64ff, 620e7a, 65fffb, 00b050, ff6400, f1bb18, ffff00, c2dffd, 087bf1, 004185, e5ffcc, ff9999, ccff33, 04ffaf, ff00ff, 000000, f593e0, ff0000, 9b1cb0, c01b00, 6e8000, 004d10, 009999, 969696</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</si>
  <si>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</si>
  <si>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</si>
  <si>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Output Diurnal Grid Storage Output; 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</si>
  <si>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Output Change in Diurnal Grid Storage Output; 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Non Solar Distributed Output;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</si>
  <si>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</si>
  <si>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</si>
  <si>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</si>
  <si>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</si>
  <si>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</si>
  <si>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</si>
  <si>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</si>
  <si>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</si>
  <si>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</si>
  <si>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</si>
  <si>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</si>
  <si>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52% below</t>
  </si>
  <si>
    <t>50% below</t>
  </si>
  <si>
    <t>g CO2e / 2021 dollar</t>
  </si>
  <si>
    <t>g CO2 / 2021 dollar</t>
  </si>
  <si>
    <t>billion 2021 dollars / year</t>
  </si>
  <si>
    <t>billion 2021 dollars</t>
  </si>
  <si>
    <t>2021 dollars / employee-year</t>
  </si>
  <si>
    <t>kilowatt-hour / 2021 dollar</t>
  </si>
  <si>
    <t>2021 dollars / megawatt-hour (MWh)</t>
  </si>
  <si>
    <t>thousand BTU / 2021 dollar</t>
  </si>
  <si>
    <t>2021 dollars / short ton</t>
  </si>
  <si>
    <t>2021 dollars / thousand cubic feet</t>
  </si>
  <si>
    <t>2021 dollars / gallon</t>
  </si>
  <si>
    <t>2021 dollars / barrel of oil</t>
  </si>
  <si>
    <t>2021 dollars / kg</t>
  </si>
  <si>
    <t>2021 dollars / kilowatt-hour (kWh)</t>
  </si>
  <si>
    <t>million 2021 dollars / megawatt (MW)</t>
  </si>
  <si>
    <t>cost of eqpt. to produce 1 kg H2/yr (2021 dollars)</t>
  </si>
  <si>
    <t>other processes</t>
  </si>
  <si>
    <t>other processeses</t>
  </si>
  <si>
    <t>90% below</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</si>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</sst>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1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s>
  <fills count="9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2307">
    <xf numFmtId="0" fontId="0" fillId="0" borderId="0"/>
    <xf numFmtId="9" fontId="11" fillId="0" borderId="0" applyFont="0" applyFill="0" applyBorder="0" applyAlignment="0" applyProtection="0"/>
    <xf numFmtId="0" fontId="12" fillId="0" borderId="0" applyNumberFormat="0" applyFill="0" applyBorder="0" applyAlignment="0" applyProtection="0"/>
    <xf numFmtId="0" fontId="16" fillId="0" borderId="0"/>
    <xf numFmtId="0" fontId="17" fillId="0" borderId="2" applyNumberFormat="0" applyProtection="0">
      <alignment wrapText="1"/>
    </xf>
    <xf numFmtId="0" fontId="16" fillId="0" borderId="3" applyNumberFormat="0" applyFont="0" applyProtection="0">
      <alignment wrapText="1"/>
    </xf>
    <xf numFmtId="43" fontId="11" fillId="0" borderId="0" applyFont="0" applyFill="0" applyBorder="0" applyAlignment="0" applyProtection="0"/>
    <xf numFmtId="0" fontId="24" fillId="0" borderId="0" applyNumberFormat="0" applyFill="0" applyBorder="0" applyAlignment="0" applyProtection="0"/>
    <xf numFmtId="0" fontId="25" fillId="0" borderId="0" applyNumberFormat="0">
      <alignment horizontal="right"/>
    </xf>
    <xf numFmtId="0" fontId="27" fillId="0" borderId="0" applyNumberFormat="0" applyFill="0" applyBorder="0" applyProtection="0">
      <alignment horizontal="left" vertical="center"/>
    </xf>
    <xf numFmtId="0" fontId="30" fillId="0" borderId="0" applyNumberFormat="0" applyFont="0" applyFill="0" applyBorder="0" applyProtection="0">
      <alignment horizontal="left" vertical="center" indent="2"/>
    </xf>
    <xf numFmtId="0" fontId="30" fillId="0" borderId="0" applyNumberFormat="0" applyFont="0" applyFill="0" applyBorder="0" applyProtection="0">
      <alignment horizontal="left" vertical="center" indent="5"/>
    </xf>
    <xf numFmtId="0" fontId="29" fillId="9" borderId="0" applyBorder="0">
      <alignment horizontal="right" vertical="center"/>
    </xf>
    <xf numFmtId="0" fontId="29" fillId="0" borderId="0"/>
    <xf numFmtId="0" fontId="30" fillId="16" borderId="0" applyNumberFormat="0" applyFont="0" applyBorder="0" applyAlignment="0" applyProtection="0"/>
    <xf numFmtId="0" fontId="26" fillId="0" borderId="0"/>
    <xf numFmtId="0" fontId="34" fillId="9" borderId="29">
      <alignment horizontal="right" vertical="center"/>
    </xf>
    <xf numFmtId="0" fontId="30" fillId="0" borderId="26"/>
    <xf numFmtId="0" fontId="29" fillId="0" borderId="51">
      <alignment horizontal="left" vertical="center" wrapText="1" indent="2"/>
    </xf>
    <xf numFmtId="0" fontId="57" fillId="0" borderId="0"/>
    <xf numFmtId="0" fontId="6" fillId="0" borderId="0"/>
    <xf numFmtId="0" fontId="62" fillId="7" borderId="56" applyNumberFormat="0" applyAlignment="0" applyProtection="0"/>
    <xf numFmtId="0" fontId="6" fillId="48" borderId="0" applyNumberFormat="0" applyBorder="0" applyAlignment="0" applyProtection="0"/>
    <xf numFmtId="0" fontId="25" fillId="14" borderId="91">
      <alignment horizontal="right" vertical="center"/>
    </xf>
    <xf numFmtId="0" fontId="30" fillId="0" borderId="0"/>
    <xf numFmtId="0" fontId="29" fillId="9" borderId="0" applyBorder="0">
      <alignment horizontal="right" vertical="center"/>
    </xf>
    <xf numFmtId="0" fontId="29" fillId="9" borderId="59">
      <alignment horizontal="right" vertical="center"/>
    </xf>
    <xf numFmtId="0" fontId="25" fillId="14" borderId="90">
      <alignment horizontal="right" vertical="center"/>
    </xf>
    <xf numFmtId="0" fontId="29" fillId="0" borderId="93">
      <alignment horizontal="left" vertical="center" wrapText="1" indent="2"/>
    </xf>
    <xf numFmtId="0" fontId="29" fillId="0" borderId="0" applyBorder="0">
      <alignment horizontal="right" vertical="center"/>
    </xf>
    <xf numFmtId="0" fontId="25" fillId="14" borderId="91">
      <alignment horizontal="right" vertical="center"/>
    </xf>
    <xf numFmtId="0" fontId="79" fillId="86" borderId="87" applyNumberFormat="0" applyAlignment="0" applyProtection="0"/>
    <xf numFmtId="4" fontId="25" fillId="14" borderId="92">
      <alignment horizontal="right" vertical="center"/>
    </xf>
    <xf numFmtId="0" fontId="29" fillId="0" borderId="29" applyNumberFormat="0" applyFill="0" applyAlignment="0" applyProtection="0"/>
    <xf numFmtId="0" fontId="25" fillId="0" borderId="65">
      <alignment horizontal="left" vertical="top" wrapText="1"/>
    </xf>
    <xf numFmtId="0" fontId="25" fillId="14" borderId="29">
      <alignment horizontal="right" vertical="center"/>
    </xf>
    <xf numFmtId="0" fontId="25" fillId="14" borderId="29">
      <alignment horizontal="right" vertical="center"/>
    </xf>
    <xf numFmtId="0" fontId="29" fillId="0" borderId="98">
      <alignment horizontal="right" vertical="center"/>
    </xf>
    <xf numFmtId="0" fontId="25" fillId="14" borderId="62">
      <alignment horizontal="right" vertical="center"/>
    </xf>
    <xf numFmtId="0" fontId="29" fillId="0" borderId="29">
      <alignment horizontal="right" vertical="center"/>
    </xf>
    <xf numFmtId="0" fontId="98" fillId="0" borderId="88" applyNumberFormat="0" applyFill="0" applyAlignment="0" applyProtection="0"/>
    <xf numFmtId="0" fontId="69" fillId="9" borderId="29">
      <alignment horizontal="right" vertical="center"/>
    </xf>
    <xf numFmtId="0" fontId="29" fillId="16" borderId="29"/>
    <xf numFmtId="0" fontId="30" fillId="89" borderId="89" applyNumberFormat="0" applyFont="0" applyAlignment="0" applyProtection="0"/>
    <xf numFmtId="0" fontId="25" fillId="14" borderId="90">
      <alignment horizontal="right" vertical="center"/>
    </xf>
    <xf numFmtId="0" fontId="25" fillId="9" borderId="29">
      <alignment horizontal="right" vertical="center"/>
    </xf>
    <xf numFmtId="0" fontId="25" fillId="9" borderId="60">
      <alignment horizontal="right" vertical="center"/>
    </xf>
    <xf numFmtId="0" fontId="29" fillId="0" borderId="60">
      <alignment horizontal="right" vertical="center"/>
    </xf>
    <xf numFmtId="4" fontId="30" fillId="0" borderId="0"/>
    <xf numFmtId="0" fontId="25" fillId="14" borderId="63">
      <alignment horizontal="right" vertical="center"/>
    </xf>
    <xf numFmtId="0" fontId="25" fillId="14" borderId="60">
      <alignment horizontal="right" vertical="center"/>
    </xf>
    <xf numFmtId="0" fontId="25" fillId="14" borderId="61">
      <alignment horizontal="right" vertical="center"/>
    </xf>
    <xf numFmtId="4" fontId="25" fillId="14" borderId="62">
      <alignment horizontal="right" vertical="center"/>
    </xf>
    <xf numFmtId="0" fontId="29" fillId="0" borderId="0"/>
    <xf numFmtId="0" fontId="29" fillId="67" borderId="29">
      <alignment horizontal="right" vertical="center"/>
    </xf>
    <xf numFmtId="0" fontId="29" fillId="67" borderId="0" applyBorder="0">
      <alignment horizontal="right" vertical="center"/>
    </xf>
    <xf numFmtId="0" fontId="30" fillId="0" borderId="0"/>
    <xf numFmtId="0" fontId="30" fillId="66" borderId="29"/>
    <xf numFmtId="4" fontId="30" fillId="0" borderId="0"/>
    <xf numFmtId="4" fontId="29" fillId="0" borderId="29" applyFill="0" applyBorder="0" applyProtection="0">
      <alignment horizontal="right" vertical="center"/>
    </xf>
    <xf numFmtId="0" fontId="72" fillId="0" borderId="0" applyNumberFormat="0" applyFill="0" applyBorder="0" applyAlignment="0" applyProtection="0"/>
    <xf numFmtId="4" fontId="30" fillId="0" borderId="0"/>
    <xf numFmtId="4" fontId="30" fillId="0" borderId="0"/>
    <xf numFmtId="0" fontId="6" fillId="0" borderId="0"/>
    <xf numFmtId="4" fontId="69" fillId="9" borderId="90">
      <alignment horizontal="right" vertical="center"/>
    </xf>
    <xf numFmtId="0" fontId="29" fillId="16" borderId="29"/>
    <xf numFmtId="0" fontId="25" fillId="14" borderId="62">
      <alignment horizontal="right" vertical="center"/>
    </xf>
    <xf numFmtId="0" fontId="29" fillId="0" borderId="98" applyNumberFormat="0" applyFill="0" applyAlignment="0" applyProtection="0"/>
    <xf numFmtId="4" fontId="29" fillId="16" borderId="90"/>
    <xf numFmtId="0" fontId="91" fillId="73" borderId="87" applyNumberFormat="0" applyAlignment="0" applyProtection="0"/>
    <xf numFmtId="0" fontId="98" fillId="0" borderId="88" applyNumberFormat="0" applyFill="0" applyAlignment="0" applyProtection="0"/>
    <xf numFmtId="0" fontId="69" fillId="9" borderId="90">
      <alignment horizontal="right" vertical="center"/>
    </xf>
    <xf numFmtId="0" fontId="63" fillId="46" borderId="57" applyNumberFormat="0" applyAlignment="0" applyProtection="0"/>
    <xf numFmtId="0" fontId="64" fillId="46" borderId="56" applyNumberFormat="0" applyAlignment="0" applyProtection="0"/>
    <xf numFmtId="0" fontId="83" fillId="0" borderId="88" applyNumberFormat="0" applyFill="0" applyAlignment="0" applyProtection="0"/>
    <xf numFmtId="0" fontId="73" fillId="89" borderId="89" applyNumberFormat="0" applyFont="0" applyAlignment="0" applyProtection="0"/>
    <xf numFmtId="0" fontId="65" fillId="0" borderId="0" applyNumberFormat="0" applyFill="0" applyBorder="0" applyAlignment="0" applyProtection="0"/>
    <xf numFmtId="0" fontId="6" fillId="50" borderId="0" applyNumberFormat="0" applyBorder="0" applyAlignment="0" applyProtection="0"/>
    <xf numFmtId="0" fontId="66" fillId="0" borderId="0" applyNumberFormat="0" applyFill="0" applyBorder="0" applyAlignment="0" applyProtection="0"/>
    <xf numFmtId="0" fontId="8"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67" fillId="49" borderId="0" applyNumberFormat="0" applyBorder="0" applyAlignment="0" applyProtection="0"/>
    <xf numFmtId="0" fontId="79" fillId="86" borderId="95" applyNumberFormat="0" applyAlignment="0" applyProtection="0"/>
    <xf numFmtId="0" fontId="6" fillId="50" borderId="0" applyNumberFormat="0" applyBorder="0" applyAlignment="0" applyProtection="0"/>
    <xf numFmtId="0" fontId="6" fillId="51" borderId="0" applyNumberFormat="0" applyBorder="0" applyAlignment="0" applyProtection="0"/>
    <xf numFmtId="0" fontId="67" fillId="52" borderId="0" applyNumberFormat="0" applyBorder="0" applyAlignment="0" applyProtection="0"/>
    <xf numFmtId="49" fontId="27" fillId="0" borderId="90"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67" fillId="55" borderId="0" applyNumberFormat="0" applyBorder="0" applyAlignment="0" applyProtection="0"/>
    <xf numFmtId="0" fontId="98" fillId="0" borderId="88"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67" fillId="58" borderId="0" applyNumberFormat="0" applyBorder="0" applyAlignment="0" applyProtection="0"/>
    <xf numFmtId="0" fontId="91" fillId="73" borderId="87"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67" fillId="61" borderId="0" applyNumberFormat="0" applyBorder="0" applyAlignment="0" applyProtection="0"/>
    <xf numFmtId="49" fontId="29" fillId="0" borderId="90"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67" fillId="64" borderId="0" applyNumberFormat="0" applyBorder="0" applyAlignment="0" applyProtection="0"/>
    <xf numFmtId="0" fontId="29" fillId="0" borderId="29" applyNumberFormat="0" applyFill="0" applyAlignment="0" applyProtection="0"/>
    <xf numFmtId="0" fontId="25" fillId="14" borderId="29">
      <alignment horizontal="right" vertical="center"/>
    </xf>
    <xf numFmtId="0" fontId="25" fillId="14" borderId="29">
      <alignment horizontal="right" vertical="center"/>
    </xf>
    <xf numFmtId="0" fontId="29" fillId="0" borderId="51">
      <alignment horizontal="left" vertical="center" wrapText="1" indent="2"/>
    </xf>
    <xf numFmtId="0" fontId="25" fillId="14" borderId="62">
      <alignment horizontal="right" vertical="center"/>
    </xf>
    <xf numFmtId="0" fontId="29" fillId="0" borderId="29">
      <alignment horizontal="right" vertical="center"/>
    </xf>
    <xf numFmtId="0" fontId="69" fillId="9" borderId="29">
      <alignment horizontal="right" vertical="center"/>
    </xf>
    <xf numFmtId="0" fontId="29" fillId="16" borderId="29"/>
    <xf numFmtId="0" fontId="25" fillId="9" borderId="29">
      <alignment horizontal="right" vertical="center"/>
    </xf>
    <xf numFmtId="0" fontId="25" fillId="14" borderId="61">
      <alignment horizontal="right" vertical="center"/>
    </xf>
    <xf numFmtId="0" fontId="71" fillId="0" borderId="0" applyNumberFormat="0" applyFill="0" applyBorder="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30" fillId="0" borderId="0" applyNumberFormat="0" applyFont="0" applyFill="0" applyBorder="0" applyProtection="0">
      <alignment horizontal="left" vertical="center" indent="2"/>
    </xf>
    <xf numFmtId="0" fontId="30" fillId="0" borderId="0" applyNumberFormat="0" applyFont="0" applyFill="0" applyBorder="0" applyProtection="0">
      <alignment horizontal="left" vertical="center" indent="2"/>
    </xf>
    <xf numFmtId="49" fontId="29" fillId="0" borderId="29" applyNumberFormat="0" applyFont="0" applyFill="0" applyBorder="0" applyProtection="0">
      <alignment horizontal="left" vertical="center" indent="2"/>
    </xf>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30" fillId="0" borderId="0" applyNumberFormat="0" applyFont="0" applyFill="0" applyBorder="0" applyProtection="0">
      <alignment horizontal="left" vertical="center" indent="5"/>
    </xf>
    <xf numFmtId="0" fontId="30" fillId="0" borderId="0" applyNumberFormat="0" applyFont="0" applyFill="0" applyBorder="0" applyProtection="0">
      <alignment horizontal="left" vertical="center" indent="5"/>
    </xf>
    <xf numFmtId="49" fontId="29" fillId="0" borderId="61" applyNumberFormat="0" applyFont="0" applyFill="0" applyBorder="0" applyProtection="0">
      <alignment horizontal="left" vertical="center" indent="5"/>
    </xf>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27" fillId="67" borderId="0" applyBorder="0" applyAlignment="0"/>
    <xf numFmtId="4" fontId="27" fillId="67" borderId="0" applyBorder="0" applyAlignment="0"/>
    <xf numFmtId="4" fontId="29" fillId="67" borderId="0" applyBorder="0">
      <alignment horizontal="right" vertical="center"/>
    </xf>
    <xf numFmtId="4" fontId="29" fillId="9" borderId="0" applyBorder="0">
      <alignment horizontal="right" vertical="center"/>
    </xf>
    <xf numFmtId="4" fontId="29" fillId="9" borderId="0" applyBorder="0">
      <alignment horizontal="right" vertical="center"/>
    </xf>
    <xf numFmtId="4" fontId="25" fillId="9" borderId="29">
      <alignment horizontal="right" vertical="center"/>
    </xf>
    <xf numFmtId="4" fontId="69" fillId="9" borderId="29">
      <alignment horizontal="right" vertical="center"/>
    </xf>
    <xf numFmtId="4" fontId="25" fillId="14" borderId="29">
      <alignment horizontal="right" vertical="center"/>
    </xf>
    <xf numFmtId="4" fontId="25" fillId="14" borderId="29">
      <alignment horizontal="right" vertical="center"/>
    </xf>
    <xf numFmtId="4" fontId="25" fillId="14" borderId="61">
      <alignment horizontal="right" vertical="center"/>
    </xf>
    <xf numFmtId="4" fontId="25" fillId="14" borderId="62">
      <alignment horizontal="right" vertical="center"/>
    </xf>
    <xf numFmtId="0" fontId="74" fillId="82" borderId="0" applyNumberFormat="0" applyBorder="0" applyAlignment="0" applyProtection="0"/>
    <xf numFmtId="0" fontId="74" fillId="83" borderId="0" applyNumberFormat="0" applyBorder="0" applyAlignment="0" applyProtection="0"/>
    <xf numFmtId="0" fontId="74" fillId="84" borderId="0" applyNumberFormat="0" applyBorder="0" applyAlignment="0" applyProtection="0"/>
    <xf numFmtId="0" fontId="74" fillId="79" borderId="0" applyNumberFormat="0" applyBorder="0" applyAlignment="0" applyProtection="0"/>
    <xf numFmtId="0" fontId="74" fillId="80" borderId="0" applyNumberFormat="0" applyBorder="0" applyAlignment="0" applyProtection="0"/>
    <xf numFmtId="0" fontId="74" fillId="85" borderId="0" applyNumberFormat="0" applyBorder="0" applyAlignment="0" applyProtection="0"/>
    <xf numFmtId="0" fontId="77" fillId="69" borderId="0" applyNumberFormat="0" applyBorder="0" applyAlignment="0" applyProtection="0"/>
    <xf numFmtId="4" fontId="27" fillId="0" borderId="39" applyFill="0" applyBorder="0" applyProtection="0">
      <alignment horizontal="right" vertical="center"/>
    </xf>
    <xf numFmtId="0" fontId="79" fillId="86" borderId="67" applyNumberFormat="0" applyAlignment="0" applyProtection="0"/>
    <xf numFmtId="0" fontId="80" fillId="87" borderId="68" applyNumberFormat="0" applyAlignment="0" applyProtection="0"/>
    <xf numFmtId="173" fontId="70" fillId="0" borderId="0" applyFont="0" applyFill="0" applyBorder="0" applyAlignment="0" applyProtection="0"/>
    <xf numFmtId="174" fontId="81" fillId="0" borderId="0" applyFont="0" applyFill="0" applyBorder="0" applyAlignment="0" applyProtection="0"/>
    <xf numFmtId="173" fontId="70" fillId="0" borderId="0" applyFont="0" applyFill="0" applyBorder="0" applyAlignment="0" applyProtection="0"/>
    <xf numFmtId="0" fontId="29" fillId="14" borderId="51">
      <alignment horizontal="left" vertical="center" wrapText="1" indent="2"/>
    </xf>
    <xf numFmtId="0" fontId="29" fillId="9" borderId="61">
      <alignment horizontal="left" vertical="center"/>
    </xf>
    <xf numFmtId="0" fontId="85" fillId="0" borderId="0" applyNumberFormat="0" applyFill="0" applyBorder="0" applyAlignment="0" applyProtection="0"/>
    <xf numFmtId="0" fontId="86" fillId="70" borderId="0" applyNumberFormat="0" applyBorder="0" applyAlignment="0" applyProtection="0"/>
    <xf numFmtId="0" fontId="87" fillId="70" borderId="0" applyNumberFormat="0" applyBorder="0" applyAlignment="0" applyProtection="0"/>
    <xf numFmtId="0" fontId="88" fillId="0" borderId="70" applyNumberFormat="0" applyFill="0" applyAlignment="0" applyProtection="0"/>
    <xf numFmtId="0" fontId="89" fillId="0" borderId="71" applyNumberFormat="0" applyFill="0" applyAlignment="0" applyProtection="0"/>
    <xf numFmtId="0" fontId="90" fillId="0" borderId="72" applyNumberFormat="0" applyFill="0" applyAlignment="0" applyProtection="0"/>
    <xf numFmtId="0" fontId="90" fillId="0" borderId="0" applyNumberFormat="0" applyFill="0" applyBorder="0" applyAlignment="0" applyProtection="0"/>
    <xf numFmtId="0" fontId="91" fillId="73" borderId="67" applyNumberFormat="0" applyAlignment="0" applyProtection="0"/>
    <xf numFmtId="4" fontId="29" fillId="0" borderId="0" applyBorder="0">
      <alignment horizontal="right" vertical="center"/>
    </xf>
    <xf numFmtId="0" fontId="29" fillId="0" borderId="64">
      <alignment horizontal="right" vertical="center"/>
    </xf>
    <xf numFmtId="4" fontId="29" fillId="0" borderId="29">
      <alignment horizontal="right" vertical="center"/>
    </xf>
    <xf numFmtId="1" fontId="68" fillId="9" borderId="0" applyBorder="0">
      <alignment horizontal="right" vertical="center"/>
    </xf>
    <xf numFmtId="0" fontId="92" fillId="0" borderId="73" applyNumberFormat="0" applyFill="0" applyAlignment="0" applyProtection="0"/>
    <xf numFmtId="0" fontId="93" fillId="88" borderId="0" applyNumberFormat="0" applyBorder="0" applyAlignment="0" applyProtection="0"/>
    <xf numFmtId="0" fontId="30" fillId="0" borderId="0"/>
    <xf numFmtId="0" fontId="30" fillId="0" borderId="0"/>
    <xf numFmtId="0" fontId="30" fillId="0" borderId="0"/>
    <xf numFmtId="0" fontId="30" fillId="0" borderId="0"/>
    <xf numFmtId="0" fontId="81" fillId="0" borderId="0"/>
    <xf numFmtId="4" fontId="94" fillId="0" borderId="0"/>
    <xf numFmtId="0" fontId="30" fillId="0" borderId="0"/>
    <xf numFmtId="0" fontId="30" fillId="0" borderId="0"/>
    <xf numFmtId="0" fontId="30" fillId="0" borderId="0"/>
    <xf numFmtId="0" fontId="30" fillId="0" borderId="0"/>
    <xf numFmtId="0" fontId="6" fillId="0" borderId="0"/>
    <xf numFmtId="4" fontId="29" fillId="0" borderId="0" applyFill="0" applyBorder="0" applyProtection="0">
      <alignment horizontal="right" vertical="center"/>
    </xf>
    <xf numFmtId="4" fontId="29" fillId="0" borderId="0" applyFill="0" applyBorder="0" applyProtection="0">
      <alignment horizontal="right" vertical="center"/>
    </xf>
    <xf numFmtId="4" fontId="29" fillId="0" borderId="29" applyFill="0" applyBorder="0" applyProtection="0">
      <alignment horizontal="right" vertical="center"/>
    </xf>
    <xf numFmtId="0" fontId="27" fillId="0" borderId="0" applyNumberFormat="0" applyFill="0" applyBorder="0" applyProtection="0">
      <alignment horizontal="left" vertical="center"/>
    </xf>
    <xf numFmtId="49" fontId="27" fillId="0" borderId="29" applyNumberFormat="0" applyFill="0" applyBorder="0" applyProtection="0">
      <alignment horizontal="left" vertical="center"/>
    </xf>
    <xf numFmtId="0" fontId="30" fillId="16" borderId="0" applyNumberFormat="0" applyFont="0" applyBorder="0" applyAlignment="0" applyProtection="0"/>
    <xf numFmtId="4" fontId="30" fillId="16" borderId="0" applyNumberFormat="0" applyFont="0" applyBorder="0" applyAlignment="0" applyProtection="0"/>
    <xf numFmtId="4" fontId="30" fillId="16" borderId="0" applyNumberFormat="0" applyFont="0" applyBorder="0" applyAlignment="0" applyProtection="0"/>
    <xf numFmtId="0" fontId="30" fillId="16" borderId="0" applyNumberFormat="0" applyFont="0" applyBorder="0" applyAlignment="0" applyProtection="0"/>
    <xf numFmtId="0" fontId="30" fillId="16" borderId="0" applyNumberFormat="0" applyFont="0" applyBorder="0" applyAlignment="0" applyProtection="0"/>
    <xf numFmtId="0" fontId="81" fillId="65" borderId="0" applyNumberFormat="0" applyFont="0" applyBorder="0" applyAlignment="0" applyProtection="0"/>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175" fontId="29" fillId="90" borderId="29" applyNumberFormat="0" applyFont="0" applyBorder="0" applyAlignment="0" applyProtection="0">
      <alignment horizontal="right" vertical="center"/>
    </xf>
    <xf numFmtId="9" fontId="81" fillId="0" borderId="0" applyFont="0" applyFill="0" applyBorder="0" applyAlignment="0" applyProtection="0"/>
    <xf numFmtId="0" fontId="96" fillId="69" borderId="0" applyNumberFormat="0" applyBorder="0" applyAlignment="0" applyProtection="0"/>
    <xf numFmtId="4" fontId="29" fillId="16" borderId="29"/>
    <xf numFmtId="0" fontId="29" fillId="16" borderId="60"/>
    <xf numFmtId="0" fontId="97" fillId="0" borderId="0" applyNumberFormat="0" applyFill="0" applyBorder="0" applyAlignment="0" applyProtection="0"/>
    <xf numFmtId="0" fontId="98" fillId="0" borderId="69" applyNumberFormat="0" applyFill="0" applyAlignment="0" applyProtection="0"/>
    <xf numFmtId="0" fontId="99" fillId="0" borderId="0" applyNumberFormat="0" applyFill="0" applyBorder="0" applyAlignment="0" applyProtection="0"/>
    <xf numFmtId="0" fontId="100" fillId="0" borderId="70" applyNumberFormat="0" applyFill="0" applyAlignment="0" applyProtection="0"/>
    <xf numFmtId="0" fontId="101" fillId="0" borderId="71" applyNumberFormat="0" applyFill="0" applyAlignment="0" applyProtection="0"/>
    <xf numFmtId="0" fontId="102" fillId="0" borderId="72" applyNumberFormat="0" applyFill="0" applyAlignment="0" applyProtection="0"/>
    <xf numFmtId="0" fontId="102" fillId="0" borderId="0" applyNumberFormat="0" applyFill="0" applyBorder="0" applyAlignment="0" applyProtection="0"/>
    <xf numFmtId="0" fontId="103" fillId="0" borderId="73" applyNumberFormat="0" applyFill="0" applyAlignment="0" applyProtection="0"/>
    <xf numFmtId="0" fontId="105" fillId="0" borderId="0" applyNumberFormat="0" applyFill="0" applyBorder="0" applyAlignment="0" applyProtection="0"/>
    <xf numFmtId="0" fontId="106" fillId="87" borderId="68" applyNumberFormat="0" applyAlignment="0" applyProtection="0"/>
    <xf numFmtId="0" fontId="72" fillId="0" borderId="0" applyNumberFormat="0" applyFill="0" applyBorder="0" applyAlignment="0" applyProtection="0"/>
    <xf numFmtId="0" fontId="107" fillId="0" borderId="0" applyNumberFormat="0" applyFill="0" applyBorder="0" applyAlignment="0" applyProtection="0"/>
    <xf numFmtId="0" fontId="30" fillId="0" borderId="0" applyNumberFormat="0" applyFont="0" applyFill="0" applyBorder="0" applyProtection="0">
      <alignment horizontal="left" vertical="center"/>
    </xf>
    <xf numFmtId="0" fontId="29" fillId="9" borderId="0" applyBorder="0">
      <alignment horizontal="right" vertical="center"/>
    </xf>
    <xf numFmtId="0" fontId="29" fillId="9" borderId="0" applyBorder="0">
      <alignment horizontal="right" vertical="center"/>
    </xf>
    <xf numFmtId="0" fontId="29" fillId="0" borderId="0" applyBorder="0">
      <alignment horizontal="right" vertical="center"/>
    </xf>
    <xf numFmtId="4" fontId="30" fillId="0" borderId="0"/>
    <xf numFmtId="0" fontId="108" fillId="0" borderId="0"/>
    <xf numFmtId="0" fontId="30" fillId="16" borderId="0" applyNumberFormat="0" applyFont="0" applyBorder="0" applyAlignment="0" applyProtection="0"/>
    <xf numFmtId="0" fontId="72" fillId="0" borderId="0" applyNumberFormat="0" applyFill="0" applyBorder="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77" fillId="69" borderId="0" applyNumberFormat="0" applyBorder="0" applyAlignment="0" applyProtection="0"/>
    <xf numFmtId="0" fontId="79" fillId="86" borderId="67" applyNumberFormat="0" applyAlignment="0" applyProtection="0"/>
    <xf numFmtId="0" fontId="80" fillId="87" borderId="68" applyNumberFormat="0" applyAlignment="0" applyProtection="0"/>
    <xf numFmtId="0" fontId="85" fillId="0" borderId="0" applyNumberFormat="0" applyFill="0" applyBorder="0" applyAlignment="0" applyProtection="0"/>
    <xf numFmtId="0" fontId="86" fillId="70" borderId="0" applyNumberFormat="0" applyBorder="0" applyAlignment="0" applyProtection="0"/>
    <xf numFmtId="0" fontId="88" fillId="0" borderId="70" applyNumberFormat="0" applyFill="0" applyAlignment="0" applyProtection="0"/>
    <xf numFmtId="0" fontId="89" fillId="0" borderId="71" applyNumberFormat="0" applyFill="0" applyAlignment="0" applyProtection="0"/>
    <xf numFmtId="0" fontId="90" fillId="0" borderId="72" applyNumberFormat="0" applyFill="0" applyAlignment="0" applyProtection="0"/>
    <xf numFmtId="0" fontId="90" fillId="0" borderId="0" applyNumberFormat="0" applyFill="0" applyBorder="0" applyAlignment="0" applyProtection="0"/>
    <xf numFmtId="0" fontId="91" fillId="73" borderId="67" applyNumberFormat="0" applyAlignment="0" applyProtection="0"/>
    <xf numFmtId="0" fontId="92" fillId="0" borderId="73" applyNumberFormat="0" applyFill="0" applyAlignment="0" applyProtection="0"/>
    <xf numFmtId="0" fontId="93" fillId="88" borderId="0" applyNumberFormat="0" applyBorder="0" applyAlignment="0" applyProtection="0"/>
    <xf numFmtId="0" fontId="30" fillId="0" borderId="0"/>
    <xf numFmtId="0" fontId="73" fillId="89" borderId="74" applyNumberFormat="0" applyFont="0" applyAlignment="0" applyProtection="0"/>
    <xf numFmtId="0" fontId="95" fillId="86" borderId="66" applyNumberFormat="0" applyAlignment="0" applyProtection="0"/>
    <xf numFmtId="0" fontId="97" fillId="0" borderId="0" applyNumberFormat="0" applyFill="0" applyBorder="0" applyAlignment="0" applyProtection="0"/>
    <xf numFmtId="0" fontId="98" fillId="0" borderId="69" applyNumberFormat="0" applyFill="0" applyAlignment="0" applyProtection="0"/>
    <xf numFmtId="0" fontId="105" fillId="0" borderId="0" applyNumberFormat="0" applyFill="0" applyBorder="0" applyAlignment="0" applyProtection="0"/>
    <xf numFmtId="0" fontId="109" fillId="0" borderId="0">
      <alignment horizontal="left" vertical="center" indent="1"/>
    </xf>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25" fillId="14" borderId="76">
      <alignment horizontal="right" vertical="center"/>
    </xf>
    <xf numFmtId="4" fontId="25" fillId="14" borderId="76">
      <alignment horizontal="right" vertical="center"/>
    </xf>
    <xf numFmtId="0" fontId="25" fillId="14" borderId="77">
      <alignment horizontal="right" vertical="center"/>
    </xf>
    <xf numFmtId="4" fontId="25" fillId="14" borderId="77">
      <alignment horizontal="right" vertical="center"/>
    </xf>
    <xf numFmtId="0" fontId="79"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9" borderId="76">
      <alignment horizontal="left" vertical="center"/>
    </xf>
    <xf numFmtId="0" fontId="85" fillId="0" borderId="0" applyNumberFormat="0" applyFill="0" applyBorder="0" applyAlignment="0" applyProtection="0"/>
    <xf numFmtId="0" fontId="91" fillId="73" borderId="67" applyNumberFormat="0" applyAlignment="0" applyProtection="0"/>
    <xf numFmtId="0" fontId="29" fillId="0" borderId="75">
      <alignment horizontal="right" vertical="center"/>
    </xf>
    <xf numFmtId="4" fontId="29" fillId="0" borderId="75">
      <alignment horizontal="right" vertical="center"/>
    </xf>
    <xf numFmtId="0" fontId="6" fillId="0" borderId="0"/>
    <xf numFmtId="0" fontId="29" fillId="0" borderId="75" applyNumberFormat="0" applyFill="0" applyAlignment="0" applyProtection="0"/>
    <xf numFmtId="0" fontId="95" fillId="86" borderId="66" applyNumberFormat="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0" fontId="98" fillId="0" borderId="69" applyNumberFormat="0" applyFill="0" applyAlignment="0" applyProtection="0"/>
    <xf numFmtId="0" fontId="105" fillId="0" borderId="0" applyNumberForma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2" fillId="7" borderId="56" applyNumberFormat="0" applyAlignment="0" applyProtection="0"/>
    <xf numFmtId="0" fontId="29" fillId="9" borderId="0" applyBorder="0">
      <alignment horizontal="right" vertical="center"/>
    </xf>
    <xf numFmtId="0" fontId="29" fillId="9" borderId="0" applyBorder="0">
      <alignment horizontal="right" vertical="center"/>
    </xf>
    <xf numFmtId="0" fontId="29" fillId="0" borderId="0" applyBorder="0">
      <alignment horizontal="right" vertical="center"/>
    </xf>
    <xf numFmtId="0" fontId="30" fillId="0" borderId="0"/>
    <xf numFmtId="49" fontId="29" fillId="0" borderId="75" applyNumberFormat="0" applyFont="0" applyFill="0" applyBorder="0" applyProtection="0">
      <alignment horizontal="left" vertical="center" indent="2"/>
    </xf>
    <xf numFmtId="49" fontId="29" fillId="0" borderId="76" applyNumberFormat="0" applyFont="0" applyFill="0" applyBorder="0" applyProtection="0">
      <alignment horizontal="left" vertical="center" indent="5"/>
    </xf>
    <xf numFmtId="0" fontId="74" fillId="82" borderId="0" applyNumberFormat="0" applyBorder="0" applyAlignment="0" applyProtection="0"/>
    <xf numFmtId="0" fontId="74" fillId="83" borderId="0" applyNumberFormat="0" applyBorder="0" applyAlignment="0" applyProtection="0"/>
    <xf numFmtId="0" fontId="74" fillId="84" borderId="0" applyNumberFormat="0" applyBorder="0" applyAlignment="0" applyProtection="0"/>
    <xf numFmtId="0" fontId="74" fillId="79" borderId="0" applyNumberFormat="0" applyBorder="0" applyAlignment="0" applyProtection="0"/>
    <xf numFmtId="0" fontId="74" fillId="80" borderId="0" applyNumberFormat="0" applyBorder="0" applyAlignment="0" applyProtection="0"/>
    <xf numFmtId="0" fontId="74" fillId="85" borderId="0" applyNumberFormat="0" applyBorder="0" applyAlignment="0" applyProtection="0"/>
    <xf numFmtId="0" fontId="87" fillId="70" borderId="0" applyNumberFormat="0" applyBorder="0" applyAlignment="0" applyProtection="0"/>
    <xf numFmtId="4" fontId="30" fillId="0" borderId="0"/>
    <xf numFmtId="0" fontId="30" fillId="0" borderId="0"/>
    <xf numFmtId="0" fontId="6" fillId="0" borderId="0"/>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30" fillId="16" borderId="0" applyNumberFormat="0" applyFont="0" applyBorder="0" applyAlignment="0" applyProtection="0"/>
    <xf numFmtId="0" fontId="96" fillId="69" borderId="0" applyNumberFormat="0" applyBorder="0" applyAlignment="0" applyProtection="0"/>
    <xf numFmtId="0" fontId="100" fillId="0" borderId="70" applyNumberFormat="0" applyFill="0" applyAlignment="0" applyProtection="0"/>
    <xf numFmtId="0" fontId="101" fillId="0" borderId="71" applyNumberFormat="0" applyFill="0" applyAlignment="0" applyProtection="0"/>
    <xf numFmtId="0" fontId="102" fillId="0" borderId="72" applyNumberFormat="0" applyFill="0" applyAlignment="0" applyProtection="0"/>
    <xf numFmtId="0" fontId="102" fillId="0" borderId="0" applyNumberFormat="0" applyFill="0" applyBorder="0" applyAlignment="0" applyProtection="0"/>
    <xf numFmtId="0" fontId="103" fillId="0" borderId="73" applyNumberFormat="0" applyFill="0" applyAlignment="0" applyProtection="0"/>
    <xf numFmtId="0" fontId="106" fillId="87" borderId="68" applyNumberFormat="0" applyAlignment="0" applyProtection="0"/>
    <xf numFmtId="0" fontId="72" fillId="0" borderId="0" applyNumberFormat="0" applyFill="0" applyBorder="0" applyAlignment="0" applyProtection="0"/>
    <xf numFmtId="0" fontId="6" fillId="0" borderId="0"/>
    <xf numFmtId="0" fontId="62" fillId="7" borderId="56" applyNumberFormat="0" applyAlignment="0" applyProtection="0"/>
    <xf numFmtId="0" fontId="70" fillId="68" borderId="0" applyNumberFormat="0" applyBorder="0" applyAlignment="0" applyProtection="0"/>
    <xf numFmtId="0" fontId="70" fillId="69" borderId="0" applyNumberFormat="0" applyBorder="0" applyAlignment="0" applyProtection="0"/>
    <xf numFmtId="0" fontId="70" fillId="70" borderId="0" applyNumberFormat="0" applyBorder="0" applyAlignment="0" applyProtection="0"/>
    <xf numFmtId="0" fontId="70" fillId="71" borderId="0" applyNumberFormat="0" applyBorder="0" applyAlignment="0" applyProtection="0"/>
    <xf numFmtId="0" fontId="70" fillId="72" borderId="0" applyNumberFormat="0" applyBorder="0" applyAlignment="0" applyProtection="0"/>
    <xf numFmtId="0" fontId="70" fillId="73" borderId="0" applyNumberFormat="0" applyBorder="0" applyAlignment="0" applyProtection="0"/>
    <xf numFmtId="0" fontId="70" fillId="74"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1" borderId="0" applyNumberFormat="0" applyBorder="0" applyAlignment="0" applyProtection="0"/>
    <xf numFmtId="0" fontId="70" fillId="74" borderId="0" applyNumberFormat="0" applyBorder="0" applyAlignment="0" applyProtection="0"/>
    <xf numFmtId="0" fontId="70" fillId="77" borderId="0" applyNumberFormat="0" applyBorder="0" applyAlignment="0" applyProtection="0"/>
    <xf numFmtId="0" fontId="74" fillId="78"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9" borderId="0" applyNumberFormat="0" applyBorder="0" applyAlignment="0" applyProtection="0"/>
    <xf numFmtId="0" fontId="74" fillId="80" borderId="0" applyNumberFormat="0" applyBorder="0" applyAlignment="0" applyProtection="0"/>
    <xf numFmtId="0" fontId="74" fillId="81" borderId="0" applyNumberFormat="0" applyBorder="0" applyAlignment="0" applyProtection="0"/>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0" fontId="84" fillId="0" borderId="0" applyNumberFormat="0" applyFill="0" applyBorder="0" applyAlignment="0" applyProtection="0"/>
    <xf numFmtId="0" fontId="6" fillId="0" borderId="0"/>
    <xf numFmtId="0" fontId="104" fillId="0" borderId="0" applyNumberFormat="0" applyFill="0" applyBorder="0" applyAlignment="0" applyProtection="0"/>
    <xf numFmtId="0" fontId="6" fillId="0" borderId="0"/>
    <xf numFmtId="0" fontId="6" fillId="0" borderId="0"/>
    <xf numFmtId="0" fontId="6" fillId="0" borderId="0"/>
    <xf numFmtId="49" fontId="29" fillId="0" borderId="29" applyNumberFormat="0" applyFont="0" applyFill="0" applyBorder="0" applyProtection="0">
      <alignment horizontal="left" vertical="center" indent="2"/>
    </xf>
    <xf numFmtId="49" fontId="29" fillId="0" borderId="61" applyNumberFormat="0" applyFont="0" applyFill="0" applyBorder="0" applyProtection="0">
      <alignment horizontal="left" vertical="center" indent="5"/>
    </xf>
    <xf numFmtId="0" fontId="25" fillId="9" borderId="29">
      <alignment horizontal="right" vertical="center"/>
    </xf>
    <xf numFmtId="4" fontId="25" fillId="9" borderId="29">
      <alignment horizontal="right" vertical="center"/>
    </xf>
    <xf numFmtId="0" fontId="69" fillId="9" borderId="29">
      <alignment horizontal="right" vertical="center"/>
    </xf>
    <xf numFmtId="4" fontId="69" fillId="9" borderId="29">
      <alignment horizontal="right" vertical="center"/>
    </xf>
    <xf numFmtId="0" fontId="25" fillId="14" borderId="29">
      <alignment horizontal="right" vertical="center"/>
    </xf>
    <xf numFmtId="4" fontId="25" fillId="14" borderId="29">
      <alignment horizontal="right" vertical="center"/>
    </xf>
    <xf numFmtId="0" fontId="25" fillId="14" borderId="29">
      <alignment horizontal="right" vertical="center"/>
    </xf>
    <xf numFmtId="4" fontId="25" fillId="14" borderId="29">
      <alignment horizontal="right" vertical="center"/>
    </xf>
    <xf numFmtId="0" fontId="25" fillId="14" borderId="61">
      <alignment horizontal="right" vertical="center"/>
    </xf>
    <xf numFmtId="4" fontId="25" fillId="14" borderId="61">
      <alignment horizontal="right" vertical="center"/>
    </xf>
    <xf numFmtId="0" fontId="25" fillId="14" borderId="62">
      <alignment horizontal="right" vertical="center"/>
    </xf>
    <xf numFmtId="4" fontId="25" fillId="14" borderId="62">
      <alignment horizontal="right" vertical="center"/>
    </xf>
    <xf numFmtId="174" fontId="110" fillId="0" borderId="0" applyFont="0" applyFill="0" applyBorder="0" applyAlignment="0" applyProtection="0"/>
    <xf numFmtId="0" fontId="29" fillId="14" borderId="51">
      <alignment horizontal="left" vertical="center" wrapText="1" indent="2"/>
    </xf>
    <xf numFmtId="0" fontId="29" fillId="0" borderId="51">
      <alignment horizontal="left" vertical="center" wrapText="1" indent="2"/>
    </xf>
    <xf numFmtId="0" fontId="29" fillId="9" borderId="61">
      <alignment horizontal="left" vertical="center"/>
    </xf>
    <xf numFmtId="0" fontId="82" fillId="73" borderId="67" applyNumberFormat="0" applyAlignment="0" applyProtection="0"/>
    <xf numFmtId="0" fontId="29" fillId="0" borderId="29">
      <alignment horizontal="right" vertical="center"/>
    </xf>
    <xf numFmtId="4" fontId="29" fillId="0" borderId="29">
      <alignment horizontal="right" vertical="center"/>
    </xf>
    <xf numFmtId="0" fontId="110" fillId="0" borderId="0"/>
    <xf numFmtId="0" fontId="108" fillId="0" borderId="0"/>
    <xf numFmtId="0" fontId="108" fillId="0" borderId="0"/>
    <xf numFmtId="0" fontId="6" fillId="0" borderId="0"/>
    <xf numFmtId="0" fontId="6" fillId="0" borderId="0"/>
    <xf numFmtId="0" fontId="6" fillId="0" borderId="0"/>
    <xf numFmtId="0" fontId="6" fillId="0" borderId="0"/>
    <xf numFmtId="0" fontId="108" fillId="0" borderId="0"/>
    <xf numFmtId="0" fontId="30" fillId="0" borderId="0"/>
    <xf numFmtId="4" fontId="29" fillId="0" borderId="29" applyFill="0" applyBorder="0" applyProtection="0">
      <alignment horizontal="right" vertical="center"/>
    </xf>
    <xf numFmtId="49" fontId="27" fillId="0" borderId="29" applyNumberFormat="0" applyFill="0" applyBorder="0" applyProtection="0">
      <alignment horizontal="left" vertical="center"/>
    </xf>
    <xf numFmtId="0" fontId="29" fillId="0" borderId="29" applyNumberFormat="0" applyFill="0" applyAlignment="0" applyProtection="0"/>
    <xf numFmtId="0" fontId="110" fillId="65" borderId="0" applyNumberFormat="0" applyFont="0" applyBorder="0" applyAlignment="0" applyProtection="0"/>
    <xf numFmtId="175" fontId="29" fillId="90" borderId="29" applyNumberFormat="0" applyFont="0" applyBorder="0" applyAlignment="0" applyProtection="0">
      <alignment horizontal="right" vertical="center"/>
    </xf>
    <xf numFmtId="9" fontId="110" fillId="0" borderId="0" applyFont="0" applyFill="0" applyBorder="0" applyAlignment="0" applyProtection="0"/>
    <xf numFmtId="0" fontId="29" fillId="16" borderId="29"/>
    <xf numFmtId="4" fontId="29" fillId="16" borderId="29"/>
    <xf numFmtId="0" fontId="29" fillId="14" borderId="78">
      <alignment horizontal="left" vertical="center" wrapText="1" indent="2"/>
    </xf>
    <xf numFmtId="0" fontId="29" fillId="0" borderId="78">
      <alignment horizontal="left" vertical="center" wrapText="1" indent="2"/>
    </xf>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9" fillId="14" borderId="51">
      <alignment horizontal="left" vertical="center" wrapText="1" indent="2"/>
    </xf>
    <xf numFmtId="0" fontId="29" fillId="0" borderId="51">
      <alignment horizontal="left" vertical="center" wrapText="1" indent="2"/>
    </xf>
    <xf numFmtId="0" fontId="30" fillId="0" borderId="0"/>
    <xf numFmtId="4" fontId="25" fillId="14" borderId="75">
      <alignment horizontal="right" vertical="center"/>
    </xf>
    <xf numFmtId="0" fontId="29" fillId="16" borderId="75"/>
    <xf numFmtId="0" fontId="78" fillId="86" borderId="67" applyNumberFormat="0" applyAlignment="0" applyProtection="0"/>
    <xf numFmtId="0" fontId="25" fillId="9" borderId="75">
      <alignment horizontal="right" vertical="center"/>
    </xf>
    <xf numFmtId="0" fontId="29" fillId="0" borderId="75">
      <alignment horizontal="right" vertical="center"/>
    </xf>
    <xf numFmtId="0" fontId="98" fillId="0" borderId="69" applyNumberFormat="0" applyFill="0" applyAlignment="0" applyProtection="0"/>
    <xf numFmtId="0" fontId="29" fillId="9" borderId="76">
      <alignment horizontal="left" vertical="center"/>
    </xf>
    <xf numFmtId="0" fontId="91" fillId="73" borderId="67" applyNumberFormat="0" applyAlignment="0" applyProtection="0"/>
    <xf numFmtId="175" fontId="29" fillId="90" borderId="75" applyNumberFormat="0" applyFont="0" applyBorder="0" applyAlignment="0" applyProtection="0">
      <alignment horizontal="right" vertical="center"/>
    </xf>
    <xf numFmtId="0" fontId="73" fillId="89" borderId="74" applyNumberFormat="0" applyFont="0" applyAlignment="0" applyProtection="0"/>
    <xf numFmtId="0" fontId="29" fillId="0" borderId="78">
      <alignment horizontal="left" vertical="center" wrapText="1" indent="2"/>
    </xf>
    <xf numFmtId="4" fontId="29" fillId="16" borderId="75"/>
    <xf numFmtId="49" fontId="27" fillId="0" borderId="75" applyNumberFormat="0" applyFill="0" applyBorder="0" applyProtection="0">
      <alignment horizontal="left" vertical="center"/>
    </xf>
    <xf numFmtId="0" fontId="29" fillId="0" borderId="75">
      <alignment horizontal="right" vertical="center"/>
    </xf>
    <xf numFmtId="4" fontId="25" fillId="14" borderId="77">
      <alignment horizontal="right" vertical="center"/>
    </xf>
    <xf numFmtId="4" fontId="25" fillId="14" borderId="75">
      <alignment horizontal="right" vertical="center"/>
    </xf>
    <xf numFmtId="4" fontId="25" fillId="14" borderId="75">
      <alignment horizontal="right" vertical="center"/>
    </xf>
    <xf numFmtId="0" fontId="69" fillId="9" borderId="75">
      <alignment horizontal="right" vertical="center"/>
    </xf>
    <xf numFmtId="0" fontId="25" fillId="9" borderId="75">
      <alignment horizontal="right" vertical="center"/>
    </xf>
    <xf numFmtId="49" fontId="29" fillId="0" borderId="75" applyNumberFormat="0" applyFont="0" applyFill="0" applyBorder="0" applyProtection="0">
      <alignment horizontal="left" vertical="center" indent="2"/>
    </xf>
    <xf numFmtId="0" fontId="91" fillId="73" borderId="67" applyNumberFormat="0" applyAlignment="0" applyProtection="0"/>
    <xf numFmtId="0" fontId="76" fillId="86" borderId="66" applyNumberFormat="0" applyAlignment="0" applyProtection="0"/>
    <xf numFmtId="49" fontId="29" fillId="0" borderId="75" applyNumberFormat="0" applyFont="0" applyFill="0" applyBorder="0" applyProtection="0">
      <alignment horizontal="left" vertical="center" indent="2"/>
    </xf>
    <xf numFmtId="0" fontId="82" fillId="73" borderId="67" applyNumberFormat="0" applyAlignment="0" applyProtection="0"/>
    <xf numFmtId="4" fontId="29" fillId="0" borderId="75" applyFill="0" applyBorder="0" applyProtection="0">
      <alignment horizontal="right" vertical="center"/>
    </xf>
    <xf numFmtId="0" fontId="79" fillId="86" borderId="67" applyNumberFormat="0" applyAlignment="0" applyProtection="0"/>
    <xf numFmtId="0" fontId="98" fillId="0" borderId="69" applyNumberFormat="0" applyFill="0" applyAlignment="0" applyProtection="0"/>
    <xf numFmtId="0" fontId="95" fillId="86" borderId="66" applyNumberFormat="0" applyAlignment="0" applyProtection="0"/>
    <xf numFmtId="0" fontId="29" fillId="0" borderId="75" applyNumberFormat="0" applyFill="0" applyAlignment="0" applyProtection="0"/>
    <xf numFmtId="4" fontId="29" fillId="0" borderId="75">
      <alignment horizontal="right" vertical="center"/>
    </xf>
    <xf numFmtId="0" fontId="29" fillId="0" borderId="75">
      <alignment horizontal="right" vertical="center"/>
    </xf>
    <xf numFmtId="0" fontId="91" fillId="73" borderId="67" applyNumberFormat="0" applyAlignment="0" applyProtection="0"/>
    <xf numFmtId="0" fontId="76" fillId="86" borderId="66" applyNumberFormat="0" applyAlignment="0" applyProtection="0"/>
    <xf numFmtId="0" fontId="78" fillId="86" borderId="67" applyNumberFormat="0" applyAlignment="0" applyProtection="0"/>
    <xf numFmtId="0" fontId="29" fillId="14" borderId="78">
      <alignment horizontal="left" vertical="center" wrapText="1" indent="2"/>
    </xf>
    <xf numFmtId="0" fontId="79" fillId="86" borderId="67" applyNumberFormat="0" applyAlignment="0" applyProtection="0"/>
    <xf numFmtId="0" fontId="79" fillId="86" borderId="67" applyNumberFormat="0" applyAlignment="0" applyProtection="0"/>
    <xf numFmtId="4" fontId="25" fillId="14" borderId="76">
      <alignment horizontal="right" vertical="center"/>
    </xf>
    <xf numFmtId="0" fontId="25" fillId="14" borderId="76">
      <alignment horizontal="right" vertical="center"/>
    </xf>
    <xf numFmtId="0" fontId="25" fillId="14" borderId="75">
      <alignment horizontal="right" vertical="center"/>
    </xf>
    <xf numFmtId="4" fontId="69" fillId="9" borderId="75">
      <alignment horizontal="right" vertical="center"/>
    </xf>
    <xf numFmtId="0" fontId="82" fillId="73" borderId="67" applyNumberFormat="0" applyAlignment="0" applyProtection="0"/>
    <xf numFmtId="0" fontId="83" fillId="0" borderId="69" applyNumberFormat="0" applyFill="0" applyAlignment="0" applyProtection="0"/>
    <xf numFmtId="0" fontId="98" fillId="0" borderId="69" applyNumberFormat="0" applyFill="0" applyAlignment="0" applyProtection="0"/>
    <xf numFmtId="0" fontId="73" fillId="89" borderId="74" applyNumberFormat="0" applyFont="0" applyAlignment="0" applyProtection="0"/>
    <xf numFmtId="0" fontId="91" fillId="73" borderId="67" applyNumberFormat="0" applyAlignment="0" applyProtection="0"/>
    <xf numFmtId="49" fontId="27" fillId="0" borderId="75" applyNumberFormat="0" applyFill="0" applyBorder="0" applyProtection="0">
      <alignment horizontal="left" vertical="center"/>
    </xf>
    <xf numFmtId="0" fontId="29" fillId="14" borderId="78">
      <alignment horizontal="left" vertical="center" wrapText="1" indent="2"/>
    </xf>
    <xf numFmtId="0" fontId="79" fillId="86" borderId="67" applyNumberFormat="0" applyAlignment="0" applyProtection="0"/>
    <xf numFmtId="0" fontId="29" fillId="0" borderId="78">
      <alignment horizontal="left" vertical="center" wrapText="1" indent="2"/>
    </xf>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4" fontId="29" fillId="16" borderId="75"/>
    <xf numFmtId="0" fontId="25" fillId="14" borderId="75">
      <alignment horizontal="right" vertical="center"/>
    </xf>
    <xf numFmtId="0" fontId="98" fillId="0" borderId="69" applyNumberFormat="0" applyFill="0" applyAlignment="0" applyProtection="0"/>
    <xf numFmtId="4" fontId="25" fillId="14" borderId="77">
      <alignment horizontal="right" vertical="center"/>
    </xf>
    <xf numFmtId="0" fontId="78" fillId="86" borderId="67" applyNumberFormat="0" applyAlignment="0" applyProtection="0"/>
    <xf numFmtId="0" fontId="25" fillId="14" borderId="76">
      <alignment horizontal="right" vertical="center"/>
    </xf>
    <xf numFmtId="0" fontId="79" fillId="86" borderId="67" applyNumberFormat="0" applyAlignment="0" applyProtection="0"/>
    <xf numFmtId="0" fontId="83" fillId="0" borderId="69" applyNumberFormat="0" applyFill="0" applyAlignment="0" applyProtection="0"/>
    <xf numFmtId="0" fontId="73" fillId="89" borderId="74" applyNumberFormat="0" applyFont="0" applyAlignment="0" applyProtection="0"/>
    <xf numFmtId="4" fontId="25" fillId="14" borderId="76">
      <alignment horizontal="right" vertical="center"/>
    </xf>
    <xf numFmtId="0" fontId="29" fillId="14" borderId="78">
      <alignment horizontal="left" vertical="center" wrapText="1" indent="2"/>
    </xf>
    <xf numFmtId="0" fontId="29" fillId="16" borderId="75"/>
    <xf numFmtId="175" fontId="29" fillId="90" borderId="75" applyNumberFormat="0" applyFont="0" applyBorder="0" applyAlignment="0" applyProtection="0">
      <alignment horizontal="right" vertical="center"/>
    </xf>
    <xf numFmtId="0" fontId="29" fillId="0" borderId="75" applyNumberFormat="0" applyFill="0" applyAlignment="0" applyProtection="0"/>
    <xf numFmtId="4" fontId="29" fillId="0" borderId="75" applyFill="0" applyBorder="0" applyProtection="0">
      <alignment horizontal="right" vertical="center"/>
    </xf>
    <xf numFmtId="4" fontId="25" fillId="9" borderId="75">
      <alignment horizontal="right" vertical="center"/>
    </xf>
    <xf numFmtId="0" fontId="83" fillId="0" borderId="69" applyNumberFormat="0" applyFill="0" applyAlignment="0" applyProtection="0"/>
    <xf numFmtId="49" fontId="27" fillId="0" borderId="75" applyNumberFormat="0" applyFill="0" applyBorder="0" applyProtection="0">
      <alignment horizontal="left" vertical="center"/>
    </xf>
    <xf numFmtId="49" fontId="29" fillId="0" borderId="76" applyNumberFormat="0" applyFont="0" applyFill="0" applyBorder="0" applyProtection="0">
      <alignment horizontal="left" vertical="center" indent="5"/>
    </xf>
    <xf numFmtId="0" fontId="29" fillId="9" borderId="76">
      <alignment horizontal="left" vertical="center"/>
    </xf>
    <xf numFmtId="0" fontId="79" fillId="86" borderId="67" applyNumberFormat="0" applyAlignment="0" applyProtection="0"/>
    <xf numFmtId="4" fontId="25" fillId="14" borderId="77">
      <alignment horizontal="right" vertical="center"/>
    </xf>
    <xf numFmtId="0" fontId="91" fillId="73" borderId="67" applyNumberFormat="0" applyAlignment="0" applyProtection="0"/>
    <xf numFmtId="0" fontId="91" fillId="73" borderId="67" applyNumberFormat="0" applyAlignment="0" applyProtection="0"/>
    <xf numFmtId="0" fontId="73"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25" fillId="14" borderId="75">
      <alignment horizontal="right" vertical="center"/>
    </xf>
    <xf numFmtId="0" fontId="30" fillId="89" borderId="74" applyNumberFormat="0" applyFont="0" applyAlignment="0" applyProtection="0"/>
    <xf numFmtId="4" fontId="29" fillId="0" borderId="75">
      <alignment horizontal="right" vertical="center"/>
    </xf>
    <xf numFmtId="0" fontId="98" fillId="0" borderId="69" applyNumberFormat="0" applyFill="0" applyAlignment="0" applyProtection="0"/>
    <xf numFmtId="0" fontId="25" fillId="14" borderId="75">
      <alignment horizontal="right" vertical="center"/>
    </xf>
    <xf numFmtId="0" fontId="25" fillId="14" borderId="75">
      <alignment horizontal="right" vertical="center"/>
    </xf>
    <xf numFmtId="4" fontId="69" fillId="9" borderId="75">
      <alignment horizontal="right" vertical="center"/>
    </xf>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25" fillId="14" borderId="76">
      <alignment horizontal="right" vertical="center"/>
    </xf>
    <xf numFmtId="4" fontId="25" fillId="14" borderId="76">
      <alignment horizontal="right" vertical="center"/>
    </xf>
    <xf numFmtId="0" fontId="25" fillId="14" borderId="77">
      <alignment horizontal="right" vertical="center"/>
    </xf>
    <xf numFmtId="4" fontId="25" fillId="14" borderId="77">
      <alignment horizontal="right" vertical="center"/>
    </xf>
    <xf numFmtId="0" fontId="79"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9" borderId="76">
      <alignment horizontal="left" vertical="center"/>
    </xf>
    <xf numFmtId="0" fontId="91" fillId="73" borderId="67" applyNumberFormat="0" applyAlignment="0" applyProtection="0"/>
    <xf numFmtId="0" fontId="29" fillId="0" borderId="75">
      <alignment horizontal="right" vertical="center"/>
    </xf>
    <xf numFmtId="4" fontId="29" fillId="0" borderId="75">
      <alignment horizontal="right" vertical="center"/>
    </xf>
    <xf numFmtId="0" fontId="29" fillId="0" borderId="75" applyNumberFormat="0" applyFill="0" applyAlignment="0" applyProtection="0"/>
    <xf numFmtId="0" fontId="95" fillId="86" borderId="66" applyNumberFormat="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0" fontId="98" fillId="0" borderId="69" applyNumberFormat="0" applyFill="0" applyAlignment="0" applyProtection="0"/>
    <xf numFmtId="0" fontId="30" fillId="89" borderId="74" applyNumberFormat="0" applyFont="0" applyAlignment="0" applyProtection="0"/>
    <xf numFmtId="0" fontId="73" fillId="89" borderId="74" applyNumberFormat="0" applyFont="0" applyAlignment="0" applyProtection="0"/>
    <xf numFmtId="0" fontId="29" fillId="0" borderId="75" applyNumberFormat="0" applyFill="0" applyAlignment="0" applyProtection="0"/>
    <xf numFmtId="0" fontId="83" fillId="0" borderId="69" applyNumberFormat="0" applyFill="0" applyAlignment="0" applyProtection="0"/>
    <xf numFmtId="0" fontId="98" fillId="0" borderId="69" applyNumberFormat="0" applyFill="0" applyAlignment="0" applyProtection="0"/>
    <xf numFmtId="0" fontId="82" fillId="73" borderId="67" applyNumberFormat="0" applyAlignment="0" applyProtection="0"/>
    <xf numFmtId="0" fontId="79" fillId="86" borderId="67" applyNumberFormat="0" applyAlignment="0" applyProtection="0"/>
    <xf numFmtId="4" fontId="69" fillId="9" borderId="75">
      <alignment horizontal="right" vertical="center"/>
    </xf>
    <xf numFmtId="0" fontId="25" fillId="9" borderId="75">
      <alignment horizontal="right" vertical="center"/>
    </xf>
    <xf numFmtId="175" fontId="29" fillId="90" borderId="75" applyNumberFormat="0" applyFont="0" applyBorder="0" applyAlignment="0" applyProtection="0">
      <alignment horizontal="right" vertical="center"/>
    </xf>
    <xf numFmtId="0" fontId="83" fillId="0" borderId="69" applyNumberFormat="0" applyFill="0" applyAlignment="0" applyProtection="0"/>
    <xf numFmtId="49" fontId="29" fillId="0" borderId="75" applyNumberFormat="0" applyFont="0" applyFill="0" applyBorder="0" applyProtection="0">
      <alignment horizontal="left" vertical="center" indent="2"/>
    </xf>
    <xf numFmtId="49" fontId="29" fillId="0" borderId="76" applyNumberFormat="0" applyFont="0" applyFill="0" applyBorder="0" applyProtection="0">
      <alignment horizontal="left" vertical="center" indent="5"/>
    </xf>
    <xf numFmtId="49" fontId="29" fillId="0" borderId="75" applyNumberFormat="0" applyFont="0" applyFill="0" applyBorder="0" applyProtection="0">
      <alignment horizontal="left" vertical="center" indent="2"/>
    </xf>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29" fillId="0" borderId="78">
      <alignment horizontal="left" vertical="center" wrapText="1" indent="2"/>
    </xf>
    <xf numFmtId="0" fontId="95" fillId="86" borderId="66" applyNumberFormat="0" applyAlignment="0" applyProtection="0"/>
    <xf numFmtId="0" fontId="25" fillId="14" borderId="77">
      <alignment horizontal="right" vertical="center"/>
    </xf>
    <xf numFmtId="0" fontId="82" fillId="73" borderId="67" applyNumberFormat="0" applyAlignment="0" applyProtection="0"/>
    <xf numFmtId="0" fontId="25" fillId="14" borderId="77">
      <alignment horizontal="right" vertical="center"/>
    </xf>
    <xf numFmtId="4" fontId="25" fillId="14" borderId="75">
      <alignment horizontal="right" vertical="center"/>
    </xf>
    <xf numFmtId="0" fontId="25" fillId="14" borderId="75">
      <alignment horizontal="right" vertical="center"/>
    </xf>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0" fontId="29" fillId="16" borderId="75"/>
    <xf numFmtId="4" fontId="29" fillId="16" borderId="75"/>
    <xf numFmtId="4" fontId="25" fillId="14" borderId="75">
      <alignment horizontal="right" vertical="center"/>
    </xf>
    <xf numFmtId="0" fontId="69" fillId="9" borderId="75">
      <alignment horizontal="right" vertical="center"/>
    </xf>
    <xf numFmtId="0" fontId="82" fillId="73" borderId="67" applyNumberFormat="0" applyAlignment="0" applyProtection="0"/>
    <xf numFmtId="0" fontId="79" fillId="86" borderId="67" applyNumberFormat="0" applyAlignment="0" applyProtection="0"/>
    <xf numFmtId="4" fontId="29" fillId="0" borderId="75">
      <alignment horizontal="right" vertical="center"/>
    </xf>
    <xf numFmtId="0" fontId="29" fillId="14" borderId="78">
      <alignment horizontal="left" vertical="center" wrapText="1" indent="2"/>
    </xf>
    <xf numFmtId="0" fontId="29" fillId="0" borderId="78">
      <alignment horizontal="left" vertical="center" wrapText="1" indent="2"/>
    </xf>
    <xf numFmtId="0" fontId="95" fillId="86" borderId="66" applyNumberFormat="0" applyAlignment="0" applyProtection="0"/>
    <xf numFmtId="0" fontId="91" fillId="73" borderId="67" applyNumberFormat="0" applyAlignment="0" applyProtection="0"/>
    <xf numFmtId="0" fontId="78" fillId="86" borderId="67" applyNumberFormat="0" applyAlignment="0" applyProtection="0"/>
    <xf numFmtId="0" fontId="76" fillId="86" borderId="66" applyNumberFormat="0" applyAlignment="0" applyProtection="0"/>
    <xf numFmtId="0" fontId="25" fillId="14" borderId="77">
      <alignment horizontal="right" vertical="center"/>
    </xf>
    <xf numFmtId="0" fontId="69" fillId="9" borderId="75">
      <alignment horizontal="right" vertical="center"/>
    </xf>
    <xf numFmtId="4" fontId="25" fillId="9" borderId="75">
      <alignment horizontal="right" vertical="center"/>
    </xf>
    <xf numFmtId="4" fontId="25" fillId="14" borderId="75">
      <alignment horizontal="right" vertical="center"/>
    </xf>
    <xf numFmtId="49" fontId="29" fillId="0" borderId="76" applyNumberFormat="0" applyFont="0" applyFill="0" applyBorder="0" applyProtection="0">
      <alignment horizontal="left" vertical="center" indent="5"/>
    </xf>
    <xf numFmtId="4" fontId="29" fillId="0" borderId="75" applyFill="0" applyBorder="0" applyProtection="0">
      <alignment horizontal="right" vertical="center"/>
    </xf>
    <xf numFmtId="4" fontId="25" fillId="9" borderId="75">
      <alignment horizontal="right" vertical="center"/>
    </xf>
    <xf numFmtId="0" fontId="30" fillId="0" borderId="0"/>
    <xf numFmtId="0" fontId="91" fillId="73" borderId="67" applyNumberFormat="0" applyAlignment="0" applyProtection="0"/>
    <xf numFmtId="0" fontId="82" fillId="73" borderId="67" applyNumberFormat="0" applyAlignment="0" applyProtection="0"/>
    <xf numFmtId="0" fontId="78"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14" borderId="78">
      <alignment horizontal="left" vertical="center" wrapText="1" indent="2"/>
    </xf>
    <xf numFmtId="0" fontId="29" fillId="0" borderId="78">
      <alignment horizontal="left" vertical="center" wrapText="1" indent="2"/>
    </xf>
    <xf numFmtId="0" fontId="76" fillId="86" borderId="66" applyNumberFormat="0" applyAlignment="0" applyProtection="0"/>
    <xf numFmtId="0" fontId="78" fillId="86" borderId="67" applyNumberFormat="0" applyAlignment="0" applyProtection="0"/>
    <xf numFmtId="0" fontId="79" fillId="86" borderId="67" applyNumberFormat="0" applyAlignment="0" applyProtection="0"/>
    <xf numFmtId="0" fontId="82" fillId="73" borderId="67" applyNumberFormat="0" applyAlignment="0" applyProtection="0"/>
    <xf numFmtId="0" fontId="83" fillId="0" borderId="69" applyNumberFormat="0" applyFill="0" applyAlignment="0" applyProtection="0"/>
    <xf numFmtId="0" fontId="91" fillId="73" borderId="67" applyNumberFormat="0" applyAlignment="0" applyProtection="0"/>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79" fillId="86" borderId="67" applyNumberFormat="0" applyAlignment="0" applyProtection="0"/>
    <xf numFmtId="0" fontId="91" fillId="73" borderId="67" applyNumberFormat="0" applyAlignment="0" applyProtection="0"/>
    <xf numFmtId="0" fontId="73"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25" fillId="14" borderId="61">
      <alignment horizontal="right" vertical="center"/>
    </xf>
    <xf numFmtId="4" fontId="25" fillId="14" borderId="61">
      <alignment horizontal="right" vertical="center"/>
    </xf>
    <xf numFmtId="0" fontId="25" fillId="14" borderId="62">
      <alignment horizontal="right" vertical="center"/>
    </xf>
    <xf numFmtId="4" fontId="25" fillId="14" borderId="62">
      <alignment horizontal="right" vertical="center"/>
    </xf>
    <xf numFmtId="0" fontId="79" fillId="86" borderId="67" applyNumberFormat="0" applyAlignment="0" applyProtection="0"/>
    <xf numFmtId="0" fontId="29" fillId="14" borderId="51">
      <alignment horizontal="left" vertical="center" wrapText="1" indent="2"/>
    </xf>
    <xf numFmtId="0" fontId="29" fillId="0" borderId="51">
      <alignment horizontal="left" vertical="center" wrapText="1" indent="2"/>
    </xf>
    <xf numFmtId="0" fontId="29" fillId="9" borderId="61">
      <alignment horizontal="left" vertical="center"/>
    </xf>
    <xf numFmtId="0" fontId="91" fillId="73" borderId="67" applyNumberFormat="0" applyAlignment="0" applyProtection="0"/>
    <xf numFmtId="0" fontId="95" fillId="86" borderId="66" applyNumberFormat="0" applyAlignment="0" applyProtection="0"/>
    <xf numFmtId="0" fontId="98" fillId="0" borderId="69" applyNumberFormat="0" applyFill="0" applyAlignment="0" applyProtection="0"/>
    <xf numFmtId="49" fontId="29" fillId="0" borderId="61" applyNumberFormat="0" applyFont="0" applyFill="0" applyBorder="0" applyProtection="0">
      <alignment horizontal="left" vertical="center" indent="5"/>
    </xf>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49" fontId="29" fillId="0" borderId="75" applyNumberFormat="0" applyFont="0" applyFill="0" applyBorder="0" applyProtection="0">
      <alignment horizontal="left" vertical="center" indent="2"/>
    </xf>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82" fillId="73" borderId="67" applyNumberFormat="0" applyAlignment="0" applyProtection="0"/>
    <xf numFmtId="0" fontId="29" fillId="0" borderId="75">
      <alignment horizontal="right" vertical="center"/>
    </xf>
    <xf numFmtId="4" fontId="29" fillId="0" borderId="75">
      <alignment horizontal="right" vertical="center"/>
    </xf>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29" fillId="0" borderId="75" applyNumberFormat="0" applyFill="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4" fontId="25" fillId="14" borderId="75">
      <alignment horizontal="right" vertical="center"/>
    </xf>
    <xf numFmtId="0" fontId="29" fillId="16" borderId="75"/>
    <xf numFmtId="0" fontId="78" fillId="86" borderId="67" applyNumberFormat="0" applyAlignment="0" applyProtection="0"/>
    <xf numFmtId="0" fontId="25" fillId="9" borderId="75">
      <alignment horizontal="right" vertical="center"/>
    </xf>
    <xf numFmtId="0" fontId="29" fillId="0" borderId="75">
      <alignment horizontal="right" vertical="center"/>
    </xf>
    <xf numFmtId="0" fontId="98" fillId="0" borderId="69" applyNumberFormat="0" applyFill="0" applyAlignment="0" applyProtection="0"/>
    <xf numFmtId="0" fontId="29" fillId="9" borderId="76">
      <alignment horizontal="left" vertical="center"/>
    </xf>
    <xf numFmtId="0" fontId="91" fillId="73" borderId="67" applyNumberFormat="0" applyAlignment="0" applyProtection="0"/>
    <xf numFmtId="175" fontId="29" fillId="90" borderId="75" applyNumberFormat="0" applyFont="0" applyBorder="0" applyAlignment="0" applyProtection="0">
      <alignment horizontal="right" vertical="center"/>
    </xf>
    <xf numFmtId="0" fontId="73" fillId="89" borderId="74" applyNumberFormat="0" applyFont="0" applyAlignment="0" applyProtection="0"/>
    <xf numFmtId="0" fontId="29" fillId="0" borderId="78">
      <alignment horizontal="left" vertical="center" wrapText="1" indent="2"/>
    </xf>
    <xf numFmtId="4" fontId="29" fillId="16" borderId="75"/>
    <xf numFmtId="49" fontId="27" fillId="0" borderId="75" applyNumberFormat="0" applyFill="0" applyBorder="0" applyProtection="0">
      <alignment horizontal="left" vertical="center"/>
    </xf>
    <xf numFmtId="0" fontId="29" fillId="0" borderId="75">
      <alignment horizontal="right" vertical="center"/>
    </xf>
    <xf numFmtId="4" fontId="25" fillId="14" borderId="77">
      <alignment horizontal="right" vertical="center"/>
    </xf>
    <xf numFmtId="4" fontId="25" fillId="14" borderId="75">
      <alignment horizontal="right" vertical="center"/>
    </xf>
    <xf numFmtId="4" fontId="25" fillId="14" borderId="75">
      <alignment horizontal="right" vertical="center"/>
    </xf>
    <xf numFmtId="0" fontId="69" fillId="9" borderId="75">
      <alignment horizontal="right" vertical="center"/>
    </xf>
    <xf numFmtId="0" fontId="25" fillId="9" borderId="75">
      <alignment horizontal="right" vertical="center"/>
    </xf>
    <xf numFmtId="49" fontId="29" fillId="0" borderId="75" applyNumberFormat="0" applyFont="0" applyFill="0" applyBorder="0" applyProtection="0">
      <alignment horizontal="left" vertical="center" indent="2"/>
    </xf>
    <xf numFmtId="0" fontId="91" fillId="73" borderId="67" applyNumberFormat="0" applyAlignment="0" applyProtection="0"/>
    <xf numFmtId="0" fontId="76" fillId="86" borderId="66" applyNumberFormat="0" applyAlignment="0" applyProtection="0"/>
    <xf numFmtId="49" fontId="29" fillId="0" borderId="75" applyNumberFormat="0" applyFont="0" applyFill="0" applyBorder="0" applyProtection="0">
      <alignment horizontal="left" vertical="center" indent="2"/>
    </xf>
    <xf numFmtId="0" fontId="82" fillId="73" borderId="67" applyNumberFormat="0" applyAlignment="0" applyProtection="0"/>
    <xf numFmtId="4" fontId="29" fillId="0" borderId="75" applyFill="0" applyBorder="0" applyProtection="0">
      <alignment horizontal="right" vertical="center"/>
    </xf>
    <xf numFmtId="0" fontId="79" fillId="86" borderId="67" applyNumberFormat="0" applyAlignment="0" applyProtection="0"/>
    <xf numFmtId="0" fontId="98" fillId="0" borderId="69" applyNumberFormat="0" applyFill="0" applyAlignment="0" applyProtection="0"/>
    <xf numFmtId="0" fontId="95" fillId="86" borderId="66" applyNumberFormat="0" applyAlignment="0" applyProtection="0"/>
    <xf numFmtId="0" fontId="29" fillId="0" borderId="75" applyNumberFormat="0" applyFill="0" applyAlignment="0" applyProtection="0"/>
    <xf numFmtId="4" fontId="29" fillId="0" borderId="75">
      <alignment horizontal="right" vertical="center"/>
    </xf>
    <xf numFmtId="0" fontId="29" fillId="0" borderId="75">
      <alignment horizontal="right" vertical="center"/>
    </xf>
    <xf numFmtId="0" fontId="91" fillId="73" borderId="67" applyNumberFormat="0" applyAlignment="0" applyProtection="0"/>
    <xf numFmtId="0" fontId="76" fillId="86" borderId="66" applyNumberFormat="0" applyAlignment="0" applyProtection="0"/>
    <xf numFmtId="0" fontId="78" fillId="86" borderId="67" applyNumberFormat="0" applyAlignment="0" applyProtection="0"/>
    <xf numFmtId="0" fontId="29" fillId="14" borderId="78">
      <alignment horizontal="left" vertical="center" wrapText="1" indent="2"/>
    </xf>
    <xf numFmtId="0" fontId="79" fillId="86" borderId="67" applyNumberFormat="0" applyAlignment="0" applyProtection="0"/>
    <xf numFmtId="0" fontId="79" fillId="86" borderId="67" applyNumberFormat="0" applyAlignment="0" applyProtection="0"/>
    <xf numFmtId="4" fontId="25" fillId="14" borderId="76">
      <alignment horizontal="right" vertical="center"/>
    </xf>
    <xf numFmtId="0" fontId="25" fillId="14" borderId="76">
      <alignment horizontal="right" vertical="center"/>
    </xf>
    <xf numFmtId="0" fontId="25" fillId="14" borderId="75">
      <alignment horizontal="right" vertical="center"/>
    </xf>
    <xf numFmtId="4" fontId="69" fillId="9" borderId="75">
      <alignment horizontal="right" vertical="center"/>
    </xf>
    <xf numFmtId="0" fontId="82" fillId="73" borderId="67" applyNumberFormat="0" applyAlignment="0" applyProtection="0"/>
    <xf numFmtId="0" fontId="83" fillId="0" borderId="69" applyNumberFormat="0" applyFill="0" applyAlignment="0" applyProtection="0"/>
    <xf numFmtId="0" fontId="98" fillId="0" borderId="69" applyNumberFormat="0" applyFill="0" applyAlignment="0" applyProtection="0"/>
    <xf numFmtId="0" fontId="73" fillId="89" borderId="74" applyNumberFormat="0" applyFont="0" applyAlignment="0" applyProtection="0"/>
    <xf numFmtId="0" fontId="91" fillId="73" borderId="67" applyNumberFormat="0" applyAlignment="0" applyProtection="0"/>
    <xf numFmtId="49" fontId="27" fillId="0" borderId="75" applyNumberFormat="0" applyFill="0" applyBorder="0" applyProtection="0">
      <alignment horizontal="left" vertical="center"/>
    </xf>
    <xf numFmtId="0" fontId="29" fillId="14" borderId="78">
      <alignment horizontal="left" vertical="center" wrapText="1" indent="2"/>
    </xf>
    <xf numFmtId="0" fontId="79" fillId="86" borderId="67" applyNumberFormat="0" applyAlignment="0" applyProtection="0"/>
    <xf numFmtId="0" fontId="29" fillId="0" borderId="78">
      <alignment horizontal="left" vertical="center" wrapText="1" indent="2"/>
    </xf>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4" fontId="29" fillId="16" borderId="75"/>
    <xf numFmtId="0" fontId="25" fillId="14" borderId="75">
      <alignment horizontal="right" vertical="center"/>
    </xf>
    <xf numFmtId="0" fontId="98" fillId="0" borderId="69" applyNumberFormat="0" applyFill="0" applyAlignment="0" applyProtection="0"/>
    <xf numFmtId="4" fontId="25" fillId="14" borderId="77">
      <alignment horizontal="right" vertical="center"/>
    </xf>
    <xf numFmtId="0" fontId="78" fillId="86" borderId="67" applyNumberFormat="0" applyAlignment="0" applyProtection="0"/>
    <xf numFmtId="0" fontId="25" fillId="14" borderId="76">
      <alignment horizontal="right" vertical="center"/>
    </xf>
    <xf numFmtId="0" fontId="79" fillId="86" borderId="67" applyNumberFormat="0" applyAlignment="0" applyProtection="0"/>
    <xf numFmtId="0" fontId="83" fillId="0" borderId="69" applyNumberFormat="0" applyFill="0" applyAlignment="0" applyProtection="0"/>
    <xf numFmtId="0" fontId="73" fillId="89" borderId="74" applyNumberFormat="0" applyFont="0" applyAlignment="0" applyProtection="0"/>
    <xf numFmtId="4" fontId="25" fillId="14" borderId="76">
      <alignment horizontal="right" vertical="center"/>
    </xf>
    <xf numFmtId="0" fontId="29" fillId="14" borderId="78">
      <alignment horizontal="left" vertical="center" wrapText="1" indent="2"/>
    </xf>
    <xf numFmtId="0" fontId="29" fillId="16" borderId="75"/>
    <xf numFmtId="175" fontId="29" fillId="90" borderId="75" applyNumberFormat="0" applyFont="0" applyBorder="0" applyAlignment="0" applyProtection="0">
      <alignment horizontal="right" vertical="center"/>
    </xf>
    <xf numFmtId="0" fontId="29" fillId="0" borderId="75" applyNumberFormat="0" applyFill="0" applyAlignment="0" applyProtection="0"/>
    <xf numFmtId="4" fontId="29" fillId="0" borderId="75" applyFill="0" applyBorder="0" applyProtection="0">
      <alignment horizontal="right" vertical="center"/>
    </xf>
    <xf numFmtId="4" fontId="25" fillId="9" borderId="75">
      <alignment horizontal="right" vertical="center"/>
    </xf>
    <xf numFmtId="0" fontId="83" fillId="0" borderId="69" applyNumberFormat="0" applyFill="0" applyAlignment="0" applyProtection="0"/>
    <xf numFmtId="49" fontId="27" fillId="0" borderId="75" applyNumberFormat="0" applyFill="0" applyBorder="0" applyProtection="0">
      <alignment horizontal="left" vertical="center"/>
    </xf>
    <xf numFmtId="49" fontId="29" fillId="0" borderId="76" applyNumberFormat="0" applyFont="0" applyFill="0" applyBorder="0" applyProtection="0">
      <alignment horizontal="left" vertical="center" indent="5"/>
    </xf>
    <xf numFmtId="0" fontId="29" fillId="9" borderId="76">
      <alignment horizontal="left" vertical="center"/>
    </xf>
    <xf numFmtId="0" fontId="79" fillId="86" borderId="67" applyNumberFormat="0" applyAlignment="0" applyProtection="0"/>
    <xf numFmtId="4" fontId="25" fillId="14" borderId="77">
      <alignment horizontal="right" vertical="center"/>
    </xf>
    <xf numFmtId="0" fontId="91" fillId="73" borderId="67" applyNumberFormat="0" applyAlignment="0" applyProtection="0"/>
    <xf numFmtId="0" fontId="91" fillId="73" borderId="67" applyNumberFormat="0" applyAlignment="0" applyProtection="0"/>
    <xf numFmtId="0" fontId="73"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25" fillId="14" borderId="75">
      <alignment horizontal="right" vertical="center"/>
    </xf>
    <xf numFmtId="0" fontId="30" fillId="89" borderId="74" applyNumberFormat="0" applyFont="0" applyAlignment="0" applyProtection="0"/>
    <xf numFmtId="4" fontId="29" fillId="0" borderId="75">
      <alignment horizontal="right" vertical="center"/>
    </xf>
    <xf numFmtId="0" fontId="98" fillId="0" borderId="69" applyNumberFormat="0" applyFill="0" applyAlignment="0" applyProtection="0"/>
    <xf numFmtId="0" fontId="25" fillId="14" borderId="75">
      <alignment horizontal="right" vertical="center"/>
    </xf>
    <xf numFmtId="0" fontId="25" fillId="14" borderId="75">
      <alignment horizontal="right" vertical="center"/>
    </xf>
    <xf numFmtId="4" fontId="69" fillId="9" borderId="75">
      <alignment horizontal="right" vertical="center"/>
    </xf>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25" fillId="14" borderId="76">
      <alignment horizontal="right" vertical="center"/>
    </xf>
    <xf numFmtId="4" fontId="25" fillId="14" borderId="76">
      <alignment horizontal="right" vertical="center"/>
    </xf>
    <xf numFmtId="0" fontId="25" fillId="14" borderId="77">
      <alignment horizontal="right" vertical="center"/>
    </xf>
    <xf numFmtId="4" fontId="25" fillId="14" borderId="77">
      <alignment horizontal="right" vertical="center"/>
    </xf>
    <xf numFmtId="0" fontId="79"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9" borderId="76">
      <alignment horizontal="left" vertical="center"/>
    </xf>
    <xf numFmtId="0" fontId="91" fillId="73" borderId="67" applyNumberFormat="0" applyAlignment="0" applyProtection="0"/>
    <xf numFmtId="0" fontId="29" fillId="0" borderId="75">
      <alignment horizontal="right" vertical="center"/>
    </xf>
    <xf numFmtId="4" fontId="29" fillId="0" borderId="75">
      <alignment horizontal="right" vertical="center"/>
    </xf>
    <xf numFmtId="0" fontId="29" fillId="0" borderId="75" applyNumberFormat="0" applyFill="0" applyAlignment="0" applyProtection="0"/>
    <xf numFmtId="0" fontId="95" fillId="86" borderId="66" applyNumberFormat="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0" fontId="98" fillId="0" borderId="69" applyNumberFormat="0" applyFill="0" applyAlignment="0" applyProtection="0"/>
    <xf numFmtId="0" fontId="30" fillId="89" borderId="74" applyNumberFormat="0" applyFont="0" applyAlignment="0" applyProtection="0"/>
    <xf numFmtId="0" fontId="73" fillId="89" borderId="74" applyNumberFormat="0" applyFont="0" applyAlignment="0" applyProtection="0"/>
    <xf numFmtId="0" fontId="29" fillId="0" borderId="75" applyNumberFormat="0" applyFill="0" applyAlignment="0" applyProtection="0"/>
    <xf numFmtId="0" fontId="83" fillId="0" borderId="69" applyNumberFormat="0" applyFill="0" applyAlignment="0" applyProtection="0"/>
    <xf numFmtId="0" fontId="98" fillId="0" borderId="69" applyNumberFormat="0" applyFill="0" applyAlignment="0" applyProtection="0"/>
    <xf numFmtId="0" fontId="82" fillId="73" borderId="67" applyNumberFormat="0" applyAlignment="0" applyProtection="0"/>
    <xf numFmtId="0" fontId="79" fillId="86" borderId="67" applyNumberFormat="0" applyAlignment="0" applyProtection="0"/>
    <xf numFmtId="4" fontId="69" fillId="9" borderId="75">
      <alignment horizontal="right" vertical="center"/>
    </xf>
    <xf numFmtId="0" fontId="25" fillId="9" borderId="75">
      <alignment horizontal="right" vertical="center"/>
    </xf>
    <xf numFmtId="175" fontId="29" fillId="90" borderId="75" applyNumberFormat="0" applyFont="0" applyBorder="0" applyAlignment="0" applyProtection="0">
      <alignment horizontal="right" vertical="center"/>
    </xf>
    <xf numFmtId="0" fontId="83" fillId="0" borderId="69" applyNumberFormat="0" applyFill="0" applyAlignment="0" applyProtection="0"/>
    <xf numFmtId="49" fontId="29" fillId="0" borderId="75" applyNumberFormat="0" applyFont="0" applyFill="0" applyBorder="0" applyProtection="0">
      <alignment horizontal="left" vertical="center" indent="2"/>
    </xf>
    <xf numFmtId="49" fontId="29" fillId="0" borderId="76" applyNumberFormat="0" applyFont="0" applyFill="0" applyBorder="0" applyProtection="0">
      <alignment horizontal="left" vertical="center" indent="5"/>
    </xf>
    <xf numFmtId="49" fontId="29" fillId="0" borderId="75" applyNumberFormat="0" applyFont="0" applyFill="0" applyBorder="0" applyProtection="0">
      <alignment horizontal="left" vertical="center" indent="2"/>
    </xf>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29" fillId="0" borderId="78">
      <alignment horizontal="left" vertical="center" wrapText="1" indent="2"/>
    </xf>
    <xf numFmtId="0" fontId="95" fillId="86" borderId="66" applyNumberFormat="0" applyAlignment="0" applyProtection="0"/>
    <xf numFmtId="0" fontId="25" fillId="14" borderId="77">
      <alignment horizontal="right" vertical="center"/>
    </xf>
    <xf numFmtId="0" fontId="82" fillId="73" borderId="67" applyNumberFormat="0" applyAlignment="0" applyProtection="0"/>
    <xf numFmtId="0" fontId="25" fillId="14" borderId="77">
      <alignment horizontal="right" vertical="center"/>
    </xf>
    <xf numFmtId="4" fontId="25" fillId="14" borderId="75">
      <alignment horizontal="right" vertical="center"/>
    </xf>
    <xf numFmtId="0" fontId="25" fillId="14" borderId="75">
      <alignment horizontal="right" vertical="center"/>
    </xf>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0" fontId="29" fillId="16" borderId="75"/>
    <xf numFmtId="4" fontId="29" fillId="16" borderId="75"/>
    <xf numFmtId="4" fontId="25" fillId="14" borderId="75">
      <alignment horizontal="right" vertical="center"/>
    </xf>
    <xf numFmtId="0" fontId="69" fillId="9" borderId="75">
      <alignment horizontal="right" vertical="center"/>
    </xf>
    <xf numFmtId="0" fontId="82" fillId="73" borderId="67" applyNumberFormat="0" applyAlignment="0" applyProtection="0"/>
    <xf numFmtId="0" fontId="79" fillId="86" borderId="67" applyNumberFormat="0" applyAlignment="0" applyProtection="0"/>
    <xf numFmtId="4" fontId="29" fillId="0" borderId="75">
      <alignment horizontal="right" vertical="center"/>
    </xf>
    <xf numFmtId="0" fontId="29" fillId="14" borderId="78">
      <alignment horizontal="left" vertical="center" wrapText="1" indent="2"/>
    </xf>
    <xf numFmtId="0" fontId="29" fillId="0" borderId="78">
      <alignment horizontal="left" vertical="center" wrapText="1" indent="2"/>
    </xf>
    <xf numFmtId="0" fontId="95" fillId="86" borderId="66" applyNumberFormat="0" applyAlignment="0" applyProtection="0"/>
    <xf numFmtId="0" fontId="91" fillId="73" borderId="67" applyNumberFormat="0" applyAlignment="0" applyProtection="0"/>
    <xf numFmtId="0" fontId="78" fillId="86" borderId="67" applyNumberFormat="0" applyAlignment="0" applyProtection="0"/>
    <xf numFmtId="0" fontId="76" fillId="86" borderId="66" applyNumberFormat="0" applyAlignment="0" applyProtection="0"/>
    <xf numFmtId="0" fontId="25" fillId="14" borderId="77">
      <alignment horizontal="right" vertical="center"/>
    </xf>
    <xf numFmtId="0" fontId="69" fillId="9" borderId="75">
      <alignment horizontal="right" vertical="center"/>
    </xf>
    <xf numFmtId="4" fontId="25" fillId="9" borderId="75">
      <alignment horizontal="right" vertical="center"/>
    </xf>
    <xf numFmtId="4" fontId="25" fillId="14" borderId="75">
      <alignment horizontal="right" vertical="center"/>
    </xf>
    <xf numFmtId="49" fontId="29" fillId="0" borderId="76" applyNumberFormat="0" applyFont="0" applyFill="0" applyBorder="0" applyProtection="0">
      <alignment horizontal="left" vertical="center" indent="5"/>
    </xf>
    <xf numFmtId="4" fontId="29" fillId="0" borderId="75" applyFill="0" applyBorder="0" applyProtection="0">
      <alignment horizontal="right" vertical="center"/>
    </xf>
    <xf numFmtId="4" fontId="25" fillId="9" borderId="75">
      <alignment horizontal="right" vertical="center"/>
    </xf>
    <xf numFmtId="0" fontId="91" fillId="73" borderId="67" applyNumberFormat="0" applyAlignment="0" applyProtection="0"/>
    <xf numFmtId="0" fontId="82" fillId="73" borderId="67" applyNumberFormat="0" applyAlignment="0" applyProtection="0"/>
    <xf numFmtId="0" fontId="78"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14" borderId="78">
      <alignment horizontal="left" vertical="center" wrapText="1" indent="2"/>
    </xf>
    <xf numFmtId="0" fontId="6" fillId="0" borderId="0"/>
    <xf numFmtId="0" fontId="29" fillId="0" borderId="93">
      <alignment horizontal="left" vertical="center" wrapText="1" indent="2"/>
    </xf>
    <xf numFmtId="0" fontId="73" fillId="89" borderId="89" applyNumberFormat="0" applyFont="0" applyAlignment="0" applyProtection="0"/>
    <xf numFmtId="0" fontId="95" fillId="86" borderId="94" applyNumberFormat="0" applyAlignment="0" applyProtection="0"/>
    <xf numFmtId="0" fontId="91" fillId="73" borderId="87" applyNumberFormat="0" applyAlignment="0" applyProtection="0"/>
    <xf numFmtId="0" fontId="83" fillId="0" borderId="88" applyNumberFormat="0" applyFill="0" applyAlignment="0" applyProtection="0"/>
    <xf numFmtId="4" fontId="29" fillId="0" borderId="98" applyFill="0" applyBorder="0" applyProtection="0">
      <alignment horizontal="right" vertical="center"/>
    </xf>
    <xf numFmtId="49" fontId="29" fillId="0" borderId="90" applyNumberFormat="0" applyFont="0" applyFill="0" applyBorder="0" applyProtection="0">
      <alignment horizontal="left" vertical="center" indent="2"/>
    </xf>
    <xf numFmtId="175" fontId="29" fillId="90" borderId="90" applyNumberFormat="0" applyFont="0" applyBorder="0" applyAlignment="0" applyProtection="0">
      <alignment horizontal="right" vertical="center"/>
    </xf>
    <xf numFmtId="4" fontId="25" fillId="14" borderId="92">
      <alignment horizontal="right" vertical="center"/>
    </xf>
    <xf numFmtId="0" fontId="29" fillId="16" borderId="90"/>
    <xf numFmtId="0" fontId="66" fillId="0" borderId="0" applyNumberFormat="0" applyFill="0" applyBorder="0" applyAlignment="0" applyProtection="0"/>
    <xf numFmtId="0" fontId="82" fillId="73" borderId="87" applyNumberFormat="0" applyAlignment="0" applyProtection="0"/>
    <xf numFmtId="0" fontId="79" fillId="86" borderId="87" applyNumberFormat="0" applyAlignment="0" applyProtection="0"/>
    <xf numFmtId="0" fontId="25" fillId="14" borderId="90">
      <alignment horizontal="right" vertical="center"/>
    </xf>
    <xf numFmtId="0" fontId="25" fillId="14" borderId="90">
      <alignment horizontal="right" vertical="center"/>
    </xf>
    <xf numFmtId="4" fontId="29" fillId="0" borderId="98">
      <alignment horizontal="right" vertical="center"/>
    </xf>
    <xf numFmtId="0" fontId="73" fillId="89" borderId="89" applyNumberFormat="0" applyFont="0" applyAlignment="0" applyProtection="0"/>
    <xf numFmtId="0" fontId="63" fillId="46" borderId="57" applyNumberFormat="0" applyAlignment="0" applyProtection="0"/>
    <xf numFmtId="0" fontId="64" fillId="46" borderId="56" applyNumberFormat="0" applyAlignment="0" applyProtection="0"/>
    <xf numFmtId="49" fontId="29" fillId="0" borderId="91" applyNumberFormat="0" applyFont="0" applyFill="0" applyBorder="0" applyProtection="0">
      <alignment horizontal="left" vertical="center" indent="5"/>
    </xf>
    <xf numFmtId="0" fontId="65" fillId="0" borderId="0" applyNumberFormat="0" applyFill="0" applyBorder="0" applyAlignment="0" applyProtection="0"/>
    <xf numFmtId="0" fontId="25" fillId="14" borderId="90">
      <alignment horizontal="right" vertical="center"/>
    </xf>
    <xf numFmtId="0" fontId="66" fillId="0" borderId="0" applyNumberFormat="0" applyFill="0" applyBorder="0" applyAlignment="0" applyProtection="0"/>
    <xf numFmtId="0" fontId="8"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67"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67"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67" fillId="55" borderId="0" applyNumberFormat="0" applyBorder="0" applyAlignment="0" applyProtection="0"/>
    <xf numFmtId="0" fontId="76" fillId="86" borderId="94"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67" fillId="58" borderId="0" applyNumberFormat="0" applyBorder="0" applyAlignment="0" applyProtection="0"/>
    <xf numFmtId="4" fontId="29" fillId="16" borderId="90"/>
    <xf numFmtId="0" fontId="6" fillId="59" borderId="0" applyNumberFormat="0" applyBorder="0" applyAlignment="0" applyProtection="0"/>
    <xf numFmtId="0" fontId="6" fillId="60" borderId="0" applyNumberFormat="0" applyBorder="0" applyAlignment="0" applyProtection="0"/>
    <xf numFmtId="0" fontId="67"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67" fillId="64" borderId="0" applyNumberFormat="0" applyBorder="0" applyAlignment="0" applyProtection="0"/>
    <xf numFmtId="0" fontId="25" fillId="14" borderId="98">
      <alignment horizontal="right" vertical="center"/>
    </xf>
    <xf numFmtId="49" fontId="29" fillId="0" borderId="91" applyNumberFormat="0" applyFont="0" applyFill="0" applyBorder="0" applyProtection="0">
      <alignment horizontal="left" vertical="center" indent="5"/>
    </xf>
    <xf numFmtId="0" fontId="29" fillId="0" borderId="90" applyNumberFormat="0" applyFill="0" applyAlignment="0" applyProtection="0"/>
    <xf numFmtId="0" fontId="76" fillId="86" borderId="94" applyNumberFormat="0" applyAlignment="0" applyProtection="0"/>
    <xf numFmtId="0" fontId="63" fillId="46" borderId="57" applyNumberFormat="0" applyAlignment="0" applyProtection="0"/>
    <xf numFmtId="0" fontId="91" fillId="73" borderId="87" applyNumberFormat="0" applyAlignment="0" applyProtection="0"/>
    <xf numFmtId="0" fontId="8" fillId="0" borderId="58" applyNumberFormat="0" applyFill="0" applyAlignment="0" applyProtection="0"/>
    <xf numFmtId="0" fontId="63" fillId="46" borderId="57" applyNumberFormat="0" applyAlignment="0" applyProtection="0"/>
    <xf numFmtId="0" fontId="79" fillId="86" borderId="87" applyNumberFormat="0" applyAlignment="0" applyProtection="0"/>
    <xf numFmtId="0" fontId="78" fillId="86" borderId="95" applyNumberFormat="0" applyAlignment="0" applyProtection="0"/>
    <xf numFmtId="49" fontId="29" fillId="0" borderId="99" applyNumberFormat="0" applyFont="0" applyFill="0" applyBorder="0" applyProtection="0">
      <alignment horizontal="left" vertical="center" indent="5"/>
    </xf>
    <xf numFmtId="0" fontId="79" fillId="86" borderId="95" applyNumberFormat="0" applyAlignment="0" applyProtection="0"/>
    <xf numFmtId="4" fontId="25" fillId="14" borderId="92">
      <alignment horizontal="right" vertical="center"/>
    </xf>
    <xf numFmtId="49" fontId="29" fillId="0" borderId="91" applyNumberFormat="0" applyFont="0" applyFill="0" applyBorder="0" applyProtection="0">
      <alignment horizontal="left" vertical="center" indent="5"/>
    </xf>
    <xf numFmtId="0" fontId="6" fillId="60" borderId="0" applyNumberFormat="0" applyBorder="0" applyAlignment="0" applyProtection="0"/>
    <xf numFmtId="49" fontId="29" fillId="0" borderId="91" applyNumberFormat="0" applyFont="0" applyFill="0" applyBorder="0" applyProtection="0">
      <alignment horizontal="left" vertical="center" indent="5"/>
    </xf>
    <xf numFmtId="0" fontId="29" fillId="14" borderId="101">
      <alignment horizontal="left" vertical="center" wrapText="1" indent="2"/>
    </xf>
    <xf numFmtId="0" fontId="73" fillId="89" borderId="97" applyNumberFormat="0" applyFont="0" applyAlignment="0" applyProtection="0"/>
    <xf numFmtId="4" fontId="29" fillId="16" borderId="90"/>
    <xf numFmtId="4" fontId="25" fillId="14" borderId="90">
      <alignment horizontal="right" vertical="center"/>
    </xf>
    <xf numFmtId="4" fontId="25" fillId="14" borderId="90">
      <alignment horizontal="right" vertical="center"/>
    </xf>
    <xf numFmtId="4" fontId="29" fillId="0" borderId="90" applyFill="0" applyBorder="0" applyProtection="0">
      <alignment horizontal="right" vertical="center"/>
    </xf>
    <xf numFmtId="0" fontId="25" fillId="9" borderId="90">
      <alignment horizontal="right" vertical="center"/>
    </xf>
    <xf numFmtId="0" fontId="25" fillId="14" borderId="90">
      <alignment horizontal="right" vertical="center"/>
    </xf>
    <xf numFmtId="0" fontId="67" fillId="58" borderId="0" applyNumberFormat="0" applyBorder="0" applyAlignment="0" applyProtection="0"/>
    <xf numFmtId="0" fontId="29" fillId="9" borderId="91">
      <alignment horizontal="left" vertical="center"/>
    </xf>
    <xf numFmtId="0" fontId="29" fillId="0" borderId="90" applyNumberFormat="0" applyFill="0" applyAlignment="0" applyProtection="0"/>
    <xf numFmtId="0" fontId="82" fillId="73" borderId="87" applyNumberFormat="0" applyAlignment="0" applyProtection="0"/>
    <xf numFmtId="0" fontId="67" fillId="64" borderId="0" applyNumberFormat="0" applyBorder="0" applyAlignment="0" applyProtection="0"/>
    <xf numFmtId="0" fontId="79" fillId="86" borderId="87" applyNumberFormat="0" applyAlignment="0" applyProtection="0"/>
    <xf numFmtId="4" fontId="25" fillId="14" borderId="98">
      <alignment horizontal="right" vertical="center"/>
    </xf>
    <xf numFmtId="0" fontId="98" fillId="0" borderId="88" applyNumberFormat="0" applyFill="0" applyAlignment="0" applyProtection="0"/>
    <xf numFmtId="0" fontId="83" fillId="0" borderId="88" applyNumberFormat="0" applyFill="0" applyAlignment="0" applyProtection="0"/>
    <xf numFmtId="0" fontId="79" fillId="86" borderId="87" applyNumberFormat="0" applyAlignment="0" applyProtection="0"/>
    <xf numFmtId="0" fontId="91" fillId="73" borderId="87" applyNumberFormat="0" applyAlignment="0" applyProtection="0"/>
    <xf numFmtId="0" fontId="79" fillId="86" borderId="80" applyNumberFormat="0" applyAlignment="0" applyProtection="0"/>
    <xf numFmtId="4" fontId="25" fillId="14" borderId="90">
      <alignment horizontal="right" vertical="center"/>
    </xf>
    <xf numFmtId="0" fontId="73" fillId="89" borderId="89" applyNumberFormat="0" applyFont="0" applyAlignment="0" applyProtection="0"/>
    <xf numFmtId="0" fontId="29" fillId="0" borderId="90">
      <alignment horizontal="right" vertical="center"/>
    </xf>
    <xf numFmtId="0" fontId="29" fillId="9" borderId="91">
      <alignment horizontal="left" vertical="center"/>
    </xf>
    <xf numFmtId="0" fontId="29" fillId="14" borderId="93">
      <alignment horizontal="left" vertical="center" wrapText="1" indent="2"/>
    </xf>
    <xf numFmtId="0" fontId="6" fillId="47" borderId="0" applyNumberFormat="0" applyBorder="0" applyAlignment="0" applyProtection="0"/>
    <xf numFmtId="0" fontId="29" fillId="16" borderId="90"/>
    <xf numFmtId="4" fontId="69" fillId="9" borderId="90">
      <alignment horizontal="right" vertical="center"/>
    </xf>
    <xf numFmtId="4" fontId="25" fillId="14" borderId="91">
      <alignment horizontal="right" vertical="center"/>
    </xf>
    <xf numFmtId="4" fontId="25" fillId="14" borderId="92">
      <alignment horizontal="right" vertical="center"/>
    </xf>
    <xf numFmtId="0" fontId="91" fillId="73" borderId="80" applyNumberFormat="0" applyAlignment="0" applyProtection="0"/>
    <xf numFmtId="4" fontId="25" fillId="14" borderId="90">
      <alignment horizontal="right" vertical="center"/>
    </xf>
    <xf numFmtId="0" fontId="6" fillId="57" borderId="0" applyNumberFormat="0" applyBorder="0" applyAlignment="0" applyProtection="0"/>
    <xf numFmtId="0" fontId="29" fillId="0" borderId="93">
      <alignment horizontal="left" vertical="center" wrapText="1" indent="2"/>
    </xf>
    <xf numFmtId="49" fontId="29" fillId="0" borderId="90" applyNumberFormat="0" applyFont="0" applyFill="0" applyBorder="0" applyProtection="0">
      <alignment horizontal="left" vertical="center" indent="2"/>
    </xf>
    <xf numFmtId="0" fontId="25" fillId="9" borderId="90">
      <alignment horizontal="right" vertical="center"/>
    </xf>
    <xf numFmtId="175" fontId="29" fillId="90" borderId="90" applyNumberFormat="0" applyFont="0" applyBorder="0" applyAlignment="0" applyProtection="0">
      <alignment horizontal="right" vertical="center"/>
    </xf>
    <xf numFmtId="0" fontId="79" fillId="86" borderId="87" applyNumberFormat="0" applyAlignment="0" applyProtection="0"/>
    <xf numFmtId="0" fontId="78" fillId="86" borderId="87" applyNumberFormat="0" applyAlignment="0" applyProtection="0"/>
    <xf numFmtId="4" fontId="29" fillId="16" borderId="90"/>
    <xf numFmtId="0" fontId="8" fillId="0" borderId="58" applyNumberFormat="0" applyFill="0" applyAlignment="0" applyProtection="0"/>
    <xf numFmtId="0" fontId="66" fillId="0" borderId="0" applyNumberFormat="0" applyFill="0" applyBorder="0" applyAlignment="0" applyProtection="0"/>
    <xf numFmtId="0" fontId="64" fillId="46" borderId="56" applyNumberFormat="0" applyAlignment="0" applyProtection="0"/>
    <xf numFmtId="0" fontId="63" fillId="46" borderId="57" applyNumberFormat="0" applyAlignment="0" applyProtection="0"/>
    <xf numFmtId="0" fontId="29" fillId="0" borderId="93">
      <alignment horizontal="left" vertical="center" wrapText="1" indent="2"/>
    </xf>
    <xf numFmtId="0" fontId="83" fillId="0" borderId="88" applyNumberFormat="0" applyFill="0" applyAlignment="0" applyProtection="0"/>
    <xf numFmtId="0" fontId="83" fillId="0" borderId="88" applyNumberFormat="0" applyFill="0" applyAlignment="0" applyProtection="0"/>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49" fontId="29" fillId="0" borderId="91" applyNumberFormat="0" applyFont="0" applyFill="0" applyBorder="0" applyProtection="0">
      <alignment horizontal="left" vertical="center" indent="5"/>
    </xf>
    <xf numFmtId="0" fontId="30" fillId="89" borderId="97" applyNumberFormat="0" applyFont="0" applyAlignment="0" applyProtection="0"/>
    <xf numFmtId="4" fontId="25" fillId="9" borderId="90">
      <alignment horizontal="right" vertical="center"/>
    </xf>
    <xf numFmtId="0" fontId="98" fillId="0" borderId="88" applyNumberFormat="0" applyFill="0" applyAlignment="0" applyProtection="0"/>
    <xf numFmtId="0" fontId="29" fillId="0" borderId="93">
      <alignment horizontal="left" vertical="center" wrapText="1" indent="2"/>
    </xf>
    <xf numFmtId="0" fontId="98" fillId="0" borderId="81" applyNumberFormat="0" applyFill="0" applyAlignment="0" applyProtection="0"/>
    <xf numFmtId="0" fontId="29" fillId="14" borderId="93">
      <alignment horizontal="left" vertical="center" wrapText="1" indent="2"/>
    </xf>
    <xf numFmtId="0" fontId="91" fillId="73" borderId="87" applyNumberFormat="0" applyAlignment="0" applyProtection="0"/>
    <xf numFmtId="4" fontId="29" fillId="0" borderId="90">
      <alignment horizontal="right" vertical="center"/>
    </xf>
    <xf numFmtId="0" fontId="30" fillId="89" borderId="89" applyNumberFormat="0" applyFont="0" applyAlignment="0" applyProtection="0"/>
    <xf numFmtId="0" fontId="78" fillId="86" borderId="87" applyNumberFormat="0" applyAlignment="0" applyProtection="0"/>
    <xf numFmtId="0" fontId="29" fillId="16" borderId="90"/>
    <xf numFmtId="0" fontId="6" fillId="47" borderId="0" applyNumberFormat="0" applyBorder="0" applyAlignment="0" applyProtection="0"/>
    <xf numFmtId="0" fontId="29" fillId="14" borderId="93">
      <alignment horizontal="left" vertical="center" wrapText="1" indent="2"/>
    </xf>
    <xf numFmtId="0" fontId="76" fillId="86" borderId="94" applyNumberFormat="0" applyAlignment="0" applyProtection="0"/>
    <xf numFmtId="49" fontId="29" fillId="0" borderId="90" applyNumberFormat="0" applyFont="0" applyFill="0" applyBorder="0" applyProtection="0">
      <alignment horizontal="left" vertical="center" indent="2"/>
    </xf>
    <xf numFmtId="0" fontId="25" fillId="14" borderId="90">
      <alignment horizontal="right" vertical="center"/>
    </xf>
    <xf numFmtId="0" fontId="29" fillId="14" borderId="93">
      <alignment horizontal="left" vertical="center" wrapText="1" indent="2"/>
    </xf>
    <xf numFmtId="4" fontId="25" fillId="14" borderId="92">
      <alignment horizontal="right" vertical="center"/>
    </xf>
    <xf numFmtId="0" fontId="6" fillId="47" borderId="0" applyNumberFormat="0" applyBorder="0" applyAlignment="0" applyProtection="0"/>
    <xf numFmtId="0" fontId="91" fillId="73" borderId="87" applyNumberFormat="0" applyAlignment="0" applyProtection="0"/>
    <xf numFmtId="4" fontId="25" fillId="9" borderId="90">
      <alignment horizontal="right" vertical="center"/>
    </xf>
    <xf numFmtId="0" fontId="82" fillId="73" borderId="87" applyNumberFormat="0" applyAlignment="0" applyProtection="0"/>
    <xf numFmtId="4" fontId="69" fillId="9" borderId="98">
      <alignment horizontal="right" vertical="center"/>
    </xf>
    <xf numFmtId="0" fontId="29" fillId="16" borderId="90"/>
    <xf numFmtId="0" fontId="69" fillId="9" borderId="90">
      <alignment horizontal="right" vertical="center"/>
    </xf>
    <xf numFmtId="0" fontId="25" fillId="14" borderId="90">
      <alignment horizontal="right" vertical="center"/>
    </xf>
    <xf numFmtId="0" fontId="29" fillId="14" borderId="93">
      <alignment horizontal="left" vertical="center" wrapText="1" indent="2"/>
    </xf>
    <xf numFmtId="4" fontId="25" fillId="14" borderId="91">
      <alignment horizontal="right" vertical="center"/>
    </xf>
    <xf numFmtId="0" fontId="98" fillId="0" borderId="88" applyNumberFormat="0" applyFill="0" applyAlignment="0" applyProtection="0"/>
    <xf numFmtId="0" fontId="29" fillId="0" borderId="93">
      <alignment horizontal="left" vertical="center" wrapText="1" indent="2"/>
    </xf>
    <xf numFmtId="4" fontId="29" fillId="0" borderId="90" applyFill="0" applyBorder="0" applyProtection="0">
      <alignment horizontal="right" vertical="center"/>
    </xf>
    <xf numFmtId="0" fontId="79" fillId="86" borderId="80" applyNumberFormat="0" applyAlignment="0" applyProtection="0"/>
    <xf numFmtId="0" fontId="69" fillId="9" borderId="90">
      <alignment horizontal="right" vertical="center"/>
    </xf>
    <xf numFmtId="0" fontId="82" fillId="73" borderId="95" applyNumberFormat="0" applyAlignment="0" applyProtection="0"/>
    <xf numFmtId="4" fontId="25" fillId="14" borderId="90">
      <alignment horizontal="right" vertical="center"/>
    </xf>
    <xf numFmtId="0" fontId="91" fillId="73" borderId="80" applyNumberFormat="0" applyAlignment="0" applyProtection="0"/>
    <xf numFmtId="4" fontId="69" fillId="9" borderId="90">
      <alignment horizontal="right" vertical="center"/>
    </xf>
    <xf numFmtId="0" fontId="29" fillId="9" borderId="91">
      <alignment horizontal="left" vertical="center"/>
    </xf>
    <xf numFmtId="0" fontId="73" fillId="89" borderId="82" applyNumberFormat="0" applyFont="0" applyAlignment="0" applyProtection="0"/>
    <xf numFmtId="0" fontId="95" fillId="86" borderId="79" applyNumberFormat="0" applyAlignment="0" applyProtection="0"/>
    <xf numFmtId="0" fontId="66" fillId="0" borderId="0" applyNumberFormat="0" applyFill="0" applyBorder="0" applyAlignment="0" applyProtection="0"/>
    <xf numFmtId="0" fontId="98" fillId="0" borderId="81" applyNumberFormat="0" applyFill="0" applyAlignment="0" applyProtection="0"/>
    <xf numFmtId="0" fontId="6" fillId="47" borderId="0" applyNumberFormat="0" applyBorder="0" applyAlignment="0" applyProtection="0"/>
    <xf numFmtId="0" fontId="67" fillId="52" borderId="0" applyNumberFormat="0" applyBorder="0" applyAlignment="0" applyProtection="0"/>
    <xf numFmtId="0" fontId="78" fillId="86" borderId="87" applyNumberFormat="0" applyAlignment="0" applyProtection="0"/>
    <xf numFmtId="0" fontId="25" fillId="9" borderId="90">
      <alignment horizontal="right" vertical="center"/>
    </xf>
    <xf numFmtId="0" fontId="91" fillId="73" borderId="87" applyNumberFormat="0" applyAlignment="0" applyProtection="0"/>
    <xf numFmtId="0" fontId="29" fillId="0" borderId="93">
      <alignment horizontal="left" vertical="center" wrapText="1" indent="2"/>
    </xf>
    <xf numFmtId="0" fontId="25" fillId="14" borderId="92">
      <alignment horizontal="right" vertical="center"/>
    </xf>
    <xf numFmtId="0" fontId="73" fillId="89" borderId="89" applyNumberFormat="0" applyFont="0" applyAlignment="0" applyProtection="0"/>
    <xf numFmtId="0" fontId="67" fillId="64" borderId="0" applyNumberFormat="0" applyBorder="0" applyAlignment="0" applyProtection="0"/>
    <xf numFmtId="49" fontId="27" fillId="0" borderId="90" applyNumberFormat="0" applyFill="0" applyBorder="0" applyProtection="0">
      <alignment horizontal="left" vertical="center"/>
    </xf>
    <xf numFmtId="0" fontId="30" fillId="89" borderId="89" applyNumberFormat="0" applyFont="0" applyAlignment="0" applyProtection="0"/>
    <xf numFmtId="0" fontId="67" fillId="61" borderId="0" applyNumberFormat="0" applyBorder="0" applyAlignment="0" applyProtection="0"/>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25" fillId="14" borderId="84">
      <alignment horizontal="right" vertical="center"/>
    </xf>
    <xf numFmtId="4" fontId="25" fillId="14" borderId="84">
      <alignment horizontal="right" vertical="center"/>
    </xf>
    <xf numFmtId="0" fontId="25" fillId="14" borderId="85">
      <alignment horizontal="right" vertical="center"/>
    </xf>
    <xf numFmtId="4" fontId="25" fillId="14" borderId="85">
      <alignment horizontal="right" vertical="center"/>
    </xf>
    <xf numFmtId="0" fontId="79"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9" borderId="84">
      <alignment horizontal="left" vertical="center"/>
    </xf>
    <xf numFmtId="4" fontId="29" fillId="0" borderId="90" applyFill="0" applyBorder="0" applyProtection="0">
      <alignment horizontal="right" vertical="center"/>
    </xf>
    <xf numFmtId="0" fontId="91" fillId="73" borderId="80" applyNumberFormat="0" applyAlignment="0" applyProtection="0"/>
    <xf numFmtId="0" fontId="29" fillId="0" borderId="83">
      <alignment horizontal="right" vertical="center"/>
    </xf>
    <xf numFmtId="4" fontId="29" fillId="0" borderId="83">
      <alignment horizontal="right" vertical="center"/>
    </xf>
    <xf numFmtId="49" fontId="29" fillId="0" borderId="90" applyNumberFormat="0" applyFont="0" applyFill="0" applyBorder="0" applyProtection="0">
      <alignment horizontal="left" vertical="center" indent="2"/>
    </xf>
    <xf numFmtId="0" fontId="29" fillId="0" borderId="83" applyNumberFormat="0" applyFill="0" applyAlignment="0" applyProtection="0"/>
    <xf numFmtId="0" fontId="95" fillId="86" borderId="79" applyNumberFormat="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0" fontId="98" fillId="0" borderId="81" applyNumberFormat="0" applyFill="0" applyAlignment="0" applyProtection="0"/>
    <xf numFmtId="0" fontId="76" fillId="86" borderId="94"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25" fillId="14" borderId="91">
      <alignment horizontal="right" vertical="center"/>
    </xf>
    <xf numFmtId="0" fontId="98" fillId="0" borderId="88" applyNumberFormat="0" applyFill="0" applyAlignment="0" applyProtection="0"/>
    <xf numFmtId="0" fontId="64" fillId="46" borderId="56" applyNumberFormat="0" applyAlignment="0" applyProtection="0"/>
    <xf numFmtId="0" fontId="73" fillId="89" borderId="89" applyNumberFormat="0" applyFont="0" applyAlignment="0" applyProtection="0"/>
    <xf numFmtId="4" fontId="29" fillId="0" borderId="90"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25" fillId="14" borderId="92">
      <alignment horizontal="right" vertical="center"/>
    </xf>
    <xf numFmtId="0" fontId="6" fillId="51" borderId="0" applyNumberFormat="0" applyBorder="0" applyAlignment="0" applyProtection="0"/>
    <xf numFmtId="0" fontId="25" fillId="14" borderId="90">
      <alignment horizontal="right" vertical="center"/>
    </xf>
    <xf numFmtId="0" fontId="95" fillId="86" borderId="94" applyNumberFormat="0" applyAlignment="0" applyProtection="0"/>
    <xf numFmtId="0" fontId="6" fillId="50" borderId="0" applyNumberFormat="0" applyBorder="0" applyAlignment="0" applyProtection="0"/>
    <xf numFmtId="0" fontId="78" fillId="86" borderId="87" applyNumberFormat="0" applyAlignment="0" applyProtection="0"/>
    <xf numFmtId="0" fontId="98" fillId="0" borderId="88" applyNumberFormat="0" applyFill="0" applyAlignment="0" applyProtection="0"/>
    <xf numFmtId="4" fontId="25" fillId="14" borderId="90">
      <alignment horizontal="right" vertical="center"/>
    </xf>
    <xf numFmtId="0" fontId="67" fillId="55" borderId="0" applyNumberFormat="0" applyBorder="0" applyAlignment="0" applyProtection="0"/>
    <xf numFmtId="0" fontId="29" fillId="0" borderId="90" applyNumberFormat="0" applyFill="0" applyAlignment="0" applyProtection="0"/>
    <xf numFmtId="0" fontId="6" fillId="56" borderId="0" applyNumberFormat="0" applyBorder="0" applyAlignment="0" applyProtection="0"/>
    <xf numFmtId="0" fontId="98" fillId="0" borderId="88" applyNumberFormat="0" applyFill="0" applyAlignment="0" applyProtection="0"/>
    <xf numFmtId="4" fontId="29" fillId="0" borderId="90">
      <alignment horizontal="right" vertical="center"/>
    </xf>
    <xf numFmtId="4" fontId="25" fillId="14" borderId="92">
      <alignment horizontal="right" vertical="center"/>
    </xf>
    <xf numFmtId="0" fontId="69" fillId="9" borderId="90">
      <alignment horizontal="right" vertical="center"/>
    </xf>
    <xf numFmtId="0" fontId="30" fillId="89" borderId="89" applyNumberFormat="0" applyFont="0" applyAlignment="0" applyProtection="0"/>
    <xf numFmtId="0" fontId="6" fillId="59" borderId="0" applyNumberFormat="0" applyBorder="0" applyAlignment="0" applyProtection="0"/>
    <xf numFmtId="0" fontId="91" fillId="73" borderId="87" applyNumberFormat="0" applyAlignment="0" applyProtection="0"/>
    <xf numFmtId="4" fontId="69" fillId="9" borderId="90">
      <alignment horizontal="right" vertical="center"/>
    </xf>
    <xf numFmtId="0" fontId="29" fillId="0" borderId="93">
      <alignment horizontal="left" vertical="center" wrapText="1" indent="2"/>
    </xf>
    <xf numFmtId="0" fontId="95" fillId="86" borderId="94" applyNumberFormat="0" applyAlignment="0" applyProtection="0"/>
    <xf numFmtId="0" fontId="73" fillId="89" borderId="89" applyNumberFormat="0" applyFont="0" applyAlignment="0" applyProtection="0"/>
    <xf numFmtId="0" fontId="82" fillId="73" borderId="87" applyNumberFormat="0" applyAlignment="0" applyProtection="0"/>
    <xf numFmtId="49" fontId="27" fillId="0" borderId="90" applyNumberFormat="0" applyFill="0" applyBorder="0" applyProtection="0">
      <alignment horizontal="left" vertical="center"/>
    </xf>
    <xf numFmtId="4" fontId="25" fillId="9" borderId="90">
      <alignment horizontal="right" vertical="center"/>
    </xf>
    <xf numFmtId="0" fontId="98" fillId="0" borderId="88" applyNumberFormat="0" applyFill="0" applyAlignment="0" applyProtection="0"/>
    <xf numFmtId="0" fontId="6" fillId="53" borderId="0" applyNumberFormat="0" applyBorder="0" applyAlignment="0" applyProtection="0"/>
    <xf numFmtId="0" fontId="95" fillId="86" borderId="94" applyNumberFormat="0" applyAlignment="0" applyProtection="0"/>
    <xf numFmtId="0" fontId="91" fillId="73" borderId="87" applyNumberFormat="0" applyAlignment="0" applyProtection="0"/>
    <xf numFmtId="0" fontId="6" fillId="51" borderId="0" applyNumberFormat="0" applyBorder="0" applyAlignment="0" applyProtection="0"/>
    <xf numFmtId="0" fontId="67" fillId="61" borderId="0" applyNumberFormat="0" applyBorder="0" applyAlignment="0" applyProtection="0"/>
    <xf numFmtId="0" fontId="6" fillId="47" borderId="0" applyNumberFormat="0" applyBorder="0" applyAlignment="0" applyProtection="0"/>
    <xf numFmtId="49" fontId="27" fillId="0" borderId="90" applyNumberFormat="0" applyFill="0" applyBorder="0" applyProtection="0">
      <alignment horizontal="left" vertical="center"/>
    </xf>
    <xf numFmtId="0" fontId="98" fillId="0" borderId="88" applyNumberFormat="0" applyFill="0" applyAlignment="0" applyProtection="0"/>
    <xf numFmtId="0" fontId="67" fillId="52" borderId="0" applyNumberFormat="0" applyBorder="0" applyAlignment="0" applyProtection="0"/>
    <xf numFmtId="49" fontId="29" fillId="0" borderId="83" applyNumberFormat="0" applyFont="0" applyFill="0" applyBorder="0" applyProtection="0">
      <alignment horizontal="left" vertical="center" indent="2"/>
    </xf>
    <xf numFmtId="49" fontId="29" fillId="0" borderId="84" applyNumberFormat="0" applyFont="0" applyFill="0" applyBorder="0" applyProtection="0">
      <alignment horizontal="left" vertical="center" indent="5"/>
    </xf>
    <xf numFmtId="0" fontId="91" fillId="73" borderId="87" applyNumberFormat="0" applyAlignment="0" applyProtection="0"/>
    <xf numFmtId="0" fontId="29" fillId="9" borderId="91">
      <alignment horizontal="left" vertical="center"/>
    </xf>
    <xf numFmtId="0" fontId="79" fillId="86" borderId="87" applyNumberFormat="0" applyAlignment="0" applyProtection="0"/>
    <xf numFmtId="0" fontId="98" fillId="0" borderId="88" applyNumberFormat="0" applyFill="0" applyAlignment="0" applyProtection="0"/>
    <xf numFmtId="4" fontId="25" fillId="14" borderId="91">
      <alignment horizontal="right" vertical="center"/>
    </xf>
    <xf numFmtId="0" fontId="30" fillId="89" borderId="89" applyNumberFormat="0" applyFont="0" applyAlignment="0" applyProtection="0"/>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4" fontId="25" fillId="14" borderId="92">
      <alignment horizontal="right" vertical="center"/>
    </xf>
    <xf numFmtId="0" fontId="67" fillId="64" borderId="0" applyNumberFormat="0" applyBorder="0" applyAlignment="0" applyProtection="0"/>
    <xf numFmtId="0" fontId="98" fillId="0" borderId="88" applyNumberFormat="0" applyFill="0" applyAlignment="0" applyProtection="0"/>
    <xf numFmtId="0" fontId="82" fillId="73" borderId="87" applyNumberFormat="0" applyAlignment="0" applyProtection="0"/>
    <xf numFmtId="0" fontId="83" fillId="0" borderId="88" applyNumberFormat="0" applyFill="0" applyAlignment="0" applyProtection="0"/>
    <xf numFmtId="0" fontId="73" fillId="89" borderId="89" applyNumberFormat="0" applyFont="0" applyAlignment="0" applyProtection="0"/>
    <xf numFmtId="0" fontId="98" fillId="0" borderId="88" applyNumberFormat="0" applyFill="0" applyAlignment="0" applyProtection="0"/>
    <xf numFmtId="0" fontId="67" fillId="55" borderId="0" applyNumberFormat="0" applyBorder="0" applyAlignment="0" applyProtection="0"/>
    <xf numFmtId="0" fontId="73" fillId="89" borderId="89" applyNumberFormat="0" applyFont="0" applyAlignment="0" applyProtection="0"/>
    <xf numFmtId="0" fontId="29" fillId="0" borderId="90" applyNumberFormat="0" applyFill="0" applyAlignment="0" applyProtection="0"/>
    <xf numFmtId="49" fontId="29" fillId="0" borderId="91" applyNumberFormat="0" applyFont="0" applyFill="0" applyBorder="0" applyProtection="0">
      <alignment horizontal="left" vertical="center" indent="5"/>
    </xf>
    <xf numFmtId="0" fontId="29" fillId="0" borderId="90" applyNumberFormat="0" applyFill="0" applyAlignment="0" applyProtection="0"/>
    <xf numFmtId="4" fontId="29" fillId="0" borderId="90">
      <alignment horizontal="right" vertical="center"/>
    </xf>
    <xf numFmtId="4" fontId="29" fillId="0" borderId="90">
      <alignment horizontal="right" vertical="center"/>
    </xf>
    <xf numFmtId="0" fontId="25" fillId="14" borderId="90">
      <alignment horizontal="right" vertical="center"/>
    </xf>
    <xf numFmtId="0" fontId="29" fillId="14" borderId="93">
      <alignment horizontal="left" vertical="center" wrapText="1" indent="2"/>
    </xf>
    <xf numFmtId="0" fontId="91" fillId="73" borderId="87" applyNumberFormat="0" applyAlignment="0" applyProtection="0"/>
    <xf numFmtId="0" fontId="29" fillId="0" borderId="90">
      <alignment horizontal="right" vertical="center"/>
    </xf>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175" fontId="29" fillId="90" borderId="90" applyNumberFormat="0" applyFont="0" applyBorder="0" applyAlignment="0" applyProtection="0">
      <alignment horizontal="right" vertical="center"/>
    </xf>
    <xf numFmtId="0" fontId="63" fillId="46" borderId="57" applyNumberFormat="0" applyAlignment="0" applyProtection="0"/>
    <xf numFmtId="0" fontId="25" fillId="14" borderId="92">
      <alignment horizontal="right" vertical="center"/>
    </xf>
    <xf numFmtId="0" fontId="79" fillId="86" borderId="87" applyNumberFormat="0" applyAlignment="0" applyProtection="0"/>
    <xf numFmtId="0" fontId="78" fillId="86" borderId="87" applyNumberFormat="0" applyAlignment="0" applyProtection="0"/>
    <xf numFmtId="0" fontId="98" fillId="0" borderId="88" applyNumberFormat="0" applyFill="0" applyAlignment="0" applyProtection="0"/>
    <xf numFmtId="0" fontId="98" fillId="0" borderId="88" applyNumberFormat="0" applyFill="0" applyAlignment="0" applyProtection="0"/>
    <xf numFmtId="0" fontId="30" fillId="89" borderId="89" applyNumberFormat="0" applyFont="0" applyAlignment="0" applyProtection="0"/>
    <xf numFmtId="0" fontId="67" fillId="61" borderId="0" applyNumberFormat="0" applyBorder="0" applyAlignment="0" applyProtection="0"/>
    <xf numFmtId="0" fontId="25" fillId="14" borderId="92">
      <alignment horizontal="right" vertical="center"/>
    </xf>
    <xf numFmtId="0" fontId="6" fillId="59" borderId="0" applyNumberFormat="0" applyBorder="0" applyAlignment="0" applyProtection="0"/>
    <xf numFmtId="0" fontId="25" fillId="14" borderId="91">
      <alignment horizontal="right" vertical="center"/>
    </xf>
    <xf numFmtId="0" fontId="73" fillId="89" borderId="97" applyNumberFormat="0" applyFont="0" applyAlignment="0" applyProtection="0"/>
    <xf numFmtId="4" fontId="25" fillId="9" borderId="90">
      <alignment horizontal="right" vertical="center"/>
    </xf>
    <xf numFmtId="4" fontId="25" fillId="14" borderId="90">
      <alignment horizontal="right" vertical="center"/>
    </xf>
    <xf numFmtId="0" fontId="65" fillId="0" borderId="0" applyNumberFormat="0" applyFill="0" applyBorder="0" applyAlignment="0" applyProtection="0"/>
    <xf numFmtId="4" fontId="25" fillId="14" borderId="90">
      <alignment horizontal="right" vertical="center"/>
    </xf>
    <xf numFmtId="0" fontId="82" fillId="73" borderId="80" applyNumberFormat="0" applyAlignment="0" applyProtection="0"/>
    <xf numFmtId="0" fontId="25" fillId="14" borderId="90">
      <alignment horizontal="right" vertical="center"/>
    </xf>
    <xf numFmtId="4" fontId="25" fillId="14" borderId="90">
      <alignment horizontal="right" vertical="center"/>
    </xf>
    <xf numFmtId="0" fontId="95" fillId="86" borderId="94" applyNumberFormat="0" applyAlignment="0" applyProtection="0"/>
    <xf numFmtId="4" fontId="25" fillId="14" borderId="90">
      <alignment horizontal="right" vertical="center"/>
    </xf>
    <xf numFmtId="0" fontId="29" fillId="0" borderId="90">
      <alignment horizontal="right" vertical="center"/>
    </xf>
    <xf numFmtId="0" fontId="6" fillId="48" borderId="0" applyNumberFormat="0" applyBorder="0" applyAlignment="0" applyProtection="0"/>
    <xf numFmtId="0" fontId="67" fillId="49" borderId="0" applyNumberFormat="0" applyBorder="0" applyAlignment="0" applyProtection="0"/>
    <xf numFmtId="0" fontId="65" fillId="0" borderId="0" applyNumberFormat="0" applyFill="0" applyBorder="0" applyAlignment="0" applyProtection="0"/>
    <xf numFmtId="0" fontId="29" fillId="0" borderId="93">
      <alignment horizontal="left" vertical="center" wrapText="1" indent="2"/>
    </xf>
    <xf numFmtId="0" fontId="29" fillId="16" borderId="90"/>
    <xf numFmtId="4" fontId="29" fillId="0" borderId="90" applyFill="0" applyBorder="0" applyProtection="0">
      <alignment horizontal="right" vertical="center"/>
    </xf>
    <xf numFmtId="0" fontId="79" fillId="86" borderId="87" applyNumberFormat="0" applyAlignment="0" applyProtection="0"/>
    <xf numFmtId="0" fontId="29" fillId="14" borderId="86">
      <alignment horizontal="left" vertical="center" wrapText="1" indent="2"/>
    </xf>
    <xf numFmtId="0" fontId="29" fillId="0" borderId="86">
      <alignment horizontal="left" vertical="center" wrapText="1" indent="2"/>
    </xf>
    <xf numFmtId="0" fontId="83" fillId="0" borderId="88" applyNumberFormat="0" applyFill="0" applyAlignment="0" applyProtection="0"/>
    <xf numFmtId="0" fontId="91" fillId="73" borderId="87" applyNumberFormat="0" applyAlignment="0" applyProtection="0"/>
    <xf numFmtId="0" fontId="29" fillId="0" borderId="90">
      <alignment horizontal="right" vertical="center"/>
    </xf>
    <xf numFmtId="49" fontId="29" fillId="0" borderId="90" applyNumberFormat="0" applyFont="0" applyFill="0" applyBorder="0" applyProtection="0">
      <alignment horizontal="left" vertical="center" indent="2"/>
    </xf>
    <xf numFmtId="0" fontId="78" fillId="86" borderId="87" applyNumberFormat="0" applyAlignment="0" applyProtection="0"/>
    <xf numFmtId="0" fontId="29" fillId="0" borderId="90">
      <alignment horizontal="right" vertical="center"/>
    </xf>
    <xf numFmtId="0" fontId="25" fillId="9" borderId="90">
      <alignment horizontal="right" vertical="center"/>
    </xf>
    <xf numFmtId="4" fontId="25" fillId="14" borderId="99">
      <alignment horizontal="right" vertical="center"/>
    </xf>
    <xf numFmtId="0" fontId="67" fillId="52" borderId="0" applyNumberFormat="0" applyBorder="0" applyAlignment="0" applyProtection="0"/>
    <xf numFmtId="4" fontId="29" fillId="0" borderId="90">
      <alignment horizontal="right" vertical="center"/>
    </xf>
    <xf numFmtId="175" fontId="29" fillId="90" borderId="90" applyNumberFormat="0" applyFont="0" applyBorder="0" applyAlignment="0" applyProtection="0">
      <alignment horizontal="right" vertical="center"/>
    </xf>
    <xf numFmtId="4" fontId="69" fillId="9" borderId="90">
      <alignment horizontal="right" vertical="center"/>
    </xf>
    <xf numFmtId="4" fontId="25" fillId="14" borderId="91">
      <alignment horizontal="right" vertical="center"/>
    </xf>
    <xf numFmtId="4" fontId="25" fillId="9" borderId="90">
      <alignment horizontal="right" vertical="center"/>
    </xf>
    <xf numFmtId="0" fontId="83" fillId="0" borderId="88" applyNumberFormat="0" applyFill="0" applyAlignment="0" applyProtection="0"/>
    <xf numFmtId="0" fontId="91" fillId="73" borderId="87" applyNumberFormat="0" applyAlignment="0" applyProtection="0"/>
    <xf numFmtId="0" fontId="29" fillId="16" borderId="90"/>
    <xf numFmtId="49" fontId="29" fillId="0" borderId="90" applyNumberFormat="0" applyFont="0" applyFill="0" applyBorder="0" applyProtection="0">
      <alignment horizontal="left" vertical="center" indent="2"/>
    </xf>
    <xf numFmtId="4" fontId="69" fillId="9" borderId="90">
      <alignment horizontal="right" vertical="center"/>
    </xf>
    <xf numFmtId="0" fontId="95" fillId="86" borderId="94" applyNumberFormat="0" applyAlignment="0" applyProtection="0"/>
    <xf numFmtId="0" fontId="91" fillId="73" borderId="95" applyNumberFormat="0" applyAlignment="0" applyProtection="0"/>
    <xf numFmtId="0" fontId="6" fillId="62" borderId="0" applyNumberFormat="0" applyBorder="0" applyAlignment="0" applyProtection="0"/>
    <xf numFmtId="49" fontId="27" fillId="0" borderId="90"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69" fillId="9" borderId="90">
      <alignment horizontal="right" vertical="center"/>
    </xf>
    <xf numFmtId="0" fontId="67" fillId="49" borderId="0" applyNumberFormat="0" applyBorder="0" applyAlignment="0" applyProtection="0"/>
    <xf numFmtId="0" fontId="29" fillId="14" borderId="101">
      <alignment horizontal="left" vertical="center" wrapText="1" indent="2"/>
    </xf>
    <xf numFmtId="0" fontId="67"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67" fillId="58" borderId="0" applyNumberFormat="0" applyBorder="0" applyAlignment="0" applyProtection="0"/>
    <xf numFmtId="0" fontId="6" fillId="54" borderId="0" applyNumberFormat="0" applyBorder="0" applyAlignment="0" applyProtection="0"/>
    <xf numFmtId="0" fontId="67" fillId="55" borderId="0" applyNumberFormat="0" applyBorder="0" applyAlignment="0" applyProtection="0"/>
    <xf numFmtId="0" fontId="83" fillId="0" borderId="88" applyNumberFormat="0" applyFill="0" applyAlignment="0" applyProtection="0"/>
    <xf numFmtId="0" fontId="29" fillId="14" borderId="93">
      <alignment horizontal="left" vertical="center" wrapText="1" indent="2"/>
    </xf>
    <xf numFmtId="0" fontId="76" fillId="86" borderId="94" applyNumberFormat="0" applyAlignment="0" applyProtection="0"/>
    <xf numFmtId="4" fontId="25" fillId="14" borderId="83">
      <alignment horizontal="right" vertical="center"/>
    </xf>
    <xf numFmtId="0" fontId="29" fillId="16" borderId="83"/>
    <xf numFmtId="0" fontId="78" fillId="86" borderId="80" applyNumberFormat="0" applyAlignment="0" applyProtection="0"/>
    <xf numFmtId="0" fontId="25" fillId="9" borderId="83">
      <alignment horizontal="right" vertical="center"/>
    </xf>
    <xf numFmtId="0" fontId="29" fillId="0" borderId="83">
      <alignment horizontal="right" vertical="center"/>
    </xf>
    <xf numFmtId="0" fontId="98" fillId="0" borderId="81" applyNumberFormat="0" applyFill="0" applyAlignment="0" applyProtection="0"/>
    <xf numFmtId="0" fontId="29" fillId="9" borderId="84">
      <alignment horizontal="left" vertical="center"/>
    </xf>
    <xf numFmtId="0" fontId="91" fillId="73" borderId="80" applyNumberFormat="0" applyAlignment="0" applyProtection="0"/>
    <xf numFmtId="175" fontId="29" fillId="90" borderId="83" applyNumberFormat="0" applyFont="0" applyBorder="0" applyAlignment="0" applyProtection="0">
      <alignment horizontal="right" vertical="center"/>
    </xf>
    <xf numFmtId="0" fontId="73" fillId="89" borderId="82" applyNumberFormat="0" applyFont="0" applyAlignment="0" applyProtection="0"/>
    <xf numFmtId="0" fontId="29" fillId="0" borderId="86">
      <alignment horizontal="left" vertical="center" wrapText="1" indent="2"/>
    </xf>
    <xf numFmtId="4" fontId="29" fillId="16" borderId="83"/>
    <xf numFmtId="49" fontId="27" fillId="0" borderId="83" applyNumberFormat="0" applyFill="0" applyBorder="0" applyProtection="0">
      <alignment horizontal="left" vertical="center"/>
    </xf>
    <xf numFmtId="0" fontId="29" fillId="0" borderId="83">
      <alignment horizontal="right" vertical="center"/>
    </xf>
    <xf numFmtId="4" fontId="25" fillId="14" borderId="85">
      <alignment horizontal="right" vertical="center"/>
    </xf>
    <xf numFmtId="4" fontId="25" fillId="14" borderId="83">
      <alignment horizontal="right" vertical="center"/>
    </xf>
    <xf numFmtId="4" fontId="25" fillId="14" borderId="83">
      <alignment horizontal="right" vertical="center"/>
    </xf>
    <xf numFmtId="0" fontId="69" fillId="9" borderId="83">
      <alignment horizontal="right" vertical="center"/>
    </xf>
    <xf numFmtId="0" fontId="25" fillId="9" borderId="83">
      <alignment horizontal="right" vertical="center"/>
    </xf>
    <xf numFmtId="49" fontId="29" fillId="0" borderId="83" applyNumberFormat="0" applyFont="0" applyFill="0" applyBorder="0" applyProtection="0">
      <alignment horizontal="left" vertical="center" indent="2"/>
    </xf>
    <xf numFmtId="0" fontId="91" fillId="73" borderId="80" applyNumberFormat="0" applyAlignment="0" applyProtection="0"/>
    <xf numFmtId="0" fontId="76" fillId="86" borderId="79" applyNumberFormat="0" applyAlignment="0" applyProtection="0"/>
    <xf numFmtId="49" fontId="29" fillId="0" borderId="83" applyNumberFormat="0" applyFont="0" applyFill="0" applyBorder="0" applyProtection="0">
      <alignment horizontal="left" vertical="center" indent="2"/>
    </xf>
    <xf numFmtId="0" fontId="82" fillId="73" borderId="80" applyNumberFormat="0" applyAlignment="0" applyProtection="0"/>
    <xf numFmtId="4" fontId="29" fillId="0" borderId="83" applyFill="0" applyBorder="0" applyProtection="0">
      <alignment horizontal="right" vertical="center"/>
    </xf>
    <xf numFmtId="0" fontId="79" fillId="86" borderId="80" applyNumberFormat="0" applyAlignment="0" applyProtection="0"/>
    <xf numFmtId="0" fontId="98" fillId="0" borderId="81" applyNumberFormat="0" applyFill="0" applyAlignment="0" applyProtection="0"/>
    <xf numFmtId="0" fontId="95" fillId="86" borderId="79" applyNumberFormat="0" applyAlignment="0" applyProtection="0"/>
    <xf numFmtId="0" fontId="29" fillId="0" borderId="83" applyNumberFormat="0" applyFill="0" applyAlignment="0" applyProtection="0"/>
    <xf numFmtId="4" fontId="29" fillId="0" borderId="83">
      <alignment horizontal="right" vertical="center"/>
    </xf>
    <xf numFmtId="0" fontId="29" fillId="0" borderId="83">
      <alignment horizontal="right" vertical="center"/>
    </xf>
    <xf numFmtId="0" fontId="91" fillId="73" borderId="80" applyNumberFormat="0" applyAlignment="0" applyProtection="0"/>
    <xf numFmtId="0" fontId="76" fillId="86" borderId="79" applyNumberFormat="0" applyAlignment="0" applyProtection="0"/>
    <xf numFmtId="0" fontId="78" fillId="86" borderId="80" applyNumberFormat="0" applyAlignment="0" applyProtection="0"/>
    <xf numFmtId="0" fontId="29" fillId="14" borderId="86">
      <alignment horizontal="left" vertical="center" wrapText="1" indent="2"/>
    </xf>
    <xf numFmtId="0" fontId="79" fillId="86" borderId="80" applyNumberFormat="0" applyAlignment="0" applyProtection="0"/>
    <xf numFmtId="0" fontId="79" fillId="86" borderId="80" applyNumberFormat="0" applyAlignment="0" applyProtection="0"/>
    <xf numFmtId="4" fontId="25" fillId="14" borderId="84">
      <alignment horizontal="right" vertical="center"/>
    </xf>
    <xf numFmtId="0" fontId="25" fillId="14" borderId="84">
      <alignment horizontal="right" vertical="center"/>
    </xf>
    <xf numFmtId="0" fontId="25" fillId="14" borderId="83">
      <alignment horizontal="right" vertical="center"/>
    </xf>
    <xf numFmtId="4" fontId="69" fillId="9" borderId="83">
      <alignment horizontal="right" vertical="center"/>
    </xf>
    <xf numFmtId="0" fontId="82" fillId="73" borderId="80" applyNumberFormat="0" applyAlignment="0" applyProtection="0"/>
    <xf numFmtId="0" fontId="83" fillId="0" borderId="81" applyNumberFormat="0" applyFill="0" applyAlignment="0" applyProtection="0"/>
    <xf numFmtId="0" fontId="98" fillId="0" borderId="81" applyNumberFormat="0" applyFill="0" applyAlignment="0" applyProtection="0"/>
    <xf numFmtId="0" fontId="73" fillId="89" borderId="82" applyNumberFormat="0" applyFont="0" applyAlignment="0" applyProtection="0"/>
    <xf numFmtId="0" fontId="91" fillId="73" borderId="80" applyNumberFormat="0" applyAlignment="0" applyProtection="0"/>
    <xf numFmtId="49" fontId="27" fillId="0" borderId="83" applyNumberFormat="0" applyFill="0" applyBorder="0" applyProtection="0">
      <alignment horizontal="left" vertical="center"/>
    </xf>
    <xf numFmtId="0" fontId="29" fillId="14" borderId="86">
      <alignment horizontal="left" vertical="center" wrapText="1" indent="2"/>
    </xf>
    <xf numFmtId="0" fontId="79" fillId="86" borderId="80" applyNumberFormat="0" applyAlignment="0" applyProtection="0"/>
    <xf numFmtId="0" fontId="29" fillId="0" borderId="86">
      <alignment horizontal="left" vertical="center" wrapText="1" indent="2"/>
    </xf>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4" fontId="29" fillId="16" borderId="83"/>
    <xf numFmtId="0" fontId="25" fillId="14" borderId="83">
      <alignment horizontal="right" vertical="center"/>
    </xf>
    <xf numFmtId="0" fontId="98" fillId="0" borderId="81" applyNumberFormat="0" applyFill="0" applyAlignment="0" applyProtection="0"/>
    <xf numFmtId="4" fontId="25" fillId="14" borderId="85">
      <alignment horizontal="right" vertical="center"/>
    </xf>
    <xf numFmtId="0" fontId="78" fillId="86" borderId="80" applyNumberFormat="0" applyAlignment="0" applyProtection="0"/>
    <xf numFmtId="0" fontId="25" fillId="14" borderId="84">
      <alignment horizontal="right" vertical="center"/>
    </xf>
    <xf numFmtId="0" fontId="79" fillId="86" borderId="80" applyNumberFormat="0" applyAlignment="0" applyProtection="0"/>
    <xf numFmtId="0" fontId="83" fillId="0" borderId="81" applyNumberFormat="0" applyFill="0" applyAlignment="0" applyProtection="0"/>
    <xf numFmtId="0" fontId="73" fillId="89" borderId="82" applyNumberFormat="0" applyFont="0" applyAlignment="0" applyProtection="0"/>
    <xf numFmtId="4" fontId="25" fillId="14" borderId="84">
      <alignment horizontal="right" vertical="center"/>
    </xf>
    <xf numFmtId="0" fontId="29" fillId="14" borderId="86">
      <alignment horizontal="left" vertical="center" wrapText="1" indent="2"/>
    </xf>
    <xf numFmtId="0" fontId="29" fillId="16" borderId="83"/>
    <xf numFmtId="175" fontId="29" fillId="90" borderId="83" applyNumberFormat="0" applyFont="0" applyBorder="0" applyAlignment="0" applyProtection="0">
      <alignment horizontal="right" vertical="center"/>
    </xf>
    <xf numFmtId="0" fontId="29" fillId="0" borderId="83" applyNumberFormat="0" applyFill="0" applyAlignment="0" applyProtection="0"/>
    <xf numFmtId="4" fontId="29" fillId="0" borderId="83" applyFill="0" applyBorder="0" applyProtection="0">
      <alignment horizontal="right" vertical="center"/>
    </xf>
    <xf numFmtId="4" fontId="25" fillId="9" borderId="83">
      <alignment horizontal="right" vertical="center"/>
    </xf>
    <xf numFmtId="0" fontId="83" fillId="0" borderId="81" applyNumberFormat="0" applyFill="0" applyAlignment="0" applyProtection="0"/>
    <xf numFmtId="49" fontId="27" fillId="0" borderId="83" applyNumberFormat="0" applyFill="0" applyBorder="0" applyProtection="0">
      <alignment horizontal="left" vertical="center"/>
    </xf>
    <xf numFmtId="49" fontId="29" fillId="0" borderId="84" applyNumberFormat="0" applyFont="0" applyFill="0" applyBorder="0" applyProtection="0">
      <alignment horizontal="left" vertical="center" indent="5"/>
    </xf>
    <xf numFmtId="0" fontId="29" fillId="9" borderId="84">
      <alignment horizontal="left" vertical="center"/>
    </xf>
    <xf numFmtId="0" fontId="79" fillId="86" borderId="80" applyNumberFormat="0" applyAlignment="0" applyProtection="0"/>
    <xf numFmtId="4" fontId="25" fillId="14" borderId="85">
      <alignment horizontal="right" vertical="center"/>
    </xf>
    <xf numFmtId="0" fontId="91" fillId="73" borderId="80" applyNumberFormat="0" applyAlignment="0" applyProtection="0"/>
    <xf numFmtId="0" fontId="91" fillId="73" borderId="80" applyNumberFormat="0" applyAlignment="0" applyProtection="0"/>
    <xf numFmtId="0" fontId="73"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25" fillId="14" borderId="83">
      <alignment horizontal="right" vertical="center"/>
    </xf>
    <xf numFmtId="0" fontId="30" fillId="89" borderId="82" applyNumberFormat="0" applyFont="0" applyAlignment="0" applyProtection="0"/>
    <xf numFmtId="4" fontId="29" fillId="0" borderId="83">
      <alignment horizontal="right" vertical="center"/>
    </xf>
    <xf numFmtId="0" fontId="98" fillId="0" borderId="81" applyNumberFormat="0" applyFill="0" applyAlignment="0" applyProtection="0"/>
    <xf numFmtId="0" fontId="25" fillId="14" borderId="83">
      <alignment horizontal="right" vertical="center"/>
    </xf>
    <xf numFmtId="0" fontId="25" fillId="14" borderId="83">
      <alignment horizontal="right" vertical="center"/>
    </xf>
    <xf numFmtId="4" fontId="69" fillId="9" borderId="83">
      <alignment horizontal="right" vertical="center"/>
    </xf>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25" fillId="14" borderId="84">
      <alignment horizontal="right" vertical="center"/>
    </xf>
    <xf numFmtId="4" fontId="25" fillId="14" borderId="84">
      <alignment horizontal="right" vertical="center"/>
    </xf>
    <xf numFmtId="0" fontId="25" fillId="14" borderId="85">
      <alignment horizontal="right" vertical="center"/>
    </xf>
    <xf numFmtId="4" fontId="25" fillId="14" borderId="85">
      <alignment horizontal="right" vertical="center"/>
    </xf>
    <xf numFmtId="0" fontId="79"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9" borderId="84">
      <alignment horizontal="left" vertical="center"/>
    </xf>
    <xf numFmtId="0" fontId="91" fillId="73" borderId="80" applyNumberFormat="0" applyAlignment="0" applyProtection="0"/>
    <xf numFmtId="0" fontId="29" fillId="0" borderId="83">
      <alignment horizontal="right" vertical="center"/>
    </xf>
    <xf numFmtId="4" fontId="29" fillId="0" borderId="83">
      <alignment horizontal="right" vertical="center"/>
    </xf>
    <xf numFmtId="0" fontId="29" fillId="0" borderId="83" applyNumberFormat="0" applyFill="0" applyAlignment="0" applyProtection="0"/>
    <xf numFmtId="0" fontId="95" fillId="86" borderId="79" applyNumberFormat="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0" fontId="98" fillId="0" borderId="81" applyNumberFormat="0" applyFill="0" applyAlignment="0" applyProtection="0"/>
    <xf numFmtId="0" fontId="30" fillId="89" borderId="82" applyNumberFormat="0" applyFont="0" applyAlignment="0" applyProtection="0"/>
    <xf numFmtId="0" fontId="73" fillId="89" borderId="82" applyNumberFormat="0" applyFont="0" applyAlignment="0" applyProtection="0"/>
    <xf numFmtId="0" fontId="29" fillId="0" borderId="83" applyNumberFormat="0" applyFill="0" applyAlignment="0" applyProtection="0"/>
    <xf numFmtId="0" fontId="83" fillId="0" borderId="81" applyNumberFormat="0" applyFill="0" applyAlignment="0" applyProtection="0"/>
    <xf numFmtId="0" fontId="98" fillId="0" borderId="81" applyNumberFormat="0" applyFill="0" applyAlignment="0" applyProtection="0"/>
    <xf numFmtId="0" fontId="82" fillId="73" borderId="80" applyNumberFormat="0" applyAlignment="0" applyProtection="0"/>
    <xf numFmtId="0" fontId="79" fillId="86" borderId="80" applyNumberFormat="0" applyAlignment="0" applyProtection="0"/>
    <xf numFmtId="4" fontId="69" fillId="9" borderId="83">
      <alignment horizontal="right" vertical="center"/>
    </xf>
    <xf numFmtId="0" fontId="25" fillId="9" borderId="83">
      <alignment horizontal="right" vertical="center"/>
    </xf>
    <xf numFmtId="175" fontId="29" fillId="90" borderId="83" applyNumberFormat="0" applyFont="0" applyBorder="0" applyAlignment="0" applyProtection="0">
      <alignment horizontal="right" vertical="center"/>
    </xf>
    <xf numFmtId="0" fontId="83" fillId="0" borderId="81" applyNumberFormat="0" applyFill="0" applyAlignment="0" applyProtection="0"/>
    <xf numFmtId="49" fontId="29" fillId="0" borderId="83" applyNumberFormat="0" applyFont="0" applyFill="0" applyBorder="0" applyProtection="0">
      <alignment horizontal="left" vertical="center" indent="2"/>
    </xf>
    <xf numFmtId="49" fontId="29" fillId="0" borderId="84" applyNumberFormat="0" applyFont="0" applyFill="0" applyBorder="0" applyProtection="0">
      <alignment horizontal="left" vertical="center" indent="5"/>
    </xf>
    <xf numFmtId="49" fontId="29" fillId="0" borderId="83" applyNumberFormat="0" applyFont="0" applyFill="0" applyBorder="0" applyProtection="0">
      <alignment horizontal="left" vertical="center" indent="2"/>
    </xf>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0" fontId="29" fillId="0" borderId="86">
      <alignment horizontal="left" vertical="center" wrapText="1" indent="2"/>
    </xf>
    <xf numFmtId="0" fontId="95" fillId="86" borderId="79" applyNumberFormat="0" applyAlignment="0" applyProtection="0"/>
    <xf numFmtId="0" fontId="25" fillId="14" borderId="85">
      <alignment horizontal="right" vertical="center"/>
    </xf>
    <xf numFmtId="0" fontId="82" fillId="73" borderId="80" applyNumberFormat="0" applyAlignment="0" applyProtection="0"/>
    <xf numFmtId="0" fontId="25" fillId="14" borderId="85">
      <alignment horizontal="right" vertical="center"/>
    </xf>
    <xf numFmtId="4" fontId="25" fillId="14" borderId="83">
      <alignment horizontal="right" vertical="center"/>
    </xf>
    <xf numFmtId="0" fontId="25" fillId="14" borderId="83">
      <alignment horizontal="right" vertical="center"/>
    </xf>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0" fontId="29" fillId="16" borderId="83"/>
    <xf numFmtId="4" fontId="29" fillId="16" borderId="83"/>
    <xf numFmtId="4" fontId="25" fillId="14" borderId="83">
      <alignment horizontal="right" vertical="center"/>
    </xf>
    <xf numFmtId="0" fontId="69" fillId="9" borderId="83">
      <alignment horizontal="right" vertical="center"/>
    </xf>
    <xf numFmtId="0" fontId="82" fillId="73" borderId="80" applyNumberFormat="0" applyAlignment="0" applyProtection="0"/>
    <xf numFmtId="0" fontId="79" fillId="86" borderId="80" applyNumberFormat="0" applyAlignment="0" applyProtection="0"/>
    <xf numFmtId="4" fontId="29" fillId="0" borderId="83">
      <alignment horizontal="right" vertical="center"/>
    </xf>
    <xf numFmtId="0" fontId="29" fillId="14" borderId="86">
      <alignment horizontal="left" vertical="center" wrapText="1" indent="2"/>
    </xf>
    <xf numFmtId="0" fontId="29" fillId="0" borderId="86">
      <alignment horizontal="left" vertical="center" wrapText="1" indent="2"/>
    </xf>
    <xf numFmtId="0" fontId="95" fillId="86" borderId="79" applyNumberFormat="0" applyAlignment="0" applyProtection="0"/>
    <xf numFmtId="0" fontId="91" fillId="73" borderId="80" applyNumberFormat="0" applyAlignment="0" applyProtection="0"/>
    <xf numFmtId="0" fontId="78" fillId="86" borderId="80" applyNumberFormat="0" applyAlignment="0" applyProtection="0"/>
    <xf numFmtId="0" fontId="76" fillId="86" borderId="79" applyNumberFormat="0" applyAlignment="0" applyProtection="0"/>
    <xf numFmtId="0" fontId="25" fillId="14" borderId="85">
      <alignment horizontal="right" vertical="center"/>
    </xf>
    <xf numFmtId="0" fontId="69" fillId="9" borderId="83">
      <alignment horizontal="right" vertical="center"/>
    </xf>
    <xf numFmtId="4" fontId="25" fillId="9" borderId="83">
      <alignment horizontal="right" vertical="center"/>
    </xf>
    <xf numFmtId="4" fontId="25" fillId="14" borderId="83">
      <alignment horizontal="right" vertical="center"/>
    </xf>
    <xf numFmtId="49" fontId="29" fillId="0" borderId="84" applyNumberFormat="0" applyFont="0" applyFill="0" applyBorder="0" applyProtection="0">
      <alignment horizontal="left" vertical="center" indent="5"/>
    </xf>
    <xf numFmtId="4" fontId="29" fillId="0" borderId="83" applyFill="0" applyBorder="0" applyProtection="0">
      <alignment horizontal="right" vertical="center"/>
    </xf>
    <xf numFmtId="4" fontId="25" fillId="9" borderId="83">
      <alignment horizontal="right" vertical="center"/>
    </xf>
    <xf numFmtId="0" fontId="91" fillId="73" borderId="87" applyNumberFormat="0" applyAlignment="0" applyProtection="0"/>
    <xf numFmtId="0" fontId="91" fillId="73" borderId="80" applyNumberFormat="0" applyAlignment="0" applyProtection="0"/>
    <xf numFmtId="0" fontId="82" fillId="73" borderId="80" applyNumberFormat="0" applyAlignment="0" applyProtection="0"/>
    <xf numFmtId="0" fontId="78"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14" borderId="86">
      <alignment horizontal="left" vertical="center" wrapText="1" indent="2"/>
    </xf>
    <xf numFmtId="0" fontId="29" fillId="0" borderId="86">
      <alignment horizontal="left" vertical="center" wrapText="1" indent="2"/>
    </xf>
    <xf numFmtId="0" fontId="76" fillId="86" borderId="79" applyNumberFormat="0" applyAlignment="0" applyProtection="0"/>
    <xf numFmtId="0" fontId="78" fillId="86" borderId="80" applyNumberFormat="0" applyAlignment="0" applyProtection="0"/>
    <xf numFmtId="0" fontId="79" fillId="86" borderId="80" applyNumberFormat="0" applyAlignment="0" applyProtection="0"/>
    <xf numFmtId="0" fontId="82" fillId="73" borderId="80" applyNumberFormat="0" applyAlignment="0" applyProtection="0"/>
    <xf numFmtId="0" fontId="83" fillId="0" borderId="81" applyNumberFormat="0" applyFill="0" applyAlignment="0" applyProtection="0"/>
    <xf numFmtId="0" fontId="91" fillId="73" borderId="80" applyNumberFormat="0" applyAlignment="0" applyProtection="0"/>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79" fillId="86" borderId="80" applyNumberFormat="0" applyAlignment="0" applyProtection="0"/>
    <xf numFmtId="0" fontId="91" fillId="73" borderId="80" applyNumberFormat="0" applyAlignment="0" applyProtection="0"/>
    <xf numFmtId="0" fontId="73"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79" fillId="86" borderId="80" applyNumberFormat="0" applyAlignment="0" applyProtection="0"/>
    <xf numFmtId="0" fontId="91" fillId="73" borderId="80" applyNumberFormat="0" applyAlignment="0" applyProtection="0"/>
    <xf numFmtId="0" fontId="95" fillId="86" borderId="79" applyNumberFormat="0" applyAlignment="0" applyProtection="0"/>
    <xf numFmtId="0" fontId="98" fillId="0" borderId="81" applyNumberFormat="0" applyFill="0" applyAlignment="0" applyProtection="0"/>
    <xf numFmtId="0" fontId="6" fillId="53" borderId="0" applyNumberFormat="0" applyBorder="0" applyAlignment="0" applyProtection="0"/>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49" fontId="29" fillId="0" borderId="83" applyNumberFormat="0" applyFont="0" applyFill="0" applyBorder="0" applyProtection="0">
      <alignment horizontal="left" vertical="center" indent="2"/>
    </xf>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82" fillId="73" borderId="80" applyNumberFormat="0" applyAlignment="0" applyProtection="0"/>
    <xf numFmtId="0" fontId="29" fillId="0" borderId="83">
      <alignment horizontal="right" vertical="center"/>
    </xf>
    <xf numFmtId="4" fontId="29" fillId="0" borderId="83">
      <alignment horizontal="right" vertical="center"/>
    </xf>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0" fontId="29" fillId="0" borderId="83" applyNumberFormat="0" applyFill="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4" fontId="25" fillId="14" borderId="83">
      <alignment horizontal="right" vertical="center"/>
    </xf>
    <xf numFmtId="0" fontId="29" fillId="16" borderId="83"/>
    <xf numFmtId="0" fontId="78" fillId="86" borderId="80" applyNumberFormat="0" applyAlignment="0" applyProtection="0"/>
    <xf numFmtId="0" fontId="25" fillId="9" borderId="83">
      <alignment horizontal="right" vertical="center"/>
    </xf>
    <xf numFmtId="0" fontId="29" fillId="0" borderId="83">
      <alignment horizontal="right" vertical="center"/>
    </xf>
    <xf numFmtId="0" fontId="98" fillId="0" borderId="81" applyNumberFormat="0" applyFill="0" applyAlignment="0" applyProtection="0"/>
    <xf numFmtId="0" fontId="29" fillId="9" borderId="84">
      <alignment horizontal="left" vertical="center"/>
    </xf>
    <xf numFmtId="0" fontId="91" fillId="73" borderId="80" applyNumberFormat="0" applyAlignment="0" applyProtection="0"/>
    <xf numFmtId="175" fontId="29" fillId="90" borderId="83" applyNumberFormat="0" applyFont="0" applyBorder="0" applyAlignment="0" applyProtection="0">
      <alignment horizontal="right" vertical="center"/>
    </xf>
    <xf numFmtId="0" fontId="73" fillId="89" borderId="82" applyNumberFormat="0" applyFont="0" applyAlignment="0" applyProtection="0"/>
    <xf numFmtId="0" fontId="29" fillId="0" borderId="86">
      <alignment horizontal="left" vertical="center" wrapText="1" indent="2"/>
    </xf>
    <xf numFmtId="4" fontId="29" fillId="16" borderId="83"/>
    <xf numFmtId="49" fontId="27" fillId="0" borderId="83" applyNumberFormat="0" applyFill="0" applyBorder="0" applyProtection="0">
      <alignment horizontal="left" vertical="center"/>
    </xf>
    <xf numFmtId="0" fontId="29" fillId="0" borderId="83">
      <alignment horizontal="right" vertical="center"/>
    </xf>
    <xf numFmtId="4" fontId="25" fillId="14" borderId="85">
      <alignment horizontal="right" vertical="center"/>
    </xf>
    <xf numFmtId="4" fontId="25" fillId="14" borderId="83">
      <alignment horizontal="right" vertical="center"/>
    </xf>
    <xf numFmtId="4" fontId="25" fillId="14" borderId="83">
      <alignment horizontal="right" vertical="center"/>
    </xf>
    <xf numFmtId="0" fontId="69" fillId="9" borderId="83">
      <alignment horizontal="right" vertical="center"/>
    </xf>
    <xf numFmtId="0" fontId="25" fillId="9" borderId="83">
      <alignment horizontal="right" vertical="center"/>
    </xf>
    <xf numFmtId="49" fontId="29" fillId="0" borderId="83" applyNumberFormat="0" applyFont="0" applyFill="0" applyBorder="0" applyProtection="0">
      <alignment horizontal="left" vertical="center" indent="2"/>
    </xf>
    <xf numFmtId="0" fontId="91" fillId="73" borderId="80" applyNumberFormat="0" applyAlignment="0" applyProtection="0"/>
    <xf numFmtId="0" fontId="76" fillId="86" borderId="79" applyNumberFormat="0" applyAlignment="0" applyProtection="0"/>
    <xf numFmtId="49" fontId="29" fillId="0" borderId="83" applyNumberFormat="0" applyFont="0" applyFill="0" applyBorder="0" applyProtection="0">
      <alignment horizontal="left" vertical="center" indent="2"/>
    </xf>
    <xf numFmtId="0" fontId="82" fillId="73" borderId="80" applyNumberFormat="0" applyAlignment="0" applyProtection="0"/>
    <xf numFmtId="4" fontId="29" fillId="0" borderId="83" applyFill="0" applyBorder="0" applyProtection="0">
      <alignment horizontal="right" vertical="center"/>
    </xf>
    <xf numFmtId="0" fontId="79" fillId="86" borderId="80" applyNumberFormat="0" applyAlignment="0" applyProtection="0"/>
    <xf numFmtId="0" fontId="98" fillId="0" borderId="81" applyNumberFormat="0" applyFill="0" applyAlignment="0" applyProtection="0"/>
    <xf numFmtId="0" fontId="95" fillId="86" borderId="79" applyNumberFormat="0" applyAlignment="0" applyProtection="0"/>
    <xf numFmtId="0" fontId="29" fillId="0" borderId="83" applyNumberFormat="0" applyFill="0" applyAlignment="0" applyProtection="0"/>
    <xf numFmtId="4" fontId="29" fillId="0" borderId="83">
      <alignment horizontal="right" vertical="center"/>
    </xf>
    <xf numFmtId="0" fontId="29" fillId="0" borderId="83">
      <alignment horizontal="right" vertical="center"/>
    </xf>
    <xf numFmtId="0" fontId="91" fillId="73" borderId="80" applyNumberFormat="0" applyAlignment="0" applyProtection="0"/>
    <xf numFmtId="0" fontId="76" fillId="86" borderId="79" applyNumberFormat="0" applyAlignment="0" applyProtection="0"/>
    <xf numFmtId="0" fontId="78" fillId="86" borderId="80" applyNumberFormat="0" applyAlignment="0" applyProtection="0"/>
    <xf numFmtId="0" fontId="29" fillId="14" borderId="86">
      <alignment horizontal="left" vertical="center" wrapText="1" indent="2"/>
    </xf>
    <xf numFmtId="0" fontId="79" fillId="86" borderId="80" applyNumberFormat="0" applyAlignment="0" applyProtection="0"/>
    <xf numFmtId="0" fontId="79" fillId="86" borderId="80" applyNumberFormat="0" applyAlignment="0" applyProtection="0"/>
    <xf numFmtId="4" fontId="25" fillId="14" borderId="84">
      <alignment horizontal="right" vertical="center"/>
    </xf>
    <xf numFmtId="0" fontId="25" fillId="14" borderId="84">
      <alignment horizontal="right" vertical="center"/>
    </xf>
    <xf numFmtId="0" fontId="25" fillId="14" borderId="83">
      <alignment horizontal="right" vertical="center"/>
    </xf>
    <xf numFmtId="4" fontId="69" fillId="9" borderId="83">
      <alignment horizontal="right" vertical="center"/>
    </xf>
    <xf numFmtId="0" fontId="82" fillId="73" borderId="80" applyNumberFormat="0" applyAlignment="0" applyProtection="0"/>
    <xf numFmtId="0" fontId="83" fillId="0" borderId="81" applyNumberFormat="0" applyFill="0" applyAlignment="0" applyProtection="0"/>
    <xf numFmtId="0" fontId="98" fillId="0" borderId="81" applyNumberFormat="0" applyFill="0" applyAlignment="0" applyProtection="0"/>
    <xf numFmtId="0" fontId="73" fillId="89" borderId="82" applyNumberFormat="0" applyFont="0" applyAlignment="0" applyProtection="0"/>
    <xf numFmtId="0" fontId="91" fillId="73" borderId="80" applyNumberFormat="0" applyAlignment="0" applyProtection="0"/>
    <xf numFmtId="49" fontId="27" fillId="0" borderId="83" applyNumberFormat="0" applyFill="0" applyBorder="0" applyProtection="0">
      <alignment horizontal="left" vertical="center"/>
    </xf>
    <xf numFmtId="0" fontId="29" fillId="14" borderId="86">
      <alignment horizontal="left" vertical="center" wrapText="1" indent="2"/>
    </xf>
    <xf numFmtId="0" fontId="79" fillId="86" borderId="80" applyNumberFormat="0" applyAlignment="0" applyProtection="0"/>
    <xf numFmtId="0" fontId="29" fillId="0" borderId="86">
      <alignment horizontal="left" vertical="center" wrapText="1" indent="2"/>
    </xf>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4" fontId="29" fillId="16" borderId="83"/>
    <xf numFmtId="0" fontId="25" fillId="14" borderId="83">
      <alignment horizontal="right" vertical="center"/>
    </xf>
    <xf numFmtId="0" fontId="98" fillId="0" borderId="81" applyNumberFormat="0" applyFill="0" applyAlignment="0" applyProtection="0"/>
    <xf numFmtId="4" fontId="25" fillId="14" borderId="85">
      <alignment horizontal="right" vertical="center"/>
    </xf>
    <xf numFmtId="0" fontId="78" fillId="86" borderId="80" applyNumberFormat="0" applyAlignment="0" applyProtection="0"/>
    <xf numFmtId="0" fontId="25" fillId="14" borderId="84">
      <alignment horizontal="right" vertical="center"/>
    </xf>
    <xf numFmtId="0" fontId="79" fillId="86" borderId="80" applyNumberFormat="0" applyAlignment="0" applyProtection="0"/>
    <xf numFmtId="0" fontId="83" fillId="0" borderId="81" applyNumberFormat="0" applyFill="0" applyAlignment="0" applyProtection="0"/>
    <xf numFmtId="0" fontId="73" fillId="89" borderId="82" applyNumberFormat="0" applyFont="0" applyAlignment="0" applyProtection="0"/>
    <xf numFmtId="4" fontId="25" fillId="14" borderId="84">
      <alignment horizontal="right" vertical="center"/>
    </xf>
    <xf numFmtId="0" fontId="29" fillId="14" borderId="86">
      <alignment horizontal="left" vertical="center" wrapText="1" indent="2"/>
    </xf>
    <xf numFmtId="0" fontId="29" fillId="16" borderId="83"/>
    <xf numFmtId="175" fontId="29" fillId="90" borderId="83" applyNumberFormat="0" applyFont="0" applyBorder="0" applyAlignment="0" applyProtection="0">
      <alignment horizontal="right" vertical="center"/>
    </xf>
    <xf numFmtId="0" fontId="29" fillId="0" borderId="83" applyNumberFormat="0" applyFill="0" applyAlignment="0" applyProtection="0"/>
    <xf numFmtId="4" fontId="29" fillId="0" borderId="83" applyFill="0" applyBorder="0" applyProtection="0">
      <alignment horizontal="right" vertical="center"/>
    </xf>
    <xf numFmtId="4" fontId="25" fillId="9" borderId="83">
      <alignment horizontal="right" vertical="center"/>
    </xf>
    <xf numFmtId="0" fontId="83" fillId="0" borderId="81" applyNumberFormat="0" applyFill="0" applyAlignment="0" applyProtection="0"/>
    <xf numFmtId="49" fontId="27" fillId="0" borderId="83" applyNumberFormat="0" applyFill="0" applyBorder="0" applyProtection="0">
      <alignment horizontal="left" vertical="center"/>
    </xf>
    <xf numFmtId="49" fontId="29" fillId="0" borderId="84" applyNumberFormat="0" applyFont="0" applyFill="0" applyBorder="0" applyProtection="0">
      <alignment horizontal="left" vertical="center" indent="5"/>
    </xf>
    <xf numFmtId="0" fontId="29" fillId="9" borderId="84">
      <alignment horizontal="left" vertical="center"/>
    </xf>
    <xf numFmtId="0" fontId="79" fillId="86" borderId="80" applyNumberFormat="0" applyAlignment="0" applyProtection="0"/>
    <xf numFmtId="4" fontId="25" fillId="14" borderId="85">
      <alignment horizontal="right" vertical="center"/>
    </xf>
    <xf numFmtId="0" fontId="91" fillId="73" borderId="80" applyNumberFormat="0" applyAlignment="0" applyProtection="0"/>
    <xf numFmtId="0" fontId="91" fillId="73" borderId="80" applyNumberFormat="0" applyAlignment="0" applyProtection="0"/>
    <xf numFmtId="0" fontId="73"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25" fillId="14" borderId="83">
      <alignment horizontal="right" vertical="center"/>
    </xf>
    <xf numFmtId="0" fontId="30" fillId="89" borderId="82" applyNumberFormat="0" applyFont="0" applyAlignment="0" applyProtection="0"/>
    <xf numFmtId="4" fontId="29" fillId="0" borderId="83">
      <alignment horizontal="right" vertical="center"/>
    </xf>
    <xf numFmtId="0" fontId="98" fillId="0" borderId="81" applyNumberFormat="0" applyFill="0" applyAlignment="0" applyProtection="0"/>
    <xf numFmtId="0" fontId="25" fillId="14" borderId="83">
      <alignment horizontal="right" vertical="center"/>
    </xf>
    <xf numFmtId="0" fontId="25" fillId="14" borderId="83">
      <alignment horizontal="right" vertical="center"/>
    </xf>
    <xf numFmtId="4" fontId="69" fillId="9" borderId="83">
      <alignment horizontal="right" vertical="center"/>
    </xf>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25" fillId="14" borderId="84">
      <alignment horizontal="right" vertical="center"/>
    </xf>
    <xf numFmtId="4" fontId="25" fillId="14" borderId="84">
      <alignment horizontal="right" vertical="center"/>
    </xf>
    <xf numFmtId="0" fontId="25" fillId="14" borderId="85">
      <alignment horizontal="right" vertical="center"/>
    </xf>
    <xf numFmtId="4" fontId="25" fillId="14" borderId="85">
      <alignment horizontal="right" vertical="center"/>
    </xf>
    <xf numFmtId="0" fontId="79"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9" borderId="84">
      <alignment horizontal="left" vertical="center"/>
    </xf>
    <xf numFmtId="0" fontId="91" fillId="73" borderId="80" applyNumberFormat="0" applyAlignment="0" applyProtection="0"/>
    <xf numFmtId="0" fontId="29" fillId="0" borderId="83">
      <alignment horizontal="right" vertical="center"/>
    </xf>
    <xf numFmtId="4" fontId="29" fillId="0" borderId="83">
      <alignment horizontal="right" vertical="center"/>
    </xf>
    <xf numFmtId="0" fontId="29" fillId="0" borderId="83" applyNumberFormat="0" applyFill="0" applyAlignment="0" applyProtection="0"/>
    <xf numFmtId="0" fontId="95" fillId="86" borderId="79" applyNumberFormat="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0" fontId="98" fillId="0" borderId="81" applyNumberFormat="0" applyFill="0" applyAlignment="0" applyProtection="0"/>
    <xf numFmtId="0" fontId="30" fillId="89" borderId="82" applyNumberFormat="0" applyFont="0" applyAlignment="0" applyProtection="0"/>
    <xf numFmtId="0" fontId="73" fillId="89" borderId="82" applyNumberFormat="0" applyFont="0" applyAlignment="0" applyProtection="0"/>
    <xf numFmtId="0" fontId="29" fillId="0" borderId="83" applyNumberFormat="0" applyFill="0" applyAlignment="0" applyProtection="0"/>
    <xf numFmtId="0" fontId="83" fillId="0" borderId="81" applyNumberFormat="0" applyFill="0" applyAlignment="0" applyProtection="0"/>
    <xf numFmtId="0" fontId="98" fillId="0" borderId="81" applyNumberFormat="0" applyFill="0" applyAlignment="0" applyProtection="0"/>
    <xf numFmtId="0" fontId="82" fillId="73" borderId="80" applyNumberFormat="0" applyAlignment="0" applyProtection="0"/>
    <xf numFmtId="0" fontId="79" fillId="86" borderId="80" applyNumberFormat="0" applyAlignment="0" applyProtection="0"/>
    <xf numFmtId="4" fontId="69" fillId="9" borderId="83">
      <alignment horizontal="right" vertical="center"/>
    </xf>
    <xf numFmtId="0" fontId="25" fillId="9" borderId="83">
      <alignment horizontal="right" vertical="center"/>
    </xf>
    <xf numFmtId="175" fontId="29" fillId="90" borderId="83" applyNumberFormat="0" applyFont="0" applyBorder="0" applyAlignment="0" applyProtection="0">
      <alignment horizontal="right" vertical="center"/>
    </xf>
    <xf numFmtId="0" fontId="83" fillId="0" borderId="81" applyNumberFormat="0" applyFill="0" applyAlignment="0" applyProtection="0"/>
    <xf numFmtId="49" fontId="29" fillId="0" borderId="83" applyNumberFormat="0" applyFont="0" applyFill="0" applyBorder="0" applyProtection="0">
      <alignment horizontal="left" vertical="center" indent="2"/>
    </xf>
    <xf numFmtId="49" fontId="29" fillId="0" borderId="84" applyNumberFormat="0" applyFont="0" applyFill="0" applyBorder="0" applyProtection="0">
      <alignment horizontal="left" vertical="center" indent="5"/>
    </xf>
    <xf numFmtId="49" fontId="29" fillId="0" borderId="83" applyNumberFormat="0" applyFont="0" applyFill="0" applyBorder="0" applyProtection="0">
      <alignment horizontal="left" vertical="center" indent="2"/>
    </xf>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0" fontId="29" fillId="0" borderId="86">
      <alignment horizontal="left" vertical="center" wrapText="1" indent="2"/>
    </xf>
    <xf numFmtId="0" fontId="95" fillId="86" borderId="79" applyNumberFormat="0" applyAlignment="0" applyProtection="0"/>
    <xf numFmtId="0" fontId="25" fillId="14" borderId="85">
      <alignment horizontal="right" vertical="center"/>
    </xf>
    <xf numFmtId="0" fontId="82" fillId="73" borderId="80" applyNumberFormat="0" applyAlignment="0" applyProtection="0"/>
    <xf numFmtId="0" fontId="25" fillId="14" borderId="85">
      <alignment horizontal="right" vertical="center"/>
    </xf>
    <xf numFmtId="4" fontId="25" fillId="14" borderId="83">
      <alignment horizontal="right" vertical="center"/>
    </xf>
    <xf numFmtId="0" fontId="25" fillId="14" borderId="83">
      <alignment horizontal="right" vertical="center"/>
    </xf>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0" fontId="29" fillId="16" borderId="83"/>
    <xf numFmtId="4" fontId="29" fillId="16" borderId="83"/>
    <xf numFmtId="4" fontId="25" fillId="14" borderId="83">
      <alignment horizontal="right" vertical="center"/>
    </xf>
    <xf numFmtId="0" fontId="69" fillId="9" borderId="83">
      <alignment horizontal="right" vertical="center"/>
    </xf>
    <xf numFmtId="0" fontId="82" fillId="73" borderId="80" applyNumberFormat="0" applyAlignment="0" applyProtection="0"/>
    <xf numFmtId="0" fontId="79" fillId="86" borderId="80" applyNumberFormat="0" applyAlignment="0" applyProtection="0"/>
    <xf numFmtId="4" fontId="29" fillId="0" borderId="83">
      <alignment horizontal="right" vertical="center"/>
    </xf>
    <xf numFmtId="0" fontId="29" fillId="14" borderId="86">
      <alignment horizontal="left" vertical="center" wrapText="1" indent="2"/>
    </xf>
    <xf numFmtId="0" fontId="29" fillId="0" borderId="86">
      <alignment horizontal="left" vertical="center" wrapText="1" indent="2"/>
    </xf>
    <xf numFmtId="0" fontId="95" fillId="86" borderId="79" applyNumberFormat="0" applyAlignment="0" applyProtection="0"/>
    <xf numFmtId="0" fontId="91" fillId="73" borderId="80" applyNumberFormat="0" applyAlignment="0" applyProtection="0"/>
    <xf numFmtId="0" fontId="78" fillId="86" borderId="80" applyNumberFormat="0" applyAlignment="0" applyProtection="0"/>
    <xf numFmtId="0" fontId="76" fillId="86" borderId="79" applyNumberFormat="0" applyAlignment="0" applyProtection="0"/>
    <xf numFmtId="0" fontId="25" fillId="14" borderId="85">
      <alignment horizontal="right" vertical="center"/>
    </xf>
    <xf numFmtId="0" fontId="69" fillId="9" borderId="83">
      <alignment horizontal="right" vertical="center"/>
    </xf>
    <xf numFmtId="4" fontId="25" fillId="9" borderId="83">
      <alignment horizontal="right" vertical="center"/>
    </xf>
    <xf numFmtId="4" fontId="25" fillId="14" borderId="83">
      <alignment horizontal="right" vertical="center"/>
    </xf>
    <xf numFmtId="49" fontId="29" fillId="0" borderId="84" applyNumberFormat="0" applyFont="0" applyFill="0" applyBorder="0" applyProtection="0">
      <alignment horizontal="left" vertical="center" indent="5"/>
    </xf>
    <xf numFmtId="4" fontId="29" fillId="0" borderId="83" applyFill="0" applyBorder="0" applyProtection="0">
      <alignment horizontal="right" vertical="center"/>
    </xf>
    <xf numFmtId="4" fontId="25" fillId="9" borderId="83">
      <alignment horizontal="right" vertical="center"/>
    </xf>
    <xf numFmtId="0" fontId="91" fillId="73" borderId="80" applyNumberFormat="0" applyAlignment="0" applyProtection="0"/>
    <xf numFmtId="0" fontId="82" fillId="73" borderId="80" applyNumberFormat="0" applyAlignment="0" applyProtection="0"/>
    <xf numFmtId="0" fontId="78"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14" borderId="86">
      <alignment horizontal="left" vertical="center" wrapText="1" indent="2"/>
    </xf>
    <xf numFmtId="0" fontId="76" fillId="86" borderId="94" applyNumberFormat="0" applyAlignment="0" applyProtection="0"/>
    <xf numFmtId="0" fontId="95" fillId="86" borderId="94" applyNumberFormat="0" applyAlignment="0" applyProtection="0"/>
    <xf numFmtId="0" fontId="25" fillId="14" borderId="92">
      <alignment horizontal="right" vertical="center"/>
    </xf>
    <xf numFmtId="0" fontId="78" fillId="86" borderId="87" applyNumberFormat="0" applyAlignment="0" applyProtection="0"/>
    <xf numFmtId="4" fontId="25" fillId="14" borderId="90">
      <alignment horizontal="right" vertical="center"/>
    </xf>
    <xf numFmtId="4" fontId="29" fillId="16" borderId="90"/>
    <xf numFmtId="4" fontId="29" fillId="16" borderId="90"/>
    <xf numFmtId="0" fontId="25" fillId="14" borderId="90">
      <alignment horizontal="right" vertical="center"/>
    </xf>
    <xf numFmtId="0" fontId="25" fillId="14" borderId="90">
      <alignment horizontal="right" vertical="center"/>
    </xf>
    <xf numFmtId="0" fontId="29" fillId="16" borderId="90"/>
    <xf numFmtId="0" fontId="25" fillId="14" borderId="92">
      <alignment horizontal="right" vertical="center"/>
    </xf>
    <xf numFmtId="0" fontId="25" fillId="14" borderId="92">
      <alignment horizontal="right" vertical="center"/>
    </xf>
    <xf numFmtId="0" fontId="78" fillId="86" borderId="87" applyNumberFormat="0" applyAlignment="0" applyProtection="0"/>
    <xf numFmtId="0" fontId="25" fillId="14" borderId="91">
      <alignment horizontal="right" vertical="center"/>
    </xf>
    <xf numFmtId="0" fontId="29" fillId="0" borderId="90">
      <alignment horizontal="right" vertical="center"/>
    </xf>
    <xf numFmtId="4" fontId="29" fillId="0" borderId="90">
      <alignment horizontal="right" vertical="center"/>
    </xf>
    <xf numFmtId="0" fontId="98" fillId="0" borderId="88" applyNumberFormat="0" applyFill="0" applyAlignment="0" applyProtection="0"/>
    <xf numFmtId="0" fontId="79" fillId="86" borderId="87" applyNumberFormat="0" applyAlignment="0" applyProtection="0"/>
    <xf numFmtId="0" fontId="98" fillId="0" borderId="88" applyNumberFormat="0" applyFill="0" applyAlignment="0" applyProtection="0"/>
    <xf numFmtId="0" fontId="79" fillId="86" borderId="87" applyNumberFormat="0" applyAlignment="0" applyProtection="0"/>
    <xf numFmtId="49" fontId="27" fillId="0" borderId="90" applyNumberFormat="0" applyFill="0" applyBorder="0" applyProtection="0">
      <alignment horizontal="left" vertical="center"/>
    </xf>
    <xf numFmtId="0" fontId="73" fillId="89" borderId="89" applyNumberFormat="0" applyFont="0" applyAlignment="0" applyProtection="0"/>
    <xf numFmtId="0" fontId="25" fillId="9" borderId="90">
      <alignment horizontal="right" vertical="center"/>
    </xf>
    <xf numFmtId="0" fontId="25" fillId="14" borderId="90">
      <alignment horizontal="right" vertical="center"/>
    </xf>
    <xf numFmtId="0" fontId="79" fillId="86" borderId="87" applyNumberFormat="0" applyAlignment="0" applyProtection="0"/>
    <xf numFmtId="0" fontId="83" fillId="0" borderId="88" applyNumberFormat="0" applyFill="0" applyAlignment="0" applyProtection="0"/>
    <xf numFmtId="4" fontId="29" fillId="0" borderId="90" applyFill="0" applyBorder="0" applyProtection="0">
      <alignment horizontal="right" vertical="center"/>
    </xf>
    <xf numFmtId="0" fontId="91" fillId="73" borderId="95" applyNumberFormat="0" applyAlignment="0" applyProtection="0"/>
    <xf numFmtId="0" fontId="8" fillId="0" borderId="58" applyNumberFormat="0" applyFill="0" applyAlignment="0" applyProtection="0"/>
    <xf numFmtId="0" fontId="29" fillId="14" borderId="93">
      <alignment horizontal="left" vertical="center" wrapText="1" indent="2"/>
    </xf>
    <xf numFmtId="0" fontId="8" fillId="0" borderId="58" applyNumberFormat="0" applyFill="0" applyAlignment="0" applyProtection="0"/>
    <xf numFmtId="0" fontId="6" fillId="59" borderId="0" applyNumberFormat="0" applyBorder="0" applyAlignment="0" applyProtection="0"/>
    <xf numFmtId="49" fontId="29" fillId="0" borderId="98" applyNumberFormat="0" applyFont="0" applyFill="0" applyBorder="0" applyProtection="0">
      <alignment horizontal="left" vertical="center" indent="2"/>
    </xf>
    <xf numFmtId="0" fontId="67" fillId="64" borderId="0" applyNumberFormat="0" applyBorder="0" applyAlignment="0" applyProtection="0"/>
    <xf numFmtId="4" fontId="25" fillId="14" borderId="90">
      <alignment horizontal="right" vertical="center"/>
    </xf>
    <xf numFmtId="0" fontId="91" fillId="73" borderId="87" applyNumberFormat="0" applyAlignment="0" applyProtection="0"/>
    <xf numFmtId="0" fontId="79" fillId="86" borderId="87" applyNumberFormat="0" applyAlignment="0" applyProtection="0"/>
    <xf numFmtId="0" fontId="78" fillId="86" borderId="87" applyNumberFormat="0" applyAlignment="0" applyProtection="0"/>
    <xf numFmtId="0" fontId="29" fillId="9" borderId="91">
      <alignment horizontal="left" vertical="center"/>
    </xf>
    <xf numFmtId="0" fontId="6" fillId="53" borderId="0" applyNumberFormat="0" applyBorder="0" applyAlignment="0" applyProtection="0"/>
    <xf numFmtId="0" fontId="25" fillId="14" borderId="90">
      <alignment horizontal="right" vertical="center"/>
    </xf>
    <xf numFmtId="0" fontId="66" fillId="0" borderId="0" applyNumberFormat="0" applyFill="0" applyBorder="0" applyAlignment="0" applyProtection="0"/>
    <xf numFmtId="175" fontId="29" fillId="90" borderId="98" applyNumberFormat="0" applyFont="0" applyBorder="0" applyAlignment="0" applyProtection="0">
      <alignment horizontal="right" vertical="center"/>
    </xf>
    <xf numFmtId="0" fontId="67" fillId="49" borderId="0" applyNumberFormat="0" applyBorder="0" applyAlignment="0" applyProtection="0"/>
    <xf numFmtId="175" fontId="29" fillId="90" borderId="90" applyNumberFormat="0" applyFont="0" applyBorder="0" applyAlignment="0" applyProtection="0">
      <alignment horizontal="right" vertical="center"/>
    </xf>
    <xf numFmtId="0" fontId="64" fillId="46" borderId="56" applyNumberFormat="0" applyAlignment="0" applyProtection="0"/>
    <xf numFmtId="0" fontId="64" fillId="46" borderId="56" applyNumberFormat="0" applyAlignment="0" applyProtection="0"/>
    <xf numFmtId="0" fontId="29" fillId="0" borderId="93">
      <alignment horizontal="left" vertical="center" wrapText="1" indent="2"/>
    </xf>
    <xf numFmtId="175" fontId="29" fillId="90" borderId="90" applyNumberFormat="0" applyFont="0" applyBorder="0" applyAlignment="0" applyProtection="0">
      <alignment horizontal="right" vertical="center"/>
    </xf>
    <xf numFmtId="4" fontId="29" fillId="0" borderId="90" applyFill="0" applyBorder="0" applyProtection="0">
      <alignment horizontal="right" vertical="center"/>
    </xf>
    <xf numFmtId="0" fontId="66" fillId="0" borderId="0" applyNumberFormat="0" applyFill="0" applyBorder="0" applyAlignment="0" applyProtection="0"/>
    <xf numFmtId="0" fontId="91" fillId="73" borderId="87" applyNumberFormat="0" applyAlignment="0" applyProtection="0"/>
    <xf numFmtId="0" fontId="29" fillId="0" borderId="93">
      <alignment horizontal="left" vertical="center" wrapText="1" indent="2"/>
    </xf>
    <xf numFmtId="0" fontId="29" fillId="16" borderId="90"/>
    <xf numFmtId="0" fontId="98" fillId="0" borderId="96" applyNumberFormat="0" applyFill="0" applyAlignment="0" applyProtection="0"/>
    <xf numFmtId="0" fontId="29" fillId="0" borderId="90">
      <alignment horizontal="right" vertical="center"/>
    </xf>
    <xf numFmtId="0" fontId="29" fillId="16" borderId="90"/>
    <xf numFmtId="0" fontId="73" fillId="89" borderId="89" applyNumberFormat="0" applyFont="0" applyAlignment="0" applyProtection="0"/>
    <xf numFmtId="49" fontId="27" fillId="0" borderId="90" applyNumberFormat="0" applyFill="0" applyBorder="0" applyProtection="0">
      <alignment horizontal="left" vertical="center"/>
    </xf>
    <xf numFmtId="0" fontId="29" fillId="0" borderId="93">
      <alignment horizontal="left" vertical="center" wrapText="1" indent="2"/>
    </xf>
    <xf numFmtId="0" fontId="79" fillId="86" borderId="87" applyNumberFormat="0" applyAlignment="0" applyProtection="0"/>
    <xf numFmtId="49" fontId="29" fillId="0" borderId="90" applyNumberFormat="0" applyFont="0" applyFill="0" applyBorder="0" applyProtection="0">
      <alignment horizontal="left" vertical="center" indent="2"/>
    </xf>
    <xf numFmtId="0" fontId="29" fillId="14" borderId="93">
      <alignment horizontal="left" vertical="center" wrapText="1" indent="2"/>
    </xf>
    <xf numFmtId="0" fontId="95" fillId="86" borderId="94" applyNumberFormat="0" applyAlignment="0" applyProtection="0"/>
    <xf numFmtId="0" fontId="6" fillId="50" borderId="0" applyNumberFormat="0" applyBorder="0" applyAlignment="0" applyProtection="0"/>
    <xf numFmtId="0" fontId="8" fillId="0" borderId="58" applyNumberFormat="0" applyFill="0" applyAlignment="0" applyProtection="0"/>
    <xf numFmtId="0" fontId="69" fillId="9" borderId="90">
      <alignment horizontal="right" vertical="center"/>
    </xf>
    <xf numFmtId="0" fontId="6" fillId="63" borderId="0" applyNumberFormat="0" applyBorder="0" applyAlignment="0" applyProtection="0"/>
    <xf numFmtId="0" fontId="82" fillId="73" borderId="87" applyNumberFormat="0" applyAlignment="0" applyProtection="0"/>
    <xf numFmtId="4" fontId="69" fillId="9" borderId="90">
      <alignment horizontal="right" vertical="center"/>
    </xf>
    <xf numFmtId="0" fontId="82" fillId="73" borderId="87" applyNumberFormat="0" applyAlignment="0" applyProtection="0"/>
    <xf numFmtId="0" fontId="67" fillId="58" borderId="0" applyNumberFormat="0" applyBorder="0" applyAlignment="0" applyProtection="0"/>
    <xf numFmtId="0" fontId="78" fillId="86" borderId="87" applyNumberFormat="0" applyAlignment="0" applyProtection="0"/>
    <xf numFmtId="0" fontId="76" fillId="86" borderId="94" applyNumberFormat="0" applyAlignment="0" applyProtection="0"/>
    <xf numFmtId="0" fontId="6" fillId="54" borderId="0" applyNumberFormat="0" applyBorder="0" applyAlignment="0" applyProtection="0"/>
    <xf numFmtId="0" fontId="29" fillId="16" borderId="90"/>
    <xf numFmtId="0" fontId="25" fillId="14" borderId="90">
      <alignment horizontal="right" vertical="center"/>
    </xf>
    <xf numFmtId="0" fontId="69" fillId="9" borderId="90">
      <alignment horizontal="right" vertical="center"/>
    </xf>
    <xf numFmtId="0" fontId="95" fillId="86" borderId="94" applyNumberFormat="0" applyAlignment="0" applyProtection="0"/>
    <xf numFmtId="0" fontId="83" fillId="0" borderId="96" applyNumberFormat="0" applyFill="0" applyAlignment="0" applyProtection="0"/>
    <xf numFmtId="4" fontId="25" fillId="9" borderId="90">
      <alignment horizontal="right" vertical="center"/>
    </xf>
    <xf numFmtId="0" fontId="6" fillId="63" borderId="0" applyNumberFormat="0" applyBorder="0" applyAlignment="0" applyProtection="0"/>
    <xf numFmtId="0" fontId="83" fillId="0" borderId="88" applyNumberFormat="0" applyFill="0" applyAlignment="0" applyProtection="0"/>
    <xf numFmtId="0" fontId="83" fillId="0" borderId="88" applyNumberFormat="0" applyFill="0" applyAlignment="0" applyProtection="0"/>
    <xf numFmtId="0" fontId="95" fillId="86" borderId="94" applyNumberFormat="0" applyAlignment="0" applyProtection="0"/>
    <xf numFmtId="4" fontId="29" fillId="16" borderId="90"/>
    <xf numFmtId="0" fontId="67" fillId="52" borderId="0" applyNumberFormat="0" applyBorder="0" applyAlignment="0" applyProtection="0"/>
    <xf numFmtId="0" fontId="6" fillId="50" borderId="0" applyNumberFormat="0" applyBorder="0" applyAlignment="0" applyProtection="0"/>
    <xf numFmtId="0" fontId="25" fillId="14" borderId="92">
      <alignment horizontal="right" vertical="center"/>
    </xf>
    <xf numFmtId="0" fontId="65" fillId="0" borderId="0" applyNumberFormat="0" applyFill="0" applyBorder="0" applyAlignment="0" applyProtection="0"/>
    <xf numFmtId="0" fontId="76" fillId="86" borderId="94" applyNumberFormat="0" applyAlignment="0" applyProtection="0"/>
    <xf numFmtId="0" fontId="25" fillId="9" borderId="90">
      <alignment horizontal="right" vertical="center"/>
    </xf>
    <xf numFmtId="4" fontId="29" fillId="0" borderId="90">
      <alignment horizontal="right" vertical="center"/>
    </xf>
    <xf numFmtId="0" fontId="6" fillId="57" borderId="0" applyNumberFormat="0" applyBorder="0" applyAlignment="0" applyProtection="0"/>
    <xf numFmtId="0" fontId="29" fillId="0" borderId="101">
      <alignment horizontal="left" vertical="center" wrapText="1" indent="2"/>
    </xf>
    <xf numFmtId="49" fontId="29" fillId="0" borderId="90" applyNumberFormat="0" applyFont="0" applyFill="0" applyBorder="0" applyProtection="0">
      <alignment horizontal="left" vertical="center" indent="2"/>
    </xf>
    <xf numFmtId="0" fontId="29" fillId="14" borderId="93">
      <alignment horizontal="left" vertical="center" wrapText="1" indent="2"/>
    </xf>
    <xf numFmtId="0" fontId="25" fillId="14" borderId="91">
      <alignment horizontal="right" vertical="center"/>
    </xf>
    <xf numFmtId="4" fontId="29" fillId="16" borderId="90"/>
    <xf numFmtId="0" fontId="73" fillId="89" borderId="89" applyNumberFormat="0" applyFont="0" applyAlignment="0" applyProtection="0"/>
    <xf numFmtId="0" fontId="67" fillId="55" borderId="0" applyNumberFormat="0" applyBorder="0" applyAlignment="0" applyProtection="0"/>
    <xf numFmtId="4" fontId="25" fillId="14" borderId="90">
      <alignment horizontal="right" vertical="center"/>
    </xf>
    <xf numFmtId="0" fontId="67" fillId="49" borderId="0" applyNumberFormat="0" applyBorder="0" applyAlignment="0" applyProtection="0"/>
    <xf numFmtId="0" fontId="91" fillId="73" borderId="87" applyNumberFormat="0" applyAlignment="0" applyProtection="0"/>
    <xf numFmtId="0" fontId="76" fillId="86" borderId="94" applyNumberFormat="0" applyAlignment="0" applyProtection="0"/>
    <xf numFmtId="0" fontId="98" fillId="0" borderId="88" applyNumberFormat="0" applyFill="0" applyAlignment="0" applyProtection="0"/>
    <xf numFmtId="4" fontId="25" fillId="14" borderId="91">
      <alignment horizontal="right" vertical="center"/>
    </xf>
    <xf numFmtId="0" fontId="6" fillId="51" borderId="0" applyNumberFormat="0" applyBorder="0" applyAlignment="0" applyProtection="0"/>
    <xf numFmtId="4" fontId="69" fillId="9" borderId="90">
      <alignment horizontal="right" vertical="center"/>
    </xf>
    <xf numFmtId="0" fontId="25" fillId="14" borderId="90">
      <alignment horizontal="right" vertical="center"/>
    </xf>
    <xf numFmtId="0" fontId="67" fillId="52" borderId="0" applyNumberFormat="0" applyBorder="0" applyAlignment="0" applyProtection="0"/>
    <xf numFmtId="0" fontId="91" fillId="73" borderId="95" applyNumberFormat="0" applyAlignment="0" applyProtection="0"/>
    <xf numFmtId="0" fontId="6" fillId="59" borderId="0" applyNumberFormat="0" applyBorder="0" applyAlignment="0" applyProtection="0"/>
    <xf numFmtId="0" fontId="6" fillId="50" borderId="0" applyNumberFormat="0" applyBorder="0" applyAlignment="0" applyProtection="0"/>
    <xf numFmtId="0" fontId="78" fillId="86" borderId="87" applyNumberFormat="0" applyAlignment="0" applyProtection="0"/>
    <xf numFmtId="0" fontId="67" fillId="58" borderId="0" applyNumberFormat="0" applyBorder="0" applyAlignment="0" applyProtection="0"/>
    <xf numFmtId="0" fontId="25" fillId="9" borderId="90">
      <alignment horizontal="right" vertical="center"/>
    </xf>
    <xf numFmtId="0" fontId="79" fillId="86" borderId="87" applyNumberFormat="0" applyAlignment="0" applyProtection="0"/>
    <xf numFmtId="4" fontId="29" fillId="0" borderId="90" applyFill="0" applyBorder="0" applyProtection="0">
      <alignment horizontal="right" vertical="center"/>
    </xf>
    <xf numFmtId="0" fontId="29" fillId="14" borderId="93">
      <alignment horizontal="left" vertical="center" wrapText="1" indent="2"/>
    </xf>
    <xf numFmtId="4" fontId="29" fillId="16" borderId="90"/>
    <xf numFmtId="0" fontId="63" fillId="46" borderId="57" applyNumberFormat="0" applyAlignment="0" applyProtection="0"/>
    <xf numFmtId="0" fontId="79" fillId="86" borderId="87" applyNumberFormat="0" applyAlignment="0" applyProtection="0"/>
    <xf numFmtId="0" fontId="79" fillId="86" borderId="87" applyNumberFormat="0" applyAlignment="0" applyProtection="0"/>
    <xf numFmtId="0" fontId="6" fillId="48" borderId="0" applyNumberFormat="0" applyBorder="0" applyAlignment="0" applyProtection="0"/>
    <xf numFmtId="0" fontId="82" fillId="73" borderId="87" applyNumberFormat="0" applyAlignment="0" applyProtection="0"/>
    <xf numFmtId="4" fontId="29" fillId="16" borderId="98"/>
    <xf numFmtId="49" fontId="27" fillId="0" borderId="90" applyNumberFormat="0" applyFill="0" applyBorder="0" applyProtection="0">
      <alignment horizontal="left" vertical="center"/>
    </xf>
    <xf numFmtId="0" fontId="98" fillId="0" borderId="96" applyNumberFormat="0" applyFill="0" applyAlignment="0" applyProtection="0"/>
    <xf numFmtId="0" fontId="29" fillId="0" borderId="93">
      <alignment horizontal="left" vertical="center" wrapText="1" indent="2"/>
    </xf>
    <xf numFmtId="0" fontId="29" fillId="14" borderId="93">
      <alignment horizontal="left" vertical="center" wrapText="1" indent="2"/>
    </xf>
    <xf numFmtId="0" fontId="73" fillId="89" borderId="89" applyNumberFormat="0" applyFont="0" applyAlignment="0" applyProtection="0"/>
    <xf numFmtId="0" fontId="25" fillId="14" borderId="90">
      <alignment horizontal="right" vertical="center"/>
    </xf>
    <xf numFmtId="0" fontId="25" fillId="14" borderId="90">
      <alignment horizontal="right" vertical="center"/>
    </xf>
    <xf numFmtId="0" fontId="79" fillId="86" borderId="87" applyNumberFormat="0" applyAlignment="0" applyProtection="0"/>
    <xf numFmtId="0" fontId="67" fillId="55" borderId="0" applyNumberFormat="0" applyBorder="0" applyAlignment="0" applyProtection="0"/>
    <xf numFmtId="175" fontId="29" fillId="90" borderId="90" applyNumberFormat="0" applyFont="0" applyBorder="0" applyAlignment="0" applyProtection="0">
      <alignment horizontal="right" vertical="center"/>
    </xf>
    <xf numFmtId="0" fontId="6" fillId="60" borderId="0" applyNumberFormat="0" applyBorder="0" applyAlignment="0" applyProtection="0"/>
    <xf numFmtId="0" fontId="79" fillId="86" borderId="87" applyNumberFormat="0" applyAlignment="0" applyProtection="0"/>
    <xf numFmtId="0" fontId="95" fillId="86" borderId="94" applyNumberFormat="0" applyAlignment="0" applyProtection="0"/>
    <xf numFmtId="0" fontId="98" fillId="0" borderId="96" applyNumberFormat="0" applyFill="0" applyAlignment="0" applyProtection="0"/>
    <xf numFmtId="0" fontId="98" fillId="0" borderId="88" applyNumberFormat="0" applyFill="0" applyAlignment="0" applyProtection="0"/>
    <xf numFmtId="0" fontId="91" fillId="73" borderId="87" applyNumberFormat="0" applyAlignment="0" applyProtection="0"/>
    <xf numFmtId="0" fontId="25" fillId="9" borderId="90">
      <alignment horizontal="right" vertical="center"/>
    </xf>
    <xf numFmtId="0" fontId="29" fillId="0" borderId="101">
      <alignment horizontal="left" vertical="center" wrapText="1" indent="2"/>
    </xf>
    <xf numFmtId="0" fontId="67" fillId="49" borderId="0" applyNumberFormat="0" applyBorder="0" applyAlignment="0" applyProtection="0"/>
    <xf numFmtId="0" fontId="95" fillId="86" borderId="94" applyNumberFormat="0" applyAlignment="0" applyProtection="0"/>
    <xf numFmtId="0" fontId="6" fillId="54" borderId="0" applyNumberFormat="0" applyBorder="0" applyAlignment="0" applyProtection="0"/>
    <xf numFmtId="4" fontId="69" fillId="9" borderId="90">
      <alignment horizontal="right" vertical="center"/>
    </xf>
    <xf numFmtId="4" fontId="25" fillId="9" borderId="90">
      <alignment horizontal="right" vertical="center"/>
    </xf>
    <xf numFmtId="0" fontId="25" fillId="14" borderId="98">
      <alignment horizontal="right" vertical="center"/>
    </xf>
    <xf numFmtId="0" fontId="29" fillId="0" borderId="90" applyNumberFormat="0" applyFill="0" applyAlignment="0" applyProtection="0"/>
    <xf numFmtId="4" fontId="25" fillId="9" borderId="90">
      <alignment horizontal="right" vertical="center"/>
    </xf>
    <xf numFmtId="0" fontId="8" fillId="0" borderId="58" applyNumberFormat="0" applyFill="0" applyAlignment="0" applyProtection="0"/>
    <xf numFmtId="0" fontId="79" fillId="86" borderId="87" applyNumberFormat="0" applyAlignment="0" applyProtection="0"/>
    <xf numFmtId="0" fontId="6" fillId="56" borderId="0" applyNumberFormat="0" applyBorder="0" applyAlignment="0" applyProtection="0"/>
    <xf numFmtId="0" fontId="65" fillId="0" borderId="0" applyNumberFormat="0" applyFill="0" applyBorder="0" applyAlignment="0" applyProtection="0"/>
    <xf numFmtId="0" fontId="65" fillId="0" borderId="0" applyNumberFormat="0" applyFill="0" applyBorder="0" applyAlignment="0" applyProtection="0"/>
    <xf numFmtId="0" fontId="29" fillId="0" borderId="90" applyNumberFormat="0" applyFill="0" applyAlignment="0" applyProtection="0"/>
    <xf numFmtId="4" fontId="25" fillId="14" borderId="90">
      <alignment horizontal="right" vertical="center"/>
    </xf>
    <xf numFmtId="0" fontId="73" fillId="89" borderId="89" applyNumberFormat="0" applyFont="0" applyAlignment="0" applyProtection="0"/>
    <xf numFmtId="4" fontId="25" fillId="14" borderId="90">
      <alignment horizontal="right" vertical="center"/>
    </xf>
    <xf numFmtId="4" fontId="25" fillId="14" borderId="90">
      <alignment horizontal="right" vertical="center"/>
    </xf>
    <xf numFmtId="0" fontId="29" fillId="0" borderId="90">
      <alignment horizontal="right" vertical="center"/>
    </xf>
    <xf numFmtId="4" fontId="29" fillId="0" borderId="90">
      <alignment horizontal="right" vertical="center"/>
    </xf>
    <xf numFmtId="0" fontId="25" fillId="14" borderId="100">
      <alignment horizontal="right" vertical="center"/>
    </xf>
    <xf numFmtId="0" fontId="83" fillId="0" borderId="88" applyNumberFormat="0" applyFill="0" applyAlignment="0" applyProtection="0"/>
    <xf numFmtId="0" fontId="73" fillId="89" borderId="89" applyNumberFormat="0" applyFont="0" applyAlignment="0" applyProtection="0"/>
    <xf numFmtId="0" fontId="29" fillId="0" borderId="90" applyNumberFormat="0" applyFill="0" applyAlignment="0" applyProtection="0"/>
    <xf numFmtId="0" fontId="25" fillId="14" borderId="92">
      <alignment horizontal="right" vertical="center"/>
    </xf>
    <xf numFmtId="49" fontId="27" fillId="0" borderId="98" applyNumberFormat="0" applyFill="0" applyBorder="0" applyProtection="0">
      <alignment horizontal="left" vertical="center"/>
    </xf>
    <xf numFmtId="4" fontId="25" fillId="14" borderId="90">
      <alignment horizontal="right" vertical="center"/>
    </xf>
    <xf numFmtId="0" fontId="79" fillId="86" borderId="87" applyNumberFormat="0" applyAlignment="0" applyProtection="0"/>
    <xf numFmtId="0" fontId="25" fillId="14" borderId="90">
      <alignment horizontal="right" vertical="center"/>
    </xf>
    <xf numFmtId="0" fontId="29" fillId="16" borderId="98"/>
    <xf numFmtId="4" fontId="29" fillId="16" borderId="90"/>
    <xf numFmtId="0" fontId="82" fillId="73" borderId="87" applyNumberFormat="0" applyAlignment="0" applyProtection="0"/>
    <xf numFmtId="0" fontId="79" fillId="86" borderId="87" applyNumberFormat="0" applyAlignment="0" applyProtection="0"/>
    <xf numFmtId="0" fontId="98" fillId="0" borderId="88" applyNumberFormat="0" applyFill="0" applyAlignment="0" applyProtection="0"/>
    <xf numFmtId="0" fontId="29" fillId="9" borderId="91">
      <alignment horizontal="left" vertical="center"/>
    </xf>
    <xf numFmtId="0" fontId="82" fillId="73" borderId="87" applyNumberFormat="0" applyAlignment="0" applyProtection="0"/>
    <xf numFmtId="0" fontId="29" fillId="0" borderId="90" applyNumberFormat="0" applyFill="0" applyAlignment="0" applyProtection="0"/>
    <xf numFmtId="0" fontId="6" fillId="63" borderId="0" applyNumberFormat="0" applyBorder="0" applyAlignment="0" applyProtection="0"/>
    <xf numFmtId="0" fontId="29" fillId="0" borderId="90">
      <alignment horizontal="right" vertical="center"/>
    </xf>
    <xf numFmtId="0" fontId="29" fillId="9" borderId="91">
      <alignment horizontal="left" vertical="center"/>
    </xf>
    <xf numFmtId="4" fontId="25" fillId="14" borderId="92">
      <alignment horizontal="right" vertical="center"/>
    </xf>
    <xf numFmtId="49" fontId="27" fillId="0" borderId="90" applyNumberFormat="0" applyFill="0" applyBorder="0" applyProtection="0">
      <alignment horizontal="left" vertical="center"/>
    </xf>
    <xf numFmtId="0" fontId="95" fillId="86" borderId="94" applyNumberFormat="0" applyAlignment="0" applyProtection="0"/>
    <xf numFmtId="0" fontId="67" fillId="64" borderId="0" applyNumberFormat="0" applyBorder="0" applyAlignment="0" applyProtection="0"/>
    <xf numFmtId="0" fontId="6" fillId="62" borderId="0" applyNumberFormat="0" applyBorder="0" applyAlignment="0" applyProtection="0"/>
    <xf numFmtId="0" fontId="78" fillId="86" borderId="87" applyNumberFormat="0" applyAlignment="0" applyProtection="0"/>
    <xf numFmtId="0" fontId="91" fillId="73" borderId="87" applyNumberFormat="0" applyAlignment="0" applyProtection="0"/>
    <xf numFmtId="4" fontId="69" fillId="9" borderId="90">
      <alignment horizontal="right" vertical="center"/>
    </xf>
    <xf numFmtId="0" fontId="6" fillId="57" borderId="0" applyNumberFormat="0" applyBorder="0" applyAlignment="0" applyProtection="0"/>
    <xf numFmtId="0" fontId="25" fillId="14" borderId="91">
      <alignment horizontal="right" vertical="center"/>
    </xf>
    <xf numFmtId="0" fontId="29" fillId="14" borderId="93">
      <alignment horizontal="left" vertical="center" wrapText="1" indent="2"/>
    </xf>
    <xf numFmtId="0" fontId="78" fillId="86" borderId="87" applyNumberFormat="0" applyAlignment="0" applyProtection="0"/>
    <xf numFmtId="0" fontId="6" fillId="63" borderId="0" applyNumberFormat="0" applyBorder="0" applyAlignment="0" applyProtection="0"/>
    <xf numFmtId="0" fontId="25" fillId="14" borderId="99">
      <alignment horizontal="right" vertical="center"/>
    </xf>
    <xf numFmtId="4" fontId="25" fillId="14" borderId="91">
      <alignment horizontal="right" vertical="center"/>
    </xf>
    <xf numFmtId="0" fontId="30" fillId="89" borderId="89" applyNumberFormat="0" applyFont="0" applyAlignment="0" applyProtection="0"/>
    <xf numFmtId="0" fontId="6" fillId="62" borderId="0" applyNumberFormat="0" applyBorder="0" applyAlignment="0" applyProtection="0"/>
    <xf numFmtId="0" fontId="25" fillId="9" borderId="90">
      <alignment horizontal="right" vertical="center"/>
    </xf>
    <xf numFmtId="0" fontId="25" fillId="9" borderId="98">
      <alignment horizontal="right" vertical="center"/>
    </xf>
    <xf numFmtId="0" fontId="6" fillId="56" borderId="0" applyNumberFormat="0" applyBorder="0" applyAlignment="0" applyProtection="0"/>
    <xf numFmtId="0" fontId="91" fillId="73" borderId="87" applyNumberFormat="0" applyAlignment="0" applyProtection="0"/>
    <xf numFmtId="4" fontId="25" fillId="14" borderId="100">
      <alignment horizontal="right" vertical="center"/>
    </xf>
    <xf numFmtId="4" fontId="25" fillId="14" borderId="91">
      <alignment horizontal="right" vertical="center"/>
    </xf>
    <xf numFmtId="4" fontId="25" fillId="14" borderId="98">
      <alignment horizontal="right" vertical="center"/>
    </xf>
    <xf numFmtId="4" fontId="25" fillId="14" borderId="90">
      <alignment horizontal="right" vertical="center"/>
    </xf>
    <xf numFmtId="0" fontId="25" fillId="9" borderId="90">
      <alignment horizontal="right" vertical="center"/>
    </xf>
    <xf numFmtId="0" fontId="82" fillId="73" borderId="87" applyNumberFormat="0" applyAlignment="0" applyProtection="0"/>
    <xf numFmtId="0" fontId="6" fillId="54" borderId="0" applyNumberFormat="0" applyBorder="0" applyAlignment="0" applyProtection="0"/>
    <xf numFmtId="0" fontId="64" fillId="46" borderId="56" applyNumberFormat="0" applyAlignment="0" applyProtection="0"/>
    <xf numFmtId="0" fontId="83" fillId="0" borderId="88" applyNumberFormat="0" applyFill="0" applyAlignment="0" applyProtection="0"/>
    <xf numFmtId="0" fontId="69" fillId="9" borderId="90">
      <alignment horizontal="right" vertical="center"/>
    </xf>
    <xf numFmtId="0" fontId="95" fillId="86" borderId="94" applyNumberFormat="0" applyAlignment="0" applyProtection="0"/>
    <xf numFmtId="0" fontId="98" fillId="0" borderId="88" applyNumberFormat="0" applyFill="0" applyAlignment="0" applyProtection="0"/>
    <xf numFmtId="0" fontId="6" fillId="53" borderId="0" applyNumberFormat="0" applyBorder="0" applyAlignment="0" applyProtection="0"/>
    <xf numFmtId="175" fontId="29" fillId="90" borderId="90" applyNumberFormat="0" applyFont="0" applyBorder="0" applyAlignment="0" applyProtection="0">
      <alignment horizontal="right" vertical="center"/>
    </xf>
    <xf numFmtId="0" fontId="6" fillId="51" borderId="0" applyNumberFormat="0" applyBorder="0" applyAlignment="0" applyProtection="0"/>
    <xf numFmtId="0" fontId="79" fillId="86" borderId="95" applyNumberFormat="0" applyAlignment="0" applyProtection="0"/>
    <xf numFmtId="0" fontId="6" fillId="56" borderId="0" applyNumberFormat="0" applyBorder="0" applyAlignment="0" applyProtection="0"/>
    <xf numFmtId="0" fontId="67" fillId="61" borderId="0" applyNumberFormat="0" applyBorder="0" applyAlignment="0" applyProtection="0"/>
    <xf numFmtId="0" fontId="83" fillId="0" borderId="88" applyNumberFormat="0" applyFill="0" applyAlignment="0" applyProtection="0"/>
    <xf numFmtId="0" fontId="29" fillId="0" borderId="90">
      <alignment horizontal="right" vertical="center"/>
    </xf>
    <xf numFmtId="0" fontId="30" fillId="89" borderId="89" applyNumberFormat="0" applyFont="0" applyAlignment="0" applyProtection="0"/>
    <xf numFmtId="0" fontId="79" fillId="86" borderId="87" applyNumberFormat="0" applyAlignment="0" applyProtection="0"/>
    <xf numFmtId="0" fontId="98" fillId="0" borderId="88" applyNumberFormat="0" applyFill="0" applyAlignment="0" applyProtection="0"/>
    <xf numFmtId="0" fontId="6" fillId="48" borderId="0" applyNumberFormat="0" applyBorder="0" applyAlignment="0" applyProtection="0"/>
    <xf numFmtId="0" fontId="73" fillId="89" borderId="89" applyNumberFormat="0" applyFont="0" applyAlignment="0" applyProtection="0"/>
    <xf numFmtId="0" fontId="67" fillId="58" borderId="0" applyNumberFormat="0" applyBorder="0" applyAlignment="0" applyProtection="0"/>
    <xf numFmtId="0" fontId="29" fillId="0" borderId="90" applyNumberFormat="0" applyFill="0" applyAlignment="0" applyProtection="0"/>
    <xf numFmtId="0" fontId="6" fillId="57" borderId="0" applyNumberFormat="0" applyBorder="0" applyAlignment="0" applyProtection="0"/>
    <xf numFmtId="4" fontId="29" fillId="0" borderId="90" applyFill="0" applyBorder="0" applyProtection="0">
      <alignment horizontal="right" vertical="center"/>
    </xf>
    <xf numFmtId="0" fontId="6" fillId="47" borderId="0" applyNumberFormat="0" applyBorder="0" applyAlignment="0" applyProtection="0"/>
    <xf numFmtId="0" fontId="98" fillId="0" borderId="88" applyNumberFormat="0" applyFill="0" applyAlignment="0" applyProtection="0"/>
    <xf numFmtId="0" fontId="69" fillId="9" borderId="98">
      <alignment horizontal="right" vertical="center"/>
    </xf>
    <xf numFmtId="0" fontId="6" fillId="60" borderId="0" applyNumberFormat="0" applyBorder="0" applyAlignment="0" applyProtection="0"/>
    <xf numFmtId="0" fontId="29" fillId="9" borderId="99">
      <alignment horizontal="left" vertical="center"/>
    </xf>
    <xf numFmtId="0" fontId="69" fillId="9" borderId="90">
      <alignment horizontal="right" vertical="center"/>
    </xf>
    <xf numFmtId="0" fontId="82" fillId="73" borderId="87" applyNumberFormat="0" applyAlignment="0" applyProtection="0"/>
    <xf numFmtId="175" fontId="29" fillId="90" borderId="90" applyNumberFormat="0" applyFont="0" applyBorder="0" applyAlignment="0" applyProtection="0">
      <alignment horizontal="right" vertical="center"/>
    </xf>
    <xf numFmtId="0" fontId="82" fillId="73" borderId="87" applyNumberFormat="0" applyAlignment="0" applyProtection="0"/>
    <xf numFmtId="4" fontId="29" fillId="0" borderId="90">
      <alignment horizontal="right" vertical="center"/>
    </xf>
    <xf numFmtId="49" fontId="29" fillId="0" borderId="90" applyNumberFormat="0" applyFont="0" applyFill="0" applyBorder="0" applyProtection="0">
      <alignment horizontal="left" vertical="center" indent="2"/>
    </xf>
    <xf numFmtId="175" fontId="29" fillId="90" borderId="90" applyNumberFormat="0" applyFont="0" applyBorder="0" applyAlignment="0" applyProtection="0">
      <alignment horizontal="right" vertical="center"/>
    </xf>
    <xf numFmtId="0" fontId="91" fillId="73" borderId="87" applyNumberFormat="0" applyAlignment="0" applyProtection="0"/>
    <xf numFmtId="49" fontId="27" fillId="0" borderId="90" applyNumberFormat="0" applyFill="0" applyBorder="0" applyProtection="0">
      <alignment horizontal="left" vertical="center"/>
    </xf>
    <xf numFmtId="4" fontId="25" fillId="14" borderId="90">
      <alignment horizontal="right" vertical="center"/>
    </xf>
    <xf numFmtId="0" fontId="82" fillId="73" borderId="87" applyNumberFormat="0" applyAlignment="0" applyProtection="0"/>
    <xf numFmtId="0" fontId="79" fillId="86" borderId="87" applyNumberFormat="0" applyAlignment="0" applyProtection="0"/>
    <xf numFmtId="4" fontId="29" fillId="0" borderId="90">
      <alignment horizontal="right" vertical="center"/>
    </xf>
    <xf numFmtId="0" fontId="29" fillId="14" borderId="93">
      <alignment horizontal="left" vertical="center" wrapText="1" indent="2"/>
    </xf>
    <xf numFmtId="0" fontId="29" fillId="0" borderId="93">
      <alignment horizontal="left" vertical="center" wrapText="1" indent="2"/>
    </xf>
    <xf numFmtId="0" fontId="95" fillId="86" borderId="94" applyNumberFormat="0" applyAlignment="0" applyProtection="0"/>
    <xf numFmtId="0" fontId="91" fillId="73" borderId="87" applyNumberFormat="0" applyAlignment="0" applyProtection="0"/>
    <xf numFmtId="0" fontId="78" fillId="86" borderId="87" applyNumberFormat="0" applyAlignment="0" applyProtection="0"/>
    <xf numFmtId="0" fontId="76" fillId="86" borderId="94" applyNumberFormat="0" applyAlignment="0" applyProtection="0"/>
    <xf numFmtId="0" fontId="25" fillId="14" borderId="92">
      <alignment horizontal="right" vertical="center"/>
    </xf>
    <xf numFmtId="0" fontId="69" fillId="9" borderId="90">
      <alignment horizontal="right" vertical="center"/>
    </xf>
    <xf numFmtId="4" fontId="25" fillId="9" borderId="90">
      <alignment horizontal="right" vertical="center"/>
    </xf>
    <xf numFmtId="4" fontId="25" fillId="14" borderId="90">
      <alignment horizontal="right" vertical="center"/>
    </xf>
    <xf numFmtId="49" fontId="29" fillId="0" borderId="91" applyNumberFormat="0" applyFont="0" applyFill="0" applyBorder="0" applyProtection="0">
      <alignment horizontal="left" vertical="center" indent="5"/>
    </xf>
    <xf numFmtId="4" fontId="29" fillId="0" borderId="90" applyFill="0" applyBorder="0" applyProtection="0">
      <alignment horizontal="right" vertical="center"/>
    </xf>
    <xf numFmtId="4" fontId="25" fillId="9" borderId="90">
      <alignment horizontal="right" vertical="center"/>
    </xf>
    <xf numFmtId="0" fontId="91" fillId="73" borderId="87" applyNumberFormat="0" applyAlignment="0" applyProtection="0"/>
    <xf numFmtId="0" fontId="82" fillId="73" borderId="87" applyNumberFormat="0" applyAlignment="0" applyProtection="0"/>
    <xf numFmtId="0" fontId="78" fillId="86" borderId="87" applyNumberFormat="0" applyAlignment="0" applyProtection="0"/>
    <xf numFmtId="0" fontId="29" fillId="14" borderId="93">
      <alignment horizontal="left" vertical="center" wrapText="1" indent="2"/>
    </xf>
    <xf numFmtId="0" fontId="29" fillId="0" borderId="93">
      <alignment horizontal="left" vertical="center" wrapText="1" indent="2"/>
    </xf>
    <xf numFmtId="0" fontId="29" fillId="14" borderId="93">
      <alignment horizontal="left" vertical="center" wrapText="1" indent="2"/>
    </xf>
    <xf numFmtId="4" fontId="25" fillId="9" borderId="98">
      <alignment horizontal="right" vertical="center"/>
    </xf>
    <xf numFmtId="0" fontId="67" fillId="49" borderId="0" applyNumberFormat="0" applyBorder="0" applyAlignment="0" applyProtection="0"/>
    <xf numFmtId="0" fontId="67"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4" fontId="25" fillId="14" borderId="98">
      <alignment horizontal="right" vertical="center"/>
    </xf>
    <xf numFmtId="0" fontId="29" fillId="16" borderId="98"/>
    <xf numFmtId="0" fontId="78" fillId="86" borderId="95" applyNumberFormat="0" applyAlignment="0" applyProtection="0"/>
    <xf numFmtId="0" fontId="25" fillId="9" borderId="98">
      <alignment horizontal="right" vertical="center"/>
    </xf>
    <xf numFmtId="0" fontId="29" fillId="0" borderId="98">
      <alignment horizontal="right" vertical="center"/>
    </xf>
    <xf numFmtId="0" fontId="98" fillId="0" borderId="96" applyNumberFormat="0" applyFill="0" applyAlignment="0" applyProtection="0"/>
    <xf numFmtId="0" fontId="29" fillId="9" borderId="99">
      <alignment horizontal="left" vertical="center"/>
    </xf>
    <xf numFmtId="0" fontId="91" fillId="73" borderId="95" applyNumberFormat="0" applyAlignment="0" applyProtection="0"/>
    <xf numFmtId="175" fontId="29" fillId="90" borderId="98" applyNumberFormat="0" applyFont="0" applyBorder="0" applyAlignment="0" applyProtection="0">
      <alignment horizontal="right" vertical="center"/>
    </xf>
    <xf numFmtId="0" fontId="73" fillId="89" borderId="97" applyNumberFormat="0" applyFont="0" applyAlignment="0" applyProtection="0"/>
    <xf numFmtId="0" fontId="29" fillId="0" borderId="101">
      <alignment horizontal="left" vertical="center" wrapText="1" indent="2"/>
    </xf>
    <xf numFmtId="4" fontId="29" fillId="16" borderId="98"/>
    <xf numFmtId="49" fontId="27" fillId="0" borderId="98" applyNumberFormat="0" applyFill="0" applyBorder="0" applyProtection="0">
      <alignment horizontal="left" vertical="center"/>
    </xf>
    <xf numFmtId="0" fontId="29" fillId="0" borderId="98">
      <alignment horizontal="right" vertical="center"/>
    </xf>
    <xf numFmtId="4" fontId="25" fillId="14" borderId="100">
      <alignment horizontal="right" vertical="center"/>
    </xf>
    <xf numFmtId="4" fontId="25" fillId="14" borderId="98">
      <alignment horizontal="right" vertical="center"/>
    </xf>
    <xf numFmtId="4" fontId="25" fillId="14" borderId="98">
      <alignment horizontal="right" vertical="center"/>
    </xf>
    <xf numFmtId="0" fontId="69" fillId="9" borderId="98">
      <alignment horizontal="right" vertical="center"/>
    </xf>
    <xf numFmtId="0" fontId="25" fillId="9" borderId="98">
      <alignment horizontal="right" vertical="center"/>
    </xf>
    <xf numFmtId="49" fontId="29" fillId="0" borderId="98" applyNumberFormat="0" applyFont="0" applyFill="0" applyBorder="0" applyProtection="0">
      <alignment horizontal="left" vertical="center" indent="2"/>
    </xf>
    <xf numFmtId="0" fontId="91" fillId="73" borderId="95" applyNumberFormat="0" applyAlignment="0" applyProtection="0"/>
    <xf numFmtId="0" fontId="76" fillId="86" borderId="102" applyNumberFormat="0" applyAlignment="0" applyProtection="0"/>
    <xf numFmtId="49" fontId="29" fillId="0" borderId="98" applyNumberFormat="0" applyFont="0" applyFill="0" applyBorder="0" applyProtection="0">
      <alignment horizontal="left" vertical="center" indent="2"/>
    </xf>
    <xf numFmtId="0" fontId="82" fillId="73" borderId="95" applyNumberFormat="0" applyAlignment="0" applyProtection="0"/>
    <xf numFmtId="4" fontId="29" fillId="0" borderId="98" applyFill="0" applyBorder="0" applyProtection="0">
      <alignment horizontal="right" vertical="center"/>
    </xf>
    <xf numFmtId="0" fontId="79" fillId="86" borderId="95" applyNumberFormat="0" applyAlignment="0" applyProtection="0"/>
    <xf numFmtId="0" fontId="98" fillId="0" borderId="96" applyNumberFormat="0" applyFill="0" applyAlignment="0" applyProtection="0"/>
    <xf numFmtId="0" fontId="95" fillId="86" borderId="102" applyNumberFormat="0" applyAlignment="0" applyProtection="0"/>
    <xf numFmtId="0" fontId="29" fillId="0" borderId="98" applyNumberFormat="0" applyFill="0" applyAlignment="0" applyProtection="0"/>
    <xf numFmtId="4" fontId="29" fillId="0" borderId="98">
      <alignment horizontal="right" vertical="center"/>
    </xf>
    <xf numFmtId="0" fontId="29" fillId="0" borderId="98">
      <alignment horizontal="right" vertical="center"/>
    </xf>
    <xf numFmtId="0" fontId="91" fillId="73" borderId="95" applyNumberFormat="0" applyAlignment="0" applyProtection="0"/>
    <xf numFmtId="0" fontId="76" fillId="86" borderId="102" applyNumberFormat="0" applyAlignment="0" applyProtection="0"/>
    <xf numFmtId="0" fontId="78" fillId="86" borderId="95" applyNumberFormat="0" applyAlignment="0" applyProtection="0"/>
    <xf numFmtId="0" fontId="29" fillId="14" borderId="101">
      <alignment horizontal="left" vertical="center" wrapText="1" indent="2"/>
    </xf>
    <xf numFmtId="0" fontId="79" fillId="86" borderId="95" applyNumberFormat="0" applyAlignment="0" applyProtection="0"/>
    <xf numFmtId="0" fontId="79" fillId="86" borderId="95" applyNumberFormat="0" applyAlignment="0" applyProtection="0"/>
    <xf numFmtId="4" fontId="25" fillId="14" borderId="99">
      <alignment horizontal="right" vertical="center"/>
    </xf>
    <xf numFmtId="0" fontId="25" fillId="14" borderId="99">
      <alignment horizontal="right" vertical="center"/>
    </xf>
    <xf numFmtId="0" fontId="25" fillId="14" borderId="98">
      <alignment horizontal="right" vertical="center"/>
    </xf>
    <xf numFmtId="4" fontId="69" fillId="9" borderId="98">
      <alignment horizontal="right" vertical="center"/>
    </xf>
    <xf numFmtId="0" fontId="82" fillId="73" borderId="95" applyNumberFormat="0" applyAlignment="0" applyProtection="0"/>
    <xf numFmtId="0" fontId="83" fillId="0" borderId="96" applyNumberFormat="0" applyFill="0" applyAlignment="0" applyProtection="0"/>
    <xf numFmtId="0" fontId="98" fillId="0" borderId="96" applyNumberFormat="0" applyFill="0" applyAlignment="0" applyProtection="0"/>
    <xf numFmtId="0" fontId="73" fillId="89" borderId="97" applyNumberFormat="0" applyFont="0" applyAlignment="0" applyProtection="0"/>
    <xf numFmtId="0" fontId="91" fillId="73" borderId="95" applyNumberFormat="0" applyAlignment="0" applyProtection="0"/>
    <xf numFmtId="49" fontId="27" fillId="0" borderId="98" applyNumberFormat="0" applyFill="0" applyBorder="0" applyProtection="0">
      <alignment horizontal="left" vertical="center"/>
    </xf>
    <xf numFmtId="0" fontId="29" fillId="14" borderId="101">
      <alignment horizontal="left" vertical="center" wrapText="1" indent="2"/>
    </xf>
    <xf numFmtId="0" fontId="79" fillId="86" borderId="95" applyNumberFormat="0" applyAlignment="0" applyProtection="0"/>
    <xf numFmtId="0" fontId="29" fillId="0" borderId="101">
      <alignment horizontal="left" vertical="center" wrapText="1" indent="2"/>
    </xf>
    <xf numFmtId="0" fontId="73" fillId="89" borderId="97" applyNumberFormat="0" applyFont="0" applyAlignment="0" applyProtection="0"/>
    <xf numFmtId="0" fontId="30"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4" fontId="29" fillId="16" borderId="98"/>
    <xf numFmtId="0" fontId="25" fillId="14" borderId="98">
      <alignment horizontal="right" vertical="center"/>
    </xf>
    <xf numFmtId="0" fontId="98" fillId="0" borderId="96" applyNumberFormat="0" applyFill="0" applyAlignment="0" applyProtection="0"/>
    <xf numFmtId="4" fontId="25" fillId="14" borderId="100">
      <alignment horizontal="right" vertical="center"/>
    </xf>
    <xf numFmtId="0" fontId="78" fillId="86" borderId="95" applyNumberFormat="0" applyAlignment="0" applyProtection="0"/>
    <xf numFmtId="0" fontId="25" fillId="14" borderId="99">
      <alignment horizontal="right" vertical="center"/>
    </xf>
    <xf numFmtId="0" fontId="79" fillId="86" borderId="95" applyNumberFormat="0" applyAlignment="0" applyProtection="0"/>
    <xf numFmtId="0" fontId="83" fillId="0" borderId="96" applyNumberFormat="0" applyFill="0" applyAlignment="0" applyProtection="0"/>
    <xf numFmtId="0" fontId="73" fillId="89" borderId="97" applyNumberFormat="0" applyFont="0" applyAlignment="0" applyProtection="0"/>
    <xf numFmtId="4" fontId="25" fillId="14" borderId="99">
      <alignment horizontal="right" vertical="center"/>
    </xf>
    <xf numFmtId="0" fontId="29" fillId="14" borderId="101">
      <alignment horizontal="left" vertical="center" wrapText="1" indent="2"/>
    </xf>
    <xf numFmtId="0" fontId="29" fillId="16" borderId="98"/>
    <xf numFmtId="175" fontId="29" fillId="90" borderId="98" applyNumberFormat="0" applyFont="0" applyBorder="0" applyAlignment="0" applyProtection="0">
      <alignment horizontal="right" vertical="center"/>
    </xf>
    <xf numFmtId="0" fontId="29" fillId="0" borderId="98" applyNumberFormat="0" applyFill="0" applyAlignment="0" applyProtection="0"/>
    <xf numFmtId="4" fontId="29" fillId="0" borderId="98" applyFill="0" applyBorder="0" applyProtection="0">
      <alignment horizontal="right" vertical="center"/>
    </xf>
    <xf numFmtId="4" fontId="25" fillId="9" borderId="98">
      <alignment horizontal="right" vertical="center"/>
    </xf>
    <xf numFmtId="0" fontId="83" fillId="0" borderId="96" applyNumberFormat="0" applyFill="0" applyAlignment="0" applyProtection="0"/>
    <xf numFmtId="49" fontId="27" fillId="0" borderId="98" applyNumberFormat="0" applyFill="0" applyBorder="0" applyProtection="0">
      <alignment horizontal="left" vertical="center"/>
    </xf>
    <xf numFmtId="49" fontId="29" fillId="0" borderId="99" applyNumberFormat="0" applyFont="0" applyFill="0" applyBorder="0" applyProtection="0">
      <alignment horizontal="left" vertical="center" indent="5"/>
    </xf>
    <xf numFmtId="0" fontId="29" fillId="9" borderId="99">
      <alignment horizontal="left" vertical="center"/>
    </xf>
    <xf numFmtId="0" fontId="79" fillId="86" borderId="95" applyNumberFormat="0" applyAlignment="0" applyProtection="0"/>
    <xf numFmtId="4" fontId="25" fillId="14" borderId="100">
      <alignment horizontal="right" vertical="center"/>
    </xf>
    <xf numFmtId="0" fontId="91" fillId="73" borderId="95" applyNumberFormat="0" applyAlignment="0" applyProtection="0"/>
    <xf numFmtId="0" fontId="91" fillId="73" borderId="95" applyNumberFormat="0" applyAlignment="0" applyProtection="0"/>
    <xf numFmtId="0" fontId="73"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25" fillId="14" borderId="98">
      <alignment horizontal="right" vertical="center"/>
    </xf>
    <xf numFmtId="0" fontId="30" fillId="89" borderId="97" applyNumberFormat="0" applyFont="0" applyAlignment="0" applyProtection="0"/>
    <xf numFmtId="4" fontId="29" fillId="0" borderId="98">
      <alignment horizontal="right" vertical="center"/>
    </xf>
    <xf numFmtId="0" fontId="98" fillId="0" borderId="96" applyNumberFormat="0" applyFill="0" applyAlignment="0" applyProtection="0"/>
    <xf numFmtId="0" fontId="25" fillId="14" borderId="98">
      <alignment horizontal="right" vertical="center"/>
    </xf>
    <xf numFmtId="0" fontId="25" fillId="14" borderId="98">
      <alignment horizontal="right" vertical="center"/>
    </xf>
    <xf numFmtId="4" fontId="69" fillId="9" borderId="98">
      <alignment horizontal="right" vertical="center"/>
    </xf>
    <xf numFmtId="0" fontId="25" fillId="9" borderId="98">
      <alignment horizontal="right" vertical="center"/>
    </xf>
    <xf numFmtId="4" fontId="25" fillId="9" borderId="98">
      <alignment horizontal="right" vertical="center"/>
    </xf>
    <xf numFmtId="0" fontId="69" fillId="9" borderId="98">
      <alignment horizontal="right" vertical="center"/>
    </xf>
    <xf numFmtId="4" fontId="69" fillId="9" borderId="98">
      <alignment horizontal="right" vertical="center"/>
    </xf>
    <xf numFmtId="0" fontId="25" fillId="14" borderId="98">
      <alignment horizontal="right" vertical="center"/>
    </xf>
    <xf numFmtId="4" fontId="25" fillId="14" borderId="98">
      <alignment horizontal="right" vertical="center"/>
    </xf>
    <xf numFmtId="0" fontId="25" fillId="14" borderId="98">
      <alignment horizontal="right" vertical="center"/>
    </xf>
    <xf numFmtId="4" fontId="25" fillId="14" borderId="98">
      <alignment horizontal="right" vertical="center"/>
    </xf>
    <xf numFmtId="0" fontId="25" fillId="14" borderId="99">
      <alignment horizontal="right" vertical="center"/>
    </xf>
    <xf numFmtId="4" fontId="25" fillId="14" borderId="99">
      <alignment horizontal="right" vertical="center"/>
    </xf>
    <xf numFmtId="0" fontId="25" fillId="14" borderId="100">
      <alignment horizontal="right" vertical="center"/>
    </xf>
    <xf numFmtId="4" fontId="25" fillId="14" borderId="100">
      <alignment horizontal="right" vertical="center"/>
    </xf>
    <xf numFmtId="0" fontId="79"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9" borderId="99">
      <alignment horizontal="left" vertical="center"/>
    </xf>
    <xf numFmtId="0" fontId="91" fillId="73" borderId="95" applyNumberFormat="0" applyAlignment="0" applyProtection="0"/>
    <xf numFmtId="0" fontId="29" fillId="0" borderId="98">
      <alignment horizontal="right" vertical="center"/>
    </xf>
    <xf numFmtId="4" fontId="29" fillId="0" borderId="98">
      <alignment horizontal="right" vertical="center"/>
    </xf>
    <xf numFmtId="0" fontId="29" fillId="0" borderId="98" applyNumberFormat="0" applyFill="0" applyAlignment="0" applyProtection="0"/>
    <xf numFmtId="0" fontId="95" fillId="86" borderId="102" applyNumberFormat="0" applyAlignment="0" applyProtection="0"/>
    <xf numFmtId="175" fontId="29" fillId="90" borderId="98" applyNumberFormat="0" applyFont="0" applyBorder="0" applyAlignment="0" applyProtection="0">
      <alignment horizontal="right" vertical="center"/>
    </xf>
    <xf numFmtId="0" fontId="29" fillId="16" borderId="98"/>
    <xf numFmtId="4" fontId="29" fillId="16" borderId="98"/>
    <xf numFmtId="0" fontId="98" fillId="0" borderId="96" applyNumberFormat="0" applyFill="0" applyAlignment="0" applyProtection="0"/>
    <xf numFmtId="0" fontId="30" fillId="89" borderId="97" applyNumberFormat="0" applyFont="0" applyAlignment="0" applyProtection="0"/>
    <xf numFmtId="0" fontId="73" fillId="89" borderId="97" applyNumberFormat="0" applyFont="0" applyAlignment="0" applyProtection="0"/>
    <xf numFmtId="0" fontId="29" fillId="0" borderId="98" applyNumberFormat="0" applyFill="0" applyAlignment="0" applyProtection="0"/>
    <xf numFmtId="0" fontId="83" fillId="0" borderId="96" applyNumberFormat="0" applyFill="0" applyAlignment="0" applyProtection="0"/>
    <xf numFmtId="0" fontId="98" fillId="0" borderId="96" applyNumberFormat="0" applyFill="0" applyAlignment="0" applyProtection="0"/>
    <xf numFmtId="0" fontId="82" fillId="73" borderId="95" applyNumberFormat="0" applyAlignment="0" applyProtection="0"/>
    <xf numFmtId="0" fontId="79" fillId="86" borderId="95" applyNumberFormat="0" applyAlignment="0" applyProtection="0"/>
    <xf numFmtId="4" fontId="69" fillId="9" borderId="98">
      <alignment horizontal="right" vertical="center"/>
    </xf>
    <xf numFmtId="0" fontId="25" fillId="9" borderId="98">
      <alignment horizontal="right" vertical="center"/>
    </xf>
    <xf numFmtId="175" fontId="29" fillId="90" borderId="98" applyNumberFormat="0" applyFont="0" applyBorder="0" applyAlignment="0" applyProtection="0">
      <alignment horizontal="right" vertical="center"/>
    </xf>
    <xf numFmtId="0" fontId="83" fillId="0" borderId="96" applyNumberFormat="0" applyFill="0" applyAlignment="0" applyProtection="0"/>
    <xf numFmtId="49" fontId="29" fillId="0" borderId="98" applyNumberFormat="0" applyFont="0" applyFill="0" applyBorder="0" applyProtection="0">
      <alignment horizontal="left" vertical="center" indent="2"/>
    </xf>
    <xf numFmtId="49" fontId="29" fillId="0" borderId="99" applyNumberFormat="0" applyFont="0" applyFill="0" applyBorder="0" applyProtection="0">
      <alignment horizontal="left" vertical="center" indent="5"/>
    </xf>
    <xf numFmtId="49" fontId="29" fillId="0" borderId="98" applyNumberFormat="0" applyFont="0" applyFill="0" applyBorder="0" applyProtection="0">
      <alignment horizontal="left" vertical="center" indent="2"/>
    </xf>
    <xf numFmtId="4" fontId="29" fillId="0" borderId="98" applyFill="0" applyBorder="0" applyProtection="0">
      <alignment horizontal="right" vertical="center"/>
    </xf>
    <xf numFmtId="49" fontId="27" fillId="0" borderId="98" applyNumberFormat="0" applyFill="0" applyBorder="0" applyProtection="0">
      <alignment horizontal="left" vertical="center"/>
    </xf>
    <xf numFmtId="0" fontId="29" fillId="0" borderId="101">
      <alignment horizontal="left" vertical="center" wrapText="1" indent="2"/>
    </xf>
    <xf numFmtId="0" fontId="95" fillId="86" borderId="102" applyNumberFormat="0" applyAlignment="0" applyProtection="0"/>
    <xf numFmtId="0" fontId="25" fillId="14" borderId="100">
      <alignment horizontal="right" vertical="center"/>
    </xf>
    <xf numFmtId="0" fontId="82" fillId="73" borderId="95" applyNumberFormat="0" applyAlignment="0" applyProtection="0"/>
    <xf numFmtId="0" fontId="25" fillId="14" borderId="100">
      <alignment horizontal="right" vertical="center"/>
    </xf>
    <xf numFmtId="4" fontId="25" fillId="14" borderId="98">
      <alignment horizontal="right" vertical="center"/>
    </xf>
    <xf numFmtId="0" fontId="25" fillId="14" borderId="98">
      <alignment horizontal="right" vertical="center"/>
    </xf>
    <xf numFmtId="0" fontId="76" fillId="86" borderId="102" applyNumberFormat="0" applyAlignment="0" applyProtection="0"/>
    <xf numFmtId="0" fontId="78" fillId="86" borderId="95" applyNumberFormat="0" applyAlignment="0" applyProtection="0"/>
    <xf numFmtId="0" fontId="83" fillId="0" borderId="96" applyNumberFormat="0" applyFill="0" applyAlignment="0" applyProtection="0"/>
    <xf numFmtId="0" fontId="29" fillId="16" borderId="98"/>
    <xf numFmtId="4" fontId="29" fillId="16" borderId="98"/>
    <xf numFmtId="4" fontId="25" fillId="14" borderId="98">
      <alignment horizontal="right" vertical="center"/>
    </xf>
    <xf numFmtId="0" fontId="69" fillId="9" borderId="98">
      <alignment horizontal="right" vertical="center"/>
    </xf>
    <xf numFmtId="0" fontId="82" fillId="73" borderId="95" applyNumberFormat="0" applyAlignment="0" applyProtection="0"/>
    <xf numFmtId="0" fontId="79" fillId="86" borderId="95" applyNumberFormat="0" applyAlignment="0" applyProtection="0"/>
    <xf numFmtId="4" fontId="29" fillId="0" borderId="98">
      <alignment horizontal="right" vertical="center"/>
    </xf>
    <xf numFmtId="0" fontId="29" fillId="14" borderId="101">
      <alignment horizontal="left" vertical="center" wrapText="1" indent="2"/>
    </xf>
    <xf numFmtId="0" fontId="29" fillId="0" borderId="101">
      <alignment horizontal="left" vertical="center" wrapText="1" indent="2"/>
    </xf>
    <xf numFmtId="0" fontId="95" fillId="86" borderId="102" applyNumberFormat="0" applyAlignment="0" applyProtection="0"/>
    <xf numFmtId="0" fontId="91" fillId="73" borderId="95" applyNumberFormat="0" applyAlignment="0" applyProtection="0"/>
    <xf numFmtId="0" fontId="78" fillId="86" borderId="95" applyNumberFormat="0" applyAlignment="0" applyProtection="0"/>
    <xf numFmtId="0" fontId="76" fillId="86" borderId="102" applyNumberFormat="0" applyAlignment="0" applyProtection="0"/>
    <xf numFmtId="0" fontId="25" fillId="14" borderId="100">
      <alignment horizontal="right" vertical="center"/>
    </xf>
    <xf numFmtId="0" fontId="69" fillId="9" borderId="98">
      <alignment horizontal="right" vertical="center"/>
    </xf>
    <xf numFmtId="4" fontId="25" fillId="9" borderId="98">
      <alignment horizontal="right" vertical="center"/>
    </xf>
    <xf numFmtId="4" fontId="25" fillId="14" borderId="98">
      <alignment horizontal="right" vertical="center"/>
    </xf>
    <xf numFmtId="49" fontId="29" fillId="0" borderId="99" applyNumberFormat="0" applyFont="0" applyFill="0" applyBorder="0" applyProtection="0">
      <alignment horizontal="left" vertical="center" indent="5"/>
    </xf>
    <xf numFmtId="4" fontId="29" fillId="0" borderId="98" applyFill="0" applyBorder="0" applyProtection="0">
      <alignment horizontal="right" vertical="center"/>
    </xf>
    <xf numFmtId="4" fontId="25" fillId="9" borderId="98">
      <alignment horizontal="right" vertical="center"/>
    </xf>
    <xf numFmtId="0" fontId="91" fillId="73" borderId="95" applyNumberFormat="0" applyAlignment="0" applyProtection="0"/>
    <xf numFmtId="0" fontId="82" fillId="73" borderId="95" applyNumberFormat="0" applyAlignment="0" applyProtection="0"/>
    <xf numFmtId="0" fontId="78"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14" borderId="101">
      <alignment horizontal="left" vertical="center" wrapText="1" indent="2"/>
    </xf>
    <xf numFmtId="0" fontId="29" fillId="0" borderId="101">
      <alignment horizontal="left" vertical="center" wrapText="1" indent="2"/>
    </xf>
    <xf numFmtId="0" fontId="76" fillId="86" borderId="102" applyNumberFormat="0" applyAlignment="0" applyProtection="0"/>
    <xf numFmtId="0" fontId="78" fillId="86" borderId="95" applyNumberFormat="0" applyAlignment="0" applyProtection="0"/>
    <xf numFmtId="0" fontId="79" fillId="86" borderId="95" applyNumberFormat="0" applyAlignment="0" applyProtection="0"/>
    <xf numFmtId="0" fontId="82" fillId="73" borderId="95" applyNumberFormat="0" applyAlignment="0" applyProtection="0"/>
    <xf numFmtId="0" fontId="83" fillId="0" borderId="96" applyNumberFormat="0" applyFill="0" applyAlignment="0" applyProtection="0"/>
    <xf numFmtId="0" fontId="91" fillId="73" borderId="95" applyNumberFormat="0" applyAlignment="0" applyProtection="0"/>
    <xf numFmtId="0" fontId="73" fillId="89" borderId="97" applyNumberFormat="0" applyFont="0" applyAlignment="0" applyProtection="0"/>
    <xf numFmtId="0" fontId="30"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79" fillId="86" borderId="95" applyNumberFormat="0" applyAlignment="0" applyProtection="0"/>
    <xf numFmtId="0" fontId="91" fillId="73" borderId="95" applyNumberFormat="0" applyAlignment="0" applyProtection="0"/>
    <xf numFmtId="0" fontId="73"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79" fillId="86" borderId="95" applyNumberFormat="0" applyAlignment="0" applyProtection="0"/>
    <xf numFmtId="0" fontId="91" fillId="73" borderId="95" applyNumberFormat="0" applyAlignment="0" applyProtection="0"/>
    <xf numFmtId="0" fontId="95" fillId="86" borderId="102" applyNumberFormat="0" applyAlignment="0" applyProtection="0"/>
    <xf numFmtId="0" fontId="98" fillId="0" borderId="96" applyNumberFormat="0" applyFill="0" applyAlignment="0" applyProtection="0"/>
    <xf numFmtId="0" fontId="76" fillId="86" borderId="102" applyNumberFormat="0" applyAlignment="0" applyProtection="0"/>
    <xf numFmtId="0" fontId="78" fillId="86" borderId="95" applyNumberFormat="0" applyAlignment="0" applyProtection="0"/>
    <xf numFmtId="0" fontId="83" fillId="0" borderId="96" applyNumberFormat="0" applyFill="0" applyAlignment="0" applyProtection="0"/>
    <xf numFmtId="49" fontId="29" fillId="0" borderId="98" applyNumberFormat="0" applyFont="0" applyFill="0" applyBorder="0" applyProtection="0">
      <alignment horizontal="left" vertical="center" indent="2"/>
    </xf>
    <xf numFmtId="0" fontId="25" fillId="9" borderId="98">
      <alignment horizontal="right" vertical="center"/>
    </xf>
    <xf numFmtId="4" fontId="25" fillId="9" borderId="98">
      <alignment horizontal="right" vertical="center"/>
    </xf>
    <xf numFmtId="0" fontId="69" fillId="9" borderId="98">
      <alignment horizontal="right" vertical="center"/>
    </xf>
    <xf numFmtId="4" fontId="69" fillId="9" borderId="98">
      <alignment horizontal="right" vertical="center"/>
    </xf>
    <xf numFmtId="0" fontId="25" fillId="14" borderId="98">
      <alignment horizontal="right" vertical="center"/>
    </xf>
    <xf numFmtId="4" fontId="25" fillId="14" borderId="98">
      <alignment horizontal="right" vertical="center"/>
    </xf>
    <xf numFmtId="0" fontId="25" fillId="14" borderId="98">
      <alignment horizontal="right" vertical="center"/>
    </xf>
    <xf numFmtId="4" fontId="25" fillId="14" borderId="98">
      <alignment horizontal="right" vertical="center"/>
    </xf>
    <xf numFmtId="0" fontId="82" fillId="73" borderId="95" applyNumberFormat="0" applyAlignment="0" applyProtection="0"/>
    <xf numFmtId="0" fontId="29" fillId="0" borderId="98">
      <alignment horizontal="right" vertical="center"/>
    </xf>
    <xf numFmtId="4" fontId="29" fillId="0" borderId="98">
      <alignment horizontal="right" vertical="center"/>
    </xf>
    <xf numFmtId="4" fontId="29" fillId="0" borderId="98" applyFill="0" applyBorder="0" applyProtection="0">
      <alignment horizontal="right" vertical="center"/>
    </xf>
    <xf numFmtId="49" fontId="27" fillId="0" borderId="98" applyNumberFormat="0" applyFill="0" applyBorder="0" applyProtection="0">
      <alignment horizontal="left" vertical="center"/>
    </xf>
    <xf numFmtId="0" fontId="29" fillId="0" borderId="98" applyNumberFormat="0" applyFill="0" applyAlignment="0" applyProtection="0"/>
    <xf numFmtId="175" fontId="29" fillId="90" borderId="98" applyNumberFormat="0" applyFont="0" applyBorder="0" applyAlignment="0" applyProtection="0">
      <alignment horizontal="right" vertical="center"/>
    </xf>
    <xf numFmtId="0" fontId="29" fillId="16" borderId="98"/>
    <xf numFmtId="4" fontId="29" fillId="16" borderId="98"/>
    <xf numFmtId="4" fontId="25" fillId="14" borderId="98">
      <alignment horizontal="right" vertical="center"/>
    </xf>
    <xf numFmtId="0" fontId="29" fillId="16" borderId="98"/>
    <xf numFmtId="0" fontId="78" fillId="86" borderId="95" applyNumberFormat="0" applyAlignment="0" applyProtection="0"/>
    <xf numFmtId="0" fontId="25" fillId="9" borderId="98">
      <alignment horizontal="right" vertical="center"/>
    </xf>
    <xf numFmtId="0" fontId="29" fillId="0" borderId="98">
      <alignment horizontal="right" vertical="center"/>
    </xf>
    <xf numFmtId="0" fontId="98" fillId="0" borderId="96" applyNumberFormat="0" applyFill="0" applyAlignment="0" applyProtection="0"/>
    <xf numFmtId="0" fontId="29" fillId="9" borderId="99">
      <alignment horizontal="left" vertical="center"/>
    </xf>
    <xf numFmtId="0" fontId="91" fillId="73" borderId="95" applyNumberFormat="0" applyAlignment="0" applyProtection="0"/>
    <xf numFmtId="175" fontId="29" fillId="90" borderId="98" applyNumberFormat="0" applyFont="0" applyBorder="0" applyAlignment="0" applyProtection="0">
      <alignment horizontal="right" vertical="center"/>
    </xf>
    <xf numFmtId="0" fontId="73" fillId="89" borderId="97" applyNumberFormat="0" applyFont="0" applyAlignment="0" applyProtection="0"/>
    <xf numFmtId="0" fontId="29" fillId="0" borderId="101">
      <alignment horizontal="left" vertical="center" wrapText="1" indent="2"/>
    </xf>
    <xf numFmtId="4" fontId="29" fillId="16" borderId="98"/>
    <xf numFmtId="49" fontId="27" fillId="0" borderId="98" applyNumberFormat="0" applyFill="0" applyBorder="0" applyProtection="0">
      <alignment horizontal="left" vertical="center"/>
    </xf>
    <xf numFmtId="0" fontId="29" fillId="0" borderId="98">
      <alignment horizontal="right" vertical="center"/>
    </xf>
    <xf numFmtId="4" fontId="25" fillId="14" borderId="100">
      <alignment horizontal="right" vertical="center"/>
    </xf>
    <xf numFmtId="4" fontId="25" fillId="14" borderId="98">
      <alignment horizontal="right" vertical="center"/>
    </xf>
    <xf numFmtId="4" fontId="25" fillId="14" borderId="98">
      <alignment horizontal="right" vertical="center"/>
    </xf>
    <xf numFmtId="0" fontId="69" fillId="9" borderId="98">
      <alignment horizontal="right" vertical="center"/>
    </xf>
    <xf numFmtId="0" fontId="25" fillId="9" borderId="98">
      <alignment horizontal="right" vertical="center"/>
    </xf>
    <xf numFmtId="49" fontId="29" fillId="0" borderId="98" applyNumberFormat="0" applyFont="0" applyFill="0" applyBorder="0" applyProtection="0">
      <alignment horizontal="left" vertical="center" indent="2"/>
    </xf>
    <xf numFmtId="0" fontId="91" fillId="73" borderId="95" applyNumberFormat="0" applyAlignment="0" applyProtection="0"/>
    <xf numFmtId="0" fontId="76" fillId="86" borderId="102" applyNumberFormat="0" applyAlignment="0" applyProtection="0"/>
    <xf numFmtId="49" fontId="29" fillId="0" borderId="98" applyNumberFormat="0" applyFont="0" applyFill="0" applyBorder="0" applyProtection="0">
      <alignment horizontal="left" vertical="center" indent="2"/>
    </xf>
    <xf numFmtId="0" fontId="82" fillId="73" borderId="95" applyNumberFormat="0" applyAlignment="0" applyProtection="0"/>
    <xf numFmtId="4" fontId="29" fillId="0" borderId="98" applyFill="0" applyBorder="0" applyProtection="0">
      <alignment horizontal="right" vertical="center"/>
    </xf>
    <xf numFmtId="0" fontId="79" fillId="86" borderId="95" applyNumberFormat="0" applyAlignment="0" applyProtection="0"/>
    <xf numFmtId="0" fontId="98" fillId="0" borderId="96" applyNumberFormat="0" applyFill="0" applyAlignment="0" applyProtection="0"/>
    <xf numFmtId="0" fontId="95" fillId="86" borderId="102" applyNumberFormat="0" applyAlignment="0" applyProtection="0"/>
    <xf numFmtId="0" fontId="29" fillId="0" borderId="98" applyNumberFormat="0" applyFill="0" applyAlignment="0" applyProtection="0"/>
    <xf numFmtId="4" fontId="29" fillId="0" borderId="98">
      <alignment horizontal="right" vertical="center"/>
    </xf>
    <xf numFmtId="0" fontId="29" fillId="0" borderId="98">
      <alignment horizontal="right" vertical="center"/>
    </xf>
    <xf numFmtId="0" fontId="91" fillId="73" borderId="95" applyNumberFormat="0" applyAlignment="0" applyProtection="0"/>
    <xf numFmtId="0" fontId="76" fillId="86" borderId="102" applyNumberFormat="0" applyAlignment="0" applyProtection="0"/>
    <xf numFmtId="0" fontId="78" fillId="86" borderId="95" applyNumberFormat="0" applyAlignment="0" applyProtection="0"/>
    <xf numFmtId="0" fontId="29" fillId="14" borderId="101">
      <alignment horizontal="left" vertical="center" wrapText="1" indent="2"/>
    </xf>
    <xf numFmtId="0" fontId="79" fillId="86" borderId="95" applyNumberFormat="0" applyAlignment="0" applyProtection="0"/>
    <xf numFmtId="0" fontId="79" fillId="86" borderId="95" applyNumberFormat="0" applyAlignment="0" applyProtection="0"/>
    <xf numFmtId="4" fontId="25" fillId="14" borderId="99">
      <alignment horizontal="right" vertical="center"/>
    </xf>
    <xf numFmtId="0" fontId="25" fillId="14" borderId="99">
      <alignment horizontal="right" vertical="center"/>
    </xf>
    <xf numFmtId="0" fontId="25" fillId="14" borderId="98">
      <alignment horizontal="right" vertical="center"/>
    </xf>
    <xf numFmtId="4" fontId="69" fillId="9" borderId="98">
      <alignment horizontal="right" vertical="center"/>
    </xf>
    <xf numFmtId="0" fontId="82" fillId="73" borderId="95" applyNumberFormat="0" applyAlignment="0" applyProtection="0"/>
    <xf numFmtId="0" fontId="83" fillId="0" borderId="96" applyNumberFormat="0" applyFill="0" applyAlignment="0" applyProtection="0"/>
    <xf numFmtId="0" fontId="98" fillId="0" borderId="96" applyNumberFormat="0" applyFill="0" applyAlignment="0" applyProtection="0"/>
    <xf numFmtId="0" fontId="73" fillId="89" borderId="97" applyNumberFormat="0" applyFont="0" applyAlignment="0" applyProtection="0"/>
    <xf numFmtId="0" fontId="91" fillId="73" borderId="95" applyNumberFormat="0" applyAlignment="0" applyProtection="0"/>
    <xf numFmtId="49" fontId="27" fillId="0" borderId="98" applyNumberFormat="0" applyFill="0" applyBorder="0" applyProtection="0">
      <alignment horizontal="left" vertical="center"/>
    </xf>
    <xf numFmtId="0" fontId="29" fillId="14" borderId="101">
      <alignment horizontal="left" vertical="center" wrapText="1" indent="2"/>
    </xf>
    <xf numFmtId="0" fontId="79" fillId="86" borderId="95" applyNumberFormat="0" applyAlignment="0" applyProtection="0"/>
    <xf numFmtId="0" fontId="29" fillId="0" borderId="101">
      <alignment horizontal="left" vertical="center" wrapText="1" indent="2"/>
    </xf>
    <xf numFmtId="0" fontId="73" fillId="89" borderId="97" applyNumberFormat="0" applyFont="0" applyAlignment="0" applyProtection="0"/>
    <xf numFmtId="0" fontId="30"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4" fontId="29" fillId="16" borderId="98"/>
    <xf numFmtId="0" fontId="25" fillId="14" borderId="98">
      <alignment horizontal="right" vertical="center"/>
    </xf>
    <xf numFmtId="0" fontId="98" fillId="0" borderId="96" applyNumberFormat="0" applyFill="0" applyAlignment="0" applyProtection="0"/>
    <xf numFmtId="4" fontId="25" fillId="14" borderId="100">
      <alignment horizontal="right" vertical="center"/>
    </xf>
    <xf numFmtId="0" fontId="78" fillId="86" borderId="95" applyNumberFormat="0" applyAlignment="0" applyProtection="0"/>
    <xf numFmtId="0" fontId="25" fillId="14" borderId="99">
      <alignment horizontal="right" vertical="center"/>
    </xf>
    <xf numFmtId="0" fontId="79" fillId="86" borderId="95" applyNumberFormat="0" applyAlignment="0" applyProtection="0"/>
    <xf numFmtId="0" fontId="83" fillId="0" borderId="96" applyNumberFormat="0" applyFill="0" applyAlignment="0" applyProtection="0"/>
    <xf numFmtId="0" fontId="73" fillId="89" borderId="97" applyNumberFormat="0" applyFont="0" applyAlignment="0" applyProtection="0"/>
    <xf numFmtId="4" fontId="25" fillId="14" borderId="99">
      <alignment horizontal="right" vertical="center"/>
    </xf>
    <xf numFmtId="0" fontId="29" fillId="14" borderId="101">
      <alignment horizontal="left" vertical="center" wrapText="1" indent="2"/>
    </xf>
    <xf numFmtId="0" fontId="29" fillId="16" borderId="98"/>
    <xf numFmtId="175" fontId="29" fillId="90" borderId="98" applyNumberFormat="0" applyFont="0" applyBorder="0" applyAlignment="0" applyProtection="0">
      <alignment horizontal="right" vertical="center"/>
    </xf>
    <xf numFmtId="0" fontId="29" fillId="0" borderId="98" applyNumberFormat="0" applyFill="0" applyAlignment="0" applyProtection="0"/>
    <xf numFmtId="4" fontId="29" fillId="0" borderId="98" applyFill="0" applyBorder="0" applyProtection="0">
      <alignment horizontal="right" vertical="center"/>
    </xf>
    <xf numFmtId="4" fontId="25" fillId="9" borderId="98">
      <alignment horizontal="right" vertical="center"/>
    </xf>
    <xf numFmtId="0" fontId="83" fillId="0" borderId="96" applyNumberFormat="0" applyFill="0" applyAlignment="0" applyProtection="0"/>
    <xf numFmtId="49" fontId="27" fillId="0" borderId="98" applyNumberFormat="0" applyFill="0" applyBorder="0" applyProtection="0">
      <alignment horizontal="left" vertical="center"/>
    </xf>
    <xf numFmtId="49" fontId="29" fillId="0" borderId="99" applyNumberFormat="0" applyFont="0" applyFill="0" applyBorder="0" applyProtection="0">
      <alignment horizontal="left" vertical="center" indent="5"/>
    </xf>
    <xf numFmtId="0" fontId="29" fillId="9" borderId="99">
      <alignment horizontal="left" vertical="center"/>
    </xf>
    <xf numFmtId="0" fontId="79" fillId="86" borderId="95" applyNumberFormat="0" applyAlignment="0" applyProtection="0"/>
    <xf numFmtId="4" fontId="25" fillId="14" borderId="100">
      <alignment horizontal="right" vertical="center"/>
    </xf>
    <xf numFmtId="0" fontId="91" fillId="73" borderId="95" applyNumberFormat="0" applyAlignment="0" applyProtection="0"/>
    <xf numFmtId="0" fontId="91" fillId="73" borderId="95" applyNumberFormat="0" applyAlignment="0" applyProtection="0"/>
    <xf numFmtId="0" fontId="73"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25" fillId="14" borderId="98">
      <alignment horizontal="right" vertical="center"/>
    </xf>
    <xf numFmtId="0" fontId="30" fillId="89" borderId="97" applyNumberFormat="0" applyFont="0" applyAlignment="0" applyProtection="0"/>
    <xf numFmtId="4" fontId="29" fillId="0" borderId="98">
      <alignment horizontal="right" vertical="center"/>
    </xf>
    <xf numFmtId="0" fontId="98" fillId="0" borderId="96" applyNumberFormat="0" applyFill="0" applyAlignment="0" applyProtection="0"/>
    <xf numFmtId="0" fontId="25" fillId="14" borderId="98">
      <alignment horizontal="right" vertical="center"/>
    </xf>
    <xf numFmtId="0" fontId="25" fillId="14" borderId="98">
      <alignment horizontal="right" vertical="center"/>
    </xf>
    <xf numFmtId="4" fontId="69" fillId="9" borderId="98">
      <alignment horizontal="right" vertical="center"/>
    </xf>
    <xf numFmtId="0" fontId="25" fillId="9" borderId="98">
      <alignment horizontal="right" vertical="center"/>
    </xf>
    <xf numFmtId="4" fontId="25" fillId="9" borderId="98">
      <alignment horizontal="right" vertical="center"/>
    </xf>
    <xf numFmtId="0" fontId="69" fillId="9" borderId="98">
      <alignment horizontal="right" vertical="center"/>
    </xf>
    <xf numFmtId="4" fontId="69" fillId="9" borderId="98">
      <alignment horizontal="right" vertical="center"/>
    </xf>
    <xf numFmtId="0" fontId="25" fillId="14" borderId="98">
      <alignment horizontal="right" vertical="center"/>
    </xf>
    <xf numFmtId="4" fontId="25" fillId="14" borderId="98">
      <alignment horizontal="right" vertical="center"/>
    </xf>
    <xf numFmtId="0" fontId="25" fillId="14" borderId="98">
      <alignment horizontal="right" vertical="center"/>
    </xf>
    <xf numFmtId="4" fontId="25" fillId="14" borderId="98">
      <alignment horizontal="right" vertical="center"/>
    </xf>
    <xf numFmtId="0" fontId="25" fillId="14" borderId="99">
      <alignment horizontal="right" vertical="center"/>
    </xf>
    <xf numFmtId="4" fontId="25" fillId="14" borderId="99">
      <alignment horizontal="right" vertical="center"/>
    </xf>
    <xf numFmtId="0" fontId="25" fillId="14" borderId="100">
      <alignment horizontal="right" vertical="center"/>
    </xf>
    <xf numFmtId="4" fontId="25" fillId="14" borderId="100">
      <alignment horizontal="right" vertical="center"/>
    </xf>
    <xf numFmtId="0" fontId="79"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9" borderId="99">
      <alignment horizontal="left" vertical="center"/>
    </xf>
    <xf numFmtId="0" fontId="91" fillId="73" borderId="95" applyNumberFormat="0" applyAlignment="0" applyProtection="0"/>
    <xf numFmtId="0" fontId="29" fillId="0" borderId="98">
      <alignment horizontal="right" vertical="center"/>
    </xf>
    <xf numFmtId="4" fontId="29" fillId="0" borderId="98">
      <alignment horizontal="right" vertical="center"/>
    </xf>
    <xf numFmtId="0" fontId="29" fillId="0" borderId="98" applyNumberFormat="0" applyFill="0" applyAlignment="0" applyProtection="0"/>
    <xf numFmtId="0" fontId="95" fillId="86" borderId="102" applyNumberFormat="0" applyAlignment="0" applyProtection="0"/>
    <xf numFmtId="175" fontId="29" fillId="90" borderId="98" applyNumberFormat="0" applyFont="0" applyBorder="0" applyAlignment="0" applyProtection="0">
      <alignment horizontal="right" vertical="center"/>
    </xf>
    <xf numFmtId="0" fontId="29" fillId="16" borderId="98"/>
    <xf numFmtId="4" fontId="29" fillId="16" borderId="98"/>
    <xf numFmtId="0" fontId="98" fillId="0" borderId="96" applyNumberFormat="0" applyFill="0" applyAlignment="0" applyProtection="0"/>
    <xf numFmtId="0" fontId="30" fillId="89" borderId="97" applyNumberFormat="0" applyFont="0" applyAlignment="0" applyProtection="0"/>
    <xf numFmtId="0" fontId="73" fillId="89" borderId="97" applyNumberFormat="0" applyFont="0" applyAlignment="0" applyProtection="0"/>
    <xf numFmtId="0" fontId="29" fillId="0" borderId="98" applyNumberFormat="0" applyFill="0" applyAlignment="0" applyProtection="0"/>
    <xf numFmtId="0" fontId="83" fillId="0" borderId="96" applyNumberFormat="0" applyFill="0" applyAlignment="0" applyProtection="0"/>
    <xf numFmtId="0" fontId="98" fillId="0" borderId="96" applyNumberFormat="0" applyFill="0" applyAlignment="0" applyProtection="0"/>
    <xf numFmtId="0" fontId="82" fillId="73" borderId="95" applyNumberFormat="0" applyAlignment="0" applyProtection="0"/>
    <xf numFmtId="0" fontId="79" fillId="86" borderId="95" applyNumberFormat="0" applyAlignment="0" applyProtection="0"/>
    <xf numFmtId="4" fontId="69" fillId="9" borderId="98">
      <alignment horizontal="right" vertical="center"/>
    </xf>
    <xf numFmtId="0" fontId="25" fillId="9" borderId="98">
      <alignment horizontal="right" vertical="center"/>
    </xf>
    <xf numFmtId="175" fontId="29" fillId="90" borderId="98" applyNumberFormat="0" applyFont="0" applyBorder="0" applyAlignment="0" applyProtection="0">
      <alignment horizontal="right" vertical="center"/>
    </xf>
    <xf numFmtId="0" fontId="83" fillId="0" borderId="96" applyNumberFormat="0" applyFill="0" applyAlignment="0" applyProtection="0"/>
    <xf numFmtId="49" fontId="29" fillId="0" borderId="98" applyNumberFormat="0" applyFont="0" applyFill="0" applyBorder="0" applyProtection="0">
      <alignment horizontal="left" vertical="center" indent="2"/>
    </xf>
    <xf numFmtId="49" fontId="29" fillId="0" borderId="99" applyNumberFormat="0" applyFont="0" applyFill="0" applyBorder="0" applyProtection="0">
      <alignment horizontal="left" vertical="center" indent="5"/>
    </xf>
    <xf numFmtId="49" fontId="29" fillId="0" borderId="98" applyNumberFormat="0" applyFont="0" applyFill="0" applyBorder="0" applyProtection="0">
      <alignment horizontal="left" vertical="center" indent="2"/>
    </xf>
    <xf numFmtId="4" fontId="29" fillId="0" borderId="98" applyFill="0" applyBorder="0" applyProtection="0">
      <alignment horizontal="right" vertical="center"/>
    </xf>
    <xf numFmtId="49" fontId="27" fillId="0" borderId="98" applyNumberFormat="0" applyFill="0" applyBorder="0" applyProtection="0">
      <alignment horizontal="left" vertical="center"/>
    </xf>
    <xf numFmtId="0" fontId="29" fillId="0" borderId="101">
      <alignment horizontal="left" vertical="center" wrapText="1" indent="2"/>
    </xf>
    <xf numFmtId="0" fontId="95" fillId="86" borderId="102" applyNumberFormat="0" applyAlignment="0" applyProtection="0"/>
    <xf numFmtId="0" fontId="25" fillId="14" borderId="100">
      <alignment horizontal="right" vertical="center"/>
    </xf>
    <xf numFmtId="0" fontId="82" fillId="73" borderId="95" applyNumberFormat="0" applyAlignment="0" applyProtection="0"/>
    <xf numFmtId="0" fontId="25" fillId="14" borderId="100">
      <alignment horizontal="right" vertical="center"/>
    </xf>
    <xf numFmtId="4" fontId="25" fillId="14" borderId="98">
      <alignment horizontal="right" vertical="center"/>
    </xf>
    <xf numFmtId="0" fontId="25" fillId="14" borderId="98">
      <alignment horizontal="right" vertical="center"/>
    </xf>
    <xf numFmtId="0" fontId="76" fillId="86" borderId="102" applyNumberFormat="0" applyAlignment="0" applyProtection="0"/>
    <xf numFmtId="0" fontId="78" fillId="86" borderId="95" applyNumberFormat="0" applyAlignment="0" applyProtection="0"/>
    <xf numFmtId="0" fontId="83" fillId="0" borderId="96" applyNumberFormat="0" applyFill="0" applyAlignment="0" applyProtection="0"/>
    <xf numFmtId="0" fontId="29" fillId="16" borderId="98"/>
    <xf numFmtId="4" fontId="29" fillId="16" borderId="98"/>
    <xf numFmtId="4" fontId="25" fillId="14" borderId="98">
      <alignment horizontal="right" vertical="center"/>
    </xf>
    <xf numFmtId="0" fontId="69" fillId="9" borderId="98">
      <alignment horizontal="right" vertical="center"/>
    </xf>
    <xf numFmtId="0" fontId="82" fillId="73" borderId="95" applyNumberFormat="0" applyAlignment="0" applyProtection="0"/>
    <xf numFmtId="0" fontId="79" fillId="86" borderId="95" applyNumberFormat="0" applyAlignment="0" applyProtection="0"/>
    <xf numFmtId="4" fontId="29" fillId="0" borderId="98">
      <alignment horizontal="right" vertical="center"/>
    </xf>
    <xf numFmtId="0" fontId="29" fillId="14" borderId="101">
      <alignment horizontal="left" vertical="center" wrapText="1" indent="2"/>
    </xf>
    <xf numFmtId="0" fontId="29" fillId="0" borderId="101">
      <alignment horizontal="left" vertical="center" wrapText="1" indent="2"/>
    </xf>
    <xf numFmtId="0" fontId="95" fillId="86" borderId="102" applyNumberFormat="0" applyAlignment="0" applyProtection="0"/>
    <xf numFmtId="0" fontId="91" fillId="73" borderId="95" applyNumberFormat="0" applyAlignment="0" applyProtection="0"/>
    <xf numFmtId="0" fontId="78" fillId="86" borderId="95" applyNumberFormat="0" applyAlignment="0" applyProtection="0"/>
    <xf numFmtId="0" fontId="76" fillId="86" borderId="102" applyNumberFormat="0" applyAlignment="0" applyProtection="0"/>
    <xf numFmtId="0" fontId="25" fillId="14" borderId="100">
      <alignment horizontal="right" vertical="center"/>
    </xf>
    <xf numFmtId="0" fontId="69" fillId="9" borderId="98">
      <alignment horizontal="right" vertical="center"/>
    </xf>
    <xf numFmtId="4" fontId="25" fillId="9" borderId="98">
      <alignment horizontal="right" vertical="center"/>
    </xf>
    <xf numFmtId="4" fontId="25" fillId="14" borderId="98">
      <alignment horizontal="right" vertical="center"/>
    </xf>
    <xf numFmtId="49" fontId="29" fillId="0" borderId="99" applyNumberFormat="0" applyFont="0" applyFill="0" applyBorder="0" applyProtection="0">
      <alignment horizontal="left" vertical="center" indent="5"/>
    </xf>
    <xf numFmtId="4" fontId="29" fillId="0" borderId="98" applyFill="0" applyBorder="0" applyProtection="0">
      <alignment horizontal="right" vertical="center"/>
    </xf>
    <xf numFmtId="4" fontId="25" fillId="9" borderId="98">
      <alignment horizontal="right" vertical="center"/>
    </xf>
    <xf numFmtId="0" fontId="91" fillId="73" borderId="95" applyNumberFormat="0" applyAlignment="0" applyProtection="0"/>
    <xf numFmtId="0" fontId="82" fillId="73" borderId="95" applyNumberFormat="0" applyAlignment="0" applyProtection="0"/>
    <xf numFmtId="0" fontId="78"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14" borderId="101">
      <alignment horizontal="left" vertical="center" wrapText="1" indent="2"/>
    </xf>
    <xf numFmtId="0" fontId="6" fillId="53" borderId="0" applyNumberFormat="0" applyBorder="0" applyAlignment="0" applyProtection="0"/>
    <xf numFmtId="0" fontId="66" fillId="0" borderId="0" applyNumberFormat="0" applyFill="0" applyBorder="0" applyAlignment="0" applyProtection="0"/>
    <xf numFmtId="0" fontId="67" fillId="58" borderId="0" applyNumberFormat="0" applyBorder="0" applyAlignment="0" applyProtection="0"/>
    <xf numFmtId="0" fontId="6" fillId="63" borderId="0" applyNumberFormat="0" applyBorder="0" applyAlignment="0" applyProtection="0"/>
    <xf numFmtId="0" fontId="67" fillId="55" borderId="0" applyNumberFormat="0" applyBorder="0" applyAlignment="0" applyProtection="0"/>
    <xf numFmtId="0" fontId="67" fillId="52" borderId="0" applyNumberFormat="0" applyBorder="0" applyAlignment="0" applyProtection="0"/>
    <xf numFmtId="0" fontId="63"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65"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64" fillId="46" borderId="56" applyNumberFormat="0" applyAlignment="0" applyProtection="0"/>
    <xf numFmtId="0" fontId="6" fillId="51" borderId="0" applyNumberFormat="0" applyBorder="0" applyAlignment="0" applyProtection="0"/>
    <xf numFmtId="0" fontId="67" fillId="61" borderId="0" applyNumberFormat="0" applyBorder="0" applyAlignment="0" applyProtection="0"/>
    <xf numFmtId="43" fontId="9" fillId="0" borderId="0" applyFont="0" applyFill="0" applyBorder="0" applyAlignment="0" applyProtection="0"/>
  </cellStyleXfs>
  <cellXfs count="463">
    <xf numFmtId="0" fontId="0" fillId="0" borderId="0" xfId="0"/>
    <xf numFmtId="0" fontId="0" fillId="0" borderId="0" xfId="0" applyAlignment="1">
      <alignment wrapText="1"/>
    </xf>
    <xf numFmtId="0" fontId="9" fillId="0" borderId="0" xfId="0" applyFont="1" applyAlignment="1">
      <alignment wrapText="1"/>
    </xf>
    <xf numFmtId="0" fontId="8" fillId="0" borderId="0" xfId="0" applyFont="1" applyAlignment="1">
      <alignment wrapText="1"/>
    </xf>
    <xf numFmtId="0" fontId="10" fillId="0" borderId="0" xfId="0" applyFont="1" applyAlignment="1">
      <alignment wrapText="1"/>
    </xf>
    <xf numFmtId="1" fontId="0" fillId="0" borderId="0" xfId="0" applyNumberFormat="1" applyAlignment="1">
      <alignment wrapText="1"/>
    </xf>
    <xf numFmtId="49" fontId="9" fillId="0" borderId="0" xfId="0" applyNumberFormat="1" applyFont="1" applyAlignment="1">
      <alignment wrapText="1"/>
    </xf>
    <xf numFmtId="0" fontId="0" fillId="0" borderId="1" xfId="0" applyBorder="1"/>
    <xf numFmtId="0" fontId="16" fillId="0" borderId="0" xfId="3"/>
    <xf numFmtId="0" fontId="8" fillId="0" borderId="0" xfId="0" applyFont="1"/>
    <xf numFmtId="0" fontId="8"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4" fillId="0" borderId="0" xfId="0" applyFont="1"/>
    <xf numFmtId="11" fontId="0" fillId="0" borderId="0" xfId="0" applyNumberFormat="1"/>
    <xf numFmtId="166" fontId="0" fillId="0" borderId="0" xfId="0" applyNumberFormat="1"/>
    <xf numFmtId="0" fontId="18"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9" fillId="6" borderId="9" xfId="0" applyFont="1" applyFill="1" applyBorder="1" applyAlignment="1">
      <alignment horizontal="left" wrapText="1"/>
    </xf>
    <xf numFmtId="0" fontId="19" fillId="6" borderId="10" xfId="0" applyFont="1" applyFill="1" applyBorder="1" applyAlignment="1">
      <alignment horizontal="left" wrapText="1"/>
    </xf>
    <xf numFmtId="0" fontId="20" fillId="0" borderId="0" xfId="0" applyFont="1" applyAlignment="1">
      <alignment horizontal="left"/>
    </xf>
    <xf numFmtId="0" fontId="21" fillId="0" borderId="11" xfId="0" applyFont="1" applyBorder="1" applyAlignment="1">
      <alignment horizontal="left" wrapText="1"/>
    </xf>
    <xf numFmtId="167" fontId="22" fillId="0" borderId="12" xfId="0" applyNumberFormat="1" applyFont="1" applyBorder="1" applyAlignment="1">
      <alignment horizontal="center" wrapText="1"/>
    </xf>
    <xf numFmtId="167" fontId="22" fillId="0" borderId="13" xfId="0" applyNumberFormat="1" applyFont="1" applyBorder="1" applyAlignment="1">
      <alignment horizontal="center" wrapText="1"/>
    </xf>
    <xf numFmtId="0" fontId="21" fillId="0" borderId="14" xfId="0" applyFont="1" applyBorder="1" applyAlignment="1">
      <alignment horizontal="left" wrapText="1"/>
    </xf>
    <xf numFmtId="167" fontId="22" fillId="0" borderId="15" xfId="0" applyNumberFormat="1" applyFont="1" applyBorder="1" applyAlignment="1">
      <alignment horizontal="center" wrapText="1"/>
    </xf>
    <xf numFmtId="167" fontId="22" fillId="0" borderId="16" xfId="0" applyNumberFormat="1" applyFont="1" applyBorder="1" applyAlignment="1">
      <alignment horizontal="center" wrapText="1"/>
    </xf>
    <xf numFmtId="0" fontId="23" fillId="0" borderId="0" xfId="0" applyFont="1" applyAlignment="1">
      <alignment horizontal="left"/>
    </xf>
    <xf numFmtId="16" fontId="0" fillId="0" borderId="0" xfId="0" applyNumberFormat="1"/>
    <xf numFmtId="0" fontId="21" fillId="0" borderId="17" xfId="0" applyFont="1" applyBorder="1" applyAlignment="1">
      <alignment horizontal="left" wrapText="1"/>
    </xf>
    <xf numFmtId="167" fontId="22" fillId="0" borderId="18" xfId="0" applyNumberFormat="1" applyFont="1" applyBorder="1" applyAlignment="1">
      <alignment horizontal="center" wrapText="1"/>
    </xf>
    <xf numFmtId="167" fontId="22"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2" fillId="0" borderId="0" xfId="2" applyAlignment="1"/>
    <xf numFmtId="0" fontId="8" fillId="2" borderId="0" xfId="0" applyFont="1" applyFill="1"/>
    <xf numFmtId="0" fontId="15" fillId="3" borderId="0" xfId="0" applyFont="1" applyFill="1" applyAlignment="1">
      <alignment wrapText="1"/>
    </xf>
    <xf numFmtId="0" fontId="0" fillId="0" borderId="0" xfId="0" applyAlignment="1">
      <alignment horizontal="left" wrapText="1"/>
    </xf>
    <xf numFmtId="0" fontId="15" fillId="2" borderId="0" xfId="0" applyFont="1" applyFill="1" applyAlignment="1">
      <alignment wrapText="1"/>
    </xf>
    <xf numFmtId="0" fontId="15" fillId="2" borderId="0" xfId="0" applyFont="1" applyFill="1" applyAlignment="1">
      <alignment horizontal="left" wrapText="1"/>
    </xf>
    <xf numFmtId="49" fontId="0" fillId="0" borderId="0" xfId="0" applyNumberFormat="1" applyAlignment="1">
      <alignment wrapText="1"/>
    </xf>
    <xf numFmtId="49" fontId="10" fillId="0" borderId="0" xfId="0" applyNumberFormat="1" applyFont="1" applyAlignment="1">
      <alignment wrapText="1"/>
    </xf>
    <xf numFmtId="0" fontId="9" fillId="0" borderId="0" xfId="0" applyFont="1" applyAlignment="1">
      <alignment horizontal="left" wrapText="1"/>
    </xf>
    <xf numFmtId="9" fontId="0" fillId="0" borderId="0" xfId="1" applyFont="1" applyFill="1" applyBorder="1" applyAlignment="1">
      <alignment wrapText="1"/>
    </xf>
    <xf numFmtId="9" fontId="0" fillId="0" borderId="0" xfId="0" applyNumberFormat="1" applyAlignment="1">
      <alignment wrapText="1"/>
    </xf>
    <xf numFmtId="9" fontId="9" fillId="0" borderId="0" xfId="1" applyFont="1" applyFill="1" applyBorder="1" applyAlignment="1">
      <alignment wrapText="1"/>
    </xf>
    <xf numFmtId="9" fontId="9" fillId="0" borderId="0" xfId="0" applyNumberFormat="1" applyFont="1" applyAlignment="1">
      <alignment wrapText="1"/>
    </xf>
    <xf numFmtId="164" fontId="0" fillId="0" borderId="0" xfId="0" applyNumberFormat="1" applyAlignment="1">
      <alignment wrapText="1"/>
    </xf>
    <xf numFmtId="49" fontId="9" fillId="0" borderId="0" xfId="1" applyNumberFormat="1" applyFont="1" applyFill="1" applyBorder="1" applyAlignment="1">
      <alignment wrapText="1"/>
    </xf>
    <xf numFmtId="0" fontId="24" fillId="8" borderId="25" xfId="7" applyFill="1" applyBorder="1" applyAlignment="1"/>
    <xf numFmtId="0" fontId="25" fillId="8" borderId="0" xfId="8" applyNumberFormat="1" applyFill="1">
      <alignment horizontal="right"/>
    </xf>
    <xf numFmtId="0" fontId="8" fillId="13" borderId="0" xfId="0" applyFont="1" applyFill="1" applyAlignment="1">
      <alignment wrapText="1"/>
    </xf>
    <xf numFmtId="1" fontId="8" fillId="13" borderId="0" xfId="0" applyNumberFormat="1" applyFont="1" applyFill="1" applyAlignment="1">
      <alignment wrapText="1"/>
    </xf>
    <xf numFmtId="0" fontId="31" fillId="8" borderId="0" xfId="3" applyFont="1" applyFill="1"/>
    <xf numFmtId="0" fontId="30" fillId="8" borderId="0" xfId="3" applyFont="1" applyFill="1"/>
    <xf numFmtId="0" fontId="16" fillId="8" borderId="0" xfId="3" applyFill="1"/>
    <xf numFmtId="0" fontId="27" fillId="14" borderId="42" xfId="13" applyFont="1" applyFill="1" applyBorder="1" applyAlignment="1">
      <alignment horizontal="center" vertical="center"/>
    </xf>
    <xf numFmtId="0" fontId="27" fillId="14" borderId="29" xfId="13" applyFont="1" applyFill="1" applyBorder="1" applyAlignment="1">
      <alignment vertical="center"/>
    </xf>
    <xf numFmtId="2" fontId="33" fillId="7" borderId="29" xfId="0" applyNumberFormat="1" applyFont="1" applyFill="1" applyBorder="1" applyAlignment="1">
      <alignment horizontal="right"/>
    </xf>
    <xf numFmtId="0" fontId="27" fillId="14" borderId="39" xfId="13" applyFont="1" applyFill="1" applyBorder="1" applyAlignment="1">
      <alignment vertical="center"/>
    </xf>
    <xf numFmtId="0" fontId="27" fillId="14" borderId="29" xfId="13" applyFont="1" applyFill="1" applyBorder="1" applyAlignment="1">
      <alignment horizontal="left" vertical="center" indent="1"/>
    </xf>
    <xf numFmtId="0" fontId="27" fillId="14" borderId="39" xfId="13" applyFont="1" applyFill="1" applyBorder="1" applyAlignment="1">
      <alignment horizontal="left" vertical="center"/>
    </xf>
    <xf numFmtId="0" fontId="27" fillId="14" borderId="29" xfId="13" applyFont="1" applyFill="1" applyBorder="1" applyAlignment="1">
      <alignment horizontal="left" vertical="center"/>
    </xf>
    <xf numFmtId="2" fontId="8" fillId="13" borderId="0" xfId="0" applyNumberFormat="1" applyFont="1" applyFill="1" applyAlignment="1">
      <alignment wrapText="1"/>
    </xf>
    <xf numFmtId="4" fontId="27" fillId="9" borderId="29" xfId="14" applyNumberFormat="1" applyFont="1" applyFill="1" applyBorder="1" applyAlignment="1">
      <alignment horizontal="center" vertical="center"/>
    </xf>
    <xf numFmtId="0" fontId="31" fillId="8" borderId="0" xfId="13" applyFont="1" applyFill="1" applyAlignment="1">
      <alignment vertical="center"/>
    </xf>
    <xf numFmtId="0" fontId="27" fillId="8" borderId="0" xfId="7" applyFont="1" applyFill="1" applyAlignment="1">
      <alignment vertical="center"/>
    </xf>
    <xf numFmtId="4" fontId="27" fillId="9" borderId="29" xfId="14" applyNumberFormat="1" applyFont="1" applyFill="1" applyBorder="1" applyAlignment="1">
      <alignment horizontal="center" vertical="center" textRotation="90"/>
    </xf>
    <xf numFmtId="2" fontId="27" fillId="9" borderId="44" xfId="13" applyNumberFormat="1" applyFont="1" applyFill="1" applyBorder="1" applyAlignment="1">
      <alignment horizontal="left" vertical="center"/>
    </xf>
    <xf numFmtId="2" fontId="27" fillId="9" borderId="29" xfId="13" applyNumberFormat="1" applyFont="1" applyFill="1" applyBorder="1" applyAlignment="1">
      <alignment horizontal="left" vertical="center"/>
    </xf>
    <xf numFmtId="2" fontId="27" fillId="9" borderId="39" xfId="13" applyNumberFormat="1" applyFont="1" applyFill="1" applyBorder="1" applyAlignment="1">
      <alignment horizontal="left" vertical="center"/>
    </xf>
    <xf numFmtId="0" fontId="27" fillId="13" borderId="0" xfId="9" applyFill="1" applyBorder="1" applyProtection="1">
      <alignment horizontal="left" vertical="center"/>
    </xf>
    <xf numFmtId="2" fontId="8" fillId="13" borderId="0" xfId="0" applyNumberFormat="1" applyFont="1" applyFill="1"/>
    <xf numFmtId="0" fontId="27" fillId="9" borderId="32" xfId="15" applyFont="1" applyFill="1" applyBorder="1" applyAlignment="1">
      <alignment horizontal="center" vertical="center" wrapText="1"/>
    </xf>
    <xf numFmtId="0" fontId="27" fillId="9" borderId="44" xfId="15" applyFont="1" applyFill="1" applyBorder="1" applyAlignment="1">
      <alignment vertical="top" wrapText="1"/>
    </xf>
    <xf numFmtId="0" fontId="27" fillId="9" borderId="39" xfId="15" applyFont="1" applyFill="1" applyBorder="1" applyAlignment="1">
      <alignment horizontal="left" vertical="top" wrapText="1"/>
    </xf>
    <xf numFmtId="0" fontId="15" fillId="13" borderId="0" xfId="9" applyNumberFormat="1" applyFont="1" applyFill="1" applyBorder="1" applyAlignment="1">
      <alignment horizontal="center" vertical="center"/>
    </xf>
    <xf numFmtId="1" fontId="14" fillId="0" borderId="0" xfId="0" applyNumberFormat="1" applyFont="1" applyAlignment="1">
      <alignment horizontal="right" wrapText="1"/>
    </xf>
    <xf numFmtId="1" fontId="14" fillId="0" borderId="0" xfId="0" applyNumberFormat="1" applyFont="1" applyAlignment="1">
      <alignment horizontal="right"/>
    </xf>
    <xf numFmtId="2" fontId="14" fillId="0" borderId="0" xfId="0" applyNumberFormat="1" applyFont="1" applyAlignment="1">
      <alignment wrapText="1"/>
    </xf>
    <xf numFmtId="1" fontId="8" fillId="0" borderId="0" xfId="0" applyNumberFormat="1" applyFont="1" applyAlignment="1">
      <alignment wrapText="1"/>
    </xf>
    <xf numFmtId="0" fontId="8" fillId="13" borderId="0" xfId="0" applyFont="1" applyFill="1"/>
    <xf numFmtId="2" fontId="0" fillId="0" borderId="0" xfId="0" applyNumberFormat="1" applyAlignment="1">
      <alignment wrapText="1"/>
    </xf>
    <xf numFmtId="0" fontId="8" fillId="0" borderId="45" xfId="0" applyFont="1" applyBorder="1" applyAlignment="1">
      <alignment wrapText="1"/>
    </xf>
    <xf numFmtId="1" fontId="8" fillId="0" borderId="46" xfId="0" applyNumberFormat="1" applyFont="1" applyBorder="1" applyAlignment="1">
      <alignment wrapText="1"/>
    </xf>
    <xf numFmtId="0" fontId="40" fillId="0" borderId="0" xfId="0" applyFont="1" applyAlignment="1">
      <alignment horizontal="left" vertical="top"/>
    </xf>
    <xf numFmtId="0" fontId="0" fillId="0" borderId="0" xfId="0" applyAlignment="1">
      <alignment horizontal="left" vertical="top"/>
    </xf>
    <xf numFmtId="0" fontId="46" fillId="18" borderId="47" xfId="0" applyFont="1" applyFill="1" applyBorder="1" applyAlignment="1">
      <alignment horizontal="center" vertical="top" wrapText="1"/>
    </xf>
    <xf numFmtId="0" fontId="46" fillId="18" borderId="47" xfId="0" applyFont="1" applyFill="1" applyBorder="1" applyAlignment="1">
      <alignment horizontal="left" vertical="top" wrapText="1"/>
    </xf>
    <xf numFmtId="0" fontId="48"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0"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0" fillId="19" borderId="48" xfId="0" applyFont="1" applyFill="1" applyBorder="1" applyAlignment="1">
      <alignment horizontal="center" vertical="top" wrapText="1"/>
    </xf>
    <xf numFmtId="167" fontId="53" fillId="19" borderId="48" xfId="0" applyNumberFormat="1" applyFont="1" applyFill="1" applyBorder="1" applyAlignment="1">
      <alignment horizontal="center" vertical="top" wrapText="1"/>
    </xf>
    <xf numFmtId="0" fontId="50" fillId="0" borderId="49" xfId="0" applyFont="1" applyBorder="1" applyAlignment="1">
      <alignment horizontal="left" vertical="top" wrapText="1"/>
    </xf>
    <xf numFmtId="0" fontId="0" fillId="0" borderId="49" xfId="0" applyBorder="1" applyAlignment="1">
      <alignment horizontal="center" vertical="top" wrapText="1"/>
    </xf>
    <xf numFmtId="167" fontId="53" fillId="0" borderId="49" xfId="0" applyNumberFormat="1" applyFont="1" applyBorder="1" applyAlignment="1">
      <alignment horizontal="center" vertical="top" wrapText="1"/>
    </xf>
    <xf numFmtId="0" fontId="50"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3" fillId="19" borderId="49" xfId="0" applyNumberFormat="1" applyFont="1" applyFill="1" applyBorder="1" applyAlignment="1">
      <alignment horizontal="center" vertical="top" wrapText="1"/>
    </xf>
    <xf numFmtId="0" fontId="50" fillId="0" borderId="50" xfId="0" applyFont="1" applyBorder="1" applyAlignment="1">
      <alignment horizontal="left" vertical="top" wrapText="1"/>
    </xf>
    <xf numFmtId="0" fontId="0" fillId="0" borderId="50" xfId="0" applyBorder="1" applyAlignment="1">
      <alignment horizontal="center" vertical="top" wrapText="1"/>
    </xf>
    <xf numFmtId="167" fontId="53" fillId="0" borderId="50" xfId="0" applyNumberFormat="1" applyFont="1" applyBorder="1" applyAlignment="1">
      <alignment horizontal="center" vertical="top" wrapText="1"/>
    </xf>
    <xf numFmtId="168" fontId="51" fillId="19" borderId="48" xfId="0" applyNumberFormat="1" applyFont="1" applyFill="1" applyBorder="1" applyAlignment="1">
      <alignment horizontal="center" vertical="top" wrapText="1"/>
    </xf>
    <xf numFmtId="169" fontId="51" fillId="19" borderId="48" xfId="0" applyNumberFormat="1" applyFont="1" applyFill="1" applyBorder="1" applyAlignment="1">
      <alignment horizontal="center" vertical="top" wrapText="1"/>
    </xf>
    <xf numFmtId="168" fontId="51" fillId="0" borderId="49" xfId="0" applyNumberFormat="1" applyFont="1" applyBorder="1" applyAlignment="1">
      <alignment horizontal="left" vertical="top" wrapText="1"/>
    </xf>
    <xf numFmtId="169" fontId="51" fillId="0" borderId="49" xfId="0" applyNumberFormat="1" applyFont="1" applyBorder="1" applyAlignment="1">
      <alignment horizontal="center" vertical="top" wrapText="1"/>
    </xf>
    <xf numFmtId="170" fontId="53" fillId="0" borderId="49" xfId="0" applyNumberFormat="1" applyFont="1" applyBorder="1" applyAlignment="1">
      <alignment horizontal="left" vertical="top" wrapText="1"/>
    </xf>
    <xf numFmtId="168" fontId="51" fillId="19" borderId="49" xfId="0" applyNumberFormat="1" applyFont="1" applyFill="1" applyBorder="1" applyAlignment="1">
      <alignment horizontal="left" vertical="top" wrapText="1"/>
    </xf>
    <xf numFmtId="169" fontId="51" fillId="19" borderId="49" xfId="0" applyNumberFormat="1" applyFont="1" applyFill="1" applyBorder="1" applyAlignment="1">
      <alignment horizontal="center" vertical="top" wrapText="1"/>
    </xf>
    <xf numFmtId="170" fontId="53"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1"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1" fillId="0" borderId="50" xfId="0" applyNumberFormat="1" applyFont="1" applyBorder="1" applyAlignment="1">
      <alignment horizontal="left" vertical="top" wrapText="1"/>
    </xf>
    <xf numFmtId="169" fontId="51" fillId="0" borderId="50" xfId="0" applyNumberFormat="1" applyFont="1" applyBorder="1" applyAlignment="1">
      <alignment horizontal="center" vertical="top" wrapText="1"/>
    </xf>
    <xf numFmtId="168" fontId="51"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0" fillId="19" borderId="50" xfId="0" applyFont="1" applyFill="1" applyBorder="1" applyAlignment="1">
      <alignment horizontal="left" vertical="top" wrapText="1"/>
    </xf>
    <xf numFmtId="169" fontId="51" fillId="19" borderId="50" xfId="0" applyNumberFormat="1" applyFont="1" applyFill="1" applyBorder="1" applyAlignment="1">
      <alignment horizontal="center" vertical="top" wrapText="1"/>
    </xf>
    <xf numFmtId="167" fontId="53" fillId="19" borderId="50" xfId="0" applyNumberFormat="1" applyFont="1" applyFill="1" applyBorder="1" applyAlignment="1">
      <alignment horizontal="center" vertical="top" wrapText="1"/>
    </xf>
    <xf numFmtId="0" fontId="54" fillId="19" borderId="50" xfId="0" applyFont="1" applyFill="1" applyBorder="1" applyAlignment="1">
      <alignment horizontal="center" vertical="top" wrapText="1"/>
    </xf>
    <xf numFmtId="168" fontId="51" fillId="19" borderId="48" xfId="0" applyNumberFormat="1" applyFont="1" applyFill="1" applyBorder="1" applyAlignment="1">
      <alignment horizontal="left" vertical="top" wrapText="1"/>
    </xf>
    <xf numFmtId="170" fontId="55" fillId="19" borderId="48" xfId="0" applyNumberFormat="1" applyFont="1" applyFill="1" applyBorder="1" applyAlignment="1">
      <alignment horizontal="left" vertical="top" wrapText="1"/>
    </xf>
    <xf numFmtId="167" fontId="55" fillId="0" borderId="49" xfId="0" applyNumberFormat="1" applyFont="1" applyBorder="1" applyAlignment="1">
      <alignment horizontal="center" vertical="top" wrapText="1"/>
    </xf>
    <xf numFmtId="167" fontId="55" fillId="0" borderId="49" xfId="0" applyNumberFormat="1" applyFont="1" applyBorder="1" applyAlignment="1">
      <alignment horizontal="left" vertical="top" wrapText="1"/>
    </xf>
    <xf numFmtId="167" fontId="55" fillId="19" borderId="49" xfId="0" applyNumberFormat="1" applyFont="1" applyFill="1" applyBorder="1" applyAlignment="1">
      <alignment horizontal="center" vertical="top" wrapText="1"/>
    </xf>
    <xf numFmtId="167" fontId="55" fillId="19" borderId="49" xfId="0" applyNumberFormat="1" applyFont="1" applyFill="1" applyBorder="1" applyAlignment="1">
      <alignment horizontal="left" vertical="top" wrapText="1"/>
    </xf>
    <xf numFmtId="0" fontId="56" fillId="19" borderId="49" xfId="0" applyFont="1" applyFill="1" applyBorder="1" applyAlignment="1">
      <alignment horizontal="center" vertical="top" wrapText="1"/>
    </xf>
    <xf numFmtId="0" fontId="56" fillId="0" borderId="49" xfId="0" applyFont="1" applyBorder="1" applyAlignment="1">
      <alignment horizontal="center" vertical="top" wrapText="1"/>
    </xf>
    <xf numFmtId="167" fontId="55" fillId="0" borderId="50" xfId="0" applyNumberFormat="1" applyFont="1" applyBorder="1" applyAlignment="1">
      <alignment horizontal="center" vertical="top" wrapText="1"/>
    </xf>
    <xf numFmtId="0" fontId="56" fillId="0" borderId="50" xfId="0" applyFont="1" applyBorder="1" applyAlignment="1">
      <alignment horizontal="center" vertical="top" wrapText="1"/>
    </xf>
    <xf numFmtId="0" fontId="0" fillId="19" borderId="48" xfId="0" applyFill="1" applyBorder="1" applyAlignment="1">
      <alignment horizontal="left" vertical="top" wrapText="1"/>
    </xf>
    <xf numFmtId="169" fontId="51" fillId="19" borderId="48" xfId="0" applyNumberFormat="1" applyFont="1" applyFill="1" applyBorder="1" applyAlignment="1">
      <alignment horizontal="left" vertical="top" wrapText="1"/>
    </xf>
    <xf numFmtId="167" fontId="55" fillId="19" borderId="48" xfId="0" applyNumberFormat="1" applyFont="1" applyFill="1" applyBorder="1" applyAlignment="1">
      <alignment horizontal="center" vertical="top" wrapText="1"/>
    </xf>
    <xf numFmtId="0" fontId="56" fillId="19" borderId="48" xfId="0" applyFont="1" applyFill="1" applyBorder="1" applyAlignment="1">
      <alignment horizontal="center" vertical="top" wrapText="1"/>
    </xf>
    <xf numFmtId="169" fontId="51" fillId="0" borderId="49" xfId="0" applyNumberFormat="1" applyFont="1" applyBorder="1" applyAlignment="1">
      <alignment horizontal="left" vertical="top" wrapText="1"/>
    </xf>
    <xf numFmtId="169" fontId="51" fillId="19" borderId="49" xfId="0" applyNumberFormat="1" applyFont="1" applyFill="1" applyBorder="1" applyAlignment="1">
      <alignment horizontal="left" vertical="top" wrapText="1"/>
    </xf>
    <xf numFmtId="169" fontId="51" fillId="19" borderId="50" xfId="0" applyNumberFormat="1" applyFont="1" applyFill="1" applyBorder="1" applyAlignment="1">
      <alignment horizontal="left" vertical="top" wrapText="1"/>
    </xf>
    <xf numFmtId="0" fontId="56" fillId="19" borderId="50" xfId="0" applyFont="1" applyFill="1" applyBorder="1" applyAlignment="1">
      <alignment horizontal="center" vertical="top" wrapText="1"/>
    </xf>
    <xf numFmtId="169" fontId="51" fillId="0" borderId="50" xfId="0" applyNumberFormat="1" applyFont="1" applyBorder="1" applyAlignment="1">
      <alignment horizontal="left" vertical="top" wrapText="1"/>
    </xf>
    <xf numFmtId="172" fontId="51" fillId="19" borderId="48" xfId="0" applyNumberFormat="1" applyFont="1" applyFill="1" applyBorder="1" applyAlignment="1">
      <alignment horizontal="left" vertical="top" wrapText="1"/>
    </xf>
    <xf numFmtId="168" fontId="51" fillId="0" borderId="50" xfId="0" applyNumberFormat="1" applyFont="1" applyBorder="1" applyAlignment="1">
      <alignment horizontal="left" vertical="top" wrapText="1"/>
    </xf>
    <xf numFmtId="167" fontId="55" fillId="0" borderId="50" xfId="0" applyNumberFormat="1" applyFont="1" applyBorder="1" applyAlignment="1">
      <alignment horizontal="left" vertical="top" wrapText="1"/>
    </xf>
    <xf numFmtId="171" fontId="51" fillId="0" borderId="49" xfId="0" applyNumberFormat="1" applyFont="1" applyBorder="1" applyAlignment="1">
      <alignment horizontal="left" vertical="top" wrapText="1"/>
    </xf>
    <xf numFmtId="170" fontId="55" fillId="0" borderId="49" xfId="0" applyNumberFormat="1" applyFont="1" applyBorder="1" applyAlignment="1">
      <alignment horizontal="left" vertical="top" wrapText="1"/>
    </xf>
    <xf numFmtId="170" fontId="55" fillId="19" borderId="49" xfId="0" applyNumberFormat="1" applyFont="1" applyFill="1" applyBorder="1" applyAlignment="1">
      <alignment horizontal="left" vertical="top" wrapText="1"/>
    </xf>
    <xf numFmtId="171" fontId="51"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1" fillId="19" borderId="50" xfId="0" applyNumberFormat="1" applyFont="1" applyFill="1" applyBorder="1" applyAlignment="1">
      <alignment horizontal="left" vertical="top" wrapText="1"/>
    </xf>
    <xf numFmtId="167" fontId="55" fillId="19" borderId="50" xfId="0" applyNumberFormat="1" applyFont="1" applyFill="1" applyBorder="1" applyAlignment="1">
      <alignment horizontal="left" vertical="top" wrapText="1"/>
    </xf>
    <xf numFmtId="170" fontId="55" fillId="19" borderId="50" xfId="0" applyNumberFormat="1" applyFont="1" applyFill="1" applyBorder="1" applyAlignment="1">
      <alignment horizontal="left" vertical="top" wrapText="1"/>
    </xf>
    <xf numFmtId="171" fontId="51" fillId="19" borderId="48" xfId="0" applyNumberFormat="1" applyFont="1" applyFill="1" applyBorder="1" applyAlignment="1">
      <alignment horizontal="left" vertical="top" wrapText="1"/>
    </xf>
    <xf numFmtId="167" fontId="55" fillId="19" borderId="48" xfId="0" applyNumberFormat="1" applyFont="1" applyFill="1" applyBorder="1" applyAlignment="1">
      <alignment horizontal="left" vertical="top" wrapText="1"/>
    </xf>
    <xf numFmtId="172" fontId="51" fillId="0" borderId="49" xfId="0" applyNumberFormat="1" applyFont="1" applyBorder="1" applyAlignment="1">
      <alignment horizontal="left" vertical="top" wrapText="1"/>
    </xf>
    <xf numFmtId="168" fontId="51" fillId="19" borderId="50" xfId="0" applyNumberFormat="1" applyFont="1" applyFill="1" applyBorder="1" applyAlignment="1">
      <alignment horizontal="left" vertical="top" wrapText="1"/>
    </xf>
    <xf numFmtId="167" fontId="55" fillId="19" borderId="50" xfId="0" applyNumberFormat="1" applyFont="1" applyFill="1" applyBorder="1" applyAlignment="1">
      <alignment horizontal="center" vertical="top" wrapText="1"/>
    </xf>
    <xf numFmtId="0" fontId="0" fillId="2" borderId="0" xfId="0" applyFill="1"/>
    <xf numFmtId="0" fontId="8"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5" fillId="2" borderId="20" xfId="0" applyFont="1" applyFill="1" applyBorder="1" applyAlignment="1">
      <alignment wrapText="1"/>
    </xf>
    <xf numFmtId="0" fontId="15" fillId="2" borderId="21" xfId="0" applyFont="1" applyFill="1" applyBorder="1" applyAlignment="1">
      <alignment wrapText="1"/>
    </xf>
    <xf numFmtId="0" fontId="15" fillId="2" borderId="22" xfId="0" applyFont="1" applyFill="1" applyBorder="1" applyAlignment="1">
      <alignment wrapText="1"/>
    </xf>
    <xf numFmtId="9" fontId="10" fillId="0" borderId="0" xfId="1" applyFont="1" applyAlignment="1">
      <alignment wrapText="1"/>
    </xf>
    <xf numFmtId="9" fontId="10" fillId="0" borderId="0" xfId="1" applyFont="1" applyFill="1" applyBorder="1" applyAlignment="1">
      <alignment wrapText="1"/>
    </xf>
    <xf numFmtId="0" fontId="9" fillId="0" borderId="0" xfId="1" applyNumberFormat="1" applyFont="1" applyAlignment="1">
      <alignment wrapText="1"/>
    </xf>
    <xf numFmtId="0" fontId="0" fillId="21" borderId="0" xfId="0" applyFill="1"/>
    <xf numFmtId="0" fontId="0" fillId="22" borderId="0" xfId="0" applyFill="1"/>
    <xf numFmtId="0" fontId="0" fillId="2" borderId="0" xfId="0" applyFill="1" applyAlignment="1">
      <alignment horizontal="left"/>
    </xf>
    <xf numFmtId="0" fontId="8"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9" fillId="0" borderId="0" xfId="0" quotePrefix="1" applyFont="1" applyAlignment="1">
      <alignment wrapText="1"/>
    </xf>
    <xf numFmtId="0" fontId="9" fillId="0" borderId="26" xfId="0" applyFont="1" applyBorder="1" applyAlignment="1">
      <alignment wrapText="1"/>
    </xf>
    <xf numFmtId="0" fontId="0" fillId="0" borderId="26" xfId="0" applyBorder="1" applyAlignment="1">
      <alignment wrapText="1"/>
    </xf>
    <xf numFmtId="0" fontId="9" fillId="0" borderId="26" xfId="0" quotePrefix="1" applyFont="1" applyBorder="1" applyAlignment="1">
      <alignment wrapText="1"/>
    </xf>
    <xf numFmtId="0" fontId="8" fillId="2" borderId="0" xfId="0" applyFont="1" applyFill="1" applyAlignment="1">
      <alignment horizontal="center" vertical="center"/>
    </xf>
    <xf numFmtId="0" fontId="9" fillId="2" borderId="0" xfId="0" applyFont="1" applyFill="1" applyAlignment="1">
      <alignment wrapText="1"/>
    </xf>
    <xf numFmtId="0" fontId="0" fillId="2" borderId="0" xfId="0" applyFill="1" applyAlignment="1">
      <alignment wrapText="1"/>
    </xf>
    <xf numFmtId="0" fontId="15" fillId="2" borderId="21" xfId="0" applyFont="1" applyFill="1" applyBorder="1" applyAlignment="1">
      <alignment horizontal="left" wrapText="1"/>
    </xf>
    <xf numFmtId="0" fontId="0" fillId="0" borderId="26" xfId="0" applyBorder="1" applyAlignment="1">
      <alignment horizontal="left" wrapText="1"/>
    </xf>
    <xf numFmtId="0" fontId="9" fillId="20" borderId="0" xfId="0" applyFont="1" applyFill="1" applyAlignment="1">
      <alignment wrapText="1"/>
    </xf>
    <xf numFmtId="0" fontId="8" fillId="0" borderId="0" xfId="0" applyFont="1" applyAlignment="1">
      <alignment horizontal="right" wrapText="1"/>
    </xf>
    <xf numFmtId="0" fontId="15" fillId="3" borderId="52" xfId="0" applyFont="1" applyFill="1" applyBorder="1" applyAlignment="1">
      <alignment wrapText="1"/>
    </xf>
    <xf numFmtId="49" fontId="9" fillId="0" borderId="52" xfId="1" applyNumberFormat="1" applyFont="1" applyFill="1" applyBorder="1" applyAlignment="1">
      <alignment wrapText="1"/>
    </xf>
    <xf numFmtId="0" fontId="0" fillId="0" borderId="52" xfId="0" applyBorder="1" applyAlignment="1">
      <alignment wrapText="1"/>
    </xf>
    <xf numFmtId="49" fontId="0" fillId="0" borderId="52" xfId="0" applyNumberFormat="1" applyBorder="1" applyAlignment="1">
      <alignment wrapText="1"/>
    </xf>
    <xf numFmtId="49" fontId="9" fillId="0" borderId="52" xfId="0" applyNumberFormat="1" applyFont="1" applyBorder="1" applyAlignment="1">
      <alignment wrapText="1"/>
    </xf>
    <xf numFmtId="49" fontId="13" fillId="0" borderId="52" xfId="0" applyNumberFormat="1" applyFont="1" applyBorder="1" applyAlignment="1">
      <alignment wrapText="1"/>
    </xf>
    <xf numFmtId="0" fontId="8" fillId="4" borderId="0" xfId="0" applyFont="1" applyFill="1"/>
    <xf numFmtId="0" fontId="8"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49" fontId="0" fillId="0" borderId="53" xfId="0" applyNumberFormat="1" applyBorder="1" applyAlignment="1">
      <alignment wrapText="1"/>
    </xf>
    <xf numFmtId="0" fontId="14" fillId="0" borderId="0" xfId="0" applyFont="1" applyAlignment="1">
      <alignment horizontal="right" wrapText="1"/>
    </xf>
    <xf numFmtId="0" fontId="59" fillId="0" borderId="0" xfId="0" applyFont="1" applyAlignment="1">
      <alignment wrapText="1"/>
    </xf>
    <xf numFmtId="1" fontId="59" fillId="0" borderId="0" xfId="0" applyNumberFormat="1" applyFont="1" applyAlignment="1">
      <alignment horizontal="right" wrapText="1"/>
    </xf>
    <xf numFmtId="0" fontId="24" fillId="8" borderId="0" xfId="7" applyFill="1" applyAlignment="1"/>
    <xf numFmtId="0" fontId="26" fillId="8" borderId="0" xfId="3" applyFont="1" applyFill="1"/>
    <xf numFmtId="0" fontId="27" fillId="9" borderId="29" xfId="12" applyFont="1" applyBorder="1" applyAlignment="1">
      <alignment horizontal="left" vertical="center" indent="1"/>
    </xf>
    <xf numFmtId="0" fontId="30" fillId="8" borderId="24" xfId="3" applyFont="1" applyFill="1" applyBorder="1"/>
    <xf numFmtId="0" fontId="34" fillId="14" borderId="29" xfId="9" applyFont="1" applyFill="1" applyBorder="1">
      <alignment horizontal="left" vertical="center"/>
    </xf>
    <xf numFmtId="0" fontId="29" fillId="8" borderId="0" xfId="3" applyFont="1" applyFill="1"/>
    <xf numFmtId="0" fontId="29" fillId="8" borderId="0" xfId="8" applyFont="1" applyFill="1">
      <alignment horizontal="right"/>
    </xf>
    <xf numFmtId="0" fontId="29" fillId="8" borderId="0" xfId="13" applyFill="1"/>
    <xf numFmtId="0" fontId="29" fillId="8" borderId="0" xfId="13" applyFill="1" applyAlignment="1">
      <alignment vertical="center"/>
    </xf>
    <xf numFmtId="0" fontId="27" fillId="9" borderId="30" xfId="13" applyFont="1" applyFill="1" applyBorder="1" applyAlignment="1">
      <alignment horizontal="left" vertical="center"/>
    </xf>
    <xf numFmtId="0" fontId="27" fillId="9" borderId="33" xfId="13" quotePrefix="1" applyFont="1" applyFill="1" applyBorder="1" applyAlignment="1">
      <alignment horizontal="center" vertical="center"/>
    </xf>
    <xf numFmtId="0" fontId="27" fillId="9" borderId="31" xfId="13" quotePrefix="1" applyFont="1" applyFill="1" applyBorder="1" applyAlignment="1">
      <alignment horizontal="center" vertical="center"/>
    </xf>
    <xf numFmtId="0" fontId="27" fillId="9" borderId="31" xfId="13" applyFont="1" applyFill="1" applyBorder="1" applyAlignment="1">
      <alignment horizontal="center" vertical="center"/>
    </xf>
    <xf numFmtId="0" fontId="27" fillId="9" borderId="31" xfId="13" applyFont="1" applyFill="1" applyBorder="1" applyAlignment="1">
      <alignment horizontal="center" vertical="center" wrapText="1"/>
    </xf>
    <xf numFmtId="0" fontId="27" fillId="9" borderId="29" xfId="13" quotePrefix="1" applyFont="1" applyFill="1" applyBorder="1" applyAlignment="1">
      <alignment horizontal="center" vertical="center"/>
    </xf>
    <xf numFmtId="0" fontId="27" fillId="9" borderId="40" xfId="13" applyFont="1" applyFill="1" applyBorder="1" applyAlignment="1">
      <alignment horizontal="left" vertical="center"/>
    </xf>
    <xf numFmtId="0" fontId="27" fillId="9" borderId="43" xfId="13" applyFont="1" applyFill="1" applyBorder="1" applyAlignment="1">
      <alignment vertical="center"/>
    </xf>
    <xf numFmtId="0" fontId="27" fillId="9" borderId="29" xfId="13" applyFont="1" applyFill="1" applyBorder="1" applyAlignment="1">
      <alignment vertical="center"/>
    </xf>
    <xf numFmtId="0" fontId="27" fillId="9" borderId="39" xfId="13" applyFont="1" applyFill="1" applyBorder="1" applyAlignment="1">
      <alignment vertical="center"/>
    </xf>
    <xf numFmtId="0" fontId="29" fillId="8" borderId="0" xfId="13" applyFill="1" applyAlignment="1">
      <alignment horizontal="right" vertical="center"/>
    </xf>
    <xf numFmtId="0" fontId="24" fillId="8" borderId="0" xfId="7" applyFill="1" applyAlignment="1">
      <alignment vertical="center"/>
    </xf>
    <xf numFmtId="0" fontId="27" fillId="8" borderId="0" xfId="13" applyFont="1" applyFill="1" applyAlignment="1">
      <alignment vertical="center"/>
    </xf>
    <xf numFmtId="0" fontId="27" fillId="9" borderId="32" xfId="13" applyFont="1" applyFill="1" applyBorder="1" applyAlignment="1">
      <alignment horizontal="center" vertical="center" textRotation="90"/>
    </xf>
    <xf numFmtId="0" fontId="27" fillId="9" borderId="29" xfId="13" applyFont="1" applyFill="1" applyBorder="1" applyAlignment="1">
      <alignment horizontal="center" vertical="center" textRotation="90"/>
    </xf>
    <xf numFmtId="0" fontId="27" fillId="9" borderId="31" xfId="13" applyFont="1" applyFill="1" applyBorder="1" applyAlignment="1">
      <alignment horizontal="center" vertical="center" textRotation="90"/>
    </xf>
    <xf numFmtId="0" fontId="27" fillId="9" borderId="31" xfId="13" applyFont="1" applyFill="1" applyBorder="1" applyAlignment="1">
      <alignment horizontal="center" vertical="center" textRotation="90" wrapText="1"/>
    </xf>
    <xf numFmtId="0" fontId="27" fillId="9" borderId="29" xfId="13" quotePrefix="1" applyFont="1" applyFill="1" applyBorder="1" applyAlignment="1">
      <alignment horizontal="center" vertical="center" textRotation="90"/>
    </xf>
    <xf numFmtId="0" fontId="27" fillId="9" borderId="31" xfId="13" quotePrefix="1" applyFont="1" applyFill="1" applyBorder="1" applyAlignment="1">
      <alignment horizontal="center" vertical="center" textRotation="90"/>
    </xf>
    <xf numFmtId="0" fontId="27" fillId="9" borderId="28" xfId="13" applyFont="1" applyFill="1" applyBorder="1" applyAlignment="1">
      <alignment horizontal="center" vertical="center" wrapText="1"/>
    </xf>
    <xf numFmtId="0" fontId="27" fillId="9" borderId="42" xfId="13" applyFont="1" applyFill="1" applyBorder="1" applyAlignment="1">
      <alignment horizontal="center" vertical="center"/>
    </xf>
    <xf numFmtId="0" fontId="27" fillId="9" borderId="39" xfId="13" applyFont="1" applyFill="1" applyBorder="1" applyAlignment="1">
      <alignment horizontal="left" vertical="center" wrapText="1"/>
    </xf>
    <xf numFmtId="0" fontId="27" fillId="9" borderId="39" xfId="13" applyFont="1" applyFill="1" applyBorder="1" applyAlignment="1">
      <alignment horizontal="left" vertical="center"/>
    </xf>
    <xf numFmtId="0" fontId="27" fillId="9" borderId="42" xfId="13" applyFont="1" applyFill="1" applyBorder="1" applyAlignment="1">
      <alignment horizontal="left" vertical="center"/>
    </xf>
    <xf numFmtId="0" fontId="27" fillId="9" borderId="29" xfId="13" applyFont="1" applyFill="1" applyBorder="1" applyAlignment="1">
      <alignment horizontal="center" vertical="center"/>
    </xf>
    <xf numFmtId="0" fontId="29" fillId="0" borderId="0" xfId="3" applyFont="1"/>
    <xf numFmtId="0" fontId="29" fillId="8" borderId="0" xfId="15" applyFont="1" applyFill="1"/>
    <xf numFmtId="0" fontId="29" fillId="8" borderId="0" xfId="17" applyFont="1" applyFill="1" applyBorder="1"/>
    <xf numFmtId="4" fontId="27" fillId="9" borderId="32" xfId="13" quotePrefix="1" applyNumberFormat="1" applyFont="1" applyFill="1" applyBorder="1" applyAlignment="1">
      <alignment horizontal="center" vertical="center"/>
    </xf>
    <xf numFmtId="4" fontId="27" fillId="9" borderId="29" xfId="13" quotePrefix="1" applyNumberFormat="1" applyFont="1" applyFill="1" applyBorder="1" applyAlignment="1">
      <alignment horizontal="center" vertical="center"/>
    </xf>
    <xf numFmtId="4" fontId="27" fillId="9" borderId="29" xfId="13" applyNumberFormat="1" applyFont="1" applyFill="1" applyBorder="1" applyAlignment="1">
      <alignment horizontal="center" vertical="center"/>
    </xf>
    <xf numFmtId="4" fontId="27" fillId="9" borderId="31" xfId="13" applyNumberFormat="1" applyFont="1" applyFill="1" applyBorder="1" applyAlignment="1">
      <alignment horizontal="center" vertical="center"/>
    </xf>
    <xf numFmtId="4" fontId="27" fillId="9" borderId="34" xfId="13" applyNumberFormat="1" applyFont="1" applyFill="1" applyBorder="1" applyAlignment="1">
      <alignment vertical="center"/>
    </xf>
    <xf numFmtId="0" fontId="15" fillId="2" borderId="0" xfId="0" applyFont="1" applyFill="1" applyAlignment="1">
      <alignment horizontal="right" wrapText="1"/>
    </xf>
    <xf numFmtId="0" fontId="7" fillId="0" borderId="52" xfId="0" applyFont="1" applyBorder="1" applyAlignment="1">
      <alignment wrapText="1"/>
    </xf>
    <xf numFmtId="0" fontId="10" fillId="0" borderId="0" xfId="0" applyFont="1"/>
    <xf numFmtId="0" fontId="10" fillId="0" borderId="54" xfId="0" applyFont="1" applyBorder="1"/>
    <xf numFmtId="0" fontId="0" fillId="0" borderId="54" xfId="0" applyBorder="1" applyAlignment="1">
      <alignment horizontal="left" wrapText="1"/>
    </xf>
    <xf numFmtId="0" fontId="15" fillId="44" borderId="0" xfId="0" applyFont="1" applyFill="1" applyAlignment="1">
      <alignment wrapText="1"/>
    </xf>
    <xf numFmtId="0" fontId="15" fillId="44" borderId="0" xfId="0" applyFont="1" applyFill="1" applyAlignment="1">
      <alignment horizontal="left" wrapText="1"/>
    </xf>
    <xf numFmtId="0" fontId="15" fillId="45" borderId="0" xfId="0" applyFont="1" applyFill="1" applyAlignment="1">
      <alignment wrapText="1"/>
    </xf>
    <xf numFmtId="0" fontId="15" fillId="45" borderId="54" xfId="0" applyFont="1" applyFill="1" applyBorder="1" applyAlignment="1">
      <alignment horizontal="left" wrapText="1"/>
    </xf>
    <xf numFmtId="0" fontId="0" fillId="0" borderId="52" xfId="0" applyBorder="1"/>
    <xf numFmtId="9" fontId="10" fillId="0" borderId="0" xfId="1" applyFont="1" applyAlignment="1"/>
    <xf numFmtId="0" fontId="10" fillId="0" borderId="55" xfId="0" applyFont="1" applyBorder="1"/>
    <xf numFmtId="0" fontId="27" fillId="14" borderId="32" xfId="13" applyFont="1" applyFill="1" applyBorder="1" applyAlignment="1">
      <alignment horizontal="center" vertical="center"/>
    </xf>
    <xf numFmtId="0" fontId="27" fillId="9" borderId="28" xfId="13" applyFont="1" applyFill="1" applyBorder="1" applyAlignment="1">
      <alignment horizontal="center" vertical="center"/>
    </xf>
    <xf numFmtId="0" fontId="27" fillId="9" borderId="27" xfId="13" applyFont="1" applyFill="1" applyBorder="1" applyAlignment="1">
      <alignment horizontal="center" vertical="center"/>
    </xf>
    <xf numFmtId="0" fontId="27" fillId="14" borderId="41" xfId="13" applyFont="1" applyFill="1" applyBorder="1" applyAlignment="1">
      <alignment horizontal="center" vertical="center"/>
    </xf>
    <xf numFmtId="0" fontId="27" fillId="9" borderId="29" xfId="9" applyNumberFormat="1" applyFill="1" applyBorder="1" applyAlignment="1">
      <alignment horizontal="center" vertical="center"/>
    </xf>
    <xf numFmtId="0" fontId="27" fillId="9" borderId="44" xfId="9" applyNumberFormat="1" applyFill="1" applyBorder="1">
      <alignment horizontal="left" vertical="center"/>
    </xf>
    <xf numFmtId="2" fontId="27" fillId="10" borderId="29" xfId="0" applyNumberFormat="1" applyFont="1" applyFill="1" applyBorder="1" applyAlignment="1">
      <alignment horizontal="right"/>
    </xf>
    <xf numFmtId="0" fontId="27" fillId="9" borderId="34" xfId="9" applyNumberFormat="1" applyFill="1" applyBorder="1">
      <alignment horizontal="left" vertical="center"/>
    </xf>
    <xf numFmtId="0" fontId="27" fillId="9" borderId="29" xfId="9" applyNumberFormat="1" applyFill="1" applyBorder="1" applyAlignment="1">
      <alignment horizontal="left" vertical="center" indent="1"/>
    </xf>
    <xf numFmtId="0" fontId="27" fillId="9" borderId="29" xfId="10" applyNumberFormat="1" applyFont="1" applyFill="1" applyBorder="1">
      <alignment horizontal="left" vertical="center" indent="2"/>
    </xf>
    <xf numFmtId="2" fontId="27" fillId="11" borderId="29" xfId="0" applyNumberFormat="1" applyFont="1" applyFill="1" applyBorder="1" applyAlignment="1">
      <alignment horizontal="right"/>
    </xf>
    <xf numFmtId="0" fontId="27" fillId="9" borderId="39" xfId="9" applyNumberFormat="1" applyFill="1" applyBorder="1" applyAlignment="1">
      <alignment horizontal="left" vertical="center" indent="1"/>
    </xf>
    <xf numFmtId="0" fontId="27" fillId="9" borderId="29" xfId="10" applyNumberFormat="1" applyFont="1" applyFill="1" applyBorder="1" applyAlignment="1">
      <alignment horizontal="left" vertical="top" wrapText="1" indent="2"/>
    </xf>
    <xf numFmtId="0" fontId="27" fillId="9" borderId="44" xfId="9" applyNumberFormat="1" applyFill="1" applyBorder="1" applyAlignment="1">
      <alignment horizontal="left" vertical="center" indent="1"/>
    </xf>
    <xf numFmtId="0" fontId="27" fillId="9" borderId="29" xfId="9" applyNumberFormat="1" applyFill="1" applyBorder="1">
      <alignment horizontal="left" vertical="center"/>
    </xf>
    <xf numFmtId="2" fontId="27" fillId="12" borderId="29" xfId="0" applyNumberFormat="1" applyFont="1" applyFill="1" applyBorder="1" applyAlignment="1">
      <alignment horizontal="right"/>
    </xf>
    <xf numFmtId="0" fontId="27" fillId="9" borderId="39" xfId="9" applyNumberFormat="1" applyFill="1" applyBorder="1">
      <alignment horizontal="left" vertical="center"/>
    </xf>
    <xf numFmtId="0" fontId="27" fillId="9" borderId="29" xfId="11" applyNumberFormat="1" applyFont="1" applyFill="1" applyBorder="1" applyAlignment="1">
      <alignment horizontal="left" vertical="center" indent="2"/>
    </xf>
    <xf numFmtId="0" fontId="27" fillId="9" borderId="30" xfId="9" applyNumberFormat="1" applyFill="1" applyBorder="1" applyAlignment="1">
      <alignment horizontal="left" vertical="center" indent="1"/>
    </xf>
    <xf numFmtId="0" fontId="27" fillId="9" borderId="29" xfId="12" applyFont="1" applyBorder="1" applyAlignment="1">
      <alignment horizontal="left" vertical="center" indent="2"/>
    </xf>
    <xf numFmtId="0" fontId="27" fillId="14" borderId="29" xfId="11" applyFont="1" applyFill="1" applyBorder="1">
      <alignment horizontal="left" vertical="center" indent="5"/>
    </xf>
    <xf numFmtId="0" fontId="27" fillId="14" borderId="39" xfId="9" applyFill="1" applyBorder="1">
      <alignment horizontal="left" vertical="center"/>
    </xf>
    <xf numFmtId="0" fontId="27" fillId="14" borderId="31" xfId="11" applyFont="1" applyFill="1" applyBorder="1">
      <alignment horizontal="left" vertical="center" indent="5"/>
    </xf>
    <xf numFmtId="0" fontId="27" fillId="14" borderId="31" xfId="11" applyFont="1" applyFill="1" applyBorder="1" applyAlignment="1">
      <alignment horizontal="left" vertical="center" indent="2"/>
    </xf>
    <xf numFmtId="0" fontId="27" fillId="7" borderId="29" xfId="0" applyFont="1" applyFill="1" applyBorder="1" applyAlignment="1">
      <alignment horizontal="left" indent="4"/>
    </xf>
    <xf numFmtId="0" fontId="27" fillId="7" borderId="29" xfId="0" applyFont="1" applyFill="1" applyBorder="1" applyAlignment="1">
      <alignment horizontal="left" indent="6"/>
    </xf>
    <xf numFmtId="0" fontId="27" fillId="14" borderId="31" xfId="13" applyFont="1" applyFill="1" applyBorder="1" applyAlignment="1">
      <alignment horizontal="left" vertical="center" indent="2"/>
    </xf>
    <xf numFmtId="0" fontId="27" fillId="14" borderId="29" xfId="11" applyFont="1" applyFill="1" applyBorder="1" applyAlignment="1">
      <alignment horizontal="left" vertical="center" indent="2"/>
    </xf>
    <xf numFmtId="0" fontId="34" fillId="14" borderId="29" xfId="11" applyFont="1" applyFill="1" applyBorder="1">
      <alignment horizontal="left" vertical="center" indent="5"/>
    </xf>
    <xf numFmtId="0" fontId="34" fillId="14" borderId="29" xfId="13" applyFont="1" applyFill="1" applyBorder="1" applyAlignment="1">
      <alignment horizontal="left" vertical="center" indent="2"/>
    </xf>
    <xf numFmtId="0" fontId="34" fillId="14" borderId="29" xfId="13" applyFont="1" applyFill="1" applyBorder="1" applyAlignment="1">
      <alignment horizontal="left" vertical="center" indent="5"/>
    </xf>
    <xf numFmtId="0" fontId="27" fillId="7" borderId="29" xfId="0" applyFont="1" applyFill="1" applyBorder="1" applyAlignment="1">
      <alignment horizontal="left" indent="8"/>
    </xf>
    <xf numFmtId="0" fontId="27" fillId="14" borderId="29" xfId="9" applyFill="1" applyBorder="1">
      <alignment horizontal="left" vertical="center"/>
    </xf>
    <xf numFmtId="0" fontId="27" fillId="14" borderId="29" xfId="11" applyFont="1" applyFill="1" applyBorder="1" applyAlignment="1">
      <alignment horizontal="left" vertical="center" indent="1"/>
    </xf>
    <xf numFmtId="0" fontId="27" fillId="14" borderId="29" xfId="13" applyFont="1" applyFill="1" applyBorder="1" applyAlignment="1">
      <alignment horizontal="left" vertical="center" indent="2"/>
    </xf>
    <xf numFmtId="0" fontId="34" fillId="14" borderId="31" xfId="11" applyFont="1" applyFill="1" applyBorder="1" applyAlignment="1">
      <alignment horizontal="left" vertical="center" indent="2"/>
    </xf>
    <xf numFmtId="0" fontId="27" fillId="9" borderId="29" xfId="10" applyFont="1" applyFill="1" applyBorder="1">
      <alignment horizontal="left" vertical="center" indent="2"/>
    </xf>
    <xf numFmtId="0" fontId="27" fillId="9" borderId="39" xfId="10" applyFont="1" applyFill="1" applyBorder="1">
      <alignment horizontal="left" vertical="center" indent="2"/>
    </xf>
    <xf numFmtId="0" fontId="27" fillId="9" borderId="30" xfId="10" applyFont="1" applyFill="1" applyBorder="1">
      <alignment horizontal="left" vertical="center" indent="2"/>
    </xf>
    <xf numFmtId="0" fontId="27" fillId="9" borderId="30" xfId="10" applyFont="1" applyFill="1" applyBorder="1" applyAlignment="1">
      <alignment horizontal="left" vertical="center" wrapText="1" indent="2"/>
    </xf>
    <xf numFmtId="0" fontId="27" fillId="9" borderId="39" xfId="9" applyFill="1" applyBorder="1" applyProtection="1">
      <alignment horizontal="left" vertical="center"/>
    </xf>
    <xf numFmtId="0" fontId="27" fillId="9" borderId="29" xfId="10" applyFont="1" applyFill="1" applyBorder="1" applyAlignment="1">
      <alignment horizontal="left" vertical="center"/>
    </xf>
    <xf numFmtId="0" fontId="27" fillId="9" borderId="30" xfId="10" applyFont="1" applyFill="1" applyBorder="1" applyAlignment="1">
      <alignment horizontal="left" vertical="center"/>
    </xf>
    <xf numFmtId="0" fontId="27" fillId="9" borderId="29" xfId="9" applyFill="1" applyBorder="1" applyProtection="1">
      <alignment horizontal="left" vertical="center"/>
    </xf>
    <xf numFmtId="0" fontId="27" fillId="9" borderId="39" xfId="9" applyFill="1" applyBorder="1" applyAlignment="1" applyProtection="1">
      <alignment horizontal="left" vertical="center" wrapText="1"/>
    </xf>
    <xf numFmtId="0" fontId="27" fillId="9" borderId="30" xfId="9" applyFill="1" applyBorder="1" applyProtection="1">
      <alignment horizontal="left" vertical="center"/>
    </xf>
    <xf numFmtId="0" fontId="27" fillId="9" borderId="32" xfId="9" applyFill="1" applyBorder="1" applyAlignment="1" applyProtection="1">
      <alignment horizontal="center" vertical="center"/>
    </xf>
    <xf numFmtId="0" fontId="27" fillId="9" borderId="40" xfId="9" applyFill="1" applyBorder="1" applyProtection="1">
      <alignment horizontal="left" vertical="center"/>
    </xf>
    <xf numFmtId="0" fontId="27"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9" fillId="0" borderId="0" xfId="0" applyNumberFormat="1" applyFont="1"/>
    <xf numFmtId="11" fontId="0" fillId="0" borderId="26" xfId="0" applyNumberFormat="1" applyBorder="1" applyAlignment="1">
      <alignment wrapText="1"/>
    </xf>
    <xf numFmtId="0" fontId="15" fillId="44" borderId="0" xfId="0" applyFont="1" applyFill="1"/>
    <xf numFmtId="0" fontId="9" fillId="0" borderId="0" xfId="0" applyFont="1"/>
    <xf numFmtId="0" fontId="10" fillId="0" borderId="0" xfId="0" applyFont="1" applyAlignment="1">
      <alignment horizontal="left"/>
    </xf>
    <xf numFmtId="0" fontId="9" fillId="0" borderId="0" xfId="0" applyFont="1" applyAlignment="1">
      <alignment horizontal="left"/>
    </xf>
    <xf numFmtId="0" fontId="10" fillId="0" borderId="0" xfId="1" applyNumberFormat="1" applyFont="1" applyFill="1" applyBorder="1" applyAlignment="1"/>
    <xf numFmtId="0" fontId="15" fillId="45" borderId="55" xfId="0" applyFont="1" applyFill="1" applyBorder="1" applyAlignment="1">
      <alignment wrapText="1"/>
    </xf>
    <xf numFmtId="0" fontId="0" fillId="0" borderId="55" xfId="0" applyBorder="1" applyAlignment="1">
      <alignment wrapText="1"/>
    </xf>
    <xf numFmtId="0" fontId="15" fillId="44" borderId="55" xfId="0" applyFont="1" applyFill="1" applyBorder="1" applyAlignment="1">
      <alignment wrapText="1"/>
    </xf>
    <xf numFmtId="49" fontId="0" fillId="0" borderId="55" xfId="0" applyNumberFormat="1" applyBorder="1" applyAlignment="1">
      <alignment wrapText="1"/>
    </xf>
    <xf numFmtId="49" fontId="9" fillId="0" borderId="55" xfId="0" applyNumberFormat="1" applyFont="1" applyBorder="1" applyAlignment="1">
      <alignment wrapText="1"/>
    </xf>
    <xf numFmtId="0" fontId="10" fillId="0" borderId="55" xfId="0" applyFont="1" applyBorder="1" applyAlignment="1">
      <alignment wrapText="1"/>
    </xf>
    <xf numFmtId="2" fontId="29" fillId="7" borderId="98" xfId="0" applyNumberFormat="1" applyFont="1" applyFill="1" applyBorder="1" applyAlignment="1">
      <alignment horizontal="right"/>
    </xf>
    <xf numFmtId="2" fontId="29" fillId="12" borderId="98" xfId="0" applyNumberFormat="1" applyFont="1" applyFill="1" applyBorder="1" applyAlignment="1">
      <alignment horizontal="right"/>
    </xf>
    <xf numFmtId="2" fontId="29" fillId="11" borderId="98" xfId="0" applyNumberFormat="1" applyFont="1" applyFill="1" applyBorder="1" applyAlignment="1">
      <alignment horizontal="right"/>
    </xf>
    <xf numFmtId="0" fontId="29" fillId="15" borderId="39" xfId="13" applyFill="1" applyBorder="1" applyAlignment="1">
      <alignment horizontal="right" vertical="center"/>
    </xf>
    <xf numFmtId="2" fontId="29" fillId="10" borderId="98" xfId="0" applyNumberFormat="1" applyFont="1" applyFill="1" applyBorder="1" applyAlignment="1">
      <alignment horizontal="right"/>
    </xf>
    <xf numFmtId="0" fontId="29" fillId="9" borderId="98" xfId="10" applyFont="1" applyFill="1" applyBorder="1" applyAlignment="1">
      <alignment horizontal="left" vertical="center"/>
    </xf>
    <xf numFmtId="0" fontId="29" fillId="9" borderId="98" xfId="11" applyFont="1" applyFill="1" applyBorder="1" applyAlignment="1">
      <alignment horizontal="left" vertical="center"/>
    </xf>
    <xf numFmtId="0" fontId="29" fillId="9" borderId="103" xfId="10" applyFont="1" applyFill="1" applyBorder="1" applyAlignment="1">
      <alignment horizontal="left" vertical="center"/>
    </xf>
    <xf numFmtId="0" fontId="27" fillId="9" borderId="98" xfId="13" applyFont="1" applyFill="1" applyBorder="1" applyAlignment="1">
      <alignment horizontal="left" vertical="center" wrapText="1"/>
    </xf>
    <xf numFmtId="0" fontId="27" fillId="9" borderId="98" xfId="9" applyFill="1" applyBorder="1" applyProtection="1">
      <alignment horizontal="left" vertical="center"/>
    </xf>
    <xf numFmtId="0" fontId="29" fillId="10" borderId="98" xfId="0" applyFont="1" applyFill="1" applyBorder="1" applyAlignment="1">
      <alignment horizontal="left" indent="2"/>
    </xf>
    <xf numFmtId="0" fontId="29" fillId="9" borderId="98" xfId="13" applyFill="1" applyBorder="1" applyAlignment="1">
      <alignment horizontal="left" vertical="center" wrapText="1"/>
    </xf>
    <xf numFmtId="0" fontId="29" fillId="9" borderId="98" xfId="13" applyFill="1" applyBorder="1" applyAlignment="1">
      <alignment vertical="center" wrapText="1"/>
    </xf>
    <xf numFmtId="0" fontId="29" fillId="9" borderId="98" xfId="9" applyFont="1" applyFill="1" applyBorder="1" applyProtection="1">
      <alignment horizontal="left" vertical="center"/>
    </xf>
    <xf numFmtId="0" fontId="29" fillId="9" borderId="98" xfId="9" applyFont="1" applyFill="1" applyBorder="1" applyAlignment="1" applyProtection="1">
      <alignment horizontal="left" vertical="center" wrapText="1"/>
    </xf>
    <xf numFmtId="0" fontId="29" fillId="9" borderId="98" xfId="13" applyFill="1" applyBorder="1" applyAlignment="1">
      <alignment vertical="center"/>
    </xf>
    <xf numFmtId="0" fontId="29" fillId="9" borderId="98" xfId="10" applyFont="1" applyFill="1" applyBorder="1">
      <alignment horizontal="left" vertical="center" indent="2"/>
    </xf>
    <xf numFmtId="0" fontId="35" fillId="9" borderId="98" xfId="10" applyFont="1" applyFill="1" applyBorder="1" applyAlignment="1">
      <alignment horizontal="left" vertical="center" indent="4"/>
    </xf>
    <xf numFmtId="0" fontId="29" fillId="9" borderId="98" xfId="11" applyFont="1" applyFill="1" applyBorder="1">
      <alignment horizontal="left" vertical="center" indent="5"/>
    </xf>
    <xf numFmtId="0" fontId="29" fillId="10" borderId="98" xfId="0" applyFont="1" applyFill="1" applyBorder="1" applyAlignment="1">
      <alignment horizontal="left" indent="8"/>
    </xf>
    <xf numFmtId="0" fontId="29" fillId="10" borderId="98" xfId="0" applyFont="1" applyFill="1" applyBorder="1" applyAlignment="1">
      <alignment horizontal="left" indent="4"/>
    </xf>
    <xf numFmtId="0" fontId="29" fillId="9" borderId="98" xfId="10" applyFont="1" applyFill="1" applyBorder="1" applyAlignment="1">
      <alignment horizontal="left" vertical="center" indent="4"/>
    </xf>
    <xf numFmtId="0" fontId="29" fillId="10" borderId="98" xfId="0" applyFont="1" applyFill="1" applyBorder="1" applyAlignment="1">
      <alignment horizontal="left" indent="6"/>
    </xf>
    <xf numFmtId="0" fontId="29" fillId="9" borderId="39" xfId="10" applyFont="1" applyFill="1" applyBorder="1">
      <alignment horizontal="left" vertical="center" indent="2"/>
    </xf>
    <xf numFmtId="0" fontId="29" fillId="9" borderId="98" xfId="15" applyFont="1" applyFill="1" applyBorder="1" applyAlignment="1">
      <alignment horizontal="left" vertical="top" wrapText="1"/>
    </xf>
    <xf numFmtId="0" fontId="29" fillId="9" borderId="103" xfId="15" applyFont="1" applyFill="1" applyBorder="1" applyAlignment="1">
      <alignment horizontal="left" vertical="top" wrapText="1"/>
    </xf>
    <xf numFmtId="0" fontId="27" fillId="9" borderId="98" xfId="15" applyFont="1" applyFill="1" applyBorder="1" applyAlignment="1">
      <alignment horizontal="left" vertical="top" wrapText="1"/>
    </xf>
    <xf numFmtId="0" fontId="27" fillId="9" borderId="98" xfId="16" applyFont="1" applyBorder="1" applyAlignment="1">
      <alignment horizontal="left" vertical="center"/>
    </xf>
    <xf numFmtId="4" fontId="27" fillId="9" borderId="98" xfId="13" applyNumberFormat="1" applyFont="1" applyFill="1" applyBorder="1" applyAlignment="1">
      <alignment vertical="center"/>
    </xf>
    <xf numFmtId="0" fontId="29" fillId="9" borderId="98" xfId="10" applyFont="1" applyFill="1" applyBorder="1" applyAlignment="1">
      <alignment horizontal="left" vertical="center" wrapText="1"/>
    </xf>
    <xf numFmtId="4" fontId="29" fillId="9" borderId="98" xfId="13" applyNumberFormat="1" applyFill="1" applyBorder="1" applyAlignment="1">
      <alignment horizontal="left" vertical="center"/>
    </xf>
    <xf numFmtId="4" fontId="29" fillId="9" borderId="98" xfId="13" applyNumberFormat="1" applyFill="1" applyBorder="1" applyAlignment="1">
      <alignment horizontal="left" vertical="center" wrapText="1"/>
    </xf>
    <xf numFmtId="0" fontId="10" fillId="0" borderId="0" xfId="1" applyNumberFormat="1" applyFont="1" applyAlignment="1"/>
    <xf numFmtId="0" fontId="0" fillId="91" borderId="0" xfId="0" applyFill="1"/>
    <xf numFmtId="1" fontId="9" fillId="0" borderId="0" xfId="1" applyNumberFormat="1" applyFont="1" applyFill="1" applyBorder="1" applyAlignment="1">
      <alignment wrapText="1"/>
    </xf>
    <xf numFmtId="0" fontId="9" fillId="0" borderId="0" xfId="1" applyNumberFormat="1" applyFont="1" applyFill="1" applyBorder="1" applyAlignment="1">
      <alignment wrapText="1"/>
    </xf>
    <xf numFmtId="9" fontId="9" fillId="0" borderId="0" xfId="1" applyFont="1" applyAlignment="1">
      <alignment wrapText="1"/>
    </xf>
    <xf numFmtId="0" fontId="12" fillId="0" borderId="0" xfId="2"/>
    <xf numFmtId="0" fontId="0" fillId="92" borderId="0" xfId="0" applyFill="1"/>
    <xf numFmtId="0" fontId="0" fillId="93" borderId="0" xfId="0" applyFill="1"/>
    <xf numFmtId="0" fontId="115" fillId="0" borderId="0" xfId="0" applyFont="1" applyAlignment="1">
      <alignment wrapText="1"/>
    </xf>
    <xf numFmtId="0" fontId="115" fillId="0" borderId="26" xfId="0" applyFont="1" applyBorder="1" applyAlignment="1">
      <alignment wrapText="1"/>
    </xf>
    <xf numFmtId="0" fontId="15" fillId="94" borderId="0" xfId="0" applyFont="1" applyFill="1" applyAlignment="1">
      <alignment wrapText="1"/>
    </xf>
    <xf numFmtId="0" fontId="116" fillId="94" borderId="0" xfId="0" applyFont="1" applyFill="1" applyAlignment="1">
      <alignment wrapText="1"/>
    </xf>
    <xf numFmtId="0" fontId="116" fillId="94" borderId="0" xfId="0" applyFont="1" applyFill="1"/>
    <xf numFmtId="9" fontId="10" fillId="0" borderId="0" xfId="0" applyNumberFormat="1" applyFont="1"/>
    <xf numFmtId="49" fontId="116" fillId="94" borderId="0" xfId="0" applyNumberFormat="1" applyFont="1" applyFill="1" applyAlignment="1">
      <alignment wrapText="1"/>
    </xf>
    <xf numFmtId="49" fontId="0" fillId="0" borderId="0" xfId="0" applyNumberFormat="1"/>
    <xf numFmtId="0" fontId="5" fillId="0" borderId="0" xfId="0" applyFont="1"/>
    <xf numFmtId="0" fontId="8" fillId="95" borderId="0" xfId="0" applyFont="1" applyFill="1"/>
    <xf numFmtId="0" fontId="117" fillId="0" borderId="0" xfId="0" applyFont="1" applyAlignment="1">
      <alignment wrapText="1"/>
    </xf>
    <xf numFmtId="0" fontId="4" fillId="0" borderId="0" xfId="0" applyFont="1"/>
    <xf numFmtId="0" fontId="4" fillId="0" borderId="0" xfId="0" applyFont="1" applyAlignment="1">
      <alignment horizontal="left"/>
    </xf>
    <xf numFmtId="0" fontId="3" fillId="0" borderId="0" xfId="0" applyFont="1"/>
    <xf numFmtId="0" fontId="0" fillId="96" borderId="0" xfId="0" applyFill="1"/>
    <xf numFmtId="0" fontId="2" fillId="0" borderId="0" xfId="0" applyFont="1"/>
    <xf numFmtId="0" fontId="0" fillId="97" borderId="0" xfId="0" applyFill="1"/>
    <xf numFmtId="0" fontId="0" fillId="0" borderId="0" xfId="1" applyNumberFormat="1" applyFont="1" applyFill="1" applyBorder="1" applyAlignment="1">
      <alignment wrapText="1"/>
    </xf>
    <xf numFmtId="0" fontId="1" fillId="0" borderId="0" xfId="0" applyFont="1"/>
    <xf numFmtId="0" fontId="8" fillId="20" borderId="0" xfId="0" applyFont="1" applyFill="1" applyAlignment="1">
      <alignment horizontal="center"/>
    </xf>
    <xf numFmtId="0" fontId="24" fillId="8" borderId="0" xfId="7" applyFill="1" applyAlignment="1">
      <alignment horizontal="left"/>
    </xf>
    <xf numFmtId="0" fontId="27" fillId="9" borderId="30" xfId="9" applyNumberFormat="1" applyFill="1" applyBorder="1" applyAlignment="1">
      <alignment horizontal="left" vertical="top"/>
    </xf>
    <xf numFmtId="0" fontId="27" fillId="9" borderId="40" xfId="9" applyNumberFormat="1" applyFill="1" applyBorder="1" applyAlignment="1">
      <alignment horizontal="left" vertical="top"/>
    </xf>
    <xf numFmtId="0" fontId="27" fillId="9" borderId="27" xfId="9" applyNumberFormat="1" applyFill="1" applyBorder="1" applyAlignment="1">
      <alignment horizontal="center" vertical="center"/>
    </xf>
    <xf numFmtId="0" fontId="27" fillId="9" borderId="28" xfId="9" applyNumberFormat="1" applyFill="1" applyBorder="1" applyAlignment="1">
      <alignment horizontal="center" vertical="center"/>
    </xf>
    <xf numFmtId="0" fontId="27" fillId="9" borderId="41" xfId="9" applyNumberFormat="1" applyFill="1" applyBorder="1" applyAlignment="1">
      <alignment horizontal="center" vertical="center"/>
    </xf>
    <xf numFmtId="0" fontId="24" fillId="8" borderId="23" xfId="7" applyFill="1" applyBorder="1" applyAlignment="1">
      <alignment horizontal="left"/>
    </xf>
    <xf numFmtId="0" fontId="24" fillId="8" borderId="24" xfId="7" applyFill="1" applyBorder="1" applyAlignment="1">
      <alignment horizontal="left"/>
    </xf>
    <xf numFmtId="0" fontId="27" fillId="14" borderId="30" xfId="13" applyFont="1" applyFill="1" applyBorder="1" applyAlignment="1">
      <alignment horizontal="left" vertical="top"/>
    </xf>
    <xf numFmtId="0" fontId="27" fillId="14" borderId="34" xfId="13" applyFont="1" applyFill="1" applyBorder="1" applyAlignment="1">
      <alignment horizontal="left" vertical="top"/>
    </xf>
    <xf numFmtId="0" fontId="27" fillId="14" borderId="40" xfId="13" applyFont="1" applyFill="1" applyBorder="1" applyAlignment="1">
      <alignment horizontal="left" vertical="top"/>
    </xf>
    <xf numFmtId="0" fontId="27" fillId="14" borderId="31" xfId="13" applyFont="1" applyFill="1" applyBorder="1" applyAlignment="1">
      <alignment horizontal="center" vertical="center"/>
    </xf>
    <xf numFmtId="0" fontId="27" fillId="8" borderId="32" xfId="3" applyFont="1" applyFill="1" applyBorder="1" applyAlignment="1">
      <alignment horizontal="center" vertical="center"/>
    </xf>
    <xf numFmtId="0" fontId="27" fillId="14" borderId="33" xfId="13" applyFont="1" applyFill="1" applyBorder="1" applyAlignment="1">
      <alignment horizontal="center" vertical="center"/>
    </xf>
    <xf numFmtId="0" fontId="27" fillId="14" borderId="32" xfId="13" applyFont="1" applyFill="1" applyBorder="1" applyAlignment="1">
      <alignment horizontal="center" vertical="center"/>
    </xf>
    <xf numFmtId="0" fontId="27" fillId="8" borderId="33" xfId="3" applyFont="1" applyFill="1" applyBorder="1" applyAlignment="1">
      <alignment horizontal="center" vertical="center"/>
    </xf>
    <xf numFmtId="0" fontId="27" fillId="14" borderId="35" xfId="13" applyFont="1" applyFill="1" applyBorder="1" applyAlignment="1">
      <alignment horizontal="center" vertical="center"/>
    </xf>
    <xf numFmtId="0" fontId="27" fillId="14" borderId="36" xfId="13" applyFont="1" applyFill="1" applyBorder="1" applyAlignment="1">
      <alignment horizontal="center" vertical="center"/>
    </xf>
    <xf numFmtId="0" fontId="27" fillId="14" borderId="37" xfId="13" applyFont="1" applyFill="1" applyBorder="1" applyAlignment="1">
      <alignment horizontal="center" vertical="center"/>
    </xf>
    <xf numFmtId="0" fontId="27" fillId="14" borderId="38" xfId="13" applyFont="1" applyFill="1" applyBorder="1" applyAlignment="1">
      <alignment horizontal="center" vertical="center"/>
    </xf>
    <xf numFmtId="0" fontId="27" fillId="14" borderId="30" xfId="13" applyFont="1" applyFill="1" applyBorder="1" applyAlignment="1">
      <alignment horizontal="center" vertical="center"/>
    </xf>
    <xf numFmtId="0" fontId="27" fillId="14" borderId="39" xfId="13" applyFont="1" applyFill="1" applyBorder="1" applyAlignment="1">
      <alignment horizontal="center" vertical="center"/>
    </xf>
    <xf numFmtId="0" fontId="27" fillId="8" borderId="39" xfId="3" applyFont="1" applyFill="1" applyBorder="1" applyAlignment="1">
      <alignment horizontal="center" vertical="center"/>
    </xf>
    <xf numFmtId="0" fontId="27" fillId="9" borderId="28" xfId="13" applyFont="1" applyFill="1" applyBorder="1" applyAlignment="1">
      <alignment horizontal="center" vertical="center"/>
    </xf>
    <xf numFmtId="0" fontId="27" fillId="9" borderId="41" xfId="13" applyFont="1" applyFill="1" applyBorder="1" applyAlignment="1">
      <alignment horizontal="center" vertical="center"/>
    </xf>
    <xf numFmtId="0" fontId="27" fillId="9" borderId="27" xfId="13" applyFont="1" applyFill="1" applyBorder="1" applyAlignment="1">
      <alignment horizontal="center" vertical="center"/>
    </xf>
    <xf numFmtId="0" fontId="27" fillId="8" borderId="28" xfId="3" applyFont="1" applyFill="1" applyBorder="1" applyAlignment="1">
      <alignment horizontal="center" vertical="center"/>
    </xf>
    <xf numFmtId="0" fontId="27" fillId="8" borderId="41" xfId="3" applyFont="1" applyFill="1" applyBorder="1" applyAlignment="1">
      <alignment horizontal="center" vertical="center"/>
    </xf>
    <xf numFmtId="0" fontId="27" fillId="14" borderId="27" xfId="13" applyFont="1" applyFill="1" applyBorder="1" applyAlignment="1">
      <alignment horizontal="center" vertical="center"/>
    </xf>
    <xf numFmtId="0" fontId="27" fillId="14" borderId="41" xfId="13" applyFont="1" applyFill="1" applyBorder="1" applyAlignment="1">
      <alignment horizontal="center" vertical="center"/>
    </xf>
    <xf numFmtId="0" fontId="24" fillId="17" borderId="0" xfId="7" applyFill="1" applyAlignment="1">
      <alignment horizontal="left" vertical="center"/>
    </xf>
    <xf numFmtId="0" fontId="27" fillId="9" borderId="27" xfId="13" applyFont="1" applyFill="1" applyBorder="1" applyAlignment="1">
      <alignment horizontal="center" vertical="center" wrapText="1"/>
    </xf>
    <xf numFmtId="0" fontId="27" fillId="9" borderId="41" xfId="13" applyFont="1" applyFill="1" applyBorder="1" applyAlignment="1">
      <alignment horizontal="center" vertical="center" wrapText="1"/>
    </xf>
    <xf numFmtId="0" fontId="27" fillId="8" borderId="28" xfId="3" applyFont="1" applyFill="1" applyBorder="1" applyAlignment="1">
      <alignment horizontal="center" vertical="center" wrapText="1"/>
    </xf>
    <xf numFmtId="0" fontId="27" fillId="8" borderId="41" xfId="3" applyFont="1" applyFill="1" applyBorder="1" applyAlignment="1">
      <alignment horizontal="center" vertical="center" wrapText="1"/>
    </xf>
    <xf numFmtId="4" fontId="27" fillId="9" borderId="30" xfId="13" applyNumberFormat="1" applyFont="1" applyFill="1" applyBorder="1" applyAlignment="1">
      <alignment horizontal="left" vertical="center" wrapText="1"/>
    </xf>
    <xf numFmtId="4" fontId="27" fillId="9" borderId="40" xfId="13" applyNumberFormat="1" applyFont="1" applyFill="1" applyBorder="1" applyAlignment="1">
      <alignment horizontal="left" vertical="center" wrapText="1"/>
    </xf>
    <xf numFmtId="4" fontId="27" fillId="9" borderId="27" xfId="13" applyNumberFormat="1" applyFont="1" applyFill="1" applyBorder="1" applyAlignment="1">
      <alignment horizontal="center" vertical="center"/>
    </xf>
    <xf numFmtId="4" fontId="27" fillId="9" borderId="28" xfId="13" applyNumberFormat="1" applyFont="1" applyFill="1" applyBorder="1" applyAlignment="1">
      <alignment horizontal="center" vertical="center"/>
    </xf>
    <xf numFmtId="4" fontId="27" fillId="9" borderId="41" xfId="13" applyNumberFormat="1" applyFont="1" applyFill="1" applyBorder="1" applyAlignment="1">
      <alignment horizontal="center" vertical="center"/>
    </xf>
    <xf numFmtId="0" fontId="27" fillId="9" borderId="30" xfId="15" applyFont="1" applyFill="1" applyBorder="1" applyAlignment="1">
      <alignment horizontal="left" vertical="center" wrapText="1"/>
    </xf>
    <xf numFmtId="0" fontId="27" fillId="9" borderId="40" xfId="15" applyFont="1" applyFill="1" applyBorder="1" applyAlignment="1">
      <alignment horizontal="left" vertical="center" wrapText="1"/>
    </xf>
    <xf numFmtId="0" fontId="27" fillId="9" borderId="27" xfId="15" applyFont="1" applyFill="1" applyBorder="1" applyAlignment="1">
      <alignment horizontal="center" vertical="top" wrapText="1"/>
    </xf>
    <xf numFmtId="0" fontId="27" fillId="9" borderId="28" xfId="15" applyFont="1" applyFill="1" applyBorder="1" applyAlignment="1">
      <alignment horizontal="center" vertical="top" wrapText="1"/>
    </xf>
    <xf numFmtId="0" fontId="27" fillId="9" borderId="41" xfId="15" applyFont="1" applyFill="1" applyBorder="1" applyAlignment="1">
      <alignment horizontal="center" vertical="top" wrapText="1"/>
    </xf>
    <xf numFmtId="0" fontId="27" fillId="9" borderId="30" xfId="13" applyFont="1" applyFill="1" applyBorder="1" applyAlignment="1">
      <alignment horizontal="left" vertical="center" wrapText="1"/>
    </xf>
    <xf numFmtId="0" fontId="27" fillId="9" borderId="40" xfId="13" applyFont="1" applyFill="1" applyBorder="1" applyAlignment="1">
      <alignment horizontal="left" vertical="center" wrapText="1"/>
    </xf>
    <xf numFmtId="0" fontId="24" fillId="8" borderId="0" xfId="7" applyFill="1" applyAlignment="1">
      <alignment horizontal="left" vertical="center"/>
    </xf>
    <xf numFmtId="0" fontId="8" fillId="4" borderId="0" xfId="0" applyFont="1" applyFill="1" applyAlignment="1">
      <alignment horizontal="left"/>
    </xf>
    <xf numFmtId="0" fontId="0" fillId="5" borderId="0" xfId="0" applyFill="1" applyAlignment="1">
      <alignment horizontal="left"/>
    </xf>
    <xf numFmtId="0" fontId="8" fillId="39" borderId="0" xfId="0" applyFont="1" applyFill="1" applyAlignment="1">
      <alignment horizontal="center"/>
    </xf>
    <xf numFmtId="0" fontId="19" fillId="6" borderId="5" xfId="0" applyFont="1" applyFill="1" applyBorder="1" applyAlignment="1">
      <alignment horizontal="left" wrapText="1"/>
    </xf>
    <xf numFmtId="0" fontId="19" fillId="6" borderId="6" xfId="0" applyFont="1" applyFill="1" applyBorder="1" applyAlignment="1">
      <alignment horizontal="left" wrapText="1"/>
    </xf>
    <xf numFmtId="0" fontId="19" fillId="6" borderId="7" xfId="0" applyFont="1" applyFill="1" applyBorder="1" applyAlignment="1">
      <alignment horizontal="left" wrapText="1"/>
    </xf>
  </cellXfs>
  <cellStyles count="230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3" xfId="1053" xr:uid="{03857983-E4D6-4D64-86C5-A3D6B35AAA88}"/>
    <cellStyle name="2x indented GHG Textfiels 3 2 2 2 4" xfId="2144" xr:uid="{4E8BC024-56D0-4D26-9DE0-F322AA82D67A}"/>
    <cellStyle name="2x indented GHG Textfiels 3 2 2 3" xfId="1286" xr:uid="{0CF28C5B-11F1-4966-881D-B357254A25A7}"/>
    <cellStyle name="2x indented GHG Textfiels 3 2 2 4" xfId="1245" xr:uid="{300BE154-E514-4A84-ABF4-3385D5CC7C21}"/>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3" xfId="100" xr:uid="{B74BD5CA-C5BD-4F7A-8B38-061D0222CF29}"/>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3" xfId="1231" xr:uid="{F4A2FEB1-0B4A-4863-AF8D-E5471C3D9A36}"/>
    <cellStyle name="2x indented GHG Textfiels 3 3 2 2 4" xfId="2249" xr:uid="{545A1733-F925-4057-B3F6-152E6C2EB55B}"/>
    <cellStyle name="2x indented GHG Textfiels 3 3 2 3" xfId="1391" xr:uid="{15620EDC-20CE-4EA9-BA12-B57C0C902F75}"/>
    <cellStyle name="2x indented GHG Textfiels 3 3 2 4" xfId="1885" xr:uid="{D5DC4F37-5FC5-48B2-8BCE-48082C028730}"/>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3" xfId="1701" xr:uid="{93BFA84F-E739-475E-A620-7657CB8529A4}"/>
    <cellStyle name="2x indented GHG Textfiels 3 3 3 2 4" xfId="2251" xr:uid="{74F363E1-1052-4E54-95EE-55A2488BDC61}"/>
    <cellStyle name="2x indented GHG Textfiels 3 3 3 3" xfId="1393" xr:uid="{B442264E-A2EA-4857-A9A8-61BA6E8A824B}"/>
    <cellStyle name="2x indented GHG Textfiels 3 3 3 4" xfId="934" xr:uid="{93AB9CBD-7AAC-445E-9E51-15928869A48B}"/>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3" xfId="1113" xr:uid="{F877C531-C9E4-4DC2-962C-E23A968EAD7B}"/>
    <cellStyle name="2x indented GHG Textfiels 3 3 4 2 4" xfId="2147" xr:uid="{C3C424E4-2B80-4CAC-8450-62C29EC76CFF}"/>
    <cellStyle name="2x indented GHG Textfiels 3 3 4 3" xfId="1289" xr:uid="{9E9D7A23-AE9E-43AA-8841-1E22E538CFE2}"/>
    <cellStyle name="2x indented GHG Textfiels 3 3 4 4" xfId="1022" xr:uid="{A41E20A6-2984-4EAE-80FC-34CE19514AA9}"/>
    <cellStyle name="2x indented GHG Textfiels 3 3 4 5" xfId="1941" xr:uid="{A8A0112F-EE8A-443A-8318-624FF8E81BC5}"/>
    <cellStyle name="2x indented GHG Textfiels 3 3 5" xfId="1165" xr:uid="{22F2C4A2-0103-42EA-A4C5-2AF14E5876BB}"/>
    <cellStyle name="2x indented GHG Textfiels 3 3 6" xfId="1735" xr:uid="{77196668-FB8C-4CBA-A943-4B10DCAD5381}"/>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3" xfId="987" xr:uid="{4CF491A6-D6AC-46ED-AD79-2F5E762D5E70}"/>
    <cellStyle name="5x indented GHG Textfiels 3 3 2 2 4" xfId="2250" xr:uid="{2EBCEE3B-241B-4ACB-987F-C340DF3AD7B5}"/>
    <cellStyle name="5x indented GHG Textfiels 3 3 2 3" xfId="1392" xr:uid="{5470255A-8590-4D89-B5AF-44A129757709}"/>
    <cellStyle name="5x indented GHG Textfiels 3 3 2 4" xfId="985" xr:uid="{265FDB89-50CE-4742-8EF0-92AD805A510D}"/>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3" xfId="1185" xr:uid="{D594B288-AE01-4B97-AC27-35B64E1868B4}"/>
    <cellStyle name="5x indented GHG Textfiels 3 3 3 2 4" xfId="2197" xr:uid="{2BE1B55F-9170-4AF2-8D79-C047F39B5505}"/>
    <cellStyle name="5x indented GHG Textfiels 3 3 3 3" xfId="1339" xr:uid="{BFF9589D-49E3-4DF8-8CBA-D4F0FB7A15C8}"/>
    <cellStyle name="5x indented GHG Textfiels 3 3 3 4" xfId="973" xr:uid="{82E48B8A-82CD-461D-85F9-5E46F300CFDE}"/>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3" xfId="1903" xr:uid="{35F8E711-4F70-4486-9D03-12382FA74C97}"/>
    <cellStyle name="5x indented GHG Textfiels 3 3 4 2 4" xfId="2281" xr:uid="{323A8E37-5AD5-4C66-896A-8A590E00E8AD}"/>
    <cellStyle name="5x indented GHG Textfiels 3 3 4 3" xfId="1423" xr:uid="{79456AAD-FBAD-4D8A-A0AC-BE8544487FCA}"/>
    <cellStyle name="5x indented GHG Textfiels 3 3 4 4" xfId="1038" xr:uid="{4E23FCDF-CC18-41E0-BFBA-4D56AED82B94}"/>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7" xfId="947" xr:uid="{9E7ED601-8FAB-4AA6-8E12-5292282FEBE2}"/>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3" xfId="1209" xr:uid="{06A1328A-A849-47FF-8942-9E0F97A54D17}"/>
    <cellStyle name="AggGreen 2 2 2 2 4" xfId="2194" xr:uid="{BC78D326-BB1E-42F8-9C87-08BC8AFE96DE}"/>
    <cellStyle name="AggGreen 2 2 2 3" xfId="1336" xr:uid="{766CC3BF-905A-41D8-B387-6CD07CF5461D}"/>
    <cellStyle name="AggGreen 2 2 2 4" xfId="1792" xr:uid="{05E5F431-036F-458E-8A9E-FDB5AB8DE877}"/>
    <cellStyle name="AggGreen 2 2 2 5" xfId="1988" xr:uid="{C7026ED7-6DF4-472A-AE4F-E0EE3BC0A170}"/>
    <cellStyle name="AggGreen 2 2 3" xfId="746" xr:uid="{E331CE03-1B24-4508-AB82-758F6CF16C96}"/>
    <cellStyle name="AggGreen 2 2 3 2" xfId="1459" xr:uid="{A2B45E25-8160-4532-B510-43A7E28C4642}"/>
    <cellStyle name="AggGreen 2 2 3 3" xfId="1059" xr:uid="{0E1F6FD5-055F-4B44-A401-3A828ED86AA5}"/>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3" xfId="1720" xr:uid="{3CF3924D-647C-4861-AEA7-8803232FF47E}"/>
    <cellStyle name="AggGreen 2 3 2 2 4" xfId="2214" xr:uid="{202DE7CC-F014-4042-A7E1-A7D1AC29A21D}"/>
    <cellStyle name="AggGreen 2 3 2 3" xfId="1356" xr:uid="{022A2CB8-B895-4FF1-9BDE-BC7AC519E5C7}"/>
    <cellStyle name="AggGreen 2 3 2 4" xfId="1040" xr:uid="{F932AE3E-8DCD-4DBB-8147-B28B28FEE3DB}"/>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3" xfId="1905" xr:uid="{7823B0FE-24D7-4818-B263-E8652CB5FDA0}"/>
    <cellStyle name="AggGreen 2 3 3 2 4" xfId="2283" xr:uid="{5F8B6056-BBEE-491E-9500-B28E90A06A71}"/>
    <cellStyle name="AggGreen 2 3 3 3" xfId="1425" xr:uid="{C35FCB06-8F65-4B4A-87D2-ED56A7B53AAD}"/>
    <cellStyle name="AggGreen 2 3 3 4" xfId="1789" xr:uid="{9512492F-8C7D-47CB-AC63-222721B34AD7}"/>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3" xfId="1901" xr:uid="{715F10C3-9832-47B7-9173-F6DE1D4FA63C}"/>
    <cellStyle name="AggGreen 2 3 4 2 4" xfId="2279" xr:uid="{EB4AE3BB-C760-48CF-8E72-3435CBBE251E}"/>
    <cellStyle name="AggGreen 2 3 4 3" xfId="1421" xr:uid="{71ED169F-EFFB-4E3D-A8CE-986E03835BB8}"/>
    <cellStyle name="AggGreen 2 3 4 4" xfId="1154" xr:uid="{C374309A-7F22-4887-AD9B-28EB93291C13}"/>
    <cellStyle name="AggGreen 2 3 4 5" xfId="2073" xr:uid="{D68EDB94-EC6C-4DEA-90A0-28CFA4D95770}"/>
    <cellStyle name="AggGreen 2 3 5" xfId="1094" xr:uid="{C583967E-8052-435D-A94D-4D9980E6F84C}"/>
    <cellStyle name="AggGreen 2 3 6" xfId="1241" xr:uid="{A8FA67B3-C227-4925-A9D8-9CA4DE588492}"/>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3" xfId="1234" xr:uid="{3F5391DC-193E-4FDC-B489-565AF9C9412B}"/>
    <cellStyle name="AggGreen 3 2 2 4" xfId="2143" xr:uid="{97E23AC8-2DD1-4E5F-8F22-672A0EF044D6}"/>
    <cellStyle name="AggGreen 3 2 3" xfId="1285" xr:uid="{CDE3F04F-5BD7-427A-9536-05E04A3C774C}"/>
    <cellStyle name="AggGreen 3 2 4" xfId="1731" xr:uid="{10B4CD14-FAF6-4D5F-8DC9-8DBB46344394}"/>
    <cellStyle name="AggGreen 3 2 5" xfId="1937" xr:uid="{9816B01A-FBDC-4B54-85CE-A8FFBC10F00E}"/>
    <cellStyle name="AggGreen 3 3" xfId="745" xr:uid="{4CCE280C-7FCC-4BAA-81F8-C53E5CB03905}"/>
    <cellStyle name="AggGreen 3 3 2" xfId="1458" xr:uid="{CDEF4177-E6EB-4E58-B9F9-A6FA3442A86E}"/>
    <cellStyle name="AggGreen 3 3 3" xfId="1842" xr:uid="{FAF9C88F-AB08-4562-B8C8-6EACB59F77A6}"/>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3" xfId="1662" xr:uid="{68496940-CF8B-4DCF-807C-64AA55E49A98}"/>
    <cellStyle name="AggGreen 4 2 2 4" xfId="2213" xr:uid="{3F0A5057-5152-4572-94F7-8F5214032DD3}"/>
    <cellStyle name="AggGreen 4 2 3" xfId="1355" xr:uid="{1022DC08-113F-4C1C-8CC6-35334E30A8CA}"/>
    <cellStyle name="AggGreen 4 2 4" xfId="1850" xr:uid="{2BA5E206-FB81-41E9-AE60-038F9C529CF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3" xfId="1783" xr:uid="{572F7E37-E08F-44BD-86EC-B881D6A4E265}"/>
    <cellStyle name="AggGreen 4 3 2 4" xfId="2128" xr:uid="{C8ED28A2-385F-42A1-AA4B-1D4DC99B9642}"/>
    <cellStyle name="AggGreen 4 3 3" xfId="1270" xr:uid="{6810ECF9-28FB-45A8-A450-98DC66AE8E3E}"/>
    <cellStyle name="AggGreen 4 3 4" xfId="1756" xr:uid="{309E43B6-4AAE-4C36-B413-E1D59C9558A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3" xfId="994" xr:uid="{2347EDB4-F9EA-483E-8065-112D1739D421}"/>
    <cellStyle name="AggGreen 4 4 2 4" xfId="2246" xr:uid="{2C1BC71F-AB7A-4FBA-88DE-04A33AFD7548}"/>
    <cellStyle name="AggGreen 4 4 3" xfId="1388" xr:uid="{B429D70A-AFCC-4D8B-8C6A-D5B89F576D9F}"/>
    <cellStyle name="AggGreen 4 4 4" xfId="1023" xr:uid="{8E57BC26-D49B-439B-B280-0C4982DF9291}"/>
    <cellStyle name="AggGreen 4 4 5" xfId="2040" xr:uid="{EAE91412-1194-4131-822C-982DCDCEF1DE}"/>
    <cellStyle name="AggGreen 4 5" xfId="1093" xr:uid="{55B14524-22BB-4D11-BBE3-C3A7D78EC00D}"/>
    <cellStyle name="AggGreen 4 6" xfId="1084" xr:uid="{C0E3DEDA-FF74-4297-9819-5BB1DBD09504}"/>
    <cellStyle name="AggGreen 4 7" xfId="1843" xr:uid="{51A7B829-4D8A-48CD-9655-E35F3FF056C9}"/>
    <cellStyle name="AggGreen 5" xfId="112" xr:uid="{F11B0F9C-0615-47E1-8437-7766F1FF0418}"/>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3" xfId="1015" xr:uid="{5DCB1AC4-83DC-4822-8A80-7373C7F4CA9B}"/>
    <cellStyle name="AggGreen12 2 2 2 2 4" xfId="2212" xr:uid="{F7BE7028-4B80-47F2-9D4A-4B9A79E86588}"/>
    <cellStyle name="AggGreen12 2 2 2 3" xfId="1354" xr:uid="{87E5F22A-B8F8-43F9-AF0B-5A05F72332A5}"/>
    <cellStyle name="AggGreen12 2 2 2 4" xfId="1709" xr:uid="{A4A0DDC5-B633-499D-B979-548786C3D16B}"/>
    <cellStyle name="AggGreen12 2 2 2 5" xfId="2006" xr:uid="{C105D39D-060C-41F6-93B5-A7A39C92F8B4}"/>
    <cellStyle name="AggGreen12 2 2 3" xfId="748" xr:uid="{65D0D2D2-FDF4-41B2-B783-AEAB776DB28C}"/>
    <cellStyle name="AggGreen12 2 2 3 2" xfId="1461" xr:uid="{03FECFC3-4FDF-41D5-95C3-7C01AF3114EF}"/>
    <cellStyle name="AggGreen12 2 2 3 3" xfId="1075" xr:uid="{95C54E3F-9583-4876-A466-0932DAF99696}"/>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3" xfId="1239" xr:uid="{7DF2BD0E-EF84-4398-A894-68C7C0E68547}"/>
    <cellStyle name="AggGreen12 2 3 2 2 4" xfId="2216" xr:uid="{D9BEC650-BE85-4339-ACA2-ADC899A579D5}"/>
    <cellStyle name="AggGreen12 2 3 2 3" xfId="1358" xr:uid="{DDC4F145-F714-4C18-9FFD-0392C9F9D3D9}"/>
    <cellStyle name="AggGreen12 2 3 2 4" xfId="1748" xr:uid="{78B63A49-DE70-48E1-B6B4-BCC25881FF67}"/>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3" xfId="64" xr:uid="{AE9A4EA9-39C5-4627-9062-B7864692C0CC}"/>
    <cellStyle name="AggGreen12 2 3 3 2 4" xfId="2165" xr:uid="{FD5AD58D-3ACE-4501-AEE5-283E784BDCD5}"/>
    <cellStyle name="AggGreen12 2 3 3 3" xfId="1307" xr:uid="{3C476B87-AB88-4210-A147-BBAEB3CE0C8C}"/>
    <cellStyle name="AggGreen12 2 3 3 4" xfId="1246" xr:uid="{3A80495D-DE88-4295-912B-D6690152C909}"/>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3" xfId="1832" xr:uid="{F2317132-24BF-4C3F-A131-E37C35683ED1}"/>
    <cellStyle name="AggGreen12 2 3 4 2 4" xfId="2245" xr:uid="{5F7FC0B2-CD9C-413A-A74C-141320F465E5}"/>
    <cellStyle name="AggGreen12 2 3 4 3" xfId="1387" xr:uid="{7BA695ED-1371-4E04-8518-443DD31CBE7F}"/>
    <cellStyle name="AggGreen12 2 3 4 4" xfId="1788" xr:uid="{0881A207-10A4-453C-B1F4-712CE2398912}"/>
    <cellStyle name="AggGreen12 2 3 4 5" xfId="2039" xr:uid="{6A66A989-8955-46D3-BD2A-2930FE5F3791}"/>
    <cellStyle name="AggGreen12 2 3 5" xfId="1096" xr:uid="{626127D5-3FD8-4A7F-A6E9-A1E278147F2B}"/>
    <cellStyle name="AggGreen12 2 3 6" xfId="1148" xr:uid="{1B2DADB5-B6E7-4723-9261-2C05191F49B8}"/>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3" xfId="1706" xr:uid="{11FE432E-7355-432B-B040-D14212C8A362}"/>
    <cellStyle name="AggGreen12 3 2 2 4" xfId="2142" xr:uid="{D57B5DDA-C01D-4E5D-8F82-A8EDF0120225}"/>
    <cellStyle name="AggGreen12 3 2 3" xfId="1284" xr:uid="{CCDA0512-008E-47E5-9C08-2231AAD5A6B5}"/>
    <cellStyle name="AggGreen12 3 2 4" xfId="1880" xr:uid="{9AAC1FBD-FA37-4180-AF19-F66CE8D2D0A7}"/>
    <cellStyle name="AggGreen12 3 2 5" xfId="1936" xr:uid="{86C7AC83-58E4-4C1B-9C4D-03F78AE5AE49}"/>
    <cellStyle name="AggGreen12 3 3" xfId="747" xr:uid="{062232AB-1A51-453B-8CCD-B70C436D8FB7}"/>
    <cellStyle name="AggGreen12 3 3 2" xfId="1460" xr:uid="{E1C72C3D-92A1-4B4D-88B3-4E90FE89048F}"/>
    <cellStyle name="AggGreen12 3 3 3" xfId="1717" xr:uid="{A57DC4CF-A968-414C-A40A-993AB441CC23}"/>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3" xfId="71" xr:uid="{B54DEFBD-2FED-4C97-B5F1-678D915F3874}"/>
    <cellStyle name="AggGreen12 4 2 2 4" xfId="2215" xr:uid="{BBB163EE-4E3B-49AA-A6BA-C1278DA32BBD}"/>
    <cellStyle name="AggGreen12 4 2 3" xfId="1357" xr:uid="{08008CA4-53B9-4658-BC48-160B9B767A74}"/>
    <cellStyle name="AggGreen12 4 2 4" xfId="1855" xr:uid="{885C3EBF-9E56-4023-BFAD-38515656A501}"/>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3" xfId="1254" xr:uid="{6E515307-1874-43CF-98AB-EC94E1FAD8AF}"/>
    <cellStyle name="AggGreen12 4 3 2 4" xfId="2267" xr:uid="{8BE75226-642D-44B5-B845-8E6CFAB236B7}"/>
    <cellStyle name="AggGreen12 4 3 3" xfId="1409" xr:uid="{9BE9315E-9F7E-4477-804E-603CAECA0338}"/>
    <cellStyle name="AggGreen12 4 3 4" xfId="1063" xr:uid="{881ACBE1-5B4F-4024-A7CC-7D92E3BB1F69}"/>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3" xfId="1900" xr:uid="{7F4C2BA3-1260-4F89-8527-E47FEEFE1230}"/>
    <cellStyle name="AggGreen12 4 4 2 4" xfId="2278" xr:uid="{A13E20BB-414C-4BA4-8DF0-9CF8DBB53B1E}"/>
    <cellStyle name="AggGreen12 4 4 3" xfId="1420" xr:uid="{BA65BC79-5EE8-4C41-A82E-E74A7368123E}"/>
    <cellStyle name="AggGreen12 4 4 4" xfId="1071" xr:uid="{1717CB86-0AEC-40FE-85C3-B9C02CCBEF55}"/>
    <cellStyle name="AggGreen12 4 4 5" xfId="2072" xr:uid="{073D9846-811B-49A6-A19B-59DA522546AC}"/>
    <cellStyle name="AggGreen12 4 5" xfId="1095" xr:uid="{752B5672-4B27-452C-88FE-3081BEF9479E}"/>
    <cellStyle name="AggGreen12 4 6" xfId="1144" xr:uid="{80186868-CD9B-476D-846B-912250735832}"/>
    <cellStyle name="AggGreen12 4 7" xfId="1877" xr:uid="{015B4B86-B481-414E-B232-8AB4A1BF2356}"/>
    <cellStyle name="AggGreen12 5" xfId="110" xr:uid="{CB86DE8A-8871-4E3F-BAF1-F2D54064941D}"/>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3" xfId="1215" xr:uid="{B27E5544-00A2-410E-B2F0-E228192F271D}"/>
    <cellStyle name="AggOrange 2 2 2 2 4" xfId="2141" xr:uid="{A24AE636-CBC3-43F4-8D01-542FBD102BE7}"/>
    <cellStyle name="AggOrange 2 2 2 3" xfId="1283" xr:uid="{C57B3DFD-00A4-4B81-82EE-26AC770AF1C8}"/>
    <cellStyle name="AggOrange 2 2 2 4" xfId="1210" xr:uid="{2DBBEEA4-7632-447E-9FC6-592EAAF51B28}"/>
    <cellStyle name="AggOrange 2 2 2 5" xfId="1935" xr:uid="{D0EA2998-8583-4310-B747-B560FBCF6232}"/>
    <cellStyle name="AggOrange 2 2 3" xfId="750" xr:uid="{1A09DC41-510A-4402-87FE-B2E7B270F7CC}"/>
    <cellStyle name="AggOrange 2 2 3 2" xfId="1463" xr:uid="{01D65B2C-817E-42A3-99AC-D60FDC7CCA41}"/>
    <cellStyle name="AggOrange 2 2 3 3" xfId="1644" xr:uid="{FE084408-8490-4D02-8C45-C14E055824C9}"/>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3" xfId="1073" xr:uid="{39C24397-2EF9-439D-8EC8-1DBE90704B13}"/>
    <cellStyle name="AggOrange 2 3 2 2 4" xfId="2218" xr:uid="{D0E27FDD-412E-49CB-8CE1-BE174A5B0842}"/>
    <cellStyle name="AggOrange 2 3 2 3" xfId="1360" xr:uid="{119DABC5-7120-4FD5-A956-5DD52A0B95E0}"/>
    <cellStyle name="AggOrange 2 3 2 4" xfId="1217" xr:uid="{05D012C8-0964-4FFA-8E05-8B360F5C4BE9}"/>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3" xfId="1801" xr:uid="{B8A54D2B-2BB6-41D0-91D6-E78E408466B3}"/>
    <cellStyle name="AggOrange 2 3 3 2 4" xfId="2125" xr:uid="{B336751C-E529-4447-8AAF-53F0691C73E5}"/>
    <cellStyle name="AggOrange 2 3 3 3" xfId="1267" xr:uid="{570DF207-4DE5-4F29-8752-3C675FFF6463}"/>
    <cellStyle name="AggOrange 2 3 3 4" xfId="1212" xr:uid="{1063852F-52F4-4434-9AB1-4C9E70943A6C}"/>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3" xfId="1674" xr:uid="{A2D04DED-1988-42C5-9DD3-644C9B531655}"/>
    <cellStyle name="AggOrange 2 3 4 2 4" xfId="2140" xr:uid="{4BEDC18A-11E0-4409-9056-1A9210F15949}"/>
    <cellStyle name="AggOrange 2 3 4 3" xfId="1282" xr:uid="{F694A762-AE5F-4C1E-94AB-A2B97AA44C40}"/>
    <cellStyle name="AggOrange 2 3 4 4" xfId="1889" xr:uid="{73B8784F-AB33-4480-B1A1-C8FEAB8F777E}"/>
    <cellStyle name="AggOrange 2 3 4 5" xfId="1934" xr:uid="{7B5236FE-B396-406F-B860-4A5DE6CFE031}"/>
    <cellStyle name="AggOrange 2 3 5" xfId="1098" xr:uid="{ED874F1C-9A51-42B4-BFBF-2BC6A3D09242}"/>
    <cellStyle name="AggOrange 2 3 6" xfId="1008" xr:uid="{EF5FF691-947C-4DA8-A39C-E29ACA372177}"/>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3" xfId="44" xr:uid="{1792563D-5686-4CB9-86B4-53CCB02F459D}"/>
    <cellStyle name="AggOrange 3 2 2 4" xfId="2260" xr:uid="{97E3EC51-DF42-452D-9AF5-ECD3217E0110}"/>
    <cellStyle name="AggOrange 3 2 3" xfId="1402" xr:uid="{13D3CF3E-4D51-436F-AB17-E0A957B95559}"/>
    <cellStyle name="AggOrange 3 2 4" xfId="1813" xr:uid="{EF4608FA-4C5B-45D7-8D77-CAB466D28973}"/>
    <cellStyle name="AggOrange 3 2 5" xfId="2054" xr:uid="{392C522F-5748-4827-90EE-BE8E3481429E}"/>
    <cellStyle name="AggOrange 3 3" xfId="749" xr:uid="{0DB6C02F-5026-48AA-BBE2-AB0CD20F791E}"/>
    <cellStyle name="AggOrange 3 3 2" xfId="1462" xr:uid="{F8AC79E2-016B-4326-A4C1-DE33C390405A}"/>
    <cellStyle name="AggOrange 3 3 3" xfId="1132" xr:uid="{E8992DF0-1155-48DA-ADB0-D27B040DD921}"/>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3" xfId="1648" xr:uid="{11E56B75-FD1A-4450-A004-35AACC85468D}"/>
    <cellStyle name="AggOrange 4 2 2 4" xfId="2217" xr:uid="{69C4DDCB-8ECF-4833-ABEE-31A2CE0CC525}"/>
    <cellStyle name="AggOrange 4 2 3" xfId="1359" xr:uid="{85E91C74-60FE-48DC-B885-38E0B2D52107}"/>
    <cellStyle name="AggOrange 4 2 4" xfId="1189" xr:uid="{588A8C79-CFC4-4ECA-BA15-C32B49C57E82}"/>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3" xfId="1680" xr:uid="{632B9C7C-0A7A-4D66-B475-DAD519FA6EA5}"/>
    <cellStyle name="AggOrange 4 3 2 4" xfId="2206" xr:uid="{6478D3EA-AAE2-4948-BE46-E65385A5E4B1}"/>
    <cellStyle name="AggOrange 4 3 3" xfId="1348" xr:uid="{923704E0-7BD3-4320-8C83-0F976CE971BF}"/>
    <cellStyle name="AggOrange 4 3 4" xfId="1054" xr:uid="{9596794A-2F18-43A2-A273-79E66A718EAF}"/>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3" xfId="995" xr:uid="{8581C4BF-735A-4556-A96F-FB2581245DDD}"/>
    <cellStyle name="AggOrange 4 4 2 4" xfId="2180" xr:uid="{18C9D033-D6F4-42DF-894F-4E0A15B0D3B3}"/>
    <cellStyle name="AggOrange 4 4 3" xfId="1322" xr:uid="{4134912D-22D8-4CA8-8E2C-B1A5A5009048}"/>
    <cellStyle name="AggOrange 4 4 4" xfId="27" xr:uid="{00A49E9A-7DD8-42E6-949F-8E110701D980}"/>
    <cellStyle name="AggOrange 4 4 5" xfId="1974" xr:uid="{18D8D643-F65E-4EAA-B260-BC01235F9622}"/>
    <cellStyle name="AggOrange 4 5" xfId="1097" xr:uid="{ED366082-C08B-4BCE-AF4B-5ABC3FBD10DD}"/>
    <cellStyle name="AggOrange 4 6" xfId="1716" xr:uid="{78E00EF4-8A67-4DD0-857B-AAA0EDB7802F}"/>
    <cellStyle name="AggOrange 4 7" xfId="972" xr:uid="{14199417-14B9-4468-A2B6-46534700F656}"/>
    <cellStyle name="AggOrange 5" xfId="106" xr:uid="{7AB804F5-4C00-4921-A154-A124B44CD2E7}"/>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3" xfId="991" xr:uid="{1119EAFB-572B-4E54-ADB7-6AC646326B23}"/>
    <cellStyle name="AggOrange9 2 2 2 2 4" xfId="2259" xr:uid="{6BA10206-4793-4EC0-87EC-4513CFCA5FF4}"/>
    <cellStyle name="AggOrange9 2 2 2 3" xfId="1401" xr:uid="{9B44C414-0B05-4BEF-B923-27E9F4EB8086}"/>
    <cellStyle name="AggOrange9 2 2 2 4" xfId="1741" xr:uid="{2C8B395E-89D7-424E-9B8F-22505E63F5E4}"/>
    <cellStyle name="AggOrange9 2 2 2 5" xfId="2053" xr:uid="{C3A53CFF-2362-4D0D-8DC5-C762B326AF1D}"/>
    <cellStyle name="AggOrange9 2 2 3" xfId="752" xr:uid="{BE465248-FEFA-4D38-BF2A-6936F04F7A0D}"/>
    <cellStyle name="AggOrange9 2 2 3 2" xfId="1465" xr:uid="{2D4674CA-F2FE-418D-A5BE-C57C77EAAC4C}"/>
    <cellStyle name="AggOrange9 2 2 3 3" xfId="1137" xr:uid="{2BC866D9-B945-4ECE-8A28-E57F2031E86E}"/>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3" xfId="992" xr:uid="{78CCF6F7-B57D-4E2A-9981-553C50E28B6F}"/>
    <cellStyle name="AggOrange9 2 3 2 2 4" xfId="2220" xr:uid="{ADDC0D46-836E-4DCB-9041-A7FC2A3FBFA2}"/>
    <cellStyle name="AggOrange9 2 3 2 3" xfId="1362" xr:uid="{E7EDB4E0-A672-4E10-8C13-A24A06E7240E}"/>
    <cellStyle name="AggOrange9 2 3 2 4" xfId="1019" xr:uid="{90127F11-EE27-40FC-B68F-98CF2066BE7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3" xfId="1799" xr:uid="{F87352DA-5160-491C-8B40-E11BDE1B9E08}"/>
    <cellStyle name="AggOrange9 2 3 3 2 4" xfId="2266" xr:uid="{22B50807-B44C-42F5-9378-50D5F29B4224}"/>
    <cellStyle name="AggOrange9 2 3 3 3" xfId="1408" xr:uid="{345DB3F7-E723-476E-9EFF-375F79422DF2}"/>
    <cellStyle name="AggOrange9 2 3 3 4" xfId="1802" xr:uid="{C7184450-BEC2-4B8E-A42A-3E374C9A35C8}"/>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3" xfId="1902" xr:uid="{FF6D7CAF-3B12-4F0E-9128-A68B994DEFD2}"/>
    <cellStyle name="AggOrange9 2 3 4 2 4" xfId="2280" xr:uid="{F7D59422-37A3-4867-B2B0-A2A83A124EAF}"/>
    <cellStyle name="AggOrange9 2 3 4 3" xfId="1422" xr:uid="{DECB4C3E-1D1C-4690-8C1C-D0819CEEB5C8}"/>
    <cellStyle name="AggOrange9 2 3 4 4" xfId="1811" xr:uid="{47806421-6EAC-47BF-86E8-25CEBD34990C}"/>
    <cellStyle name="AggOrange9 2 3 4 5" xfId="2074" xr:uid="{B3D16786-59EF-41AB-8304-AAC9A31E7CCF}"/>
    <cellStyle name="AggOrange9 2 3 5" xfId="1100" xr:uid="{B3EF9F79-185B-4DC0-8A34-1CFD771BA5CF}"/>
    <cellStyle name="AggOrange9 2 3 6" xfId="1849" xr:uid="{22D8F865-23A2-429C-B3A5-C45C8A337D26}"/>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3" xfId="1663" xr:uid="{F3DB7194-2E28-42A5-87C1-EDAF6B358C9F}"/>
    <cellStyle name="AggOrange9 3 2 2 4" xfId="2211" xr:uid="{77C8E6C8-1CF0-4BFD-9D17-2E469A75BA4C}"/>
    <cellStyle name="AggOrange9 3 2 3" xfId="1353" xr:uid="{9083DEEA-825B-49F7-8DE7-373F6A85B71D}"/>
    <cellStyle name="AggOrange9 3 2 4" xfId="1772" xr:uid="{8A39F5FD-B734-4D63-B3C3-D44F8F5772D9}"/>
    <cellStyle name="AggOrange9 3 2 5" xfId="2005" xr:uid="{8873416F-9972-4159-A38B-5FE3A66617D1}"/>
    <cellStyle name="AggOrange9 3 3" xfId="751" xr:uid="{999081D0-D608-4AE2-B01C-E34BAE4B4F19}"/>
    <cellStyle name="AggOrange9 3 3 2" xfId="1464" xr:uid="{0FA151EA-6589-457F-9EDE-015925FC5680}"/>
    <cellStyle name="AggOrange9 3 3 3" xfId="1749" xr:uid="{6C522107-886B-4D14-8BF6-F91BF37C995F}"/>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3" xfId="1647" xr:uid="{A924CEB2-E5D0-4BA4-83CF-12545AF5F9F4}"/>
    <cellStyle name="AggOrange9 4 2 2 4" xfId="2219" xr:uid="{F2B73A50-EF3E-4ADC-884C-B98D8D7762C2}"/>
    <cellStyle name="AggOrange9 4 2 3" xfId="1361" xr:uid="{33CA3C78-30C8-4235-A67F-7FD15CA9600F}"/>
    <cellStyle name="AggOrange9 4 2 4" xfId="1214" xr:uid="{48DE10E5-FF91-4632-A832-F87E66DED1F0}"/>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3" xfId="941" xr:uid="{D371CE5A-3AB7-422F-BD3B-620DBDB7FC70}"/>
    <cellStyle name="AggOrange9 4 3 2 4" xfId="2164" xr:uid="{F0BF41E3-9D79-45BC-BBBC-48A8BBD54182}"/>
    <cellStyle name="AggOrange9 4 3 3" xfId="1306" xr:uid="{923B689D-1FD2-4C74-93D0-03054AE99EBB}"/>
    <cellStyle name="AggOrange9 4 3 4" xfId="942" xr:uid="{0F3DCB90-29FE-47AC-9560-792FFCFDCAC4}"/>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3" xfId="1773" xr:uid="{8BFDD4A5-039A-450F-BBF2-043618C7336D}"/>
    <cellStyle name="AggOrange9 4 4 2 4" xfId="2210" xr:uid="{84FF8B49-D2A9-4190-B7DB-3E84AFF5C3D2}"/>
    <cellStyle name="AggOrange9 4 4 3" xfId="1352" xr:uid="{9E151381-13F4-41C3-8522-BD76BFDA93DF}"/>
    <cellStyle name="AggOrange9 4 4 4" xfId="949" xr:uid="{43DD6F8D-30A7-4A96-9053-80B8E19FC4D6}"/>
    <cellStyle name="AggOrange9 4 4 5" xfId="2004" xr:uid="{BAF9643C-7317-456D-9967-F3F0F2D008B4}"/>
    <cellStyle name="AggOrange9 4 5" xfId="1099" xr:uid="{60E98770-1559-4A6A-9586-038D81CEA5B6}"/>
    <cellStyle name="AggOrange9 4 6" xfId="1064" xr:uid="{C1F34B0A-0BEF-46C9-8D0E-1E1E947E4A11}"/>
    <cellStyle name="AggOrange9 4 7" xfId="1790" xr:uid="{41D0B062-74ED-460A-B3C1-0AF3BEDD2638}"/>
    <cellStyle name="AggOrange9 5" xfId="105" xr:uid="{ECF81999-9171-4651-B7A0-43172B1BCB26}"/>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3" xfId="1240" xr:uid="{F24CA7B3-3537-45E8-A965-F50996B57232}"/>
    <cellStyle name="AggOrangeLBorder 2 3 2 2 4" xfId="2222" xr:uid="{827ACD91-717A-47D0-9D31-4032FDB8376E}"/>
    <cellStyle name="AggOrangeLBorder 2 3 2 3" xfId="1364" xr:uid="{5AFE6286-8509-452C-9BC6-C6D0A5A05649}"/>
    <cellStyle name="AggOrangeLBorder 2 3 2 4" xfId="1847" xr:uid="{5A7B76A0-D371-434F-AE26-A4844CC8F018}"/>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3" xfId="1171" xr:uid="{F9E8E80B-5A9E-4742-B112-B22C3141B647}"/>
    <cellStyle name="AggOrangeLBorder 2 3 3 2 4" xfId="2162" xr:uid="{ABAE1515-BB4B-4F72-ABCB-E3D83402AE41}"/>
    <cellStyle name="AggOrangeLBorder 2 3 3 3" xfId="1304" xr:uid="{8FCB1DF5-158A-479F-A1CC-8491156E3088}"/>
    <cellStyle name="AggOrangeLBorder 2 3 3 4" xfId="1839" xr:uid="{EBF40992-B590-4F54-A7E3-36E425BFE4AD}"/>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3" xfId="1066" xr:uid="{7F862D67-BD6D-4F7F-BED9-476C248B17DE}"/>
    <cellStyle name="AggOrangeLBorder 2 3 4 2 4" xfId="2188" xr:uid="{670CFA89-B7C8-4BCC-88AE-C1055C279D02}"/>
    <cellStyle name="AggOrangeLBorder 2 3 4 3" xfId="1330" xr:uid="{F91AC317-734C-4738-B5A1-E5AE818C8B1C}"/>
    <cellStyle name="AggOrangeLBorder 2 3 4 4" xfId="1746" xr:uid="{E0479174-88BA-40D8-8FAD-07A2236B686F}"/>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7" xfId="1016" xr:uid="{84D32DF9-DF16-4289-8462-3CD7508D097F}"/>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3" xfId="1207" xr:uid="{FBAC266C-358B-4009-AC9C-E726880A853A}"/>
    <cellStyle name="AggOrangeLBorder 4 2 2 4" xfId="2221" xr:uid="{CDC53022-5836-41CE-AAA7-31B282A70C62}"/>
    <cellStyle name="AggOrangeLBorder 4 2 3" xfId="1363" xr:uid="{46F3DDFF-CFA4-4196-BD90-BD9DF0321648}"/>
    <cellStyle name="AggOrangeLBorder 4 2 4" xfId="23" xr:uid="{4D71EC3B-96B2-43D7-B54D-FD23E6ADE8DF}"/>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3" xfId="1653" xr:uid="{278527A4-5B68-4FC1-8B44-0DA3DB5D1EDB}"/>
    <cellStyle name="AggOrangeLBorder 4 3 2 4" xfId="2163" xr:uid="{F8189368-07E6-4C69-95B6-2184943426B7}"/>
    <cellStyle name="AggOrangeLBorder 4 3 3" xfId="1305" xr:uid="{82C2F101-F7AB-49ED-8F7D-010211193F37}"/>
    <cellStyle name="AggOrangeLBorder 4 3 4" xfId="30" xr:uid="{4F9F11EC-865E-4343-85EF-34675007BB3A}"/>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3" xfId="1123" xr:uid="{11A09B5D-BC07-4FD6-8165-ED5CB059BD69}"/>
    <cellStyle name="AggOrangeLBorder 4 4 2 4" xfId="2184" xr:uid="{55F7BF0F-2425-4158-851B-CBC446D5129B}"/>
    <cellStyle name="AggOrangeLBorder 4 4 3" xfId="1326" xr:uid="{5D0C3E06-BF62-4381-91DD-8E9CBBA5E211}"/>
    <cellStyle name="AggOrangeLBorder 4 4 4" xfId="1834" xr:uid="{8739FA3D-6379-431C-885F-3F62D24A2AA7}"/>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7" xfId="1737" xr:uid="{2A6E9DAC-B3CD-4025-9B48-C5BE8AE1251C}"/>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3" xfId="1143" xr:uid="{8E4121C3-9B43-48AA-9624-897D76F02D38}"/>
    <cellStyle name="AggOrangeRBorder 2 2 2 2 4" xfId="2139" xr:uid="{FAE8159E-33E4-4EC2-B6A8-0366F30ED249}"/>
    <cellStyle name="AggOrangeRBorder 2 2 2 3" xfId="1281" xr:uid="{E0759544-477B-41B2-AA75-F4774F28609E}"/>
    <cellStyle name="AggOrangeRBorder 2 2 2 4" xfId="32" xr:uid="{38BAC079-AE19-4DD2-BFCA-FA80267A5120}"/>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3" xfId="1017" xr:uid="{9FFA9615-788E-49E7-B8B6-79271ECAAF16}"/>
    <cellStyle name="AggOrangeRBorder 2 3 2 2 4" xfId="2224" xr:uid="{C35BB5F4-5DC2-4FBB-86F4-0F88C33026B8}"/>
    <cellStyle name="AggOrangeRBorder 2 3 2 3" xfId="1366" xr:uid="{258F9C50-41FF-4D26-8111-3C3DDC00FA4E}"/>
    <cellStyle name="AggOrangeRBorder 2 3 2 4" xfId="936" xr:uid="{6947EB51-8B2E-4880-A5BA-C9EA755BAD07}"/>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3" xfId="1825" xr:uid="{B8822FA8-F363-4F6F-AB44-021D201B4472}"/>
    <cellStyle name="AggOrangeRBorder 2 3 3 2 4" xfId="2200" xr:uid="{A4C66FAA-6E54-43FB-9587-C256145114DA}"/>
    <cellStyle name="AggOrangeRBorder 2 3 3 3" xfId="1342" xr:uid="{CF9513E5-75AA-4AEF-B6F6-3A8F5EA1A108}"/>
    <cellStyle name="AggOrangeRBorder 2 3 3 4" xfId="1175" xr:uid="{7F49DF88-988F-4FB3-B176-687A077DD428}"/>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3" xfId="1130" xr:uid="{62047FEF-0E89-4F92-9E0A-4D99D9C43065}"/>
    <cellStyle name="AggOrangeRBorder 2 3 4 2 4" xfId="2182" xr:uid="{ACB3E252-6AA6-4DF2-BEBA-0F7949474B4F}"/>
    <cellStyle name="AggOrangeRBorder 2 3 4 3" xfId="1324" xr:uid="{3AE6C888-787C-4616-98C2-B7C5B4FB02B8}"/>
    <cellStyle name="AggOrangeRBorder 2 3 4 4" xfId="1056" xr:uid="{04F1CFC5-500B-4F0B-8235-877DA7E350EC}"/>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7" xfId="984" xr:uid="{20AAAD20-7A94-4B8F-93F7-4AE4A6154E59}"/>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3" xfId="1087" xr:uid="{49F5C4C8-AEC8-4C31-BC39-2664C40759F6}"/>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3" xfId="1650" xr:uid="{47574BA9-7452-44C7-828E-D4C8D44C0EC9}"/>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3" xfId="1205" xr:uid="{92613A26-C0DD-454E-AC17-B250EA72A96D}"/>
    <cellStyle name="AggOrangeRBorder 4 2 2 4" xfId="2223" xr:uid="{DD9D133C-F267-4108-8626-792D26B1D55A}"/>
    <cellStyle name="AggOrangeRBorder 4 2 3" xfId="1365" xr:uid="{602B1FBE-FA4A-4B1C-B2BD-92484EB47EB1}"/>
    <cellStyle name="AggOrangeRBorder 4 2 4" xfId="1642" xr:uid="{E8AC3049-F304-474A-A1D1-7DEF1E195777}"/>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3" xfId="1651" xr:uid="{472AEF43-7356-4C7C-8CB3-44CF56D03C41}"/>
    <cellStyle name="AggOrangeRBorder 4 3 2 4" xfId="2256" xr:uid="{8C8F8806-D1A5-4EBD-9F6F-07ED431A5016}"/>
    <cellStyle name="AggOrangeRBorder 4 3 3" xfId="1398" xr:uid="{1EDABB46-AC3E-47ED-8C1C-E71122946C69}"/>
    <cellStyle name="AggOrangeRBorder 4 3 4" xfId="1809" xr:uid="{9E539613-AF05-4C47-8F54-28ABBEFD115B}"/>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3" xfId="1899" xr:uid="{DD3A5DE9-2DAD-452C-9A84-70A5421513F5}"/>
    <cellStyle name="AggOrangeRBorder 4 4 2 4" xfId="2277" xr:uid="{E0028E85-36FA-4E3A-8675-827BC9656C75}"/>
    <cellStyle name="AggOrangeRBorder 4 4 3" xfId="1419" xr:uid="{D15A459B-D235-4E82-ACF2-9F01B09DFCE2}"/>
    <cellStyle name="AggOrangeRBorder 4 4 4" xfId="1728" xr:uid="{51528890-16CC-4356-BC60-BEDAA17170B9}"/>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7" xfId="1198" xr:uid="{2BC91A93-706D-48CD-8E6C-FDCBCEBCE6D4}"/>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3" xfId="961" xr:uid="{70458FE3-2AC6-4623-A93C-EB2B31F12394}"/>
    <cellStyle name="Ausgabe 2 2 2 4" xfId="2261" xr:uid="{F5BF272D-9C38-4CAE-918B-ED225D22F118}"/>
    <cellStyle name="Ausgabe 2 2 3" xfId="1403" xr:uid="{E2611922-C36F-4D26-A40E-46041A4F7E99}"/>
    <cellStyle name="Ausgabe 2 2 4" xfId="1120" xr:uid="{E2B209BB-4792-45F5-ABA5-A5707BFDD96D}"/>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3" xfId="1266" xr:uid="{D8D31FD4-BEFB-4455-8C99-D42B8BB2EB17}"/>
    <cellStyle name="Ausgabe 2 3 2 4" xfId="2146" xr:uid="{1F0B344F-DFCD-46CE-AAAA-5E8CF20CDD4B}"/>
    <cellStyle name="Ausgabe 2 3 3" xfId="1288" xr:uid="{CABFADD3-42B4-4829-978E-2563F3592C67}"/>
    <cellStyle name="Ausgabe 2 3 4" xfId="1730" xr:uid="{5CE59F8C-E0F7-42E6-9FBE-93727BDDB9FD}"/>
    <cellStyle name="Ausgabe 2 3 5" xfId="1940" xr:uid="{3EB8CB90-1233-468F-9FB7-CAAD0D1512DE}"/>
    <cellStyle name="Ausgabe 2 4" xfId="741" xr:uid="{5DAC2155-C3D4-4B27-8802-2E66A06C2EA2}"/>
    <cellStyle name="Ausgabe 2 4 2" xfId="1454" xr:uid="{5CF04721-4F78-4FA7-A415-C572A3171FE9}"/>
    <cellStyle name="Ausgabe 2 4 3" xfId="1052" xr:uid="{5ADB613D-23E1-4476-B8CC-900D6A08DFFC}"/>
    <cellStyle name="Ausgabe 2 4 4" xfId="2104" xr:uid="{41DC9706-B114-4EDE-96E2-756413219E72}"/>
    <cellStyle name="Ausgabe 2 5" xfId="1193" xr:uid="{5318009E-3C64-47DF-B90D-86753CC7009E}"/>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3" xfId="1724" xr:uid="{2C41F16A-C082-45B0-B744-6FA011A2404D}"/>
    <cellStyle name="Ausgabe 3 2 2 4" xfId="2233" xr:uid="{44EC6D2F-6503-459B-B068-C7575D61C8A2}"/>
    <cellStyle name="Ausgabe 3 2 3" xfId="1375" xr:uid="{D4F704E2-4B38-4226-BAB1-61FC78FE1669}"/>
    <cellStyle name="Ausgabe 3 2 4" xfId="1786" xr:uid="{42D9F5E4-2BCB-4735-A0D8-5BB0710584CB}"/>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3" xfId="1133" xr:uid="{EF8A0AC6-55CC-4B34-8559-441FB7809E2C}"/>
    <cellStyle name="Ausgabe 3 3 2 4" xfId="2152" xr:uid="{10687198-C881-4144-B904-89A9C8156240}"/>
    <cellStyle name="Ausgabe 3 3 3" xfId="1294" xr:uid="{98CE3634-DC7A-43D5-AFD8-C903E193C5D4}"/>
    <cellStyle name="Ausgabe 3 3 4" xfId="1779" xr:uid="{C581E619-1CEB-4F7B-91E5-4FB4E13CA7C6}"/>
    <cellStyle name="Ausgabe 3 3 5" xfId="1946" xr:uid="{FF976E02-7A1E-47F9-8A9D-CF60DD45D43A}"/>
    <cellStyle name="Ausgabe 3 4" xfId="738" xr:uid="{C20C282F-FE2C-4F37-941B-EA4409415A9E}"/>
    <cellStyle name="Ausgabe 3 4 2" xfId="1451" xr:uid="{7C3F5A3F-2288-4870-9C51-74FCCFC74878}"/>
    <cellStyle name="Ausgabe 3 4 3" xfId="1703" xr:uid="{1FAD0B90-D8FD-493A-A32D-BB71A7A15DEE}"/>
    <cellStyle name="Ausgabe 3 4 4" xfId="2102" xr:uid="{617A14AB-70C9-4761-86AF-7950619EBE17}"/>
    <cellStyle name="Ausgabe 3 5" xfId="1115" xr:uid="{EE38B667-7B76-45FF-B651-920BC28BE3CB}"/>
    <cellStyle name="Ausgabe 4" xfId="579" xr:uid="{D36C411C-1044-41DF-9819-07D0FA3F9560}"/>
    <cellStyle name="Ausgabe 4 2" xfId="794" xr:uid="{90638120-5F89-4E54-8FA9-F6F6E7D8ED45}"/>
    <cellStyle name="Ausgabe 4 2 2" xfId="1507" xr:uid="{8FBAA1AE-AF0F-4375-9077-61CD653CB11F}"/>
    <cellStyle name="Ausgabe 4 2 3" xfId="975" xr:uid="{5637F195-15B5-4A43-ADA0-2BA364F7373A}"/>
    <cellStyle name="Ausgabe 4 2 4" xfId="2157" xr:uid="{254840A2-D917-4624-BDDE-9C515A85AC47}"/>
    <cellStyle name="Ausgabe 4 3" xfId="1299" xr:uid="{0F1E8DB2-9258-4FD1-BA2C-3653594A48D7}"/>
    <cellStyle name="Ausgabe 4 4" xfId="1713" xr:uid="{DBDC1E07-4293-45A7-8120-393A53F54CF1}"/>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3" xfId="1898" xr:uid="{68B2D869-BDC9-4690-8115-1EAC63154360}"/>
    <cellStyle name="Ausgabe 5 2 4" xfId="2276" xr:uid="{83BDE257-6FB9-4EC1-B17E-73A1B7DFB90A}"/>
    <cellStyle name="Ausgabe 5 3" xfId="1418" xr:uid="{DA1679CA-EB66-4BCC-BA0E-38FEE251F111}"/>
    <cellStyle name="Ausgabe 5 4" xfId="1640" xr:uid="{766D8667-3E44-40BA-A64D-7187D11177CE}"/>
    <cellStyle name="Ausgabe 5 5" xfId="2070" xr:uid="{2C682439-CDAA-40DF-93CA-B416CC3667AF}"/>
    <cellStyle name="Ausgabe 6" xfId="714" xr:uid="{2D5CE56D-E652-40BB-9D88-01F3DBF28301}"/>
    <cellStyle name="Ausgabe 6 2" xfId="1434" xr:uid="{C9BE8B5B-D624-493B-A76D-65DEC5516530}"/>
    <cellStyle name="Ausgabe 6 3" xfId="1744" xr:uid="{7301DDA4-EA0A-4130-83F0-DC8041CD2D0E}"/>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3" xfId="1652" xr:uid="{7DD356D2-C140-45CD-B708-97E95FA0000D}"/>
    <cellStyle name="Berechnung 2 2 2 4" xfId="2262" xr:uid="{B6A13055-05D5-4E6B-892D-D458BB54079C}"/>
    <cellStyle name="Berechnung 2 2 3" xfId="1404" xr:uid="{230450E2-7DD5-4E8E-A13E-1960488A6BC4}"/>
    <cellStyle name="Berechnung 2 2 4" xfId="1677" xr:uid="{B6E84843-1946-4F4D-890D-84B555525DC1}"/>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3" xfId="1754" xr:uid="{D67AF47C-7260-4820-A71E-70078C737576}"/>
    <cellStyle name="Berechnung 2 3 2 4" xfId="2127" xr:uid="{BC58228C-27AF-43FA-B568-0E415C074E36}"/>
    <cellStyle name="Berechnung 2 3 3" xfId="1269" xr:uid="{C87414CB-5DC2-4B2A-A928-E34E728D0494}"/>
    <cellStyle name="Berechnung 2 3 4" xfId="1135" xr:uid="{59449903-DE02-469A-85DF-2759DA4F5534}"/>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3" xfId="1083" xr:uid="{80843125-EE8E-4D14-9FE0-9F0E7F5108A0}"/>
    <cellStyle name="Berechnung 2 4 2 4" xfId="2183" xr:uid="{F89F1455-CCB2-4821-A7CE-C94DBBB05688}"/>
    <cellStyle name="Berechnung 2 4 3" xfId="1325" xr:uid="{78B6BBEF-1657-44B7-8835-8628892C094E}"/>
    <cellStyle name="Berechnung 2 4 4" xfId="1712" xr:uid="{9C54FE37-FC30-40A5-9D80-05E382BE2C99}"/>
    <cellStyle name="Berechnung 2 4 5" xfId="1977" xr:uid="{88B2E2AA-BD61-468E-8BE5-0FF60EF4C79C}"/>
    <cellStyle name="Berechnung 2 5" xfId="742" xr:uid="{393C8595-B32A-4715-AA27-CA4AE18D4E49}"/>
    <cellStyle name="Berechnung 2 5 2" xfId="1455" xr:uid="{E38E5E71-3FF3-4482-8E9E-E1CB665EDB64}"/>
    <cellStyle name="Berechnung 2 5 3" xfId="1026" xr:uid="{22DADAA5-AF45-4111-A133-3F9A0B9E275D}"/>
    <cellStyle name="Berechnung 2 5 4" xfId="2105" xr:uid="{8C9F9263-7720-4593-B6E0-6F6165BE0C74}"/>
    <cellStyle name="Berechnung 2 6" xfId="1194" xr:uid="{DF229731-E236-4310-9FC0-267EEF42B10D}"/>
    <cellStyle name="Berechnung 2 7" xfId="1200" xr:uid="{FB59281D-9FDC-4E1C-9726-BA06928FFD8B}"/>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3" xfId="1001" xr:uid="{FBA3919C-5730-41FA-BF26-9EC664D64528}"/>
    <cellStyle name="Berechnung 3 2 2 4" xfId="2225" xr:uid="{CBF0312E-5CEA-489C-BC65-4FA7C8C11EAA}"/>
    <cellStyle name="Berechnung 3 2 3" xfId="1367" xr:uid="{A961A2B4-4AFB-4C5E-8BBE-7D064F79DB26}"/>
    <cellStyle name="Berechnung 3 2 4" xfId="1817" xr:uid="{801D7229-110F-4BCD-B18E-49F8ECC216F4}"/>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3" xfId="980" xr:uid="{76DEB48A-78C7-4FC7-9AE9-64E18574C002}"/>
    <cellStyle name="Berechnung 3 3 2 4" xfId="2161" xr:uid="{6FC512E6-E877-477D-9C0F-C7067E9CCCCC}"/>
    <cellStyle name="Berechnung 3 3 3" xfId="1303" xr:uid="{62CBA0E2-D718-4DDC-88E5-162777F34F3E}"/>
    <cellStyle name="Berechnung 3 3 4" xfId="940" xr:uid="{3AA1EAD3-B8B7-4B53-9B1F-73FEB99879F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3" xfId="1659" xr:uid="{4212C172-A670-4391-B6BF-10D73BEFB4D4}"/>
    <cellStyle name="Berechnung 3 4 2 4" xfId="2173" xr:uid="{27058A07-EBBE-488D-81BE-411B87EB3818}"/>
    <cellStyle name="Berechnung 3 4 3" xfId="1315" xr:uid="{23BDB290-218A-4806-9615-90A332C43886}"/>
    <cellStyle name="Berechnung 3 4 4" xfId="1169" xr:uid="{8F7F9925-4A4D-41B3-9723-001482653B4B}"/>
    <cellStyle name="Berechnung 3 4 5" xfId="1967" xr:uid="{27A88542-3A26-494E-B835-ABAC83C5620A}"/>
    <cellStyle name="Berechnung 3 5" xfId="733" xr:uid="{D5BE5CFD-33D0-412C-8D03-1C8FC91FE9A4}"/>
    <cellStyle name="Berechnung 3 5 2" xfId="1449" xr:uid="{CEC0D98F-609B-40B6-8FFC-A2E9BC8A352D}"/>
    <cellStyle name="Berechnung 3 5 3" xfId="1778" xr:uid="{970AC980-8EA2-4140-9B37-0C68C3CC3242}"/>
    <cellStyle name="Berechnung 3 5 4" xfId="2100" xr:uid="{9D1CB742-3AF1-41B8-B673-B22E6EF7CE74}"/>
    <cellStyle name="Berechnung 3 6" xfId="1105" xr:uid="{47FAED18-2CFC-4ECE-9BA9-BBD4568BCC44}"/>
    <cellStyle name="Berechnung 3 7" xfId="1762" xr:uid="{85E17428-D418-432E-B8F4-75B03D22B960}"/>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3" xfId="1232" xr:uid="{15699F82-9992-40D7-8D15-206A2B903B66}"/>
    <cellStyle name="Berechnung 4 2 4" xfId="2158" xr:uid="{80D017CE-B505-46F2-9400-949F04BC10FB}"/>
    <cellStyle name="Berechnung 4 3" xfId="1300" xr:uid="{7ECB4BA3-1748-4561-9719-D6ADD7D5B0F4}"/>
    <cellStyle name="Berechnung 4 4" xfId="1836" xr:uid="{64C8EB02-1F37-40F0-8CD1-F66EDCA34FAC}"/>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3" xfId="1897" xr:uid="{90D5D9E8-9F3F-4CE3-9EC2-F5687686B559}"/>
    <cellStyle name="Berechnung 5 2 4" xfId="2275" xr:uid="{2E3D32CC-23D5-4B86-BDFC-5FD58E9ADD2D}"/>
    <cellStyle name="Berechnung 5 3" xfId="1417" xr:uid="{50ABB87E-E714-49C8-86D2-6BB28DF51CAB}"/>
    <cellStyle name="Berechnung 5 4" xfId="1830" xr:uid="{105DD7BE-5D4F-4186-B178-B55C1E2A1FE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3" xfId="1908" xr:uid="{C8086844-E160-4664-B008-30957D7A4D3D}"/>
    <cellStyle name="Berechnung 6 2 4" xfId="2286" xr:uid="{D655F636-B174-4A92-8723-7C154D90267A}"/>
    <cellStyle name="Berechnung 6 3" xfId="1429" xr:uid="{24E6A597-39AE-47B2-B339-EC7F00382F3A}"/>
    <cellStyle name="Berechnung 6 4" xfId="1643" xr:uid="{DF2809EF-B130-425E-9BCD-BE873451FCFD}"/>
    <cellStyle name="Berechnung 6 5" xfId="2080" xr:uid="{38993D52-7600-4D08-866C-EF6A36EABBE3}"/>
    <cellStyle name="Berechnung 7" xfId="715" xr:uid="{C5E50E2A-1347-462F-9556-2C3DA11DDD53}"/>
    <cellStyle name="Berechnung 7 2" xfId="1435" xr:uid="{C110ABCB-F375-4ABA-BA47-B83A1AE2098D}"/>
    <cellStyle name="Berechnung 7 3" xfId="1048" xr:uid="{90778045-60FD-410C-B139-43425A70AE46}"/>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3" xfId="1657" xr:uid="{745AD99E-A3A8-4CFE-83FD-44AFAABA9D4D}"/>
    <cellStyle name="Calculation 2 2 2 4" xfId="2160" xr:uid="{9E60C214-EAEC-4116-8DFD-19D125D40303}"/>
    <cellStyle name="Calculation 2 2 3" xfId="1302" xr:uid="{84143625-B3A2-44EF-8A47-24277E5611AC}"/>
    <cellStyle name="Calculation 2 2 4" xfId="1225" xr:uid="{73DAB044-195F-4F39-A6EF-E9043CB05392}"/>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3" xfId="1664" xr:uid="{803E1089-EB74-4B61-B4E4-B7087709484C}"/>
    <cellStyle name="Calculation 2 3 2 4" xfId="2244" xr:uid="{AB5A84EB-7C01-40BB-AD3E-AB0AD1F35C02}"/>
    <cellStyle name="Calculation 2 3 3" xfId="1386" xr:uid="{5D175C27-3720-499D-82BC-BDF5093902CD}"/>
    <cellStyle name="Calculation 2 3 4" xfId="31" xr:uid="{FAAF6B1E-B0B0-4444-AE65-28BDBFD688D8}"/>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3" xfId="1025" xr:uid="{C7104A9A-444E-4E81-8DD6-515FA83D319B}"/>
    <cellStyle name="Calculation 2 4 2 4" xfId="2150" xr:uid="{47419388-B88A-4561-AECA-9D2FF0E4C737}"/>
    <cellStyle name="Calculation 2 4 3" xfId="1292" xr:uid="{35C4E9B7-AE14-471A-B66E-FF424750AAAF}"/>
    <cellStyle name="Calculation 2 4 4" xfId="1199" xr:uid="{21387E31-4F90-4FC9-B90F-5321B6A4606C}"/>
    <cellStyle name="Calculation 2 4 5" xfId="1944" xr:uid="{FA54EBE0-BD96-4262-81FD-AD752953E768}"/>
    <cellStyle name="Calculation 2 5" xfId="716" xr:uid="{659B6432-F8EF-4491-A25F-9F523162FB51}"/>
    <cellStyle name="Calculation 2 5 2" xfId="1436" xr:uid="{AFD51807-06A0-4B45-B63E-9763C537E01C}"/>
    <cellStyle name="Calculation 2 5 3" xfId="1774" xr:uid="{08B94C0A-762C-49AE-BF67-60F3021638BE}"/>
    <cellStyle name="Calculation 2 5 4" xfId="2087" xr:uid="{BE01867C-200A-455E-96D9-8A68E2028E82}"/>
    <cellStyle name="Calculation 2 6" xfId="1007" xr:uid="{21009666-1081-4804-BAE8-5FD1F696A1AF}"/>
    <cellStyle name="Calculation 2 7" xfId="1812" xr:uid="{018599E4-6253-4160-9C3A-B774A5FD9A6F}"/>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3" xfId="1700" xr:uid="{88B1AA72-BEDD-4258-ACE0-8EDF2960214F}"/>
    <cellStyle name="Calculation 3 2 2 4" xfId="2199" xr:uid="{42C478B6-54B6-4FFD-9688-CB5F18EFCC57}"/>
    <cellStyle name="Calculation 3 2 3" xfId="1341" xr:uid="{128AE0AB-0D2C-4E9E-8EF1-0E20FE2D8310}"/>
    <cellStyle name="Calculation 3 2 4" xfId="1757" xr:uid="{7412E2CC-8F32-4E42-8CC0-AC8456F923FA}"/>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3" xfId="1005" xr:uid="{34E23764-5BA7-4549-A1E8-5BC94EB7C401}"/>
    <cellStyle name="Calculation 3 3 2 4" xfId="2185" xr:uid="{4C3DC07B-D8C1-424C-987C-93DA7D2BE5F6}"/>
    <cellStyle name="Calculation 3 3 3" xfId="1327" xr:uid="{7ECB5B6D-AF86-4AC4-B958-2306BC699673}"/>
    <cellStyle name="Calculation 3 3 4" xfId="1794" xr:uid="{9613C1CC-7A46-4D2C-92B4-BAB389A23FB1}"/>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3" xfId="1891" xr:uid="{5054CE20-7F55-439B-85B5-DBCEC356D99C}"/>
    <cellStyle name="Calculation 3 4 2 4" xfId="2269" xr:uid="{10D7899A-06F5-411F-BA78-3E7CB45B02A8}"/>
    <cellStyle name="Calculation 3 4 3" xfId="1411" xr:uid="{F4A4AEFA-5827-4018-A386-9D870C89F6D8}"/>
    <cellStyle name="Calculation 3 4 4" xfId="1763" xr:uid="{37E85BEB-1CA0-4798-9392-2AABDBCA61BF}"/>
    <cellStyle name="Calculation 3 4 5" xfId="2063" xr:uid="{E283673F-7436-497D-A7B7-8A6A37D6D99A}"/>
    <cellStyle name="Calculation 3 5" xfId="724" xr:uid="{09E3F567-4234-4670-B812-492EA4089C92}"/>
    <cellStyle name="Calculation 3 5 2" xfId="1444" xr:uid="{0DA43C9E-114D-47ED-B0C1-73A7C4520835}"/>
    <cellStyle name="Calculation 3 5 3" xfId="1676" xr:uid="{843800EC-4B2D-4BBD-8EE6-3573F8B93D7D}"/>
    <cellStyle name="Calculation 3 5 4" xfId="2095" xr:uid="{28FC7BBD-29C5-48D3-80FC-57732E0C1BC5}"/>
    <cellStyle name="Calculation 3 6" xfId="1070" xr:uid="{752618A9-7C8D-4191-BAD5-686CE8D94B68}"/>
    <cellStyle name="Calculation 3 7" xfId="1867" xr:uid="{EA9EA80A-E78A-465D-A183-44FFAEC44480}"/>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3" xfId="168" xr:uid="{5B29C205-315B-4438-A315-86F28C34CC2B}"/>
    <cellStyle name="Comma 6" xfId="6" xr:uid="{00000000-0005-0000-0000-000005000000}"/>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3" xfId="1909" xr:uid="{FD4B4416-B8BD-4F23-9A6E-FA7EACC8B1A8}"/>
    <cellStyle name="CustomCellsOrange 2 2 2 2 2 4" xfId="2287" xr:uid="{CDCB8EB7-492F-44A3-96DB-DA7915A9905C}"/>
    <cellStyle name="CustomCellsOrange 2 2 2 2 3" xfId="1430" xr:uid="{11B3A23F-ECE3-4398-9E5B-F4D4CA51405A}"/>
    <cellStyle name="CustomCellsOrange 2 2 2 2 4" xfId="1265" xr:uid="{AB2ACF3A-DE3D-4F12-9153-F181AAE1F1C5}"/>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3" xfId="1893" xr:uid="{6AAEFA4F-D5F6-43A3-9F70-F66F61873922}"/>
    <cellStyle name="CustomCellsOrange 2 2 3 2 4" xfId="2271" xr:uid="{F46F45B8-7471-44F6-B7E2-F60C518EB414}"/>
    <cellStyle name="CustomCellsOrange 2 2 3 3" xfId="1413" xr:uid="{55DE88E6-F0BC-4A27-ACA0-81244E53DBDE}"/>
    <cellStyle name="CustomCellsOrange 2 2 3 4" xfId="1759" xr:uid="{79665B93-5293-4C4A-910C-A6216B696E6C}"/>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3" xfId="1669" xr:uid="{560DA2D9-C91E-4539-AA11-348B6B934308}"/>
    <cellStyle name="CustomCellsOrange 2 2 4 2 4" xfId="2189" xr:uid="{A562E128-502D-40C4-9287-91CA8167A6A8}"/>
    <cellStyle name="CustomCellsOrange 2 2 4 3" xfId="1331" xr:uid="{38E29065-CAB0-46F6-B338-25FE8D542946}"/>
    <cellStyle name="CustomCellsOrange 2 2 4 4" xfId="1702" xr:uid="{6C34DF0A-E18F-4FDF-A79E-BDFC79074816}"/>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3" xfId="1911" xr:uid="{E28CD483-3A94-44A6-A9FF-ACA2CF02BC24}"/>
    <cellStyle name="CustomCellsOrange 2 2 5 2 4" xfId="2289" xr:uid="{0A0E7BCE-7881-4AE9-8CDE-485BA57B4654}"/>
    <cellStyle name="CustomCellsOrange 2 2 5 3" xfId="1432" xr:uid="{DDC05A8D-A728-4736-BA56-9CE140CB9C9D}"/>
    <cellStyle name="CustomCellsOrange 2 2 5 4" xfId="1770" xr:uid="{BB85FEAA-C171-4693-ACBD-BA8332538858}"/>
    <cellStyle name="CustomCellsOrange 2 2 5 5" xfId="2083" xr:uid="{E8F101E5-2DFC-44F2-B7E3-B3270493E073}"/>
    <cellStyle name="CustomCellsOrange 2 2 6" xfId="1226" xr:uid="{2F578B6E-2DF3-4DD8-A57F-BA6FE79FCC76}"/>
    <cellStyle name="CustomCellsOrange 2 2 7" xfId="1051" xr:uid="{F9FF5830-3F54-4EA0-8E72-8EC2C3C71EA0}"/>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3" xfId="1065" xr:uid="{CE33E548-A7EF-46D7-8CC6-FD570E6BA194}"/>
    <cellStyle name="CustomCellsOrange 3 2 2 4" xfId="2226" xr:uid="{AA201C0D-BE79-4A36-8BB5-9E291C7EBE41}"/>
    <cellStyle name="CustomCellsOrange 3 2 3" xfId="1368" xr:uid="{06BF508D-A378-451C-A03C-8E4BB861D91D}"/>
    <cellStyle name="CustomCellsOrange 3 2 4" xfId="1190" xr:uid="{1C1C27AB-F407-480F-A8F7-D4EA5AABCA2F}"/>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3" xfId="1055" xr:uid="{2C776393-2760-4D6E-B398-5432D45B78B3}"/>
    <cellStyle name="CustomCellsOrange 3 3 2 4" xfId="2159" xr:uid="{BF4580E0-5FC3-4443-9332-DA98BF29257E}"/>
    <cellStyle name="CustomCellsOrange 3 3 3" xfId="1301" xr:uid="{A34286FD-AD24-41C4-8AB6-8ADEEF30DBC5}"/>
    <cellStyle name="CustomCellsOrange 3 3 4" xfId="1012" xr:uid="{59099FDA-750E-468E-A650-E42AB76F6D8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3" xfId="1044" xr:uid="{81C8AEBC-A812-40FC-B608-1D3A0D610029}"/>
    <cellStyle name="CustomCellsOrange 3 4 2 4" xfId="2172" xr:uid="{42739A41-E9D2-4033-B743-8C33B612F463}"/>
    <cellStyle name="CustomCellsOrange 3 4 3" xfId="1314" xr:uid="{877AE66B-D51D-4AEF-8948-643CE2E6A2E3}"/>
    <cellStyle name="CustomCellsOrange 3 4 4" xfId="1736" xr:uid="{BFC21101-654F-4F19-B317-E14BECAB40D8}"/>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7" xfId="1835" xr:uid="{4B5A2614-CD81-45E9-86B8-DF904E31E0E5}"/>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3" xfId="1910" xr:uid="{FB0B32D6-9EEB-4B40-A70F-A067B135D18F}"/>
    <cellStyle name="CustomizationCells 2 2 2 2 2 4" xfId="2288" xr:uid="{66DE6F77-B920-4D3C-991F-78904ACFACBE}"/>
    <cellStyle name="CustomizationCells 2 2 2 2 3" xfId="1431" xr:uid="{452359DA-6367-4A37-BF82-B57DB69E4F15}"/>
    <cellStyle name="CustomizationCells 2 2 2 2 4" xfId="1222" xr:uid="{5017526D-2052-4B5A-98FC-DE86C3AEBB71}"/>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3" xfId="1894" xr:uid="{6183C958-5983-4358-B95C-91E1DA61EB5D}"/>
    <cellStyle name="CustomizationCells 2 2 3 2 4" xfId="2272" xr:uid="{8351CEF9-FBC1-4609-A8A9-9CCC292C9B07}"/>
    <cellStyle name="CustomizationCells 2 2 3 3" xfId="1414" xr:uid="{7A5741D6-CBA3-44C1-868D-158BA06D606F}"/>
    <cellStyle name="CustomizationCells 2 2 3 4" xfId="1149" xr:uid="{9C835068-28FA-46E1-A7C3-6B456E72C033}"/>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3" xfId="1032" xr:uid="{94984A09-BF13-4AA4-A85D-3B580C0BD78B}"/>
    <cellStyle name="CustomizationCells 2 2 4 2 4" xfId="2135" xr:uid="{7C0B0596-2A97-4E18-AE85-DCECC2928077}"/>
    <cellStyle name="CustomizationCells 2 2 4 3" xfId="1277" xr:uid="{AD4AB5ED-5350-48FE-9D79-10D6781E27E9}"/>
    <cellStyle name="CustomizationCells 2 2 4 4" xfId="1021" xr:uid="{EC0E5E35-78AF-428C-975B-3BF10DCA9FD8}"/>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3" xfId="1433" xr:uid="{2DDA9891-53EA-45C3-81C7-8A25CE394629}"/>
    <cellStyle name="CustomizationCells 2 2 5 4" xfId="1687" xr:uid="{8F4B4369-7A43-4A2B-914A-B58D110870DA}"/>
    <cellStyle name="CustomizationCells 2 2 5 5" xfId="2084" xr:uid="{A9F95BAC-5492-4DE2-A2C2-D7A49C6A80A2}"/>
    <cellStyle name="CustomizationCells 2 2 6" xfId="1227" xr:uid="{1FA2EF5B-BDB2-4CF4-B40F-1A4537614B3F}"/>
    <cellStyle name="CustomizationCells 2 2 7" xfId="1699" xr:uid="{34A925FC-7445-442B-A2EB-05402A658500}"/>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3" xfId="1068" xr:uid="{80EA2534-1F02-421A-83E4-0265269BE447}"/>
    <cellStyle name="CustomizationCells 3 2 2 4" xfId="2227" xr:uid="{AA9E26DD-C6E0-412C-884A-7FEA9C846738}"/>
    <cellStyle name="CustomizationCells 3 2 3" xfId="1369" xr:uid="{073A8689-86EA-4A56-9EB2-318980A1B024}"/>
    <cellStyle name="CustomizationCells 3 2 4" xfId="28" xr:uid="{8295119A-6EE7-47AF-BEDE-3C16B5089EA7}"/>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3" xfId="928" xr:uid="{AA906F1F-6881-4229-8DAC-8EC315CB8060}"/>
    <cellStyle name="CustomizationCells 3 3 2 4" xfId="2254" xr:uid="{EFA3A520-4A9F-4168-8131-08A6B126AA9F}"/>
    <cellStyle name="CustomizationCells 3 3 3" xfId="1396" xr:uid="{52BA3711-D659-4A65-8A38-4465E7880943}"/>
    <cellStyle name="CustomizationCells 3 3 4" xfId="1692" xr:uid="{AB187B44-1F67-4AF9-8015-659E5BDD8A5A}"/>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3" xfId="1042" xr:uid="{A88A6320-5E55-43FE-84D1-CD6393060E7A}"/>
    <cellStyle name="CustomizationCells 3 4 2 4" xfId="2174" xr:uid="{6F8159BA-6C3C-42B0-A6AF-33509DA78DEC}"/>
    <cellStyle name="CustomizationCells 3 4 3" xfId="1316" xr:uid="{5AAF8008-B46F-4E55-8756-68ECF318C818}"/>
    <cellStyle name="CustomizationCells 3 4 4" xfId="1086" xr:uid="{F86D0906-0ADD-4063-B9F4-FF344D050594}"/>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7" xfId="1769" xr:uid="{CA7E4C1B-3A9E-4D85-9E9E-A87833AD5B5E}"/>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3" xfId="1824" xr:uid="{4A9AD5EE-BE8F-4307-8F33-4BBB5AAE6C1C}"/>
    <cellStyle name="CustomizationGreenCells 3 2 2 4" xfId="2228" xr:uid="{552B0FAD-4474-4E03-B64A-AF669B3F3E35}"/>
    <cellStyle name="CustomizationGreenCells 3 2 3" xfId="1370" xr:uid="{76FEA897-BF2D-42E8-9F9C-0BAE71929702}"/>
    <cellStyle name="CustomizationGreenCells 3 2 4" xfId="997" xr:uid="{173FC676-1A06-4CD2-AB2E-19EAA126587E}"/>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3" xfId="1819" xr:uid="{D97040C8-2B97-4D2C-86CD-441790D9DF27}"/>
    <cellStyle name="CustomizationGreenCells 3 3 2 4" xfId="2198" xr:uid="{6B5CC220-91BE-4BF6-BC99-EB3AFFB64A1E}"/>
    <cellStyle name="CustomizationGreenCells 3 3 3" xfId="1340" xr:uid="{53491117-5BBC-4EBF-AB74-861FE846078F}"/>
    <cellStyle name="CustomizationGreenCells 3 3 4" xfId="1011" xr:uid="{227057FC-B3D4-42E6-8910-A5DB7A709750}"/>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3" xfId="1076" xr:uid="{C96FFC2C-C126-4706-AFCA-CFA9B158C629}"/>
    <cellStyle name="CustomizationGreenCells 3 4 2 4" xfId="2131" xr:uid="{CACBB44F-92A4-482C-98F8-110B7BA3A44B}"/>
    <cellStyle name="CustomizationGreenCells 3 4 3" xfId="1273" xr:uid="{646C3DEB-81A0-4C06-99DD-8CBB20917642}"/>
    <cellStyle name="CustomizationGreenCells 3 4 4" xfId="1168" xr:uid="{75D1AED7-145B-4BAA-A1E8-D20447B040D4}"/>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7" xfId="1678" xr:uid="{A011262C-4199-4569-B142-64188E158C49}"/>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3" xfId="1890" xr:uid="{10259214-03EF-49EE-9852-255997FD176A}"/>
    <cellStyle name="Eingabe 3 2 2 4" xfId="2268" xr:uid="{1CA1A7A8-3E26-45C8-997B-B280BD98468E}"/>
    <cellStyle name="Eingabe 3 2 3" xfId="1410" xr:uid="{DB2531CD-F52C-4D13-8816-02C098D16AA7}"/>
    <cellStyle name="Eingabe 3 2 4" xfId="1820" xr:uid="{5C2943D4-6274-429D-BDF7-61657E5E82A3}"/>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3" xfId="1178" xr:uid="{8F9C0645-5432-4AF3-ABD2-82A76B2059F7}"/>
    <cellStyle name="Eingabe 3 3 2 4" xfId="2257" xr:uid="{2663E84D-2D8C-4897-8E20-62A6AE4A0953}"/>
    <cellStyle name="Eingabe 3 3 3" xfId="1399" xr:uid="{4F14EBB2-717D-4B08-8448-4C7E3D313D63}"/>
    <cellStyle name="Eingabe 3 3 4" xfId="1060" xr:uid="{318884CC-94E0-4427-B8CA-F0B26F64C21B}"/>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3" xfId="999" xr:uid="{F25B8C94-568E-4151-8A3C-5A4A8E5EC6DA}"/>
    <cellStyle name="Eingabe 3 4 2 4" xfId="2148" xr:uid="{DF3FCAE5-9121-4830-8A45-1B845264182D}"/>
    <cellStyle name="Eingabe 3 4 3" xfId="1290" xr:uid="{D18AD6B1-175B-44AA-B86B-EBE06B89D2CB}"/>
    <cellStyle name="Eingabe 3 4 4" xfId="1851" xr:uid="{5766B0E9-477E-45C9-9E35-50D17DC855B3}"/>
    <cellStyle name="Eingabe 3 4 5" xfId="1942" xr:uid="{187BB9FC-177E-4109-8D17-DA24941EF378}"/>
    <cellStyle name="Eingabe 3 5" xfId="753" xr:uid="{7D7F7524-E7B4-4195-9E4C-D6403A418D68}"/>
    <cellStyle name="Eingabe 3 5 2" xfId="1466" xr:uid="{C9C42825-579B-4660-B7BE-8F333BDAEA81}"/>
    <cellStyle name="Eingabe 3 5 3" xfId="1765" xr:uid="{DB99A11B-DB2A-40CB-BA07-B250D64A0E73}"/>
    <cellStyle name="Eingabe 3 5 4" xfId="2116" xr:uid="{2C4FB7AC-E24C-4D5E-AA99-A0694D3F6C36}"/>
    <cellStyle name="Eingabe 3 6" xfId="1213" xr:uid="{FE0D8030-E33A-4F5E-AC4D-AC9643B6F617}"/>
    <cellStyle name="Eingabe 3 7" xfId="1152" xr:uid="{9286F28E-46F9-4BAA-A0FF-DB13E2FE72F7}"/>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3" xfId="1158" xr:uid="{0D7833F1-8264-41ED-947F-1D14E9B3063F}"/>
    <cellStyle name="Eingabe 4 2 2 4" xfId="2229" xr:uid="{E02AF14A-6BB3-4D01-9277-57DE17AE139A}"/>
    <cellStyle name="Eingabe 4 2 3" xfId="1371" xr:uid="{827EA7BD-8B4A-4B71-8EE2-B32A668DEF5A}"/>
    <cellStyle name="Eingabe 4 2 4" xfId="1167" xr:uid="{1FD30ED9-C7ED-42C8-A956-83ECE6BDC0DD}"/>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3" xfId="1229" xr:uid="{8EC7AFD1-9BCE-4324-A47F-667BDF00A5A3}"/>
    <cellStyle name="Eingabe 4 3 2 4" xfId="2156" xr:uid="{FAADBA1F-F004-4CD4-BBC3-B394F9E72163}"/>
    <cellStyle name="Eingabe 4 3 3" xfId="1298" xr:uid="{5A20F023-9522-404A-B199-5ABCD96EA49F}"/>
    <cellStyle name="Eingabe 4 3 4" xfId="1243" xr:uid="{52D98483-89E9-4B9B-8FCA-861C95E27B81}"/>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3" xfId="1006" xr:uid="{379AF0BC-F891-4532-B1F9-1A07D827BF99}"/>
    <cellStyle name="Eingabe 4 4 2 4" xfId="2132" xr:uid="{5A49D6CE-3B82-4F0A-BF70-D8E82B36F564}"/>
    <cellStyle name="Eingabe 4 4 3" xfId="1274" xr:uid="{EC5A0BE7-9A36-461E-9225-A9F115AC47B1}"/>
    <cellStyle name="Eingabe 4 4 4" xfId="1691" xr:uid="{576C1E3D-3692-4727-AC38-0351D5D1FED1}"/>
    <cellStyle name="Eingabe 4 4 5" xfId="1926" xr:uid="{BE0442C7-009F-4BF9-88EF-87ECE90147EE}"/>
    <cellStyle name="Eingabe 4 5" xfId="737" xr:uid="{18788A41-3430-4A15-BBBB-098F031C7E97}"/>
    <cellStyle name="Eingabe 4 5 2" xfId="1450" xr:uid="{0A2423D6-3E07-43CB-8A57-E4BB2D55EE92}"/>
    <cellStyle name="Eingabe 4 5 3" xfId="1085" xr:uid="{25627ABB-D7D8-4E1B-960A-886B59EC7AD5}"/>
    <cellStyle name="Eingabe 4 5 4" xfId="2101" xr:uid="{387224DE-6EA0-485C-A2FE-6FEB66117790}"/>
    <cellStyle name="Eingabe 4 6" xfId="1110" xr:uid="{6BF60D33-0B13-4D7E-AB87-C78F43F0FBF8}"/>
    <cellStyle name="Eingabe 4 7" xfId="1782" xr:uid="{34FB3411-A353-4BC1-8395-0DD9246DAB7B}"/>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3" xfId="939" xr:uid="{15D68B26-409F-4B41-AB83-87F3B2643D3E}"/>
    <cellStyle name="Eingabe 5 2 4" xfId="2166" xr:uid="{B4529181-41BE-4BB3-8B4C-18498017342D}"/>
    <cellStyle name="Eingabe 5 3" xfId="1308" xr:uid="{423F1BCA-08DE-4803-AEC2-2DF3A75C4114}"/>
    <cellStyle name="Eingabe 5 4" xfId="1881" xr:uid="{D61B0CC8-25D1-49B4-87C8-23BFD14EE359}"/>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3" xfId="1710" xr:uid="{1CA3D44E-668F-446A-A8A7-9FEE025823FC}"/>
    <cellStyle name="Eingabe 6 2 4" xfId="2243" xr:uid="{C79D9390-21DA-4C1F-9BCB-873265211144}"/>
    <cellStyle name="Eingabe 6 3" xfId="1385" xr:uid="{E75EFE68-5DE1-4377-8038-09601EF6DA02}"/>
    <cellStyle name="Eingabe 6 4" xfId="1816" xr:uid="{4601E964-7947-463B-9C92-A916D6A02FF0}"/>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3" xfId="1907" xr:uid="{90B9981E-6A44-4A17-A3B7-ECC0C047DA1C}"/>
    <cellStyle name="Eingabe 7 2 4" xfId="2285" xr:uid="{FF8AD740-D784-4644-B47E-A96312BFAA7D}"/>
    <cellStyle name="Eingabe 7 3" xfId="1428" xr:uid="{AC30CE3C-3636-4DF8-87FF-E6076EAFD4F4}"/>
    <cellStyle name="Eingabe 7 4" xfId="1708" xr:uid="{CB475E4F-0C1C-43D0-9BC0-D3AC3C90CA22}"/>
    <cellStyle name="Eingabe 7 5" xfId="2079" xr:uid="{2CEB465E-8627-46D4-98D6-E9A4BA009012}"/>
    <cellStyle name="Eingabe 8" xfId="717" xr:uid="{4E63BFDE-C5ED-4F00-A964-4290E1E3B006}"/>
    <cellStyle name="Eingabe 8 2" xfId="1437" xr:uid="{D7A4A04B-ECF4-42AA-AD60-C61C7E51272A}"/>
    <cellStyle name="Eingabe 8 3" xfId="1883" xr:uid="{92AE5031-EB7E-4BD9-A7E2-6ABBFC7F130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3" xfId="1034" xr:uid="{B1C0A1EA-49E2-4197-8CD3-17A19DF0F2A1}"/>
    <cellStyle name="Ergebnis 2 2 2 4" xfId="2263" xr:uid="{AC7B1BB6-7F5D-469C-BD96-AD9482FC9431}"/>
    <cellStyle name="Ergebnis 2 2 3" xfId="1405" xr:uid="{19CD3CBF-FA84-40A9-AA84-5A019718E8C2}"/>
    <cellStyle name="Ergebnis 2 2 4" xfId="1722" xr:uid="{ABB0BD15-55D4-4ED0-A455-66A53558B0C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3" xfId="1228" xr:uid="{7D457B99-73B6-4616-81E3-E9F2B3B8515D}"/>
    <cellStyle name="Ergebnis 2 3 2 4" xfId="2195" xr:uid="{5E8E4D38-C3DB-4331-8632-D8A1BB48EDF8}"/>
    <cellStyle name="Ergebnis 2 3 3" xfId="1337" xr:uid="{DD135B25-D389-477B-B683-F43B123793C6}"/>
    <cellStyle name="Ergebnis 2 3 4" xfId="74" xr:uid="{649992E0-7B9A-4A90-870E-B6425AE26D23}"/>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3" xfId="1179" xr:uid="{8DC4E302-B2AD-4A39-B804-15555550DAC8}"/>
    <cellStyle name="Ergebnis 2 4 2 4" xfId="2186" xr:uid="{E7B2A8A0-AA4A-40B3-AEEB-29241D758891}"/>
    <cellStyle name="Ergebnis 2 4 3" xfId="1328" xr:uid="{5C6ED9AD-FBA4-4FD6-AEB4-24A530658052}"/>
    <cellStyle name="Ergebnis 2 4 4" xfId="1004" xr:uid="{46E3998F-550B-4F2E-B793-E2F92D1D2F97}"/>
    <cellStyle name="Ergebnis 2 4 5" xfId="1980" xr:uid="{250E0471-43E7-4715-8270-315C34C51126}"/>
    <cellStyle name="Ergebnis 2 5" xfId="743" xr:uid="{23F522DF-F4C5-47EF-B927-A58CCE00E5A0}"/>
    <cellStyle name="Ergebnis 2 5 2" xfId="1456" xr:uid="{7187EB83-C0D5-429E-AB20-3E37BD1819A1}"/>
    <cellStyle name="Ergebnis 2 5 3" xfId="1723" xr:uid="{D4C7AAAA-5528-4758-A559-B9A3B88142EE}"/>
    <cellStyle name="Ergebnis 2 5 4" xfId="2106" xr:uid="{371900C4-66D2-4829-8262-EB7D86679680}"/>
    <cellStyle name="Ergebnis 2 6" xfId="1195" xr:uid="{574EA804-1F32-423B-AEB8-23F5ED02F130}"/>
    <cellStyle name="Ergebnis 2 7" xfId="1806" xr:uid="{51677788-094F-476A-BA39-BE55F41E42A7}"/>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3" xfId="1745" xr:uid="{BC85EAB0-4B97-4C49-A97C-05C1F9DD01A8}"/>
    <cellStyle name="Ergebnis 3 2 2 4" xfId="2237" xr:uid="{45FC6327-A09C-4114-A0D7-FEB988C02092}"/>
    <cellStyle name="Ergebnis 3 2 3" xfId="1379" xr:uid="{9C39CA0D-4B09-427D-A5A6-3BC4B47BCDF3}"/>
    <cellStyle name="Ergebnis 3 2 4" xfId="1868" xr:uid="{9B6ECEFB-5F26-4416-9450-7B6F23E81F0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3" xfId="1656" xr:uid="{E5063A4D-039A-4190-AE96-255E5625FF4F}"/>
    <cellStyle name="Ergebnis 3 3 2 4" xfId="2151" xr:uid="{86BD62F9-E428-456F-B7FE-E714CED68514}"/>
    <cellStyle name="Ergebnis 3 3 3" xfId="1293" xr:uid="{EAA51786-8E63-45FF-9569-D121CDC0B0B2}"/>
    <cellStyle name="Ergebnis 3 3 4" xfId="70" xr:uid="{7114C9CB-2F64-4E80-8A69-047B08138918}"/>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3" xfId="92" xr:uid="{711ABDA4-59D1-43DE-809A-FBB077609849}"/>
    <cellStyle name="Ergebnis 3 4 2 4" xfId="2178" xr:uid="{8675E505-9F8E-4445-A9EB-38B5728753D2}"/>
    <cellStyle name="Ergebnis 3 4 3" xfId="1320" xr:uid="{71C041C5-E398-4021-8DA3-58AB161E0ABD}"/>
    <cellStyle name="Ergebnis 3 4 4" xfId="1781" xr:uid="{3FB99CD1-7F58-445D-AA7E-DB8C3969219E}"/>
    <cellStyle name="Ergebnis 3 4 5" xfId="1972" xr:uid="{8CEDB57B-84E1-4AF7-ACAC-C0C1A387E2EE}"/>
    <cellStyle name="Ergebnis 3 5" xfId="739" xr:uid="{B8D751BE-FBF4-49C9-9544-D37D7A1DAD15}"/>
    <cellStyle name="Ergebnis 3 5 2" xfId="1452" xr:uid="{27906B50-E025-4DDB-BC39-97D45276D4C6}"/>
    <cellStyle name="Ergebnis 3 5 3" xfId="1857" xr:uid="{866586B1-2AE8-47A5-BD4F-780F2C3B8D08}"/>
    <cellStyle name="Ergebnis 3 5 4" xfId="2103" xr:uid="{155B708A-DB02-4B8E-898F-ADF38C01164C}"/>
    <cellStyle name="Ergebnis 3 6" xfId="1119" xr:uid="{C58E25DA-E2D8-47C5-BBCC-0C8DADC795A8}"/>
    <cellStyle name="Ergebnis 3 7" xfId="1177" xr:uid="{621104AE-DE24-4299-90C9-19A0AF2EAC5A}"/>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3" xfId="932" xr:uid="{9457D040-686B-4EB5-89C3-D494A5F9D547}"/>
    <cellStyle name="Ergebnis 4 2 4" xfId="2167" xr:uid="{D95436DD-51F1-43F3-A226-6C91382F2CE9}"/>
    <cellStyle name="Ergebnis 4 3" xfId="1309" xr:uid="{28A923EA-0124-4EC4-9E09-78892F4B7868}"/>
    <cellStyle name="Ergebnis 4 4" xfId="1264" xr:uid="{21837CB3-F2C5-4C46-918E-D8723DF96B3B}"/>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3" xfId="1033" xr:uid="{AF245C6C-501C-4815-98B4-70657087203F}"/>
    <cellStyle name="Ergebnis 5 2 4" xfId="2241" xr:uid="{C01CC964-075A-40D0-8D52-5C90DA3CB3EF}"/>
    <cellStyle name="Ergebnis 5 3" xfId="1383" xr:uid="{62CFA118-573A-4529-98A4-F80665B2590B}"/>
    <cellStyle name="Ergebnis 5 4" xfId="1242" xr:uid="{45E0F288-432D-40FB-A001-C1F6943E5B03}"/>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3" xfId="1665" xr:uid="{A46AC2BE-B73E-47F5-8212-E7B174DD3525}"/>
    <cellStyle name="Ergebnis 6 2 4" xfId="2248" xr:uid="{95FDE857-2E43-49D7-AE10-9FA06C7B964B}"/>
    <cellStyle name="Ergebnis 6 3" xfId="1390" xr:uid="{6E31BC44-E14F-4023-B2BF-69366D01A3C6}"/>
    <cellStyle name="Ergebnis 6 4" xfId="1854" xr:uid="{94779A45-FBC6-406B-AAFF-CDA5C0708E85}"/>
    <cellStyle name="Ergebnis 6 5" xfId="2042" xr:uid="{5A19AF33-9676-45D1-A3CC-34ACFA538928}"/>
    <cellStyle name="Ergebnis 7" xfId="718" xr:uid="{C09FA523-CD76-481B-B7DA-570B2F25BCD0}"/>
    <cellStyle name="Ergebnis 7 2" xfId="1438" xr:uid="{DEE9FAB0-D66D-49CE-9AF2-38CCAFA02937}"/>
    <cellStyle name="Ergebnis 7 3" xfId="1864" xr:uid="{32DD2EA3-C450-4E1C-B7C6-CF0447ED85B9}"/>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3" xfId="1045" xr:uid="{31353151-0D19-4A0A-B07C-50079A7F8877}"/>
    <cellStyle name="Input 2 2 2 4" xfId="2170" xr:uid="{6C0A7E5C-3E74-4CFE-874E-F5CBDB9C5C14}"/>
    <cellStyle name="Input 2 2 3" xfId="1312" xr:uid="{BC43014B-465E-4FA4-B9E0-DB9A62F4D55F}"/>
    <cellStyle name="Input 2 2 4" xfId="1058" xr:uid="{7638BFB5-0306-4510-8E9A-A13ADD74DC25}"/>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3" xfId="1896" xr:uid="{661C988A-2A32-4254-B802-05D61A725F9E}"/>
    <cellStyle name="Input 2 3 2 4" xfId="2274" xr:uid="{68658386-7322-4FE3-ABA5-C92423DF34DD}"/>
    <cellStyle name="Input 2 3 3" xfId="1416" xr:uid="{84CC3887-6E9E-4CBF-B606-F447886B3F57}"/>
    <cellStyle name="Input 2 3 4" xfId="96" xr:uid="{CCCF52DD-123B-4361-883D-F9945660F407}"/>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3" xfId="1906" xr:uid="{A2EAB52B-2BA0-4156-B983-DC01DFE24A35}"/>
    <cellStyle name="Input 2 4 2 4" xfId="2284" xr:uid="{244DBBD0-89FA-48FB-9537-D4B966B0D389}"/>
    <cellStyle name="Input 2 4 3" xfId="1427" xr:uid="{F7FBA761-9CE8-4C64-AA53-B099C74F6D6F}"/>
    <cellStyle name="Input 2 4 4" xfId="1191" xr:uid="{9CE8748B-A431-43E7-899C-42823151C242}"/>
    <cellStyle name="Input 2 4 5" xfId="2078" xr:uid="{2F9947F1-20DE-475A-8EA9-3FEB7F9778A7}"/>
    <cellStyle name="Input 2 5" xfId="719" xr:uid="{BD0B1103-0B81-434C-BB99-76C16D3A1ED1}"/>
    <cellStyle name="Input 2 5 2" xfId="1439" xr:uid="{2C98CDBA-57CD-49C3-A024-07A930918E8B}"/>
    <cellStyle name="Input 2 5 3" xfId="931" xr:uid="{ED860899-6A32-49EA-AA99-CD7FE7625D89}"/>
    <cellStyle name="Input 2 5 4" xfId="2090" xr:uid="{9140E603-A07D-4880-BC9F-DE386DF38A4C}"/>
    <cellStyle name="Input 2 6" xfId="1018" xr:uid="{2186ED14-8725-4B27-A612-DAB372AA33D4}"/>
    <cellStyle name="Input 2 7" xfId="1887" xr:uid="{0A5B061A-E170-4334-A302-CA1ECF8487C0}"/>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3" xfId="69" xr:uid="{08D496C0-7455-4FC8-AD0E-B021A67D19CC}"/>
    <cellStyle name="Input 3 2 2 4" xfId="2202" xr:uid="{C6136075-0D55-4154-998B-9D9C00883F3A}"/>
    <cellStyle name="Input 3 2 3" xfId="1344" xr:uid="{829C1499-7AF9-4FE9-B7C0-2280E2A487B3}"/>
    <cellStyle name="Input 3 2 4" xfId="1845" xr:uid="{A8C9AD26-F834-4296-A8A8-000F45F19D5D}"/>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3" xfId="1743" xr:uid="{B47930AE-B9FE-47AB-B2B6-22E7CE9C8A74}"/>
    <cellStyle name="Input 3 3 2 4" xfId="2201" xr:uid="{E6125AAC-4444-4B61-83B9-6AD51762271E}"/>
    <cellStyle name="Input 3 3 3" xfId="1343" xr:uid="{3563FBF2-73D8-4B4D-B762-B1A44C70C806}"/>
    <cellStyle name="Input 3 3 4" xfId="1831" xr:uid="{BE18BDA5-D5AC-479F-9599-50A76132B237}"/>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3" xfId="1147" xr:uid="{F0BE2761-903E-4158-82C4-0DC424DD363E}"/>
    <cellStyle name="Input 3 4 2 4" xfId="2145" xr:uid="{55FCF3D6-C7A6-47DF-B51E-DEB45291945A}"/>
    <cellStyle name="Input 3 4 3" xfId="1287" xr:uid="{1EA8F864-CF09-4EE5-AAE6-9047F956F9D6}"/>
    <cellStyle name="Input 3 4 4" xfId="1675" xr:uid="{29B63816-0EA1-4AE6-A563-E556253F3730}"/>
    <cellStyle name="Input 3 4 5" xfId="1939" xr:uid="{E7F595E0-1AC5-4B80-99EF-AEB8C52BD506}"/>
    <cellStyle name="Input 3 5" xfId="725" xr:uid="{C610ACF0-38A5-4857-824A-A74BFE1C81F2}"/>
    <cellStyle name="Input 3 5 2" xfId="1445" xr:uid="{15CCA8A9-7F56-4408-AA53-BD288363D8F9}"/>
    <cellStyle name="Input 3 5 3" xfId="977" xr:uid="{1CA63B62-A749-4F57-8E13-4453094E6712}"/>
    <cellStyle name="Input 3 5 4" xfId="2096" xr:uid="{5D79227A-3858-4F90-B06B-4BF076B34E2C}"/>
    <cellStyle name="Input 3 6" xfId="1074" xr:uid="{4F9E391A-61DD-4B9E-860B-F7137362D00B}"/>
    <cellStyle name="Input 3 7" xfId="1426" xr:uid="{EFDAC16F-D5E6-416E-8A15-3EA627B50D15}"/>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3" xfId="1804" xr:uid="{D0404BC5-786E-4CED-A6CA-159931981638}"/>
    <cellStyle name="InputCells12 2 2 2 2 4" xfId="2208" xr:uid="{0851113D-2BA6-44A9-982C-3EEBBBCE5C9E}"/>
    <cellStyle name="InputCells12 2 2 2 3" xfId="1350" xr:uid="{BE64D6BD-BCF0-40E9-B0C0-B5C2E59C98D4}"/>
    <cellStyle name="InputCells12 2 2 2 4" xfId="1187" xr:uid="{AA69B967-7096-45D0-8C63-2E18347178BC}"/>
    <cellStyle name="InputCells12 2 2 2 5" xfId="2002" xr:uid="{ED71999B-1FC2-4005-8050-3AB83B502532}"/>
    <cellStyle name="InputCells12 2 2 3" xfId="755" xr:uid="{5AD6C090-6FC4-46E8-85A2-5B952592B652}"/>
    <cellStyle name="InputCells12 2 2 3 2" xfId="1468" xr:uid="{761BE10E-1732-49C3-99E9-35515C50F3A9}"/>
    <cellStyle name="InputCells12 2 2 3 3" xfId="1884" xr:uid="{A02E4F7E-AF71-45D5-AA7B-42EA0C8278FF}"/>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3" xfId="1142" xr:uid="{12761400-4521-4F3D-8D22-3E35C811B04A}"/>
    <cellStyle name="InputCells12 2 3 2 2 4" xfId="2231" xr:uid="{B035DBF7-C5F6-4E25-A57C-9A511D97C930}"/>
    <cellStyle name="InputCells12 2 3 2 3" xfId="1373" xr:uid="{5D5DB4CD-C07B-48AA-8552-F22B80891538}"/>
    <cellStyle name="InputCells12 2 3 2 4" xfId="1732" xr:uid="{0C791DE9-DFC6-4D2C-A931-396398187AEA}"/>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3" xfId="1655" xr:uid="{C18065C9-467B-4F7F-99B5-A67A91C9D3FB}"/>
    <cellStyle name="InputCells12 2 3 3 2 4" xfId="2154" xr:uid="{DD719F70-98F0-4F21-A9EE-7BF5C04627CD}"/>
    <cellStyle name="InputCells12 2 3 3 3" xfId="1296" xr:uid="{EAAE4837-2183-4E3F-8E6C-F4E26FE83C1B}"/>
    <cellStyle name="InputCells12 2 3 3 4" xfId="1046" xr:uid="{1227DE55-9A0E-4479-8CF7-B985261AE921}"/>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3" xfId="1892" xr:uid="{26E87FC3-68DD-4161-910F-CB22AB411514}"/>
    <cellStyle name="InputCells12 2 3 4 2 4" xfId="2270" xr:uid="{F104763D-8FCF-41A6-9CD5-CC8F8A7F5973}"/>
    <cellStyle name="InputCells12 2 3 4 3" xfId="1412" xr:uid="{459E9BDE-D194-41AB-BFD6-67AE66A1F4BD}"/>
    <cellStyle name="InputCells12 2 3 4 4" xfId="1188" xr:uid="{356D0D47-C54C-4229-B7A1-07483A3BA333}"/>
    <cellStyle name="InputCells12 2 3 4 5" xfId="2064" xr:uid="{D88D44C4-17F0-4E78-B847-F7ADDEAA308F}"/>
    <cellStyle name="InputCells12 2 3 5" xfId="1112" xr:uid="{766CA799-C91F-4DD0-8FA5-4D16D09274D9}"/>
    <cellStyle name="InputCells12 2 3 6" xfId="1237" xr:uid="{F250C9C9-2DF5-4334-BF0D-B22911CE22FC}"/>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3" xfId="1233" xr:uid="{CA185AAB-EB7A-4A56-B722-D83C53BB42C9}"/>
    <cellStyle name="InputCells12 3 2 2 4" xfId="2138" xr:uid="{5A5C0486-41F8-49E1-886F-E1B44F865D64}"/>
    <cellStyle name="InputCells12 3 2 3" xfId="1280" xr:uid="{6B68BCC4-C052-4271-8DCB-8CE688A7DFEC}"/>
    <cellStyle name="InputCells12 3 2 4" xfId="1823" xr:uid="{EB709901-63C9-4655-ABA0-B185C744C84B}"/>
    <cellStyle name="InputCells12 3 2 5" xfId="1932" xr:uid="{74DC1542-FFC0-4F84-9AD7-F9AE003FC87F}"/>
    <cellStyle name="InputCells12 3 3" xfId="754" xr:uid="{3A023354-1868-44CF-8BB2-65009CC59402}"/>
    <cellStyle name="InputCells12 3 3 2" xfId="1467" xr:uid="{2CBB2D13-3E38-4778-B416-6EDD85DBE6C8}"/>
    <cellStyle name="InputCells12 3 3 3" xfId="1695" xr:uid="{9C1B6815-9604-43AE-8973-B764123C8D2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3" xfId="1865" xr:uid="{66E3EDFD-47EF-4738-BF53-2D5B47051E70}"/>
    <cellStyle name="InputCells12 4 2 2 4" xfId="2230" xr:uid="{01B8DD9C-D9E5-4896-84EA-18511695670E}"/>
    <cellStyle name="InputCells12 4 2 3" xfId="1372" xr:uid="{F76D6C92-71F3-4B48-8EDE-11DEAE161AD8}"/>
    <cellStyle name="InputCells12 4 2 4" xfId="1192" xr:uid="{001775D5-ADE3-4011-B650-D0E8D38691C4}"/>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3" xfId="1230" xr:uid="{EFA74852-BE59-4156-A0F6-03631B072B47}"/>
    <cellStyle name="InputCells12 4 3 2 4" xfId="2155" xr:uid="{694DEEFA-0862-452E-8FA0-0F64467C39CB}"/>
    <cellStyle name="InputCells12 4 3 3" xfId="1297" xr:uid="{C89DCDDF-AC6C-4E3B-AD71-9E133D83B116}"/>
    <cellStyle name="InputCells12 4 3 4" xfId="1010" xr:uid="{6876FF77-CA37-4492-B22D-1358E062F089}"/>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3" xfId="1218" xr:uid="{4CBC2CA6-8323-46C2-9D3A-B936C69FC1D1}"/>
    <cellStyle name="InputCells12 4 4 2 4" xfId="2129" xr:uid="{51D2955E-B202-42D6-BD30-31203F11250A}"/>
    <cellStyle name="InputCells12 4 4 3" xfId="1271" xr:uid="{3E82043F-C517-4615-91FC-7A485F67C483}"/>
    <cellStyle name="InputCells12 4 4 4" xfId="1654" xr:uid="{A467A0FE-3109-4836-A4C1-D3E340EC3EBD}"/>
    <cellStyle name="InputCells12 4 4 5" xfId="1923" xr:uid="{1847250B-3D73-479A-9C77-B63F8DE71DFE}"/>
    <cellStyle name="InputCells12 4 5" xfId="1111" xr:uid="{DE6A5516-8999-47CF-9828-6B195B73C26A}"/>
    <cellStyle name="InputCells12 4 6" xfId="1803" xr:uid="{B351F016-5141-4220-8CCB-07E138DA273E}"/>
    <cellStyle name="InputCells12 4 7" xfId="37" xr:uid="{18F04F6F-5D04-409E-85D7-4063E4111B43}"/>
    <cellStyle name="InputCells12 5" xfId="109" xr:uid="{974CCAFE-F20B-4D5A-9FD5-492576EB52FE}"/>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1" xfId="435" xr:uid="{D7C271AC-4A59-4EAD-BC3A-F11096BF3FFC}"/>
    <cellStyle name="Normal 11 2" xfId="477" xr:uid="{F67423BA-D407-4AD6-9ED7-EFFB65B0008A}"/>
    <cellStyle name="Normal 12" xfId="546" xr:uid="{3128F217-57E8-4C6B-BBE7-9B4839734600}"/>
    <cellStyle name="Normal 12 2" xfId="706" xr:uid="{E0FC66FB-8D88-4D6D-BBA1-4DCB8A0A765D}"/>
    <cellStyle name="Normal 13" xfId="20" xr:uid="{5286BDF5-7A53-4F08-983B-9F69C35F51C2}"/>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3" xfId="481" xr:uid="{F60BBD0E-FC44-4AE5-B62E-8CF366991BEB}"/>
    <cellStyle name="Normal 5 2 2 3" xfId="352" xr:uid="{7C9D0870-E1BF-4F34-B358-B84ED09C91DF}"/>
    <cellStyle name="Normal 5 2 2 3 2" xfId="483" xr:uid="{EA2AA38A-A866-48CA-93DF-2FF413F73F21}"/>
    <cellStyle name="Normal 5 2 2 4" xfId="480" xr:uid="{40D64E32-C1BF-4DC3-BA18-00703C8ACA04}"/>
    <cellStyle name="Normal 5 2 3" xfId="337" xr:uid="{AA1110A9-9365-439D-B9B4-6E9AC32499CC}"/>
    <cellStyle name="Normal 5 2 3 2" xfId="354" xr:uid="{16D8B633-33F1-4B7B-8875-EB0A6986FCED}"/>
    <cellStyle name="Normal 5 2 3 2 2" xfId="485" xr:uid="{AC25004C-FEB0-46B6-9D8D-F740CC19F84E}"/>
    <cellStyle name="Normal 5 2 3 3" xfId="484" xr:uid="{75E3E50D-5A2D-47D1-B31C-80321CB04FBD}"/>
    <cellStyle name="Normal 5 2 4" xfId="351" xr:uid="{5F4656E9-B24F-412A-8AB0-D1CC15773ECE}"/>
    <cellStyle name="Normal 5 2 4 2" xfId="486" xr:uid="{10AAC166-00B4-4545-BC6D-DB00EDBEB6C2}"/>
    <cellStyle name="Normal 5 2 5" xfId="460" xr:uid="{E0A21CA1-1C2A-4CE0-A7B7-D1C1D2CAFFD0}"/>
    <cellStyle name="Normal 5 2 5 2" xfId="487" xr:uid="{7F171D51-F4D7-42B8-947A-A93DE856A2F2}"/>
    <cellStyle name="Normal 5 2 6" xfId="479" xr:uid="{C5871523-3334-4E82-B6A5-CF76A022823B}"/>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3" xfId="489" xr:uid="{510BD2F5-1A3C-4FE9-B46F-0A29288C9F24}"/>
    <cellStyle name="Normal 5 3 3" xfId="355" xr:uid="{24272E6D-E500-479D-A797-4819DB6D4974}"/>
    <cellStyle name="Normal 5 3 3 2" xfId="491" xr:uid="{0C9043B6-0F53-443C-9543-F8202412EF8C}"/>
    <cellStyle name="Normal 5 3 4" xfId="488" xr:uid="{BB6714A8-AD0C-4569-AAC6-3CCAC473E418}"/>
    <cellStyle name="Normal 5 4" xfId="336" xr:uid="{35807DB0-918D-4E74-A835-8A3511C8CEC0}"/>
    <cellStyle name="Normal 5 4 2" xfId="357" xr:uid="{AE33D416-C483-4632-9AB5-1E9C70146452}"/>
    <cellStyle name="Normal 5 4 2 2" xfId="493" xr:uid="{F9129580-2703-4569-8832-F63F0F053346}"/>
    <cellStyle name="Normal 5 4 3" xfId="492" xr:uid="{4F11EE93-4C8C-4722-8035-4AA391D8BCD5}"/>
    <cellStyle name="Normal 5 5" xfId="350" xr:uid="{6786BC1E-1455-40A5-97D0-3F54E6BA537D}"/>
    <cellStyle name="Normal 5 5 2" xfId="494" xr:uid="{8525BBB9-A6CA-45BB-A7F6-037F1A75AB04}"/>
    <cellStyle name="Normal 5 6" xfId="394" xr:uid="{B590EA6B-DD12-45C5-B516-81E383565FBB}"/>
    <cellStyle name="Normal 5 7" xfId="478" xr:uid="{475C9D31-9E94-4DD8-81FD-CC89BFEAFFF6}"/>
    <cellStyle name="Normal 5 8" xfId="316" xr:uid="{01432787-077E-493D-BA97-A69E1BBB1CC9}"/>
    <cellStyle name="Normal 6" xfId="195" xr:uid="{74C16697-8220-47DA-9188-58B4A98FEC3C}"/>
    <cellStyle name="Normal 6 10" xfId="461" xr:uid="{584B8D64-4634-4F93-B88D-D474F066575D}"/>
    <cellStyle name="Normal 6 10 2" xfId="496" xr:uid="{AC0D34DF-E0C4-41C5-AB15-1300988BE349}"/>
    <cellStyle name="Normal 6 11" xfId="495" xr:uid="{3A2A6A38-1AA3-48E5-ACF0-CF0AD363C96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3" xfId="499" xr:uid="{40C8B826-AC28-4D97-AB30-609250CFAB62}"/>
    <cellStyle name="Normal 6 2 2 3" xfId="360" xr:uid="{A06C7EB0-F4FB-4C68-B782-0F983503FAA0}"/>
    <cellStyle name="Normal 6 2 2 3 2" xfId="501" xr:uid="{96CF31BA-9C02-4CCD-9952-D06EB8422824}"/>
    <cellStyle name="Normal 6 2 2 4" xfId="498" xr:uid="{96503A98-FA06-4309-87FF-1CCC8ABB5B89}"/>
    <cellStyle name="Normal 6 2 3" xfId="341" xr:uid="{ED249622-2912-4E20-86A8-537DBCC1DDF3}"/>
    <cellStyle name="Normal 6 2 3 2" xfId="362" xr:uid="{B6ADEDF3-0A9B-44AC-978C-BE12F48B59A6}"/>
    <cellStyle name="Normal 6 2 3 2 2" xfId="503" xr:uid="{101AF594-B68A-4D24-985E-6608B8A0841B}"/>
    <cellStyle name="Normal 6 2 3 3" xfId="502" xr:uid="{18DED862-82D7-4107-A927-3AA28763B665}"/>
    <cellStyle name="Normal 6 2 4" xfId="359" xr:uid="{B12A5A68-4547-4DE8-BC23-2C9B8588B93E}"/>
    <cellStyle name="Normal 6 2 4 2" xfId="504" xr:uid="{9DE5B1A4-F004-431C-9E48-BB76AB2A7780}"/>
    <cellStyle name="Normal 6 2 5" xfId="462" xr:uid="{832E20EF-75D1-4E76-AE9A-8C5615B00C8C}"/>
    <cellStyle name="Normal 6 2 5 2" xfId="505" xr:uid="{2578C940-9BBF-4070-AB23-EC0E9D597F56}"/>
    <cellStyle name="Normal 6 2 6" xfId="497" xr:uid="{07CB5249-6332-4965-98A7-F50F15256EE3}"/>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3" xfId="508" xr:uid="{8A823C7D-7991-4ECD-9D0A-C95B331DF16C}"/>
    <cellStyle name="Normal 6 3 2 3" xfId="364" xr:uid="{3C3350DF-CFEB-43B3-B2BE-92D38DFB8A8C}"/>
    <cellStyle name="Normal 6 3 2 3 2" xfId="510" xr:uid="{420A7F7E-505B-4AA7-924A-328CA7D78224}"/>
    <cellStyle name="Normal 6 3 2 4" xfId="507" xr:uid="{84446E88-1427-4D8E-A75F-7834A03FCCF2}"/>
    <cellStyle name="Normal 6 3 3" xfId="343" xr:uid="{03952B5B-7EAC-4EB5-9DE1-A5C61EB1790D}"/>
    <cellStyle name="Normal 6 3 3 2" xfId="366" xr:uid="{FAA1A59C-0E95-487F-A819-46B70B45A140}"/>
    <cellStyle name="Normal 6 3 3 2 2" xfId="512" xr:uid="{46712059-DCE4-45BE-9CCA-1B9689EC98B5}"/>
    <cellStyle name="Normal 6 3 3 3" xfId="511" xr:uid="{EA019976-4D61-4887-BD4C-AE32961B1BD9}"/>
    <cellStyle name="Normal 6 3 4" xfId="363" xr:uid="{462DC147-F652-4769-AB6D-6317046FF139}"/>
    <cellStyle name="Normal 6 3 4 2" xfId="513" xr:uid="{2FE0EEE6-A4A3-4483-BD07-DF19DD09F1EA}"/>
    <cellStyle name="Normal 6 3 5" xfId="506" xr:uid="{AA3C4D4C-E5C6-4D80-A25E-FC112FF274F0}"/>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3" xfId="515" xr:uid="{0A0EB32C-9796-4F37-A16A-37FC5144D4AB}"/>
    <cellStyle name="Normal 6 4 3" xfId="367" xr:uid="{9C02624F-CE3F-4F38-A35D-033FB56C4037}"/>
    <cellStyle name="Normal 6 4 3 2" xfId="517" xr:uid="{0E38B21D-6DF5-4338-B06D-5655A497F7E6}"/>
    <cellStyle name="Normal 6 4 4" xfId="514" xr:uid="{9BF7FFF0-3EB4-4091-9E00-CA9FA1E549FB}"/>
    <cellStyle name="Normal 6 5" xfId="340" xr:uid="{39BCA476-EAA3-40D7-B399-B12CA4709684}"/>
    <cellStyle name="Normal 6 5 2" xfId="369" xr:uid="{77AD6912-197E-4323-8B85-006BDB0F2A69}"/>
    <cellStyle name="Normal 6 5 2 2" xfId="519" xr:uid="{B4FC728E-A6A6-4544-9FE9-05E170F75800}"/>
    <cellStyle name="Normal 6 5 3" xfId="518" xr:uid="{E83F8610-E98C-438E-94F1-268563430D1C}"/>
    <cellStyle name="Normal 6 6" xfId="358" xr:uid="{F47BB582-81A8-41F2-85E0-644AF670AC7E}"/>
    <cellStyle name="Normal 6 6 2" xfId="520" xr:uid="{AAE49162-A0EB-4613-82A5-80E2E7244EF6}"/>
    <cellStyle name="Normal 6 7" xfId="395" xr:uid="{9FF7AF40-6BC8-4651-98F8-A13E09D789E4}"/>
    <cellStyle name="Normal 6 7 2" xfId="521" xr:uid="{077E1489-F306-40F6-B566-E6A4900335E8}"/>
    <cellStyle name="Normal 6 8" xfId="431" xr:uid="{5DB46C59-3781-4539-AA80-7789BC7A722D}"/>
    <cellStyle name="Normal 6 8 2" xfId="522" xr:uid="{1FC88BCE-ACA6-461E-B9A4-593226CDEAB1}"/>
    <cellStyle name="Normal 6 9" xfId="434" xr:uid="{F173A7BC-B3B4-4993-83C3-574E15738251}"/>
    <cellStyle name="Normal 6 9 2" xfId="523" xr:uid="{75A2EE0A-9BEB-465C-894B-EFB32F5EA7F6}"/>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3" xfId="527" xr:uid="{F53862C9-F708-41F3-80F4-FFF155AD6DC8}"/>
    <cellStyle name="Normal 7 2 2 3" xfId="372" xr:uid="{0461ED90-3354-479B-A36E-A470E342BC2C}"/>
    <cellStyle name="Normal 7 2 2 3 2" xfId="529" xr:uid="{14A5EA1C-D735-453D-9005-B412177A00FE}"/>
    <cellStyle name="Normal 7 2 2 4" xfId="526" xr:uid="{F66FFCAF-5FFC-43CD-9D87-573FEB256CAA}"/>
    <cellStyle name="Normal 7 2 3" xfId="347" xr:uid="{8D63EF92-514B-492D-B592-D8E4580870EB}"/>
    <cellStyle name="Normal 7 2 3 2" xfId="374" xr:uid="{4C96A61F-377A-48D5-8925-3718EF96232B}"/>
    <cellStyle name="Normal 7 2 3 2 2" xfId="531" xr:uid="{09706D63-F72B-49D1-945E-72A7D31CC13E}"/>
    <cellStyle name="Normal 7 2 3 3" xfId="530" xr:uid="{509AE553-6997-4E31-B6D6-629027FD8511}"/>
    <cellStyle name="Normal 7 2 4" xfId="371" xr:uid="{E27B4B98-324F-4EC7-AAF6-2F08F660E2C0}"/>
    <cellStyle name="Normal 7 2 4 2" xfId="532" xr:uid="{6AAF3D36-16EE-439B-AEC0-F7373DCB8521}"/>
    <cellStyle name="Normal 7 2 5" xfId="463" xr:uid="{C0E9D699-8198-4B53-86E0-DB91E03F11E4}"/>
    <cellStyle name="Normal 7 2 5 2" xfId="533" xr:uid="{3B9A6999-F68A-4D2B-AB62-F1C1F17994FC}"/>
    <cellStyle name="Normal 7 2 6" xfId="525" xr:uid="{72BF2DA2-35A8-4A3D-A40C-F2997DCEC459}"/>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3" xfId="535" xr:uid="{3925FBA5-C494-48A2-B2B7-D3E5385D79CB}"/>
    <cellStyle name="Normal 7 3 3" xfId="375" xr:uid="{B020E678-952B-4AF3-A5E4-5AA5B673BD3E}"/>
    <cellStyle name="Normal 7 3 3 2" xfId="537" xr:uid="{3F60A299-B6B7-4147-BBA7-1E2BB68BE33F}"/>
    <cellStyle name="Normal 7 3 4" xfId="534" xr:uid="{3F4526F5-9CFA-459D-B311-2FD1BC2F0A02}"/>
    <cellStyle name="Normal 7 4" xfId="346" xr:uid="{31269D53-FA35-4CDC-BB45-4A66B9AAAC49}"/>
    <cellStyle name="Normal 7 4 2" xfId="377" xr:uid="{A944037E-2AAC-4546-A07B-1C62B2E69142}"/>
    <cellStyle name="Normal 7 4 2 2" xfId="539" xr:uid="{C9B25A50-DDAD-4AF5-9759-26BE37410F3D}"/>
    <cellStyle name="Normal 7 4 3" xfId="538" xr:uid="{53C0982A-C032-4E82-BCE6-C7FF30BF6428}"/>
    <cellStyle name="Normal 7 5" xfId="370" xr:uid="{E534B099-97A2-459F-AC3B-685E662C32A9}"/>
    <cellStyle name="Normal 7 5 2" xfId="540" xr:uid="{35D029D9-9EF6-4D15-A33B-676D6FF7A1A1}"/>
    <cellStyle name="Normal 7 6" xfId="383" xr:uid="{7FC79651-053F-4277-8FB4-F773C2CBFFD1}"/>
    <cellStyle name="Normal 7 7" xfId="524" xr:uid="{0CE32725-2553-4924-8A10-11C6AFC6DD4D}"/>
    <cellStyle name="Normal 7 8" xfId="324" xr:uid="{E6684B8E-BDA5-404F-BE20-6F5372A7294E}"/>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3" xfId="1069" xr:uid="{F62475C0-BCC9-4405-80F1-4C1466D10A8D}"/>
    <cellStyle name="Normal GHG Numbers (0.00) 3 2 2 2 4" xfId="2193" xr:uid="{9952FC4D-DAD7-4796-BFBD-184EB7EE1D18}"/>
    <cellStyle name="Normal GHG Numbers (0.00) 3 2 2 3" xfId="1335" xr:uid="{400BC8DB-518A-4C98-B957-8C8E2309160F}"/>
    <cellStyle name="Normal GHG Numbers (0.00) 3 2 2 4" xfId="1109" xr:uid="{225457B7-E254-4C67-B631-5169C39A5A12}"/>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3" xfId="1758" xr:uid="{7F57D123-8A04-40AE-8CD7-D0E216E23599}"/>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3" xfId="1666" xr:uid="{0FAC41C5-C496-4779-887A-856FE0636D23}"/>
    <cellStyle name="Normal GHG Numbers (0.00) 3 3 2 2 4" xfId="2252" xr:uid="{F55D8926-AD51-4B25-A03E-969823AB7458}"/>
    <cellStyle name="Normal GHG Numbers (0.00) 3 3 2 3" xfId="1394" xr:uid="{7247452B-9FEA-4E7C-97DA-CD38DF24ED13}"/>
    <cellStyle name="Normal GHG Numbers (0.00) 3 3 2 4" xfId="1224" xr:uid="{BC697149-8D66-41E9-BFF6-8ACD53A990BD}"/>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3" xfId="993" xr:uid="{D0192E98-7FB7-438B-922A-055C61758ECE}"/>
    <cellStyle name="Normal GHG Numbers (0.00) 3 3 3 2 4" xfId="2149" xr:uid="{75DD3B17-FAA6-42F1-9D02-E383C68F1D94}"/>
    <cellStyle name="Normal GHG Numbers (0.00) 3 3 3 3" xfId="1291" xr:uid="{C10D9770-2FAD-41DA-95AB-B53B57601356}"/>
    <cellStyle name="Normal GHG Numbers (0.00) 3 3 3 4" xfId="1127" xr:uid="{F6BF98A3-CDCF-4F29-B8B2-CFEDBD3ECC91}"/>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3" xfId="1904" xr:uid="{5B33B448-E164-422E-9838-E16EFA2BA62B}"/>
    <cellStyle name="Normal GHG Numbers (0.00) 3 3 4 2 4" xfId="2282" xr:uid="{ECAC18AB-CBBC-42F0-ABCC-03D14D15BD56}"/>
    <cellStyle name="Normal GHG Numbers (0.00) 3 3 4 3" xfId="1424" xr:uid="{571F0A6B-DB23-4FD3-8CE5-0C63662052A2}"/>
    <cellStyle name="Normal GHG Numbers (0.00) 3 3 4 4" xfId="1874" xr:uid="{4402889C-8075-4512-8FF5-3F8BC1A344B6}"/>
    <cellStyle name="Normal GHG Numbers (0.00) 3 3 4 5" xfId="2076" xr:uid="{A33209E0-369F-425A-A5A0-C77E4723E38B}"/>
    <cellStyle name="Normal GHG Numbers (0.00) 3 3 5" xfId="1173" xr:uid="{C251E45D-0342-4DAD-9C83-FA40E4AD526F}"/>
    <cellStyle name="Normal GHG Numbers (0.00) 3 3 6" xfId="1689" xr:uid="{07F5A262-4A94-4475-BEFA-4A7DB2EA31C9}"/>
    <cellStyle name="Normal GHG Numbers (0.00) 3 3 7" xfId="933" xr:uid="{DFAB1CE6-CD03-4742-A893-7712E9A48E70}"/>
    <cellStyle name="Normal GHG Numbers (0.00) 3 4" xfId="198" xr:uid="{2C0802AB-9A45-436E-87FD-2F589F8C7EFB}"/>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3" xfId="1162" xr:uid="{9436654C-4434-4D9C-9F62-F0918E49414B}"/>
    <cellStyle name="Normal GHG Textfiels Bold 3 2 2 2 4" xfId="2137" xr:uid="{E6D010DB-314B-41B0-8753-7CD9A683761B}"/>
    <cellStyle name="Normal GHG Textfiels Bold 3 2 2 3" xfId="1279" xr:uid="{EA0DF71E-20DE-41CE-8D30-5A67DC5EF341}"/>
    <cellStyle name="Normal GHG Textfiels Bold 3 2 2 4" xfId="1698" xr:uid="{3FBD8FD2-B9CB-48E3-BBD6-F5380462213C}"/>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3" xfId="1888" xr:uid="{27C7A909-2ECE-40D4-B50E-FF53CD05787B}"/>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3" xfId="1826" xr:uid="{CDAA8BAA-9A45-4458-9894-B4AF969D8EBF}"/>
    <cellStyle name="Normal GHG Textfiels Bold 3 3 2 2 4" xfId="2253" xr:uid="{23432C56-AC03-4B3A-ABF2-FA7F4EF4B8E0}"/>
    <cellStyle name="Normal GHG Textfiels Bold 3 3 2 3" xfId="1395" xr:uid="{4D4F65E0-BACE-414A-9119-D89B01B0D674}"/>
    <cellStyle name="Normal GHG Textfiels Bold 3 3 2 4" xfId="1090" xr:uid="{5082EF79-4C2D-40FA-AA9F-8E854420DD13}"/>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3" xfId="1767" xr:uid="{D77D77D6-C40B-4DAE-886C-F15A872F17C2}"/>
    <cellStyle name="Normal GHG Textfiels Bold 3 3 3 2 4" xfId="2196" xr:uid="{BE194F84-0550-45AD-BF7B-B58231A3FFCA}"/>
    <cellStyle name="Normal GHG Textfiels Bold 3 3 3 3" xfId="1338" xr:uid="{330100A2-BBD5-43BE-A416-53136965AE0A}"/>
    <cellStyle name="Normal GHG Textfiels Bold 3 3 3 4" xfId="88" xr:uid="{C8F6774A-C169-4A4B-AF69-34BEC104A817}"/>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3" xfId="1660" xr:uid="{353FA194-40A4-4F60-AA4C-6684163EB0B6}"/>
    <cellStyle name="Normal GHG Textfiels Bold 3 3 4 2 4" xfId="2171" xr:uid="{EF621F48-E1A4-4DF0-ABA7-933090576CAE}"/>
    <cellStyle name="Normal GHG Textfiels Bold 3 3 4 3" xfId="1313" xr:uid="{2FD89A5F-B1E1-4478-ABE6-EF5155E28679}"/>
    <cellStyle name="Normal GHG Textfiels Bold 3 3 4 4" xfId="1153" xr:uid="{AD4E6845-AE1F-4889-A432-4AB793FFD1CB}"/>
    <cellStyle name="Normal GHG Textfiels Bold 3 3 4 5" xfId="1965" xr:uid="{4457A1E5-3226-410E-972E-004BD31D2C19}"/>
    <cellStyle name="Normal GHG Textfiels Bold 3 3 5" xfId="1174" xr:uid="{13155997-ACB9-47CC-A67A-6EDCB4C44833}"/>
    <cellStyle name="Normal GHG Textfiels Bold 3 3 6" xfId="1250" xr:uid="{94FB4CB8-0556-44AA-BD96-3CBB07AD4629}"/>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3" xfId="1808" xr:uid="{AC2C85DC-A465-414F-A003-F629569F66EC}"/>
    <cellStyle name="Normal GHG whole table 2 2 2 4" xfId="2192" xr:uid="{0AAA71FF-1C52-4B91-B47A-69DE7A0CBD3E}"/>
    <cellStyle name="Normal GHG whole table 2 2 3" xfId="1334" xr:uid="{F50DFC37-97E9-4951-AF5E-A25862D09723}"/>
    <cellStyle name="Normal GHG whole table 2 2 4" xfId="1791" xr:uid="{97F3278E-BF1B-4686-862A-8EFF367E1567}"/>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3" xfId="1798" xr:uid="{42DE0C64-8143-4DB5-8348-5AB3F402E090}"/>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3" xfId="1872" xr:uid="{694BA5F1-5F2D-45EC-B9F9-C2D51F0126D4}"/>
    <cellStyle name="Normal GHG whole table 3 2 2 4" xfId="2232" xr:uid="{1216C8B1-EFFF-4189-A46F-B163019A11A5}"/>
    <cellStyle name="Normal GHG whole table 3 2 3" xfId="1374" xr:uid="{A4D00CF7-31F1-4083-B330-2A4B5548CEE3}"/>
    <cellStyle name="Normal GHG whole table 3 2 4" xfId="974" xr:uid="{3EAD1C09-5235-4F8D-9C07-9A1763152F40}"/>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3" xfId="998" xr:uid="{486E1AAF-06A6-4465-A534-97EA0D361509}"/>
    <cellStyle name="Normal GHG whole table 3 3 2 4" xfId="2153" xr:uid="{D8EE379B-A63E-4506-8058-A29B42875751}"/>
    <cellStyle name="Normal GHG whole table 3 3 3" xfId="1295" xr:uid="{F4669DCD-3776-4DF7-8948-658A173328CA}"/>
    <cellStyle name="Normal GHG whole table 3 3 4" xfId="1184" xr:uid="{DA24849B-B34B-43F0-99DC-331B6845F490}"/>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3" xfId="1821" xr:uid="{9F8A2DE9-230A-4A05-9F17-21ACDE452D89}"/>
    <cellStyle name="Normal GHG whole table 3 4 2 4" xfId="2240" xr:uid="{9B56F46F-C810-4A52-90C0-F857A0FCE10E}"/>
    <cellStyle name="Normal GHG whole table 3 4 3" xfId="1382" xr:uid="{BCA86298-111E-44BF-BAD8-DFAC31CE4831}"/>
    <cellStyle name="Normal GHG whole table 3 4 4" xfId="1139" xr:uid="{4D36E32C-96BD-4501-9CF7-E7C177587220}"/>
    <cellStyle name="Normal GHG whole table 3 4 5" xfId="2034" xr:uid="{8557C4D4-3B38-4A10-AE2F-B303AFE0A4D8}"/>
    <cellStyle name="Normal GHG whole table 3 5" xfId="1114" xr:uid="{3375449A-2DB3-47C4-AC25-1E5AC2CA5E8F}"/>
    <cellStyle name="Normal GHG whole table 3 6" xfId="1186" xr:uid="{5A56F0A9-71AC-4B6B-845A-B3AA23924E9E}"/>
    <cellStyle name="Normal GHG whole table 3 7" xfId="67" xr:uid="{6FDD76E4-04FD-4ABB-B398-A3A35FCBC6B9}"/>
    <cellStyle name="Normal GHG whole table 4" xfId="104" xr:uid="{25324109-3CAD-40C1-AB9E-7B28BF9D8769}"/>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3" xfId="929" xr:uid="{018C14F1-7F5C-46BE-8625-29E36C71CB18}"/>
    <cellStyle name="Note 2 2 2 4" xfId="2175" xr:uid="{286A17BE-C39B-4BE1-8800-363CC5F7AB55}"/>
    <cellStyle name="Note 2 2 3" xfId="1317" xr:uid="{EE4136E6-7FD3-47F0-B65B-55760A219C30}"/>
    <cellStyle name="Note 2 2 4" xfId="1183" xr:uid="{45729245-8CFA-4B0A-A347-337705990318}"/>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3" xfId="1697" xr:uid="{63F6F43B-8B9C-4AE5-8E4C-254661967DFF}"/>
    <cellStyle name="Note 2 3 2 4" xfId="2239" xr:uid="{B8671843-369A-443C-B4F6-519D565035F1}"/>
    <cellStyle name="Note 2 3 3" xfId="1381" xr:uid="{356C9460-ED05-425A-9C58-308466798931}"/>
    <cellStyle name="Note 2 3 4" xfId="1807" xr:uid="{F2599651-53FE-40E7-876C-334D843A2CF0}"/>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3" xfId="944" xr:uid="{425E1CEC-1CFD-4A54-BDAA-F497A43F9E7F}"/>
    <cellStyle name="Note 2 4 2 4" xfId="2134" xr:uid="{9EFE570D-AE4F-47E5-8C1F-A76C3CE4CD80}"/>
    <cellStyle name="Note 2 4 3" xfId="1276" xr:uid="{FD7D59F3-843B-43DE-9EDF-B304239EC77F}"/>
    <cellStyle name="Note 2 4 4" xfId="1009" xr:uid="{C3B150E2-E2AA-47B6-977C-546B8E1B2EEB}"/>
    <cellStyle name="Note 2 4 5" xfId="1928" xr:uid="{F2E2FC76-9867-48BB-B254-9917EC6DA7E3}"/>
    <cellStyle name="Note 2 5" xfId="720" xr:uid="{FC2D1195-E0EE-457E-A953-8D296C0276B6}"/>
    <cellStyle name="Note 2 5 2" xfId="1440" xr:uid="{0197B550-0251-4AF7-99C8-E77DCCF2AFD4}"/>
    <cellStyle name="Note 2 5 3" xfId="1180" xr:uid="{25869A0F-C421-4449-9E73-FE23E7929AEF}"/>
    <cellStyle name="Note 2 5 4" xfId="2091" xr:uid="{B3BB326F-F291-47D5-AB3C-84CAA749EA0F}"/>
    <cellStyle name="Note 2 6" xfId="1035" xr:uid="{B6EA0749-7474-45EE-BB82-6E5F83913D25}"/>
    <cellStyle name="Note 2 7" xfId="1151" xr:uid="{E4CB69E4-0EBC-4455-8FD3-06355BED2691}"/>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3" xfId="1661" xr:uid="{50427A16-ABFD-4CC8-A9A0-9F8E173733D9}"/>
    <cellStyle name="Note 3 2 2 4" xfId="2203" xr:uid="{63D2D370-3310-4FB4-9BC1-1442DC2AD061}"/>
    <cellStyle name="Note 3 2 3" xfId="1345" xr:uid="{23345041-74D7-45EA-B9A8-29F97D6BFA65}"/>
    <cellStyle name="Note 3 2 4" xfId="1088" xr:uid="{7DD68193-434C-4C0A-9633-27C2183B3475}"/>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3" xfId="75" xr:uid="{EEF0695A-4A3D-4726-9939-B2AEEE09BA3B}"/>
    <cellStyle name="Note 3 3 2 4" xfId="2169" xr:uid="{FD55CDDD-56C6-4FE3-936C-C934D99A9A49}"/>
    <cellStyle name="Note 3 3 3" xfId="1311" xr:uid="{537F797B-C231-45F4-831C-B688B0089B5A}"/>
    <cellStyle name="Note 3 3 4" xfId="1800" xr:uid="{51B5A37D-8BC1-4D40-8E26-E147702EB557}"/>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3" xfId="1126" xr:uid="{716E289F-E4D4-4CF7-BE9A-A536040BC434}"/>
    <cellStyle name="Note 3 4 2 4" xfId="2187" xr:uid="{F29A71F3-32A3-46E5-B4D8-D480B70C76C0}"/>
    <cellStyle name="Note 3 4 3" xfId="1329" xr:uid="{9E795E9B-A2CF-4D4D-872B-2A6F844B2B3B}"/>
    <cellStyle name="Note 3 4 4" xfId="1739" xr:uid="{29960EC1-6AD2-4B83-9A27-77B8A9833973}"/>
    <cellStyle name="Note 3 4 5" xfId="1981" xr:uid="{26D77096-C9A1-4A21-AD7E-303048600420}"/>
    <cellStyle name="Note 3 5" xfId="726" xr:uid="{B5C397D0-7EBF-4AE2-88B0-ABD24A1EDB52}"/>
    <cellStyle name="Note 3 5 2" xfId="1446" xr:uid="{7BCE63A6-F1E6-4249-BFA2-49C3FCC3BCD4}"/>
    <cellStyle name="Note 3 5 3" xfId="1870" xr:uid="{F9843B54-BA7E-475A-899B-4004143FE12F}"/>
    <cellStyle name="Note 3 5 4" xfId="2097" xr:uid="{A3348E75-4E86-407A-9A97-F4561DB9AAC8}"/>
    <cellStyle name="Note 3 6" xfId="1077" xr:uid="{65F4B115-990F-4A50-B50D-F23DC0B75C1E}"/>
    <cellStyle name="Note 3 7" xfId="1771" xr:uid="{7AC44118-94D1-467F-8F2C-9A66F248FD25}"/>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3" xfId="1145" xr:uid="{257B1D95-17C6-4D16-8886-850734419E0F}"/>
    <cellStyle name="Notiz 2 2 4" xfId="2176" xr:uid="{3D10ABDE-B96D-41AD-B827-E40A85EF8270}"/>
    <cellStyle name="Notiz 2 3" xfId="1318" xr:uid="{B6880568-C68E-4002-83EB-A3B389533547}"/>
    <cellStyle name="Notiz 2 4" xfId="1047" xr:uid="{CA795A7A-9ABF-4866-BD51-7D991CEFFC68}"/>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3" xfId="1840" xr:uid="{6E400580-E35E-4346-BF63-71F512802734}"/>
    <cellStyle name="Notiz 3 2 4" xfId="2238" xr:uid="{7C1A5470-3A10-4FD9-8115-CFC5B68D7A7C}"/>
    <cellStyle name="Notiz 3 3" xfId="1380" xr:uid="{B0A2367D-DE3C-4588-BE61-5F778CA03F6D}"/>
    <cellStyle name="Notiz 3 4" xfId="1172" xr:uid="{038EC6B6-2B65-41D0-97B0-F964AA624BB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3" xfId="1203" xr:uid="{ECFE2164-DA9D-4951-B446-5B28B32BC47B}"/>
    <cellStyle name="Notiz 4 2 4" xfId="2207" xr:uid="{F07980E9-0A2B-4AAA-B8E8-1A38B693FD63}"/>
    <cellStyle name="Notiz 4 3" xfId="1349" xr:uid="{542833F1-964E-4FF1-A0B4-EC98151CA9B2}"/>
    <cellStyle name="Notiz 4 4" xfId="1091" xr:uid="{E2061349-64BD-4DEA-981B-9471C30A1071}"/>
    <cellStyle name="Notiz 4 5" xfId="2001" xr:uid="{AC44B8AF-AD6D-4D88-8EA6-05D477FFBA38}"/>
    <cellStyle name="Notiz 5" xfId="721" xr:uid="{6D53FF66-AFA6-4674-A31D-AE1D86B65460}"/>
    <cellStyle name="Notiz 5 2" xfId="1441" xr:uid="{50E3CA49-FDC7-44B1-B8AE-43604670BBC5}"/>
    <cellStyle name="Notiz 5 3" xfId="43" xr:uid="{7E36CC86-D63E-4447-8AC1-5C3F9BEFD230}"/>
    <cellStyle name="Notiz 5 4" xfId="2092" xr:uid="{24A598B0-516D-406B-8881-8395C127B74C}"/>
    <cellStyle name="Notiz 6" xfId="1036" xr:uid="{0D9052B2-808D-4474-8ECB-BB38233D56F8}"/>
    <cellStyle name="Notiz 7" xfId="1866" xr:uid="{46F867FF-E71C-48EF-80C7-603831980B34}"/>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3" xfId="930" xr:uid="{169A9F76-3DCC-4956-AFEA-19021666C3C9}"/>
    <cellStyle name="Output 2 2 2 4" xfId="2177" xr:uid="{17AC7C7B-ECCF-411E-B68C-A01DF3E3F8D2}"/>
    <cellStyle name="Output 2 2 3" xfId="1319" xr:uid="{B97806BA-6601-4188-BA15-1D2D69C25161}"/>
    <cellStyle name="Output 2 2 4" xfId="1247" xr:uid="{0EE80F6B-D114-4B0E-9714-A46FB594FCEE}"/>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3" xfId="1895" xr:uid="{D731F10C-CF5B-4FEE-8D65-7AE0485BFE5F}"/>
    <cellStyle name="Output 2 3 2 4" xfId="2273" xr:uid="{F1E342F7-5CAA-4C33-8670-76AFF70674FA}"/>
    <cellStyle name="Output 2 3 3" xfId="1415" xr:uid="{8AD9A7A1-1D05-43BA-89A7-88DE8D6B17A0}"/>
    <cellStyle name="Output 2 3 4" xfId="1718" xr:uid="{D323C693-580F-4766-A446-2285990FB763}"/>
    <cellStyle name="Output 2 3 5" xfId="2067" xr:uid="{82CBD374-4339-47B4-9098-7DEA09753FF6}"/>
    <cellStyle name="Output 2 4" xfId="722" xr:uid="{8FF9CFA9-DEF7-4EC3-AA1F-6393A4C71F42}"/>
    <cellStyle name="Output 2 4 2" xfId="1442" xr:uid="{F9CEF48B-F1AB-4A84-A329-DCE649CDFEFC}"/>
    <cellStyle name="Output 2 4 3" xfId="1157" xr:uid="{F37FFEDE-27A4-402B-931B-F188DF01D119}"/>
    <cellStyle name="Output 2 4 4" xfId="2093" xr:uid="{8DDA0ECE-E013-4896-9847-EBE8C110DB66}"/>
    <cellStyle name="Output 2 5" xfId="1037" xr:uid="{F52DC07D-97C5-4066-A74F-A8B1CEEDB451}"/>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3" xfId="1856" xr:uid="{1414B007-DF89-49DB-A75C-388F8B296A90}"/>
    <cellStyle name="Output 3 2 2 4" xfId="2204" xr:uid="{67D15227-6CAC-4AB6-850A-9E643189DBF8}"/>
    <cellStyle name="Output 3 2 3" xfId="1346" xr:uid="{9479AE08-F6D5-4B8E-BF46-C9E0189676E2}"/>
    <cellStyle name="Output 3 2 4" xfId="1150" xr:uid="{E8960CE8-F875-4A76-8980-54096342D9A0}"/>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3" xfId="1216" xr:uid="{57621A11-57CC-4580-9142-625516AD08CA}"/>
    <cellStyle name="Output 3 3 2 4" xfId="2255" xr:uid="{20B6EC93-BA81-466F-BBEA-C0B9C765522D}"/>
    <cellStyle name="Output 3 3 3" xfId="1397" xr:uid="{EA0C2D1B-1843-4EA3-B6BD-AB248CB635A4}"/>
    <cellStyle name="Output 3 3 4" xfId="1641" xr:uid="{FD20732D-801C-415A-B83F-CA4064166EB2}"/>
    <cellStyle name="Output 3 3 5" xfId="2049" xr:uid="{F6692F01-8523-4330-8535-B15926D30058}"/>
    <cellStyle name="Output 3 4" xfId="727" xr:uid="{529F1BE2-2C39-4920-991B-1E27F6DE0749}"/>
    <cellStyle name="Output 3 4 2" xfId="1447" xr:uid="{B5798747-89B6-489C-8C03-C92E41756B95}"/>
    <cellStyle name="Output 3 4 3" xfId="1827" xr:uid="{5A0F81F0-7987-4A62-B754-429F7131F10A}"/>
    <cellStyle name="Output 3 4 4" xfId="2098" xr:uid="{CFF3A5A8-431F-434B-BF4D-C0CF8334C3A7}"/>
    <cellStyle name="Output 3 5" xfId="1078" xr:uid="{3FCE0222-6D2D-4CBA-B607-3C7FF9C7FFB5}"/>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3" xfId="1886" xr:uid="{7E3060E8-E441-462E-AED7-CDDF852DF898}"/>
    <cellStyle name="Pattern 2 2 2 4" xfId="2191" xr:uid="{162BD29D-12B6-4F80-997A-DBDC2E41C7DE}"/>
    <cellStyle name="Pattern 2 2 3" xfId="1333" xr:uid="{99A0BAFA-E042-4E46-B357-07A8AB115C45}"/>
    <cellStyle name="Pattern 2 2 4" xfId="1882" xr:uid="{9F9A8620-5DA3-471C-87ED-AEC7E443E3D8}"/>
    <cellStyle name="Pattern 2 2 5" xfId="1985" xr:uid="{F57077F4-C87F-4F49-8FBA-A6A73D020B5E}"/>
    <cellStyle name="Pattern 2 3" xfId="759" xr:uid="{6068203D-0C6F-45A3-A012-AE521C8717AE}"/>
    <cellStyle name="Pattern 2 3 2" xfId="1472" xr:uid="{A98EF5FD-144C-4BB1-8D59-7C132492583D}"/>
    <cellStyle name="Pattern 2 3 3" xfId="1196" xr:uid="{9EDD0571-4F32-4755-AD31-61D0849214B8}"/>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3" xfId="1859" xr:uid="{8A688849-E6E0-44C6-8FD5-4CE67EA341CB}"/>
    <cellStyle name="Pattern 3 2 2 4" xfId="2234" xr:uid="{63A6EB84-A7A1-48EF-BF88-A6309A251ACE}"/>
    <cellStyle name="Pattern 3 2 3" xfId="1376" xr:uid="{96470434-5C5E-4AA9-9B59-ABA60477DB69}"/>
    <cellStyle name="Pattern 3 2 4" xfId="1688" xr:uid="{C873A5C9-AB67-4CD8-9D00-CEBAD1EFA79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3" xfId="935" xr:uid="{9EF543F7-BC58-47C7-8106-B888841734E2}"/>
    <cellStyle name="Pattern 3 3 2 4" xfId="2133" xr:uid="{8D667953-B316-4FF6-9387-27F0D7687B7D}"/>
    <cellStyle name="Pattern 3 3 3" xfId="1275" xr:uid="{A801E868-3C2B-4391-9069-D72C84F2BD92}"/>
    <cellStyle name="Pattern 3 3 4" xfId="1024" xr:uid="{54087187-3BFF-417B-903C-FC2687B45F6F}"/>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3" xfId="1776" xr:uid="{5ABE5042-964F-4D2E-BD97-70BD920DE633}"/>
    <cellStyle name="Pattern 3 4 2 4" xfId="2247" xr:uid="{4CBEF2EA-68D7-4DBE-86F7-9B9BFA74FEE2}"/>
    <cellStyle name="Pattern 3 4 3" xfId="1389" xr:uid="{39ED8314-3723-4700-BED6-F9568DBB7D85}"/>
    <cellStyle name="Pattern 3 4 4" xfId="1684" xr:uid="{21E7399C-AA49-4605-861E-1D18D1B5D29D}"/>
    <cellStyle name="Pattern 3 4 5" xfId="2041" xr:uid="{CD8352E0-54BC-4A07-9A1B-BEAF076BC992}"/>
    <cellStyle name="Pattern 3 5" xfId="1116" xr:uid="{CB2B6AE2-BEE3-4DA5-938B-DD4D1D5D63AB}"/>
    <cellStyle name="Pattern 3 6" xfId="1238" xr:uid="{163C7032-C7C2-4E80-9FE6-364FEEDB2CC5}"/>
    <cellStyle name="Pattern 3 7" xfId="1682" xr:uid="{436B7887-A025-464D-BBD6-7C04498460A1}"/>
    <cellStyle name="Percent" xfId="1" builtinId="5"/>
    <cellStyle name="Percent 2" xfId="211" xr:uid="{CC1295CB-EF23-4D35-B80F-121AF93B0F4A}"/>
    <cellStyle name="Percent 2 2" xfId="471" xr:uid="{4B126372-7F5F-4C16-9101-C88C19693120}"/>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3" xfId="1738" xr:uid="{F3C84D48-8A00-4398-B80F-42C847CE5720}"/>
    <cellStyle name="Shade 2 2 2 2 4" xfId="2136" xr:uid="{2B451AA5-D25E-4DE5-98FE-65ACB23DAEAD}"/>
    <cellStyle name="Shade 2 2 2 3" xfId="1278" xr:uid="{042DE6DB-0F88-462F-9177-F8D1801DF84B}"/>
    <cellStyle name="Shade 2 2 2 4" xfId="1760" xr:uid="{B16BD979-3F06-4149-9967-312CCE9AAFE2}"/>
    <cellStyle name="Shade 2 2 2 5" xfId="1930" xr:uid="{F3FCAB5D-47E0-4334-BE68-E93ADEE24380}"/>
    <cellStyle name="Shade 2 2 3" xfId="761" xr:uid="{D2BB0EBB-E031-4E7E-A066-49979FE2964C}"/>
    <cellStyle name="Shade 2 2 3 2" xfId="1474" xr:uid="{6663E640-C4A1-43AE-A711-204827219F60}"/>
    <cellStyle name="Shade 2 2 3 3" xfId="1645" xr:uid="{6F35B535-D65E-442A-BB90-2F5377211798}"/>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3" xfId="1815" xr:uid="{04941E7B-F272-493E-BB69-69345B482523}"/>
    <cellStyle name="Shade 2 3 2 2 4" xfId="2236" xr:uid="{4245AD82-B39D-44ED-884F-EDBEC8A6310C}"/>
    <cellStyle name="Shade 2 3 2 3" xfId="1378" xr:uid="{994D3307-3B46-4ABD-A0EC-1B02C2FCD094}"/>
    <cellStyle name="Shade 2 3 2 4" xfId="1725" xr:uid="{6F01AE2B-E618-46BE-A9C0-B019955B5AD0}"/>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3" xfId="1027" xr:uid="{A1F5B947-317E-4802-8916-D8FB4EB54116}"/>
    <cellStyle name="Shade 2 3 3 2 4" xfId="2265" xr:uid="{57B60443-ED2F-4ED9-AF4D-C38C91432DCE}"/>
    <cellStyle name="Shade 2 3 3 3" xfId="1407" xr:uid="{33592DF9-5FCC-4D53-A7A6-43F9E9EC462F}"/>
    <cellStyle name="Shade 2 3 3 4" xfId="68" xr:uid="{A30B0048-488E-45E5-BE95-23BF24948EA8}"/>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3" xfId="1646" xr:uid="{F3691ADE-9FC9-4A25-827F-1D68FECB8761}"/>
    <cellStyle name="Shade 2 3 4 2 4" xfId="2179" xr:uid="{29529BA6-A551-4E1D-8392-4C21E7D3A3DC}"/>
    <cellStyle name="Shade 2 3 4 3" xfId="1321" xr:uid="{5111E2FD-6D2F-4134-A423-DE3A063EE7A2}"/>
    <cellStyle name="Shade 2 3 4 4" xfId="990" xr:uid="{C282962C-BB14-4D02-ADB3-ABD5C4613801}"/>
    <cellStyle name="Shade 2 3 4 5" xfId="1973" xr:uid="{8995AC65-F671-482A-BF96-9321752E1F86}"/>
    <cellStyle name="Shade 2 3 5" xfId="1118" xr:uid="{68D192BE-3995-48F9-AF75-73B5F8784567}"/>
    <cellStyle name="Shade 2 3 6" xfId="965" xr:uid="{6A85446E-0458-4E7E-8796-4E7A98841D49}"/>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3" xfId="1049" xr:uid="{D51C6860-40F2-4D6C-A61C-5E11009D50F5}"/>
    <cellStyle name="Shade 3 2 2 4" xfId="2190" xr:uid="{8C07E47D-2A52-4B4D-8EB0-2C6F22AFE8B4}"/>
    <cellStyle name="Shade 3 2 3" xfId="1332" xr:uid="{34A3CE71-9DBB-4A48-A39A-4AF1C33B58EC}"/>
    <cellStyle name="Shade 3 2 4" xfId="1693" xr:uid="{4BD77D33-FF4F-4990-8350-38E97C73E500}"/>
    <cellStyle name="Shade 3 2 5" xfId="1984" xr:uid="{42184DF7-8A19-4C28-9AEF-ACF2CA2D6D41}"/>
    <cellStyle name="Shade 3 3" xfId="760" xr:uid="{04E38633-FD46-4307-A5BF-204E6D63C4D3}"/>
    <cellStyle name="Shade 3 3 2" xfId="1473" xr:uid="{2B259C3A-1D13-4746-85A3-86C56C71F271}"/>
    <cellStyle name="Shade 3 3 3" xfId="937" xr:uid="{0103B679-1D2A-4FD6-8B1D-330FFC1D2A74}"/>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3" xfId="1696" xr:uid="{93EB7D92-5D01-464C-9DCE-788C5AC683FD}"/>
    <cellStyle name="Shade 4 2 2 4" xfId="2029" xr:uid="{C4F4BCB0-B92C-4C2E-9F26-B5FB7EA0FF8A}"/>
    <cellStyle name="Shade 4 2 3" xfId="872" xr:uid="{5DE46753-36EC-4280-886D-2EFBAFF8C633}"/>
    <cellStyle name="Shade 4 2 3 2" xfId="1585" xr:uid="{24C23B35-835B-4DEF-B8E8-EDDE732BC9C9}"/>
    <cellStyle name="Shade 4 2 3 3" xfId="1223" xr:uid="{FFECCA1F-88A0-4534-86B1-25E8C9B0F75A}"/>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3" xfId="1649" xr:uid="{89969B81-D439-4234-8302-118775B23285}"/>
    <cellStyle name="Shade 4 3 2 4" xfId="2264" xr:uid="{7AD097E5-E48A-4D2D-BA72-610F110BE85E}"/>
    <cellStyle name="Shade 4 3 3" xfId="1406" xr:uid="{43E319DC-38E1-49C2-AA7A-75FCD258D576}"/>
    <cellStyle name="Shade 4 3 4" xfId="1014" xr:uid="{5942E722-79EE-4A20-936C-FFD10C4DBD51}"/>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3" xfId="1715" xr:uid="{5FE5A8F6-50ED-462C-B646-92503A7EA219}"/>
    <cellStyle name="Shade 4 4 2 4" xfId="2126" xr:uid="{44E53369-A880-4F34-9E8A-42F24ECF1046}"/>
    <cellStyle name="Shade 4 4 3" xfId="1268" xr:uid="{1D1DD304-2898-433D-BDA6-C913C9928528}"/>
    <cellStyle name="Shade 4 4 4" xfId="1244" xr:uid="{02D5B3B7-3C8D-4CFE-9444-2AA0908954B4}"/>
    <cellStyle name="Shade 4 4 5" xfId="1920" xr:uid="{5509FACC-7DCB-465B-B8C4-0E322BD7A1D3}"/>
    <cellStyle name="Shade 4 5" xfId="1117" xr:uid="{D357A419-1D5C-4604-BE90-B4A13A70C577}"/>
    <cellStyle name="Shade 4 6" xfId="1062" xr:uid="{B807FACF-8C0D-4B37-842D-2067D737F22F}"/>
    <cellStyle name="Shade 4 7" xfId="1814" xr:uid="{8B39B13F-448C-414A-BEA9-E8B68B0B1F61}"/>
    <cellStyle name="Shade 5" xfId="111" xr:uid="{C1BF325E-5163-48B6-965C-8C93380E8F0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3" xfId="542" xr:uid="{23A56273-A6D6-46FE-8D9E-6491C81E4714}"/>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3" xfId="1067" xr:uid="{EC92EA22-D328-471A-9647-4D89C38C805C}"/>
    <cellStyle name="Total 2 2 2 4" xfId="2181" xr:uid="{5FD37A90-D646-4099-81E5-D16F56B09D76}"/>
    <cellStyle name="Total 2 2 3" xfId="1323" xr:uid="{46A14317-DE21-40BD-9DBE-47F8B339BE7A}"/>
    <cellStyle name="Total 2 2 4" xfId="1136" xr:uid="{DDD3322C-50FA-4BFD-A562-2E3B2B7D6878}"/>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3" xfId="1202" xr:uid="{B1CF44B0-A224-4D2F-9953-0083F07EA94F}"/>
    <cellStyle name="Total 2 3 2 4" xfId="2242" xr:uid="{ECE6934B-ACF6-46F5-A61B-87B37AC33826}"/>
    <cellStyle name="Total 2 3 3" xfId="1384" xr:uid="{F9B689B3-8D05-42AA-ABA6-11685B475160}"/>
    <cellStyle name="Total 2 3 4" xfId="1181" xr:uid="{6F786F93-BBE1-479B-8E27-B5A6A9669D97}"/>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3" xfId="1170" xr:uid="{D289BBC3-9EB4-4C62-AE01-202DE8A05A61}"/>
    <cellStyle name="Total 2 4 2 4" xfId="2130" xr:uid="{67CD5A78-4B44-4490-B5D1-2A8D18EB5A53}"/>
    <cellStyle name="Total 2 4 3" xfId="1272" xr:uid="{20691F64-88C7-4FEC-BE8D-210F16C6ABCB}"/>
    <cellStyle name="Total 2 4 4" xfId="1141" xr:uid="{18B50BA1-84A8-4ECE-9315-F11F15B277F7}"/>
    <cellStyle name="Total 2 4 5" xfId="1924" xr:uid="{CD713A63-0014-4BC9-82A2-DE99E460BB1D}"/>
    <cellStyle name="Total 2 5" xfId="723" xr:uid="{D52619FF-311B-4A60-A386-8D36D5AB89A3}"/>
    <cellStyle name="Total 2 5 2" xfId="1443" xr:uid="{080DD4D9-6F27-4BC3-87DD-5C10D87DD095}"/>
    <cellStyle name="Total 2 5 3" xfId="1201" xr:uid="{48530773-DC40-4BE1-9959-89026782141F}"/>
    <cellStyle name="Total 2 5 4" xfId="2094" xr:uid="{A31F7F2D-472E-4FAB-9F0A-A2350DF2698E}"/>
    <cellStyle name="Total 2 6" xfId="1043" xr:uid="{F063EC7B-1AE6-4AA7-B9F7-E63BAE965C24}"/>
    <cellStyle name="Total 2 7" xfId="1818" xr:uid="{A4A25513-2703-4C5C-8A9C-E18AA0D28F70}"/>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3" xfId="1658" xr:uid="{0F22E0FD-BFB7-4C76-BF65-AAFE09918D33}"/>
    <cellStyle name="Total 3 2 2 4" xfId="2205" xr:uid="{FC609CA1-FC1B-4217-9B92-593E465B93DD}"/>
    <cellStyle name="Total 3 2 3" xfId="1347" xr:uid="{2CE2CA7B-54D3-42AB-9DEB-6426ACCE7064}"/>
    <cellStyle name="Total 3 2 4" xfId="1155" xr:uid="{A73F12C5-48F0-4B44-BADF-F05FF8D93704}"/>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3" xfId="1041" xr:uid="{64344B4E-172A-4C99-847F-478EDA197723}"/>
    <cellStyle name="Total 3 3 2 4" xfId="2168" xr:uid="{586E5E19-9B47-4AD9-A496-37B46800552D}"/>
    <cellStyle name="Total 3 3 3" xfId="1310" xr:uid="{BC023E52-1A85-4D72-A6B0-BF96D9F3B370}"/>
    <cellStyle name="Total 3 3 4" xfId="40" xr:uid="{548FB319-05CC-4F4E-86D8-0FB362C3612B}"/>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3" xfId="1163" xr:uid="{DC1527FA-D9DE-4590-8DEE-0C97081BCE94}"/>
    <cellStyle name="Total 3 4 2 4" xfId="2209" xr:uid="{F2537135-C5EC-4D71-811C-69FDC4C3A859}"/>
    <cellStyle name="Total 3 4 3" xfId="1351" xr:uid="{893CC3CD-DB18-421E-BBAF-48ED0C2AA3D0}"/>
    <cellStyle name="Total 3 4 4" xfId="1003" xr:uid="{0A8D86F6-0630-4A14-AE44-182716784299}"/>
    <cellStyle name="Total 3 4 5" xfId="2003" xr:uid="{FFD69E8D-8943-4735-85B4-E34475334C78}"/>
    <cellStyle name="Total 3 5" xfId="728" xr:uid="{42996628-A94F-435D-A794-83FDABF6B1E8}"/>
    <cellStyle name="Total 3 5 2" xfId="1448" xr:uid="{D838D99E-55C5-4E54-B8EC-AFAC6EE6DCCD}"/>
    <cellStyle name="Total 3 5 3" xfId="1124" xr:uid="{C963D27A-1C3B-4EA5-87C8-F7B39E5B6780}"/>
    <cellStyle name="Total 3 5 4" xfId="2099" xr:uid="{8B1EF2AC-3D82-4645-A14D-A3FE20A78B59}"/>
    <cellStyle name="Total 3 6" xfId="1080" xr:uid="{AB227F54-62FC-4426-B038-49806D1E9EB8}"/>
    <cellStyle name="Total 3 7" xfId="1876" xr:uid="{3239295F-F506-4FB5-9BEF-A3B1ED1AC317}"/>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E5FFCC"/>
      <color rgb="FFB49F00"/>
      <color rgb="FFB49600"/>
      <color rgb="FFC0A900"/>
      <color rgb="FF336699"/>
      <color rgb="FF3366CC"/>
      <color rgb="FF0099CC"/>
      <color rgb="FFABD8A4"/>
      <color rgb="FF97CE8E"/>
      <color rgb="FFC6A0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7" dT="2020-08-19T00:06:43.00" personId="{811026A2-74EF-4287-974D-D90683F22217}" id="{C628B71D-C3A5-4BD2-8BA3-F913D91394D4}">
    <text>Leave this cell blank.</text>
  </threadedComment>
  <threadedComment ref="E27" dT="2020-08-19T00:06:43.00" personId="{811026A2-74EF-4287-974D-D90683F22217}" id="{D0801E46-9E1F-4D2B-A06C-3AD5C5DDEBCA}">
    <text>Leave this cell blank.</text>
  </threadedComment>
  <threadedComment ref="E34" dT="2020-08-19T00:06:43.00" personId="{811026A2-74EF-4287-974D-D90683F22217}" id="{19777683-0E7F-4DAF-955F-A7EBAC7AAEEA}">
    <text>Leave this cell blank.</text>
  </threadedComment>
  <threadedComment ref="E35" dT="2020-08-19T00:06:43.00" personId="{811026A2-74EF-4287-974D-D90683F22217}" id="{A2328F4B-C3F9-4761-BF76-1D4F4D6A14B6}">
    <text>Leave this cell blank.</text>
  </threadedComment>
  <threadedComment ref="I41" dT="2021-05-24T22:03:23.71" personId="{811026A2-74EF-4287-974D-D90683F22217}" id="{E2106FC3-386C-4714-B306-9BA0FD425274}">
    <text>Unit varies based on currency in this EPS region</text>
  </threadedComment>
  <threadedComment ref="I77" dT="2021-05-24T22:03:35.61" personId="{811026A2-74EF-4287-974D-D90683F22217}" id="{E8911680-E731-4D67-9690-17976D3FED66}">
    <text>Unit varies based on currency in this EPS region</text>
  </threadedComment>
  <threadedComment ref="D79" dT="2020-08-19T00:06:43.00" personId="{811026A2-74EF-4287-974D-D90683F22217}" id="{5B177B48-17FC-4889-93EE-8CEBBC9D67A1}">
    <text>Leave this cell blank.</text>
  </threadedComment>
  <threadedComment ref="D80" dT="2020-08-19T00:06:43.00" personId="{811026A2-74EF-4287-974D-D90683F22217}" id="{FC0E8780-2055-48EE-B42B-F31936B1D4FF}">
    <text>Leave this cell blank.</text>
  </threadedComment>
  <threadedComment ref="D81" dT="2020-08-19T00:06:43.00" personId="{811026A2-74EF-4287-974D-D90683F22217}" id="{9E6238C4-2B41-4F84-9F69-94DEF5E3EB8C}">
    <text>Leave this cell blank.</text>
  </threadedComment>
  <threadedComment ref="E81" dT="2020-08-19T00:06:43.00" personId="{811026A2-74EF-4287-974D-D90683F22217}" id="{6E9F8D40-752E-4116-9D9F-F74F76285640}">
    <text>Leave this cell blank.</text>
  </threadedComment>
  <threadedComment ref="B85" dT="2021-05-24T22:05:02.77" personId="{811026A2-74EF-4287-974D-D90683F22217}" id="{C12E46EA-3F96-434D-AD07-C9DAE30A70F4}">
    <text>Several Vensim variables are grouped under the same policy lever in the web app for this policy.</text>
  </threadedComment>
  <threadedComment ref="B91" dT="2021-05-24T22:19:40.61" personId="{811026A2-74EF-4287-974D-D90683F22217}" id="{A29A373E-8B2B-4B45-BF1E-AC6A2B5F3C17}">
    <text>Several Vensim variables are grouped under the same policy lever in the web app for this policy.</text>
  </threadedComment>
  <threadedComment ref="D96" dT="2020-08-19T00:06:43.00" personId="{811026A2-74EF-4287-974D-D90683F22217}" id="{4879F214-E99D-4D42-8C39-70789BBBC99D}">
    <text>Leave this cell blank.</text>
  </threadedComment>
  <threadedComment ref="D97" dT="2020-08-19T00:06:43.00" personId="{811026A2-74EF-4287-974D-D90683F22217}" id="{29C92E86-4989-4367-A9C0-46D156A7CEBB}">
    <text>Leave this cell blank.</text>
  </threadedComment>
  <threadedComment ref="D98" dT="2020-08-19T00:06:43.00" personId="{811026A2-74EF-4287-974D-D90683F22217}" id="{8C94AB36-0C9D-4D5F-A64A-5E1836200BD4}">
    <text>Leave this cell blank.</text>
  </threadedComment>
  <threadedComment ref="D100" dT="2020-08-19T00:06:43.00" personId="{811026A2-74EF-4287-974D-D90683F22217}" id="{0785BC27-69F5-4B43-8886-6AB6B3A1C38C}">
    <text>Leave this cell blank.</text>
  </threadedComment>
  <threadedComment ref="D101" dT="2020-08-19T00:06:43.00" personId="{811026A2-74EF-4287-974D-D90683F22217}" id="{4E6A3C34-D015-4798-8B15-C2C63B01F6C3}">
    <text>Leave this cell blank.</text>
  </threadedComment>
  <threadedComment ref="D102" dT="2020-08-19T00:06:43.00" personId="{811026A2-74EF-4287-974D-D90683F22217}" id="{7355F6F6-D3AD-4011-944E-FCE1A44D743D}">
    <text>Leave this cell blank.</text>
  </threadedComment>
  <threadedComment ref="D103" dT="2020-08-19T00:06:43.00" personId="{811026A2-74EF-4287-974D-D90683F22217}" id="{52DDC055-DFE6-4C4D-97FC-B38B71C63DF3}">
    <text>Leave this cell blank.</text>
  </threadedComment>
  <threadedComment ref="D105" dT="2020-08-19T00:06:43.00" personId="{811026A2-74EF-4287-974D-D90683F22217}" id="{0EFD8687-3DDE-4CBD-AEA3-EE622A1F5ED4}">
    <text>Leave this cell blank.</text>
  </threadedComment>
  <threadedComment ref="D106" dT="2020-08-19T00:06:43.00" personId="{811026A2-74EF-4287-974D-D90683F22217}" id="{4F677542-9574-41F5-9B11-3E8FA1978897}">
    <text>Leave this cell blank.</text>
  </threadedComment>
  <threadedComment ref="D107" dT="2020-08-19T00:06:43.00" personId="{811026A2-74EF-4287-974D-D90683F22217}" id="{C6EC601F-FF77-423D-9BE3-C8F28EB3F9D6}">
    <text>Leave this cell blank.</text>
  </threadedComment>
  <threadedComment ref="D108" dT="2020-08-19T00:06:43.00" personId="{811026A2-74EF-4287-974D-D90683F22217}" id="{A5E5F926-8C26-4331-A7DC-EFA14653951A}">
    <text>Leave this cell blank.</text>
  </threadedComment>
  <threadedComment ref="E108"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6" zoomScale="120" zoomScaleNormal="120" workbookViewId="0"/>
  </sheetViews>
  <sheetFormatPr defaultColWidth="8.85546875" defaultRowHeight="15" x14ac:dyDescent="0.25"/>
  <cols>
    <col min="1" max="1" width="28.42578125" customWidth="1"/>
    <col min="2" max="2" width="24.42578125" customWidth="1"/>
  </cols>
  <sheetData>
    <row r="1" spans="1:2" x14ac:dyDescent="0.25">
      <c r="A1" s="9" t="s">
        <v>102</v>
      </c>
    </row>
    <row r="3" spans="1:2" x14ac:dyDescent="0.25">
      <c r="A3" t="s">
        <v>103</v>
      </c>
    </row>
    <row r="4" spans="1:2" x14ac:dyDescent="0.25">
      <c r="A4" t="s">
        <v>138</v>
      </c>
    </row>
    <row r="5" spans="1:2" x14ac:dyDescent="0.25">
      <c r="A5" t="s">
        <v>107</v>
      </c>
    </row>
    <row r="6" spans="1:2" x14ac:dyDescent="0.25">
      <c r="A6" t="s">
        <v>104</v>
      </c>
    </row>
    <row r="8" spans="1:2" x14ac:dyDescent="0.25">
      <c r="A8" t="s">
        <v>105</v>
      </c>
    </row>
    <row r="9" spans="1:2" x14ac:dyDescent="0.25">
      <c r="A9" t="s">
        <v>106</v>
      </c>
    </row>
    <row r="10" spans="1:2" x14ac:dyDescent="0.25">
      <c r="A10" s="41" t="s">
        <v>2767</v>
      </c>
    </row>
    <row r="11" spans="1:2" x14ac:dyDescent="0.25">
      <c r="A11" s="41"/>
    </row>
    <row r="12" spans="1:2" x14ac:dyDescent="0.25">
      <c r="A12" t="s">
        <v>108</v>
      </c>
    </row>
    <row r="13" spans="1:2" x14ac:dyDescent="0.25">
      <c r="A13" t="s">
        <v>109</v>
      </c>
    </row>
    <row r="14" spans="1:2" x14ac:dyDescent="0.25">
      <c r="A14" t="s">
        <v>110</v>
      </c>
    </row>
    <row r="16" spans="1:2" x14ac:dyDescent="0.25">
      <c r="A16" s="42" t="s">
        <v>2856</v>
      </c>
      <c r="B16" s="167"/>
    </row>
    <row r="17" spans="1:3" x14ac:dyDescent="0.25">
      <c r="A17" t="s">
        <v>2839</v>
      </c>
      <c r="B17" s="20">
        <f>MAX(PolicyLevers!H:H)</f>
        <v>2284</v>
      </c>
    </row>
    <row r="18" spans="1:3" x14ac:dyDescent="0.25">
      <c r="A18" t="s">
        <v>2855</v>
      </c>
      <c r="B18" s="20" t="str" cm="1">
        <f t="array" ref="B18">IF(MIN(IF(COUNTIF(PolicyLevers!$H$2:$H$1541,PolicyLevers!$H$2:$H$1541)&gt;1,PolicyLevers!$H$2:$H$1541, ""))=0,"No duplicate ID numbers",MIN(IF(COUNTIF(PolicyLevers!$H$2:$H$1541,PolicyLevers!$H$2:$H$1541)&gt;1,PolicyLevers!$H$2:$H$1541, "")))</f>
        <v>No duplicate ID numbers</v>
      </c>
    </row>
    <row r="19" spans="1:3" ht="30" x14ac:dyDescent="0.25">
      <c r="A19" s="1" t="s">
        <v>2983</v>
      </c>
      <c r="B19" s="20" t="str" cm="1">
        <f t="array" ref="B19">IF(MIN(IF((NOT(ISNUMBER(PolicyLevers!$H$2:$H$1541)))*(ISTEXT(PolicyLevers!$I$2:$I$1541)),ROW(PolicyLevers!$H$2:$H$1541)))=0,"No missing ID numbers",MIN(IF((NOT(ISNUMBER(PolicyLevers!$H$2:$H$1541)))*(ISTEXT(PolicyLevers!$I$2:$I$1541)),ROW(PolicyLevers!$H$2:$H$1541))))</f>
        <v>No missing ID numbers</v>
      </c>
    </row>
    <row r="21" spans="1:3" x14ac:dyDescent="0.25">
      <c r="A21" s="42" t="s">
        <v>3229</v>
      </c>
      <c r="B21" s="167"/>
    </row>
    <row r="22" spans="1:3" x14ac:dyDescent="0.25">
      <c r="A22" t="s">
        <v>3223</v>
      </c>
    </row>
    <row r="23" spans="1:3" x14ac:dyDescent="0.25">
      <c r="A23" t="s">
        <v>3224</v>
      </c>
    </row>
    <row r="24" spans="1:3" x14ac:dyDescent="0.25">
      <c r="A24" t="s">
        <v>3225</v>
      </c>
    </row>
    <row r="25" spans="1:3" x14ac:dyDescent="0.25">
      <c r="A25" t="s">
        <v>3226</v>
      </c>
    </row>
    <row r="27" spans="1:3" x14ac:dyDescent="0.25">
      <c r="A27" s="42" t="s">
        <v>3227</v>
      </c>
      <c r="B27" s="167"/>
      <c r="C27" s="167"/>
    </row>
    <row r="28" spans="1:3" x14ac:dyDescent="0.25">
      <c r="A28" t="s">
        <v>2849</v>
      </c>
    </row>
    <row r="29" spans="1:3" x14ac:dyDescent="0.25">
      <c r="A29" t="s">
        <v>2835</v>
      </c>
    </row>
    <row r="30" spans="1:3" x14ac:dyDescent="0.25">
      <c r="A30" t="s">
        <v>2836</v>
      </c>
    </row>
    <row r="31" spans="1:3" x14ac:dyDescent="0.25">
      <c r="A31" t="s">
        <v>2837</v>
      </c>
    </row>
    <row r="32" spans="1:3" x14ac:dyDescent="0.25">
      <c r="A32" t="s">
        <v>2838</v>
      </c>
    </row>
    <row r="34" spans="1:2" x14ac:dyDescent="0.25">
      <c r="A34" t="s">
        <v>2850</v>
      </c>
    </row>
    <row r="35" spans="1:2" x14ac:dyDescent="0.25">
      <c r="A35" t="s">
        <v>2833</v>
      </c>
    </row>
    <row r="36" spans="1:2" x14ac:dyDescent="0.25">
      <c r="A36" t="s">
        <v>2834</v>
      </c>
    </row>
    <row r="38" spans="1:2" x14ac:dyDescent="0.25">
      <c r="A38" t="s">
        <v>2851</v>
      </c>
    </row>
    <row r="39" spans="1:2" x14ac:dyDescent="0.25">
      <c r="A39" t="s">
        <v>2840</v>
      </c>
    </row>
    <row r="40" spans="1:2" x14ac:dyDescent="0.25">
      <c r="A40" t="s">
        <v>2841</v>
      </c>
    </row>
    <row r="42" spans="1:2" x14ac:dyDescent="0.25">
      <c r="A42" t="s">
        <v>2852</v>
      </c>
    </row>
    <row r="43" spans="1:2" x14ac:dyDescent="0.25">
      <c r="A43" t="s">
        <v>2842</v>
      </c>
    </row>
    <row r="44" spans="1:2" x14ac:dyDescent="0.25">
      <c r="A44" t="s">
        <v>2843</v>
      </c>
    </row>
    <row r="46" spans="1:2" x14ac:dyDescent="0.25">
      <c r="A46" s="42" t="s">
        <v>3228</v>
      </c>
      <c r="B46" s="167"/>
    </row>
    <row r="47" spans="1:2" x14ac:dyDescent="0.25">
      <c r="A47" t="s">
        <v>2844</v>
      </c>
    </row>
    <row r="48" spans="1:2" x14ac:dyDescent="0.25">
      <c r="A48" t="s">
        <v>2845</v>
      </c>
    </row>
    <row r="50" spans="1:1" x14ac:dyDescent="0.25">
      <c r="A50" t="s">
        <v>2846</v>
      </c>
    </row>
    <row r="51" spans="1:1" x14ac:dyDescent="0.25">
      <c r="A51" t="s">
        <v>2853</v>
      </c>
    </row>
    <row r="52" spans="1:1" x14ac:dyDescent="0.25">
      <c r="A52" t="s">
        <v>2847</v>
      </c>
    </row>
    <row r="53" spans="1:1" x14ac:dyDescent="0.25">
      <c r="A53" t="s">
        <v>2848</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09"/>
  <sheetViews>
    <sheetView topLeftCell="K1" zoomScale="90" zoomScaleNormal="90" workbookViewId="0">
      <pane ySplit="3" topLeftCell="A10" activePane="bottomLeft" state="frozen"/>
      <selection pane="bottomLeft" activeCell="K12" sqref="K12:M12"/>
    </sheetView>
  </sheetViews>
  <sheetFormatPr defaultColWidth="8.85546875" defaultRowHeight="15" x14ac:dyDescent="0.25"/>
  <cols>
    <col min="1" max="5" width="20.140625" customWidth="1"/>
    <col min="6" max="8" width="10.140625" customWidth="1"/>
    <col min="9" max="9" width="20.140625" customWidth="1"/>
    <col min="10" max="10" width="153.42578125" customWidth="1"/>
    <col min="11" max="12" width="20.140625" customWidth="1"/>
    <col min="13" max="13" width="129.42578125" style="282" customWidth="1"/>
    <col min="14" max="14" width="67.42578125" customWidth="1"/>
  </cols>
  <sheetData>
    <row r="1" spans="1:14" x14ac:dyDescent="0.25">
      <c r="A1" s="9" t="s">
        <v>3193</v>
      </c>
      <c r="M1"/>
    </row>
    <row r="2" spans="1:14" x14ac:dyDescent="0.25">
      <c r="A2" s="16" t="s">
        <v>3194</v>
      </c>
      <c r="M2"/>
    </row>
    <row r="3" spans="1:14" ht="45" x14ac:dyDescent="0.25">
      <c r="A3" s="45" t="s">
        <v>3</v>
      </c>
      <c r="B3" s="45" t="s">
        <v>0</v>
      </c>
      <c r="C3" s="45" t="s">
        <v>1</v>
      </c>
      <c r="D3" s="46" t="s">
        <v>344</v>
      </c>
      <c r="E3" s="45" t="s">
        <v>2261</v>
      </c>
      <c r="F3" s="273" t="s">
        <v>69</v>
      </c>
      <c r="G3" s="273" t="s">
        <v>70</v>
      </c>
      <c r="H3" s="273" t="s">
        <v>81</v>
      </c>
      <c r="I3" s="45" t="s">
        <v>28</v>
      </c>
      <c r="J3" s="45" t="s">
        <v>2</v>
      </c>
      <c r="K3" s="45" t="s">
        <v>441</v>
      </c>
      <c r="L3" s="45" t="s">
        <v>190</v>
      </c>
      <c r="M3" s="213" t="s">
        <v>145</v>
      </c>
      <c r="N3" s="43" t="s">
        <v>146</v>
      </c>
    </row>
    <row r="4" spans="1:14" ht="135.94999999999999" customHeight="1" x14ac:dyDescent="0.25">
      <c r="A4" s="2" t="s">
        <v>4</v>
      </c>
      <c r="B4" s="2" t="s">
        <v>2389</v>
      </c>
      <c r="C4" s="1" t="s">
        <v>2384</v>
      </c>
      <c r="D4" s="2" t="s">
        <v>2383</v>
      </c>
      <c r="E4" s="2" t="s">
        <v>2385</v>
      </c>
      <c r="F4" s="53">
        <v>0</v>
      </c>
      <c r="G4" s="53">
        <v>1</v>
      </c>
      <c r="H4" s="53">
        <v>0.02</v>
      </c>
      <c r="I4" s="2" t="s">
        <v>2386</v>
      </c>
      <c r="J4" s="47" t="s">
        <v>3485</v>
      </c>
      <c r="K4" s="55" t="s">
        <v>2388</v>
      </c>
      <c r="L4" s="2" t="s">
        <v>2387</v>
      </c>
    </row>
    <row r="5" spans="1:14" ht="60" x14ac:dyDescent="0.25">
      <c r="A5" s="2" t="s">
        <v>4</v>
      </c>
      <c r="B5" s="2" t="s">
        <v>2454</v>
      </c>
      <c r="C5" s="1" t="s">
        <v>3494</v>
      </c>
      <c r="D5" s="2" t="s">
        <v>2455</v>
      </c>
      <c r="E5" s="2" t="s">
        <v>2456</v>
      </c>
      <c r="F5" s="177">
        <v>0</v>
      </c>
      <c r="G5" s="385">
        <v>3</v>
      </c>
      <c r="H5" s="385">
        <v>0.1</v>
      </c>
      <c r="I5" s="2" t="s">
        <v>3496</v>
      </c>
      <c r="J5" s="6" t="s">
        <v>3497</v>
      </c>
      <c r="K5" s="2"/>
      <c r="L5" s="2" t="s">
        <v>2698</v>
      </c>
      <c r="M5" s="215" t="s">
        <v>3220</v>
      </c>
    </row>
    <row r="6" spans="1:14" ht="93.75" customHeight="1" x14ac:dyDescent="0.25">
      <c r="A6" s="2" t="s">
        <v>4</v>
      </c>
      <c r="B6" s="2" t="s">
        <v>3491</v>
      </c>
      <c r="C6" s="1" t="s">
        <v>3492</v>
      </c>
      <c r="D6" s="2" t="s">
        <v>2458</v>
      </c>
      <c r="E6" s="1" t="s">
        <v>3495</v>
      </c>
      <c r="F6" s="52">
        <v>0</v>
      </c>
      <c r="G6" s="52">
        <v>1</v>
      </c>
      <c r="H6" s="52">
        <v>0.02</v>
      </c>
      <c r="I6" s="47" t="s">
        <v>2453</v>
      </c>
      <c r="J6" s="47" t="s">
        <v>3493</v>
      </c>
      <c r="K6" s="55"/>
      <c r="L6" s="55" t="s">
        <v>2699</v>
      </c>
      <c r="M6" s="214" t="s">
        <v>2457</v>
      </c>
    </row>
    <row r="7" spans="1:14" ht="90.95" customHeight="1" x14ac:dyDescent="0.25">
      <c r="A7" s="2" t="s">
        <v>4</v>
      </c>
      <c r="B7" s="2" t="s">
        <v>3466</v>
      </c>
      <c r="C7" s="1" t="s">
        <v>3468</v>
      </c>
      <c r="D7" s="2" t="s">
        <v>3470</v>
      </c>
      <c r="E7" s="1" t="s">
        <v>3471</v>
      </c>
      <c r="F7" s="384">
        <v>0</v>
      </c>
      <c r="G7" s="384">
        <v>50000</v>
      </c>
      <c r="H7" s="384">
        <v>100</v>
      </c>
      <c r="I7" s="384" t="s">
        <v>3473</v>
      </c>
      <c r="J7" s="227" t="s">
        <v>3475</v>
      </c>
      <c r="K7" s="55" t="s">
        <v>460</v>
      </c>
      <c r="L7" s="55" t="s">
        <v>461</v>
      </c>
      <c r="M7" s="214" t="s">
        <v>462</v>
      </c>
    </row>
    <row r="8" spans="1:14" ht="90.95" customHeight="1" x14ac:dyDescent="0.25">
      <c r="A8" s="2" t="s">
        <v>4</v>
      </c>
      <c r="B8" s="2" t="s">
        <v>3467</v>
      </c>
      <c r="C8" s="1" t="s">
        <v>3469</v>
      </c>
      <c r="D8" s="2" t="s">
        <v>3470</v>
      </c>
      <c r="E8" s="1" t="s">
        <v>3472</v>
      </c>
      <c r="F8" s="384">
        <v>0</v>
      </c>
      <c r="G8" s="384">
        <v>50000</v>
      </c>
      <c r="H8" s="384">
        <v>100</v>
      </c>
      <c r="I8" s="384" t="s">
        <v>3473</v>
      </c>
      <c r="J8" s="227" t="s">
        <v>3474</v>
      </c>
      <c r="K8" s="55" t="s">
        <v>460</v>
      </c>
      <c r="L8" s="55" t="s">
        <v>461</v>
      </c>
      <c r="M8" s="214"/>
    </row>
    <row r="9" spans="1:14" ht="75" x14ac:dyDescent="0.25">
      <c r="A9" s="1" t="s">
        <v>4</v>
      </c>
      <c r="B9" s="1" t="s">
        <v>11</v>
      </c>
      <c r="C9" s="1" t="s">
        <v>111</v>
      </c>
      <c r="D9" s="44" t="s">
        <v>11</v>
      </c>
      <c r="E9" s="1" t="s">
        <v>2300</v>
      </c>
      <c r="F9" s="50">
        <v>0</v>
      </c>
      <c r="G9" s="50">
        <v>1</v>
      </c>
      <c r="H9" s="51">
        <v>0.02</v>
      </c>
      <c r="I9" s="47" t="s">
        <v>442</v>
      </c>
      <c r="J9" s="47" t="s">
        <v>3306</v>
      </c>
      <c r="K9" s="47" t="s">
        <v>191</v>
      </c>
      <c r="L9" s="6" t="s">
        <v>192</v>
      </c>
      <c r="M9" s="216" t="s">
        <v>147</v>
      </c>
      <c r="N9" s="47" t="s">
        <v>173</v>
      </c>
    </row>
    <row r="10" spans="1:14" ht="348.75" customHeight="1" x14ac:dyDescent="0.25">
      <c r="A10" s="1" t="s">
        <v>4</v>
      </c>
      <c r="B10" s="1" t="s">
        <v>5</v>
      </c>
      <c r="C10" s="1" t="s">
        <v>299</v>
      </c>
      <c r="D10" s="44" t="s">
        <v>345</v>
      </c>
      <c r="E10" s="1" t="s">
        <v>2299</v>
      </c>
      <c r="F10" s="50">
        <v>0</v>
      </c>
      <c r="G10" s="50">
        <f>ROUND(MaxBoundCalculations!B88,1)</f>
        <v>1</v>
      </c>
      <c r="H10" s="50">
        <v>0.01</v>
      </c>
      <c r="I10" s="47" t="s">
        <v>112</v>
      </c>
      <c r="J10" s="47" t="s">
        <v>3486</v>
      </c>
      <c r="K10" s="47" t="s">
        <v>193</v>
      </c>
      <c r="L10" s="6" t="s">
        <v>194</v>
      </c>
      <c r="M10" s="216" t="s">
        <v>3196</v>
      </c>
      <c r="N10" s="47" t="s">
        <v>3197</v>
      </c>
    </row>
    <row r="11" spans="1:14" ht="45" x14ac:dyDescent="0.25">
      <c r="A11" s="2" t="s">
        <v>4</v>
      </c>
      <c r="B11" s="2" t="s">
        <v>465</v>
      </c>
      <c r="C11" s="1" t="s">
        <v>466</v>
      </c>
      <c r="D11" s="2" t="s">
        <v>465</v>
      </c>
      <c r="E11" s="1" t="s">
        <v>2298</v>
      </c>
      <c r="F11" s="53">
        <v>0</v>
      </c>
      <c r="G11" s="53">
        <v>1</v>
      </c>
      <c r="H11" s="53">
        <v>0.01</v>
      </c>
      <c r="I11" s="6" t="s">
        <v>467</v>
      </c>
      <c r="J11" s="47" t="s">
        <v>2301</v>
      </c>
      <c r="K11" s="47" t="s">
        <v>468</v>
      </c>
      <c r="L11" s="6" t="s">
        <v>469</v>
      </c>
      <c r="M11" s="217" t="s">
        <v>470</v>
      </c>
    </row>
    <row r="12" spans="1:14" ht="45" x14ac:dyDescent="0.25">
      <c r="A12" s="2" t="s">
        <v>4</v>
      </c>
      <c r="B12" s="2" t="s">
        <v>3740</v>
      </c>
      <c r="C12" s="1" t="s">
        <v>3741</v>
      </c>
      <c r="D12" s="2" t="s">
        <v>465</v>
      </c>
      <c r="E12" s="1" t="s">
        <v>3742</v>
      </c>
      <c r="F12" s="383">
        <v>0</v>
      </c>
      <c r="G12" s="383">
        <v>1</v>
      </c>
      <c r="H12" s="383">
        <v>1</v>
      </c>
      <c r="I12" s="47" t="s">
        <v>29</v>
      </c>
      <c r="J12" s="47" t="s">
        <v>3743</v>
      </c>
      <c r="K12" s="47" t="s">
        <v>468</v>
      </c>
      <c r="L12" s="6" t="s">
        <v>469</v>
      </c>
      <c r="M12" s="217" t="s">
        <v>470</v>
      </c>
    </row>
    <row r="13" spans="1:14" ht="180.75" customHeight="1" x14ac:dyDescent="0.25">
      <c r="A13" s="1" t="s">
        <v>4</v>
      </c>
      <c r="B13" s="1" t="s">
        <v>2994</v>
      </c>
      <c r="C13" s="1" t="s">
        <v>2995</v>
      </c>
      <c r="D13" s="1" t="s">
        <v>2994</v>
      </c>
      <c r="E13" s="1" t="s">
        <v>2996</v>
      </c>
      <c r="F13" s="51">
        <v>0</v>
      </c>
      <c r="G13" s="51">
        <f>-ROUND(MaxBoundCalculations!$B$206,2)</f>
        <v>0.26</v>
      </c>
      <c r="H13" s="51">
        <v>0.01</v>
      </c>
      <c r="I13" s="47" t="s">
        <v>2997</v>
      </c>
      <c r="J13" s="47" t="s">
        <v>3482</v>
      </c>
      <c r="K13" s="47" t="s">
        <v>195</v>
      </c>
      <c r="L13" s="6" t="s">
        <v>196</v>
      </c>
      <c r="M13" s="218" t="s">
        <v>3219</v>
      </c>
    </row>
    <row r="14" spans="1:14" ht="409.5" customHeight="1" x14ac:dyDescent="0.25">
      <c r="A14" s="2" t="s">
        <v>4</v>
      </c>
      <c r="B14" s="2" t="s">
        <v>3457</v>
      </c>
      <c r="C14" s="1" t="s">
        <v>3458</v>
      </c>
      <c r="D14" s="2" t="s">
        <v>3459</v>
      </c>
      <c r="E14" s="1" t="s">
        <v>3460</v>
      </c>
      <c r="F14" s="384">
        <v>0</v>
      </c>
      <c r="G14" s="384">
        <v>50</v>
      </c>
      <c r="H14" s="384">
        <v>1</v>
      </c>
      <c r="I14" s="47" t="s">
        <v>3667</v>
      </c>
      <c r="J14" s="47" t="s">
        <v>3462</v>
      </c>
      <c r="K14" s="55" t="s">
        <v>463</v>
      </c>
      <c r="L14" s="55" t="s">
        <v>464</v>
      </c>
      <c r="M14" s="215" t="s">
        <v>3195</v>
      </c>
    </row>
    <row r="15" spans="1:14" ht="45" x14ac:dyDescent="0.25">
      <c r="A15" s="2" t="s">
        <v>4</v>
      </c>
      <c r="B15" s="2" t="s">
        <v>3463</v>
      </c>
      <c r="C15" s="1" t="s">
        <v>3464</v>
      </c>
      <c r="D15" s="2" t="s">
        <v>3459</v>
      </c>
      <c r="E15" s="1" t="s">
        <v>3461</v>
      </c>
      <c r="F15" s="383">
        <v>0</v>
      </c>
      <c r="G15" s="383">
        <v>1</v>
      </c>
      <c r="H15" s="383">
        <v>1</v>
      </c>
      <c r="I15" s="47" t="s">
        <v>29</v>
      </c>
      <c r="J15" s="47" t="s">
        <v>3462</v>
      </c>
      <c r="K15" s="55"/>
      <c r="L15" s="55"/>
      <c r="M15" s="215"/>
    </row>
    <row r="16" spans="1:14" ht="45" x14ac:dyDescent="0.25">
      <c r="A16" s="2" t="s">
        <v>4</v>
      </c>
      <c r="B16" s="2" t="s">
        <v>3663</v>
      </c>
      <c r="C16" s="1" t="s">
        <v>3664</v>
      </c>
      <c r="D16" s="2" t="s">
        <v>3665</v>
      </c>
      <c r="E16" s="1" t="s">
        <v>3666</v>
      </c>
      <c r="F16" s="383">
        <v>0</v>
      </c>
      <c r="G16" s="383">
        <v>1</v>
      </c>
      <c r="H16" s="383">
        <v>1</v>
      </c>
      <c r="I16" s="47" t="s">
        <v>29</v>
      </c>
      <c r="J16" s="47" t="s">
        <v>3668</v>
      </c>
      <c r="K16" s="55"/>
      <c r="L16" s="55"/>
      <c r="M16" s="215"/>
    </row>
    <row r="17" spans="1:14" ht="195" x14ac:dyDescent="0.25">
      <c r="A17" s="1" t="s">
        <v>71</v>
      </c>
      <c r="B17" s="1" t="s">
        <v>15</v>
      </c>
      <c r="C17" s="1" t="s">
        <v>2489</v>
      </c>
      <c r="D17" s="1" t="s">
        <v>15</v>
      </c>
      <c r="E17" s="1" t="s">
        <v>2488</v>
      </c>
      <c r="F17" s="50">
        <v>0</v>
      </c>
      <c r="G17" s="50">
        <v>1</v>
      </c>
      <c r="H17" s="50">
        <v>0.01</v>
      </c>
      <c r="I17" s="47" t="s">
        <v>114</v>
      </c>
      <c r="J17" s="47" t="s">
        <v>3199</v>
      </c>
      <c r="K17" s="47" t="s">
        <v>197</v>
      </c>
      <c r="L17" s="6" t="s">
        <v>198</v>
      </c>
      <c r="M17" s="216" t="s">
        <v>3198</v>
      </c>
    </row>
    <row r="18" spans="1:14" ht="75" x14ac:dyDescent="0.25">
      <c r="A18" s="1" t="s">
        <v>71</v>
      </c>
      <c r="B18" s="1" t="s">
        <v>100</v>
      </c>
      <c r="C18" s="1" t="s">
        <v>300</v>
      </c>
      <c r="D18" s="1" t="s">
        <v>100</v>
      </c>
      <c r="E18" s="1" t="s">
        <v>2297</v>
      </c>
      <c r="F18" s="50">
        <v>0</v>
      </c>
      <c r="G18" s="50">
        <v>0.75</v>
      </c>
      <c r="H18" s="50">
        <v>0.01</v>
      </c>
      <c r="I18" s="47" t="s">
        <v>30</v>
      </c>
      <c r="J18" s="47" t="s">
        <v>3200</v>
      </c>
      <c r="K18" s="47" t="s">
        <v>199</v>
      </c>
      <c r="L18" s="6" t="s">
        <v>200</v>
      </c>
      <c r="M18" s="216" t="s">
        <v>148</v>
      </c>
      <c r="N18" s="47" t="s">
        <v>430</v>
      </c>
    </row>
    <row r="19" spans="1:14" ht="45" x14ac:dyDescent="0.25">
      <c r="A19" s="1" t="s">
        <v>71</v>
      </c>
      <c r="B19" s="1" t="s">
        <v>14</v>
      </c>
      <c r="C19" s="1" t="s">
        <v>7</v>
      </c>
      <c r="D19" s="1" t="s">
        <v>14</v>
      </c>
      <c r="E19" s="1" t="s">
        <v>2296</v>
      </c>
      <c r="F19" s="1">
        <v>0</v>
      </c>
      <c r="G19" s="1">
        <v>1</v>
      </c>
      <c r="H19" s="1">
        <v>1</v>
      </c>
      <c r="I19" s="47" t="s">
        <v>29</v>
      </c>
      <c r="J19" s="47" t="s">
        <v>2309</v>
      </c>
      <c r="K19" s="47" t="s">
        <v>201</v>
      </c>
      <c r="L19" s="6" t="s">
        <v>202</v>
      </c>
    </row>
    <row r="20" spans="1:14" ht="60" x14ac:dyDescent="0.25">
      <c r="A20" s="1" t="s">
        <v>71</v>
      </c>
      <c r="B20" s="1" t="s">
        <v>260</v>
      </c>
      <c r="C20" s="1" t="s">
        <v>301</v>
      </c>
      <c r="D20" s="44" t="s">
        <v>346</v>
      </c>
      <c r="E20" s="1" t="s">
        <v>2295</v>
      </c>
      <c r="F20" s="1">
        <v>0</v>
      </c>
      <c r="G20" s="51">
        <f>ROUND(MaxBoundCalculations!B172,2)</f>
        <v>0.24</v>
      </c>
      <c r="H20" s="54">
        <v>5.0000000000000001E-3</v>
      </c>
      <c r="I20" s="47" t="s">
        <v>261</v>
      </c>
      <c r="J20" s="47" t="s">
        <v>2302</v>
      </c>
      <c r="K20" s="47" t="s">
        <v>262</v>
      </c>
      <c r="L20" s="6" t="s">
        <v>263</v>
      </c>
      <c r="M20" s="217" t="s">
        <v>305</v>
      </c>
      <c r="N20" s="6" t="s">
        <v>396</v>
      </c>
    </row>
    <row r="21" spans="1:14" ht="60" x14ac:dyDescent="0.25">
      <c r="A21" s="1" t="s">
        <v>71</v>
      </c>
      <c r="B21" s="1" t="s">
        <v>264</v>
      </c>
      <c r="C21" s="1" t="s">
        <v>3489</v>
      </c>
      <c r="D21" s="44" t="s">
        <v>346</v>
      </c>
      <c r="E21" s="1" t="s">
        <v>2294</v>
      </c>
      <c r="F21" s="1">
        <v>0</v>
      </c>
      <c r="G21" s="50">
        <v>0.5</v>
      </c>
      <c r="H21" s="51">
        <v>0.01</v>
      </c>
      <c r="I21" s="47" t="s">
        <v>267</v>
      </c>
      <c r="J21" s="47" t="s">
        <v>3490</v>
      </c>
      <c r="K21" s="47" t="s">
        <v>265</v>
      </c>
      <c r="L21" s="6" t="s">
        <v>266</v>
      </c>
      <c r="M21" s="217" t="s">
        <v>306</v>
      </c>
      <c r="N21" s="48"/>
    </row>
    <row r="22" spans="1:14" ht="45" x14ac:dyDescent="0.25">
      <c r="A22" s="1" t="s">
        <v>71</v>
      </c>
      <c r="B22" s="1" t="s">
        <v>13</v>
      </c>
      <c r="C22" s="1" t="s">
        <v>127</v>
      </c>
      <c r="D22" s="1" t="s">
        <v>13</v>
      </c>
      <c r="E22" s="1" t="s">
        <v>2293</v>
      </c>
      <c r="F22" s="1">
        <v>0</v>
      </c>
      <c r="G22" s="1">
        <v>1</v>
      </c>
      <c r="H22" s="1">
        <v>1</v>
      </c>
      <c r="I22" s="47" t="s">
        <v>29</v>
      </c>
      <c r="J22" s="47" t="s">
        <v>2948</v>
      </c>
      <c r="K22" s="47" t="s">
        <v>203</v>
      </c>
      <c r="L22" s="6" t="s">
        <v>204</v>
      </c>
      <c r="M22" s="217" t="s">
        <v>74</v>
      </c>
      <c r="N22" s="48"/>
    </row>
    <row r="23" spans="1:14" ht="45" x14ac:dyDescent="0.25">
      <c r="A23" s="1" t="s">
        <v>71</v>
      </c>
      <c r="B23" s="1" t="s">
        <v>2463</v>
      </c>
      <c r="C23" s="1" t="s">
        <v>2462</v>
      </c>
      <c r="D23" s="1" t="s">
        <v>16</v>
      </c>
      <c r="E23" s="1" t="s">
        <v>2292</v>
      </c>
      <c r="F23" s="50">
        <v>0</v>
      </c>
      <c r="G23" s="50">
        <v>0.5</v>
      </c>
      <c r="H23" s="50">
        <v>0.01</v>
      </c>
      <c r="I23" s="47" t="s">
        <v>2464</v>
      </c>
      <c r="J23" s="47" t="s">
        <v>3201</v>
      </c>
      <c r="K23" s="47" t="s">
        <v>205</v>
      </c>
      <c r="L23" s="6" t="s">
        <v>206</v>
      </c>
      <c r="M23" s="216" t="s">
        <v>152</v>
      </c>
    </row>
    <row r="24" spans="1:14" ht="45" x14ac:dyDescent="0.25">
      <c r="A24" s="1" t="s">
        <v>71</v>
      </c>
      <c r="B24" s="1" t="s">
        <v>12</v>
      </c>
      <c r="C24" s="1" t="s">
        <v>6</v>
      </c>
      <c r="D24" s="1" t="s">
        <v>12</v>
      </c>
      <c r="E24" s="1" t="s">
        <v>2291</v>
      </c>
      <c r="F24" s="1">
        <v>0</v>
      </c>
      <c r="G24" s="1">
        <v>1</v>
      </c>
      <c r="H24" s="1">
        <v>1</v>
      </c>
      <c r="I24" s="47" t="s">
        <v>29</v>
      </c>
      <c r="J24" s="47" t="s">
        <v>3202</v>
      </c>
      <c r="K24" s="47" t="s">
        <v>207</v>
      </c>
      <c r="L24" s="6" t="s">
        <v>208</v>
      </c>
    </row>
    <row r="25" spans="1:14" ht="30" x14ac:dyDescent="0.25">
      <c r="A25" s="2" t="s">
        <v>8</v>
      </c>
      <c r="B25" s="2" t="s">
        <v>329</v>
      </c>
      <c r="C25" s="1" t="s">
        <v>330</v>
      </c>
      <c r="D25" s="2" t="s">
        <v>329</v>
      </c>
      <c r="E25" s="1" t="s">
        <v>2290</v>
      </c>
      <c r="F25" s="2">
        <v>0</v>
      </c>
      <c r="G25" s="2">
        <v>1</v>
      </c>
      <c r="H25" s="2">
        <v>1</v>
      </c>
      <c r="I25" s="6" t="s">
        <v>29</v>
      </c>
      <c r="J25" s="47" t="s">
        <v>3203</v>
      </c>
      <c r="K25" s="47" t="s">
        <v>331</v>
      </c>
      <c r="L25" s="6" t="s">
        <v>332</v>
      </c>
    </row>
    <row r="26" spans="1:14" ht="150" x14ac:dyDescent="0.25">
      <c r="A26" s="1" t="s">
        <v>8</v>
      </c>
      <c r="B26" s="47" t="s">
        <v>3133</v>
      </c>
      <c r="C26" s="1" t="s">
        <v>2744</v>
      </c>
      <c r="D26" s="47" t="s">
        <v>3133</v>
      </c>
      <c r="E26" s="1" t="s">
        <v>2281</v>
      </c>
      <c r="F26" s="50">
        <v>0</v>
      </c>
      <c r="G26" s="51">
        <v>1</v>
      </c>
      <c r="H26" s="51">
        <v>0.01</v>
      </c>
      <c r="I26" s="47" t="s">
        <v>34</v>
      </c>
      <c r="J26" s="47" t="s">
        <v>2981</v>
      </c>
      <c r="K26" s="47" t="s">
        <v>2450</v>
      </c>
      <c r="L26" s="6" t="s">
        <v>2451</v>
      </c>
      <c r="M26" s="217" t="s">
        <v>150</v>
      </c>
    </row>
    <row r="27" spans="1:14" ht="60" x14ac:dyDescent="0.25">
      <c r="A27" s="1" t="s">
        <v>8</v>
      </c>
      <c r="B27" s="47" t="s">
        <v>3578</v>
      </c>
      <c r="C27" s="1" t="s">
        <v>3579</v>
      </c>
      <c r="D27" s="171"/>
      <c r="E27" s="171"/>
      <c r="F27" s="2">
        <v>0</v>
      </c>
      <c r="G27" s="2">
        <v>1</v>
      </c>
      <c r="H27" s="2">
        <v>1</v>
      </c>
      <c r="I27" s="6" t="s">
        <v>29</v>
      </c>
      <c r="J27" s="47" t="s">
        <v>3580</v>
      </c>
      <c r="K27" s="47"/>
      <c r="L27" s="6"/>
      <c r="M27" s="217"/>
    </row>
    <row r="28" spans="1:14" ht="45" x14ac:dyDescent="0.25">
      <c r="A28" s="2" t="s">
        <v>8</v>
      </c>
      <c r="B28" s="2" t="s">
        <v>268</v>
      </c>
      <c r="C28" s="1" t="s">
        <v>271</v>
      </c>
      <c r="D28" s="2" t="s">
        <v>347</v>
      </c>
      <c r="E28" s="1" t="s">
        <v>2289</v>
      </c>
      <c r="F28" s="53">
        <v>-0.5</v>
      </c>
      <c r="G28" s="53">
        <v>1</v>
      </c>
      <c r="H28" s="53">
        <v>0.02</v>
      </c>
      <c r="I28" s="6" t="s">
        <v>272</v>
      </c>
      <c r="J28" s="47" t="s">
        <v>2310</v>
      </c>
      <c r="K28" s="47" t="s">
        <v>274</v>
      </c>
      <c r="L28" s="6" t="s">
        <v>276</v>
      </c>
      <c r="M28" s="217" t="s">
        <v>307</v>
      </c>
    </row>
    <row r="29" spans="1:14" ht="45" x14ac:dyDescent="0.25">
      <c r="A29" s="2" t="s">
        <v>8</v>
      </c>
      <c r="B29" s="2" t="s">
        <v>269</v>
      </c>
      <c r="C29" s="1" t="s">
        <v>270</v>
      </c>
      <c r="D29" s="2" t="s">
        <v>347</v>
      </c>
      <c r="E29" s="1" t="s">
        <v>2288</v>
      </c>
      <c r="F29" s="53">
        <v>-0.5</v>
      </c>
      <c r="G29" s="53">
        <v>1</v>
      </c>
      <c r="H29" s="53">
        <v>0.02</v>
      </c>
      <c r="I29" s="6" t="s">
        <v>273</v>
      </c>
      <c r="J29" s="47" t="s">
        <v>2311</v>
      </c>
      <c r="K29" s="47" t="s">
        <v>275</v>
      </c>
      <c r="L29" s="6" t="s">
        <v>276</v>
      </c>
      <c r="M29" s="217" t="s">
        <v>307</v>
      </c>
    </row>
    <row r="30" spans="1:14" ht="45" x14ac:dyDescent="0.25">
      <c r="A30" s="1" t="s">
        <v>8</v>
      </c>
      <c r="B30" s="1" t="s">
        <v>303</v>
      </c>
      <c r="C30" s="1" t="s">
        <v>302</v>
      </c>
      <c r="D30" s="1" t="s">
        <v>303</v>
      </c>
      <c r="E30" s="1" t="s">
        <v>2287</v>
      </c>
      <c r="F30" s="1">
        <v>0</v>
      </c>
      <c r="G30" s="1">
        <v>1</v>
      </c>
      <c r="H30" s="1">
        <v>1</v>
      </c>
      <c r="I30" s="47" t="s">
        <v>29</v>
      </c>
    </row>
    <row r="31" spans="1:14" ht="45" x14ac:dyDescent="0.25">
      <c r="A31" s="1" t="s">
        <v>8</v>
      </c>
      <c r="B31" s="1" t="s">
        <v>3513</v>
      </c>
      <c r="C31" s="1" t="s">
        <v>3514</v>
      </c>
      <c r="D31" s="1" t="s">
        <v>3515</v>
      </c>
      <c r="E31" s="1" t="s">
        <v>3685</v>
      </c>
      <c r="F31" s="2">
        <v>0</v>
      </c>
      <c r="G31" s="2">
        <v>100</v>
      </c>
      <c r="H31" s="2">
        <v>1</v>
      </c>
      <c r="I31" s="2" t="s">
        <v>3516</v>
      </c>
      <c r="J31" s="47" t="s">
        <v>3517</v>
      </c>
      <c r="K31" s="47"/>
      <c r="L31" s="6"/>
      <c r="M31" s="386" t="s">
        <v>3518</v>
      </c>
    </row>
    <row r="32" spans="1:14" ht="75" x14ac:dyDescent="0.25">
      <c r="A32" s="1" t="s">
        <v>8</v>
      </c>
      <c r="B32" s="1" t="s">
        <v>17</v>
      </c>
      <c r="C32" s="1" t="s">
        <v>27</v>
      </c>
      <c r="D32" s="1" t="s">
        <v>17</v>
      </c>
      <c r="E32" s="1" t="s">
        <v>2286</v>
      </c>
      <c r="F32" s="50">
        <v>0</v>
      </c>
      <c r="G32" s="51">
        <v>1</v>
      </c>
      <c r="H32" s="51">
        <v>0.01</v>
      </c>
      <c r="I32" s="47" t="s">
        <v>33</v>
      </c>
      <c r="J32" s="47" t="s">
        <v>3655</v>
      </c>
      <c r="K32" s="47" t="s">
        <v>209</v>
      </c>
      <c r="L32" s="6" t="s">
        <v>210</v>
      </c>
      <c r="M32" s="216" t="s">
        <v>152</v>
      </c>
    </row>
    <row r="33" spans="1:14" ht="105" x14ac:dyDescent="0.25">
      <c r="A33" s="1" t="s">
        <v>8</v>
      </c>
      <c r="B33" s="1" t="s">
        <v>129</v>
      </c>
      <c r="C33" s="1" t="s">
        <v>128</v>
      </c>
      <c r="D33" s="1" t="s">
        <v>129</v>
      </c>
      <c r="E33" s="1" t="s">
        <v>2285</v>
      </c>
      <c r="F33" s="5">
        <v>0</v>
      </c>
      <c r="G33" s="5">
        <v>25000</v>
      </c>
      <c r="H33" s="5">
        <v>500</v>
      </c>
      <c r="I33" s="47" t="s">
        <v>187</v>
      </c>
      <c r="J33" s="47" t="s">
        <v>3204</v>
      </c>
      <c r="K33" s="47" t="s">
        <v>211</v>
      </c>
      <c r="L33" s="6" t="s">
        <v>212</v>
      </c>
      <c r="M33" s="216" t="s">
        <v>149</v>
      </c>
      <c r="N33" s="47" t="s">
        <v>188</v>
      </c>
    </row>
    <row r="34" spans="1:14" ht="45" x14ac:dyDescent="0.25">
      <c r="A34" s="1" t="s">
        <v>8</v>
      </c>
      <c r="B34" s="1" t="s">
        <v>3026</v>
      </c>
      <c r="C34" s="1" t="s">
        <v>3027</v>
      </c>
      <c r="D34" s="1" t="s">
        <v>3026</v>
      </c>
      <c r="E34" s="171"/>
      <c r="F34" s="1">
        <v>0</v>
      </c>
      <c r="G34" s="1">
        <v>1</v>
      </c>
      <c r="H34" s="1">
        <v>1</v>
      </c>
      <c r="I34" s="47" t="s">
        <v>29</v>
      </c>
      <c r="J34" s="227" t="s">
        <v>3205</v>
      </c>
    </row>
    <row r="35" spans="1:14" ht="75" x14ac:dyDescent="0.25">
      <c r="A35" s="1" t="s">
        <v>8</v>
      </c>
      <c r="B35" s="1" t="s">
        <v>59</v>
      </c>
      <c r="C35" s="1" t="s">
        <v>130</v>
      </c>
      <c r="D35" s="1" t="s">
        <v>59</v>
      </c>
      <c r="E35" s="171"/>
      <c r="F35" s="1">
        <v>0</v>
      </c>
      <c r="G35" s="1">
        <v>1</v>
      </c>
      <c r="H35" s="1">
        <v>1</v>
      </c>
      <c r="I35" s="47" t="s">
        <v>29</v>
      </c>
      <c r="J35" s="227" t="s">
        <v>3452</v>
      </c>
    </row>
    <row r="36" spans="1:14" ht="45" x14ac:dyDescent="0.25">
      <c r="A36" s="1" t="s">
        <v>8</v>
      </c>
      <c r="B36" s="1" t="s">
        <v>358</v>
      </c>
      <c r="C36" s="1" t="s">
        <v>359</v>
      </c>
      <c r="D36" s="1" t="s">
        <v>358</v>
      </c>
      <c r="E36" s="1" t="s">
        <v>2284</v>
      </c>
      <c r="F36" s="1">
        <v>0</v>
      </c>
      <c r="G36" s="1">
        <v>1</v>
      </c>
      <c r="H36" s="1">
        <v>1</v>
      </c>
      <c r="I36" s="47" t="s">
        <v>29</v>
      </c>
      <c r="J36" s="47"/>
    </row>
    <row r="37" spans="1:14" ht="165" x14ac:dyDescent="0.25">
      <c r="A37" s="2" t="s">
        <v>8</v>
      </c>
      <c r="B37" s="2" t="s">
        <v>255</v>
      </c>
      <c r="C37" s="1" t="s">
        <v>256</v>
      </c>
      <c r="D37" s="2" t="s">
        <v>255</v>
      </c>
      <c r="E37" s="1" t="s">
        <v>2283</v>
      </c>
      <c r="F37" s="53">
        <v>0</v>
      </c>
      <c r="G37" s="53">
        <v>0.6</v>
      </c>
      <c r="H37" s="53">
        <v>0.01</v>
      </c>
      <c r="I37" s="6" t="s">
        <v>257</v>
      </c>
      <c r="J37" s="47" t="s">
        <v>3532</v>
      </c>
      <c r="K37" s="6" t="s">
        <v>2244</v>
      </c>
      <c r="L37" s="6" t="s">
        <v>258</v>
      </c>
      <c r="M37" s="216" t="s">
        <v>3218</v>
      </c>
    </row>
    <row r="38" spans="1:14" ht="45" x14ac:dyDescent="0.25">
      <c r="A38" s="2" t="s">
        <v>8</v>
      </c>
      <c r="B38" s="49" t="s">
        <v>2324</v>
      </c>
      <c r="C38" s="1" t="s">
        <v>2325</v>
      </c>
      <c r="D38" s="49" t="s">
        <v>2324</v>
      </c>
      <c r="E38" s="2" t="s">
        <v>2326</v>
      </c>
      <c r="F38" s="53">
        <v>0</v>
      </c>
      <c r="G38" s="53">
        <v>0.9</v>
      </c>
      <c r="H38" s="53">
        <v>0.01</v>
      </c>
      <c r="I38" s="6" t="s">
        <v>2327</v>
      </c>
      <c r="J38" s="47" t="s">
        <v>3206</v>
      </c>
      <c r="K38" s="6" t="s">
        <v>2380</v>
      </c>
      <c r="L38" s="6" t="s">
        <v>2379</v>
      </c>
    </row>
    <row r="39" spans="1:14" ht="45" x14ac:dyDescent="0.25">
      <c r="A39" s="2" t="s">
        <v>8</v>
      </c>
      <c r="B39" s="2" t="s">
        <v>252</v>
      </c>
      <c r="C39" s="1" t="s">
        <v>282</v>
      </c>
      <c r="D39" s="2" t="s">
        <v>348</v>
      </c>
      <c r="E39" s="1" t="s">
        <v>2282</v>
      </c>
      <c r="F39" s="53">
        <v>0</v>
      </c>
      <c r="G39" s="53">
        <v>0.4</v>
      </c>
      <c r="H39" s="53">
        <v>0.01</v>
      </c>
      <c r="I39" s="6" t="s">
        <v>253</v>
      </c>
      <c r="J39" s="47" t="s">
        <v>2303</v>
      </c>
      <c r="K39" s="6" t="s">
        <v>2245</v>
      </c>
      <c r="L39" s="6" t="s">
        <v>254</v>
      </c>
      <c r="M39" s="217" t="s">
        <v>308</v>
      </c>
    </row>
    <row r="40" spans="1:14" ht="180" x14ac:dyDescent="0.25">
      <c r="A40" s="2" t="s">
        <v>8</v>
      </c>
      <c r="B40" s="1" t="s">
        <v>2790</v>
      </c>
      <c r="C40" s="1" t="s">
        <v>2792</v>
      </c>
      <c r="D40" s="1" t="s">
        <v>2790</v>
      </c>
      <c r="E40" s="1" t="s">
        <v>2793</v>
      </c>
      <c r="F40" s="53">
        <v>0</v>
      </c>
      <c r="G40" s="53">
        <v>0.95</v>
      </c>
      <c r="H40" s="53">
        <v>0.01</v>
      </c>
      <c r="I40" s="6" t="s">
        <v>2794</v>
      </c>
      <c r="J40" s="47" t="s">
        <v>3207</v>
      </c>
      <c r="K40" s="47" t="s">
        <v>213</v>
      </c>
      <c r="L40" s="6"/>
      <c r="M40" s="216" t="s">
        <v>3217</v>
      </c>
    </row>
    <row r="41" spans="1:14" ht="195" x14ac:dyDescent="0.25">
      <c r="A41" s="1" t="s">
        <v>8</v>
      </c>
      <c r="B41" s="1" t="s">
        <v>18</v>
      </c>
      <c r="C41" s="1" t="s">
        <v>131</v>
      </c>
      <c r="D41" s="1" t="s">
        <v>18</v>
      </c>
      <c r="E41" s="1" t="s">
        <v>2791</v>
      </c>
      <c r="F41" s="2">
        <v>0</v>
      </c>
      <c r="G41" s="2">
        <v>60</v>
      </c>
      <c r="H41" s="2">
        <v>1</v>
      </c>
      <c r="I41" s="211" t="str">
        <f>UnitControlCenter!$B$50</f>
        <v>$/MWh</v>
      </c>
      <c r="J41" s="47" t="s">
        <v>3208</v>
      </c>
      <c r="K41" s="47" t="s">
        <v>213</v>
      </c>
      <c r="L41" s="6" t="s">
        <v>214</v>
      </c>
      <c r="M41" s="216" t="s">
        <v>151</v>
      </c>
    </row>
    <row r="42" spans="1:14" ht="90" x14ac:dyDescent="0.25">
      <c r="A42" s="1" t="s">
        <v>8</v>
      </c>
      <c r="B42" s="1" t="s">
        <v>3608</v>
      </c>
      <c r="C42" s="1" t="s">
        <v>3609</v>
      </c>
      <c r="D42" s="1" t="s">
        <v>3610</v>
      </c>
      <c r="E42" s="1" t="s">
        <v>3611</v>
      </c>
      <c r="F42" s="50">
        <v>0</v>
      </c>
      <c r="G42" s="51">
        <v>1</v>
      </c>
      <c r="H42" s="51">
        <v>0.01</v>
      </c>
      <c r="I42" s="2" t="s">
        <v>3612</v>
      </c>
      <c r="J42" s="47" t="s">
        <v>3613</v>
      </c>
      <c r="K42" s="47"/>
      <c r="L42" s="6"/>
      <c r="M42" s="216"/>
    </row>
    <row r="43" spans="1:14" ht="60" x14ac:dyDescent="0.25">
      <c r="A43" s="1" t="s">
        <v>8</v>
      </c>
      <c r="B43" s="1" t="s">
        <v>3671</v>
      </c>
      <c r="C43" s="1" t="s">
        <v>3669</v>
      </c>
      <c r="D43" s="1" t="s">
        <v>3670</v>
      </c>
      <c r="E43" s="1" t="s">
        <v>3674</v>
      </c>
      <c r="F43" s="406">
        <v>0</v>
      </c>
      <c r="G43" s="1">
        <v>100</v>
      </c>
      <c r="H43" s="1">
        <v>5</v>
      </c>
      <c r="I43" s="2" t="s">
        <v>3679</v>
      </c>
      <c r="J43" s="47" t="s">
        <v>3676</v>
      </c>
      <c r="K43" s="47"/>
      <c r="L43" s="6"/>
      <c r="M43" s="216"/>
    </row>
    <row r="44" spans="1:14" ht="60" x14ac:dyDescent="0.25">
      <c r="A44" s="1" t="s">
        <v>8</v>
      </c>
      <c r="B44" s="1" t="s">
        <v>3672</v>
      </c>
      <c r="C44" s="1" t="s">
        <v>3673</v>
      </c>
      <c r="D44" s="1" t="s">
        <v>3670</v>
      </c>
      <c r="E44" s="1" t="s">
        <v>3675</v>
      </c>
      <c r="F44" s="50">
        <v>0</v>
      </c>
      <c r="G44" s="51">
        <v>1</v>
      </c>
      <c r="H44" s="51">
        <v>0.01</v>
      </c>
      <c r="I44" s="2" t="s">
        <v>3678</v>
      </c>
      <c r="J44" s="47" t="s">
        <v>3677</v>
      </c>
      <c r="K44" s="47"/>
      <c r="L44" s="6"/>
      <c r="M44" s="216"/>
    </row>
    <row r="45" spans="1:14" ht="30" x14ac:dyDescent="0.25">
      <c r="A45" s="1" t="s">
        <v>8</v>
      </c>
      <c r="B45" s="1" t="s">
        <v>3680</v>
      </c>
      <c r="C45" s="1" t="s">
        <v>3681</v>
      </c>
      <c r="D45" s="1" t="s">
        <v>3680</v>
      </c>
      <c r="E45" s="1" t="s">
        <v>3682</v>
      </c>
      <c r="F45" s="406">
        <v>0</v>
      </c>
      <c r="G45" s="1">
        <v>100</v>
      </c>
      <c r="H45" s="1">
        <v>5</v>
      </c>
      <c r="I45" s="2" t="s">
        <v>3683</v>
      </c>
      <c r="J45" s="47" t="s">
        <v>3684</v>
      </c>
      <c r="K45" s="47"/>
      <c r="L45" s="6"/>
      <c r="M45" s="216"/>
    </row>
    <row r="46" spans="1:14" ht="105" x14ac:dyDescent="0.25">
      <c r="A46" s="1" t="s">
        <v>9</v>
      </c>
      <c r="B46" s="1" t="s">
        <v>3238</v>
      </c>
      <c r="C46" s="1" t="s">
        <v>3191</v>
      </c>
      <c r="D46" s="1" t="s">
        <v>3238</v>
      </c>
      <c r="E46" s="1" t="s">
        <v>3192</v>
      </c>
      <c r="F46" s="53">
        <v>0</v>
      </c>
      <c r="G46" s="53">
        <v>0.5</v>
      </c>
      <c r="H46" s="53">
        <v>0.01</v>
      </c>
      <c r="I46" s="6" t="s">
        <v>3190</v>
      </c>
      <c r="J46" s="47" t="s">
        <v>3239</v>
      </c>
    </row>
    <row r="47" spans="1:14" ht="75" x14ac:dyDescent="0.25">
      <c r="A47" s="1" t="s">
        <v>9</v>
      </c>
      <c r="B47" s="1" t="s">
        <v>26</v>
      </c>
      <c r="C47" s="1" t="s">
        <v>3029</v>
      </c>
      <c r="D47" s="1" t="s">
        <v>3030</v>
      </c>
      <c r="E47" s="1" t="s">
        <v>3028</v>
      </c>
      <c r="F47" s="50">
        <v>0</v>
      </c>
      <c r="G47" s="51">
        <v>1</v>
      </c>
      <c r="H47" s="51">
        <v>0.01</v>
      </c>
      <c r="I47" s="47" t="s">
        <v>2818</v>
      </c>
      <c r="J47" s="47" t="s">
        <v>3031</v>
      </c>
      <c r="K47" s="47" t="s">
        <v>240</v>
      </c>
      <c r="L47" s="6" t="s">
        <v>241</v>
      </c>
    </row>
    <row r="48" spans="1:14" ht="30" x14ac:dyDescent="0.25">
      <c r="A48" s="1" t="s">
        <v>9</v>
      </c>
      <c r="B48" s="1" t="s">
        <v>20</v>
      </c>
      <c r="C48" s="1" t="s">
        <v>2772</v>
      </c>
      <c r="D48" s="1" t="s">
        <v>20</v>
      </c>
      <c r="E48" s="1" t="s">
        <v>2773</v>
      </c>
      <c r="F48" s="50">
        <v>0</v>
      </c>
      <c r="G48" s="51">
        <v>1</v>
      </c>
      <c r="H48" s="51">
        <v>0.01</v>
      </c>
      <c r="I48" s="47" t="s">
        <v>33</v>
      </c>
      <c r="J48" s="47" t="s">
        <v>2392</v>
      </c>
      <c r="K48" s="47" t="s">
        <v>215</v>
      </c>
      <c r="L48" s="6" t="s">
        <v>216</v>
      </c>
      <c r="M48" s="216" t="s">
        <v>2393</v>
      </c>
    </row>
    <row r="49" spans="1:14" ht="60" x14ac:dyDescent="0.25">
      <c r="A49" s="1" t="s">
        <v>9</v>
      </c>
      <c r="B49" s="1" t="s">
        <v>24</v>
      </c>
      <c r="C49" s="1" t="s">
        <v>283</v>
      </c>
      <c r="D49" s="1" t="s">
        <v>24</v>
      </c>
      <c r="E49" s="1" t="s">
        <v>2280</v>
      </c>
      <c r="F49" s="50">
        <v>0</v>
      </c>
      <c r="G49" s="51">
        <v>1</v>
      </c>
      <c r="H49" s="51">
        <v>0.01</v>
      </c>
      <c r="I49" s="47" t="s">
        <v>33</v>
      </c>
      <c r="J49" s="47" t="s">
        <v>2304</v>
      </c>
      <c r="K49" s="47" t="s">
        <v>217</v>
      </c>
      <c r="L49" s="6" t="s">
        <v>218</v>
      </c>
      <c r="M49" s="216" t="s">
        <v>152</v>
      </c>
    </row>
    <row r="50" spans="1:14" ht="60" x14ac:dyDescent="0.25">
      <c r="A50" s="1" t="s">
        <v>9</v>
      </c>
      <c r="B50" s="1" t="s">
        <v>22</v>
      </c>
      <c r="C50" s="1" t="s">
        <v>58</v>
      </c>
      <c r="D50" s="1" t="s">
        <v>22</v>
      </c>
      <c r="E50" s="1" t="s">
        <v>2279</v>
      </c>
      <c r="F50" s="50">
        <v>0</v>
      </c>
      <c r="G50" s="51">
        <v>1</v>
      </c>
      <c r="H50" s="51">
        <v>0.01</v>
      </c>
      <c r="I50" s="47" t="s">
        <v>33</v>
      </c>
      <c r="J50" s="47" t="s">
        <v>2305</v>
      </c>
      <c r="K50" s="47" t="s">
        <v>219</v>
      </c>
      <c r="L50" s="6" t="s">
        <v>220</v>
      </c>
      <c r="M50" s="216" t="s">
        <v>152</v>
      </c>
    </row>
    <row r="51" spans="1:14" ht="60" x14ac:dyDescent="0.25">
      <c r="A51" s="1" t="s">
        <v>9</v>
      </c>
      <c r="B51" s="1" t="s">
        <v>101</v>
      </c>
      <c r="C51" s="1" t="s">
        <v>284</v>
      </c>
      <c r="D51" s="1" t="s">
        <v>101</v>
      </c>
      <c r="E51" s="1" t="s">
        <v>2278</v>
      </c>
      <c r="F51" s="51">
        <v>0</v>
      </c>
      <c r="G51" s="51">
        <v>0.25</v>
      </c>
      <c r="H51" s="51">
        <v>0.01</v>
      </c>
      <c r="I51" s="47" t="s">
        <v>30</v>
      </c>
      <c r="J51" s="47" t="s">
        <v>3035</v>
      </c>
      <c r="K51" s="47" t="s">
        <v>221</v>
      </c>
      <c r="L51" s="6" t="s">
        <v>222</v>
      </c>
      <c r="M51" s="217" t="s">
        <v>2257</v>
      </c>
      <c r="N51" s="6" t="s">
        <v>2257</v>
      </c>
    </row>
    <row r="52" spans="1:14" ht="60" x14ac:dyDescent="0.25">
      <c r="A52" s="1" t="s">
        <v>9</v>
      </c>
      <c r="B52" s="1" t="s">
        <v>23</v>
      </c>
      <c r="C52" s="1" t="s">
        <v>285</v>
      </c>
      <c r="D52" s="1" t="s">
        <v>23</v>
      </c>
      <c r="E52" s="1" t="s">
        <v>2277</v>
      </c>
      <c r="F52" s="50">
        <v>0</v>
      </c>
      <c r="G52" s="51">
        <v>1</v>
      </c>
      <c r="H52" s="51">
        <v>0.01</v>
      </c>
      <c r="I52" s="47" t="s">
        <v>33</v>
      </c>
      <c r="J52" s="47" t="s">
        <v>2306</v>
      </c>
      <c r="K52" s="47" t="s">
        <v>223</v>
      </c>
      <c r="L52" s="6" t="s">
        <v>224</v>
      </c>
      <c r="M52" s="216" t="s">
        <v>152</v>
      </c>
    </row>
    <row r="53" spans="1:14" ht="75" x14ac:dyDescent="0.25">
      <c r="A53" s="1" t="s">
        <v>9</v>
      </c>
      <c r="B53" s="1" t="s">
        <v>3570</v>
      </c>
      <c r="C53" s="1" t="s">
        <v>3572</v>
      </c>
      <c r="D53" s="1" t="s">
        <v>3570</v>
      </c>
      <c r="E53" s="1" t="s">
        <v>3574</v>
      </c>
      <c r="F53" s="50">
        <v>0</v>
      </c>
      <c r="G53" s="50">
        <v>1</v>
      </c>
      <c r="H53" s="51">
        <v>0.01</v>
      </c>
      <c r="I53" s="47" t="s">
        <v>2413</v>
      </c>
      <c r="J53" s="47" t="s">
        <v>3577</v>
      </c>
      <c r="K53" s="47" t="s">
        <v>225</v>
      </c>
      <c r="L53" s="6" t="s">
        <v>2705</v>
      </c>
      <c r="M53" s="216"/>
    </row>
    <row r="54" spans="1:14" ht="45" x14ac:dyDescent="0.25">
      <c r="A54" s="2" t="s">
        <v>9</v>
      </c>
      <c r="B54" s="2" t="s">
        <v>2777</v>
      </c>
      <c r="C54" s="1" t="s">
        <v>2780</v>
      </c>
      <c r="D54" s="2" t="s">
        <v>2784</v>
      </c>
      <c r="E54" s="2" t="s">
        <v>2785</v>
      </c>
      <c r="F54" s="52">
        <v>0</v>
      </c>
      <c r="G54" s="53">
        <v>1</v>
      </c>
      <c r="H54" s="53">
        <v>0.01</v>
      </c>
      <c r="I54" s="6" t="s">
        <v>33</v>
      </c>
      <c r="J54" s="6" t="s">
        <v>3280</v>
      </c>
      <c r="K54" s="6" t="s">
        <v>2259</v>
      </c>
      <c r="L54" s="6" t="s">
        <v>2260</v>
      </c>
      <c r="M54" s="217" t="s">
        <v>152</v>
      </c>
    </row>
    <row r="55" spans="1:14" ht="45" x14ac:dyDescent="0.25">
      <c r="A55" s="2" t="s">
        <v>9</v>
      </c>
      <c r="B55" s="2" t="s">
        <v>2778</v>
      </c>
      <c r="C55" s="1" t="s">
        <v>2781</v>
      </c>
      <c r="D55" s="2" t="s">
        <v>2784</v>
      </c>
      <c r="E55" s="2" t="s">
        <v>2786</v>
      </c>
      <c r="F55" s="52">
        <v>0</v>
      </c>
      <c r="G55" s="53">
        <v>1</v>
      </c>
      <c r="H55" s="53">
        <v>0.01</v>
      </c>
      <c r="I55" s="6" t="s">
        <v>33</v>
      </c>
      <c r="J55" s="6" t="s">
        <v>3282</v>
      </c>
      <c r="K55" s="6" t="s">
        <v>2259</v>
      </c>
      <c r="L55" s="6" t="s">
        <v>2260</v>
      </c>
      <c r="M55" s="217"/>
    </row>
    <row r="56" spans="1:14" ht="45" x14ac:dyDescent="0.25">
      <c r="A56" s="2" t="s">
        <v>9</v>
      </c>
      <c r="B56" s="2" t="s">
        <v>2779</v>
      </c>
      <c r="C56" s="1" t="s">
        <v>2782</v>
      </c>
      <c r="D56" s="2" t="s">
        <v>2784</v>
      </c>
      <c r="E56" s="2" t="s">
        <v>2787</v>
      </c>
      <c r="F56" s="52">
        <v>0</v>
      </c>
      <c r="G56" s="53">
        <v>1</v>
      </c>
      <c r="H56" s="53">
        <v>0.01</v>
      </c>
      <c r="I56" s="6" t="s">
        <v>33</v>
      </c>
      <c r="J56" s="6" t="s">
        <v>3281</v>
      </c>
      <c r="K56" s="6" t="s">
        <v>2259</v>
      </c>
      <c r="L56" s="6" t="s">
        <v>2260</v>
      </c>
      <c r="M56" s="217"/>
    </row>
    <row r="57" spans="1:14" ht="45" x14ac:dyDescent="0.25">
      <c r="A57" s="2" t="s">
        <v>9</v>
      </c>
      <c r="B57" s="2" t="s">
        <v>2789</v>
      </c>
      <c r="C57" s="1" t="s">
        <v>2783</v>
      </c>
      <c r="D57" s="2" t="s">
        <v>2784</v>
      </c>
      <c r="E57" s="2" t="s">
        <v>2788</v>
      </c>
      <c r="F57" s="52">
        <v>0</v>
      </c>
      <c r="G57" s="53">
        <v>1</v>
      </c>
      <c r="H57" s="53">
        <v>0.01</v>
      </c>
      <c r="I57" s="6" t="s">
        <v>33</v>
      </c>
      <c r="J57" s="6" t="s">
        <v>3364</v>
      </c>
      <c r="K57" s="6" t="s">
        <v>2259</v>
      </c>
      <c r="L57" s="6" t="s">
        <v>2260</v>
      </c>
      <c r="M57" s="217"/>
    </row>
    <row r="58" spans="1:14" ht="90" x14ac:dyDescent="0.25">
      <c r="A58" s="1" t="s">
        <v>9</v>
      </c>
      <c r="B58" s="1" t="s">
        <v>3571</v>
      </c>
      <c r="C58" s="1" t="s">
        <v>3573</v>
      </c>
      <c r="D58" s="1" t="s">
        <v>3571</v>
      </c>
      <c r="E58" s="1" t="s">
        <v>3575</v>
      </c>
      <c r="F58" s="50">
        <v>0</v>
      </c>
      <c r="G58" s="50">
        <v>1</v>
      </c>
      <c r="H58" s="51">
        <v>0.01</v>
      </c>
      <c r="I58" s="47" t="s">
        <v>2413</v>
      </c>
      <c r="J58" s="47" t="s">
        <v>3576</v>
      </c>
      <c r="K58" s="47" t="s">
        <v>225</v>
      </c>
      <c r="L58" s="6" t="s">
        <v>2705</v>
      </c>
      <c r="M58" s="216"/>
    </row>
    <row r="59" spans="1:14" ht="195" x14ac:dyDescent="0.25">
      <c r="A59" s="1" t="s">
        <v>9</v>
      </c>
      <c r="B59" s="1" t="s">
        <v>2438</v>
      </c>
      <c r="C59" s="1" t="s">
        <v>2437</v>
      </c>
      <c r="D59" s="1" t="s">
        <v>2438</v>
      </c>
      <c r="E59" s="1" t="s">
        <v>2440</v>
      </c>
      <c r="F59" s="50">
        <v>0</v>
      </c>
      <c r="G59" s="51">
        <v>1</v>
      </c>
      <c r="H59" s="51">
        <v>0.01</v>
      </c>
      <c r="I59" s="47" t="s">
        <v>2441</v>
      </c>
      <c r="J59" s="47" t="s">
        <v>3209</v>
      </c>
      <c r="K59" s="47"/>
      <c r="L59" s="6" t="s">
        <v>2700</v>
      </c>
      <c r="M59" s="216" t="s">
        <v>3216</v>
      </c>
    </row>
    <row r="60" spans="1:14" ht="60" x14ac:dyDescent="0.25">
      <c r="A60" s="1" t="s">
        <v>9</v>
      </c>
      <c r="B60" s="1" t="s">
        <v>21</v>
      </c>
      <c r="C60" s="1" t="s">
        <v>286</v>
      </c>
      <c r="D60" s="44" t="s">
        <v>349</v>
      </c>
      <c r="E60" s="1" t="s">
        <v>2276</v>
      </c>
      <c r="F60" s="50">
        <v>0</v>
      </c>
      <c r="G60" s="51">
        <v>1</v>
      </c>
      <c r="H60" s="51">
        <v>0.01</v>
      </c>
      <c r="I60" s="47" t="s">
        <v>33</v>
      </c>
      <c r="J60" s="47" t="s">
        <v>3210</v>
      </c>
      <c r="K60" s="47" t="s">
        <v>226</v>
      </c>
      <c r="L60" s="6" t="s">
        <v>227</v>
      </c>
      <c r="M60" s="216"/>
    </row>
    <row r="61" spans="1:14" ht="60" x14ac:dyDescent="0.25">
      <c r="A61" s="1" t="s">
        <v>9</v>
      </c>
      <c r="B61" s="1" t="s">
        <v>19</v>
      </c>
      <c r="C61" s="1" t="s">
        <v>287</v>
      </c>
      <c r="D61" s="44" t="s">
        <v>349</v>
      </c>
      <c r="E61" s="1" t="s">
        <v>2275</v>
      </c>
      <c r="F61" s="50">
        <v>0</v>
      </c>
      <c r="G61" s="51">
        <v>1</v>
      </c>
      <c r="H61" s="51">
        <v>0.01</v>
      </c>
      <c r="I61" s="47" t="s">
        <v>33</v>
      </c>
      <c r="J61" s="47" t="s">
        <v>3211</v>
      </c>
      <c r="K61" s="47" t="s">
        <v>228</v>
      </c>
      <c r="L61" s="6" t="s">
        <v>229</v>
      </c>
      <c r="M61" s="216"/>
    </row>
    <row r="62" spans="1:14" ht="30" x14ac:dyDescent="0.25">
      <c r="A62" s="1" t="s">
        <v>9</v>
      </c>
      <c r="B62" s="1" t="s">
        <v>3246</v>
      </c>
      <c r="C62" s="1" t="s">
        <v>3247</v>
      </c>
      <c r="D62" s="1" t="s">
        <v>3246</v>
      </c>
      <c r="E62" s="1" t="s">
        <v>3248</v>
      </c>
      <c r="F62" s="50">
        <v>0</v>
      </c>
      <c r="G62" s="51">
        <v>1</v>
      </c>
      <c r="H62" s="51">
        <v>0.01</v>
      </c>
      <c r="I62" s="47" t="s">
        <v>33</v>
      </c>
      <c r="J62" s="47" t="s">
        <v>3249</v>
      </c>
      <c r="K62" s="47"/>
      <c r="L62" s="6"/>
      <c r="M62" s="216"/>
    </row>
    <row r="63" spans="1:14" ht="75" x14ac:dyDescent="0.25">
      <c r="A63" s="1" t="s">
        <v>9</v>
      </c>
      <c r="B63" s="1" t="s">
        <v>2493</v>
      </c>
      <c r="C63" s="1" t="s">
        <v>2494</v>
      </c>
      <c r="D63" s="1" t="s">
        <v>2494</v>
      </c>
      <c r="E63" s="1" t="s">
        <v>2495</v>
      </c>
      <c r="F63" s="50">
        <v>0</v>
      </c>
      <c r="G63" s="51">
        <v>1</v>
      </c>
      <c r="H63" s="51">
        <v>0.01</v>
      </c>
      <c r="I63" s="47" t="s">
        <v>2496</v>
      </c>
      <c r="J63" s="47" t="s">
        <v>3212</v>
      </c>
      <c r="K63" s="47"/>
      <c r="L63" s="6" t="s">
        <v>2701</v>
      </c>
      <c r="M63" s="216" t="s">
        <v>152</v>
      </c>
    </row>
    <row r="64" spans="1:14" ht="60" x14ac:dyDescent="0.25">
      <c r="A64" s="1" t="s">
        <v>133</v>
      </c>
      <c r="B64" s="1" t="s">
        <v>135</v>
      </c>
      <c r="C64" s="1" t="s">
        <v>431</v>
      </c>
      <c r="D64" s="1" t="s">
        <v>135</v>
      </c>
      <c r="E64" s="1" t="s">
        <v>2274</v>
      </c>
      <c r="F64" s="50">
        <v>0</v>
      </c>
      <c r="G64" s="51">
        <v>1</v>
      </c>
      <c r="H64" s="51">
        <v>0.01</v>
      </c>
      <c r="I64" s="47" t="s">
        <v>33</v>
      </c>
      <c r="J64" s="47" t="s">
        <v>3315</v>
      </c>
      <c r="K64" s="47" t="s">
        <v>230</v>
      </c>
      <c r="L64" s="6" t="s">
        <v>231</v>
      </c>
      <c r="M64" s="216" t="s">
        <v>152</v>
      </c>
      <c r="N64" s="47" t="s">
        <v>185</v>
      </c>
    </row>
    <row r="65" spans="1:14" ht="45" x14ac:dyDescent="0.25">
      <c r="A65" s="1" t="s">
        <v>133</v>
      </c>
      <c r="B65" s="1" t="s">
        <v>259</v>
      </c>
      <c r="C65" s="1" t="s">
        <v>438</v>
      </c>
      <c r="D65" s="1" t="s">
        <v>259</v>
      </c>
      <c r="E65" s="1" t="s">
        <v>2273</v>
      </c>
      <c r="F65" s="50">
        <v>0</v>
      </c>
      <c r="G65" s="51">
        <v>1</v>
      </c>
      <c r="H65" s="51">
        <v>0.01</v>
      </c>
      <c r="I65" s="47" t="s">
        <v>33</v>
      </c>
      <c r="J65" s="47" t="s">
        <v>3316</v>
      </c>
      <c r="K65" s="47" t="s">
        <v>313</v>
      </c>
      <c r="L65" s="6" t="s">
        <v>314</v>
      </c>
      <c r="M65" s="216"/>
      <c r="N65" s="47"/>
    </row>
    <row r="66" spans="1:14" ht="45" x14ac:dyDescent="0.25">
      <c r="A66" s="1" t="s">
        <v>133</v>
      </c>
      <c r="B66" s="1" t="s">
        <v>3442</v>
      </c>
      <c r="C66" s="1" t="s">
        <v>435</v>
      </c>
      <c r="D66" s="1" t="s">
        <v>3442</v>
      </c>
      <c r="E66" s="1" t="s">
        <v>2272</v>
      </c>
      <c r="F66" s="50">
        <v>0</v>
      </c>
      <c r="G66" s="51">
        <v>1</v>
      </c>
      <c r="H66" s="51">
        <v>0.01</v>
      </c>
      <c r="I66" s="47" t="s">
        <v>33</v>
      </c>
      <c r="J66" s="47" t="s">
        <v>3443</v>
      </c>
      <c r="K66" s="47"/>
      <c r="L66" s="6" t="s">
        <v>2706</v>
      </c>
      <c r="M66" s="216" t="s">
        <v>3444</v>
      </c>
      <c r="N66" s="47"/>
    </row>
    <row r="67" spans="1:14" ht="30" x14ac:dyDescent="0.25">
      <c r="A67" s="1" t="s">
        <v>133</v>
      </c>
      <c r="B67" s="1" t="s">
        <v>186</v>
      </c>
      <c r="C67" s="1" t="s">
        <v>432</v>
      </c>
      <c r="D67" s="1" t="s">
        <v>186</v>
      </c>
      <c r="E67" s="1" t="s">
        <v>2271</v>
      </c>
      <c r="F67" s="50">
        <v>0</v>
      </c>
      <c r="G67" s="51">
        <v>1</v>
      </c>
      <c r="H67" s="51">
        <v>0.01</v>
      </c>
      <c r="I67" s="47" t="s">
        <v>33</v>
      </c>
      <c r="J67" s="47" t="s">
        <v>2307</v>
      </c>
      <c r="K67" s="47" t="s">
        <v>232</v>
      </c>
      <c r="L67" s="6" t="s">
        <v>233</v>
      </c>
      <c r="M67" s="216" t="s">
        <v>152</v>
      </c>
      <c r="N67" s="47"/>
    </row>
    <row r="68" spans="1:14" ht="45" x14ac:dyDescent="0.25">
      <c r="A68" s="1" t="s">
        <v>133</v>
      </c>
      <c r="B68" s="1" t="s">
        <v>2774</v>
      </c>
      <c r="C68" s="1" t="s">
        <v>2775</v>
      </c>
      <c r="D68" s="1" t="s">
        <v>2774</v>
      </c>
      <c r="E68" s="1" t="s">
        <v>2776</v>
      </c>
      <c r="F68" s="50">
        <v>0</v>
      </c>
      <c r="G68" s="51">
        <v>1</v>
      </c>
      <c r="H68" s="51">
        <v>0.01</v>
      </c>
      <c r="I68" s="47" t="s">
        <v>33</v>
      </c>
      <c r="J68" s="47" t="s">
        <v>3367</v>
      </c>
      <c r="K68" s="47" t="s">
        <v>234</v>
      </c>
      <c r="L68" s="6" t="s">
        <v>235</v>
      </c>
      <c r="M68" s="216" t="s">
        <v>152</v>
      </c>
      <c r="N68" s="47"/>
    </row>
    <row r="69" spans="1:14" ht="45" x14ac:dyDescent="0.25">
      <c r="A69" s="1" t="s">
        <v>133</v>
      </c>
      <c r="B69" s="1" t="s">
        <v>3445</v>
      </c>
      <c r="C69" s="1" t="s">
        <v>3365</v>
      </c>
      <c r="D69" s="1" t="s">
        <v>3445</v>
      </c>
      <c r="E69" s="1" t="s">
        <v>3366</v>
      </c>
      <c r="F69" s="50">
        <v>0</v>
      </c>
      <c r="G69" s="51">
        <v>1</v>
      </c>
      <c r="H69" s="51">
        <v>0.01</v>
      </c>
      <c r="I69" s="47" t="s">
        <v>33</v>
      </c>
      <c r="J69" s="47" t="s">
        <v>3446</v>
      </c>
      <c r="K69" s="47"/>
      <c r="L69" s="6"/>
      <c r="M69" s="216"/>
      <c r="N69" s="47"/>
    </row>
    <row r="70" spans="1:14" ht="45" x14ac:dyDescent="0.25">
      <c r="A70" s="1" t="s">
        <v>133</v>
      </c>
      <c r="B70" s="1" t="s">
        <v>136</v>
      </c>
      <c r="C70" s="1" t="s">
        <v>433</v>
      </c>
      <c r="D70" s="1" t="s">
        <v>136</v>
      </c>
      <c r="E70" s="1" t="s">
        <v>2270</v>
      </c>
      <c r="F70" s="50">
        <v>0</v>
      </c>
      <c r="G70" s="51">
        <v>1</v>
      </c>
      <c r="H70" s="51">
        <v>0.01</v>
      </c>
      <c r="I70" s="47" t="s">
        <v>33</v>
      </c>
      <c r="J70" s="47" t="s">
        <v>3317</v>
      </c>
      <c r="K70" s="47" t="s">
        <v>236</v>
      </c>
      <c r="L70" s="6" t="s">
        <v>237</v>
      </c>
      <c r="M70" s="216" t="s">
        <v>152</v>
      </c>
      <c r="N70" s="47"/>
    </row>
    <row r="71" spans="1:14" ht="30" x14ac:dyDescent="0.25">
      <c r="A71" s="1" t="s">
        <v>133</v>
      </c>
      <c r="B71" s="1" t="s">
        <v>134</v>
      </c>
      <c r="C71" s="1" t="s">
        <v>2808</v>
      </c>
      <c r="D71" s="1" t="s">
        <v>134</v>
      </c>
      <c r="E71" s="1" t="s">
        <v>2269</v>
      </c>
      <c r="F71" s="50">
        <v>0</v>
      </c>
      <c r="G71" s="51">
        <v>1</v>
      </c>
      <c r="H71" s="51">
        <v>0.01</v>
      </c>
      <c r="I71" s="47" t="s">
        <v>33</v>
      </c>
      <c r="J71" s="47" t="s">
        <v>2795</v>
      </c>
      <c r="K71" s="47" t="s">
        <v>238</v>
      </c>
      <c r="L71" s="6" t="s">
        <v>239</v>
      </c>
      <c r="M71" s="216" t="s">
        <v>152</v>
      </c>
      <c r="N71" s="47"/>
    </row>
    <row r="72" spans="1:14" ht="45" x14ac:dyDescent="0.25">
      <c r="A72" s="1" t="s">
        <v>133</v>
      </c>
      <c r="B72" s="1" t="s">
        <v>3439</v>
      </c>
      <c r="C72" s="1" t="s">
        <v>434</v>
      </c>
      <c r="D72" s="1" t="s">
        <v>3439</v>
      </c>
      <c r="E72" s="1" t="s">
        <v>2268</v>
      </c>
      <c r="F72" s="50">
        <v>0</v>
      </c>
      <c r="G72" s="51">
        <v>1</v>
      </c>
      <c r="H72" s="51">
        <v>0.01</v>
      </c>
      <c r="I72" s="47" t="s">
        <v>33</v>
      </c>
      <c r="J72" s="47" t="s">
        <v>3440</v>
      </c>
      <c r="K72" s="47"/>
      <c r="L72" s="6" t="s">
        <v>2707</v>
      </c>
      <c r="M72" s="216" t="s">
        <v>3441</v>
      </c>
      <c r="N72" s="47"/>
    </row>
    <row r="73" spans="1:14" ht="105" x14ac:dyDescent="0.25">
      <c r="A73" s="1" t="s">
        <v>133</v>
      </c>
      <c r="B73" s="1" t="s">
        <v>2442</v>
      </c>
      <c r="C73" s="1" t="s">
        <v>2443</v>
      </c>
      <c r="D73" s="1" t="s">
        <v>2442</v>
      </c>
      <c r="E73" s="1" t="s">
        <v>2444</v>
      </c>
      <c r="F73" s="50">
        <v>0</v>
      </c>
      <c r="G73" s="51">
        <v>1</v>
      </c>
      <c r="H73" s="51">
        <v>0.01</v>
      </c>
      <c r="I73" s="47" t="s">
        <v>2445</v>
      </c>
      <c r="J73" s="47" t="s">
        <v>3250</v>
      </c>
      <c r="K73" s="47"/>
      <c r="L73" s="6" t="s">
        <v>2702</v>
      </c>
      <c r="M73" s="215" t="s">
        <v>2446</v>
      </c>
      <c r="N73" s="47"/>
    </row>
    <row r="74" spans="1:14" ht="60" x14ac:dyDescent="0.25">
      <c r="A74" s="2" t="s">
        <v>2479</v>
      </c>
      <c r="B74" s="2" t="s">
        <v>2483</v>
      </c>
      <c r="C74" s="1" t="s">
        <v>288</v>
      </c>
      <c r="D74" s="2" t="s">
        <v>2482</v>
      </c>
      <c r="E74" s="1" t="s">
        <v>2267</v>
      </c>
      <c r="F74" s="53">
        <v>0</v>
      </c>
      <c r="G74" s="53">
        <v>1</v>
      </c>
      <c r="H74" s="53">
        <v>0.01</v>
      </c>
      <c r="I74" s="6" t="s">
        <v>57</v>
      </c>
      <c r="J74" s="6" t="s">
        <v>2308</v>
      </c>
      <c r="K74" s="6" t="s">
        <v>244</v>
      </c>
      <c r="L74" s="6" t="s">
        <v>245</v>
      </c>
      <c r="M74" s="216" t="s">
        <v>152</v>
      </c>
      <c r="N74" s="6"/>
    </row>
    <row r="75" spans="1:14" ht="60" x14ac:dyDescent="0.25">
      <c r="A75" s="2" t="s">
        <v>2479</v>
      </c>
      <c r="B75" s="2" t="s">
        <v>2743</v>
      </c>
      <c r="C75" s="1" t="s">
        <v>2742</v>
      </c>
      <c r="D75" s="2" t="s">
        <v>350</v>
      </c>
      <c r="E75" s="1" t="s">
        <v>2740</v>
      </c>
      <c r="F75" s="53">
        <v>0</v>
      </c>
      <c r="G75" s="53">
        <v>1</v>
      </c>
      <c r="H75" s="53">
        <v>0.01</v>
      </c>
      <c r="I75" s="47" t="s">
        <v>2741</v>
      </c>
      <c r="J75" s="6" t="s">
        <v>2949</v>
      </c>
      <c r="K75" s="6" t="s">
        <v>343</v>
      </c>
      <c r="L75" s="6" t="s">
        <v>2703</v>
      </c>
      <c r="M75" s="216" t="s">
        <v>152</v>
      </c>
      <c r="N75" s="6"/>
    </row>
    <row r="76" spans="1:14" ht="45" x14ac:dyDescent="0.25">
      <c r="A76" s="2" t="s">
        <v>2479</v>
      </c>
      <c r="B76" s="2" t="s">
        <v>2480</v>
      </c>
      <c r="C76" s="1" t="s">
        <v>2481</v>
      </c>
      <c r="D76" s="2" t="s">
        <v>2484</v>
      </c>
      <c r="E76" s="1" t="s">
        <v>2485</v>
      </c>
      <c r="F76" s="53">
        <v>0</v>
      </c>
      <c r="G76" s="53">
        <v>1</v>
      </c>
      <c r="H76" s="53">
        <v>0.01</v>
      </c>
      <c r="I76" s="47" t="s">
        <v>2486</v>
      </c>
      <c r="J76" s="6" t="s">
        <v>2487</v>
      </c>
      <c r="K76" s="6"/>
      <c r="L76" s="6" t="s">
        <v>2704</v>
      </c>
      <c r="M76" s="216"/>
      <c r="N76" s="6"/>
    </row>
    <row r="77" spans="1:14" ht="90" x14ac:dyDescent="0.25">
      <c r="A77" s="1" t="s">
        <v>10</v>
      </c>
      <c r="B77" s="1" t="s">
        <v>3132</v>
      </c>
      <c r="C77" s="1" t="s">
        <v>2414</v>
      </c>
      <c r="D77" s="1" t="s">
        <v>3132</v>
      </c>
      <c r="E77" s="1" t="s">
        <v>2266</v>
      </c>
      <c r="F77" s="1">
        <v>0</v>
      </c>
      <c r="G77" s="1">
        <v>300</v>
      </c>
      <c r="H77" s="1">
        <v>5</v>
      </c>
      <c r="I77" s="171" t="str">
        <f>UnitControlCenter!$B$49</f>
        <v>$/metric ton CO2e</v>
      </c>
      <c r="J77" s="47" t="s">
        <v>3392</v>
      </c>
      <c r="K77" s="47" t="s">
        <v>242</v>
      </c>
      <c r="L77" s="6" t="s">
        <v>243</v>
      </c>
      <c r="M77" s="217" t="s">
        <v>2390</v>
      </c>
      <c r="N77" s="6" t="s">
        <v>398</v>
      </c>
    </row>
    <row r="78" spans="1:14" ht="45" x14ac:dyDescent="0.25">
      <c r="A78" s="1" t="s">
        <v>10</v>
      </c>
      <c r="B78" s="1" t="s">
        <v>25</v>
      </c>
      <c r="C78" s="1" t="s">
        <v>140</v>
      </c>
      <c r="D78" s="1" t="s">
        <v>25</v>
      </c>
      <c r="E78" s="1" t="s">
        <v>2265</v>
      </c>
      <c r="F78" s="53">
        <v>0</v>
      </c>
      <c r="G78" s="53">
        <v>1</v>
      </c>
      <c r="H78" s="53">
        <v>0.01</v>
      </c>
      <c r="I78" s="47" t="s">
        <v>142</v>
      </c>
      <c r="J78" s="47" t="s">
        <v>3213</v>
      </c>
      <c r="K78" s="6" t="s">
        <v>246</v>
      </c>
      <c r="L78" s="6" t="s">
        <v>247</v>
      </c>
      <c r="M78" s="216" t="s">
        <v>152</v>
      </c>
    </row>
    <row r="79" spans="1:14" ht="45" x14ac:dyDescent="0.25">
      <c r="A79" s="2" t="s">
        <v>10</v>
      </c>
      <c r="B79" s="2" t="s">
        <v>2447</v>
      </c>
      <c r="C79" s="1" t="s">
        <v>2448</v>
      </c>
      <c r="D79" s="171"/>
      <c r="E79" s="2" t="s">
        <v>2449</v>
      </c>
      <c r="F79" s="1">
        <v>0</v>
      </c>
      <c r="G79" s="1">
        <v>1</v>
      </c>
      <c r="H79" s="1">
        <v>1</v>
      </c>
      <c r="I79" s="47" t="s">
        <v>29</v>
      </c>
      <c r="J79" s="47" t="s">
        <v>3348</v>
      </c>
      <c r="K79" s="47" t="s">
        <v>242</v>
      </c>
      <c r="L79" s="6" t="s">
        <v>243</v>
      </c>
    </row>
    <row r="80" spans="1:14" ht="60" x14ac:dyDescent="0.25">
      <c r="A80" s="2" t="s">
        <v>10</v>
      </c>
      <c r="B80" s="2" t="s">
        <v>2982</v>
      </c>
      <c r="C80" s="1" t="s">
        <v>3394</v>
      </c>
      <c r="D80" s="171"/>
      <c r="E80" s="2" t="s">
        <v>3396</v>
      </c>
      <c r="F80" s="1">
        <v>0</v>
      </c>
      <c r="G80" s="1">
        <v>1</v>
      </c>
      <c r="H80" s="1">
        <v>1</v>
      </c>
      <c r="I80" s="47" t="s">
        <v>29</v>
      </c>
      <c r="J80" s="47" t="s">
        <v>3393</v>
      </c>
      <c r="K80" s="47" t="s">
        <v>242</v>
      </c>
      <c r="L80" s="6" t="s">
        <v>243</v>
      </c>
    </row>
    <row r="81" spans="1:13" ht="45" x14ac:dyDescent="0.25">
      <c r="A81" s="2" t="s">
        <v>10</v>
      </c>
      <c r="B81" s="1" t="s">
        <v>3347</v>
      </c>
      <c r="C81" s="1" t="s">
        <v>3395</v>
      </c>
      <c r="D81" s="171"/>
      <c r="E81" s="171"/>
      <c r="F81" s="1">
        <v>0</v>
      </c>
      <c r="G81" s="1">
        <v>1</v>
      </c>
      <c r="H81" s="1">
        <v>1</v>
      </c>
      <c r="I81" s="47" t="s">
        <v>29</v>
      </c>
      <c r="J81" s="1" t="s">
        <v>3449</v>
      </c>
      <c r="K81" s="47" t="s">
        <v>242</v>
      </c>
      <c r="L81" s="6" t="s">
        <v>243</v>
      </c>
    </row>
    <row r="82" spans="1:13" ht="45" x14ac:dyDescent="0.25">
      <c r="A82" s="2" t="s">
        <v>10</v>
      </c>
      <c r="B82" s="2" t="s">
        <v>2717</v>
      </c>
      <c r="C82" s="1" t="s">
        <v>2716</v>
      </c>
      <c r="D82" s="2" t="s">
        <v>2717</v>
      </c>
      <c r="E82" s="1" t="s">
        <v>2718</v>
      </c>
      <c r="F82" s="1">
        <v>0</v>
      </c>
      <c r="G82" s="1">
        <v>1</v>
      </c>
      <c r="H82" s="1">
        <v>1</v>
      </c>
      <c r="I82" s="47" t="s">
        <v>29</v>
      </c>
      <c r="J82" s="6"/>
    </row>
    <row r="83" spans="1:13" ht="30" x14ac:dyDescent="0.25">
      <c r="A83" s="2" t="s">
        <v>10</v>
      </c>
      <c r="B83" s="2" t="s">
        <v>2760</v>
      </c>
      <c r="C83" s="1" t="s">
        <v>2760</v>
      </c>
      <c r="D83" s="2" t="s">
        <v>2760</v>
      </c>
      <c r="E83" s="2" t="s">
        <v>2761</v>
      </c>
      <c r="F83" s="53">
        <v>0</v>
      </c>
      <c r="G83" s="53">
        <v>1</v>
      </c>
      <c r="H83" s="53">
        <v>0.01</v>
      </c>
      <c r="I83" s="47" t="s">
        <v>2762</v>
      </c>
      <c r="J83" s="47" t="s">
        <v>3214</v>
      </c>
      <c r="K83" s="6" t="s">
        <v>2915</v>
      </c>
    </row>
    <row r="84" spans="1:13" ht="45" x14ac:dyDescent="0.25">
      <c r="A84" s="1" t="s">
        <v>10</v>
      </c>
      <c r="B84" s="1" t="s">
        <v>3291</v>
      </c>
      <c r="C84" s="1" t="s">
        <v>3290</v>
      </c>
      <c r="D84" s="1" t="s">
        <v>3291</v>
      </c>
      <c r="E84" s="1" t="s">
        <v>2264</v>
      </c>
      <c r="F84" s="50">
        <v>-0.5</v>
      </c>
      <c r="G84" s="50">
        <v>0.5</v>
      </c>
      <c r="H84" s="53">
        <v>0.01</v>
      </c>
      <c r="I84" s="47" t="s">
        <v>143</v>
      </c>
      <c r="J84" s="47" t="s">
        <v>3292</v>
      </c>
      <c r="K84" s="6" t="s">
        <v>248</v>
      </c>
      <c r="L84" s="6" t="s">
        <v>249</v>
      </c>
      <c r="M84" s="217" t="s">
        <v>153</v>
      </c>
    </row>
    <row r="85" spans="1:13" ht="90" x14ac:dyDescent="0.25">
      <c r="A85" s="1" t="s">
        <v>2662</v>
      </c>
      <c r="B85" s="171" t="s">
        <v>315</v>
      </c>
      <c r="C85" s="1" t="s">
        <v>289</v>
      </c>
      <c r="D85" s="1" t="s">
        <v>351</v>
      </c>
      <c r="E85" s="1" t="s">
        <v>2263</v>
      </c>
      <c r="F85" s="51">
        <v>0</v>
      </c>
      <c r="G85" s="51">
        <v>0.4</v>
      </c>
      <c r="H85" s="50">
        <v>0.01</v>
      </c>
      <c r="I85" s="47" t="s">
        <v>31</v>
      </c>
      <c r="J85" s="47" t="s">
        <v>3215</v>
      </c>
      <c r="K85" s="47" t="s">
        <v>250</v>
      </c>
      <c r="L85" s="6" t="s">
        <v>251</v>
      </c>
      <c r="M85" s="216"/>
    </row>
    <row r="86" spans="1:13" ht="90" x14ac:dyDescent="0.25">
      <c r="A86" s="4" t="str">
        <f>A$85</f>
        <v>Research and Development</v>
      </c>
      <c r="B86" s="4" t="str">
        <f t="shared" ref="B86:B89" si="0">B$85</f>
        <v>Capital Cost Reduction</v>
      </c>
      <c r="C86" s="1" t="s">
        <v>290</v>
      </c>
      <c r="D86" s="4" t="str">
        <f t="shared" ref="D86:L89" si="1">D$85</f>
        <v>R&amp;D Capital Cost Reductions</v>
      </c>
      <c r="E86" s="1" t="s">
        <v>3230</v>
      </c>
      <c r="F86" s="176">
        <f t="shared" si="1"/>
        <v>0</v>
      </c>
      <c r="G86" s="176">
        <f t="shared" si="1"/>
        <v>0.4</v>
      </c>
      <c r="H86" s="176">
        <f t="shared" si="1"/>
        <v>0.01</v>
      </c>
      <c r="I86" s="4" t="str">
        <f t="shared" si="1"/>
        <v>% reduction in cost</v>
      </c>
      <c r="J86"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6" s="4" t="str">
        <f t="shared" si="1"/>
        <v>architectural-design.html#rnd</v>
      </c>
      <c r="L86" s="4" t="str">
        <f t="shared" si="1"/>
        <v>research-and-development.html</v>
      </c>
      <c r="M86" s="216"/>
    </row>
    <row r="87" spans="1:13" ht="90" x14ac:dyDescent="0.25">
      <c r="A87" s="4" t="str">
        <f t="shared" ref="A87:A89" si="2">A$85</f>
        <v>Research and Development</v>
      </c>
      <c r="B87" s="4" t="str">
        <f t="shared" si="0"/>
        <v>Capital Cost Reduction</v>
      </c>
      <c r="C87" s="1" t="s">
        <v>291</v>
      </c>
      <c r="D87" s="4" t="str">
        <f t="shared" si="1"/>
        <v>R&amp;D Capital Cost Reductions</v>
      </c>
      <c r="E87" s="1" t="s">
        <v>3231</v>
      </c>
      <c r="F87" s="176">
        <f t="shared" si="1"/>
        <v>0</v>
      </c>
      <c r="G87" s="176">
        <f t="shared" si="1"/>
        <v>0.4</v>
      </c>
      <c r="H87" s="176">
        <f t="shared" si="1"/>
        <v>0.01</v>
      </c>
      <c r="I87" s="4" t="str">
        <f t="shared" si="1"/>
        <v>% reduction in cost</v>
      </c>
      <c r="J87"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7" s="4" t="str">
        <f t="shared" si="1"/>
        <v>architectural-design.html#rnd</v>
      </c>
      <c r="L87" s="4" t="str">
        <f t="shared" si="1"/>
        <v>research-and-development.html</v>
      </c>
      <c r="M87" s="216"/>
    </row>
    <row r="88" spans="1:13" ht="90" x14ac:dyDescent="0.25">
      <c r="A88" s="4" t="str">
        <f t="shared" si="2"/>
        <v>Research and Development</v>
      </c>
      <c r="B88" s="4" t="str">
        <f t="shared" si="0"/>
        <v>Capital Cost Reduction</v>
      </c>
      <c r="C88" s="1" t="s">
        <v>292</v>
      </c>
      <c r="D88" s="4" t="str">
        <f t="shared" si="1"/>
        <v>R&amp;D Capital Cost Reductions</v>
      </c>
      <c r="E88" s="1" t="s">
        <v>3232</v>
      </c>
      <c r="F88" s="176">
        <f t="shared" si="1"/>
        <v>0</v>
      </c>
      <c r="G88" s="176">
        <f t="shared" si="1"/>
        <v>0.4</v>
      </c>
      <c r="H88" s="176">
        <f t="shared" si="1"/>
        <v>0.01</v>
      </c>
      <c r="I88" s="4" t="str">
        <f t="shared" si="1"/>
        <v>% reduction in cost</v>
      </c>
      <c r="J88"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8" s="4" t="str">
        <f t="shared" si="1"/>
        <v>architectural-design.html#rnd</v>
      </c>
      <c r="L88" s="4" t="str">
        <f t="shared" si="1"/>
        <v>research-and-development.html</v>
      </c>
      <c r="M88" s="216"/>
    </row>
    <row r="89" spans="1:13" ht="90" x14ac:dyDescent="0.25">
      <c r="A89" s="4" t="str">
        <f t="shared" si="2"/>
        <v>Research and Development</v>
      </c>
      <c r="B89" s="4" t="str">
        <f t="shared" si="0"/>
        <v>Capital Cost Reduction</v>
      </c>
      <c r="C89" s="2" t="s">
        <v>293</v>
      </c>
      <c r="D89" s="4" t="str">
        <f t="shared" si="1"/>
        <v>R&amp;D Capital Cost Reductions</v>
      </c>
      <c r="E89" s="1" t="s">
        <v>3233</v>
      </c>
      <c r="F89" s="176">
        <f t="shared" si="1"/>
        <v>0</v>
      </c>
      <c r="G89" s="176">
        <f t="shared" si="1"/>
        <v>0.4</v>
      </c>
      <c r="H89" s="176">
        <f t="shared" si="1"/>
        <v>0.01</v>
      </c>
      <c r="I89" s="4" t="str">
        <f t="shared" si="1"/>
        <v>% reduction in cost</v>
      </c>
      <c r="J89"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9" s="4" t="str">
        <f t="shared" si="1"/>
        <v>architectural-design.html#rnd</v>
      </c>
      <c r="L89" s="4" t="str">
        <f t="shared" si="1"/>
        <v>research-and-development.html</v>
      </c>
      <c r="M89" s="216"/>
    </row>
    <row r="90" spans="1:13" ht="105" x14ac:dyDescent="0.25">
      <c r="A90" s="2" t="s">
        <v>2662</v>
      </c>
      <c r="B90" s="2" t="s">
        <v>2806</v>
      </c>
      <c r="C90" s="1" t="s">
        <v>2807</v>
      </c>
      <c r="D90" s="2" t="s">
        <v>2806</v>
      </c>
      <c r="E90" s="52" t="s">
        <v>2809</v>
      </c>
      <c r="F90" s="51">
        <v>0</v>
      </c>
      <c r="G90" s="51">
        <v>1</v>
      </c>
      <c r="H90" s="50">
        <v>0.01</v>
      </c>
      <c r="I90" s="47" t="s">
        <v>33</v>
      </c>
      <c r="J90" s="47" t="s">
        <v>3417</v>
      </c>
      <c r="K90" s="6" t="s">
        <v>2812</v>
      </c>
      <c r="L90" s="6" t="s">
        <v>2811</v>
      </c>
      <c r="M90" s="217" t="s">
        <v>2810</v>
      </c>
    </row>
    <row r="91" spans="1:13" ht="90" x14ac:dyDescent="0.25">
      <c r="A91" s="1" t="s">
        <v>2662</v>
      </c>
      <c r="B91" s="171" t="s">
        <v>328</v>
      </c>
      <c r="C91" s="1" t="s">
        <v>294</v>
      </c>
      <c r="D91" s="1" t="s">
        <v>352</v>
      </c>
      <c r="E91" s="1" t="s">
        <v>2262</v>
      </c>
      <c r="F91" s="51">
        <v>0</v>
      </c>
      <c r="G91" s="51">
        <v>0.4</v>
      </c>
      <c r="H91" s="50">
        <v>0.01</v>
      </c>
      <c r="I91" s="47" t="s">
        <v>32</v>
      </c>
      <c r="J91" s="47" t="s">
        <v>3221</v>
      </c>
      <c r="K91" s="47" t="s">
        <v>250</v>
      </c>
      <c r="L91" s="6" t="s">
        <v>251</v>
      </c>
    </row>
    <row r="92" spans="1:13" ht="90" x14ac:dyDescent="0.25">
      <c r="A92" s="4" t="str">
        <f>A$91</f>
        <v>Research and Development</v>
      </c>
      <c r="B92" s="4" t="str">
        <f>B$91</f>
        <v>Fuel Use Reduction</v>
      </c>
      <c r="C92" s="1" t="s">
        <v>295</v>
      </c>
      <c r="D92" s="4" t="str">
        <f t="shared" ref="D92:L95" si="3">D$91</f>
        <v>R&amp;D Fuel Use Reductions</v>
      </c>
      <c r="E92" s="1" t="s">
        <v>3234</v>
      </c>
      <c r="F92" s="175">
        <f t="shared" si="3"/>
        <v>0</v>
      </c>
      <c r="G92" s="175">
        <f t="shared" si="3"/>
        <v>0.4</v>
      </c>
      <c r="H92" s="175">
        <f t="shared" si="3"/>
        <v>0.01</v>
      </c>
      <c r="I92" s="4" t="str">
        <f t="shared" si="3"/>
        <v>% reduction in fuel use</v>
      </c>
      <c r="J92"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2" s="4" t="str">
        <f t="shared" si="3"/>
        <v>architectural-design.html#rnd</v>
      </c>
      <c r="L92" s="4" t="str">
        <f t="shared" si="3"/>
        <v>research-and-development.html</v>
      </c>
    </row>
    <row r="93" spans="1:13" ht="90" x14ac:dyDescent="0.25">
      <c r="A93" s="4" t="str">
        <f t="shared" ref="A93:B95" si="4">A$91</f>
        <v>Research and Development</v>
      </c>
      <c r="B93" s="4" t="str">
        <f t="shared" si="4"/>
        <v>Fuel Use Reduction</v>
      </c>
      <c r="C93" s="1" t="s">
        <v>296</v>
      </c>
      <c r="D93" s="4" t="str">
        <f t="shared" si="3"/>
        <v>R&amp;D Fuel Use Reductions</v>
      </c>
      <c r="E93" s="1" t="s">
        <v>3235</v>
      </c>
      <c r="F93" s="175">
        <f t="shared" si="3"/>
        <v>0</v>
      </c>
      <c r="G93" s="175">
        <f t="shared" si="3"/>
        <v>0.4</v>
      </c>
      <c r="H93" s="175">
        <f t="shared" si="3"/>
        <v>0.01</v>
      </c>
      <c r="I93" s="4" t="str">
        <f t="shared" si="3"/>
        <v>% reduction in fuel use</v>
      </c>
      <c r="J93"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4" t="str">
        <f t="shared" si="3"/>
        <v>architectural-design.html#rnd</v>
      </c>
      <c r="L93" s="4" t="str">
        <f t="shared" si="3"/>
        <v>research-and-development.html</v>
      </c>
    </row>
    <row r="94" spans="1:13" ht="90" x14ac:dyDescent="0.25">
      <c r="A94" s="4" t="str">
        <f t="shared" si="4"/>
        <v>Research and Development</v>
      </c>
      <c r="B94" s="4" t="str">
        <f t="shared" si="4"/>
        <v>Fuel Use Reduction</v>
      </c>
      <c r="C94" s="1" t="s">
        <v>297</v>
      </c>
      <c r="D94" s="4" t="str">
        <f t="shared" si="3"/>
        <v>R&amp;D Fuel Use Reductions</v>
      </c>
      <c r="E94" s="1" t="s">
        <v>3236</v>
      </c>
      <c r="F94" s="175">
        <f t="shared" si="3"/>
        <v>0</v>
      </c>
      <c r="G94" s="175">
        <f t="shared" si="3"/>
        <v>0.4</v>
      </c>
      <c r="H94" s="175">
        <f t="shared" si="3"/>
        <v>0.01</v>
      </c>
      <c r="I94" s="4" t="str">
        <f t="shared" si="3"/>
        <v>% reduction in fuel use</v>
      </c>
      <c r="J94"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4" t="str">
        <f t="shared" si="3"/>
        <v>architectural-design.html#rnd</v>
      </c>
      <c r="L94" s="4" t="str">
        <f t="shared" si="3"/>
        <v>research-and-development.html</v>
      </c>
    </row>
    <row r="95" spans="1:13" ht="90" x14ac:dyDescent="0.25">
      <c r="A95" s="4" t="str">
        <f t="shared" si="4"/>
        <v>Research and Development</v>
      </c>
      <c r="B95" s="4" t="str">
        <f t="shared" si="4"/>
        <v>Fuel Use Reduction</v>
      </c>
      <c r="C95" s="1" t="s">
        <v>298</v>
      </c>
      <c r="D95" s="4" t="str">
        <f t="shared" si="3"/>
        <v>R&amp;D Fuel Use Reductions</v>
      </c>
      <c r="E95" s="1" t="s">
        <v>3237</v>
      </c>
      <c r="F95" s="175">
        <f t="shared" si="3"/>
        <v>0</v>
      </c>
      <c r="G95" s="175">
        <f t="shared" si="3"/>
        <v>0.4</v>
      </c>
      <c r="H95" s="175">
        <f t="shared" si="3"/>
        <v>0.01</v>
      </c>
      <c r="I95" s="4" t="str">
        <f t="shared" si="3"/>
        <v>% reduction in fuel use</v>
      </c>
      <c r="J95"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4" t="str">
        <f t="shared" si="3"/>
        <v>architectural-design.html#rnd</v>
      </c>
      <c r="L95" s="4" t="str">
        <f t="shared" si="3"/>
        <v>research-and-development.html</v>
      </c>
    </row>
    <row r="96" spans="1:13" ht="150" x14ac:dyDescent="0.25">
      <c r="A96" s="1" t="s">
        <v>2951</v>
      </c>
      <c r="B96" s="1" t="s">
        <v>2952</v>
      </c>
      <c r="C96" s="1" t="s">
        <v>2959</v>
      </c>
      <c r="D96" s="171"/>
      <c r="E96" s="1" t="s">
        <v>2985</v>
      </c>
      <c r="F96" s="1">
        <v>0</v>
      </c>
      <c r="G96" s="1">
        <v>10</v>
      </c>
      <c r="H96" s="1">
        <v>1</v>
      </c>
      <c r="I96" s="1" t="s">
        <v>2928</v>
      </c>
      <c r="J96" s="1" t="s">
        <v>3222</v>
      </c>
      <c r="K96" s="1" t="s">
        <v>2929</v>
      </c>
    </row>
    <row r="97" spans="1:13" ht="150" x14ac:dyDescent="0.25">
      <c r="A97" s="1" t="s">
        <v>2951</v>
      </c>
      <c r="B97" s="1" t="s">
        <v>2953</v>
      </c>
      <c r="C97" s="1" t="s">
        <v>2960</v>
      </c>
      <c r="D97" s="171"/>
      <c r="E97" s="1" t="s">
        <v>2986</v>
      </c>
      <c r="F97" s="1">
        <v>0</v>
      </c>
      <c r="G97" s="1">
        <v>10</v>
      </c>
      <c r="H97" s="1">
        <v>1</v>
      </c>
      <c r="I97" s="1" t="s">
        <v>2928</v>
      </c>
      <c r="J97" s="4" t="str">
        <f>J$96</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7" s="4" t="str">
        <f t="shared" ref="K97:K106" si="5">K$96</f>
        <v>io-model.html</v>
      </c>
    </row>
    <row r="98" spans="1:13" ht="150" x14ac:dyDescent="0.25">
      <c r="A98" s="1" t="s">
        <v>2951</v>
      </c>
      <c r="B98" s="1" t="s">
        <v>3470</v>
      </c>
      <c r="C98" s="1" t="s">
        <v>3656</v>
      </c>
      <c r="D98" s="171"/>
      <c r="E98" s="1" t="s">
        <v>2987</v>
      </c>
      <c r="F98" s="1">
        <v>0</v>
      </c>
      <c r="G98" s="1">
        <v>10</v>
      </c>
      <c r="H98" s="1">
        <v>1</v>
      </c>
      <c r="I98" s="1" t="s">
        <v>2928</v>
      </c>
      <c r="J98" s="4" t="str">
        <f t="shared" ref="J98:J106" si="6">J$96</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8" s="4" t="str">
        <f t="shared" si="5"/>
        <v>io-model.html</v>
      </c>
    </row>
    <row r="99" spans="1:13" ht="150" x14ac:dyDescent="0.25">
      <c r="A99" s="1" t="s">
        <v>2951</v>
      </c>
      <c r="B99" s="1" t="s">
        <v>3657</v>
      </c>
      <c r="C99" s="1" t="s">
        <v>3658</v>
      </c>
      <c r="D99" s="171"/>
      <c r="E99" s="1" t="s">
        <v>3659</v>
      </c>
      <c r="F99" s="1">
        <v>0</v>
      </c>
      <c r="G99" s="1">
        <v>10</v>
      </c>
      <c r="H99" s="1">
        <v>1</v>
      </c>
      <c r="I99" s="1" t="s">
        <v>2928</v>
      </c>
      <c r="J99"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9" s="4" t="str">
        <f t="shared" si="5"/>
        <v>io-model.html</v>
      </c>
    </row>
    <row r="100" spans="1:13" ht="150" x14ac:dyDescent="0.25">
      <c r="A100" s="1" t="s">
        <v>2951</v>
      </c>
      <c r="B100" s="1" t="s">
        <v>2954</v>
      </c>
      <c r="C100" s="1" t="s">
        <v>2961</v>
      </c>
      <c r="D100" s="171"/>
      <c r="E100" s="1" t="s">
        <v>2988</v>
      </c>
      <c r="F100" s="1">
        <v>0</v>
      </c>
      <c r="G100" s="1">
        <v>10</v>
      </c>
      <c r="H100" s="1">
        <v>1</v>
      </c>
      <c r="I100" s="1" t="s">
        <v>2928</v>
      </c>
      <c r="J100"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0" s="4" t="str">
        <f t="shared" si="5"/>
        <v>io-model.html</v>
      </c>
    </row>
    <row r="101" spans="1:13" ht="150" x14ac:dyDescent="0.25">
      <c r="A101" s="1" t="s">
        <v>2951</v>
      </c>
      <c r="B101" s="1" t="s">
        <v>2955</v>
      </c>
      <c r="C101" s="1" t="s">
        <v>2962</v>
      </c>
      <c r="D101" s="171"/>
      <c r="E101" s="1" t="s">
        <v>2989</v>
      </c>
      <c r="F101" s="1">
        <v>0</v>
      </c>
      <c r="G101" s="1">
        <v>10</v>
      </c>
      <c r="H101" s="1">
        <v>1</v>
      </c>
      <c r="I101" s="1" t="s">
        <v>2928</v>
      </c>
      <c r="J101"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1" s="4" t="str">
        <f t="shared" si="5"/>
        <v>io-model.html</v>
      </c>
    </row>
    <row r="102" spans="1:13" ht="150" x14ac:dyDescent="0.25">
      <c r="A102" s="1" t="s">
        <v>2951</v>
      </c>
      <c r="B102" s="1" t="s">
        <v>264</v>
      </c>
      <c r="C102" s="1" t="s">
        <v>2963</v>
      </c>
      <c r="D102" s="171"/>
      <c r="E102" s="1" t="s">
        <v>2990</v>
      </c>
      <c r="F102" s="1">
        <v>0</v>
      </c>
      <c r="G102" s="1">
        <v>10</v>
      </c>
      <c r="H102" s="1">
        <v>1</v>
      </c>
      <c r="I102" s="1" t="s">
        <v>2928</v>
      </c>
      <c r="J102"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2" s="4" t="str">
        <f t="shared" si="5"/>
        <v>io-model.html</v>
      </c>
    </row>
    <row r="103" spans="1:13" ht="150" x14ac:dyDescent="0.25">
      <c r="A103" s="1" t="s">
        <v>2951</v>
      </c>
      <c r="B103" s="1" t="s">
        <v>2956</v>
      </c>
      <c r="C103" s="1" t="s">
        <v>2964</v>
      </c>
      <c r="D103" s="171"/>
      <c r="E103" s="1" t="s">
        <v>2991</v>
      </c>
      <c r="F103" s="1">
        <v>0</v>
      </c>
      <c r="G103" s="1">
        <v>10</v>
      </c>
      <c r="H103" s="1">
        <v>1</v>
      </c>
      <c r="I103" s="1" t="s">
        <v>2928</v>
      </c>
      <c r="J103"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3" s="4" t="str">
        <f t="shared" si="5"/>
        <v>io-model.html</v>
      </c>
    </row>
    <row r="104" spans="1:13" ht="150" x14ac:dyDescent="0.25">
      <c r="A104" s="1" t="s">
        <v>2951</v>
      </c>
      <c r="B104" s="1" t="s">
        <v>3660</v>
      </c>
      <c r="C104" s="1" t="s">
        <v>3661</v>
      </c>
      <c r="D104" s="171"/>
      <c r="E104" s="1" t="s">
        <v>3662</v>
      </c>
      <c r="F104" s="1">
        <v>0</v>
      </c>
      <c r="G104" s="1">
        <v>10</v>
      </c>
      <c r="H104" s="1">
        <v>1</v>
      </c>
      <c r="I104" s="1" t="s">
        <v>2928</v>
      </c>
      <c r="J104"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4" s="4" t="str">
        <f t="shared" si="5"/>
        <v>io-model.html</v>
      </c>
    </row>
    <row r="105" spans="1:13" ht="150" x14ac:dyDescent="0.25">
      <c r="A105" s="1" t="s">
        <v>2951</v>
      </c>
      <c r="B105" s="1" t="s">
        <v>2957</v>
      </c>
      <c r="C105" s="1" t="s">
        <v>2965</v>
      </c>
      <c r="D105" s="171"/>
      <c r="E105" s="1" t="s">
        <v>2992</v>
      </c>
      <c r="F105" s="1">
        <v>0</v>
      </c>
      <c r="G105" s="1">
        <v>10</v>
      </c>
      <c r="H105" s="1">
        <v>1</v>
      </c>
      <c r="I105" s="1" t="s">
        <v>2928</v>
      </c>
      <c r="J105"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5" s="4" t="str">
        <f t="shared" si="5"/>
        <v>io-model.html</v>
      </c>
    </row>
    <row r="106" spans="1:13" ht="150" x14ac:dyDescent="0.25">
      <c r="A106" s="1" t="s">
        <v>2951</v>
      </c>
      <c r="B106" s="1" t="s">
        <v>2958</v>
      </c>
      <c r="C106" s="1" t="s">
        <v>2966</v>
      </c>
      <c r="D106" s="171"/>
      <c r="E106" s="1" t="s">
        <v>2993</v>
      </c>
      <c r="F106" s="1">
        <v>0</v>
      </c>
      <c r="G106" s="1">
        <v>10</v>
      </c>
      <c r="H106" s="1">
        <v>1</v>
      </c>
      <c r="I106" s="1" t="s">
        <v>2928</v>
      </c>
      <c r="J106"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6" s="4" t="str">
        <f t="shared" si="5"/>
        <v>io-model.html</v>
      </c>
    </row>
    <row r="107" spans="1:13" ht="60" x14ac:dyDescent="0.25">
      <c r="A107" s="1" t="s">
        <v>2827</v>
      </c>
      <c r="B107" s="1" t="s">
        <v>2828</v>
      </c>
      <c r="C107" s="1" t="s">
        <v>3447</v>
      </c>
      <c r="D107" s="171"/>
      <c r="E107" s="1" t="s">
        <v>2829</v>
      </c>
      <c r="F107" s="1">
        <v>0</v>
      </c>
      <c r="G107" s="1">
        <v>1</v>
      </c>
      <c r="H107" s="1">
        <v>1</v>
      </c>
      <c r="I107" s="47" t="s">
        <v>29</v>
      </c>
      <c r="J107" s="1" t="s">
        <v>3448</v>
      </c>
      <c r="K107" s="1"/>
      <c r="L107" s="1"/>
      <c r="M107" s="274"/>
    </row>
    <row r="108" spans="1:13" ht="120" x14ac:dyDescent="0.25">
      <c r="A108" s="1" t="s">
        <v>2827</v>
      </c>
      <c r="B108" s="1" t="s">
        <v>3304</v>
      </c>
      <c r="C108" s="1" t="s">
        <v>3302</v>
      </c>
      <c r="D108" s="171"/>
      <c r="E108" s="171"/>
      <c r="F108" s="1">
        <v>0</v>
      </c>
      <c r="G108" s="1">
        <v>1</v>
      </c>
      <c r="H108" s="1">
        <v>1</v>
      </c>
      <c r="I108" s="47" t="s">
        <v>29</v>
      </c>
      <c r="J108" s="1" t="s">
        <v>3303</v>
      </c>
    </row>
    <row r="109" spans="1:13" x14ac:dyDescent="0.25">
      <c r="A109" s="1"/>
    </row>
  </sheetData>
  <hyperlinks>
    <hyperlink ref="N64" r:id="rId1" display="https://www.fas.org/sgp/crs/misc/R40562.pdf, p.3, paragraph 1" xr:uid="{7CF34F3F-CA8F-4028-84E1-41FC3F30186E}"/>
    <hyperlink ref="M3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541"/>
  <sheetViews>
    <sheetView topLeftCell="L1" zoomScaleNormal="100" workbookViewId="0">
      <pane ySplit="1" topLeftCell="A130" activePane="bottomLeft" state="frozen"/>
      <selection pane="bottomLeft" activeCell="Q161" sqref="Q161"/>
    </sheetView>
  </sheetViews>
  <sheetFormatPr defaultColWidth="9.140625" defaultRowHeight="15" x14ac:dyDescent="0.25"/>
  <cols>
    <col min="1" max="1" width="30" style="1" customWidth="1"/>
    <col min="2" max="2" width="41.42578125" style="344"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4" customWidth="1"/>
    <col min="9" max="9" width="21.42578125" style="344" customWidth="1"/>
    <col min="10" max="10" width="19.42578125" style="277" customWidth="1"/>
    <col min="11" max="11" width="29.140625" style="1" customWidth="1"/>
    <col min="12" max="12" width="19" style="1" customWidth="1"/>
    <col min="13" max="14" width="19.140625" style="1" customWidth="1"/>
    <col min="15" max="15" width="28.42578125" style="1" customWidth="1"/>
    <col min="16" max="16" width="38.42578125" style="1" customWidth="1"/>
    <col min="17" max="17" width="53.42578125" style="1" customWidth="1"/>
    <col min="18" max="18" width="45.42578125" style="2" customWidth="1"/>
    <col min="19" max="16384" width="9.140625" style="1"/>
  </cols>
  <sheetData>
    <row r="1" spans="1:18" x14ac:dyDescent="0.25">
      <c r="A1" s="280" t="s">
        <v>3</v>
      </c>
      <c r="B1" s="343" t="s">
        <v>0</v>
      </c>
      <c r="C1" s="338" t="s">
        <v>1</v>
      </c>
      <c r="D1" s="278" t="s">
        <v>35</v>
      </c>
      <c r="E1" s="278" t="s">
        <v>36</v>
      </c>
      <c r="F1" s="278" t="s">
        <v>82</v>
      </c>
      <c r="G1" s="278" t="s">
        <v>83</v>
      </c>
      <c r="H1" s="279" t="s">
        <v>457</v>
      </c>
      <c r="I1" s="345" t="s">
        <v>68</v>
      </c>
      <c r="J1" s="281" t="s">
        <v>344</v>
      </c>
      <c r="K1" s="280" t="s">
        <v>2261</v>
      </c>
      <c r="L1" s="280" t="s">
        <v>69</v>
      </c>
      <c r="M1" s="280" t="s">
        <v>70</v>
      </c>
      <c r="N1" s="280" t="s">
        <v>81</v>
      </c>
      <c r="O1" s="280" t="s">
        <v>28</v>
      </c>
      <c r="P1" s="280" t="s">
        <v>2</v>
      </c>
      <c r="Q1" s="280" t="s">
        <v>441</v>
      </c>
      <c r="R1" s="280" t="s">
        <v>190</v>
      </c>
    </row>
    <row r="2" spans="1:18" s="2" customFormat="1" ht="30" x14ac:dyDescent="0.25">
      <c r="A2" s="275" t="str">
        <f>IF(ISBLANK(INDEX('Policy Characteristics'!A:A,MATCH($C2,'Policy Characteristics'!$C:$C,0))),"",INDEX('Policy Characteristics'!A:A,MATCH($C2,'Policy Characteristics'!$C:$C,0)))</f>
        <v>Transportation</v>
      </c>
      <c r="B2" s="284" t="str">
        <f>IF(ISBLANK(INDEX('Policy Characteristics'!B:B,MATCH($C2,'Policy Characteristics'!$C:$C,0))),"",INDEX('Policy Characteristics'!B:B,MATCH($C2,'Policy Characteristics'!$C:$C,0)))</f>
        <v>Conventional Pollutant Standards</v>
      </c>
      <c r="C2" s="339" t="s">
        <v>2384</v>
      </c>
      <c r="D2" s="2" t="s">
        <v>37</v>
      </c>
      <c r="E2" s="2" t="s">
        <v>2222</v>
      </c>
      <c r="F2" s="2" t="s">
        <v>3487</v>
      </c>
      <c r="G2" s="2" t="s">
        <v>2428</v>
      </c>
      <c r="H2" s="49">
        <v>300</v>
      </c>
      <c r="I2" s="346" t="s">
        <v>43</v>
      </c>
      <c r="J2" s="276" t="str">
        <f>IF(ISBLANK(INDEX('Policy Characteristics'!D:D,MATCH($C2,'Policy Characteristics'!$C:$C,0))),"",INDEX('Policy Characteristics'!D:D,MATCH($C2,'Policy Characteristics'!$C:$C,0)))</f>
        <v>Conventional Pollutant Standard</v>
      </c>
      <c r="K2" s="275" t="str">
        <f>IF(ISBLANK(INDEX('Policy Characteristics'!E:E,MATCH($C2,'Policy Characteristics'!$C:$C,0))),"",INDEX('Policy Characteristics'!E:E,MATCH($C2,'Policy Characteristics'!$C:$C,0)))</f>
        <v>trans reduce regulated pollutants</v>
      </c>
      <c r="L2" s="283">
        <f>IF(ISBLANK(INDEX('Policy Characteristics'!F:F,MATCH($C2,'Policy Characteristics'!$C:$C,0))),"",INDEX('Policy Characteristics'!F:F,MATCH($C2,'Policy Characteristics'!$C:$C,0)))</f>
        <v>0</v>
      </c>
      <c r="M2" s="283">
        <f>IF(ISBLANK(INDEX('Policy Characteristics'!G:G,MATCH($C2,'Policy Characteristics'!$C:$C,0))),"",INDEX('Policy Characteristics'!G:G,MATCH($C2,'Policy Characteristics'!$C:$C,0)))</f>
        <v>1</v>
      </c>
      <c r="N2" s="283">
        <f>IF(ISBLANK(INDEX('Policy Characteristics'!H:H,MATCH($C2,'Policy Characteristics'!$C:$C,0))),"",INDEX('Policy Characteristics'!H:H,MATCH($C2,'Policy Characteristics'!$C:$C,0)))</f>
        <v>0.02</v>
      </c>
      <c r="O2" s="275" t="str">
        <f>IF(ISBLANK(INDEX('Policy Characteristics'!I:I,MATCH($C2,'Policy Characteristics'!$C:$C,0))),"",INDEX('Policy Characteristics'!I:I,MATCH($C2,'Policy Characteristics'!$C:$C,0)))</f>
        <v>% reduction in emissions</v>
      </c>
      <c r="P2" s="275"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75" t="str">
        <f>IF(ISBLANK(INDEX('Policy Characteristics'!K:K,MATCH($C2,'Policy Characteristics'!$C:$C,0))),"",INDEX('Policy Characteristics'!K:K,MATCH($C2,'Policy Characteristics'!$C:$C,0)))</f>
        <v>transportation-sector-main.html#conv-pol-stds</v>
      </c>
      <c r="R2" s="275" t="str">
        <f>IF(ISBLANK(INDEX('Policy Characteristics'!L:L,MATCH($C2,'Policy Characteristics'!$C:$C,0))),"",INDEX('Policy Characteristics'!L:L,MATCH($C2,'Policy Characteristics'!$C:$C,0)))</f>
        <v>conventional-pollutant-standards.html</v>
      </c>
    </row>
    <row r="3" spans="1:18" s="2" customFormat="1" ht="30" x14ac:dyDescent="0.25">
      <c r="A3" s="275" t="str">
        <f>IF(ISBLANK(INDEX('Policy Characteristics'!A:A,MATCH($C3,'Policy Characteristics'!$C:$C,0))),"",INDEX('Policy Characteristics'!A:A,MATCH($C3,'Policy Characteristics'!$C:$C,0)))</f>
        <v>Transportation</v>
      </c>
      <c r="B3" s="284" t="str">
        <f>IF(ISBLANK(INDEX('Policy Characteristics'!B:B,MATCH($C3,'Policy Characteristics'!$C:$C,0))),"",INDEX('Policy Characteristics'!B:B,MATCH($C3,'Policy Characteristics'!$C:$C,0)))</f>
        <v>Conventional Pollutant Standards</v>
      </c>
      <c r="C3" s="275" t="str">
        <f t="shared" ref="C3:C22" si="0">C$2</f>
        <v>Percentage Reduction of Separately Regulated Pollutants</v>
      </c>
      <c r="D3" s="2" t="s">
        <v>37</v>
      </c>
      <c r="E3" s="2" t="s">
        <v>485</v>
      </c>
      <c r="F3" s="2" t="s">
        <v>3487</v>
      </c>
      <c r="G3" s="2" t="s">
        <v>485</v>
      </c>
      <c r="H3" s="49">
        <v>301</v>
      </c>
      <c r="I3" s="346" t="s">
        <v>43</v>
      </c>
      <c r="J3" s="276" t="str">
        <f>IF(ISBLANK(INDEX('Policy Characteristics'!D:D,MATCH($C3,'Policy Characteristics'!$C:$C,0))),"",INDEX('Policy Characteristics'!D:D,MATCH($C3,'Policy Characteristics'!$C:$C,0)))</f>
        <v>Conventional Pollutant Standard</v>
      </c>
      <c r="K3" s="275" t="str">
        <f>IF(ISBLANK(INDEX('Policy Characteristics'!E:E,MATCH($C3,'Policy Characteristics'!$C:$C,0))),"",INDEX('Policy Characteristics'!E:E,MATCH($C3,'Policy Characteristics'!$C:$C,0)))</f>
        <v>trans reduce regulated pollutants</v>
      </c>
      <c r="L3" s="283">
        <f>IF(ISBLANK(INDEX('Policy Characteristics'!F:F,MATCH($C3,'Policy Characteristics'!$C:$C,0))),"",INDEX('Policy Characteristics'!F:F,MATCH($C3,'Policy Characteristics'!$C:$C,0)))</f>
        <v>0</v>
      </c>
      <c r="M3" s="283">
        <f>IF(ISBLANK(INDEX('Policy Characteristics'!G:G,MATCH($C3,'Policy Characteristics'!$C:$C,0))),"",INDEX('Policy Characteristics'!G:G,MATCH($C3,'Policy Characteristics'!$C:$C,0)))</f>
        <v>1</v>
      </c>
      <c r="N3" s="283">
        <f>IF(ISBLANK(INDEX('Policy Characteristics'!H:H,MATCH($C3,'Policy Characteristics'!$C:$C,0))),"",INDEX('Policy Characteristics'!H:H,MATCH($C3,'Policy Characteristics'!$C:$C,0)))</f>
        <v>0.02</v>
      </c>
      <c r="O3" s="275" t="str">
        <f>IF(ISBLANK(INDEX('Policy Characteristics'!I:I,MATCH($C3,'Policy Characteristics'!$C:$C,0))),"",INDEX('Policy Characteristics'!I:I,MATCH($C3,'Policy Characteristics'!$C:$C,0)))</f>
        <v>% reduction in emissions</v>
      </c>
      <c r="P3" s="275"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75" t="str">
        <f>IF(ISBLANK(INDEX('Policy Characteristics'!K:K,MATCH($C3,'Policy Characteristics'!$C:$C,0))),"",INDEX('Policy Characteristics'!K:K,MATCH($C3,'Policy Characteristics'!$C:$C,0)))</f>
        <v>transportation-sector-main.html#conv-pol-stds</v>
      </c>
      <c r="R3" s="275" t="str">
        <f>IF(ISBLANK(INDEX('Policy Characteristics'!L:L,MATCH($C3,'Policy Characteristics'!$C:$C,0))),"",INDEX('Policy Characteristics'!L:L,MATCH($C3,'Policy Characteristics'!$C:$C,0)))</f>
        <v>conventional-pollutant-standards.html</v>
      </c>
    </row>
    <row r="4" spans="1:18" s="2" customFormat="1" ht="30" x14ac:dyDescent="0.25">
      <c r="A4" s="275" t="str">
        <f>IF(ISBLANK(INDEX('Policy Characteristics'!A:A,MATCH($C4,'Policy Characteristics'!$C:$C,0))),"",INDEX('Policy Characteristics'!A:A,MATCH($C4,'Policy Characteristics'!$C:$C,0)))</f>
        <v>Transportation</v>
      </c>
      <c r="B4" s="284" t="str">
        <f>IF(ISBLANK(INDEX('Policy Characteristics'!B:B,MATCH($C4,'Policy Characteristics'!$C:$C,0))),"",INDEX('Policy Characteristics'!B:B,MATCH($C4,'Policy Characteristics'!$C:$C,0)))</f>
        <v>Conventional Pollutant Standards</v>
      </c>
      <c r="C4" s="275" t="str">
        <f t="shared" si="0"/>
        <v>Percentage Reduction of Separately Regulated Pollutants</v>
      </c>
      <c r="D4" s="2" t="s">
        <v>37</v>
      </c>
      <c r="E4" s="2" t="s">
        <v>2225</v>
      </c>
      <c r="F4" s="2" t="s">
        <v>3487</v>
      </c>
      <c r="G4" s="2" t="s">
        <v>2225</v>
      </c>
      <c r="H4" s="49">
        <v>302</v>
      </c>
      <c r="I4" s="346" t="s">
        <v>43</v>
      </c>
      <c r="J4" s="276" t="str">
        <f>IF(ISBLANK(INDEX('Policy Characteristics'!D:D,MATCH($C4,'Policy Characteristics'!$C:$C,0))),"",INDEX('Policy Characteristics'!D:D,MATCH($C4,'Policy Characteristics'!$C:$C,0)))</f>
        <v>Conventional Pollutant Standard</v>
      </c>
      <c r="K4" s="275" t="str">
        <f>IF(ISBLANK(INDEX('Policy Characteristics'!E:E,MATCH($C4,'Policy Characteristics'!$C:$C,0))),"",INDEX('Policy Characteristics'!E:E,MATCH($C4,'Policy Characteristics'!$C:$C,0)))</f>
        <v>trans reduce regulated pollutants</v>
      </c>
      <c r="L4" s="283">
        <f>IF(ISBLANK(INDEX('Policy Characteristics'!F:F,MATCH($C4,'Policy Characteristics'!$C:$C,0))),"",INDEX('Policy Characteristics'!F:F,MATCH($C4,'Policy Characteristics'!$C:$C,0)))</f>
        <v>0</v>
      </c>
      <c r="M4" s="283">
        <f>IF(ISBLANK(INDEX('Policy Characteristics'!G:G,MATCH($C4,'Policy Characteristics'!$C:$C,0))),"",INDEX('Policy Characteristics'!G:G,MATCH($C4,'Policy Characteristics'!$C:$C,0)))</f>
        <v>1</v>
      </c>
      <c r="N4" s="283">
        <f>IF(ISBLANK(INDEX('Policy Characteristics'!H:H,MATCH($C4,'Policy Characteristics'!$C:$C,0))),"",INDEX('Policy Characteristics'!H:H,MATCH($C4,'Policy Characteristics'!$C:$C,0)))</f>
        <v>0.02</v>
      </c>
      <c r="O4" s="275" t="str">
        <f>IF(ISBLANK(INDEX('Policy Characteristics'!I:I,MATCH($C4,'Policy Characteristics'!$C:$C,0))),"",INDEX('Policy Characteristics'!I:I,MATCH($C4,'Policy Characteristics'!$C:$C,0)))</f>
        <v>% reduction in emissions</v>
      </c>
      <c r="P4" s="275"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75" t="str">
        <f>IF(ISBLANK(INDEX('Policy Characteristics'!K:K,MATCH($C4,'Policy Characteristics'!$C:$C,0))),"",INDEX('Policy Characteristics'!K:K,MATCH($C4,'Policy Characteristics'!$C:$C,0)))</f>
        <v>transportation-sector-main.html#conv-pol-stds</v>
      </c>
      <c r="R4" s="275" t="str">
        <f>IF(ISBLANK(INDEX('Policy Characteristics'!L:L,MATCH($C4,'Policy Characteristics'!$C:$C,0))),"",INDEX('Policy Characteristics'!L:L,MATCH($C4,'Policy Characteristics'!$C:$C,0)))</f>
        <v>conventional-pollutant-standards.html</v>
      </c>
    </row>
    <row r="5" spans="1:18" s="2" customFormat="1" ht="30" x14ac:dyDescent="0.25">
      <c r="A5" s="275" t="str">
        <f>IF(ISBLANK(INDEX('Policy Characteristics'!A:A,MATCH($C5,'Policy Characteristics'!$C:$C,0))),"",INDEX('Policy Characteristics'!A:A,MATCH($C5,'Policy Characteristics'!$C:$C,0)))</f>
        <v>Transportation</v>
      </c>
      <c r="B5" s="284" t="str">
        <f>IF(ISBLANK(INDEX('Policy Characteristics'!B:B,MATCH($C5,'Policy Characteristics'!$C:$C,0))),"",INDEX('Policy Characteristics'!B:B,MATCH($C5,'Policy Characteristics'!$C:$C,0)))</f>
        <v>Conventional Pollutant Standards</v>
      </c>
      <c r="C5" s="275" t="str">
        <f t="shared" si="0"/>
        <v>Percentage Reduction of Separately Regulated Pollutants</v>
      </c>
      <c r="D5" s="2" t="s">
        <v>37</v>
      </c>
      <c r="E5" s="2" t="s">
        <v>2227</v>
      </c>
      <c r="F5" s="2" t="s">
        <v>3487</v>
      </c>
      <c r="G5" s="2" t="s">
        <v>2227</v>
      </c>
      <c r="H5" s="49">
        <v>303</v>
      </c>
      <c r="I5" s="346" t="s">
        <v>43</v>
      </c>
      <c r="J5" s="276" t="str">
        <f>IF(ISBLANK(INDEX('Policy Characteristics'!D:D,MATCH($C5,'Policy Characteristics'!$C:$C,0))),"",INDEX('Policy Characteristics'!D:D,MATCH($C5,'Policy Characteristics'!$C:$C,0)))</f>
        <v>Conventional Pollutant Standard</v>
      </c>
      <c r="K5" s="275" t="str">
        <f>IF(ISBLANK(INDEX('Policy Characteristics'!E:E,MATCH($C5,'Policy Characteristics'!$C:$C,0))),"",INDEX('Policy Characteristics'!E:E,MATCH($C5,'Policy Characteristics'!$C:$C,0)))</f>
        <v>trans reduce regulated pollutants</v>
      </c>
      <c r="L5" s="283">
        <f>IF(ISBLANK(INDEX('Policy Characteristics'!F:F,MATCH($C5,'Policy Characteristics'!$C:$C,0))),"",INDEX('Policy Characteristics'!F:F,MATCH($C5,'Policy Characteristics'!$C:$C,0)))</f>
        <v>0</v>
      </c>
      <c r="M5" s="283">
        <f>IF(ISBLANK(INDEX('Policy Characteristics'!G:G,MATCH($C5,'Policy Characteristics'!$C:$C,0))),"",INDEX('Policy Characteristics'!G:G,MATCH($C5,'Policy Characteristics'!$C:$C,0)))</f>
        <v>1</v>
      </c>
      <c r="N5" s="283">
        <f>IF(ISBLANK(INDEX('Policy Characteristics'!H:H,MATCH($C5,'Policy Characteristics'!$C:$C,0))),"",INDEX('Policy Characteristics'!H:H,MATCH($C5,'Policy Characteristics'!$C:$C,0)))</f>
        <v>0.02</v>
      </c>
      <c r="O5" s="275" t="str">
        <f>IF(ISBLANK(INDEX('Policy Characteristics'!I:I,MATCH($C5,'Policy Characteristics'!$C:$C,0))),"",INDEX('Policy Characteristics'!I:I,MATCH($C5,'Policy Characteristics'!$C:$C,0)))</f>
        <v>% reduction in emissions</v>
      </c>
      <c r="P5" s="275"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75" t="str">
        <f>IF(ISBLANK(INDEX('Policy Characteristics'!K:K,MATCH($C5,'Policy Characteristics'!$C:$C,0))),"",INDEX('Policy Characteristics'!K:K,MATCH($C5,'Policy Characteristics'!$C:$C,0)))</f>
        <v>transportation-sector-main.html#conv-pol-stds</v>
      </c>
      <c r="R5" s="275" t="str">
        <f>IF(ISBLANK(INDEX('Policy Characteristics'!L:L,MATCH($C5,'Policy Characteristics'!$C:$C,0))),"",INDEX('Policy Characteristics'!L:L,MATCH($C5,'Policy Characteristics'!$C:$C,0)))</f>
        <v>conventional-pollutant-standards.html</v>
      </c>
    </row>
    <row r="6" spans="1:18" s="2" customFormat="1" ht="30" x14ac:dyDescent="0.25">
      <c r="A6" s="275" t="str">
        <f>IF(ISBLANK(INDEX('Policy Characteristics'!A:A,MATCH($C6,'Policy Characteristics'!$C:$C,0))),"",INDEX('Policy Characteristics'!A:A,MATCH($C6,'Policy Characteristics'!$C:$C,0)))</f>
        <v>Transportation</v>
      </c>
      <c r="B6" s="284" t="str">
        <f>IF(ISBLANK(INDEX('Policy Characteristics'!B:B,MATCH($C6,'Policy Characteristics'!$C:$C,0))),"",INDEX('Policy Characteristics'!B:B,MATCH($C6,'Policy Characteristics'!$C:$C,0)))</f>
        <v>Conventional Pollutant Standards</v>
      </c>
      <c r="C6" s="275" t="str">
        <f t="shared" si="0"/>
        <v>Percentage Reduction of Separately Regulated Pollutants</v>
      </c>
      <c r="D6" s="2" t="s">
        <v>37</v>
      </c>
      <c r="E6" s="2" t="s">
        <v>2229</v>
      </c>
      <c r="F6" s="2" t="s">
        <v>3487</v>
      </c>
      <c r="G6" s="2" t="s">
        <v>2320</v>
      </c>
      <c r="H6" s="49">
        <v>304</v>
      </c>
      <c r="I6" s="346" t="s">
        <v>43</v>
      </c>
      <c r="J6" s="276" t="str">
        <f>IF(ISBLANK(INDEX('Policy Characteristics'!D:D,MATCH($C6,'Policy Characteristics'!$C:$C,0))),"",INDEX('Policy Characteristics'!D:D,MATCH($C6,'Policy Characteristics'!$C:$C,0)))</f>
        <v>Conventional Pollutant Standard</v>
      </c>
      <c r="K6" s="275" t="str">
        <f>IF(ISBLANK(INDEX('Policy Characteristics'!E:E,MATCH($C6,'Policy Characteristics'!$C:$C,0))),"",INDEX('Policy Characteristics'!E:E,MATCH($C6,'Policy Characteristics'!$C:$C,0)))</f>
        <v>trans reduce regulated pollutants</v>
      </c>
      <c r="L6" s="283">
        <f>IF(ISBLANK(INDEX('Policy Characteristics'!F:F,MATCH($C6,'Policy Characteristics'!$C:$C,0))),"",INDEX('Policy Characteristics'!F:F,MATCH($C6,'Policy Characteristics'!$C:$C,0)))</f>
        <v>0</v>
      </c>
      <c r="M6" s="283">
        <f>IF(ISBLANK(INDEX('Policy Characteristics'!G:G,MATCH($C6,'Policy Characteristics'!$C:$C,0))),"",INDEX('Policy Characteristics'!G:G,MATCH($C6,'Policy Characteristics'!$C:$C,0)))</f>
        <v>1</v>
      </c>
      <c r="N6" s="283">
        <f>IF(ISBLANK(INDEX('Policy Characteristics'!H:H,MATCH($C6,'Policy Characteristics'!$C:$C,0))),"",INDEX('Policy Characteristics'!H:H,MATCH($C6,'Policy Characteristics'!$C:$C,0)))</f>
        <v>0.02</v>
      </c>
      <c r="O6" s="275" t="str">
        <f>IF(ISBLANK(INDEX('Policy Characteristics'!I:I,MATCH($C6,'Policy Characteristics'!$C:$C,0))),"",INDEX('Policy Characteristics'!I:I,MATCH($C6,'Policy Characteristics'!$C:$C,0)))</f>
        <v>% reduction in emissions</v>
      </c>
      <c r="P6" s="275"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75" t="str">
        <f>IF(ISBLANK(INDEX('Policy Characteristics'!K:K,MATCH($C6,'Policy Characteristics'!$C:$C,0))),"",INDEX('Policy Characteristics'!K:K,MATCH($C6,'Policy Characteristics'!$C:$C,0)))</f>
        <v>transportation-sector-main.html#conv-pol-stds</v>
      </c>
      <c r="R6" s="275" t="str">
        <f>IF(ISBLANK(INDEX('Policy Characteristics'!L:L,MATCH($C6,'Policy Characteristics'!$C:$C,0))),"",INDEX('Policy Characteristics'!L:L,MATCH($C6,'Policy Characteristics'!$C:$C,0)))</f>
        <v>conventional-pollutant-standards.html</v>
      </c>
    </row>
    <row r="7" spans="1:18" s="2" customFormat="1" ht="30" x14ac:dyDescent="0.25">
      <c r="A7" s="275" t="str">
        <f>IF(ISBLANK(INDEX('Policy Characteristics'!A:A,MATCH($C7,'Policy Characteristics'!$C:$C,0))),"",INDEX('Policy Characteristics'!A:A,MATCH($C7,'Policy Characteristics'!$C:$C,0)))</f>
        <v>Transportation</v>
      </c>
      <c r="B7" s="284" t="str">
        <f>IF(ISBLANK(INDEX('Policy Characteristics'!B:B,MATCH($C7,'Policy Characteristics'!$C:$C,0))),"",INDEX('Policy Characteristics'!B:B,MATCH($C7,'Policy Characteristics'!$C:$C,0)))</f>
        <v>Conventional Pollutant Standards</v>
      </c>
      <c r="C7" s="275" t="str">
        <f t="shared" si="0"/>
        <v>Percentage Reduction of Separately Regulated Pollutants</v>
      </c>
      <c r="D7" s="2" t="s">
        <v>37</v>
      </c>
      <c r="E7" s="2" t="s">
        <v>2230</v>
      </c>
      <c r="F7" s="2" t="s">
        <v>3487</v>
      </c>
      <c r="G7" s="2" t="s">
        <v>2230</v>
      </c>
      <c r="H7" s="49">
        <v>305</v>
      </c>
      <c r="I7" s="346" t="s">
        <v>43</v>
      </c>
      <c r="J7" s="276" t="str">
        <f>IF(ISBLANK(INDEX('Policy Characteristics'!D:D,MATCH($C7,'Policy Characteristics'!$C:$C,0))),"",INDEX('Policy Characteristics'!D:D,MATCH($C7,'Policy Characteristics'!$C:$C,0)))</f>
        <v>Conventional Pollutant Standard</v>
      </c>
      <c r="K7" s="275" t="str">
        <f>IF(ISBLANK(INDEX('Policy Characteristics'!E:E,MATCH($C7,'Policy Characteristics'!$C:$C,0))),"",INDEX('Policy Characteristics'!E:E,MATCH($C7,'Policy Characteristics'!$C:$C,0)))</f>
        <v>trans reduce regulated pollutants</v>
      </c>
      <c r="L7" s="283">
        <f>IF(ISBLANK(INDEX('Policy Characteristics'!F:F,MATCH($C7,'Policy Characteristics'!$C:$C,0))),"",INDEX('Policy Characteristics'!F:F,MATCH($C7,'Policy Characteristics'!$C:$C,0)))</f>
        <v>0</v>
      </c>
      <c r="M7" s="283">
        <f>IF(ISBLANK(INDEX('Policy Characteristics'!G:G,MATCH($C7,'Policy Characteristics'!$C:$C,0))),"",INDEX('Policy Characteristics'!G:G,MATCH($C7,'Policy Characteristics'!$C:$C,0)))</f>
        <v>1</v>
      </c>
      <c r="N7" s="283">
        <f>IF(ISBLANK(INDEX('Policy Characteristics'!H:H,MATCH($C7,'Policy Characteristics'!$C:$C,0))),"",INDEX('Policy Characteristics'!H:H,MATCH($C7,'Policy Characteristics'!$C:$C,0)))</f>
        <v>0.02</v>
      </c>
      <c r="O7" s="275" t="str">
        <f>IF(ISBLANK(INDEX('Policy Characteristics'!I:I,MATCH($C7,'Policy Characteristics'!$C:$C,0))),"",INDEX('Policy Characteristics'!I:I,MATCH($C7,'Policy Characteristics'!$C:$C,0)))</f>
        <v>% reduction in emissions</v>
      </c>
      <c r="P7" s="275"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75" t="str">
        <f>IF(ISBLANK(INDEX('Policy Characteristics'!K:K,MATCH($C7,'Policy Characteristics'!$C:$C,0))),"",INDEX('Policy Characteristics'!K:K,MATCH($C7,'Policy Characteristics'!$C:$C,0)))</f>
        <v>transportation-sector-main.html#conv-pol-stds</v>
      </c>
      <c r="R7" s="275" t="str">
        <f>IF(ISBLANK(INDEX('Policy Characteristics'!L:L,MATCH($C7,'Policy Characteristics'!$C:$C,0))),"",INDEX('Policy Characteristics'!L:L,MATCH($C7,'Policy Characteristics'!$C:$C,0)))</f>
        <v>conventional-pollutant-standards.html</v>
      </c>
    </row>
    <row r="8" spans="1:18" s="2" customFormat="1" ht="30" x14ac:dyDescent="0.25">
      <c r="A8" s="275" t="str">
        <f>IF(ISBLANK(INDEX('Policy Characteristics'!A:A,MATCH($C8,'Policy Characteristics'!$C:$C,0))),"",INDEX('Policy Characteristics'!A:A,MATCH($C8,'Policy Characteristics'!$C:$C,0)))</f>
        <v>Transportation</v>
      </c>
      <c r="B8" s="284" t="str">
        <f>IF(ISBLANK(INDEX('Policy Characteristics'!B:B,MATCH($C8,'Policy Characteristics'!$C:$C,0))),"",INDEX('Policy Characteristics'!B:B,MATCH($C8,'Policy Characteristics'!$C:$C,0)))</f>
        <v>Conventional Pollutant Standards</v>
      </c>
      <c r="C8" s="275" t="str">
        <f t="shared" si="0"/>
        <v>Percentage Reduction of Separately Regulated Pollutants</v>
      </c>
      <c r="D8" s="2" t="s">
        <v>37</v>
      </c>
      <c r="E8" s="2" t="s">
        <v>2232</v>
      </c>
      <c r="F8" s="2" t="s">
        <v>3487</v>
      </c>
      <c r="G8" s="2" t="s">
        <v>2232</v>
      </c>
      <c r="H8" s="49">
        <v>306</v>
      </c>
      <c r="I8" s="346" t="s">
        <v>43</v>
      </c>
      <c r="J8" s="276" t="str">
        <f>IF(ISBLANK(INDEX('Policy Characteristics'!D:D,MATCH($C8,'Policy Characteristics'!$C:$C,0))),"",INDEX('Policy Characteristics'!D:D,MATCH($C8,'Policy Characteristics'!$C:$C,0)))</f>
        <v>Conventional Pollutant Standard</v>
      </c>
      <c r="K8" s="275" t="str">
        <f>IF(ISBLANK(INDEX('Policy Characteristics'!E:E,MATCH($C8,'Policy Characteristics'!$C:$C,0))),"",INDEX('Policy Characteristics'!E:E,MATCH($C8,'Policy Characteristics'!$C:$C,0)))</f>
        <v>trans reduce regulated pollutants</v>
      </c>
      <c r="L8" s="283">
        <f>IF(ISBLANK(INDEX('Policy Characteristics'!F:F,MATCH($C8,'Policy Characteristics'!$C:$C,0))),"",INDEX('Policy Characteristics'!F:F,MATCH($C8,'Policy Characteristics'!$C:$C,0)))</f>
        <v>0</v>
      </c>
      <c r="M8" s="283">
        <f>IF(ISBLANK(INDEX('Policy Characteristics'!G:G,MATCH($C8,'Policy Characteristics'!$C:$C,0))),"",INDEX('Policy Characteristics'!G:G,MATCH($C8,'Policy Characteristics'!$C:$C,0)))</f>
        <v>1</v>
      </c>
      <c r="N8" s="283">
        <f>IF(ISBLANK(INDEX('Policy Characteristics'!H:H,MATCH($C8,'Policy Characteristics'!$C:$C,0))),"",INDEX('Policy Characteristics'!H:H,MATCH($C8,'Policy Characteristics'!$C:$C,0)))</f>
        <v>0.02</v>
      </c>
      <c r="O8" s="275" t="str">
        <f>IF(ISBLANK(INDEX('Policy Characteristics'!I:I,MATCH($C8,'Policy Characteristics'!$C:$C,0))),"",INDEX('Policy Characteristics'!I:I,MATCH($C8,'Policy Characteristics'!$C:$C,0)))</f>
        <v>% reduction in emissions</v>
      </c>
      <c r="P8" s="275"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75" t="str">
        <f>IF(ISBLANK(INDEX('Policy Characteristics'!K:K,MATCH($C8,'Policy Characteristics'!$C:$C,0))),"",INDEX('Policy Characteristics'!K:K,MATCH($C8,'Policy Characteristics'!$C:$C,0)))</f>
        <v>transportation-sector-main.html#conv-pol-stds</v>
      </c>
      <c r="R8" s="275" t="str">
        <f>IF(ISBLANK(INDEX('Policy Characteristics'!L:L,MATCH($C8,'Policy Characteristics'!$C:$C,0))),"",INDEX('Policy Characteristics'!L:L,MATCH($C8,'Policy Characteristics'!$C:$C,0)))</f>
        <v>conventional-pollutant-standards.html</v>
      </c>
    </row>
    <row r="9" spans="1:18" s="2" customFormat="1" ht="30" x14ac:dyDescent="0.25">
      <c r="A9" s="275" t="str">
        <f>IF(ISBLANK(INDEX('Policy Characteristics'!A:A,MATCH($C9,'Policy Characteristics'!$C:$C,0))),"",INDEX('Policy Characteristics'!A:A,MATCH($C9,'Policy Characteristics'!$C:$C,0)))</f>
        <v>Transportation</v>
      </c>
      <c r="B9" s="284" t="str">
        <f>IF(ISBLANK(INDEX('Policy Characteristics'!B:B,MATCH($C9,'Policy Characteristics'!$C:$C,0))),"",INDEX('Policy Characteristics'!B:B,MATCH($C9,'Policy Characteristics'!$C:$C,0)))</f>
        <v>Conventional Pollutant Standards</v>
      </c>
      <c r="C9" s="275" t="str">
        <f t="shared" si="0"/>
        <v>Percentage Reduction of Separately Regulated Pollutants</v>
      </c>
      <c r="D9" s="2" t="s">
        <v>37</v>
      </c>
      <c r="E9" s="2" t="s">
        <v>2234</v>
      </c>
      <c r="F9" s="2" t="s">
        <v>3487</v>
      </c>
      <c r="G9" s="2" t="s">
        <v>2234</v>
      </c>
      <c r="H9" s="49">
        <v>307</v>
      </c>
      <c r="I9" s="346" t="s">
        <v>43</v>
      </c>
      <c r="J9" s="276" t="str">
        <f>IF(ISBLANK(INDEX('Policy Characteristics'!D:D,MATCH($C9,'Policy Characteristics'!$C:$C,0))),"",INDEX('Policy Characteristics'!D:D,MATCH($C9,'Policy Characteristics'!$C:$C,0)))</f>
        <v>Conventional Pollutant Standard</v>
      </c>
      <c r="K9" s="275" t="str">
        <f>IF(ISBLANK(INDEX('Policy Characteristics'!E:E,MATCH($C9,'Policy Characteristics'!$C:$C,0))),"",INDEX('Policy Characteristics'!E:E,MATCH($C9,'Policy Characteristics'!$C:$C,0)))</f>
        <v>trans reduce regulated pollutants</v>
      </c>
      <c r="L9" s="283">
        <f>IF(ISBLANK(INDEX('Policy Characteristics'!F:F,MATCH($C9,'Policy Characteristics'!$C:$C,0))),"",INDEX('Policy Characteristics'!F:F,MATCH($C9,'Policy Characteristics'!$C:$C,0)))</f>
        <v>0</v>
      </c>
      <c r="M9" s="283">
        <f>IF(ISBLANK(INDEX('Policy Characteristics'!G:G,MATCH($C9,'Policy Characteristics'!$C:$C,0))),"",INDEX('Policy Characteristics'!G:G,MATCH($C9,'Policy Characteristics'!$C:$C,0)))</f>
        <v>1</v>
      </c>
      <c r="N9" s="283">
        <f>IF(ISBLANK(INDEX('Policy Characteristics'!H:H,MATCH($C9,'Policy Characteristics'!$C:$C,0))),"",INDEX('Policy Characteristics'!H:H,MATCH($C9,'Policy Characteristics'!$C:$C,0)))</f>
        <v>0.02</v>
      </c>
      <c r="O9" s="275" t="str">
        <f>IF(ISBLANK(INDEX('Policy Characteristics'!I:I,MATCH($C9,'Policy Characteristics'!$C:$C,0))),"",INDEX('Policy Characteristics'!I:I,MATCH($C9,'Policy Characteristics'!$C:$C,0)))</f>
        <v>% reduction in emissions</v>
      </c>
      <c r="P9" s="275"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75" t="str">
        <f>IF(ISBLANK(INDEX('Policy Characteristics'!K:K,MATCH($C9,'Policy Characteristics'!$C:$C,0))),"",INDEX('Policy Characteristics'!K:K,MATCH($C9,'Policy Characteristics'!$C:$C,0)))</f>
        <v>transportation-sector-main.html#conv-pol-stds</v>
      </c>
      <c r="R9" s="275" t="str">
        <f>IF(ISBLANK(INDEX('Policy Characteristics'!L:L,MATCH($C9,'Policy Characteristics'!$C:$C,0))),"",INDEX('Policy Characteristics'!L:L,MATCH($C9,'Policy Characteristics'!$C:$C,0)))</f>
        <v>conventional-pollutant-standards.html</v>
      </c>
    </row>
    <row r="10" spans="1:18" s="2" customFormat="1" ht="30" x14ac:dyDescent="0.25">
      <c r="A10" s="275" t="str">
        <f>IF(ISBLANK(INDEX('Policy Characteristics'!A:A,MATCH($C10,'Policy Characteristics'!$C:$C,0))),"",INDEX('Policy Characteristics'!A:A,MATCH($C10,'Policy Characteristics'!$C:$C,0)))</f>
        <v>Transportation</v>
      </c>
      <c r="B10" s="284" t="str">
        <f>IF(ISBLANK(INDEX('Policy Characteristics'!B:B,MATCH($C10,'Policy Characteristics'!$C:$C,0))),"",INDEX('Policy Characteristics'!B:B,MATCH($C10,'Policy Characteristics'!$C:$C,0)))</f>
        <v>Conventional Pollutant Standards</v>
      </c>
      <c r="C10" s="275" t="str">
        <f t="shared" si="0"/>
        <v>Percentage Reduction of Separately Regulated Pollutants</v>
      </c>
      <c r="D10" s="2" t="s">
        <v>37</v>
      </c>
      <c r="E10" s="2" t="s">
        <v>2236</v>
      </c>
      <c r="F10" s="2" t="s">
        <v>3487</v>
      </c>
      <c r="G10" s="2" t="s">
        <v>2236</v>
      </c>
      <c r="H10" s="49">
        <v>308</v>
      </c>
      <c r="I10" s="347" t="s">
        <v>44</v>
      </c>
      <c r="J10" s="276" t="str">
        <f>IF(ISBLANK(INDEX('Policy Characteristics'!D:D,MATCH($C10,'Policy Characteristics'!$C:$C,0))),"",INDEX('Policy Characteristics'!D:D,MATCH($C10,'Policy Characteristics'!$C:$C,0)))</f>
        <v>Conventional Pollutant Standard</v>
      </c>
      <c r="K10" s="275" t="str">
        <f>IF(ISBLANK(INDEX('Policy Characteristics'!E:E,MATCH($C10,'Policy Characteristics'!$C:$C,0))),"",INDEX('Policy Characteristics'!E:E,MATCH($C10,'Policy Characteristics'!$C:$C,0)))</f>
        <v>trans reduce regulated pollutants</v>
      </c>
      <c r="L10" s="283">
        <f>IF(ISBLANK(INDEX('Policy Characteristics'!F:F,MATCH($C10,'Policy Characteristics'!$C:$C,0))),"",INDEX('Policy Characteristics'!F:F,MATCH($C10,'Policy Characteristics'!$C:$C,0)))</f>
        <v>0</v>
      </c>
      <c r="M10" s="283">
        <f>IF(ISBLANK(INDEX('Policy Characteristics'!G:G,MATCH($C10,'Policy Characteristics'!$C:$C,0))),"",INDEX('Policy Characteristics'!G:G,MATCH($C10,'Policy Characteristics'!$C:$C,0)))</f>
        <v>1</v>
      </c>
      <c r="N10" s="283">
        <f>IF(ISBLANK(INDEX('Policy Characteristics'!H:H,MATCH($C10,'Policy Characteristics'!$C:$C,0))),"",INDEX('Policy Characteristics'!H:H,MATCH($C10,'Policy Characteristics'!$C:$C,0)))</f>
        <v>0.02</v>
      </c>
      <c r="O10" s="275" t="str">
        <f>IF(ISBLANK(INDEX('Policy Characteristics'!I:I,MATCH($C10,'Policy Characteristics'!$C:$C,0))),"",INDEX('Policy Characteristics'!I:I,MATCH($C10,'Policy Characteristics'!$C:$C,0)))</f>
        <v>% reduction in emissions</v>
      </c>
      <c r="P10" s="275"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75" t="str">
        <f>IF(ISBLANK(INDEX('Policy Characteristics'!K:K,MATCH($C10,'Policy Characteristics'!$C:$C,0))),"",INDEX('Policy Characteristics'!K:K,MATCH($C10,'Policy Characteristics'!$C:$C,0)))</f>
        <v>transportation-sector-main.html#conv-pol-stds</v>
      </c>
      <c r="R10" s="275" t="str">
        <f>IF(ISBLANK(INDEX('Policy Characteristics'!L:L,MATCH($C10,'Policy Characteristics'!$C:$C,0))),"",INDEX('Policy Characteristics'!L:L,MATCH($C10,'Policy Characteristics'!$C:$C,0)))</f>
        <v>conventional-pollutant-standards.html</v>
      </c>
    </row>
    <row r="11" spans="1:18" s="2" customFormat="1" ht="30" x14ac:dyDescent="0.25">
      <c r="A11" s="275" t="str">
        <f>IF(ISBLANK(INDEX('Policy Characteristics'!A:A,MATCH($C11,'Policy Characteristics'!$C:$C,0))),"",INDEX('Policy Characteristics'!A:A,MATCH($C11,'Policy Characteristics'!$C:$C,0)))</f>
        <v>Transportation</v>
      </c>
      <c r="B11" s="284" t="str">
        <f>IF(ISBLANK(INDEX('Policy Characteristics'!B:B,MATCH($C11,'Policy Characteristics'!$C:$C,0))),"",INDEX('Policy Characteristics'!B:B,MATCH($C11,'Policy Characteristics'!$C:$C,0)))</f>
        <v>Conventional Pollutant Standards</v>
      </c>
      <c r="C11" s="275" t="str">
        <f t="shared" si="0"/>
        <v>Percentage Reduction of Separately Regulated Pollutants</v>
      </c>
      <c r="D11" s="2" t="s">
        <v>37</v>
      </c>
      <c r="E11" s="2" t="s">
        <v>2238</v>
      </c>
      <c r="F11" s="2" t="s">
        <v>3487</v>
      </c>
      <c r="G11" s="2" t="s">
        <v>2238</v>
      </c>
      <c r="H11" s="49">
        <v>309</v>
      </c>
      <c r="I11" s="347" t="s">
        <v>44</v>
      </c>
      <c r="J11" s="276" t="str">
        <f>IF(ISBLANK(INDEX('Policy Characteristics'!D:D,MATCH($C11,'Policy Characteristics'!$C:$C,0))),"",INDEX('Policy Characteristics'!D:D,MATCH($C11,'Policy Characteristics'!$C:$C,0)))</f>
        <v>Conventional Pollutant Standard</v>
      </c>
      <c r="K11" s="275" t="str">
        <f>IF(ISBLANK(INDEX('Policy Characteristics'!E:E,MATCH($C11,'Policy Characteristics'!$C:$C,0))),"",INDEX('Policy Characteristics'!E:E,MATCH($C11,'Policy Characteristics'!$C:$C,0)))</f>
        <v>trans reduce regulated pollutants</v>
      </c>
      <c r="L11" s="283">
        <f>IF(ISBLANK(INDEX('Policy Characteristics'!F:F,MATCH($C11,'Policy Characteristics'!$C:$C,0))),"",INDEX('Policy Characteristics'!F:F,MATCH($C11,'Policy Characteristics'!$C:$C,0)))</f>
        <v>0</v>
      </c>
      <c r="M11" s="283">
        <f>IF(ISBLANK(INDEX('Policy Characteristics'!G:G,MATCH($C11,'Policy Characteristics'!$C:$C,0))),"",INDEX('Policy Characteristics'!G:G,MATCH($C11,'Policy Characteristics'!$C:$C,0)))</f>
        <v>1</v>
      </c>
      <c r="N11" s="283">
        <f>IF(ISBLANK(INDEX('Policy Characteristics'!H:H,MATCH($C11,'Policy Characteristics'!$C:$C,0))),"",INDEX('Policy Characteristics'!H:H,MATCH($C11,'Policy Characteristics'!$C:$C,0)))</f>
        <v>0.02</v>
      </c>
      <c r="O11" s="275" t="str">
        <f>IF(ISBLANK(INDEX('Policy Characteristics'!I:I,MATCH($C11,'Policy Characteristics'!$C:$C,0))),"",INDEX('Policy Characteristics'!I:I,MATCH($C11,'Policy Characteristics'!$C:$C,0)))</f>
        <v>% reduction in emissions</v>
      </c>
      <c r="P11" s="275"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75" t="str">
        <f>IF(ISBLANK(INDEX('Policy Characteristics'!K:K,MATCH($C11,'Policy Characteristics'!$C:$C,0))),"",INDEX('Policy Characteristics'!K:K,MATCH($C11,'Policy Characteristics'!$C:$C,0)))</f>
        <v>transportation-sector-main.html#conv-pol-stds</v>
      </c>
      <c r="R11" s="275" t="str">
        <f>IF(ISBLANK(INDEX('Policy Characteristics'!L:L,MATCH($C11,'Policy Characteristics'!$C:$C,0))),"",INDEX('Policy Characteristics'!L:L,MATCH($C11,'Policy Characteristics'!$C:$C,0)))</f>
        <v>conventional-pollutant-standards.html</v>
      </c>
    </row>
    <row r="12" spans="1:18" s="2" customFormat="1" x14ac:dyDescent="0.25">
      <c r="A12" s="275" t="str">
        <f>IF(ISBLANK(INDEX('Policy Characteristics'!A:A,MATCH($C12,'Policy Characteristics'!$C:$C,0))),"",INDEX('Policy Characteristics'!A:A,MATCH($C12,'Policy Characteristics'!$C:$C,0)))</f>
        <v>Transportation</v>
      </c>
      <c r="B12" s="284" t="str">
        <f>IF(ISBLANK(INDEX('Policy Characteristics'!B:B,MATCH($C12,'Policy Characteristics'!$C:$C,0))),"",INDEX('Policy Characteristics'!B:B,MATCH($C12,'Policy Characteristics'!$C:$C,0)))</f>
        <v>Conventional Pollutant Standards</v>
      </c>
      <c r="C12" s="275" t="str">
        <f t="shared" si="0"/>
        <v>Percentage Reduction of Separately Regulated Pollutants</v>
      </c>
      <c r="D12" s="2" t="s">
        <v>38</v>
      </c>
      <c r="E12" s="2" t="s">
        <v>2222</v>
      </c>
      <c r="F12" s="2" t="s">
        <v>3483</v>
      </c>
      <c r="G12" s="2" t="s">
        <v>2428</v>
      </c>
      <c r="H12" s="49">
        <v>310</v>
      </c>
      <c r="I12" s="346" t="s">
        <v>43</v>
      </c>
      <c r="J12" s="276" t="str">
        <f>IF(ISBLANK(INDEX('Policy Characteristics'!D:D,MATCH($C12,'Policy Characteristics'!$C:$C,0))),"",INDEX('Policy Characteristics'!D:D,MATCH($C12,'Policy Characteristics'!$C:$C,0)))</f>
        <v>Conventional Pollutant Standard</v>
      </c>
      <c r="K12" s="275" t="str">
        <f>IF(ISBLANK(INDEX('Policy Characteristics'!E:E,MATCH($C12,'Policy Characteristics'!$C:$C,0))),"",INDEX('Policy Characteristics'!E:E,MATCH($C12,'Policy Characteristics'!$C:$C,0)))</f>
        <v>trans reduce regulated pollutants</v>
      </c>
      <c r="L12" s="283">
        <f>IF(ISBLANK(INDEX('Policy Characteristics'!F:F,MATCH($C12,'Policy Characteristics'!$C:$C,0))),"",INDEX('Policy Characteristics'!F:F,MATCH($C12,'Policy Characteristics'!$C:$C,0)))</f>
        <v>0</v>
      </c>
      <c r="M12" s="283">
        <f>IF(ISBLANK(INDEX('Policy Characteristics'!G:G,MATCH($C12,'Policy Characteristics'!$C:$C,0))),"",INDEX('Policy Characteristics'!G:G,MATCH($C12,'Policy Characteristics'!$C:$C,0)))</f>
        <v>1</v>
      </c>
      <c r="N12" s="283">
        <f>IF(ISBLANK(INDEX('Policy Characteristics'!H:H,MATCH($C12,'Policy Characteristics'!$C:$C,0))),"",INDEX('Policy Characteristics'!H:H,MATCH($C12,'Policy Characteristics'!$C:$C,0)))</f>
        <v>0.02</v>
      </c>
      <c r="O12" s="275" t="str">
        <f>IF(ISBLANK(INDEX('Policy Characteristics'!I:I,MATCH($C12,'Policy Characteristics'!$C:$C,0))),"",INDEX('Policy Characteristics'!I:I,MATCH($C12,'Policy Characteristics'!$C:$C,0)))</f>
        <v>% reduction in emissions</v>
      </c>
      <c r="P12" s="275"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75" t="str">
        <f>IF(ISBLANK(INDEX('Policy Characteristics'!K:K,MATCH($C12,'Policy Characteristics'!$C:$C,0))),"",INDEX('Policy Characteristics'!K:K,MATCH($C12,'Policy Characteristics'!$C:$C,0)))</f>
        <v>transportation-sector-main.html#conv-pol-stds</v>
      </c>
      <c r="R12" s="275" t="str">
        <f>IF(ISBLANK(INDEX('Policy Characteristics'!L:L,MATCH($C12,'Policy Characteristics'!$C:$C,0))),"",INDEX('Policy Characteristics'!L:L,MATCH($C12,'Policy Characteristics'!$C:$C,0)))</f>
        <v>conventional-pollutant-standards.html</v>
      </c>
    </row>
    <row r="13" spans="1:18" s="2" customFormat="1" x14ac:dyDescent="0.25">
      <c r="A13" s="275" t="str">
        <f>IF(ISBLANK(INDEX('Policy Characteristics'!A:A,MATCH($C13,'Policy Characteristics'!$C:$C,0))),"",INDEX('Policy Characteristics'!A:A,MATCH($C13,'Policy Characteristics'!$C:$C,0)))</f>
        <v>Transportation</v>
      </c>
      <c r="B13" s="284" t="str">
        <f>IF(ISBLANK(INDEX('Policy Characteristics'!B:B,MATCH($C13,'Policy Characteristics'!$C:$C,0))),"",INDEX('Policy Characteristics'!B:B,MATCH($C13,'Policy Characteristics'!$C:$C,0)))</f>
        <v>Conventional Pollutant Standards</v>
      </c>
      <c r="C13" s="275" t="str">
        <f t="shared" si="0"/>
        <v>Percentage Reduction of Separately Regulated Pollutants</v>
      </c>
      <c r="D13" s="2" t="s">
        <v>38</v>
      </c>
      <c r="E13" s="2" t="s">
        <v>485</v>
      </c>
      <c r="F13" s="2" t="s">
        <v>3483</v>
      </c>
      <c r="G13" s="2" t="s">
        <v>485</v>
      </c>
      <c r="H13" s="49">
        <v>311</v>
      </c>
      <c r="I13" s="346" t="s">
        <v>43</v>
      </c>
      <c r="J13" s="276" t="str">
        <f>IF(ISBLANK(INDEX('Policy Characteristics'!D:D,MATCH($C13,'Policy Characteristics'!$C:$C,0))),"",INDEX('Policy Characteristics'!D:D,MATCH($C13,'Policy Characteristics'!$C:$C,0)))</f>
        <v>Conventional Pollutant Standard</v>
      </c>
      <c r="K13" s="275" t="str">
        <f>IF(ISBLANK(INDEX('Policy Characteristics'!E:E,MATCH($C13,'Policy Characteristics'!$C:$C,0))),"",INDEX('Policy Characteristics'!E:E,MATCH($C13,'Policy Characteristics'!$C:$C,0)))</f>
        <v>trans reduce regulated pollutants</v>
      </c>
      <c r="L13" s="283">
        <f>IF(ISBLANK(INDEX('Policy Characteristics'!F:F,MATCH($C13,'Policy Characteristics'!$C:$C,0))),"",INDEX('Policy Characteristics'!F:F,MATCH($C13,'Policy Characteristics'!$C:$C,0)))</f>
        <v>0</v>
      </c>
      <c r="M13" s="283">
        <f>IF(ISBLANK(INDEX('Policy Characteristics'!G:G,MATCH($C13,'Policy Characteristics'!$C:$C,0))),"",INDEX('Policy Characteristics'!G:G,MATCH($C13,'Policy Characteristics'!$C:$C,0)))</f>
        <v>1</v>
      </c>
      <c r="N13" s="283">
        <f>IF(ISBLANK(INDEX('Policy Characteristics'!H:H,MATCH($C13,'Policy Characteristics'!$C:$C,0))),"",INDEX('Policy Characteristics'!H:H,MATCH($C13,'Policy Characteristics'!$C:$C,0)))</f>
        <v>0.02</v>
      </c>
      <c r="O13" s="275" t="str">
        <f>IF(ISBLANK(INDEX('Policy Characteristics'!I:I,MATCH($C13,'Policy Characteristics'!$C:$C,0))),"",INDEX('Policy Characteristics'!I:I,MATCH($C13,'Policy Characteristics'!$C:$C,0)))</f>
        <v>% reduction in emissions</v>
      </c>
      <c r="P13" s="275"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75" t="str">
        <f>IF(ISBLANK(INDEX('Policy Characteristics'!K:K,MATCH($C13,'Policy Characteristics'!$C:$C,0))),"",INDEX('Policy Characteristics'!K:K,MATCH($C13,'Policy Characteristics'!$C:$C,0)))</f>
        <v>transportation-sector-main.html#conv-pol-stds</v>
      </c>
      <c r="R13" s="275" t="str">
        <f>IF(ISBLANK(INDEX('Policy Characteristics'!L:L,MATCH($C13,'Policy Characteristics'!$C:$C,0))),"",INDEX('Policy Characteristics'!L:L,MATCH($C13,'Policy Characteristics'!$C:$C,0)))</f>
        <v>conventional-pollutant-standards.html</v>
      </c>
    </row>
    <row r="14" spans="1:18" s="2" customFormat="1" x14ac:dyDescent="0.25">
      <c r="A14" s="275" t="str">
        <f>IF(ISBLANK(INDEX('Policy Characteristics'!A:A,MATCH($C14,'Policy Characteristics'!$C:$C,0))),"",INDEX('Policy Characteristics'!A:A,MATCH($C14,'Policy Characteristics'!$C:$C,0)))</f>
        <v>Transportation</v>
      </c>
      <c r="B14" s="284" t="str">
        <f>IF(ISBLANK(INDEX('Policy Characteristics'!B:B,MATCH($C14,'Policy Characteristics'!$C:$C,0))),"",INDEX('Policy Characteristics'!B:B,MATCH($C14,'Policy Characteristics'!$C:$C,0)))</f>
        <v>Conventional Pollutant Standards</v>
      </c>
      <c r="C14" s="275" t="str">
        <f t="shared" si="0"/>
        <v>Percentage Reduction of Separately Regulated Pollutants</v>
      </c>
      <c r="D14" s="2" t="s">
        <v>38</v>
      </c>
      <c r="E14" s="2" t="s">
        <v>2225</v>
      </c>
      <c r="F14" s="2" t="s">
        <v>3483</v>
      </c>
      <c r="G14" s="2" t="s">
        <v>2225</v>
      </c>
      <c r="H14" s="49">
        <v>312</v>
      </c>
      <c r="I14" s="346" t="s">
        <v>43</v>
      </c>
      <c r="J14" s="276" t="str">
        <f>IF(ISBLANK(INDEX('Policy Characteristics'!D:D,MATCH($C14,'Policy Characteristics'!$C:$C,0))),"",INDEX('Policy Characteristics'!D:D,MATCH($C14,'Policy Characteristics'!$C:$C,0)))</f>
        <v>Conventional Pollutant Standard</v>
      </c>
      <c r="K14" s="275" t="str">
        <f>IF(ISBLANK(INDEX('Policy Characteristics'!E:E,MATCH($C14,'Policy Characteristics'!$C:$C,0))),"",INDEX('Policy Characteristics'!E:E,MATCH($C14,'Policy Characteristics'!$C:$C,0)))</f>
        <v>trans reduce regulated pollutants</v>
      </c>
      <c r="L14" s="283">
        <f>IF(ISBLANK(INDEX('Policy Characteristics'!F:F,MATCH($C14,'Policy Characteristics'!$C:$C,0))),"",INDEX('Policy Characteristics'!F:F,MATCH($C14,'Policy Characteristics'!$C:$C,0)))</f>
        <v>0</v>
      </c>
      <c r="M14" s="283">
        <f>IF(ISBLANK(INDEX('Policy Characteristics'!G:G,MATCH($C14,'Policy Characteristics'!$C:$C,0))),"",INDEX('Policy Characteristics'!G:G,MATCH($C14,'Policy Characteristics'!$C:$C,0)))</f>
        <v>1</v>
      </c>
      <c r="N14" s="283">
        <f>IF(ISBLANK(INDEX('Policy Characteristics'!H:H,MATCH($C14,'Policy Characteristics'!$C:$C,0))),"",INDEX('Policy Characteristics'!H:H,MATCH($C14,'Policy Characteristics'!$C:$C,0)))</f>
        <v>0.02</v>
      </c>
      <c r="O14" s="275" t="str">
        <f>IF(ISBLANK(INDEX('Policy Characteristics'!I:I,MATCH($C14,'Policy Characteristics'!$C:$C,0))),"",INDEX('Policy Characteristics'!I:I,MATCH($C14,'Policy Characteristics'!$C:$C,0)))</f>
        <v>% reduction in emissions</v>
      </c>
      <c r="P14" s="275"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75" t="str">
        <f>IF(ISBLANK(INDEX('Policy Characteristics'!K:K,MATCH($C14,'Policy Characteristics'!$C:$C,0))),"",INDEX('Policy Characteristics'!K:K,MATCH($C14,'Policy Characteristics'!$C:$C,0)))</f>
        <v>transportation-sector-main.html#conv-pol-stds</v>
      </c>
      <c r="R14" s="275" t="str">
        <f>IF(ISBLANK(INDEX('Policy Characteristics'!L:L,MATCH($C14,'Policy Characteristics'!$C:$C,0))),"",INDEX('Policy Characteristics'!L:L,MATCH($C14,'Policy Characteristics'!$C:$C,0)))</f>
        <v>conventional-pollutant-standards.html</v>
      </c>
    </row>
    <row r="15" spans="1:18" s="2" customFormat="1" x14ac:dyDescent="0.25">
      <c r="A15" s="275" t="str">
        <f>IF(ISBLANK(INDEX('Policy Characteristics'!A:A,MATCH($C15,'Policy Characteristics'!$C:$C,0))),"",INDEX('Policy Characteristics'!A:A,MATCH($C15,'Policy Characteristics'!$C:$C,0)))</f>
        <v>Transportation</v>
      </c>
      <c r="B15" s="284" t="str">
        <f>IF(ISBLANK(INDEX('Policy Characteristics'!B:B,MATCH($C15,'Policy Characteristics'!$C:$C,0))),"",INDEX('Policy Characteristics'!B:B,MATCH($C15,'Policy Characteristics'!$C:$C,0)))</f>
        <v>Conventional Pollutant Standards</v>
      </c>
      <c r="C15" s="275" t="str">
        <f t="shared" si="0"/>
        <v>Percentage Reduction of Separately Regulated Pollutants</v>
      </c>
      <c r="D15" s="2" t="s">
        <v>38</v>
      </c>
      <c r="E15" s="2" t="s">
        <v>2227</v>
      </c>
      <c r="F15" s="2" t="s">
        <v>3483</v>
      </c>
      <c r="G15" s="2" t="s">
        <v>2227</v>
      </c>
      <c r="H15" s="49">
        <v>313</v>
      </c>
      <c r="I15" s="346" t="s">
        <v>43</v>
      </c>
      <c r="J15" s="276" t="str">
        <f>IF(ISBLANK(INDEX('Policy Characteristics'!D:D,MATCH($C15,'Policy Characteristics'!$C:$C,0))),"",INDEX('Policy Characteristics'!D:D,MATCH($C15,'Policy Characteristics'!$C:$C,0)))</f>
        <v>Conventional Pollutant Standard</v>
      </c>
      <c r="K15" s="275" t="str">
        <f>IF(ISBLANK(INDEX('Policy Characteristics'!E:E,MATCH($C15,'Policy Characteristics'!$C:$C,0))),"",INDEX('Policy Characteristics'!E:E,MATCH($C15,'Policy Characteristics'!$C:$C,0)))</f>
        <v>trans reduce regulated pollutants</v>
      </c>
      <c r="L15" s="283">
        <f>IF(ISBLANK(INDEX('Policy Characteristics'!F:F,MATCH($C15,'Policy Characteristics'!$C:$C,0))),"",INDEX('Policy Characteristics'!F:F,MATCH($C15,'Policy Characteristics'!$C:$C,0)))</f>
        <v>0</v>
      </c>
      <c r="M15" s="283">
        <f>IF(ISBLANK(INDEX('Policy Characteristics'!G:G,MATCH($C15,'Policy Characteristics'!$C:$C,0))),"",INDEX('Policy Characteristics'!G:G,MATCH($C15,'Policy Characteristics'!$C:$C,0)))</f>
        <v>1</v>
      </c>
      <c r="N15" s="283">
        <f>IF(ISBLANK(INDEX('Policy Characteristics'!H:H,MATCH($C15,'Policy Characteristics'!$C:$C,0))),"",INDEX('Policy Characteristics'!H:H,MATCH($C15,'Policy Characteristics'!$C:$C,0)))</f>
        <v>0.02</v>
      </c>
      <c r="O15" s="275" t="str">
        <f>IF(ISBLANK(INDEX('Policy Characteristics'!I:I,MATCH($C15,'Policy Characteristics'!$C:$C,0))),"",INDEX('Policy Characteristics'!I:I,MATCH($C15,'Policy Characteristics'!$C:$C,0)))</f>
        <v>% reduction in emissions</v>
      </c>
      <c r="P15" s="275"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75" t="str">
        <f>IF(ISBLANK(INDEX('Policy Characteristics'!K:K,MATCH($C15,'Policy Characteristics'!$C:$C,0))),"",INDEX('Policy Characteristics'!K:K,MATCH($C15,'Policy Characteristics'!$C:$C,0)))</f>
        <v>transportation-sector-main.html#conv-pol-stds</v>
      </c>
      <c r="R15" s="275" t="str">
        <f>IF(ISBLANK(INDEX('Policy Characteristics'!L:L,MATCH($C15,'Policy Characteristics'!$C:$C,0))),"",INDEX('Policy Characteristics'!L:L,MATCH($C15,'Policy Characteristics'!$C:$C,0)))</f>
        <v>conventional-pollutant-standards.html</v>
      </c>
    </row>
    <row r="16" spans="1:18" s="2" customFormat="1" x14ac:dyDescent="0.25">
      <c r="A16" s="275" t="str">
        <f>IF(ISBLANK(INDEX('Policy Characteristics'!A:A,MATCH($C16,'Policy Characteristics'!$C:$C,0))),"",INDEX('Policy Characteristics'!A:A,MATCH($C16,'Policy Characteristics'!$C:$C,0)))</f>
        <v>Transportation</v>
      </c>
      <c r="B16" s="284" t="str">
        <f>IF(ISBLANK(INDEX('Policy Characteristics'!B:B,MATCH($C16,'Policy Characteristics'!$C:$C,0))),"",INDEX('Policy Characteristics'!B:B,MATCH($C16,'Policy Characteristics'!$C:$C,0)))</f>
        <v>Conventional Pollutant Standards</v>
      </c>
      <c r="C16" s="275" t="str">
        <f t="shared" si="0"/>
        <v>Percentage Reduction of Separately Regulated Pollutants</v>
      </c>
      <c r="D16" s="2" t="s">
        <v>38</v>
      </c>
      <c r="E16" s="2" t="s">
        <v>2229</v>
      </c>
      <c r="F16" s="2" t="s">
        <v>3483</v>
      </c>
      <c r="G16" s="2" t="s">
        <v>2320</v>
      </c>
      <c r="H16" s="49">
        <v>314</v>
      </c>
      <c r="I16" s="346" t="s">
        <v>43</v>
      </c>
      <c r="J16" s="276" t="str">
        <f>IF(ISBLANK(INDEX('Policy Characteristics'!D:D,MATCH($C16,'Policy Characteristics'!$C:$C,0))),"",INDEX('Policy Characteristics'!D:D,MATCH($C16,'Policy Characteristics'!$C:$C,0)))</f>
        <v>Conventional Pollutant Standard</v>
      </c>
      <c r="K16" s="275" t="str">
        <f>IF(ISBLANK(INDEX('Policy Characteristics'!E:E,MATCH($C16,'Policy Characteristics'!$C:$C,0))),"",INDEX('Policy Characteristics'!E:E,MATCH($C16,'Policy Characteristics'!$C:$C,0)))</f>
        <v>trans reduce regulated pollutants</v>
      </c>
      <c r="L16" s="283">
        <f>IF(ISBLANK(INDEX('Policy Characteristics'!F:F,MATCH($C16,'Policy Characteristics'!$C:$C,0))),"",INDEX('Policy Characteristics'!F:F,MATCH($C16,'Policy Characteristics'!$C:$C,0)))</f>
        <v>0</v>
      </c>
      <c r="M16" s="283">
        <f>IF(ISBLANK(INDEX('Policy Characteristics'!G:G,MATCH($C16,'Policy Characteristics'!$C:$C,0))),"",INDEX('Policy Characteristics'!G:G,MATCH($C16,'Policy Characteristics'!$C:$C,0)))</f>
        <v>1</v>
      </c>
      <c r="N16" s="283">
        <f>IF(ISBLANK(INDEX('Policy Characteristics'!H:H,MATCH($C16,'Policy Characteristics'!$C:$C,0))),"",INDEX('Policy Characteristics'!H:H,MATCH($C16,'Policy Characteristics'!$C:$C,0)))</f>
        <v>0.02</v>
      </c>
      <c r="O16" s="275" t="str">
        <f>IF(ISBLANK(INDEX('Policy Characteristics'!I:I,MATCH($C16,'Policy Characteristics'!$C:$C,0))),"",INDEX('Policy Characteristics'!I:I,MATCH($C16,'Policy Characteristics'!$C:$C,0)))</f>
        <v>% reduction in emissions</v>
      </c>
      <c r="P16" s="275"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75" t="str">
        <f>IF(ISBLANK(INDEX('Policy Characteristics'!K:K,MATCH($C16,'Policy Characteristics'!$C:$C,0))),"",INDEX('Policy Characteristics'!K:K,MATCH($C16,'Policy Characteristics'!$C:$C,0)))</f>
        <v>transportation-sector-main.html#conv-pol-stds</v>
      </c>
      <c r="R16" s="275" t="str">
        <f>IF(ISBLANK(INDEX('Policy Characteristics'!L:L,MATCH($C16,'Policy Characteristics'!$C:$C,0))),"",INDEX('Policy Characteristics'!L:L,MATCH($C16,'Policy Characteristics'!$C:$C,0)))</f>
        <v>conventional-pollutant-standards.html</v>
      </c>
    </row>
    <row r="17" spans="1:18" s="2" customFormat="1" x14ac:dyDescent="0.25">
      <c r="A17" s="275" t="str">
        <f>IF(ISBLANK(INDEX('Policy Characteristics'!A:A,MATCH($C17,'Policy Characteristics'!$C:$C,0))),"",INDEX('Policy Characteristics'!A:A,MATCH($C17,'Policy Characteristics'!$C:$C,0)))</f>
        <v>Transportation</v>
      </c>
      <c r="B17" s="284" t="str">
        <f>IF(ISBLANK(INDEX('Policy Characteristics'!B:B,MATCH($C17,'Policy Characteristics'!$C:$C,0))),"",INDEX('Policy Characteristics'!B:B,MATCH($C17,'Policy Characteristics'!$C:$C,0)))</f>
        <v>Conventional Pollutant Standards</v>
      </c>
      <c r="C17" s="275" t="str">
        <f t="shared" si="0"/>
        <v>Percentage Reduction of Separately Regulated Pollutants</v>
      </c>
      <c r="D17" s="2" t="s">
        <v>38</v>
      </c>
      <c r="E17" s="2" t="s">
        <v>2230</v>
      </c>
      <c r="F17" s="2" t="s">
        <v>3483</v>
      </c>
      <c r="G17" s="2" t="s">
        <v>2230</v>
      </c>
      <c r="H17" s="49">
        <v>315</v>
      </c>
      <c r="I17" s="346" t="s">
        <v>43</v>
      </c>
      <c r="J17" s="276" t="str">
        <f>IF(ISBLANK(INDEX('Policy Characteristics'!D:D,MATCH($C17,'Policy Characteristics'!$C:$C,0))),"",INDEX('Policy Characteristics'!D:D,MATCH($C17,'Policy Characteristics'!$C:$C,0)))</f>
        <v>Conventional Pollutant Standard</v>
      </c>
      <c r="K17" s="275" t="str">
        <f>IF(ISBLANK(INDEX('Policy Characteristics'!E:E,MATCH($C17,'Policy Characteristics'!$C:$C,0))),"",INDEX('Policy Characteristics'!E:E,MATCH($C17,'Policy Characteristics'!$C:$C,0)))</f>
        <v>trans reduce regulated pollutants</v>
      </c>
      <c r="L17" s="283">
        <f>IF(ISBLANK(INDEX('Policy Characteristics'!F:F,MATCH($C17,'Policy Characteristics'!$C:$C,0))),"",INDEX('Policy Characteristics'!F:F,MATCH($C17,'Policy Characteristics'!$C:$C,0)))</f>
        <v>0</v>
      </c>
      <c r="M17" s="283">
        <f>IF(ISBLANK(INDEX('Policy Characteristics'!G:G,MATCH($C17,'Policy Characteristics'!$C:$C,0))),"",INDEX('Policy Characteristics'!G:G,MATCH($C17,'Policy Characteristics'!$C:$C,0)))</f>
        <v>1</v>
      </c>
      <c r="N17" s="283">
        <f>IF(ISBLANK(INDEX('Policy Characteristics'!H:H,MATCH($C17,'Policy Characteristics'!$C:$C,0))),"",INDEX('Policy Characteristics'!H:H,MATCH($C17,'Policy Characteristics'!$C:$C,0)))</f>
        <v>0.02</v>
      </c>
      <c r="O17" s="275" t="str">
        <f>IF(ISBLANK(INDEX('Policy Characteristics'!I:I,MATCH($C17,'Policy Characteristics'!$C:$C,0))),"",INDEX('Policy Characteristics'!I:I,MATCH($C17,'Policy Characteristics'!$C:$C,0)))</f>
        <v>% reduction in emissions</v>
      </c>
      <c r="P17" s="275"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75" t="str">
        <f>IF(ISBLANK(INDEX('Policy Characteristics'!K:K,MATCH($C17,'Policy Characteristics'!$C:$C,0))),"",INDEX('Policy Characteristics'!K:K,MATCH($C17,'Policy Characteristics'!$C:$C,0)))</f>
        <v>transportation-sector-main.html#conv-pol-stds</v>
      </c>
      <c r="R17" s="275" t="str">
        <f>IF(ISBLANK(INDEX('Policy Characteristics'!L:L,MATCH($C17,'Policy Characteristics'!$C:$C,0))),"",INDEX('Policy Characteristics'!L:L,MATCH($C17,'Policy Characteristics'!$C:$C,0)))</f>
        <v>conventional-pollutant-standards.html</v>
      </c>
    </row>
    <row r="18" spans="1:18" s="2" customFormat="1" x14ac:dyDescent="0.25">
      <c r="A18" s="275" t="str">
        <f>IF(ISBLANK(INDEX('Policy Characteristics'!A:A,MATCH($C18,'Policy Characteristics'!$C:$C,0))),"",INDEX('Policy Characteristics'!A:A,MATCH($C18,'Policy Characteristics'!$C:$C,0)))</f>
        <v>Transportation</v>
      </c>
      <c r="B18" s="284" t="str">
        <f>IF(ISBLANK(INDEX('Policy Characteristics'!B:B,MATCH($C18,'Policy Characteristics'!$C:$C,0))),"",INDEX('Policy Characteristics'!B:B,MATCH($C18,'Policy Characteristics'!$C:$C,0)))</f>
        <v>Conventional Pollutant Standards</v>
      </c>
      <c r="C18" s="275" t="str">
        <f t="shared" si="0"/>
        <v>Percentage Reduction of Separately Regulated Pollutants</v>
      </c>
      <c r="D18" s="2" t="s">
        <v>38</v>
      </c>
      <c r="E18" s="2" t="s">
        <v>2232</v>
      </c>
      <c r="F18" s="2" t="s">
        <v>3483</v>
      </c>
      <c r="G18" s="2" t="s">
        <v>2232</v>
      </c>
      <c r="H18" s="49">
        <v>316</v>
      </c>
      <c r="I18" s="346" t="s">
        <v>43</v>
      </c>
      <c r="J18" s="276" t="str">
        <f>IF(ISBLANK(INDEX('Policy Characteristics'!D:D,MATCH($C18,'Policy Characteristics'!$C:$C,0))),"",INDEX('Policy Characteristics'!D:D,MATCH($C18,'Policy Characteristics'!$C:$C,0)))</f>
        <v>Conventional Pollutant Standard</v>
      </c>
      <c r="K18" s="275" t="str">
        <f>IF(ISBLANK(INDEX('Policy Characteristics'!E:E,MATCH($C18,'Policy Characteristics'!$C:$C,0))),"",INDEX('Policy Characteristics'!E:E,MATCH($C18,'Policy Characteristics'!$C:$C,0)))</f>
        <v>trans reduce regulated pollutants</v>
      </c>
      <c r="L18" s="283">
        <f>IF(ISBLANK(INDEX('Policy Characteristics'!F:F,MATCH($C18,'Policy Characteristics'!$C:$C,0))),"",INDEX('Policy Characteristics'!F:F,MATCH($C18,'Policy Characteristics'!$C:$C,0)))</f>
        <v>0</v>
      </c>
      <c r="M18" s="283">
        <f>IF(ISBLANK(INDEX('Policy Characteristics'!G:G,MATCH($C18,'Policy Characteristics'!$C:$C,0))),"",INDEX('Policy Characteristics'!G:G,MATCH($C18,'Policy Characteristics'!$C:$C,0)))</f>
        <v>1</v>
      </c>
      <c r="N18" s="283">
        <f>IF(ISBLANK(INDEX('Policy Characteristics'!H:H,MATCH($C18,'Policy Characteristics'!$C:$C,0))),"",INDEX('Policy Characteristics'!H:H,MATCH($C18,'Policy Characteristics'!$C:$C,0)))</f>
        <v>0.02</v>
      </c>
      <c r="O18" s="275" t="str">
        <f>IF(ISBLANK(INDEX('Policy Characteristics'!I:I,MATCH($C18,'Policy Characteristics'!$C:$C,0))),"",INDEX('Policy Characteristics'!I:I,MATCH($C18,'Policy Characteristics'!$C:$C,0)))</f>
        <v>% reduction in emissions</v>
      </c>
      <c r="P18" s="275"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75" t="str">
        <f>IF(ISBLANK(INDEX('Policy Characteristics'!K:K,MATCH($C18,'Policy Characteristics'!$C:$C,0))),"",INDEX('Policy Characteristics'!K:K,MATCH($C18,'Policy Characteristics'!$C:$C,0)))</f>
        <v>transportation-sector-main.html#conv-pol-stds</v>
      </c>
      <c r="R18" s="275" t="str">
        <f>IF(ISBLANK(INDEX('Policy Characteristics'!L:L,MATCH($C18,'Policy Characteristics'!$C:$C,0))),"",INDEX('Policy Characteristics'!L:L,MATCH($C18,'Policy Characteristics'!$C:$C,0)))</f>
        <v>conventional-pollutant-standards.html</v>
      </c>
    </row>
    <row r="19" spans="1:18" s="2" customFormat="1" x14ac:dyDescent="0.25">
      <c r="A19" s="275" t="str">
        <f>IF(ISBLANK(INDEX('Policy Characteristics'!A:A,MATCH($C19,'Policy Characteristics'!$C:$C,0))),"",INDEX('Policy Characteristics'!A:A,MATCH($C19,'Policy Characteristics'!$C:$C,0)))</f>
        <v>Transportation</v>
      </c>
      <c r="B19" s="284" t="str">
        <f>IF(ISBLANK(INDEX('Policy Characteristics'!B:B,MATCH($C19,'Policy Characteristics'!$C:$C,0))),"",INDEX('Policy Characteristics'!B:B,MATCH($C19,'Policy Characteristics'!$C:$C,0)))</f>
        <v>Conventional Pollutant Standards</v>
      </c>
      <c r="C19" s="275" t="str">
        <f t="shared" si="0"/>
        <v>Percentage Reduction of Separately Regulated Pollutants</v>
      </c>
      <c r="D19" s="2" t="s">
        <v>38</v>
      </c>
      <c r="E19" s="2" t="s">
        <v>2234</v>
      </c>
      <c r="F19" s="2" t="s">
        <v>3483</v>
      </c>
      <c r="G19" s="2" t="s">
        <v>2234</v>
      </c>
      <c r="H19" s="49">
        <v>317</v>
      </c>
      <c r="I19" s="346" t="s">
        <v>43</v>
      </c>
      <c r="J19" s="276" t="str">
        <f>IF(ISBLANK(INDEX('Policy Characteristics'!D:D,MATCH($C19,'Policy Characteristics'!$C:$C,0))),"",INDEX('Policy Characteristics'!D:D,MATCH($C19,'Policy Characteristics'!$C:$C,0)))</f>
        <v>Conventional Pollutant Standard</v>
      </c>
      <c r="K19" s="275" t="str">
        <f>IF(ISBLANK(INDEX('Policy Characteristics'!E:E,MATCH($C19,'Policy Characteristics'!$C:$C,0))),"",INDEX('Policy Characteristics'!E:E,MATCH($C19,'Policy Characteristics'!$C:$C,0)))</f>
        <v>trans reduce regulated pollutants</v>
      </c>
      <c r="L19" s="283">
        <f>IF(ISBLANK(INDEX('Policy Characteristics'!F:F,MATCH($C19,'Policy Characteristics'!$C:$C,0))),"",INDEX('Policy Characteristics'!F:F,MATCH($C19,'Policy Characteristics'!$C:$C,0)))</f>
        <v>0</v>
      </c>
      <c r="M19" s="283">
        <f>IF(ISBLANK(INDEX('Policy Characteristics'!G:G,MATCH($C19,'Policy Characteristics'!$C:$C,0))),"",INDEX('Policy Characteristics'!G:G,MATCH($C19,'Policy Characteristics'!$C:$C,0)))</f>
        <v>1</v>
      </c>
      <c r="N19" s="283">
        <f>IF(ISBLANK(INDEX('Policy Characteristics'!H:H,MATCH($C19,'Policy Characteristics'!$C:$C,0))),"",INDEX('Policy Characteristics'!H:H,MATCH($C19,'Policy Characteristics'!$C:$C,0)))</f>
        <v>0.02</v>
      </c>
      <c r="O19" s="275" t="str">
        <f>IF(ISBLANK(INDEX('Policy Characteristics'!I:I,MATCH($C19,'Policy Characteristics'!$C:$C,0))),"",INDEX('Policy Characteristics'!I:I,MATCH($C19,'Policy Characteristics'!$C:$C,0)))</f>
        <v>% reduction in emissions</v>
      </c>
      <c r="P19" s="275"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75" t="str">
        <f>IF(ISBLANK(INDEX('Policy Characteristics'!K:K,MATCH($C19,'Policy Characteristics'!$C:$C,0))),"",INDEX('Policy Characteristics'!K:K,MATCH($C19,'Policy Characteristics'!$C:$C,0)))</f>
        <v>transportation-sector-main.html#conv-pol-stds</v>
      </c>
      <c r="R19" s="275" t="str">
        <f>IF(ISBLANK(INDEX('Policy Characteristics'!L:L,MATCH($C19,'Policy Characteristics'!$C:$C,0))),"",INDEX('Policy Characteristics'!L:L,MATCH($C19,'Policy Characteristics'!$C:$C,0)))</f>
        <v>conventional-pollutant-standards.html</v>
      </c>
    </row>
    <row r="20" spans="1:18" s="2" customFormat="1" x14ac:dyDescent="0.25">
      <c r="A20" s="275" t="str">
        <f>IF(ISBLANK(INDEX('Policy Characteristics'!A:A,MATCH($C20,'Policy Characteristics'!$C:$C,0))),"",INDEX('Policy Characteristics'!A:A,MATCH($C20,'Policy Characteristics'!$C:$C,0)))</f>
        <v>Transportation</v>
      </c>
      <c r="B20" s="284" t="str">
        <f>IF(ISBLANK(INDEX('Policy Characteristics'!B:B,MATCH($C20,'Policy Characteristics'!$C:$C,0))),"",INDEX('Policy Characteristics'!B:B,MATCH($C20,'Policy Characteristics'!$C:$C,0)))</f>
        <v>Conventional Pollutant Standards</v>
      </c>
      <c r="C20" s="275" t="str">
        <f t="shared" si="0"/>
        <v>Percentage Reduction of Separately Regulated Pollutants</v>
      </c>
      <c r="D20" s="2" t="s">
        <v>38</v>
      </c>
      <c r="E20" s="2" t="s">
        <v>2236</v>
      </c>
      <c r="F20" s="2" t="s">
        <v>3483</v>
      </c>
      <c r="G20" s="2" t="s">
        <v>2236</v>
      </c>
      <c r="H20" s="49">
        <v>318</v>
      </c>
      <c r="I20" s="347" t="s">
        <v>44</v>
      </c>
      <c r="J20" s="276" t="str">
        <f>IF(ISBLANK(INDEX('Policy Characteristics'!D:D,MATCH($C20,'Policy Characteristics'!$C:$C,0))),"",INDEX('Policy Characteristics'!D:D,MATCH($C20,'Policy Characteristics'!$C:$C,0)))</f>
        <v>Conventional Pollutant Standard</v>
      </c>
      <c r="K20" s="275" t="str">
        <f>IF(ISBLANK(INDEX('Policy Characteristics'!E:E,MATCH($C20,'Policy Characteristics'!$C:$C,0))),"",INDEX('Policy Characteristics'!E:E,MATCH($C20,'Policy Characteristics'!$C:$C,0)))</f>
        <v>trans reduce regulated pollutants</v>
      </c>
      <c r="L20" s="283">
        <f>IF(ISBLANK(INDEX('Policy Characteristics'!F:F,MATCH($C20,'Policy Characteristics'!$C:$C,0))),"",INDEX('Policy Characteristics'!F:F,MATCH($C20,'Policy Characteristics'!$C:$C,0)))</f>
        <v>0</v>
      </c>
      <c r="M20" s="283">
        <f>IF(ISBLANK(INDEX('Policy Characteristics'!G:G,MATCH($C20,'Policy Characteristics'!$C:$C,0))),"",INDEX('Policy Characteristics'!G:G,MATCH($C20,'Policy Characteristics'!$C:$C,0)))</f>
        <v>1</v>
      </c>
      <c r="N20" s="283">
        <f>IF(ISBLANK(INDEX('Policy Characteristics'!H:H,MATCH($C20,'Policy Characteristics'!$C:$C,0))),"",INDEX('Policy Characteristics'!H:H,MATCH($C20,'Policy Characteristics'!$C:$C,0)))</f>
        <v>0.02</v>
      </c>
      <c r="O20" s="275" t="str">
        <f>IF(ISBLANK(INDEX('Policy Characteristics'!I:I,MATCH($C20,'Policy Characteristics'!$C:$C,0))),"",INDEX('Policy Characteristics'!I:I,MATCH($C20,'Policy Characteristics'!$C:$C,0)))</f>
        <v>% reduction in emissions</v>
      </c>
      <c r="P20" s="275"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75" t="str">
        <f>IF(ISBLANK(INDEX('Policy Characteristics'!K:K,MATCH($C20,'Policy Characteristics'!$C:$C,0))),"",INDEX('Policy Characteristics'!K:K,MATCH($C20,'Policy Characteristics'!$C:$C,0)))</f>
        <v>transportation-sector-main.html#conv-pol-stds</v>
      </c>
      <c r="R20" s="275" t="str">
        <f>IF(ISBLANK(INDEX('Policy Characteristics'!L:L,MATCH($C20,'Policy Characteristics'!$C:$C,0))),"",INDEX('Policy Characteristics'!L:L,MATCH($C20,'Policy Characteristics'!$C:$C,0)))</f>
        <v>conventional-pollutant-standards.html</v>
      </c>
    </row>
    <row r="21" spans="1:18" s="2" customFormat="1" x14ac:dyDescent="0.25">
      <c r="A21" s="275" t="str">
        <f>IF(ISBLANK(INDEX('Policy Characteristics'!A:A,MATCH($C21,'Policy Characteristics'!$C:$C,0))),"",INDEX('Policy Characteristics'!A:A,MATCH($C21,'Policy Characteristics'!$C:$C,0)))</f>
        <v>Transportation</v>
      </c>
      <c r="B21" s="284" t="str">
        <f>IF(ISBLANK(INDEX('Policy Characteristics'!B:B,MATCH($C21,'Policy Characteristics'!$C:$C,0))),"",INDEX('Policy Characteristics'!B:B,MATCH($C21,'Policy Characteristics'!$C:$C,0)))</f>
        <v>Conventional Pollutant Standards</v>
      </c>
      <c r="C21" s="275" t="str">
        <f t="shared" si="0"/>
        <v>Percentage Reduction of Separately Regulated Pollutants</v>
      </c>
      <c r="D21" s="2" t="s">
        <v>38</v>
      </c>
      <c r="E21" s="2" t="s">
        <v>2238</v>
      </c>
      <c r="F21" s="2" t="s">
        <v>3483</v>
      </c>
      <c r="G21" s="2" t="s">
        <v>2238</v>
      </c>
      <c r="H21" s="49">
        <v>319</v>
      </c>
      <c r="I21" s="347" t="s">
        <v>44</v>
      </c>
      <c r="J21" s="276" t="str">
        <f>IF(ISBLANK(INDEX('Policy Characteristics'!D:D,MATCH($C21,'Policy Characteristics'!$C:$C,0))),"",INDEX('Policy Characteristics'!D:D,MATCH($C21,'Policy Characteristics'!$C:$C,0)))</f>
        <v>Conventional Pollutant Standard</v>
      </c>
      <c r="K21" s="275" t="str">
        <f>IF(ISBLANK(INDEX('Policy Characteristics'!E:E,MATCH($C21,'Policy Characteristics'!$C:$C,0))),"",INDEX('Policy Characteristics'!E:E,MATCH($C21,'Policy Characteristics'!$C:$C,0)))</f>
        <v>trans reduce regulated pollutants</v>
      </c>
      <c r="L21" s="283">
        <f>IF(ISBLANK(INDEX('Policy Characteristics'!F:F,MATCH($C21,'Policy Characteristics'!$C:$C,0))),"",INDEX('Policy Characteristics'!F:F,MATCH($C21,'Policy Characteristics'!$C:$C,0)))</f>
        <v>0</v>
      </c>
      <c r="M21" s="283">
        <f>IF(ISBLANK(INDEX('Policy Characteristics'!G:G,MATCH($C21,'Policy Characteristics'!$C:$C,0))),"",INDEX('Policy Characteristics'!G:G,MATCH($C21,'Policy Characteristics'!$C:$C,0)))</f>
        <v>1</v>
      </c>
      <c r="N21" s="283">
        <f>IF(ISBLANK(INDEX('Policy Characteristics'!H:H,MATCH($C21,'Policy Characteristics'!$C:$C,0))),"",INDEX('Policy Characteristics'!H:H,MATCH($C21,'Policy Characteristics'!$C:$C,0)))</f>
        <v>0.02</v>
      </c>
      <c r="O21" s="275" t="str">
        <f>IF(ISBLANK(INDEX('Policy Characteristics'!I:I,MATCH($C21,'Policy Characteristics'!$C:$C,0))),"",INDEX('Policy Characteristics'!I:I,MATCH($C21,'Policy Characteristics'!$C:$C,0)))</f>
        <v>% reduction in emissions</v>
      </c>
      <c r="P21" s="275"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75" t="str">
        <f>IF(ISBLANK(INDEX('Policy Characteristics'!K:K,MATCH($C21,'Policy Characteristics'!$C:$C,0))),"",INDEX('Policy Characteristics'!K:K,MATCH($C21,'Policy Characteristics'!$C:$C,0)))</f>
        <v>transportation-sector-main.html#conv-pol-stds</v>
      </c>
      <c r="R21" s="275" t="str">
        <f>IF(ISBLANK(INDEX('Policy Characteristics'!L:L,MATCH($C21,'Policy Characteristics'!$C:$C,0))),"",INDEX('Policy Characteristics'!L:L,MATCH($C21,'Policy Characteristics'!$C:$C,0)))</f>
        <v>conventional-pollutant-standards.html</v>
      </c>
    </row>
    <row r="22" spans="1:18" s="2" customFormat="1" x14ac:dyDescent="0.25">
      <c r="A22" s="275" t="str">
        <f>IF(ISBLANK(INDEX('Policy Characteristics'!A:A,MATCH($C22,'Policy Characteristics'!$C:$C,0))),"",INDEX('Policy Characteristics'!A:A,MATCH($C22,'Policy Characteristics'!$C:$C,0)))</f>
        <v>Transportation</v>
      </c>
      <c r="B22" s="284" t="str">
        <f>IF(ISBLANK(INDEX('Policy Characteristics'!B:B,MATCH($C22,'Policy Characteristics'!$C:$C,0))),"",INDEX('Policy Characteristics'!B:B,MATCH($C22,'Policy Characteristics'!$C:$C,0)))</f>
        <v>Conventional Pollutant Standards</v>
      </c>
      <c r="C22" s="275" t="str">
        <f t="shared" si="0"/>
        <v>Percentage Reduction of Separately Regulated Pollutants</v>
      </c>
      <c r="D22" s="2" t="s">
        <v>39</v>
      </c>
      <c r="E22" s="2" t="s">
        <v>2222</v>
      </c>
      <c r="F22" s="2" t="s">
        <v>3307</v>
      </c>
      <c r="G22" s="2" t="s">
        <v>2428</v>
      </c>
      <c r="H22" s="49">
        <v>320</v>
      </c>
      <c r="I22" s="346" t="s">
        <v>43</v>
      </c>
      <c r="J22" s="276" t="str">
        <f>IF(ISBLANK(INDEX('Policy Characteristics'!D:D,MATCH($C22,'Policy Characteristics'!$C:$C,0))),"",INDEX('Policy Characteristics'!D:D,MATCH($C22,'Policy Characteristics'!$C:$C,0)))</f>
        <v>Conventional Pollutant Standard</v>
      </c>
      <c r="K22" s="275" t="str">
        <f>IF(ISBLANK(INDEX('Policy Characteristics'!E:E,MATCH($C22,'Policy Characteristics'!$C:$C,0))),"",INDEX('Policy Characteristics'!E:E,MATCH($C22,'Policy Characteristics'!$C:$C,0)))</f>
        <v>trans reduce regulated pollutants</v>
      </c>
      <c r="L22" s="283">
        <f>IF(ISBLANK(INDEX('Policy Characteristics'!F:F,MATCH($C22,'Policy Characteristics'!$C:$C,0))),"",INDEX('Policy Characteristics'!F:F,MATCH($C22,'Policy Characteristics'!$C:$C,0)))</f>
        <v>0</v>
      </c>
      <c r="M22" s="283">
        <f>IF(ISBLANK(INDEX('Policy Characteristics'!G:G,MATCH($C22,'Policy Characteristics'!$C:$C,0))),"",INDEX('Policy Characteristics'!G:G,MATCH($C22,'Policy Characteristics'!$C:$C,0)))</f>
        <v>1</v>
      </c>
      <c r="N22" s="283">
        <f>IF(ISBLANK(INDEX('Policy Characteristics'!H:H,MATCH($C22,'Policy Characteristics'!$C:$C,0))),"",INDEX('Policy Characteristics'!H:H,MATCH($C22,'Policy Characteristics'!$C:$C,0)))</f>
        <v>0.02</v>
      </c>
      <c r="O22" s="275" t="str">
        <f>IF(ISBLANK(INDEX('Policy Characteristics'!I:I,MATCH($C22,'Policy Characteristics'!$C:$C,0))),"",INDEX('Policy Characteristics'!I:I,MATCH($C22,'Policy Characteristics'!$C:$C,0)))</f>
        <v>% reduction in emissions</v>
      </c>
      <c r="P22" s="275"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75" t="str">
        <f>IF(ISBLANK(INDEX('Policy Characteristics'!K:K,MATCH($C22,'Policy Characteristics'!$C:$C,0))),"",INDEX('Policy Characteristics'!K:K,MATCH($C22,'Policy Characteristics'!$C:$C,0)))</f>
        <v>transportation-sector-main.html#conv-pol-stds</v>
      </c>
      <c r="R22" s="275" t="str">
        <f>IF(ISBLANK(INDEX('Policy Characteristics'!L:L,MATCH($C22,'Policy Characteristics'!$C:$C,0))),"",INDEX('Policy Characteristics'!L:L,MATCH($C22,'Policy Characteristics'!$C:$C,0)))</f>
        <v>conventional-pollutant-standards.html</v>
      </c>
    </row>
    <row r="23" spans="1:18" s="2" customFormat="1" x14ac:dyDescent="0.25">
      <c r="A23" s="275" t="str">
        <f>IF(ISBLANK(INDEX('Policy Characteristics'!A:A,MATCH($C23,'Policy Characteristics'!$C:$C,0))),"",INDEX('Policy Characteristics'!A:A,MATCH($C23,'Policy Characteristics'!$C:$C,0)))</f>
        <v>Transportation</v>
      </c>
      <c r="B23" s="284" t="str">
        <f>IF(ISBLANK(INDEX('Policy Characteristics'!B:B,MATCH($C23,'Policy Characteristics'!$C:$C,0))),"",INDEX('Policy Characteristics'!B:B,MATCH($C23,'Policy Characteristics'!$C:$C,0)))</f>
        <v>Conventional Pollutant Standards</v>
      </c>
      <c r="C23" s="275" t="str">
        <f t="shared" ref="C23:C32" si="1">C$2</f>
        <v>Percentage Reduction of Separately Regulated Pollutants</v>
      </c>
      <c r="D23" s="2" t="s">
        <v>39</v>
      </c>
      <c r="E23" s="2" t="s">
        <v>485</v>
      </c>
      <c r="F23" s="2" t="s">
        <v>3307</v>
      </c>
      <c r="G23" s="2" t="s">
        <v>485</v>
      </c>
      <c r="H23" s="49">
        <v>321</v>
      </c>
      <c r="I23" s="347" t="s">
        <v>44</v>
      </c>
      <c r="J23" s="276" t="str">
        <f>IF(ISBLANK(INDEX('Policy Characteristics'!D:D,MATCH($C23,'Policy Characteristics'!$C:$C,0))),"",INDEX('Policy Characteristics'!D:D,MATCH($C23,'Policy Characteristics'!$C:$C,0)))</f>
        <v>Conventional Pollutant Standard</v>
      </c>
      <c r="K23" s="275" t="str">
        <f>IF(ISBLANK(INDEX('Policy Characteristics'!E:E,MATCH($C23,'Policy Characteristics'!$C:$C,0))),"",INDEX('Policy Characteristics'!E:E,MATCH($C23,'Policy Characteristics'!$C:$C,0)))</f>
        <v>trans reduce regulated pollutants</v>
      </c>
      <c r="L23" s="283">
        <f>IF(ISBLANK(INDEX('Policy Characteristics'!F:F,MATCH($C23,'Policy Characteristics'!$C:$C,0))),"",INDEX('Policy Characteristics'!F:F,MATCH($C23,'Policy Characteristics'!$C:$C,0)))</f>
        <v>0</v>
      </c>
      <c r="M23" s="283">
        <f>IF(ISBLANK(INDEX('Policy Characteristics'!G:G,MATCH($C23,'Policy Characteristics'!$C:$C,0))),"",INDEX('Policy Characteristics'!G:G,MATCH($C23,'Policy Characteristics'!$C:$C,0)))</f>
        <v>1</v>
      </c>
      <c r="N23" s="283">
        <f>IF(ISBLANK(INDEX('Policy Characteristics'!H:H,MATCH($C23,'Policy Characteristics'!$C:$C,0))),"",INDEX('Policy Characteristics'!H:H,MATCH($C23,'Policy Characteristics'!$C:$C,0)))</f>
        <v>0.02</v>
      </c>
      <c r="O23" s="275" t="str">
        <f>IF(ISBLANK(INDEX('Policy Characteristics'!I:I,MATCH($C23,'Policy Characteristics'!$C:$C,0))),"",INDEX('Policy Characteristics'!I:I,MATCH($C23,'Policy Characteristics'!$C:$C,0)))</f>
        <v>% reduction in emissions</v>
      </c>
      <c r="P23" s="275"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75" t="str">
        <f>IF(ISBLANK(INDEX('Policy Characteristics'!K:K,MATCH($C23,'Policy Characteristics'!$C:$C,0))),"",INDEX('Policy Characteristics'!K:K,MATCH($C23,'Policy Characteristics'!$C:$C,0)))</f>
        <v>transportation-sector-main.html#conv-pol-stds</v>
      </c>
      <c r="R23" s="275" t="str">
        <f>IF(ISBLANK(INDEX('Policy Characteristics'!L:L,MATCH($C23,'Policy Characteristics'!$C:$C,0))),"",INDEX('Policy Characteristics'!L:L,MATCH($C23,'Policy Characteristics'!$C:$C,0)))</f>
        <v>conventional-pollutant-standards.html</v>
      </c>
    </row>
    <row r="24" spans="1:18" s="2" customFormat="1" x14ac:dyDescent="0.25">
      <c r="A24" s="275" t="str">
        <f>IF(ISBLANK(INDEX('Policy Characteristics'!A:A,MATCH($C24,'Policy Characteristics'!$C:$C,0))),"",INDEX('Policy Characteristics'!A:A,MATCH($C24,'Policy Characteristics'!$C:$C,0)))</f>
        <v>Transportation</v>
      </c>
      <c r="B24" s="284" t="str">
        <f>IF(ISBLANK(INDEX('Policy Characteristics'!B:B,MATCH($C24,'Policy Characteristics'!$C:$C,0))),"",INDEX('Policy Characteristics'!B:B,MATCH($C24,'Policy Characteristics'!$C:$C,0)))</f>
        <v>Conventional Pollutant Standards</v>
      </c>
      <c r="C24" s="275" t="str">
        <f t="shared" si="1"/>
        <v>Percentage Reduction of Separately Regulated Pollutants</v>
      </c>
      <c r="D24" s="2" t="s">
        <v>39</v>
      </c>
      <c r="E24" s="2" t="s">
        <v>2225</v>
      </c>
      <c r="F24" s="2" t="s">
        <v>3307</v>
      </c>
      <c r="G24" s="2" t="s">
        <v>2225</v>
      </c>
      <c r="H24" s="49">
        <v>322</v>
      </c>
      <c r="I24" s="346" t="s">
        <v>43</v>
      </c>
      <c r="J24" s="276" t="str">
        <f>IF(ISBLANK(INDEX('Policy Characteristics'!D:D,MATCH($C24,'Policy Characteristics'!$C:$C,0))),"",INDEX('Policy Characteristics'!D:D,MATCH($C24,'Policy Characteristics'!$C:$C,0)))</f>
        <v>Conventional Pollutant Standard</v>
      </c>
      <c r="K24" s="275" t="str">
        <f>IF(ISBLANK(INDEX('Policy Characteristics'!E:E,MATCH($C24,'Policy Characteristics'!$C:$C,0))),"",INDEX('Policy Characteristics'!E:E,MATCH($C24,'Policy Characteristics'!$C:$C,0)))</f>
        <v>trans reduce regulated pollutants</v>
      </c>
      <c r="L24" s="283">
        <f>IF(ISBLANK(INDEX('Policy Characteristics'!F:F,MATCH($C24,'Policy Characteristics'!$C:$C,0))),"",INDEX('Policy Characteristics'!F:F,MATCH($C24,'Policy Characteristics'!$C:$C,0)))</f>
        <v>0</v>
      </c>
      <c r="M24" s="283">
        <f>IF(ISBLANK(INDEX('Policy Characteristics'!G:G,MATCH($C24,'Policy Characteristics'!$C:$C,0))),"",INDEX('Policy Characteristics'!G:G,MATCH($C24,'Policy Characteristics'!$C:$C,0)))</f>
        <v>1</v>
      </c>
      <c r="N24" s="283">
        <f>IF(ISBLANK(INDEX('Policy Characteristics'!H:H,MATCH($C24,'Policy Characteristics'!$C:$C,0))),"",INDEX('Policy Characteristics'!H:H,MATCH($C24,'Policy Characteristics'!$C:$C,0)))</f>
        <v>0.02</v>
      </c>
      <c r="O24" s="275" t="str">
        <f>IF(ISBLANK(INDEX('Policy Characteristics'!I:I,MATCH($C24,'Policy Characteristics'!$C:$C,0))),"",INDEX('Policy Characteristics'!I:I,MATCH($C24,'Policy Characteristics'!$C:$C,0)))</f>
        <v>% reduction in emissions</v>
      </c>
      <c r="P24" s="275"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75" t="str">
        <f>IF(ISBLANK(INDEX('Policy Characteristics'!K:K,MATCH($C24,'Policy Characteristics'!$C:$C,0))),"",INDEX('Policy Characteristics'!K:K,MATCH($C24,'Policy Characteristics'!$C:$C,0)))</f>
        <v>transportation-sector-main.html#conv-pol-stds</v>
      </c>
      <c r="R24" s="275" t="str">
        <f>IF(ISBLANK(INDEX('Policy Characteristics'!L:L,MATCH($C24,'Policy Characteristics'!$C:$C,0))),"",INDEX('Policy Characteristics'!L:L,MATCH($C24,'Policy Characteristics'!$C:$C,0)))</f>
        <v>conventional-pollutant-standards.html</v>
      </c>
    </row>
    <row r="25" spans="1:18" s="2" customFormat="1" x14ac:dyDescent="0.25">
      <c r="A25" s="275" t="str">
        <f>IF(ISBLANK(INDEX('Policy Characteristics'!A:A,MATCH($C25,'Policy Characteristics'!$C:$C,0))),"",INDEX('Policy Characteristics'!A:A,MATCH($C25,'Policy Characteristics'!$C:$C,0)))</f>
        <v>Transportation</v>
      </c>
      <c r="B25" s="284" t="str">
        <f>IF(ISBLANK(INDEX('Policy Characteristics'!B:B,MATCH($C25,'Policy Characteristics'!$C:$C,0))),"",INDEX('Policy Characteristics'!B:B,MATCH($C25,'Policy Characteristics'!$C:$C,0)))</f>
        <v>Conventional Pollutant Standards</v>
      </c>
      <c r="C25" s="275" t="str">
        <f t="shared" si="1"/>
        <v>Percentage Reduction of Separately Regulated Pollutants</v>
      </c>
      <c r="D25" s="2" t="s">
        <v>39</v>
      </c>
      <c r="E25" s="2" t="s">
        <v>2227</v>
      </c>
      <c r="F25" s="2" t="s">
        <v>3307</v>
      </c>
      <c r="G25" s="2" t="s">
        <v>2227</v>
      </c>
      <c r="H25" s="49">
        <v>323</v>
      </c>
      <c r="I25" s="347" t="s">
        <v>44</v>
      </c>
      <c r="J25" s="276" t="str">
        <f>IF(ISBLANK(INDEX('Policy Characteristics'!D:D,MATCH($C25,'Policy Characteristics'!$C:$C,0))),"",INDEX('Policy Characteristics'!D:D,MATCH($C25,'Policy Characteristics'!$C:$C,0)))</f>
        <v>Conventional Pollutant Standard</v>
      </c>
      <c r="K25" s="275" t="str">
        <f>IF(ISBLANK(INDEX('Policy Characteristics'!E:E,MATCH($C25,'Policy Characteristics'!$C:$C,0))),"",INDEX('Policy Characteristics'!E:E,MATCH($C25,'Policy Characteristics'!$C:$C,0)))</f>
        <v>trans reduce regulated pollutants</v>
      </c>
      <c r="L25" s="283">
        <f>IF(ISBLANK(INDEX('Policy Characteristics'!F:F,MATCH($C25,'Policy Characteristics'!$C:$C,0))),"",INDEX('Policy Characteristics'!F:F,MATCH($C25,'Policy Characteristics'!$C:$C,0)))</f>
        <v>0</v>
      </c>
      <c r="M25" s="283">
        <f>IF(ISBLANK(INDEX('Policy Characteristics'!G:G,MATCH($C25,'Policy Characteristics'!$C:$C,0))),"",INDEX('Policy Characteristics'!G:G,MATCH($C25,'Policy Characteristics'!$C:$C,0)))</f>
        <v>1</v>
      </c>
      <c r="N25" s="283">
        <f>IF(ISBLANK(INDEX('Policy Characteristics'!H:H,MATCH($C25,'Policy Characteristics'!$C:$C,0))),"",INDEX('Policy Characteristics'!H:H,MATCH($C25,'Policy Characteristics'!$C:$C,0)))</f>
        <v>0.02</v>
      </c>
      <c r="O25" s="275" t="str">
        <f>IF(ISBLANK(INDEX('Policy Characteristics'!I:I,MATCH($C25,'Policy Characteristics'!$C:$C,0))),"",INDEX('Policy Characteristics'!I:I,MATCH($C25,'Policy Characteristics'!$C:$C,0)))</f>
        <v>% reduction in emissions</v>
      </c>
      <c r="P25" s="275"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75" t="str">
        <f>IF(ISBLANK(INDEX('Policy Characteristics'!K:K,MATCH($C25,'Policy Characteristics'!$C:$C,0))),"",INDEX('Policy Characteristics'!K:K,MATCH($C25,'Policy Characteristics'!$C:$C,0)))</f>
        <v>transportation-sector-main.html#conv-pol-stds</v>
      </c>
      <c r="R25" s="275" t="str">
        <f>IF(ISBLANK(INDEX('Policy Characteristics'!L:L,MATCH($C25,'Policy Characteristics'!$C:$C,0))),"",INDEX('Policy Characteristics'!L:L,MATCH($C25,'Policy Characteristics'!$C:$C,0)))</f>
        <v>conventional-pollutant-standards.html</v>
      </c>
    </row>
    <row r="26" spans="1:18" s="2" customFormat="1" x14ac:dyDescent="0.25">
      <c r="A26" s="275" t="str">
        <f>IF(ISBLANK(INDEX('Policy Characteristics'!A:A,MATCH($C26,'Policy Characteristics'!$C:$C,0))),"",INDEX('Policy Characteristics'!A:A,MATCH($C26,'Policy Characteristics'!$C:$C,0)))</f>
        <v>Transportation</v>
      </c>
      <c r="B26" s="284" t="str">
        <f>IF(ISBLANK(INDEX('Policy Characteristics'!B:B,MATCH($C26,'Policy Characteristics'!$C:$C,0))),"",INDEX('Policy Characteristics'!B:B,MATCH($C26,'Policy Characteristics'!$C:$C,0)))</f>
        <v>Conventional Pollutant Standards</v>
      </c>
      <c r="C26" s="275" t="str">
        <f t="shared" si="1"/>
        <v>Percentage Reduction of Separately Regulated Pollutants</v>
      </c>
      <c r="D26" s="2" t="s">
        <v>39</v>
      </c>
      <c r="E26" s="2" t="s">
        <v>2229</v>
      </c>
      <c r="F26" s="2" t="s">
        <v>3307</v>
      </c>
      <c r="G26" s="2" t="s">
        <v>2320</v>
      </c>
      <c r="H26" s="49">
        <v>324</v>
      </c>
      <c r="I26" s="347" t="s">
        <v>44</v>
      </c>
      <c r="J26" s="276" t="str">
        <f>IF(ISBLANK(INDEX('Policy Characteristics'!D:D,MATCH($C26,'Policy Characteristics'!$C:$C,0))),"",INDEX('Policy Characteristics'!D:D,MATCH($C26,'Policy Characteristics'!$C:$C,0)))</f>
        <v>Conventional Pollutant Standard</v>
      </c>
      <c r="K26" s="275" t="str">
        <f>IF(ISBLANK(INDEX('Policy Characteristics'!E:E,MATCH($C26,'Policy Characteristics'!$C:$C,0))),"",INDEX('Policy Characteristics'!E:E,MATCH($C26,'Policy Characteristics'!$C:$C,0)))</f>
        <v>trans reduce regulated pollutants</v>
      </c>
      <c r="L26" s="283">
        <f>IF(ISBLANK(INDEX('Policy Characteristics'!F:F,MATCH($C26,'Policy Characteristics'!$C:$C,0))),"",INDEX('Policy Characteristics'!F:F,MATCH($C26,'Policy Characteristics'!$C:$C,0)))</f>
        <v>0</v>
      </c>
      <c r="M26" s="283">
        <f>IF(ISBLANK(INDEX('Policy Characteristics'!G:G,MATCH($C26,'Policy Characteristics'!$C:$C,0))),"",INDEX('Policy Characteristics'!G:G,MATCH($C26,'Policy Characteristics'!$C:$C,0)))</f>
        <v>1</v>
      </c>
      <c r="N26" s="283">
        <f>IF(ISBLANK(INDEX('Policy Characteristics'!H:H,MATCH($C26,'Policy Characteristics'!$C:$C,0))),"",INDEX('Policy Characteristics'!H:H,MATCH($C26,'Policy Characteristics'!$C:$C,0)))</f>
        <v>0.02</v>
      </c>
      <c r="O26" s="275" t="str">
        <f>IF(ISBLANK(INDEX('Policy Characteristics'!I:I,MATCH($C26,'Policy Characteristics'!$C:$C,0))),"",INDEX('Policy Characteristics'!I:I,MATCH($C26,'Policy Characteristics'!$C:$C,0)))</f>
        <v>% reduction in emissions</v>
      </c>
      <c r="P26" s="275"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75" t="str">
        <f>IF(ISBLANK(INDEX('Policy Characteristics'!K:K,MATCH($C26,'Policy Characteristics'!$C:$C,0))),"",INDEX('Policy Characteristics'!K:K,MATCH($C26,'Policy Characteristics'!$C:$C,0)))</f>
        <v>transportation-sector-main.html#conv-pol-stds</v>
      </c>
      <c r="R26" s="275" t="str">
        <f>IF(ISBLANK(INDEX('Policy Characteristics'!L:L,MATCH($C26,'Policy Characteristics'!$C:$C,0))),"",INDEX('Policy Characteristics'!L:L,MATCH($C26,'Policy Characteristics'!$C:$C,0)))</f>
        <v>conventional-pollutant-standards.html</v>
      </c>
    </row>
    <row r="27" spans="1:18" s="2" customFormat="1" x14ac:dyDescent="0.25">
      <c r="A27" s="275" t="str">
        <f>IF(ISBLANK(INDEX('Policy Characteristics'!A:A,MATCH($C27,'Policy Characteristics'!$C:$C,0))),"",INDEX('Policy Characteristics'!A:A,MATCH($C27,'Policy Characteristics'!$C:$C,0)))</f>
        <v>Transportation</v>
      </c>
      <c r="B27" s="284" t="str">
        <f>IF(ISBLANK(INDEX('Policy Characteristics'!B:B,MATCH($C27,'Policy Characteristics'!$C:$C,0))),"",INDEX('Policy Characteristics'!B:B,MATCH($C27,'Policy Characteristics'!$C:$C,0)))</f>
        <v>Conventional Pollutant Standards</v>
      </c>
      <c r="C27" s="275" t="str">
        <f t="shared" si="1"/>
        <v>Percentage Reduction of Separately Regulated Pollutants</v>
      </c>
      <c r="D27" s="2" t="s">
        <v>39</v>
      </c>
      <c r="E27" s="2" t="s">
        <v>2230</v>
      </c>
      <c r="F27" s="2" t="s">
        <v>3307</v>
      </c>
      <c r="G27" s="2" t="s">
        <v>2230</v>
      </c>
      <c r="H27" s="49">
        <v>325</v>
      </c>
      <c r="I27" s="347" t="s">
        <v>44</v>
      </c>
      <c r="J27" s="276" t="str">
        <f>IF(ISBLANK(INDEX('Policy Characteristics'!D:D,MATCH($C27,'Policy Characteristics'!$C:$C,0))),"",INDEX('Policy Characteristics'!D:D,MATCH($C27,'Policy Characteristics'!$C:$C,0)))</f>
        <v>Conventional Pollutant Standard</v>
      </c>
      <c r="K27" s="275" t="str">
        <f>IF(ISBLANK(INDEX('Policy Characteristics'!E:E,MATCH($C27,'Policy Characteristics'!$C:$C,0))),"",INDEX('Policy Characteristics'!E:E,MATCH($C27,'Policy Characteristics'!$C:$C,0)))</f>
        <v>trans reduce regulated pollutants</v>
      </c>
      <c r="L27" s="283">
        <f>IF(ISBLANK(INDEX('Policy Characteristics'!F:F,MATCH($C27,'Policy Characteristics'!$C:$C,0))),"",INDEX('Policy Characteristics'!F:F,MATCH($C27,'Policy Characteristics'!$C:$C,0)))</f>
        <v>0</v>
      </c>
      <c r="M27" s="283">
        <f>IF(ISBLANK(INDEX('Policy Characteristics'!G:G,MATCH($C27,'Policy Characteristics'!$C:$C,0))),"",INDEX('Policy Characteristics'!G:G,MATCH($C27,'Policy Characteristics'!$C:$C,0)))</f>
        <v>1</v>
      </c>
      <c r="N27" s="283">
        <f>IF(ISBLANK(INDEX('Policy Characteristics'!H:H,MATCH($C27,'Policy Characteristics'!$C:$C,0))),"",INDEX('Policy Characteristics'!H:H,MATCH($C27,'Policy Characteristics'!$C:$C,0)))</f>
        <v>0.02</v>
      </c>
      <c r="O27" s="275" t="str">
        <f>IF(ISBLANK(INDEX('Policy Characteristics'!I:I,MATCH($C27,'Policy Characteristics'!$C:$C,0))),"",INDEX('Policy Characteristics'!I:I,MATCH($C27,'Policy Characteristics'!$C:$C,0)))</f>
        <v>% reduction in emissions</v>
      </c>
      <c r="P27" s="275"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75" t="str">
        <f>IF(ISBLANK(INDEX('Policy Characteristics'!K:K,MATCH($C27,'Policy Characteristics'!$C:$C,0))),"",INDEX('Policy Characteristics'!K:K,MATCH($C27,'Policy Characteristics'!$C:$C,0)))</f>
        <v>transportation-sector-main.html#conv-pol-stds</v>
      </c>
      <c r="R27" s="275" t="str">
        <f>IF(ISBLANK(INDEX('Policy Characteristics'!L:L,MATCH($C27,'Policy Characteristics'!$C:$C,0))),"",INDEX('Policy Characteristics'!L:L,MATCH($C27,'Policy Characteristics'!$C:$C,0)))</f>
        <v>conventional-pollutant-standards.html</v>
      </c>
    </row>
    <row r="28" spans="1:18" s="2" customFormat="1" x14ac:dyDescent="0.25">
      <c r="A28" s="275" t="str">
        <f>IF(ISBLANK(INDEX('Policy Characteristics'!A:A,MATCH($C28,'Policy Characteristics'!$C:$C,0))),"",INDEX('Policy Characteristics'!A:A,MATCH($C28,'Policy Characteristics'!$C:$C,0)))</f>
        <v>Transportation</v>
      </c>
      <c r="B28" s="284" t="str">
        <f>IF(ISBLANK(INDEX('Policy Characteristics'!B:B,MATCH($C28,'Policy Characteristics'!$C:$C,0))),"",INDEX('Policy Characteristics'!B:B,MATCH($C28,'Policy Characteristics'!$C:$C,0)))</f>
        <v>Conventional Pollutant Standards</v>
      </c>
      <c r="C28" s="275" t="str">
        <f t="shared" si="1"/>
        <v>Percentage Reduction of Separately Regulated Pollutants</v>
      </c>
      <c r="D28" s="2" t="s">
        <v>39</v>
      </c>
      <c r="E28" s="2" t="s">
        <v>2232</v>
      </c>
      <c r="F28" s="2" t="s">
        <v>3307</v>
      </c>
      <c r="G28" s="2" t="s">
        <v>2232</v>
      </c>
      <c r="H28" s="49">
        <v>326</v>
      </c>
      <c r="I28" s="347" t="s">
        <v>44</v>
      </c>
      <c r="J28" s="276" t="str">
        <f>IF(ISBLANK(INDEX('Policy Characteristics'!D:D,MATCH($C28,'Policy Characteristics'!$C:$C,0))),"",INDEX('Policy Characteristics'!D:D,MATCH($C28,'Policy Characteristics'!$C:$C,0)))</f>
        <v>Conventional Pollutant Standard</v>
      </c>
      <c r="K28" s="275" t="str">
        <f>IF(ISBLANK(INDEX('Policy Characteristics'!E:E,MATCH($C28,'Policy Characteristics'!$C:$C,0))),"",INDEX('Policy Characteristics'!E:E,MATCH($C28,'Policy Characteristics'!$C:$C,0)))</f>
        <v>trans reduce regulated pollutants</v>
      </c>
      <c r="L28" s="283">
        <f>IF(ISBLANK(INDEX('Policy Characteristics'!F:F,MATCH($C28,'Policy Characteristics'!$C:$C,0))),"",INDEX('Policy Characteristics'!F:F,MATCH($C28,'Policy Characteristics'!$C:$C,0)))</f>
        <v>0</v>
      </c>
      <c r="M28" s="283">
        <f>IF(ISBLANK(INDEX('Policy Characteristics'!G:G,MATCH($C28,'Policy Characteristics'!$C:$C,0))),"",INDEX('Policy Characteristics'!G:G,MATCH($C28,'Policy Characteristics'!$C:$C,0)))</f>
        <v>1</v>
      </c>
      <c r="N28" s="283">
        <f>IF(ISBLANK(INDEX('Policy Characteristics'!H:H,MATCH($C28,'Policy Characteristics'!$C:$C,0))),"",INDEX('Policy Characteristics'!H:H,MATCH($C28,'Policy Characteristics'!$C:$C,0)))</f>
        <v>0.02</v>
      </c>
      <c r="O28" s="275" t="str">
        <f>IF(ISBLANK(INDEX('Policy Characteristics'!I:I,MATCH($C28,'Policy Characteristics'!$C:$C,0))),"",INDEX('Policy Characteristics'!I:I,MATCH($C28,'Policy Characteristics'!$C:$C,0)))</f>
        <v>% reduction in emissions</v>
      </c>
      <c r="P28" s="275"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75" t="str">
        <f>IF(ISBLANK(INDEX('Policy Characteristics'!K:K,MATCH($C28,'Policy Characteristics'!$C:$C,0))),"",INDEX('Policy Characteristics'!K:K,MATCH($C28,'Policy Characteristics'!$C:$C,0)))</f>
        <v>transportation-sector-main.html#conv-pol-stds</v>
      </c>
      <c r="R28" s="275" t="str">
        <f>IF(ISBLANK(INDEX('Policy Characteristics'!L:L,MATCH($C28,'Policy Characteristics'!$C:$C,0))),"",INDEX('Policy Characteristics'!L:L,MATCH($C28,'Policy Characteristics'!$C:$C,0)))</f>
        <v>conventional-pollutant-standards.html</v>
      </c>
    </row>
    <row r="29" spans="1:18" s="2" customFormat="1" x14ac:dyDescent="0.25">
      <c r="A29" s="275" t="str">
        <f>IF(ISBLANK(INDEX('Policy Characteristics'!A:A,MATCH($C29,'Policy Characteristics'!$C:$C,0))),"",INDEX('Policy Characteristics'!A:A,MATCH($C29,'Policy Characteristics'!$C:$C,0)))</f>
        <v>Transportation</v>
      </c>
      <c r="B29" s="284" t="str">
        <f>IF(ISBLANK(INDEX('Policy Characteristics'!B:B,MATCH($C29,'Policy Characteristics'!$C:$C,0))),"",INDEX('Policy Characteristics'!B:B,MATCH($C29,'Policy Characteristics'!$C:$C,0)))</f>
        <v>Conventional Pollutant Standards</v>
      </c>
      <c r="C29" s="275" t="str">
        <f t="shared" si="1"/>
        <v>Percentage Reduction of Separately Regulated Pollutants</v>
      </c>
      <c r="D29" s="2" t="s">
        <v>39</v>
      </c>
      <c r="E29" s="2" t="s">
        <v>2234</v>
      </c>
      <c r="F29" s="2" t="s">
        <v>3307</v>
      </c>
      <c r="G29" s="2" t="s">
        <v>2234</v>
      </c>
      <c r="H29" s="49">
        <v>327</v>
      </c>
      <c r="I29" s="347" t="s">
        <v>44</v>
      </c>
      <c r="J29" s="276" t="str">
        <f>IF(ISBLANK(INDEX('Policy Characteristics'!D:D,MATCH($C29,'Policy Characteristics'!$C:$C,0))),"",INDEX('Policy Characteristics'!D:D,MATCH($C29,'Policy Characteristics'!$C:$C,0)))</f>
        <v>Conventional Pollutant Standard</v>
      </c>
      <c r="K29" s="275" t="str">
        <f>IF(ISBLANK(INDEX('Policy Characteristics'!E:E,MATCH($C29,'Policy Characteristics'!$C:$C,0))),"",INDEX('Policy Characteristics'!E:E,MATCH($C29,'Policy Characteristics'!$C:$C,0)))</f>
        <v>trans reduce regulated pollutants</v>
      </c>
      <c r="L29" s="283">
        <f>IF(ISBLANK(INDEX('Policy Characteristics'!F:F,MATCH($C29,'Policy Characteristics'!$C:$C,0))),"",INDEX('Policy Characteristics'!F:F,MATCH($C29,'Policy Characteristics'!$C:$C,0)))</f>
        <v>0</v>
      </c>
      <c r="M29" s="283">
        <f>IF(ISBLANK(INDEX('Policy Characteristics'!G:G,MATCH($C29,'Policy Characteristics'!$C:$C,0))),"",INDEX('Policy Characteristics'!G:G,MATCH($C29,'Policy Characteristics'!$C:$C,0)))</f>
        <v>1</v>
      </c>
      <c r="N29" s="283">
        <f>IF(ISBLANK(INDEX('Policy Characteristics'!H:H,MATCH($C29,'Policy Characteristics'!$C:$C,0))),"",INDEX('Policy Characteristics'!H:H,MATCH($C29,'Policy Characteristics'!$C:$C,0)))</f>
        <v>0.02</v>
      </c>
      <c r="O29" s="275" t="str">
        <f>IF(ISBLANK(INDEX('Policy Characteristics'!I:I,MATCH($C29,'Policy Characteristics'!$C:$C,0))),"",INDEX('Policy Characteristics'!I:I,MATCH($C29,'Policy Characteristics'!$C:$C,0)))</f>
        <v>% reduction in emissions</v>
      </c>
      <c r="P29" s="275"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75" t="str">
        <f>IF(ISBLANK(INDEX('Policy Characteristics'!K:K,MATCH($C29,'Policy Characteristics'!$C:$C,0))),"",INDEX('Policy Characteristics'!K:K,MATCH($C29,'Policy Characteristics'!$C:$C,0)))</f>
        <v>transportation-sector-main.html#conv-pol-stds</v>
      </c>
      <c r="R29" s="275" t="str">
        <f>IF(ISBLANK(INDEX('Policy Characteristics'!L:L,MATCH($C29,'Policy Characteristics'!$C:$C,0))),"",INDEX('Policy Characteristics'!L:L,MATCH($C29,'Policy Characteristics'!$C:$C,0)))</f>
        <v>conventional-pollutant-standards.html</v>
      </c>
    </row>
    <row r="30" spans="1:18" s="2" customFormat="1" x14ac:dyDescent="0.25">
      <c r="A30" s="275" t="str">
        <f>IF(ISBLANK(INDEX('Policy Characteristics'!A:A,MATCH($C30,'Policy Characteristics'!$C:$C,0))),"",INDEX('Policy Characteristics'!A:A,MATCH($C30,'Policy Characteristics'!$C:$C,0)))</f>
        <v>Transportation</v>
      </c>
      <c r="B30" s="284" t="str">
        <f>IF(ISBLANK(INDEX('Policy Characteristics'!B:B,MATCH($C30,'Policy Characteristics'!$C:$C,0))),"",INDEX('Policy Characteristics'!B:B,MATCH($C30,'Policy Characteristics'!$C:$C,0)))</f>
        <v>Conventional Pollutant Standards</v>
      </c>
      <c r="C30" s="275" t="str">
        <f t="shared" si="1"/>
        <v>Percentage Reduction of Separately Regulated Pollutants</v>
      </c>
      <c r="D30" s="2" t="s">
        <v>39</v>
      </c>
      <c r="E30" s="2" t="s">
        <v>2236</v>
      </c>
      <c r="F30" s="2" t="s">
        <v>3307</v>
      </c>
      <c r="G30" s="2" t="s">
        <v>2236</v>
      </c>
      <c r="H30" s="49">
        <v>328</v>
      </c>
      <c r="I30" s="347" t="s">
        <v>44</v>
      </c>
      <c r="J30" s="276" t="str">
        <f>IF(ISBLANK(INDEX('Policy Characteristics'!D:D,MATCH($C30,'Policy Characteristics'!$C:$C,0))),"",INDEX('Policy Characteristics'!D:D,MATCH($C30,'Policy Characteristics'!$C:$C,0)))</f>
        <v>Conventional Pollutant Standard</v>
      </c>
      <c r="K30" s="275" t="str">
        <f>IF(ISBLANK(INDEX('Policy Characteristics'!E:E,MATCH($C30,'Policy Characteristics'!$C:$C,0))),"",INDEX('Policy Characteristics'!E:E,MATCH($C30,'Policy Characteristics'!$C:$C,0)))</f>
        <v>trans reduce regulated pollutants</v>
      </c>
      <c r="L30" s="283">
        <f>IF(ISBLANK(INDEX('Policy Characteristics'!F:F,MATCH($C30,'Policy Characteristics'!$C:$C,0))),"",INDEX('Policy Characteristics'!F:F,MATCH($C30,'Policy Characteristics'!$C:$C,0)))</f>
        <v>0</v>
      </c>
      <c r="M30" s="283">
        <f>IF(ISBLANK(INDEX('Policy Characteristics'!G:G,MATCH($C30,'Policy Characteristics'!$C:$C,0))),"",INDEX('Policy Characteristics'!G:G,MATCH($C30,'Policy Characteristics'!$C:$C,0)))</f>
        <v>1</v>
      </c>
      <c r="N30" s="283">
        <f>IF(ISBLANK(INDEX('Policy Characteristics'!H:H,MATCH($C30,'Policy Characteristics'!$C:$C,0))),"",INDEX('Policy Characteristics'!H:H,MATCH($C30,'Policy Characteristics'!$C:$C,0)))</f>
        <v>0.02</v>
      </c>
      <c r="O30" s="275" t="str">
        <f>IF(ISBLANK(INDEX('Policy Characteristics'!I:I,MATCH($C30,'Policy Characteristics'!$C:$C,0))),"",INDEX('Policy Characteristics'!I:I,MATCH($C30,'Policy Characteristics'!$C:$C,0)))</f>
        <v>% reduction in emissions</v>
      </c>
      <c r="P30" s="275"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75" t="str">
        <f>IF(ISBLANK(INDEX('Policy Characteristics'!K:K,MATCH($C30,'Policy Characteristics'!$C:$C,0))),"",INDEX('Policy Characteristics'!K:K,MATCH($C30,'Policy Characteristics'!$C:$C,0)))</f>
        <v>transportation-sector-main.html#conv-pol-stds</v>
      </c>
      <c r="R30" s="275" t="str">
        <f>IF(ISBLANK(INDEX('Policy Characteristics'!L:L,MATCH($C30,'Policy Characteristics'!$C:$C,0))),"",INDEX('Policy Characteristics'!L:L,MATCH($C30,'Policy Characteristics'!$C:$C,0)))</f>
        <v>conventional-pollutant-standards.html</v>
      </c>
    </row>
    <row r="31" spans="1:18" s="2" customFormat="1" x14ac:dyDescent="0.25">
      <c r="A31" s="275" t="str">
        <f>IF(ISBLANK(INDEX('Policy Characteristics'!A:A,MATCH($C31,'Policy Characteristics'!$C:$C,0))),"",INDEX('Policy Characteristics'!A:A,MATCH($C31,'Policy Characteristics'!$C:$C,0)))</f>
        <v>Transportation</v>
      </c>
      <c r="B31" s="284" t="str">
        <f>IF(ISBLANK(INDEX('Policy Characteristics'!B:B,MATCH($C31,'Policy Characteristics'!$C:$C,0))),"",INDEX('Policy Characteristics'!B:B,MATCH($C31,'Policy Characteristics'!$C:$C,0)))</f>
        <v>Conventional Pollutant Standards</v>
      </c>
      <c r="C31" s="275" t="str">
        <f t="shared" si="1"/>
        <v>Percentage Reduction of Separately Regulated Pollutants</v>
      </c>
      <c r="D31" s="2" t="s">
        <v>39</v>
      </c>
      <c r="E31" s="2" t="s">
        <v>2238</v>
      </c>
      <c r="F31" s="2" t="s">
        <v>3307</v>
      </c>
      <c r="G31" s="2" t="s">
        <v>2238</v>
      </c>
      <c r="H31" s="49">
        <v>329</v>
      </c>
      <c r="I31" s="347" t="s">
        <v>44</v>
      </c>
      <c r="J31" s="276" t="str">
        <f>IF(ISBLANK(INDEX('Policy Characteristics'!D:D,MATCH($C31,'Policy Characteristics'!$C:$C,0))),"",INDEX('Policy Characteristics'!D:D,MATCH($C31,'Policy Characteristics'!$C:$C,0)))</f>
        <v>Conventional Pollutant Standard</v>
      </c>
      <c r="K31" s="275" t="str">
        <f>IF(ISBLANK(INDEX('Policy Characteristics'!E:E,MATCH($C31,'Policy Characteristics'!$C:$C,0))),"",INDEX('Policy Characteristics'!E:E,MATCH($C31,'Policy Characteristics'!$C:$C,0)))</f>
        <v>trans reduce regulated pollutants</v>
      </c>
      <c r="L31" s="283">
        <f>IF(ISBLANK(INDEX('Policy Characteristics'!F:F,MATCH($C31,'Policy Characteristics'!$C:$C,0))),"",INDEX('Policy Characteristics'!F:F,MATCH($C31,'Policy Characteristics'!$C:$C,0)))</f>
        <v>0</v>
      </c>
      <c r="M31" s="283">
        <f>IF(ISBLANK(INDEX('Policy Characteristics'!G:G,MATCH($C31,'Policy Characteristics'!$C:$C,0))),"",INDEX('Policy Characteristics'!G:G,MATCH($C31,'Policy Characteristics'!$C:$C,0)))</f>
        <v>1</v>
      </c>
      <c r="N31" s="283">
        <f>IF(ISBLANK(INDEX('Policy Characteristics'!H:H,MATCH($C31,'Policy Characteristics'!$C:$C,0))),"",INDEX('Policy Characteristics'!H:H,MATCH($C31,'Policy Characteristics'!$C:$C,0)))</f>
        <v>0.02</v>
      </c>
      <c r="O31" s="275" t="str">
        <f>IF(ISBLANK(INDEX('Policy Characteristics'!I:I,MATCH($C31,'Policy Characteristics'!$C:$C,0))),"",INDEX('Policy Characteristics'!I:I,MATCH($C31,'Policy Characteristics'!$C:$C,0)))</f>
        <v>% reduction in emissions</v>
      </c>
      <c r="P31" s="275"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75" t="str">
        <f>IF(ISBLANK(INDEX('Policy Characteristics'!K:K,MATCH($C31,'Policy Characteristics'!$C:$C,0))),"",INDEX('Policy Characteristics'!K:K,MATCH($C31,'Policy Characteristics'!$C:$C,0)))</f>
        <v>transportation-sector-main.html#conv-pol-stds</v>
      </c>
      <c r="R31" s="275" t="str">
        <f>IF(ISBLANK(INDEX('Policy Characteristics'!L:L,MATCH($C31,'Policy Characteristics'!$C:$C,0))),"",INDEX('Policy Characteristics'!L:L,MATCH($C31,'Policy Characteristics'!$C:$C,0)))</f>
        <v>conventional-pollutant-standards.html</v>
      </c>
    </row>
    <row r="32" spans="1:18" s="2" customFormat="1" x14ac:dyDescent="0.25">
      <c r="A32" s="275" t="str">
        <f>IF(ISBLANK(INDEX('Policy Characteristics'!A:A,MATCH($C32,'Policy Characteristics'!$C:$C,0))),"",INDEX('Policy Characteristics'!A:A,MATCH($C32,'Policy Characteristics'!$C:$C,0)))</f>
        <v>Transportation</v>
      </c>
      <c r="B32" s="284" t="str">
        <f>IF(ISBLANK(INDEX('Policy Characteristics'!B:B,MATCH($C32,'Policy Characteristics'!$C:$C,0))),"",INDEX('Policy Characteristics'!B:B,MATCH($C32,'Policy Characteristics'!$C:$C,0)))</f>
        <v>Conventional Pollutant Standards</v>
      </c>
      <c r="C32" s="275" t="str">
        <f t="shared" si="1"/>
        <v>Percentage Reduction of Separately Regulated Pollutants</v>
      </c>
      <c r="D32" s="2" t="s">
        <v>40</v>
      </c>
      <c r="E32" s="2" t="s">
        <v>2222</v>
      </c>
      <c r="F32" s="2" t="s">
        <v>3308</v>
      </c>
      <c r="G32" s="2" t="s">
        <v>2428</v>
      </c>
      <c r="H32" s="49">
        <v>330</v>
      </c>
      <c r="I32" s="346" t="s">
        <v>43</v>
      </c>
      <c r="J32" s="276" t="str">
        <f>IF(ISBLANK(INDEX('Policy Characteristics'!D:D,MATCH($C32,'Policy Characteristics'!$C:$C,0))),"",INDEX('Policy Characteristics'!D:D,MATCH($C32,'Policy Characteristics'!$C:$C,0)))</f>
        <v>Conventional Pollutant Standard</v>
      </c>
      <c r="K32" s="275" t="str">
        <f>IF(ISBLANK(INDEX('Policy Characteristics'!E:E,MATCH($C32,'Policy Characteristics'!$C:$C,0))),"",INDEX('Policy Characteristics'!E:E,MATCH($C32,'Policy Characteristics'!$C:$C,0)))</f>
        <v>trans reduce regulated pollutants</v>
      </c>
      <c r="L32" s="283">
        <f>IF(ISBLANK(INDEX('Policy Characteristics'!F:F,MATCH($C32,'Policy Characteristics'!$C:$C,0))),"",INDEX('Policy Characteristics'!F:F,MATCH($C32,'Policy Characteristics'!$C:$C,0)))</f>
        <v>0</v>
      </c>
      <c r="M32" s="283">
        <f>IF(ISBLANK(INDEX('Policy Characteristics'!G:G,MATCH($C32,'Policy Characteristics'!$C:$C,0))),"",INDEX('Policy Characteristics'!G:G,MATCH($C32,'Policy Characteristics'!$C:$C,0)))</f>
        <v>1</v>
      </c>
      <c r="N32" s="283">
        <f>IF(ISBLANK(INDEX('Policy Characteristics'!H:H,MATCH($C32,'Policy Characteristics'!$C:$C,0))),"",INDEX('Policy Characteristics'!H:H,MATCH($C32,'Policy Characteristics'!$C:$C,0)))</f>
        <v>0.02</v>
      </c>
      <c r="O32" s="275" t="str">
        <f>IF(ISBLANK(INDEX('Policy Characteristics'!I:I,MATCH($C32,'Policy Characteristics'!$C:$C,0))),"",INDEX('Policy Characteristics'!I:I,MATCH($C32,'Policy Characteristics'!$C:$C,0)))</f>
        <v>% reduction in emissions</v>
      </c>
      <c r="P32" s="275"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75" t="str">
        <f>IF(ISBLANK(INDEX('Policy Characteristics'!K:K,MATCH($C32,'Policy Characteristics'!$C:$C,0))),"",INDEX('Policy Characteristics'!K:K,MATCH($C32,'Policy Characteristics'!$C:$C,0)))</f>
        <v>transportation-sector-main.html#conv-pol-stds</v>
      </c>
      <c r="R32" s="275" t="str">
        <f>IF(ISBLANK(INDEX('Policy Characteristics'!L:L,MATCH($C32,'Policy Characteristics'!$C:$C,0))),"",INDEX('Policy Characteristics'!L:L,MATCH($C32,'Policy Characteristics'!$C:$C,0)))</f>
        <v>conventional-pollutant-standards.html</v>
      </c>
    </row>
    <row r="33" spans="1:18" s="2" customFormat="1" x14ac:dyDescent="0.25">
      <c r="A33" s="275" t="str">
        <f>IF(ISBLANK(INDEX('Policy Characteristics'!A:A,MATCH($C33,'Policy Characteristics'!$C:$C,0))),"",INDEX('Policy Characteristics'!A:A,MATCH($C33,'Policy Characteristics'!$C:$C,0)))</f>
        <v>Transportation</v>
      </c>
      <c r="B33" s="284" t="str">
        <f>IF(ISBLANK(INDEX('Policy Characteristics'!B:B,MATCH($C33,'Policy Characteristics'!$C:$C,0))),"",INDEX('Policy Characteristics'!B:B,MATCH($C33,'Policy Characteristics'!$C:$C,0)))</f>
        <v>Conventional Pollutant Standards</v>
      </c>
      <c r="C33" s="275" t="str">
        <f t="shared" ref="C33:C61" si="2">C$2</f>
        <v>Percentage Reduction of Separately Regulated Pollutants</v>
      </c>
      <c r="D33" s="2" t="s">
        <v>40</v>
      </c>
      <c r="E33" s="2" t="s">
        <v>485</v>
      </c>
      <c r="F33" s="2" t="s">
        <v>3308</v>
      </c>
      <c r="G33" s="2" t="s">
        <v>485</v>
      </c>
      <c r="H33" s="49">
        <v>331</v>
      </c>
      <c r="I33" s="346" t="s">
        <v>43</v>
      </c>
      <c r="J33" s="276" t="str">
        <f>IF(ISBLANK(INDEX('Policy Characteristics'!D:D,MATCH($C33,'Policy Characteristics'!$C:$C,0))),"",INDEX('Policy Characteristics'!D:D,MATCH($C33,'Policy Characteristics'!$C:$C,0)))</f>
        <v>Conventional Pollutant Standard</v>
      </c>
      <c r="K33" s="275" t="str">
        <f>IF(ISBLANK(INDEX('Policy Characteristics'!E:E,MATCH($C33,'Policy Characteristics'!$C:$C,0))),"",INDEX('Policy Characteristics'!E:E,MATCH($C33,'Policy Characteristics'!$C:$C,0)))</f>
        <v>trans reduce regulated pollutants</v>
      </c>
      <c r="L33" s="283">
        <f>IF(ISBLANK(INDEX('Policy Characteristics'!F:F,MATCH($C33,'Policy Characteristics'!$C:$C,0))),"",INDEX('Policy Characteristics'!F:F,MATCH($C33,'Policy Characteristics'!$C:$C,0)))</f>
        <v>0</v>
      </c>
      <c r="M33" s="283">
        <f>IF(ISBLANK(INDEX('Policy Characteristics'!G:G,MATCH($C33,'Policy Characteristics'!$C:$C,0))),"",INDEX('Policy Characteristics'!G:G,MATCH($C33,'Policy Characteristics'!$C:$C,0)))</f>
        <v>1</v>
      </c>
      <c r="N33" s="283">
        <f>IF(ISBLANK(INDEX('Policy Characteristics'!H:H,MATCH($C33,'Policy Characteristics'!$C:$C,0))),"",INDEX('Policy Characteristics'!H:H,MATCH($C33,'Policy Characteristics'!$C:$C,0)))</f>
        <v>0.02</v>
      </c>
      <c r="O33" s="275" t="str">
        <f>IF(ISBLANK(INDEX('Policy Characteristics'!I:I,MATCH($C33,'Policy Characteristics'!$C:$C,0))),"",INDEX('Policy Characteristics'!I:I,MATCH($C33,'Policy Characteristics'!$C:$C,0)))</f>
        <v>% reduction in emissions</v>
      </c>
      <c r="P33" s="275"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75" t="str">
        <f>IF(ISBLANK(INDEX('Policy Characteristics'!K:K,MATCH($C33,'Policy Characteristics'!$C:$C,0))),"",INDEX('Policy Characteristics'!K:K,MATCH($C33,'Policy Characteristics'!$C:$C,0)))</f>
        <v>transportation-sector-main.html#conv-pol-stds</v>
      </c>
      <c r="R33" s="275" t="str">
        <f>IF(ISBLANK(INDEX('Policy Characteristics'!L:L,MATCH($C33,'Policy Characteristics'!$C:$C,0))),"",INDEX('Policy Characteristics'!L:L,MATCH($C33,'Policy Characteristics'!$C:$C,0)))</f>
        <v>conventional-pollutant-standards.html</v>
      </c>
    </row>
    <row r="34" spans="1:18" s="2" customFormat="1" x14ac:dyDescent="0.25">
      <c r="A34" s="275" t="str">
        <f>IF(ISBLANK(INDEX('Policy Characteristics'!A:A,MATCH($C34,'Policy Characteristics'!$C:$C,0))),"",INDEX('Policy Characteristics'!A:A,MATCH($C34,'Policy Characteristics'!$C:$C,0)))</f>
        <v>Transportation</v>
      </c>
      <c r="B34" s="284" t="str">
        <f>IF(ISBLANK(INDEX('Policy Characteristics'!B:B,MATCH($C34,'Policy Characteristics'!$C:$C,0))),"",INDEX('Policy Characteristics'!B:B,MATCH($C34,'Policy Characteristics'!$C:$C,0)))</f>
        <v>Conventional Pollutant Standards</v>
      </c>
      <c r="C34" s="275" t="str">
        <f t="shared" si="2"/>
        <v>Percentage Reduction of Separately Regulated Pollutants</v>
      </c>
      <c r="D34" s="2" t="s">
        <v>40</v>
      </c>
      <c r="E34" s="2" t="s">
        <v>2225</v>
      </c>
      <c r="F34" s="2" t="s">
        <v>3308</v>
      </c>
      <c r="G34" s="2" t="s">
        <v>2225</v>
      </c>
      <c r="H34" s="49">
        <v>332</v>
      </c>
      <c r="I34" s="346" t="s">
        <v>43</v>
      </c>
      <c r="J34" s="276" t="str">
        <f>IF(ISBLANK(INDEX('Policy Characteristics'!D:D,MATCH($C34,'Policy Characteristics'!$C:$C,0))),"",INDEX('Policy Characteristics'!D:D,MATCH($C34,'Policy Characteristics'!$C:$C,0)))</f>
        <v>Conventional Pollutant Standard</v>
      </c>
      <c r="K34" s="275" t="str">
        <f>IF(ISBLANK(INDEX('Policy Characteristics'!E:E,MATCH($C34,'Policy Characteristics'!$C:$C,0))),"",INDEX('Policy Characteristics'!E:E,MATCH($C34,'Policy Characteristics'!$C:$C,0)))</f>
        <v>trans reduce regulated pollutants</v>
      </c>
      <c r="L34" s="283">
        <f>IF(ISBLANK(INDEX('Policy Characteristics'!F:F,MATCH($C34,'Policy Characteristics'!$C:$C,0))),"",INDEX('Policy Characteristics'!F:F,MATCH($C34,'Policy Characteristics'!$C:$C,0)))</f>
        <v>0</v>
      </c>
      <c r="M34" s="283">
        <f>IF(ISBLANK(INDEX('Policy Characteristics'!G:G,MATCH($C34,'Policy Characteristics'!$C:$C,0))),"",INDEX('Policy Characteristics'!G:G,MATCH($C34,'Policy Characteristics'!$C:$C,0)))</f>
        <v>1</v>
      </c>
      <c r="N34" s="283">
        <f>IF(ISBLANK(INDEX('Policy Characteristics'!H:H,MATCH($C34,'Policy Characteristics'!$C:$C,0))),"",INDEX('Policy Characteristics'!H:H,MATCH($C34,'Policy Characteristics'!$C:$C,0)))</f>
        <v>0.02</v>
      </c>
      <c r="O34" s="275" t="str">
        <f>IF(ISBLANK(INDEX('Policy Characteristics'!I:I,MATCH($C34,'Policy Characteristics'!$C:$C,0))),"",INDEX('Policy Characteristics'!I:I,MATCH($C34,'Policy Characteristics'!$C:$C,0)))</f>
        <v>% reduction in emissions</v>
      </c>
      <c r="P34" s="275"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75" t="str">
        <f>IF(ISBLANK(INDEX('Policy Characteristics'!K:K,MATCH($C34,'Policy Characteristics'!$C:$C,0))),"",INDEX('Policy Characteristics'!K:K,MATCH($C34,'Policy Characteristics'!$C:$C,0)))</f>
        <v>transportation-sector-main.html#conv-pol-stds</v>
      </c>
      <c r="R34" s="275" t="str">
        <f>IF(ISBLANK(INDEX('Policy Characteristics'!L:L,MATCH($C34,'Policy Characteristics'!$C:$C,0))),"",INDEX('Policy Characteristics'!L:L,MATCH($C34,'Policy Characteristics'!$C:$C,0)))</f>
        <v>conventional-pollutant-standards.html</v>
      </c>
    </row>
    <row r="35" spans="1:18" s="2" customFormat="1" x14ac:dyDescent="0.25">
      <c r="A35" s="275" t="str">
        <f>IF(ISBLANK(INDEX('Policy Characteristics'!A:A,MATCH($C35,'Policy Characteristics'!$C:$C,0))),"",INDEX('Policy Characteristics'!A:A,MATCH($C35,'Policy Characteristics'!$C:$C,0)))</f>
        <v>Transportation</v>
      </c>
      <c r="B35" s="284" t="str">
        <f>IF(ISBLANK(INDEX('Policy Characteristics'!B:B,MATCH($C35,'Policy Characteristics'!$C:$C,0))),"",INDEX('Policy Characteristics'!B:B,MATCH($C35,'Policy Characteristics'!$C:$C,0)))</f>
        <v>Conventional Pollutant Standards</v>
      </c>
      <c r="C35" s="275" t="str">
        <f t="shared" si="2"/>
        <v>Percentage Reduction of Separately Regulated Pollutants</v>
      </c>
      <c r="D35" s="2" t="s">
        <v>40</v>
      </c>
      <c r="E35" s="2" t="s">
        <v>2227</v>
      </c>
      <c r="F35" s="2" t="s">
        <v>3308</v>
      </c>
      <c r="G35" s="2" t="s">
        <v>2227</v>
      </c>
      <c r="H35" s="49">
        <v>333</v>
      </c>
      <c r="I35" s="346" t="s">
        <v>43</v>
      </c>
      <c r="J35" s="276" t="str">
        <f>IF(ISBLANK(INDEX('Policy Characteristics'!D:D,MATCH($C35,'Policy Characteristics'!$C:$C,0))),"",INDEX('Policy Characteristics'!D:D,MATCH($C35,'Policy Characteristics'!$C:$C,0)))</f>
        <v>Conventional Pollutant Standard</v>
      </c>
      <c r="K35" s="275" t="str">
        <f>IF(ISBLANK(INDEX('Policy Characteristics'!E:E,MATCH($C35,'Policy Characteristics'!$C:$C,0))),"",INDEX('Policy Characteristics'!E:E,MATCH($C35,'Policy Characteristics'!$C:$C,0)))</f>
        <v>trans reduce regulated pollutants</v>
      </c>
      <c r="L35" s="283">
        <f>IF(ISBLANK(INDEX('Policy Characteristics'!F:F,MATCH($C35,'Policy Characteristics'!$C:$C,0))),"",INDEX('Policy Characteristics'!F:F,MATCH($C35,'Policy Characteristics'!$C:$C,0)))</f>
        <v>0</v>
      </c>
      <c r="M35" s="283">
        <f>IF(ISBLANK(INDEX('Policy Characteristics'!G:G,MATCH($C35,'Policy Characteristics'!$C:$C,0))),"",INDEX('Policy Characteristics'!G:G,MATCH($C35,'Policy Characteristics'!$C:$C,0)))</f>
        <v>1</v>
      </c>
      <c r="N35" s="283">
        <f>IF(ISBLANK(INDEX('Policy Characteristics'!H:H,MATCH($C35,'Policy Characteristics'!$C:$C,0))),"",INDEX('Policy Characteristics'!H:H,MATCH($C35,'Policy Characteristics'!$C:$C,0)))</f>
        <v>0.02</v>
      </c>
      <c r="O35" s="275" t="str">
        <f>IF(ISBLANK(INDEX('Policy Characteristics'!I:I,MATCH($C35,'Policy Characteristics'!$C:$C,0))),"",INDEX('Policy Characteristics'!I:I,MATCH($C35,'Policy Characteristics'!$C:$C,0)))</f>
        <v>% reduction in emissions</v>
      </c>
      <c r="P35" s="275"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75" t="str">
        <f>IF(ISBLANK(INDEX('Policy Characteristics'!K:K,MATCH($C35,'Policy Characteristics'!$C:$C,0))),"",INDEX('Policy Characteristics'!K:K,MATCH($C35,'Policy Characteristics'!$C:$C,0)))</f>
        <v>transportation-sector-main.html#conv-pol-stds</v>
      </c>
      <c r="R35" s="275" t="str">
        <f>IF(ISBLANK(INDEX('Policy Characteristics'!L:L,MATCH($C35,'Policy Characteristics'!$C:$C,0))),"",INDEX('Policy Characteristics'!L:L,MATCH($C35,'Policy Characteristics'!$C:$C,0)))</f>
        <v>conventional-pollutant-standards.html</v>
      </c>
    </row>
    <row r="36" spans="1:18" s="2" customFormat="1" x14ac:dyDescent="0.25">
      <c r="A36" s="275" t="str">
        <f>IF(ISBLANK(INDEX('Policy Characteristics'!A:A,MATCH($C36,'Policy Characteristics'!$C:$C,0))),"",INDEX('Policy Characteristics'!A:A,MATCH($C36,'Policy Characteristics'!$C:$C,0)))</f>
        <v>Transportation</v>
      </c>
      <c r="B36" s="284" t="str">
        <f>IF(ISBLANK(INDEX('Policy Characteristics'!B:B,MATCH($C36,'Policy Characteristics'!$C:$C,0))),"",INDEX('Policy Characteristics'!B:B,MATCH($C36,'Policy Characteristics'!$C:$C,0)))</f>
        <v>Conventional Pollutant Standards</v>
      </c>
      <c r="C36" s="275" t="str">
        <f t="shared" si="2"/>
        <v>Percentage Reduction of Separately Regulated Pollutants</v>
      </c>
      <c r="D36" s="2" t="s">
        <v>40</v>
      </c>
      <c r="E36" s="2" t="s">
        <v>2229</v>
      </c>
      <c r="F36" s="2" t="s">
        <v>3308</v>
      </c>
      <c r="G36" s="2" t="s">
        <v>2320</v>
      </c>
      <c r="H36" s="49">
        <v>334</v>
      </c>
      <c r="I36" s="346" t="s">
        <v>43</v>
      </c>
      <c r="J36" s="276" t="str">
        <f>IF(ISBLANK(INDEX('Policy Characteristics'!D:D,MATCH($C36,'Policy Characteristics'!$C:$C,0))),"",INDEX('Policy Characteristics'!D:D,MATCH($C36,'Policy Characteristics'!$C:$C,0)))</f>
        <v>Conventional Pollutant Standard</v>
      </c>
      <c r="K36" s="275" t="str">
        <f>IF(ISBLANK(INDEX('Policy Characteristics'!E:E,MATCH($C36,'Policy Characteristics'!$C:$C,0))),"",INDEX('Policy Characteristics'!E:E,MATCH($C36,'Policy Characteristics'!$C:$C,0)))</f>
        <v>trans reduce regulated pollutants</v>
      </c>
      <c r="L36" s="283">
        <f>IF(ISBLANK(INDEX('Policy Characteristics'!F:F,MATCH($C36,'Policy Characteristics'!$C:$C,0))),"",INDEX('Policy Characteristics'!F:F,MATCH($C36,'Policy Characteristics'!$C:$C,0)))</f>
        <v>0</v>
      </c>
      <c r="M36" s="283">
        <f>IF(ISBLANK(INDEX('Policy Characteristics'!G:G,MATCH($C36,'Policy Characteristics'!$C:$C,0))),"",INDEX('Policy Characteristics'!G:G,MATCH($C36,'Policy Characteristics'!$C:$C,0)))</f>
        <v>1</v>
      </c>
      <c r="N36" s="283">
        <f>IF(ISBLANK(INDEX('Policy Characteristics'!H:H,MATCH($C36,'Policy Characteristics'!$C:$C,0))),"",INDEX('Policy Characteristics'!H:H,MATCH($C36,'Policy Characteristics'!$C:$C,0)))</f>
        <v>0.02</v>
      </c>
      <c r="O36" s="275" t="str">
        <f>IF(ISBLANK(INDEX('Policy Characteristics'!I:I,MATCH($C36,'Policy Characteristics'!$C:$C,0))),"",INDEX('Policy Characteristics'!I:I,MATCH($C36,'Policy Characteristics'!$C:$C,0)))</f>
        <v>% reduction in emissions</v>
      </c>
      <c r="P36" s="275"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75" t="str">
        <f>IF(ISBLANK(INDEX('Policy Characteristics'!K:K,MATCH($C36,'Policy Characteristics'!$C:$C,0))),"",INDEX('Policy Characteristics'!K:K,MATCH($C36,'Policy Characteristics'!$C:$C,0)))</f>
        <v>transportation-sector-main.html#conv-pol-stds</v>
      </c>
      <c r="R36" s="275" t="str">
        <f>IF(ISBLANK(INDEX('Policy Characteristics'!L:L,MATCH($C36,'Policy Characteristics'!$C:$C,0))),"",INDEX('Policy Characteristics'!L:L,MATCH($C36,'Policy Characteristics'!$C:$C,0)))</f>
        <v>conventional-pollutant-standards.html</v>
      </c>
    </row>
    <row r="37" spans="1:18" s="2" customFormat="1" x14ac:dyDescent="0.25">
      <c r="A37" s="275" t="str">
        <f>IF(ISBLANK(INDEX('Policy Characteristics'!A:A,MATCH($C37,'Policy Characteristics'!$C:$C,0))),"",INDEX('Policy Characteristics'!A:A,MATCH($C37,'Policy Characteristics'!$C:$C,0)))</f>
        <v>Transportation</v>
      </c>
      <c r="B37" s="284" t="str">
        <f>IF(ISBLANK(INDEX('Policy Characteristics'!B:B,MATCH($C37,'Policy Characteristics'!$C:$C,0))),"",INDEX('Policy Characteristics'!B:B,MATCH($C37,'Policy Characteristics'!$C:$C,0)))</f>
        <v>Conventional Pollutant Standards</v>
      </c>
      <c r="C37" s="275" t="str">
        <f t="shared" si="2"/>
        <v>Percentage Reduction of Separately Regulated Pollutants</v>
      </c>
      <c r="D37" s="2" t="s">
        <v>40</v>
      </c>
      <c r="E37" s="2" t="s">
        <v>2230</v>
      </c>
      <c r="F37" s="2" t="s">
        <v>3308</v>
      </c>
      <c r="G37" s="2" t="s">
        <v>2230</v>
      </c>
      <c r="H37" s="49">
        <v>335</v>
      </c>
      <c r="I37" s="347" t="s">
        <v>44</v>
      </c>
      <c r="J37" s="276" t="str">
        <f>IF(ISBLANK(INDEX('Policy Characteristics'!D:D,MATCH($C37,'Policy Characteristics'!$C:$C,0))),"",INDEX('Policy Characteristics'!D:D,MATCH($C37,'Policy Characteristics'!$C:$C,0)))</f>
        <v>Conventional Pollutant Standard</v>
      </c>
      <c r="K37" s="275" t="str">
        <f>IF(ISBLANK(INDEX('Policy Characteristics'!E:E,MATCH($C37,'Policy Characteristics'!$C:$C,0))),"",INDEX('Policy Characteristics'!E:E,MATCH($C37,'Policy Characteristics'!$C:$C,0)))</f>
        <v>trans reduce regulated pollutants</v>
      </c>
      <c r="L37" s="283">
        <f>IF(ISBLANK(INDEX('Policy Characteristics'!F:F,MATCH($C37,'Policy Characteristics'!$C:$C,0))),"",INDEX('Policy Characteristics'!F:F,MATCH($C37,'Policy Characteristics'!$C:$C,0)))</f>
        <v>0</v>
      </c>
      <c r="M37" s="283">
        <f>IF(ISBLANK(INDEX('Policy Characteristics'!G:G,MATCH($C37,'Policy Characteristics'!$C:$C,0))),"",INDEX('Policy Characteristics'!G:G,MATCH($C37,'Policy Characteristics'!$C:$C,0)))</f>
        <v>1</v>
      </c>
      <c r="N37" s="283">
        <f>IF(ISBLANK(INDEX('Policy Characteristics'!H:H,MATCH($C37,'Policy Characteristics'!$C:$C,0))),"",INDEX('Policy Characteristics'!H:H,MATCH($C37,'Policy Characteristics'!$C:$C,0)))</f>
        <v>0.02</v>
      </c>
      <c r="O37" s="275" t="str">
        <f>IF(ISBLANK(INDEX('Policy Characteristics'!I:I,MATCH($C37,'Policy Characteristics'!$C:$C,0))),"",INDEX('Policy Characteristics'!I:I,MATCH($C37,'Policy Characteristics'!$C:$C,0)))</f>
        <v>% reduction in emissions</v>
      </c>
      <c r="P37" s="275"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75" t="str">
        <f>IF(ISBLANK(INDEX('Policy Characteristics'!K:K,MATCH($C37,'Policy Characteristics'!$C:$C,0))),"",INDEX('Policy Characteristics'!K:K,MATCH($C37,'Policy Characteristics'!$C:$C,0)))</f>
        <v>transportation-sector-main.html#conv-pol-stds</v>
      </c>
      <c r="R37" s="275" t="str">
        <f>IF(ISBLANK(INDEX('Policy Characteristics'!L:L,MATCH($C37,'Policy Characteristics'!$C:$C,0))),"",INDEX('Policy Characteristics'!L:L,MATCH($C37,'Policy Characteristics'!$C:$C,0)))</f>
        <v>conventional-pollutant-standards.html</v>
      </c>
    </row>
    <row r="38" spans="1:18" s="2" customFormat="1" x14ac:dyDescent="0.25">
      <c r="A38" s="275" t="str">
        <f>IF(ISBLANK(INDEX('Policy Characteristics'!A:A,MATCH($C38,'Policy Characteristics'!$C:$C,0))),"",INDEX('Policy Characteristics'!A:A,MATCH($C38,'Policy Characteristics'!$C:$C,0)))</f>
        <v>Transportation</v>
      </c>
      <c r="B38" s="284" t="str">
        <f>IF(ISBLANK(INDEX('Policy Characteristics'!B:B,MATCH($C38,'Policy Characteristics'!$C:$C,0))),"",INDEX('Policy Characteristics'!B:B,MATCH($C38,'Policy Characteristics'!$C:$C,0)))</f>
        <v>Conventional Pollutant Standards</v>
      </c>
      <c r="C38" s="275" t="str">
        <f t="shared" si="2"/>
        <v>Percentage Reduction of Separately Regulated Pollutants</v>
      </c>
      <c r="D38" s="2" t="s">
        <v>40</v>
      </c>
      <c r="E38" s="2" t="s">
        <v>2232</v>
      </c>
      <c r="F38" s="2" t="s">
        <v>3308</v>
      </c>
      <c r="G38" s="2" t="s">
        <v>2232</v>
      </c>
      <c r="H38" s="49">
        <v>336</v>
      </c>
      <c r="I38" s="346" t="s">
        <v>43</v>
      </c>
      <c r="J38" s="276" t="str">
        <f>IF(ISBLANK(INDEX('Policy Characteristics'!D:D,MATCH($C38,'Policy Characteristics'!$C:$C,0))),"",INDEX('Policy Characteristics'!D:D,MATCH($C38,'Policy Characteristics'!$C:$C,0)))</f>
        <v>Conventional Pollutant Standard</v>
      </c>
      <c r="K38" s="275" t="str">
        <f>IF(ISBLANK(INDEX('Policy Characteristics'!E:E,MATCH($C38,'Policy Characteristics'!$C:$C,0))),"",INDEX('Policy Characteristics'!E:E,MATCH($C38,'Policy Characteristics'!$C:$C,0)))</f>
        <v>trans reduce regulated pollutants</v>
      </c>
      <c r="L38" s="283">
        <f>IF(ISBLANK(INDEX('Policy Characteristics'!F:F,MATCH($C38,'Policy Characteristics'!$C:$C,0))),"",INDEX('Policy Characteristics'!F:F,MATCH($C38,'Policy Characteristics'!$C:$C,0)))</f>
        <v>0</v>
      </c>
      <c r="M38" s="283">
        <f>IF(ISBLANK(INDEX('Policy Characteristics'!G:G,MATCH($C38,'Policy Characteristics'!$C:$C,0))),"",INDEX('Policy Characteristics'!G:G,MATCH($C38,'Policy Characteristics'!$C:$C,0)))</f>
        <v>1</v>
      </c>
      <c r="N38" s="283">
        <f>IF(ISBLANK(INDEX('Policy Characteristics'!H:H,MATCH($C38,'Policy Characteristics'!$C:$C,0))),"",INDEX('Policy Characteristics'!H:H,MATCH($C38,'Policy Characteristics'!$C:$C,0)))</f>
        <v>0.02</v>
      </c>
      <c r="O38" s="275" t="str">
        <f>IF(ISBLANK(INDEX('Policy Characteristics'!I:I,MATCH($C38,'Policy Characteristics'!$C:$C,0))),"",INDEX('Policy Characteristics'!I:I,MATCH($C38,'Policy Characteristics'!$C:$C,0)))</f>
        <v>% reduction in emissions</v>
      </c>
      <c r="P38" s="275"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75" t="str">
        <f>IF(ISBLANK(INDEX('Policy Characteristics'!K:K,MATCH($C38,'Policy Characteristics'!$C:$C,0))),"",INDEX('Policy Characteristics'!K:K,MATCH($C38,'Policy Characteristics'!$C:$C,0)))</f>
        <v>transportation-sector-main.html#conv-pol-stds</v>
      </c>
      <c r="R38" s="275" t="str">
        <f>IF(ISBLANK(INDEX('Policy Characteristics'!L:L,MATCH($C38,'Policy Characteristics'!$C:$C,0))),"",INDEX('Policy Characteristics'!L:L,MATCH($C38,'Policy Characteristics'!$C:$C,0)))</f>
        <v>conventional-pollutant-standards.html</v>
      </c>
    </row>
    <row r="39" spans="1:18" s="2" customFormat="1" x14ac:dyDescent="0.25">
      <c r="A39" s="275" t="str">
        <f>IF(ISBLANK(INDEX('Policy Characteristics'!A:A,MATCH($C39,'Policy Characteristics'!$C:$C,0))),"",INDEX('Policy Characteristics'!A:A,MATCH($C39,'Policy Characteristics'!$C:$C,0)))</f>
        <v>Transportation</v>
      </c>
      <c r="B39" s="284" t="str">
        <f>IF(ISBLANK(INDEX('Policy Characteristics'!B:B,MATCH($C39,'Policy Characteristics'!$C:$C,0))),"",INDEX('Policy Characteristics'!B:B,MATCH($C39,'Policy Characteristics'!$C:$C,0)))</f>
        <v>Conventional Pollutant Standards</v>
      </c>
      <c r="C39" s="275" t="str">
        <f t="shared" si="2"/>
        <v>Percentage Reduction of Separately Regulated Pollutants</v>
      </c>
      <c r="D39" s="2" t="s">
        <v>40</v>
      </c>
      <c r="E39" s="2" t="s">
        <v>2234</v>
      </c>
      <c r="F39" s="2" t="s">
        <v>3308</v>
      </c>
      <c r="G39" s="2" t="s">
        <v>2234</v>
      </c>
      <c r="H39" s="49">
        <v>337</v>
      </c>
      <c r="I39" s="346" t="s">
        <v>43</v>
      </c>
      <c r="J39" s="276" t="str">
        <f>IF(ISBLANK(INDEX('Policy Characteristics'!D:D,MATCH($C39,'Policy Characteristics'!$C:$C,0))),"",INDEX('Policy Characteristics'!D:D,MATCH($C39,'Policy Characteristics'!$C:$C,0)))</f>
        <v>Conventional Pollutant Standard</v>
      </c>
      <c r="K39" s="275" t="str">
        <f>IF(ISBLANK(INDEX('Policy Characteristics'!E:E,MATCH($C39,'Policy Characteristics'!$C:$C,0))),"",INDEX('Policy Characteristics'!E:E,MATCH($C39,'Policy Characteristics'!$C:$C,0)))</f>
        <v>trans reduce regulated pollutants</v>
      </c>
      <c r="L39" s="283">
        <f>IF(ISBLANK(INDEX('Policy Characteristics'!F:F,MATCH($C39,'Policy Characteristics'!$C:$C,0))),"",INDEX('Policy Characteristics'!F:F,MATCH($C39,'Policy Characteristics'!$C:$C,0)))</f>
        <v>0</v>
      </c>
      <c r="M39" s="283">
        <f>IF(ISBLANK(INDEX('Policy Characteristics'!G:G,MATCH($C39,'Policy Characteristics'!$C:$C,0))),"",INDEX('Policy Characteristics'!G:G,MATCH($C39,'Policy Characteristics'!$C:$C,0)))</f>
        <v>1</v>
      </c>
      <c r="N39" s="283">
        <f>IF(ISBLANK(INDEX('Policy Characteristics'!H:H,MATCH($C39,'Policy Characteristics'!$C:$C,0))),"",INDEX('Policy Characteristics'!H:H,MATCH($C39,'Policy Characteristics'!$C:$C,0)))</f>
        <v>0.02</v>
      </c>
      <c r="O39" s="275" t="str">
        <f>IF(ISBLANK(INDEX('Policy Characteristics'!I:I,MATCH($C39,'Policy Characteristics'!$C:$C,0))),"",INDEX('Policy Characteristics'!I:I,MATCH($C39,'Policy Characteristics'!$C:$C,0)))</f>
        <v>% reduction in emissions</v>
      </c>
      <c r="P39" s="275"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75" t="str">
        <f>IF(ISBLANK(INDEX('Policy Characteristics'!K:K,MATCH($C39,'Policy Characteristics'!$C:$C,0))),"",INDEX('Policy Characteristics'!K:K,MATCH($C39,'Policy Characteristics'!$C:$C,0)))</f>
        <v>transportation-sector-main.html#conv-pol-stds</v>
      </c>
      <c r="R39" s="275" t="str">
        <f>IF(ISBLANK(INDEX('Policy Characteristics'!L:L,MATCH($C39,'Policy Characteristics'!$C:$C,0))),"",INDEX('Policy Characteristics'!L:L,MATCH($C39,'Policy Characteristics'!$C:$C,0)))</f>
        <v>conventional-pollutant-standards.html</v>
      </c>
    </row>
    <row r="40" spans="1:18" s="2" customFormat="1" x14ac:dyDescent="0.25">
      <c r="A40" s="275" t="str">
        <f>IF(ISBLANK(INDEX('Policy Characteristics'!A:A,MATCH($C40,'Policy Characteristics'!$C:$C,0))),"",INDEX('Policy Characteristics'!A:A,MATCH($C40,'Policy Characteristics'!$C:$C,0)))</f>
        <v>Transportation</v>
      </c>
      <c r="B40" s="284" t="str">
        <f>IF(ISBLANK(INDEX('Policy Characteristics'!B:B,MATCH($C40,'Policy Characteristics'!$C:$C,0))),"",INDEX('Policy Characteristics'!B:B,MATCH($C40,'Policy Characteristics'!$C:$C,0)))</f>
        <v>Conventional Pollutant Standards</v>
      </c>
      <c r="C40" s="275" t="str">
        <f t="shared" si="2"/>
        <v>Percentage Reduction of Separately Regulated Pollutants</v>
      </c>
      <c r="D40" s="2" t="s">
        <v>40</v>
      </c>
      <c r="E40" s="2" t="s">
        <v>2236</v>
      </c>
      <c r="F40" s="2" t="s">
        <v>3308</v>
      </c>
      <c r="G40" s="2" t="s">
        <v>2236</v>
      </c>
      <c r="H40" s="49">
        <v>338</v>
      </c>
      <c r="I40" s="347" t="s">
        <v>44</v>
      </c>
      <c r="J40" s="276" t="str">
        <f>IF(ISBLANK(INDEX('Policy Characteristics'!D:D,MATCH($C40,'Policy Characteristics'!$C:$C,0))),"",INDEX('Policy Characteristics'!D:D,MATCH($C40,'Policy Characteristics'!$C:$C,0)))</f>
        <v>Conventional Pollutant Standard</v>
      </c>
      <c r="K40" s="275" t="str">
        <f>IF(ISBLANK(INDEX('Policy Characteristics'!E:E,MATCH($C40,'Policy Characteristics'!$C:$C,0))),"",INDEX('Policy Characteristics'!E:E,MATCH($C40,'Policy Characteristics'!$C:$C,0)))</f>
        <v>trans reduce regulated pollutants</v>
      </c>
      <c r="L40" s="283">
        <f>IF(ISBLANK(INDEX('Policy Characteristics'!F:F,MATCH($C40,'Policy Characteristics'!$C:$C,0))),"",INDEX('Policy Characteristics'!F:F,MATCH($C40,'Policy Characteristics'!$C:$C,0)))</f>
        <v>0</v>
      </c>
      <c r="M40" s="283">
        <f>IF(ISBLANK(INDEX('Policy Characteristics'!G:G,MATCH($C40,'Policy Characteristics'!$C:$C,0))),"",INDEX('Policy Characteristics'!G:G,MATCH($C40,'Policy Characteristics'!$C:$C,0)))</f>
        <v>1</v>
      </c>
      <c r="N40" s="283">
        <f>IF(ISBLANK(INDEX('Policy Characteristics'!H:H,MATCH($C40,'Policy Characteristics'!$C:$C,0))),"",INDEX('Policy Characteristics'!H:H,MATCH($C40,'Policy Characteristics'!$C:$C,0)))</f>
        <v>0.02</v>
      </c>
      <c r="O40" s="275" t="str">
        <f>IF(ISBLANK(INDEX('Policy Characteristics'!I:I,MATCH($C40,'Policy Characteristics'!$C:$C,0))),"",INDEX('Policy Characteristics'!I:I,MATCH($C40,'Policy Characteristics'!$C:$C,0)))</f>
        <v>% reduction in emissions</v>
      </c>
      <c r="P40" s="275"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75" t="str">
        <f>IF(ISBLANK(INDEX('Policy Characteristics'!K:K,MATCH($C40,'Policy Characteristics'!$C:$C,0))),"",INDEX('Policy Characteristics'!K:K,MATCH($C40,'Policy Characteristics'!$C:$C,0)))</f>
        <v>transportation-sector-main.html#conv-pol-stds</v>
      </c>
      <c r="R40" s="275" t="str">
        <f>IF(ISBLANK(INDEX('Policy Characteristics'!L:L,MATCH($C40,'Policy Characteristics'!$C:$C,0))),"",INDEX('Policy Characteristics'!L:L,MATCH($C40,'Policy Characteristics'!$C:$C,0)))</f>
        <v>conventional-pollutant-standards.html</v>
      </c>
    </row>
    <row r="41" spans="1:18" s="2" customFormat="1" x14ac:dyDescent="0.25">
      <c r="A41" s="275" t="str">
        <f>IF(ISBLANK(INDEX('Policy Characteristics'!A:A,MATCH($C41,'Policy Characteristics'!$C:$C,0))),"",INDEX('Policy Characteristics'!A:A,MATCH($C41,'Policy Characteristics'!$C:$C,0)))</f>
        <v>Transportation</v>
      </c>
      <c r="B41" s="284" t="str">
        <f>IF(ISBLANK(INDEX('Policy Characteristics'!B:B,MATCH($C41,'Policy Characteristics'!$C:$C,0))),"",INDEX('Policy Characteristics'!B:B,MATCH($C41,'Policy Characteristics'!$C:$C,0)))</f>
        <v>Conventional Pollutant Standards</v>
      </c>
      <c r="C41" s="275" t="str">
        <f t="shared" si="2"/>
        <v>Percentage Reduction of Separately Regulated Pollutants</v>
      </c>
      <c r="D41" s="2" t="s">
        <v>40</v>
      </c>
      <c r="E41" s="2" t="s">
        <v>2238</v>
      </c>
      <c r="F41" s="2" t="s">
        <v>3308</v>
      </c>
      <c r="G41" s="2" t="s">
        <v>2238</v>
      </c>
      <c r="H41" s="49">
        <v>339</v>
      </c>
      <c r="I41" s="347" t="s">
        <v>44</v>
      </c>
      <c r="J41" s="276" t="str">
        <f>IF(ISBLANK(INDEX('Policy Characteristics'!D:D,MATCH($C41,'Policy Characteristics'!$C:$C,0))),"",INDEX('Policy Characteristics'!D:D,MATCH($C41,'Policy Characteristics'!$C:$C,0)))</f>
        <v>Conventional Pollutant Standard</v>
      </c>
      <c r="K41" s="275" t="str">
        <f>IF(ISBLANK(INDEX('Policy Characteristics'!E:E,MATCH($C41,'Policy Characteristics'!$C:$C,0))),"",INDEX('Policy Characteristics'!E:E,MATCH($C41,'Policy Characteristics'!$C:$C,0)))</f>
        <v>trans reduce regulated pollutants</v>
      </c>
      <c r="L41" s="283">
        <f>IF(ISBLANK(INDEX('Policy Characteristics'!F:F,MATCH($C41,'Policy Characteristics'!$C:$C,0))),"",INDEX('Policy Characteristics'!F:F,MATCH($C41,'Policy Characteristics'!$C:$C,0)))</f>
        <v>0</v>
      </c>
      <c r="M41" s="283">
        <f>IF(ISBLANK(INDEX('Policy Characteristics'!G:G,MATCH($C41,'Policy Characteristics'!$C:$C,0))),"",INDEX('Policy Characteristics'!G:G,MATCH($C41,'Policy Characteristics'!$C:$C,0)))</f>
        <v>1</v>
      </c>
      <c r="N41" s="283">
        <f>IF(ISBLANK(INDEX('Policy Characteristics'!H:H,MATCH($C41,'Policy Characteristics'!$C:$C,0))),"",INDEX('Policy Characteristics'!H:H,MATCH($C41,'Policy Characteristics'!$C:$C,0)))</f>
        <v>0.02</v>
      </c>
      <c r="O41" s="275" t="str">
        <f>IF(ISBLANK(INDEX('Policy Characteristics'!I:I,MATCH($C41,'Policy Characteristics'!$C:$C,0))),"",INDEX('Policy Characteristics'!I:I,MATCH($C41,'Policy Characteristics'!$C:$C,0)))</f>
        <v>% reduction in emissions</v>
      </c>
      <c r="P41" s="275"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75" t="str">
        <f>IF(ISBLANK(INDEX('Policy Characteristics'!K:K,MATCH($C41,'Policy Characteristics'!$C:$C,0))),"",INDEX('Policy Characteristics'!K:K,MATCH($C41,'Policy Characteristics'!$C:$C,0)))</f>
        <v>transportation-sector-main.html#conv-pol-stds</v>
      </c>
      <c r="R41" s="275" t="str">
        <f>IF(ISBLANK(INDEX('Policy Characteristics'!L:L,MATCH($C41,'Policy Characteristics'!$C:$C,0))),"",INDEX('Policy Characteristics'!L:L,MATCH($C41,'Policy Characteristics'!$C:$C,0)))</f>
        <v>conventional-pollutant-standards.html</v>
      </c>
    </row>
    <row r="42" spans="1:18" s="2" customFormat="1" x14ac:dyDescent="0.25">
      <c r="A42" s="275" t="str">
        <f>IF(ISBLANK(INDEX('Policy Characteristics'!A:A,MATCH($C42,'Policy Characteristics'!$C:$C,0))),"",INDEX('Policy Characteristics'!A:A,MATCH($C42,'Policy Characteristics'!$C:$C,0)))</f>
        <v>Transportation</v>
      </c>
      <c r="B42" s="284" t="str">
        <f>IF(ISBLANK(INDEX('Policy Characteristics'!B:B,MATCH($C42,'Policy Characteristics'!$C:$C,0))),"",INDEX('Policy Characteristics'!B:B,MATCH($C42,'Policy Characteristics'!$C:$C,0)))</f>
        <v>Conventional Pollutant Standards</v>
      </c>
      <c r="C42" s="275" t="str">
        <f t="shared" si="2"/>
        <v>Percentage Reduction of Separately Regulated Pollutants</v>
      </c>
      <c r="D42" s="2" t="s">
        <v>41</v>
      </c>
      <c r="E42" s="2" t="s">
        <v>2222</v>
      </c>
      <c r="F42" s="2" t="s">
        <v>3309</v>
      </c>
      <c r="G42" s="2" t="s">
        <v>2428</v>
      </c>
      <c r="H42" s="49">
        <v>340</v>
      </c>
      <c r="I42" s="346" t="s">
        <v>43</v>
      </c>
      <c r="J42" s="276" t="str">
        <f>IF(ISBLANK(INDEX('Policy Characteristics'!D:D,MATCH($C42,'Policy Characteristics'!$C:$C,0))),"",INDEX('Policy Characteristics'!D:D,MATCH($C42,'Policy Characteristics'!$C:$C,0)))</f>
        <v>Conventional Pollutant Standard</v>
      </c>
      <c r="K42" s="275" t="str">
        <f>IF(ISBLANK(INDEX('Policy Characteristics'!E:E,MATCH($C42,'Policy Characteristics'!$C:$C,0))),"",INDEX('Policy Characteristics'!E:E,MATCH($C42,'Policy Characteristics'!$C:$C,0)))</f>
        <v>trans reduce regulated pollutants</v>
      </c>
      <c r="L42" s="283">
        <f>IF(ISBLANK(INDEX('Policy Characteristics'!F:F,MATCH($C42,'Policy Characteristics'!$C:$C,0))),"",INDEX('Policy Characteristics'!F:F,MATCH($C42,'Policy Characteristics'!$C:$C,0)))</f>
        <v>0</v>
      </c>
      <c r="M42" s="283">
        <f>IF(ISBLANK(INDEX('Policy Characteristics'!G:G,MATCH($C42,'Policy Characteristics'!$C:$C,0))),"",INDEX('Policy Characteristics'!G:G,MATCH($C42,'Policy Characteristics'!$C:$C,0)))</f>
        <v>1</v>
      </c>
      <c r="N42" s="283">
        <f>IF(ISBLANK(INDEX('Policy Characteristics'!H:H,MATCH($C42,'Policy Characteristics'!$C:$C,0))),"",INDEX('Policy Characteristics'!H:H,MATCH($C42,'Policy Characteristics'!$C:$C,0)))</f>
        <v>0.02</v>
      </c>
      <c r="O42" s="275" t="str">
        <f>IF(ISBLANK(INDEX('Policy Characteristics'!I:I,MATCH($C42,'Policy Characteristics'!$C:$C,0))),"",INDEX('Policy Characteristics'!I:I,MATCH($C42,'Policy Characteristics'!$C:$C,0)))</f>
        <v>% reduction in emissions</v>
      </c>
      <c r="P42" s="275"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75" t="str">
        <f>IF(ISBLANK(INDEX('Policy Characteristics'!K:K,MATCH($C42,'Policy Characteristics'!$C:$C,0))),"",INDEX('Policy Characteristics'!K:K,MATCH($C42,'Policy Characteristics'!$C:$C,0)))</f>
        <v>transportation-sector-main.html#conv-pol-stds</v>
      </c>
      <c r="R42" s="275" t="str">
        <f>IF(ISBLANK(INDEX('Policy Characteristics'!L:L,MATCH($C42,'Policy Characteristics'!$C:$C,0))),"",INDEX('Policy Characteristics'!L:L,MATCH($C42,'Policy Characteristics'!$C:$C,0)))</f>
        <v>conventional-pollutant-standards.html</v>
      </c>
    </row>
    <row r="43" spans="1:18" s="2" customFormat="1" x14ac:dyDescent="0.25">
      <c r="A43" s="275" t="str">
        <f>IF(ISBLANK(INDEX('Policy Characteristics'!A:A,MATCH($C43,'Policy Characteristics'!$C:$C,0))),"",INDEX('Policy Characteristics'!A:A,MATCH($C43,'Policy Characteristics'!$C:$C,0)))</f>
        <v>Transportation</v>
      </c>
      <c r="B43" s="284" t="str">
        <f>IF(ISBLANK(INDEX('Policy Characteristics'!B:B,MATCH($C43,'Policy Characteristics'!$C:$C,0))),"",INDEX('Policy Characteristics'!B:B,MATCH($C43,'Policy Characteristics'!$C:$C,0)))</f>
        <v>Conventional Pollutant Standards</v>
      </c>
      <c r="C43" s="275" t="str">
        <f t="shared" si="2"/>
        <v>Percentage Reduction of Separately Regulated Pollutants</v>
      </c>
      <c r="D43" s="2" t="s">
        <v>41</v>
      </c>
      <c r="E43" s="2" t="s">
        <v>485</v>
      </c>
      <c r="F43" s="2" t="s">
        <v>3309</v>
      </c>
      <c r="G43" s="2" t="s">
        <v>485</v>
      </c>
      <c r="H43" s="49">
        <v>341</v>
      </c>
      <c r="I43" s="346" t="s">
        <v>43</v>
      </c>
      <c r="J43" s="276" t="str">
        <f>IF(ISBLANK(INDEX('Policy Characteristics'!D:D,MATCH($C43,'Policy Characteristics'!$C:$C,0))),"",INDEX('Policy Characteristics'!D:D,MATCH($C43,'Policy Characteristics'!$C:$C,0)))</f>
        <v>Conventional Pollutant Standard</v>
      </c>
      <c r="K43" s="275" t="str">
        <f>IF(ISBLANK(INDEX('Policy Characteristics'!E:E,MATCH($C43,'Policy Characteristics'!$C:$C,0))),"",INDEX('Policy Characteristics'!E:E,MATCH($C43,'Policy Characteristics'!$C:$C,0)))</f>
        <v>trans reduce regulated pollutants</v>
      </c>
      <c r="L43" s="283">
        <f>IF(ISBLANK(INDEX('Policy Characteristics'!F:F,MATCH($C43,'Policy Characteristics'!$C:$C,0))),"",INDEX('Policy Characteristics'!F:F,MATCH($C43,'Policy Characteristics'!$C:$C,0)))</f>
        <v>0</v>
      </c>
      <c r="M43" s="283">
        <f>IF(ISBLANK(INDEX('Policy Characteristics'!G:G,MATCH($C43,'Policy Characteristics'!$C:$C,0))),"",INDEX('Policy Characteristics'!G:G,MATCH($C43,'Policy Characteristics'!$C:$C,0)))</f>
        <v>1</v>
      </c>
      <c r="N43" s="283">
        <f>IF(ISBLANK(INDEX('Policy Characteristics'!H:H,MATCH($C43,'Policy Characteristics'!$C:$C,0))),"",INDEX('Policy Characteristics'!H:H,MATCH($C43,'Policy Characteristics'!$C:$C,0)))</f>
        <v>0.02</v>
      </c>
      <c r="O43" s="275" t="str">
        <f>IF(ISBLANK(INDEX('Policy Characteristics'!I:I,MATCH($C43,'Policy Characteristics'!$C:$C,0))),"",INDEX('Policy Characteristics'!I:I,MATCH($C43,'Policy Characteristics'!$C:$C,0)))</f>
        <v>% reduction in emissions</v>
      </c>
      <c r="P43" s="275"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75" t="str">
        <f>IF(ISBLANK(INDEX('Policy Characteristics'!K:K,MATCH($C43,'Policy Characteristics'!$C:$C,0))),"",INDEX('Policy Characteristics'!K:K,MATCH($C43,'Policy Characteristics'!$C:$C,0)))</f>
        <v>transportation-sector-main.html#conv-pol-stds</v>
      </c>
      <c r="R43" s="275" t="str">
        <f>IF(ISBLANK(INDEX('Policy Characteristics'!L:L,MATCH($C43,'Policy Characteristics'!$C:$C,0))),"",INDEX('Policy Characteristics'!L:L,MATCH($C43,'Policy Characteristics'!$C:$C,0)))</f>
        <v>conventional-pollutant-standards.html</v>
      </c>
    </row>
    <row r="44" spans="1:18" s="2" customFormat="1" x14ac:dyDescent="0.25">
      <c r="A44" s="275" t="str">
        <f>IF(ISBLANK(INDEX('Policy Characteristics'!A:A,MATCH($C44,'Policy Characteristics'!$C:$C,0))),"",INDEX('Policy Characteristics'!A:A,MATCH($C44,'Policy Characteristics'!$C:$C,0)))</f>
        <v>Transportation</v>
      </c>
      <c r="B44" s="284" t="str">
        <f>IF(ISBLANK(INDEX('Policy Characteristics'!B:B,MATCH($C44,'Policy Characteristics'!$C:$C,0))),"",INDEX('Policy Characteristics'!B:B,MATCH($C44,'Policy Characteristics'!$C:$C,0)))</f>
        <v>Conventional Pollutant Standards</v>
      </c>
      <c r="C44" s="275" t="str">
        <f t="shared" si="2"/>
        <v>Percentage Reduction of Separately Regulated Pollutants</v>
      </c>
      <c r="D44" s="2" t="s">
        <v>41</v>
      </c>
      <c r="E44" s="2" t="s">
        <v>2225</v>
      </c>
      <c r="F44" s="2" t="s">
        <v>3309</v>
      </c>
      <c r="G44" s="2" t="s">
        <v>2225</v>
      </c>
      <c r="H44" s="49">
        <v>342</v>
      </c>
      <c r="I44" s="346" t="s">
        <v>43</v>
      </c>
      <c r="J44" s="276" t="str">
        <f>IF(ISBLANK(INDEX('Policy Characteristics'!D:D,MATCH($C44,'Policy Characteristics'!$C:$C,0))),"",INDEX('Policy Characteristics'!D:D,MATCH($C44,'Policy Characteristics'!$C:$C,0)))</f>
        <v>Conventional Pollutant Standard</v>
      </c>
      <c r="K44" s="275" t="str">
        <f>IF(ISBLANK(INDEX('Policy Characteristics'!E:E,MATCH($C44,'Policy Characteristics'!$C:$C,0))),"",INDEX('Policy Characteristics'!E:E,MATCH($C44,'Policy Characteristics'!$C:$C,0)))</f>
        <v>trans reduce regulated pollutants</v>
      </c>
      <c r="L44" s="283">
        <f>IF(ISBLANK(INDEX('Policy Characteristics'!F:F,MATCH($C44,'Policy Characteristics'!$C:$C,0))),"",INDEX('Policy Characteristics'!F:F,MATCH($C44,'Policy Characteristics'!$C:$C,0)))</f>
        <v>0</v>
      </c>
      <c r="M44" s="283">
        <f>IF(ISBLANK(INDEX('Policy Characteristics'!G:G,MATCH($C44,'Policy Characteristics'!$C:$C,0))),"",INDEX('Policy Characteristics'!G:G,MATCH($C44,'Policy Characteristics'!$C:$C,0)))</f>
        <v>1</v>
      </c>
      <c r="N44" s="283">
        <f>IF(ISBLANK(INDEX('Policy Characteristics'!H:H,MATCH($C44,'Policy Characteristics'!$C:$C,0))),"",INDEX('Policy Characteristics'!H:H,MATCH($C44,'Policy Characteristics'!$C:$C,0)))</f>
        <v>0.02</v>
      </c>
      <c r="O44" s="275" t="str">
        <f>IF(ISBLANK(INDEX('Policy Characteristics'!I:I,MATCH($C44,'Policy Characteristics'!$C:$C,0))),"",INDEX('Policy Characteristics'!I:I,MATCH($C44,'Policy Characteristics'!$C:$C,0)))</f>
        <v>% reduction in emissions</v>
      </c>
      <c r="P44" s="275"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75" t="str">
        <f>IF(ISBLANK(INDEX('Policy Characteristics'!K:K,MATCH($C44,'Policy Characteristics'!$C:$C,0))),"",INDEX('Policy Characteristics'!K:K,MATCH($C44,'Policy Characteristics'!$C:$C,0)))</f>
        <v>transportation-sector-main.html#conv-pol-stds</v>
      </c>
      <c r="R44" s="275" t="str">
        <f>IF(ISBLANK(INDEX('Policy Characteristics'!L:L,MATCH($C44,'Policy Characteristics'!$C:$C,0))),"",INDEX('Policy Characteristics'!L:L,MATCH($C44,'Policy Characteristics'!$C:$C,0)))</f>
        <v>conventional-pollutant-standards.html</v>
      </c>
    </row>
    <row r="45" spans="1:18" s="2" customFormat="1" x14ac:dyDescent="0.25">
      <c r="A45" s="275" t="str">
        <f>IF(ISBLANK(INDEX('Policy Characteristics'!A:A,MATCH($C45,'Policy Characteristics'!$C:$C,0))),"",INDEX('Policy Characteristics'!A:A,MATCH($C45,'Policy Characteristics'!$C:$C,0)))</f>
        <v>Transportation</v>
      </c>
      <c r="B45" s="284" t="str">
        <f>IF(ISBLANK(INDEX('Policy Characteristics'!B:B,MATCH($C45,'Policy Characteristics'!$C:$C,0))),"",INDEX('Policy Characteristics'!B:B,MATCH($C45,'Policy Characteristics'!$C:$C,0)))</f>
        <v>Conventional Pollutant Standards</v>
      </c>
      <c r="C45" s="275" t="str">
        <f t="shared" si="2"/>
        <v>Percentage Reduction of Separately Regulated Pollutants</v>
      </c>
      <c r="D45" s="2" t="s">
        <v>41</v>
      </c>
      <c r="E45" s="2" t="s">
        <v>2227</v>
      </c>
      <c r="F45" s="2" t="s">
        <v>3309</v>
      </c>
      <c r="G45" s="2" t="s">
        <v>2227</v>
      </c>
      <c r="H45" s="49">
        <v>343</v>
      </c>
      <c r="I45" s="346" t="s">
        <v>43</v>
      </c>
      <c r="J45" s="276" t="str">
        <f>IF(ISBLANK(INDEX('Policy Characteristics'!D:D,MATCH($C45,'Policy Characteristics'!$C:$C,0))),"",INDEX('Policy Characteristics'!D:D,MATCH($C45,'Policy Characteristics'!$C:$C,0)))</f>
        <v>Conventional Pollutant Standard</v>
      </c>
      <c r="K45" s="275" t="str">
        <f>IF(ISBLANK(INDEX('Policy Characteristics'!E:E,MATCH($C45,'Policy Characteristics'!$C:$C,0))),"",INDEX('Policy Characteristics'!E:E,MATCH($C45,'Policy Characteristics'!$C:$C,0)))</f>
        <v>trans reduce regulated pollutants</v>
      </c>
      <c r="L45" s="283">
        <f>IF(ISBLANK(INDEX('Policy Characteristics'!F:F,MATCH($C45,'Policy Characteristics'!$C:$C,0))),"",INDEX('Policy Characteristics'!F:F,MATCH($C45,'Policy Characteristics'!$C:$C,0)))</f>
        <v>0</v>
      </c>
      <c r="M45" s="283">
        <f>IF(ISBLANK(INDEX('Policy Characteristics'!G:G,MATCH($C45,'Policy Characteristics'!$C:$C,0))),"",INDEX('Policy Characteristics'!G:G,MATCH($C45,'Policy Characteristics'!$C:$C,0)))</f>
        <v>1</v>
      </c>
      <c r="N45" s="283">
        <f>IF(ISBLANK(INDEX('Policy Characteristics'!H:H,MATCH($C45,'Policy Characteristics'!$C:$C,0))),"",INDEX('Policy Characteristics'!H:H,MATCH($C45,'Policy Characteristics'!$C:$C,0)))</f>
        <v>0.02</v>
      </c>
      <c r="O45" s="275" t="str">
        <f>IF(ISBLANK(INDEX('Policy Characteristics'!I:I,MATCH($C45,'Policy Characteristics'!$C:$C,0))),"",INDEX('Policy Characteristics'!I:I,MATCH($C45,'Policy Characteristics'!$C:$C,0)))</f>
        <v>% reduction in emissions</v>
      </c>
      <c r="P45" s="275"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75" t="str">
        <f>IF(ISBLANK(INDEX('Policy Characteristics'!K:K,MATCH($C45,'Policy Characteristics'!$C:$C,0))),"",INDEX('Policy Characteristics'!K:K,MATCH($C45,'Policy Characteristics'!$C:$C,0)))</f>
        <v>transportation-sector-main.html#conv-pol-stds</v>
      </c>
      <c r="R45" s="275" t="str">
        <f>IF(ISBLANK(INDEX('Policy Characteristics'!L:L,MATCH($C45,'Policy Characteristics'!$C:$C,0))),"",INDEX('Policy Characteristics'!L:L,MATCH($C45,'Policy Characteristics'!$C:$C,0)))</f>
        <v>conventional-pollutant-standards.html</v>
      </c>
    </row>
    <row r="46" spans="1:18" s="2" customFormat="1" x14ac:dyDescent="0.25">
      <c r="A46" s="275" t="str">
        <f>IF(ISBLANK(INDEX('Policy Characteristics'!A:A,MATCH($C46,'Policy Characteristics'!$C:$C,0))),"",INDEX('Policy Characteristics'!A:A,MATCH($C46,'Policy Characteristics'!$C:$C,0)))</f>
        <v>Transportation</v>
      </c>
      <c r="B46" s="284" t="str">
        <f>IF(ISBLANK(INDEX('Policy Characteristics'!B:B,MATCH($C46,'Policy Characteristics'!$C:$C,0))),"",INDEX('Policy Characteristics'!B:B,MATCH($C46,'Policy Characteristics'!$C:$C,0)))</f>
        <v>Conventional Pollutant Standards</v>
      </c>
      <c r="C46" s="275" t="str">
        <f t="shared" si="2"/>
        <v>Percentage Reduction of Separately Regulated Pollutants</v>
      </c>
      <c r="D46" s="2" t="s">
        <v>41</v>
      </c>
      <c r="E46" s="2" t="s">
        <v>2229</v>
      </c>
      <c r="F46" s="2" t="s">
        <v>3309</v>
      </c>
      <c r="G46" s="2" t="s">
        <v>2320</v>
      </c>
      <c r="H46" s="49">
        <v>344</v>
      </c>
      <c r="I46" s="346" t="s">
        <v>43</v>
      </c>
      <c r="J46" s="276" t="str">
        <f>IF(ISBLANK(INDEX('Policy Characteristics'!D:D,MATCH($C46,'Policy Characteristics'!$C:$C,0))),"",INDEX('Policy Characteristics'!D:D,MATCH($C46,'Policy Characteristics'!$C:$C,0)))</f>
        <v>Conventional Pollutant Standard</v>
      </c>
      <c r="K46" s="275" t="str">
        <f>IF(ISBLANK(INDEX('Policy Characteristics'!E:E,MATCH($C46,'Policy Characteristics'!$C:$C,0))),"",INDEX('Policy Characteristics'!E:E,MATCH($C46,'Policy Characteristics'!$C:$C,0)))</f>
        <v>trans reduce regulated pollutants</v>
      </c>
      <c r="L46" s="283">
        <f>IF(ISBLANK(INDEX('Policy Characteristics'!F:F,MATCH($C46,'Policy Characteristics'!$C:$C,0))),"",INDEX('Policy Characteristics'!F:F,MATCH($C46,'Policy Characteristics'!$C:$C,0)))</f>
        <v>0</v>
      </c>
      <c r="M46" s="283">
        <f>IF(ISBLANK(INDEX('Policy Characteristics'!G:G,MATCH($C46,'Policy Characteristics'!$C:$C,0))),"",INDEX('Policy Characteristics'!G:G,MATCH($C46,'Policy Characteristics'!$C:$C,0)))</f>
        <v>1</v>
      </c>
      <c r="N46" s="283">
        <f>IF(ISBLANK(INDEX('Policy Characteristics'!H:H,MATCH($C46,'Policy Characteristics'!$C:$C,0))),"",INDEX('Policy Characteristics'!H:H,MATCH($C46,'Policy Characteristics'!$C:$C,0)))</f>
        <v>0.02</v>
      </c>
      <c r="O46" s="275" t="str">
        <f>IF(ISBLANK(INDEX('Policy Characteristics'!I:I,MATCH($C46,'Policy Characteristics'!$C:$C,0))),"",INDEX('Policy Characteristics'!I:I,MATCH($C46,'Policy Characteristics'!$C:$C,0)))</f>
        <v>% reduction in emissions</v>
      </c>
      <c r="P46" s="275"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75" t="str">
        <f>IF(ISBLANK(INDEX('Policy Characteristics'!K:K,MATCH($C46,'Policy Characteristics'!$C:$C,0))),"",INDEX('Policy Characteristics'!K:K,MATCH($C46,'Policy Characteristics'!$C:$C,0)))</f>
        <v>transportation-sector-main.html#conv-pol-stds</v>
      </c>
      <c r="R46" s="275" t="str">
        <f>IF(ISBLANK(INDEX('Policy Characteristics'!L:L,MATCH($C46,'Policy Characteristics'!$C:$C,0))),"",INDEX('Policy Characteristics'!L:L,MATCH($C46,'Policy Characteristics'!$C:$C,0)))</f>
        <v>conventional-pollutant-standards.html</v>
      </c>
    </row>
    <row r="47" spans="1:18" s="2" customFormat="1" x14ac:dyDescent="0.25">
      <c r="A47" s="275" t="str">
        <f>IF(ISBLANK(INDEX('Policy Characteristics'!A:A,MATCH($C47,'Policy Characteristics'!$C:$C,0))),"",INDEX('Policy Characteristics'!A:A,MATCH($C47,'Policy Characteristics'!$C:$C,0)))</f>
        <v>Transportation</v>
      </c>
      <c r="B47" s="284" t="str">
        <f>IF(ISBLANK(INDEX('Policy Characteristics'!B:B,MATCH($C47,'Policy Characteristics'!$C:$C,0))),"",INDEX('Policy Characteristics'!B:B,MATCH($C47,'Policy Characteristics'!$C:$C,0)))</f>
        <v>Conventional Pollutant Standards</v>
      </c>
      <c r="C47" s="275" t="str">
        <f t="shared" si="2"/>
        <v>Percentage Reduction of Separately Regulated Pollutants</v>
      </c>
      <c r="D47" s="2" t="s">
        <v>41</v>
      </c>
      <c r="E47" s="2" t="s">
        <v>2230</v>
      </c>
      <c r="F47" s="2" t="s">
        <v>3309</v>
      </c>
      <c r="G47" s="2" t="s">
        <v>2230</v>
      </c>
      <c r="H47" s="49">
        <v>345</v>
      </c>
      <c r="I47" s="347" t="s">
        <v>44</v>
      </c>
      <c r="J47" s="276" t="str">
        <f>IF(ISBLANK(INDEX('Policy Characteristics'!D:D,MATCH($C47,'Policy Characteristics'!$C:$C,0))),"",INDEX('Policy Characteristics'!D:D,MATCH($C47,'Policy Characteristics'!$C:$C,0)))</f>
        <v>Conventional Pollutant Standard</v>
      </c>
      <c r="K47" s="275" t="str">
        <f>IF(ISBLANK(INDEX('Policy Characteristics'!E:E,MATCH($C47,'Policy Characteristics'!$C:$C,0))),"",INDEX('Policy Characteristics'!E:E,MATCH($C47,'Policy Characteristics'!$C:$C,0)))</f>
        <v>trans reduce regulated pollutants</v>
      </c>
      <c r="L47" s="283">
        <f>IF(ISBLANK(INDEX('Policy Characteristics'!F:F,MATCH($C47,'Policy Characteristics'!$C:$C,0))),"",INDEX('Policy Characteristics'!F:F,MATCH($C47,'Policy Characteristics'!$C:$C,0)))</f>
        <v>0</v>
      </c>
      <c r="M47" s="283">
        <f>IF(ISBLANK(INDEX('Policy Characteristics'!G:G,MATCH($C47,'Policy Characteristics'!$C:$C,0))),"",INDEX('Policy Characteristics'!G:G,MATCH($C47,'Policy Characteristics'!$C:$C,0)))</f>
        <v>1</v>
      </c>
      <c r="N47" s="283">
        <f>IF(ISBLANK(INDEX('Policy Characteristics'!H:H,MATCH($C47,'Policy Characteristics'!$C:$C,0))),"",INDEX('Policy Characteristics'!H:H,MATCH($C47,'Policy Characteristics'!$C:$C,0)))</f>
        <v>0.02</v>
      </c>
      <c r="O47" s="275" t="str">
        <f>IF(ISBLANK(INDEX('Policy Characteristics'!I:I,MATCH($C47,'Policy Characteristics'!$C:$C,0))),"",INDEX('Policy Characteristics'!I:I,MATCH($C47,'Policy Characteristics'!$C:$C,0)))</f>
        <v>% reduction in emissions</v>
      </c>
      <c r="P47" s="275"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75" t="str">
        <f>IF(ISBLANK(INDEX('Policy Characteristics'!K:K,MATCH($C47,'Policy Characteristics'!$C:$C,0))),"",INDEX('Policy Characteristics'!K:K,MATCH($C47,'Policy Characteristics'!$C:$C,0)))</f>
        <v>transportation-sector-main.html#conv-pol-stds</v>
      </c>
      <c r="R47" s="275" t="str">
        <f>IF(ISBLANK(INDEX('Policy Characteristics'!L:L,MATCH($C47,'Policy Characteristics'!$C:$C,0))),"",INDEX('Policy Characteristics'!L:L,MATCH($C47,'Policy Characteristics'!$C:$C,0)))</f>
        <v>conventional-pollutant-standards.html</v>
      </c>
    </row>
    <row r="48" spans="1:18" s="2" customFormat="1" x14ac:dyDescent="0.25">
      <c r="A48" s="275" t="str">
        <f>IF(ISBLANK(INDEX('Policy Characteristics'!A:A,MATCH($C48,'Policy Characteristics'!$C:$C,0))),"",INDEX('Policy Characteristics'!A:A,MATCH($C48,'Policy Characteristics'!$C:$C,0)))</f>
        <v>Transportation</v>
      </c>
      <c r="B48" s="284" t="str">
        <f>IF(ISBLANK(INDEX('Policy Characteristics'!B:B,MATCH($C48,'Policy Characteristics'!$C:$C,0))),"",INDEX('Policy Characteristics'!B:B,MATCH($C48,'Policy Characteristics'!$C:$C,0)))</f>
        <v>Conventional Pollutant Standards</v>
      </c>
      <c r="C48" s="275" t="str">
        <f t="shared" si="2"/>
        <v>Percentage Reduction of Separately Regulated Pollutants</v>
      </c>
      <c r="D48" s="2" t="s">
        <v>41</v>
      </c>
      <c r="E48" s="2" t="s">
        <v>2232</v>
      </c>
      <c r="F48" s="2" t="s">
        <v>3309</v>
      </c>
      <c r="G48" s="2" t="s">
        <v>2232</v>
      </c>
      <c r="H48" s="49">
        <v>346</v>
      </c>
      <c r="I48" s="346" t="s">
        <v>43</v>
      </c>
      <c r="J48" s="276" t="str">
        <f>IF(ISBLANK(INDEX('Policy Characteristics'!D:D,MATCH($C48,'Policy Characteristics'!$C:$C,0))),"",INDEX('Policy Characteristics'!D:D,MATCH($C48,'Policy Characteristics'!$C:$C,0)))</f>
        <v>Conventional Pollutant Standard</v>
      </c>
      <c r="K48" s="275" t="str">
        <f>IF(ISBLANK(INDEX('Policy Characteristics'!E:E,MATCH($C48,'Policy Characteristics'!$C:$C,0))),"",INDEX('Policy Characteristics'!E:E,MATCH($C48,'Policy Characteristics'!$C:$C,0)))</f>
        <v>trans reduce regulated pollutants</v>
      </c>
      <c r="L48" s="283">
        <f>IF(ISBLANK(INDEX('Policy Characteristics'!F:F,MATCH($C48,'Policy Characteristics'!$C:$C,0))),"",INDEX('Policy Characteristics'!F:F,MATCH($C48,'Policy Characteristics'!$C:$C,0)))</f>
        <v>0</v>
      </c>
      <c r="M48" s="283">
        <f>IF(ISBLANK(INDEX('Policy Characteristics'!G:G,MATCH($C48,'Policy Characteristics'!$C:$C,0))),"",INDEX('Policy Characteristics'!G:G,MATCH($C48,'Policy Characteristics'!$C:$C,0)))</f>
        <v>1</v>
      </c>
      <c r="N48" s="283">
        <f>IF(ISBLANK(INDEX('Policy Characteristics'!H:H,MATCH($C48,'Policy Characteristics'!$C:$C,0))),"",INDEX('Policy Characteristics'!H:H,MATCH($C48,'Policy Characteristics'!$C:$C,0)))</f>
        <v>0.02</v>
      </c>
      <c r="O48" s="275" t="str">
        <f>IF(ISBLANK(INDEX('Policy Characteristics'!I:I,MATCH($C48,'Policy Characteristics'!$C:$C,0))),"",INDEX('Policy Characteristics'!I:I,MATCH($C48,'Policy Characteristics'!$C:$C,0)))</f>
        <v>% reduction in emissions</v>
      </c>
      <c r="P48" s="275"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75" t="str">
        <f>IF(ISBLANK(INDEX('Policy Characteristics'!K:K,MATCH($C48,'Policy Characteristics'!$C:$C,0))),"",INDEX('Policy Characteristics'!K:K,MATCH($C48,'Policy Characteristics'!$C:$C,0)))</f>
        <v>transportation-sector-main.html#conv-pol-stds</v>
      </c>
      <c r="R48" s="275" t="str">
        <f>IF(ISBLANK(INDEX('Policy Characteristics'!L:L,MATCH($C48,'Policy Characteristics'!$C:$C,0))),"",INDEX('Policy Characteristics'!L:L,MATCH($C48,'Policy Characteristics'!$C:$C,0)))</f>
        <v>conventional-pollutant-standards.html</v>
      </c>
    </row>
    <row r="49" spans="1:18" s="2" customFormat="1" x14ac:dyDescent="0.25">
      <c r="A49" s="275" t="str">
        <f>IF(ISBLANK(INDEX('Policy Characteristics'!A:A,MATCH($C49,'Policy Characteristics'!$C:$C,0))),"",INDEX('Policy Characteristics'!A:A,MATCH($C49,'Policy Characteristics'!$C:$C,0)))</f>
        <v>Transportation</v>
      </c>
      <c r="B49" s="284" t="str">
        <f>IF(ISBLANK(INDEX('Policy Characteristics'!B:B,MATCH($C49,'Policy Characteristics'!$C:$C,0))),"",INDEX('Policy Characteristics'!B:B,MATCH($C49,'Policy Characteristics'!$C:$C,0)))</f>
        <v>Conventional Pollutant Standards</v>
      </c>
      <c r="C49" s="275" t="str">
        <f t="shared" si="2"/>
        <v>Percentage Reduction of Separately Regulated Pollutants</v>
      </c>
      <c r="D49" s="2" t="s">
        <v>41</v>
      </c>
      <c r="E49" s="2" t="s">
        <v>2234</v>
      </c>
      <c r="F49" s="2" t="s">
        <v>3309</v>
      </c>
      <c r="G49" s="2" t="s">
        <v>2234</v>
      </c>
      <c r="H49" s="49">
        <v>347</v>
      </c>
      <c r="I49" s="346" t="s">
        <v>43</v>
      </c>
      <c r="J49" s="276" t="str">
        <f>IF(ISBLANK(INDEX('Policy Characteristics'!D:D,MATCH($C49,'Policy Characteristics'!$C:$C,0))),"",INDEX('Policy Characteristics'!D:D,MATCH($C49,'Policy Characteristics'!$C:$C,0)))</f>
        <v>Conventional Pollutant Standard</v>
      </c>
      <c r="K49" s="275" t="str">
        <f>IF(ISBLANK(INDEX('Policy Characteristics'!E:E,MATCH($C49,'Policy Characteristics'!$C:$C,0))),"",INDEX('Policy Characteristics'!E:E,MATCH($C49,'Policy Characteristics'!$C:$C,0)))</f>
        <v>trans reduce regulated pollutants</v>
      </c>
      <c r="L49" s="283">
        <f>IF(ISBLANK(INDEX('Policy Characteristics'!F:F,MATCH($C49,'Policy Characteristics'!$C:$C,0))),"",INDEX('Policy Characteristics'!F:F,MATCH($C49,'Policy Characteristics'!$C:$C,0)))</f>
        <v>0</v>
      </c>
      <c r="M49" s="283">
        <f>IF(ISBLANK(INDEX('Policy Characteristics'!G:G,MATCH($C49,'Policy Characteristics'!$C:$C,0))),"",INDEX('Policy Characteristics'!G:G,MATCH($C49,'Policy Characteristics'!$C:$C,0)))</f>
        <v>1</v>
      </c>
      <c r="N49" s="283">
        <f>IF(ISBLANK(INDEX('Policy Characteristics'!H:H,MATCH($C49,'Policy Characteristics'!$C:$C,0))),"",INDEX('Policy Characteristics'!H:H,MATCH($C49,'Policy Characteristics'!$C:$C,0)))</f>
        <v>0.02</v>
      </c>
      <c r="O49" s="275" t="str">
        <f>IF(ISBLANK(INDEX('Policy Characteristics'!I:I,MATCH($C49,'Policy Characteristics'!$C:$C,0))),"",INDEX('Policy Characteristics'!I:I,MATCH($C49,'Policy Characteristics'!$C:$C,0)))</f>
        <v>% reduction in emissions</v>
      </c>
      <c r="P49" s="275"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75" t="str">
        <f>IF(ISBLANK(INDEX('Policy Characteristics'!K:K,MATCH($C49,'Policy Characteristics'!$C:$C,0))),"",INDEX('Policy Characteristics'!K:K,MATCH($C49,'Policy Characteristics'!$C:$C,0)))</f>
        <v>transportation-sector-main.html#conv-pol-stds</v>
      </c>
      <c r="R49" s="275" t="str">
        <f>IF(ISBLANK(INDEX('Policy Characteristics'!L:L,MATCH($C49,'Policy Characteristics'!$C:$C,0))),"",INDEX('Policy Characteristics'!L:L,MATCH($C49,'Policy Characteristics'!$C:$C,0)))</f>
        <v>conventional-pollutant-standards.html</v>
      </c>
    </row>
    <row r="50" spans="1:18" s="2" customFormat="1" x14ac:dyDescent="0.25">
      <c r="A50" s="275" t="str">
        <f>IF(ISBLANK(INDEX('Policy Characteristics'!A:A,MATCH($C50,'Policy Characteristics'!$C:$C,0))),"",INDEX('Policy Characteristics'!A:A,MATCH($C50,'Policy Characteristics'!$C:$C,0)))</f>
        <v>Transportation</v>
      </c>
      <c r="B50" s="284" t="str">
        <f>IF(ISBLANK(INDEX('Policy Characteristics'!B:B,MATCH($C50,'Policy Characteristics'!$C:$C,0))),"",INDEX('Policy Characteristics'!B:B,MATCH($C50,'Policy Characteristics'!$C:$C,0)))</f>
        <v>Conventional Pollutant Standards</v>
      </c>
      <c r="C50" s="275" t="str">
        <f t="shared" si="2"/>
        <v>Percentage Reduction of Separately Regulated Pollutants</v>
      </c>
      <c r="D50" s="2" t="s">
        <v>41</v>
      </c>
      <c r="E50" s="2" t="s">
        <v>2236</v>
      </c>
      <c r="F50" s="2" t="s">
        <v>3309</v>
      </c>
      <c r="G50" s="2" t="s">
        <v>2236</v>
      </c>
      <c r="H50" s="49">
        <v>348</v>
      </c>
      <c r="I50" s="347" t="s">
        <v>44</v>
      </c>
      <c r="J50" s="276" t="str">
        <f>IF(ISBLANK(INDEX('Policy Characteristics'!D:D,MATCH($C50,'Policy Characteristics'!$C:$C,0))),"",INDEX('Policy Characteristics'!D:D,MATCH($C50,'Policy Characteristics'!$C:$C,0)))</f>
        <v>Conventional Pollutant Standard</v>
      </c>
      <c r="K50" s="275" t="str">
        <f>IF(ISBLANK(INDEX('Policy Characteristics'!E:E,MATCH($C50,'Policy Characteristics'!$C:$C,0))),"",INDEX('Policy Characteristics'!E:E,MATCH($C50,'Policy Characteristics'!$C:$C,0)))</f>
        <v>trans reduce regulated pollutants</v>
      </c>
      <c r="L50" s="283">
        <f>IF(ISBLANK(INDEX('Policy Characteristics'!F:F,MATCH($C50,'Policy Characteristics'!$C:$C,0))),"",INDEX('Policy Characteristics'!F:F,MATCH($C50,'Policy Characteristics'!$C:$C,0)))</f>
        <v>0</v>
      </c>
      <c r="M50" s="283">
        <f>IF(ISBLANK(INDEX('Policy Characteristics'!G:G,MATCH($C50,'Policy Characteristics'!$C:$C,0))),"",INDEX('Policy Characteristics'!G:G,MATCH($C50,'Policy Characteristics'!$C:$C,0)))</f>
        <v>1</v>
      </c>
      <c r="N50" s="283">
        <f>IF(ISBLANK(INDEX('Policy Characteristics'!H:H,MATCH($C50,'Policy Characteristics'!$C:$C,0))),"",INDEX('Policy Characteristics'!H:H,MATCH($C50,'Policy Characteristics'!$C:$C,0)))</f>
        <v>0.02</v>
      </c>
      <c r="O50" s="275" t="str">
        <f>IF(ISBLANK(INDEX('Policy Characteristics'!I:I,MATCH($C50,'Policy Characteristics'!$C:$C,0))),"",INDEX('Policy Characteristics'!I:I,MATCH($C50,'Policy Characteristics'!$C:$C,0)))</f>
        <v>% reduction in emissions</v>
      </c>
      <c r="P50" s="275"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75" t="str">
        <f>IF(ISBLANK(INDEX('Policy Characteristics'!K:K,MATCH($C50,'Policy Characteristics'!$C:$C,0))),"",INDEX('Policy Characteristics'!K:K,MATCH($C50,'Policy Characteristics'!$C:$C,0)))</f>
        <v>transportation-sector-main.html#conv-pol-stds</v>
      </c>
      <c r="R50" s="275" t="str">
        <f>IF(ISBLANK(INDEX('Policy Characteristics'!L:L,MATCH($C50,'Policy Characteristics'!$C:$C,0))),"",INDEX('Policy Characteristics'!L:L,MATCH($C50,'Policy Characteristics'!$C:$C,0)))</f>
        <v>conventional-pollutant-standards.html</v>
      </c>
    </row>
    <row r="51" spans="1:18" s="2" customFormat="1" x14ac:dyDescent="0.25">
      <c r="A51" s="275" t="str">
        <f>IF(ISBLANK(INDEX('Policy Characteristics'!A:A,MATCH($C51,'Policy Characteristics'!$C:$C,0))),"",INDEX('Policy Characteristics'!A:A,MATCH($C51,'Policy Characteristics'!$C:$C,0)))</f>
        <v>Transportation</v>
      </c>
      <c r="B51" s="284" t="str">
        <f>IF(ISBLANK(INDEX('Policy Characteristics'!B:B,MATCH($C51,'Policy Characteristics'!$C:$C,0))),"",INDEX('Policy Characteristics'!B:B,MATCH($C51,'Policy Characteristics'!$C:$C,0)))</f>
        <v>Conventional Pollutant Standards</v>
      </c>
      <c r="C51" s="275" t="str">
        <f t="shared" si="2"/>
        <v>Percentage Reduction of Separately Regulated Pollutants</v>
      </c>
      <c r="D51" s="2" t="s">
        <v>41</v>
      </c>
      <c r="E51" s="2" t="s">
        <v>2238</v>
      </c>
      <c r="F51" s="2" t="s">
        <v>3309</v>
      </c>
      <c r="G51" s="2" t="s">
        <v>2238</v>
      </c>
      <c r="H51" s="49">
        <v>349</v>
      </c>
      <c r="I51" s="347" t="s">
        <v>44</v>
      </c>
      <c r="J51" s="276" t="str">
        <f>IF(ISBLANK(INDEX('Policy Characteristics'!D:D,MATCH($C51,'Policy Characteristics'!$C:$C,0))),"",INDEX('Policy Characteristics'!D:D,MATCH($C51,'Policy Characteristics'!$C:$C,0)))</f>
        <v>Conventional Pollutant Standard</v>
      </c>
      <c r="K51" s="275" t="str">
        <f>IF(ISBLANK(INDEX('Policy Characteristics'!E:E,MATCH($C51,'Policy Characteristics'!$C:$C,0))),"",INDEX('Policy Characteristics'!E:E,MATCH($C51,'Policy Characteristics'!$C:$C,0)))</f>
        <v>trans reduce regulated pollutants</v>
      </c>
      <c r="L51" s="283">
        <f>IF(ISBLANK(INDEX('Policy Characteristics'!F:F,MATCH($C51,'Policy Characteristics'!$C:$C,0))),"",INDEX('Policy Characteristics'!F:F,MATCH($C51,'Policy Characteristics'!$C:$C,0)))</f>
        <v>0</v>
      </c>
      <c r="M51" s="283">
        <f>IF(ISBLANK(INDEX('Policy Characteristics'!G:G,MATCH($C51,'Policy Characteristics'!$C:$C,0))),"",INDEX('Policy Characteristics'!G:G,MATCH($C51,'Policy Characteristics'!$C:$C,0)))</f>
        <v>1</v>
      </c>
      <c r="N51" s="283">
        <f>IF(ISBLANK(INDEX('Policy Characteristics'!H:H,MATCH($C51,'Policy Characteristics'!$C:$C,0))),"",INDEX('Policy Characteristics'!H:H,MATCH($C51,'Policy Characteristics'!$C:$C,0)))</f>
        <v>0.02</v>
      </c>
      <c r="O51" s="275" t="str">
        <f>IF(ISBLANK(INDEX('Policy Characteristics'!I:I,MATCH($C51,'Policy Characteristics'!$C:$C,0))),"",INDEX('Policy Characteristics'!I:I,MATCH($C51,'Policy Characteristics'!$C:$C,0)))</f>
        <v>% reduction in emissions</v>
      </c>
      <c r="P51" s="275"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75" t="str">
        <f>IF(ISBLANK(INDEX('Policy Characteristics'!K:K,MATCH($C51,'Policy Characteristics'!$C:$C,0))),"",INDEX('Policy Characteristics'!K:K,MATCH($C51,'Policy Characteristics'!$C:$C,0)))</f>
        <v>transportation-sector-main.html#conv-pol-stds</v>
      </c>
      <c r="R51" s="275" t="str">
        <f>IF(ISBLANK(INDEX('Policy Characteristics'!L:L,MATCH($C51,'Policy Characteristics'!$C:$C,0))),"",INDEX('Policy Characteristics'!L:L,MATCH($C51,'Policy Characteristics'!$C:$C,0)))</f>
        <v>conventional-pollutant-standards.html</v>
      </c>
    </row>
    <row r="52" spans="1:18" s="2" customFormat="1" x14ac:dyDescent="0.25">
      <c r="A52" s="275" t="str">
        <f>IF(ISBLANK(INDEX('Policy Characteristics'!A:A,MATCH($C52,'Policy Characteristics'!$C:$C,0))),"",INDEX('Policy Characteristics'!A:A,MATCH($C52,'Policy Characteristics'!$C:$C,0)))</f>
        <v>Transportation</v>
      </c>
      <c r="B52" s="284" t="str">
        <f>IF(ISBLANK(INDEX('Policy Characteristics'!B:B,MATCH($C52,'Policy Characteristics'!$C:$C,0))),"",INDEX('Policy Characteristics'!B:B,MATCH($C52,'Policy Characteristics'!$C:$C,0)))</f>
        <v>Conventional Pollutant Standards</v>
      </c>
      <c r="C52" s="275" t="str">
        <f t="shared" si="2"/>
        <v>Percentage Reduction of Separately Regulated Pollutants</v>
      </c>
      <c r="D52" s="2" t="s">
        <v>113</v>
      </c>
      <c r="E52" s="2" t="s">
        <v>2222</v>
      </c>
      <c r="F52" s="2" t="s">
        <v>3310</v>
      </c>
      <c r="G52" s="2" t="s">
        <v>2428</v>
      </c>
      <c r="H52" s="49">
        <v>350</v>
      </c>
      <c r="I52" s="346" t="s">
        <v>43</v>
      </c>
      <c r="J52" s="276" t="str">
        <f>IF(ISBLANK(INDEX('Policy Characteristics'!D:D,MATCH($C52,'Policy Characteristics'!$C:$C,0))),"",INDEX('Policy Characteristics'!D:D,MATCH($C52,'Policy Characteristics'!$C:$C,0)))</f>
        <v>Conventional Pollutant Standard</v>
      </c>
      <c r="K52" s="275" t="str">
        <f>IF(ISBLANK(INDEX('Policy Characteristics'!E:E,MATCH($C52,'Policy Characteristics'!$C:$C,0))),"",INDEX('Policy Characteristics'!E:E,MATCH($C52,'Policy Characteristics'!$C:$C,0)))</f>
        <v>trans reduce regulated pollutants</v>
      </c>
      <c r="L52" s="283">
        <f>IF(ISBLANK(INDEX('Policy Characteristics'!F:F,MATCH($C52,'Policy Characteristics'!$C:$C,0))),"",INDEX('Policy Characteristics'!F:F,MATCH($C52,'Policy Characteristics'!$C:$C,0)))</f>
        <v>0</v>
      </c>
      <c r="M52" s="283">
        <f>IF(ISBLANK(INDEX('Policy Characteristics'!G:G,MATCH($C52,'Policy Characteristics'!$C:$C,0))),"",INDEX('Policy Characteristics'!G:G,MATCH($C52,'Policy Characteristics'!$C:$C,0)))</f>
        <v>1</v>
      </c>
      <c r="N52" s="283">
        <f>IF(ISBLANK(INDEX('Policy Characteristics'!H:H,MATCH($C52,'Policy Characteristics'!$C:$C,0))),"",INDEX('Policy Characteristics'!H:H,MATCH($C52,'Policy Characteristics'!$C:$C,0)))</f>
        <v>0.02</v>
      </c>
      <c r="O52" s="275" t="str">
        <f>IF(ISBLANK(INDEX('Policy Characteristics'!I:I,MATCH($C52,'Policy Characteristics'!$C:$C,0))),"",INDEX('Policy Characteristics'!I:I,MATCH($C52,'Policy Characteristics'!$C:$C,0)))</f>
        <v>% reduction in emissions</v>
      </c>
      <c r="P52" s="275"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75" t="str">
        <f>IF(ISBLANK(INDEX('Policy Characteristics'!K:K,MATCH($C52,'Policy Characteristics'!$C:$C,0))),"",INDEX('Policy Characteristics'!K:K,MATCH($C52,'Policy Characteristics'!$C:$C,0)))</f>
        <v>transportation-sector-main.html#conv-pol-stds</v>
      </c>
      <c r="R52" s="275" t="str">
        <f>IF(ISBLANK(INDEX('Policy Characteristics'!L:L,MATCH($C52,'Policy Characteristics'!$C:$C,0))),"",INDEX('Policy Characteristics'!L:L,MATCH($C52,'Policy Characteristics'!$C:$C,0)))</f>
        <v>conventional-pollutant-standards.html</v>
      </c>
    </row>
    <row r="53" spans="1:18" s="2" customFormat="1" x14ac:dyDescent="0.25">
      <c r="A53" s="275" t="str">
        <f>IF(ISBLANK(INDEX('Policy Characteristics'!A:A,MATCH($C53,'Policy Characteristics'!$C:$C,0))),"",INDEX('Policy Characteristics'!A:A,MATCH($C53,'Policy Characteristics'!$C:$C,0)))</f>
        <v>Transportation</v>
      </c>
      <c r="B53" s="284" t="str">
        <f>IF(ISBLANK(INDEX('Policy Characteristics'!B:B,MATCH($C53,'Policy Characteristics'!$C:$C,0))),"",INDEX('Policy Characteristics'!B:B,MATCH($C53,'Policy Characteristics'!$C:$C,0)))</f>
        <v>Conventional Pollutant Standards</v>
      </c>
      <c r="C53" s="275" t="str">
        <f t="shared" si="2"/>
        <v>Percentage Reduction of Separately Regulated Pollutants</v>
      </c>
      <c r="D53" s="2" t="s">
        <v>113</v>
      </c>
      <c r="E53" s="2" t="s">
        <v>485</v>
      </c>
      <c r="F53" s="2" t="s">
        <v>3310</v>
      </c>
      <c r="G53" s="2" t="s">
        <v>485</v>
      </c>
      <c r="H53" s="49">
        <v>351</v>
      </c>
      <c r="I53" s="346" t="s">
        <v>43</v>
      </c>
      <c r="J53" s="276" t="str">
        <f>IF(ISBLANK(INDEX('Policy Characteristics'!D:D,MATCH($C53,'Policy Characteristics'!$C:$C,0))),"",INDEX('Policy Characteristics'!D:D,MATCH($C53,'Policy Characteristics'!$C:$C,0)))</f>
        <v>Conventional Pollutant Standard</v>
      </c>
      <c r="K53" s="275" t="str">
        <f>IF(ISBLANK(INDEX('Policy Characteristics'!E:E,MATCH($C53,'Policy Characteristics'!$C:$C,0))),"",INDEX('Policy Characteristics'!E:E,MATCH($C53,'Policy Characteristics'!$C:$C,0)))</f>
        <v>trans reduce regulated pollutants</v>
      </c>
      <c r="L53" s="283">
        <f>IF(ISBLANK(INDEX('Policy Characteristics'!F:F,MATCH($C53,'Policy Characteristics'!$C:$C,0))),"",INDEX('Policy Characteristics'!F:F,MATCH($C53,'Policy Characteristics'!$C:$C,0)))</f>
        <v>0</v>
      </c>
      <c r="M53" s="283">
        <f>IF(ISBLANK(INDEX('Policy Characteristics'!G:G,MATCH($C53,'Policy Characteristics'!$C:$C,0))),"",INDEX('Policy Characteristics'!G:G,MATCH($C53,'Policy Characteristics'!$C:$C,0)))</f>
        <v>1</v>
      </c>
      <c r="N53" s="283">
        <f>IF(ISBLANK(INDEX('Policy Characteristics'!H:H,MATCH($C53,'Policy Characteristics'!$C:$C,0))),"",INDEX('Policy Characteristics'!H:H,MATCH($C53,'Policy Characteristics'!$C:$C,0)))</f>
        <v>0.02</v>
      </c>
      <c r="O53" s="275" t="str">
        <f>IF(ISBLANK(INDEX('Policy Characteristics'!I:I,MATCH($C53,'Policy Characteristics'!$C:$C,0))),"",INDEX('Policy Characteristics'!I:I,MATCH($C53,'Policy Characteristics'!$C:$C,0)))</f>
        <v>% reduction in emissions</v>
      </c>
      <c r="P53" s="275"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75" t="str">
        <f>IF(ISBLANK(INDEX('Policy Characteristics'!K:K,MATCH($C53,'Policy Characteristics'!$C:$C,0))),"",INDEX('Policy Characteristics'!K:K,MATCH($C53,'Policy Characteristics'!$C:$C,0)))</f>
        <v>transportation-sector-main.html#conv-pol-stds</v>
      </c>
      <c r="R53" s="275" t="str">
        <f>IF(ISBLANK(INDEX('Policy Characteristics'!L:L,MATCH($C53,'Policy Characteristics'!$C:$C,0))),"",INDEX('Policy Characteristics'!L:L,MATCH($C53,'Policy Characteristics'!$C:$C,0)))</f>
        <v>conventional-pollutant-standards.html</v>
      </c>
    </row>
    <row r="54" spans="1:18" s="2" customFormat="1" x14ac:dyDescent="0.25">
      <c r="A54" s="275" t="str">
        <f>IF(ISBLANK(INDEX('Policy Characteristics'!A:A,MATCH($C54,'Policy Characteristics'!$C:$C,0))),"",INDEX('Policy Characteristics'!A:A,MATCH($C54,'Policy Characteristics'!$C:$C,0)))</f>
        <v>Transportation</v>
      </c>
      <c r="B54" s="284" t="str">
        <f>IF(ISBLANK(INDEX('Policy Characteristics'!B:B,MATCH($C54,'Policy Characteristics'!$C:$C,0))),"",INDEX('Policy Characteristics'!B:B,MATCH($C54,'Policy Characteristics'!$C:$C,0)))</f>
        <v>Conventional Pollutant Standards</v>
      </c>
      <c r="C54" s="275" t="str">
        <f t="shared" si="2"/>
        <v>Percentage Reduction of Separately Regulated Pollutants</v>
      </c>
      <c r="D54" s="2" t="s">
        <v>113</v>
      </c>
      <c r="E54" s="2" t="s">
        <v>2225</v>
      </c>
      <c r="F54" s="2" t="s">
        <v>3310</v>
      </c>
      <c r="G54" s="2" t="s">
        <v>2225</v>
      </c>
      <c r="H54" s="49">
        <v>352</v>
      </c>
      <c r="I54" s="346" t="s">
        <v>43</v>
      </c>
      <c r="J54" s="276" t="str">
        <f>IF(ISBLANK(INDEX('Policy Characteristics'!D:D,MATCH($C54,'Policy Characteristics'!$C:$C,0))),"",INDEX('Policy Characteristics'!D:D,MATCH($C54,'Policy Characteristics'!$C:$C,0)))</f>
        <v>Conventional Pollutant Standard</v>
      </c>
      <c r="K54" s="275" t="str">
        <f>IF(ISBLANK(INDEX('Policy Characteristics'!E:E,MATCH($C54,'Policy Characteristics'!$C:$C,0))),"",INDEX('Policy Characteristics'!E:E,MATCH($C54,'Policy Characteristics'!$C:$C,0)))</f>
        <v>trans reduce regulated pollutants</v>
      </c>
      <c r="L54" s="283">
        <f>IF(ISBLANK(INDEX('Policy Characteristics'!F:F,MATCH($C54,'Policy Characteristics'!$C:$C,0))),"",INDEX('Policy Characteristics'!F:F,MATCH($C54,'Policy Characteristics'!$C:$C,0)))</f>
        <v>0</v>
      </c>
      <c r="M54" s="283">
        <f>IF(ISBLANK(INDEX('Policy Characteristics'!G:G,MATCH($C54,'Policy Characteristics'!$C:$C,0))),"",INDEX('Policy Characteristics'!G:G,MATCH($C54,'Policy Characteristics'!$C:$C,0)))</f>
        <v>1</v>
      </c>
      <c r="N54" s="283">
        <f>IF(ISBLANK(INDEX('Policy Characteristics'!H:H,MATCH($C54,'Policy Characteristics'!$C:$C,0))),"",INDEX('Policy Characteristics'!H:H,MATCH($C54,'Policy Characteristics'!$C:$C,0)))</f>
        <v>0.02</v>
      </c>
      <c r="O54" s="275" t="str">
        <f>IF(ISBLANK(INDEX('Policy Characteristics'!I:I,MATCH($C54,'Policy Characteristics'!$C:$C,0))),"",INDEX('Policy Characteristics'!I:I,MATCH($C54,'Policy Characteristics'!$C:$C,0)))</f>
        <v>% reduction in emissions</v>
      </c>
      <c r="P54" s="275"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75" t="str">
        <f>IF(ISBLANK(INDEX('Policy Characteristics'!K:K,MATCH($C54,'Policy Characteristics'!$C:$C,0))),"",INDEX('Policy Characteristics'!K:K,MATCH($C54,'Policy Characteristics'!$C:$C,0)))</f>
        <v>transportation-sector-main.html#conv-pol-stds</v>
      </c>
      <c r="R54" s="275" t="str">
        <f>IF(ISBLANK(INDEX('Policy Characteristics'!L:L,MATCH($C54,'Policy Characteristics'!$C:$C,0))),"",INDEX('Policy Characteristics'!L:L,MATCH($C54,'Policy Characteristics'!$C:$C,0)))</f>
        <v>conventional-pollutant-standards.html</v>
      </c>
    </row>
    <row r="55" spans="1:18" s="2" customFormat="1" x14ac:dyDescent="0.25">
      <c r="A55" s="275" t="str">
        <f>IF(ISBLANK(INDEX('Policy Characteristics'!A:A,MATCH($C55,'Policy Characteristics'!$C:$C,0))),"",INDEX('Policy Characteristics'!A:A,MATCH($C55,'Policy Characteristics'!$C:$C,0)))</f>
        <v>Transportation</v>
      </c>
      <c r="B55" s="284" t="str">
        <f>IF(ISBLANK(INDEX('Policy Characteristics'!B:B,MATCH($C55,'Policy Characteristics'!$C:$C,0))),"",INDEX('Policy Characteristics'!B:B,MATCH($C55,'Policy Characteristics'!$C:$C,0)))</f>
        <v>Conventional Pollutant Standards</v>
      </c>
      <c r="C55" s="275" t="str">
        <f t="shared" si="2"/>
        <v>Percentage Reduction of Separately Regulated Pollutants</v>
      </c>
      <c r="D55" s="2" t="s">
        <v>113</v>
      </c>
      <c r="E55" s="2" t="s">
        <v>2227</v>
      </c>
      <c r="F55" s="2" t="s">
        <v>3310</v>
      </c>
      <c r="G55" s="2" t="s">
        <v>2227</v>
      </c>
      <c r="H55" s="49">
        <v>353</v>
      </c>
      <c r="I55" s="346" t="s">
        <v>43</v>
      </c>
      <c r="J55" s="276" t="str">
        <f>IF(ISBLANK(INDEX('Policy Characteristics'!D:D,MATCH($C55,'Policy Characteristics'!$C:$C,0))),"",INDEX('Policy Characteristics'!D:D,MATCH($C55,'Policy Characteristics'!$C:$C,0)))</f>
        <v>Conventional Pollutant Standard</v>
      </c>
      <c r="K55" s="275" t="str">
        <f>IF(ISBLANK(INDEX('Policy Characteristics'!E:E,MATCH($C55,'Policy Characteristics'!$C:$C,0))),"",INDEX('Policy Characteristics'!E:E,MATCH($C55,'Policy Characteristics'!$C:$C,0)))</f>
        <v>trans reduce regulated pollutants</v>
      </c>
      <c r="L55" s="283">
        <f>IF(ISBLANK(INDEX('Policy Characteristics'!F:F,MATCH($C55,'Policy Characteristics'!$C:$C,0))),"",INDEX('Policy Characteristics'!F:F,MATCH($C55,'Policy Characteristics'!$C:$C,0)))</f>
        <v>0</v>
      </c>
      <c r="M55" s="283">
        <f>IF(ISBLANK(INDEX('Policy Characteristics'!G:G,MATCH($C55,'Policy Characteristics'!$C:$C,0))),"",INDEX('Policy Characteristics'!G:G,MATCH($C55,'Policy Characteristics'!$C:$C,0)))</f>
        <v>1</v>
      </c>
      <c r="N55" s="283">
        <f>IF(ISBLANK(INDEX('Policy Characteristics'!H:H,MATCH($C55,'Policy Characteristics'!$C:$C,0))),"",INDEX('Policy Characteristics'!H:H,MATCH($C55,'Policy Characteristics'!$C:$C,0)))</f>
        <v>0.02</v>
      </c>
      <c r="O55" s="275" t="str">
        <f>IF(ISBLANK(INDEX('Policy Characteristics'!I:I,MATCH($C55,'Policy Characteristics'!$C:$C,0))),"",INDEX('Policy Characteristics'!I:I,MATCH($C55,'Policy Characteristics'!$C:$C,0)))</f>
        <v>% reduction in emissions</v>
      </c>
      <c r="P55" s="275"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75" t="str">
        <f>IF(ISBLANK(INDEX('Policy Characteristics'!K:K,MATCH($C55,'Policy Characteristics'!$C:$C,0))),"",INDEX('Policy Characteristics'!K:K,MATCH($C55,'Policy Characteristics'!$C:$C,0)))</f>
        <v>transportation-sector-main.html#conv-pol-stds</v>
      </c>
      <c r="R55" s="275" t="str">
        <f>IF(ISBLANK(INDEX('Policy Characteristics'!L:L,MATCH($C55,'Policy Characteristics'!$C:$C,0))),"",INDEX('Policy Characteristics'!L:L,MATCH($C55,'Policy Characteristics'!$C:$C,0)))</f>
        <v>conventional-pollutant-standards.html</v>
      </c>
    </row>
    <row r="56" spans="1:18" s="2" customFormat="1" x14ac:dyDescent="0.25">
      <c r="A56" s="275" t="str">
        <f>IF(ISBLANK(INDEX('Policy Characteristics'!A:A,MATCH($C56,'Policy Characteristics'!$C:$C,0))),"",INDEX('Policy Characteristics'!A:A,MATCH($C56,'Policy Characteristics'!$C:$C,0)))</f>
        <v>Transportation</v>
      </c>
      <c r="B56" s="284" t="str">
        <f>IF(ISBLANK(INDEX('Policy Characteristics'!B:B,MATCH($C56,'Policy Characteristics'!$C:$C,0))),"",INDEX('Policy Characteristics'!B:B,MATCH($C56,'Policy Characteristics'!$C:$C,0)))</f>
        <v>Conventional Pollutant Standards</v>
      </c>
      <c r="C56" s="275" t="str">
        <f t="shared" si="2"/>
        <v>Percentage Reduction of Separately Regulated Pollutants</v>
      </c>
      <c r="D56" s="2" t="s">
        <v>113</v>
      </c>
      <c r="E56" s="2" t="s">
        <v>2229</v>
      </c>
      <c r="F56" s="2" t="s">
        <v>3310</v>
      </c>
      <c r="G56" s="2" t="s">
        <v>2320</v>
      </c>
      <c r="H56" s="49">
        <v>354</v>
      </c>
      <c r="I56" s="346" t="s">
        <v>43</v>
      </c>
      <c r="J56" s="276" t="str">
        <f>IF(ISBLANK(INDEX('Policy Characteristics'!D:D,MATCH($C56,'Policy Characteristics'!$C:$C,0))),"",INDEX('Policy Characteristics'!D:D,MATCH($C56,'Policy Characteristics'!$C:$C,0)))</f>
        <v>Conventional Pollutant Standard</v>
      </c>
      <c r="K56" s="275" t="str">
        <f>IF(ISBLANK(INDEX('Policy Characteristics'!E:E,MATCH($C56,'Policy Characteristics'!$C:$C,0))),"",INDEX('Policy Characteristics'!E:E,MATCH($C56,'Policy Characteristics'!$C:$C,0)))</f>
        <v>trans reduce regulated pollutants</v>
      </c>
      <c r="L56" s="283">
        <f>IF(ISBLANK(INDEX('Policy Characteristics'!F:F,MATCH($C56,'Policy Characteristics'!$C:$C,0))),"",INDEX('Policy Characteristics'!F:F,MATCH($C56,'Policy Characteristics'!$C:$C,0)))</f>
        <v>0</v>
      </c>
      <c r="M56" s="283">
        <f>IF(ISBLANK(INDEX('Policy Characteristics'!G:G,MATCH($C56,'Policy Characteristics'!$C:$C,0))),"",INDEX('Policy Characteristics'!G:G,MATCH($C56,'Policy Characteristics'!$C:$C,0)))</f>
        <v>1</v>
      </c>
      <c r="N56" s="283">
        <f>IF(ISBLANK(INDEX('Policy Characteristics'!H:H,MATCH($C56,'Policy Characteristics'!$C:$C,0))),"",INDEX('Policy Characteristics'!H:H,MATCH($C56,'Policy Characteristics'!$C:$C,0)))</f>
        <v>0.02</v>
      </c>
      <c r="O56" s="275" t="str">
        <f>IF(ISBLANK(INDEX('Policy Characteristics'!I:I,MATCH($C56,'Policy Characteristics'!$C:$C,0))),"",INDEX('Policy Characteristics'!I:I,MATCH($C56,'Policy Characteristics'!$C:$C,0)))</f>
        <v>% reduction in emissions</v>
      </c>
      <c r="P56" s="275"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75" t="str">
        <f>IF(ISBLANK(INDEX('Policy Characteristics'!K:K,MATCH($C56,'Policy Characteristics'!$C:$C,0))),"",INDEX('Policy Characteristics'!K:K,MATCH($C56,'Policy Characteristics'!$C:$C,0)))</f>
        <v>transportation-sector-main.html#conv-pol-stds</v>
      </c>
      <c r="R56" s="275" t="str">
        <f>IF(ISBLANK(INDEX('Policy Characteristics'!L:L,MATCH($C56,'Policy Characteristics'!$C:$C,0))),"",INDEX('Policy Characteristics'!L:L,MATCH($C56,'Policy Characteristics'!$C:$C,0)))</f>
        <v>conventional-pollutant-standards.html</v>
      </c>
    </row>
    <row r="57" spans="1:18" s="2" customFormat="1" x14ac:dyDescent="0.25">
      <c r="A57" s="275" t="str">
        <f>IF(ISBLANK(INDEX('Policy Characteristics'!A:A,MATCH($C57,'Policy Characteristics'!$C:$C,0))),"",INDEX('Policy Characteristics'!A:A,MATCH($C57,'Policy Characteristics'!$C:$C,0)))</f>
        <v>Transportation</v>
      </c>
      <c r="B57" s="284" t="str">
        <f>IF(ISBLANK(INDEX('Policy Characteristics'!B:B,MATCH($C57,'Policy Characteristics'!$C:$C,0))),"",INDEX('Policy Characteristics'!B:B,MATCH($C57,'Policy Characteristics'!$C:$C,0)))</f>
        <v>Conventional Pollutant Standards</v>
      </c>
      <c r="C57" s="275" t="str">
        <f t="shared" si="2"/>
        <v>Percentage Reduction of Separately Regulated Pollutants</v>
      </c>
      <c r="D57" s="2" t="s">
        <v>113</v>
      </c>
      <c r="E57" s="2" t="s">
        <v>2230</v>
      </c>
      <c r="F57" s="2" t="s">
        <v>3310</v>
      </c>
      <c r="G57" s="2" t="s">
        <v>2230</v>
      </c>
      <c r="H57" s="49">
        <v>355</v>
      </c>
      <c r="I57" s="346" t="s">
        <v>43</v>
      </c>
      <c r="J57" s="276" t="str">
        <f>IF(ISBLANK(INDEX('Policy Characteristics'!D:D,MATCH($C57,'Policy Characteristics'!$C:$C,0))),"",INDEX('Policy Characteristics'!D:D,MATCH($C57,'Policy Characteristics'!$C:$C,0)))</f>
        <v>Conventional Pollutant Standard</v>
      </c>
      <c r="K57" s="275" t="str">
        <f>IF(ISBLANK(INDEX('Policy Characteristics'!E:E,MATCH($C57,'Policy Characteristics'!$C:$C,0))),"",INDEX('Policy Characteristics'!E:E,MATCH($C57,'Policy Characteristics'!$C:$C,0)))</f>
        <v>trans reduce regulated pollutants</v>
      </c>
      <c r="L57" s="283">
        <f>IF(ISBLANK(INDEX('Policy Characteristics'!F:F,MATCH($C57,'Policy Characteristics'!$C:$C,0))),"",INDEX('Policy Characteristics'!F:F,MATCH($C57,'Policy Characteristics'!$C:$C,0)))</f>
        <v>0</v>
      </c>
      <c r="M57" s="283">
        <f>IF(ISBLANK(INDEX('Policy Characteristics'!G:G,MATCH($C57,'Policy Characteristics'!$C:$C,0))),"",INDEX('Policy Characteristics'!G:G,MATCH($C57,'Policy Characteristics'!$C:$C,0)))</f>
        <v>1</v>
      </c>
      <c r="N57" s="283">
        <f>IF(ISBLANK(INDEX('Policy Characteristics'!H:H,MATCH($C57,'Policy Characteristics'!$C:$C,0))),"",INDEX('Policy Characteristics'!H:H,MATCH($C57,'Policy Characteristics'!$C:$C,0)))</f>
        <v>0.02</v>
      </c>
      <c r="O57" s="275" t="str">
        <f>IF(ISBLANK(INDEX('Policy Characteristics'!I:I,MATCH($C57,'Policy Characteristics'!$C:$C,0))),"",INDEX('Policy Characteristics'!I:I,MATCH($C57,'Policy Characteristics'!$C:$C,0)))</f>
        <v>% reduction in emissions</v>
      </c>
      <c r="P57" s="275"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75" t="str">
        <f>IF(ISBLANK(INDEX('Policy Characteristics'!K:K,MATCH($C57,'Policy Characteristics'!$C:$C,0))),"",INDEX('Policy Characteristics'!K:K,MATCH($C57,'Policy Characteristics'!$C:$C,0)))</f>
        <v>transportation-sector-main.html#conv-pol-stds</v>
      </c>
      <c r="R57" s="275" t="str">
        <f>IF(ISBLANK(INDEX('Policy Characteristics'!L:L,MATCH($C57,'Policy Characteristics'!$C:$C,0))),"",INDEX('Policy Characteristics'!L:L,MATCH($C57,'Policy Characteristics'!$C:$C,0)))</f>
        <v>conventional-pollutant-standards.html</v>
      </c>
    </row>
    <row r="58" spans="1:18" s="2" customFormat="1" x14ac:dyDescent="0.25">
      <c r="A58" s="275" t="str">
        <f>IF(ISBLANK(INDEX('Policy Characteristics'!A:A,MATCH($C58,'Policy Characteristics'!$C:$C,0))),"",INDEX('Policy Characteristics'!A:A,MATCH($C58,'Policy Characteristics'!$C:$C,0)))</f>
        <v>Transportation</v>
      </c>
      <c r="B58" s="284" t="str">
        <f>IF(ISBLANK(INDEX('Policy Characteristics'!B:B,MATCH($C58,'Policy Characteristics'!$C:$C,0))),"",INDEX('Policy Characteristics'!B:B,MATCH($C58,'Policy Characteristics'!$C:$C,0)))</f>
        <v>Conventional Pollutant Standards</v>
      </c>
      <c r="C58" s="275" t="str">
        <f t="shared" si="2"/>
        <v>Percentage Reduction of Separately Regulated Pollutants</v>
      </c>
      <c r="D58" s="2" t="s">
        <v>113</v>
      </c>
      <c r="E58" s="2" t="s">
        <v>2232</v>
      </c>
      <c r="F58" s="2" t="s">
        <v>3310</v>
      </c>
      <c r="G58" s="2" t="s">
        <v>2232</v>
      </c>
      <c r="H58" s="49">
        <v>356</v>
      </c>
      <c r="I58" s="346" t="s">
        <v>43</v>
      </c>
      <c r="J58" s="276" t="str">
        <f>IF(ISBLANK(INDEX('Policy Characteristics'!D:D,MATCH($C58,'Policy Characteristics'!$C:$C,0))),"",INDEX('Policy Characteristics'!D:D,MATCH($C58,'Policy Characteristics'!$C:$C,0)))</f>
        <v>Conventional Pollutant Standard</v>
      </c>
      <c r="K58" s="275" t="str">
        <f>IF(ISBLANK(INDEX('Policy Characteristics'!E:E,MATCH($C58,'Policy Characteristics'!$C:$C,0))),"",INDEX('Policy Characteristics'!E:E,MATCH($C58,'Policy Characteristics'!$C:$C,0)))</f>
        <v>trans reduce regulated pollutants</v>
      </c>
      <c r="L58" s="283">
        <f>IF(ISBLANK(INDEX('Policy Characteristics'!F:F,MATCH($C58,'Policy Characteristics'!$C:$C,0))),"",INDEX('Policy Characteristics'!F:F,MATCH($C58,'Policy Characteristics'!$C:$C,0)))</f>
        <v>0</v>
      </c>
      <c r="M58" s="283">
        <f>IF(ISBLANK(INDEX('Policy Characteristics'!G:G,MATCH($C58,'Policy Characteristics'!$C:$C,0))),"",INDEX('Policy Characteristics'!G:G,MATCH($C58,'Policy Characteristics'!$C:$C,0)))</f>
        <v>1</v>
      </c>
      <c r="N58" s="283">
        <f>IF(ISBLANK(INDEX('Policy Characteristics'!H:H,MATCH($C58,'Policy Characteristics'!$C:$C,0))),"",INDEX('Policy Characteristics'!H:H,MATCH($C58,'Policy Characteristics'!$C:$C,0)))</f>
        <v>0.02</v>
      </c>
      <c r="O58" s="275" t="str">
        <f>IF(ISBLANK(INDEX('Policy Characteristics'!I:I,MATCH($C58,'Policy Characteristics'!$C:$C,0))),"",INDEX('Policy Characteristics'!I:I,MATCH($C58,'Policy Characteristics'!$C:$C,0)))</f>
        <v>% reduction in emissions</v>
      </c>
      <c r="P58" s="275"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75" t="str">
        <f>IF(ISBLANK(INDEX('Policy Characteristics'!K:K,MATCH($C58,'Policy Characteristics'!$C:$C,0))),"",INDEX('Policy Characteristics'!K:K,MATCH($C58,'Policy Characteristics'!$C:$C,0)))</f>
        <v>transportation-sector-main.html#conv-pol-stds</v>
      </c>
      <c r="R58" s="275" t="str">
        <f>IF(ISBLANK(INDEX('Policy Characteristics'!L:L,MATCH($C58,'Policy Characteristics'!$C:$C,0))),"",INDEX('Policy Characteristics'!L:L,MATCH($C58,'Policy Characteristics'!$C:$C,0)))</f>
        <v>conventional-pollutant-standards.html</v>
      </c>
    </row>
    <row r="59" spans="1:18" s="2" customFormat="1" x14ac:dyDescent="0.25">
      <c r="A59" s="275" t="str">
        <f>IF(ISBLANK(INDEX('Policy Characteristics'!A:A,MATCH($C59,'Policy Characteristics'!$C:$C,0))),"",INDEX('Policy Characteristics'!A:A,MATCH($C59,'Policy Characteristics'!$C:$C,0)))</f>
        <v>Transportation</v>
      </c>
      <c r="B59" s="284" t="str">
        <f>IF(ISBLANK(INDEX('Policy Characteristics'!B:B,MATCH($C59,'Policy Characteristics'!$C:$C,0))),"",INDEX('Policy Characteristics'!B:B,MATCH($C59,'Policy Characteristics'!$C:$C,0)))</f>
        <v>Conventional Pollutant Standards</v>
      </c>
      <c r="C59" s="275" t="str">
        <f t="shared" si="2"/>
        <v>Percentage Reduction of Separately Regulated Pollutants</v>
      </c>
      <c r="D59" s="2" t="s">
        <v>113</v>
      </c>
      <c r="E59" s="2" t="s">
        <v>2234</v>
      </c>
      <c r="F59" s="2" t="s">
        <v>3310</v>
      </c>
      <c r="G59" s="2" t="s">
        <v>2234</v>
      </c>
      <c r="H59" s="49">
        <v>357</v>
      </c>
      <c r="I59" s="346" t="s">
        <v>43</v>
      </c>
      <c r="J59" s="276" t="str">
        <f>IF(ISBLANK(INDEX('Policy Characteristics'!D:D,MATCH($C59,'Policy Characteristics'!$C:$C,0))),"",INDEX('Policy Characteristics'!D:D,MATCH($C59,'Policy Characteristics'!$C:$C,0)))</f>
        <v>Conventional Pollutant Standard</v>
      </c>
      <c r="K59" s="275" t="str">
        <f>IF(ISBLANK(INDEX('Policy Characteristics'!E:E,MATCH($C59,'Policy Characteristics'!$C:$C,0))),"",INDEX('Policy Characteristics'!E:E,MATCH($C59,'Policy Characteristics'!$C:$C,0)))</f>
        <v>trans reduce regulated pollutants</v>
      </c>
      <c r="L59" s="283">
        <f>IF(ISBLANK(INDEX('Policy Characteristics'!F:F,MATCH($C59,'Policy Characteristics'!$C:$C,0))),"",INDEX('Policy Characteristics'!F:F,MATCH($C59,'Policy Characteristics'!$C:$C,0)))</f>
        <v>0</v>
      </c>
      <c r="M59" s="283">
        <f>IF(ISBLANK(INDEX('Policy Characteristics'!G:G,MATCH($C59,'Policy Characteristics'!$C:$C,0))),"",INDEX('Policy Characteristics'!G:G,MATCH($C59,'Policy Characteristics'!$C:$C,0)))</f>
        <v>1</v>
      </c>
      <c r="N59" s="283">
        <f>IF(ISBLANK(INDEX('Policy Characteristics'!H:H,MATCH($C59,'Policy Characteristics'!$C:$C,0))),"",INDEX('Policy Characteristics'!H:H,MATCH($C59,'Policy Characteristics'!$C:$C,0)))</f>
        <v>0.02</v>
      </c>
      <c r="O59" s="275" t="str">
        <f>IF(ISBLANK(INDEX('Policy Characteristics'!I:I,MATCH($C59,'Policy Characteristics'!$C:$C,0))),"",INDEX('Policy Characteristics'!I:I,MATCH($C59,'Policy Characteristics'!$C:$C,0)))</f>
        <v>% reduction in emissions</v>
      </c>
      <c r="P59" s="275"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75" t="str">
        <f>IF(ISBLANK(INDEX('Policy Characteristics'!K:K,MATCH($C59,'Policy Characteristics'!$C:$C,0))),"",INDEX('Policy Characteristics'!K:K,MATCH($C59,'Policy Characteristics'!$C:$C,0)))</f>
        <v>transportation-sector-main.html#conv-pol-stds</v>
      </c>
      <c r="R59" s="275" t="str">
        <f>IF(ISBLANK(INDEX('Policy Characteristics'!L:L,MATCH($C59,'Policy Characteristics'!$C:$C,0))),"",INDEX('Policy Characteristics'!L:L,MATCH($C59,'Policy Characteristics'!$C:$C,0)))</f>
        <v>conventional-pollutant-standards.html</v>
      </c>
    </row>
    <row r="60" spans="1:18" s="2" customFormat="1" x14ac:dyDescent="0.25">
      <c r="A60" s="275" t="str">
        <f>IF(ISBLANK(INDEX('Policy Characteristics'!A:A,MATCH($C60,'Policy Characteristics'!$C:$C,0))),"",INDEX('Policy Characteristics'!A:A,MATCH($C60,'Policy Characteristics'!$C:$C,0)))</f>
        <v>Transportation</v>
      </c>
      <c r="B60" s="284" t="str">
        <f>IF(ISBLANK(INDEX('Policy Characteristics'!B:B,MATCH($C60,'Policy Characteristics'!$C:$C,0))),"",INDEX('Policy Characteristics'!B:B,MATCH($C60,'Policy Characteristics'!$C:$C,0)))</f>
        <v>Conventional Pollutant Standards</v>
      </c>
      <c r="C60" s="275" t="str">
        <f t="shared" si="2"/>
        <v>Percentage Reduction of Separately Regulated Pollutants</v>
      </c>
      <c r="D60" s="2" t="s">
        <v>113</v>
      </c>
      <c r="E60" s="2" t="s">
        <v>2236</v>
      </c>
      <c r="F60" s="2" t="s">
        <v>3310</v>
      </c>
      <c r="G60" s="2" t="s">
        <v>2236</v>
      </c>
      <c r="H60" s="49">
        <v>358</v>
      </c>
      <c r="I60" s="347" t="s">
        <v>44</v>
      </c>
      <c r="J60" s="276" t="str">
        <f>IF(ISBLANK(INDEX('Policy Characteristics'!D:D,MATCH($C60,'Policy Characteristics'!$C:$C,0))),"",INDEX('Policy Characteristics'!D:D,MATCH($C60,'Policy Characteristics'!$C:$C,0)))</f>
        <v>Conventional Pollutant Standard</v>
      </c>
      <c r="K60" s="275" t="str">
        <f>IF(ISBLANK(INDEX('Policy Characteristics'!E:E,MATCH($C60,'Policy Characteristics'!$C:$C,0))),"",INDEX('Policy Characteristics'!E:E,MATCH($C60,'Policy Characteristics'!$C:$C,0)))</f>
        <v>trans reduce regulated pollutants</v>
      </c>
      <c r="L60" s="283">
        <f>IF(ISBLANK(INDEX('Policy Characteristics'!F:F,MATCH($C60,'Policy Characteristics'!$C:$C,0))),"",INDEX('Policy Characteristics'!F:F,MATCH($C60,'Policy Characteristics'!$C:$C,0)))</f>
        <v>0</v>
      </c>
      <c r="M60" s="283">
        <f>IF(ISBLANK(INDEX('Policy Characteristics'!G:G,MATCH($C60,'Policy Characteristics'!$C:$C,0))),"",INDEX('Policy Characteristics'!G:G,MATCH($C60,'Policy Characteristics'!$C:$C,0)))</f>
        <v>1</v>
      </c>
      <c r="N60" s="283">
        <f>IF(ISBLANK(INDEX('Policy Characteristics'!H:H,MATCH($C60,'Policy Characteristics'!$C:$C,0))),"",INDEX('Policy Characteristics'!H:H,MATCH($C60,'Policy Characteristics'!$C:$C,0)))</f>
        <v>0.02</v>
      </c>
      <c r="O60" s="275" t="str">
        <f>IF(ISBLANK(INDEX('Policy Characteristics'!I:I,MATCH($C60,'Policy Characteristics'!$C:$C,0))),"",INDEX('Policy Characteristics'!I:I,MATCH($C60,'Policy Characteristics'!$C:$C,0)))</f>
        <v>% reduction in emissions</v>
      </c>
      <c r="P60" s="275"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75" t="str">
        <f>IF(ISBLANK(INDEX('Policy Characteristics'!K:K,MATCH($C60,'Policy Characteristics'!$C:$C,0))),"",INDEX('Policy Characteristics'!K:K,MATCH($C60,'Policy Characteristics'!$C:$C,0)))</f>
        <v>transportation-sector-main.html#conv-pol-stds</v>
      </c>
      <c r="R60" s="275" t="str">
        <f>IF(ISBLANK(INDEX('Policy Characteristics'!L:L,MATCH($C60,'Policy Characteristics'!$C:$C,0))),"",INDEX('Policy Characteristics'!L:L,MATCH($C60,'Policy Characteristics'!$C:$C,0)))</f>
        <v>conventional-pollutant-standards.html</v>
      </c>
    </row>
    <row r="61" spans="1:18" s="2" customFormat="1" x14ac:dyDescent="0.25">
      <c r="A61" s="275" t="str">
        <f>IF(ISBLANK(INDEX('Policy Characteristics'!A:A,MATCH($C61,'Policy Characteristics'!$C:$C,0))),"",INDEX('Policy Characteristics'!A:A,MATCH($C61,'Policy Characteristics'!$C:$C,0)))</f>
        <v>Transportation</v>
      </c>
      <c r="B61" s="284" t="str">
        <f>IF(ISBLANK(INDEX('Policy Characteristics'!B:B,MATCH($C61,'Policy Characteristics'!$C:$C,0))),"",INDEX('Policy Characteristics'!B:B,MATCH($C61,'Policy Characteristics'!$C:$C,0)))</f>
        <v>Conventional Pollutant Standards</v>
      </c>
      <c r="C61" s="275" t="str">
        <f t="shared" si="2"/>
        <v>Percentage Reduction of Separately Regulated Pollutants</v>
      </c>
      <c r="D61" s="2" t="s">
        <v>113</v>
      </c>
      <c r="E61" s="2" t="s">
        <v>2238</v>
      </c>
      <c r="F61" s="2" t="s">
        <v>3310</v>
      </c>
      <c r="G61" s="2" t="s">
        <v>2238</v>
      </c>
      <c r="H61" s="49">
        <v>359</v>
      </c>
      <c r="I61" s="347" t="s">
        <v>44</v>
      </c>
      <c r="J61" s="276" t="str">
        <f>IF(ISBLANK(INDEX('Policy Characteristics'!D:D,MATCH($C61,'Policy Characteristics'!$C:$C,0))),"",INDEX('Policy Characteristics'!D:D,MATCH($C61,'Policy Characteristics'!$C:$C,0)))</f>
        <v>Conventional Pollutant Standard</v>
      </c>
      <c r="K61" s="275" t="str">
        <f>IF(ISBLANK(INDEX('Policy Characteristics'!E:E,MATCH($C61,'Policy Characteristics'!$C:$C,0))),"",INDEX('Policy Characteristics'!E:E,MATCH($C61,'Policy Characteristics'!$C:$C,0)))</f>
        <v>trans reduce regulated pollutants</v>
      </c>
      <c r="L61" s="283">
        <f>IF(ISBLANK(INDEX('Policy Characteristics'!F:F,MATCH($C61,'Policy Characteristics'!$C:$C,0))),"",INDEX('Policy Characteristics'!F:F,MATCH($C61,'Policy Characteristics'!$C:$C,0)))</f>
        <v>0</v>
      </c>
      <c r="M61" s="283">
        <f>IF(ISBLANK(INDEX('Policy Characteristics'!G:G,MATCH($C61,'Policy Characteristics'!$C:$C,0))),"",INDEX('Policy Characteristics'!G:G,MATCH($C61,'Policy Characteristics'!$C:$C,0)))</f>
        <v>1</v>
      </c>
      <c r="N61" s="283">
        <f>IF(ISBLANK(INDEX('Policy Characteristics'!H:H,MATCH($C61,'Policy Characteristics'!$C:$C,0))),"",INDEX('Policy Characteristics'!H:H,MATCH($C61,'Policy Characteristics'!$C:$C,0)))</f>
        <v>0.02</v>
      </c>
      <c r="O61" s="275" t="str">
        <f>IF(ISBLANK(INDEX('Policy Characteristics'!I:I,MATCH($C61,'Policy Characteristics'!$C:$C,0))),"",INDEX('Policy Characteristics'!I:I,MATCH($C61,'Policy Characteristics'!$C:$C,0)))</f>
        <v>% reduction in emissions</v>
      </c>
      <c r="P61" s="275"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75" t="str">
        <f>IF(ISBLANK(INDEX('Policy Characteristics'!K:K,MATCH($C61,'Policy Characteristics'!$C:$C,0))),"",INDEX('Policy Characteristics'!K:K,MATCH($C61,'Policy Characteristics'!$C:$C,0)))</f>
        <v>transportation-sector-main.html#conv-pol-stds</v>
      </c>
      <c r="R61" s="275" t="str">
        <f>IF(ISBLANK(INDEX('Policy Characteristics'!L:L,MATCH($C61,'Policy Characteristics'!$C:$C,0))),"",INDEX('Policy Characteristics'!L:L,MATCH($C61,'Policy Characteristics'!$C:$C,0)))</f>
        <v>conventional-pollutant-standards.html</v>
      </c>
    </row>
    <row r="62" spans="1:18" s="2" customFormat="1" x14ac:dyDescent="0.25">
      <c r="A62" s="275" t="str">
        <f>IF(ISBLANK(INDEX('Policy Characteristics'!A:A,MATCH($C62,'Policy Characteristics'!$C:$C,0))),"",INDEX('Policy Characteristics'!A:A,MATCH($C62,'Policy Characteristics'!$C:$C,0)))</f>
        <v>Transportation</v>
      </c>
      <c r="B62" s="284" t="str">
        <f>IF(ISBLANK(INDEX('Policy Characteristics'!B:B,MATCH($C62,'Policy Characteristics'!$C:$C,0))),"",INDEX('Policy Characteristics'!B:B,MATCH($C62,'Policy Characteristics'!$C:$C,0)))</f>
        <v>Electric Vehicle Charger Deployment</v>
      </c>
      <c r="C62" s="1" t="s">
        <v>3494</v>
      </c>
      <c r="H62" s="49">
        <v>360</v>
      </c>
      <c r="I62" s="347" t="s">
        <v>43</v>
      </c>
      <c r="J62" s="276" t="str">
        <f>IF(ISBLANK(INDEX('Policy Characteristics'!D:D,MATCH($C62,'Policy Characteristics'!$C:$C,0))),"",INDEX('Policy Characteristics'!D:D,MATCH($C62,'Policy Characteristics'!$C:$C,0)))</f>
        <v>EV Charger Deployment</v>
      </c>
      <c r="K62" s="275" t="str">
        <f>IF(ISBLANK(INDEX('Policy Characteristics'!E:E,MATCH($C62,'Policy Characteristics'!$C:$C,0))),"",INDEX('Policy Characteristics'!E:E,MATCH($C62,'Policy Characteristics'!$C:$C,0)))</f>
        <v>trans EV charger deployment</v>
      </c>
      <c r="L62" s="275">
        <f>IF(ISBLANK(INDEX('Policy Characteristics'!F:F,MATCH($C62,'Policy Characteristics'!$C:$C,0))),"",INDEX('Policy Characteristics'!F:F,MATCH($C62,'Policy Characteristics'!$C:$C,0)))</f>
        <v>0</v>
      </c>
      <c r="M62" s="275">
        <f>IF(ISBLANK(INDEX('Policy Characteristics'!G:G,MATCH($C62,'Policy Characteristics'!$C:$C,0))),"",INDEX('Policy Characteristics'!G:G,MATCH($C62,'Policy Characteristics'!$C:$C,0)))</f>
        <v>3</v>
      </c>
      <c r="N62" s="275">
        <f>IF(ISBLANK(INDEX('Policy Characteristics'!H:H,MATCH($C62,'Policy Characteristics'!$C:$C,0))),"",INDEX('Policy Characteristics'!H:H,MATCH($C62,'Policy Characteristics'!$C:$C,0)))</f>
        <v>0.1</v>
      </c>
      <c r="O62" s="275" t="str">
        <f>IF(ISBLANK(INDEX('Policy Characteristics'!I:I,MATCH($C62,'Policy Characteristics'!$C:$C,0))),"",INDEX('Policy Characteristics'!I:I,MATCH($C62,'Policy Characteristics'!$C:$C,0)))</f>
        <v>% increase</v>
      </c>
      <c r="P62" s="275"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noadditional effect on EV deployment.</v>
      </c>
      <c r="Q62" s="275" t="str">
        <f>IF(ISBLANK(INDEX('Policy Characteristics'!K:K,MATCH($C62,'Policy Characteristics'!$C:$C,0))),"",INDEX('Policy Characteristics'!K:K,MATCH($C62,'Policy Characteristics'!$C:$C,0)))</f>
        <v/>
      </c>
      <c r="R62" s="275" t="str">
        <f>IF(ISBLANK(INDEX('Policy Characteristics'!L:L,MATCH($C62,'Policy Characteristics'!$C:$C,0))),"",INDEX('Policy Characteristics'!L:L,MATCH($C62,'Policy Characteristics'!$C:$C,0)))</f>
        <v>ev-charger-deployment.html</v>
      </c>
    </row>
    <row r="63" spans="1:18" s="2" customFormat="1" x14ac:dyDescent="0.25">
      <c r="A63" s="275" t="str">
        <f>IF(ISBLANK(INDEX('Policy Characteristics'!A:A,MATCH($C63,'Policy Characteristics'!$C:$C,0))),"",INDEX('Policy Characteristics'!A:A,MATCH($C63,'Policy Characteristics'!$C:$C,0)))</f>
        <v>Transportation</v>
      </c>
      <c r="B63" s="284" t="str">
        <f>IF(ISBLANK(INDEX('Policy Characteristics'!B:B,MATCH($C63,'Policy Characteristics'!$C:$C,0))),"",INDEX('Policy Characteristics'!B:B,MATCH($C63,'Policy Characteristics'!$C:$C,0)))</f>
        <v>Passenger Vehicle Subsidy</v>
      </c>
      <c r="C63" s="1" t="s">
        <v>3468</v>
      </c>
      <c r="D63" s="47" t="s">
        <v>37</v>
      </c>
      <c r="E63" s="47" t="s">
        <v>2246</v>
      </c>
      <c r="F63" s="2" t="s">
        <v>3314</v>
      </c>
      <c r="G63" s="47" t="s">
        <v>3476</v>
      </c>
      <c r="H63" s="49">
        <v>189</v>
      </c>
      <c r="I63" s="346" t="s">
        <v>43</v>
      </c>
      <c r="J63" s="276" t="str">
        <f>IF(ISBLANK(INDEX('Policy Characteristics'!D:D,MATCH($C63,'Policy Characteristics'!$C:$C,0))),"",INDEX('Policy Characteristics'!D:D,MATCH($C63,'Policy Characteristics'!$C:$C,0)))</f>
        <v>Vehicle Subsidy</v>
      </c>
      <c r="K63" s="275" t="str">
        <f>IF(ISBLANK(INDEX('Policy Characteristics'!E:E,MATCH($C63,'Policy Characteristics'!$C:$C,0))),"",INDEX('Policy Characteristics'!E:E,MATCH($C63,'Policy Characteristics'!$C:$C,0)))</f>
        <v>trans psgr subsidy</v>
      </c>
      <c r="L63" s="283">
        <f>IF(ISBLANK(INDEX('Policy Characteristics'!F:F,MATCH($C63,'Policy Characteristics'!$C:$C,0))),"",INDEX('Policy Characteristics'!F:F,MATCH($C63,'Policy Characteristics'!$C:$C,0)))</f>
        <v>0</v>
      </c>
      <c r="M63" s="283">
        <f>IF(ISBLANK(INDEX('Policy Characteristics'!G:G,MATCH($C63,'Policy Characteristics'!$C:$C,0))),"",INDEX('Policy Characteristics'!G:G,MATCH($C63,'Policy Characteristics'!$C:$C,0)))</f>
        <v>50000</v>
      </c>
      <c r="N63" s="283">
        <f>IF(ISBLANK(INDEX('Policy Characteristics'!H:H,MATCH($C63,'Policy Characteristics'!$C:$C,0))),"",INDEX('Policy Characteristics'!H:H,MATCH($C63,'Policy Characteristics'!$C:$C,0)))</f>
        <v>100</v>
      </c>
      <c r="O63" s="275" t="str">
        <f>IF(ISBLANK(INDEX('Policy Characteristics'!I:I,MATCH($C63,'Policy Characteristics'!$C:$C,0))),"",INDEX('Policy Characteristics'!I:I,MATCH($C63,'Policy Characteristics'!$C:$C,0)))</f>
        <v>$ / vehicle</v>
      </c>
      <c r="P63" s="275" t="str">
        <f>IF(ISBLANK(INDEX('Policy Characteristics'!J:J,MATCH($C63,'Policy Characteristics'!$C:$C,0))),"",INDEX('Policy Characteristics'!J:J,MATCH($C63,'Policy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3" s="275" t="str">
        <f>IF(ISBLANK(INDEX('Policy Characteristics'!K:K,MATCH($C63,'Policy Characteristics'!$C:$C,0))),"",INDEX('Policy Characteristics'!K:K,MATCH($C63,'Policy Characteristics'!$C:$C,0)))</f>
        <v>transportation-sector-main.html#ev-subsidy</v>
      </c>
      <c r="R63" s="275" t="str">
        <f>IF(ISBLANK(INDEX('Policy Characteristics'!L:L,MATCH($C63,'Policy Characteristics'!$C:$C,0))),"",INDEX('Policy Characteristics'!L:L,MATCH($C63,'Policy Characteristics'!$C:$C,0)))</f>
        <v>ev-subsidy.html</v>
      </c>
    </row>
    <row r="64" spans="1:18" ht="14.45" customHeight="1" x14ac:dyDescent="0.25">
      <c r="A64" s="275" t="str">
        <f>IF(ISBLANK(INDEX('Policy Characteristics'!A:A,MATCH($C64,'Policy Characteristics'!$C:$C,0))),"",INDEX('Policy Characteristics'!A:A,MATCH($C64,'Policy Characteristics'!$C:$C,0)))</f>
        <v>Transportation</v>
      </c>
      <c r="B64" s="284" t="str">
        <f>IF(ISBLANK(INDEX('Policy Characteristics'!B:B,MATCH($C64,'Policy Characteristics'!$C:$C,0))),"",INDEX('Policy Characteristics'!B:B,MATCH($C64,'Policy Characteristics'!$C:$C,0)))</f>
        <v>Passenger Vehicle Subsidy</v>
      </c>
      <c r="C64" s="275" t="str">
        <f t="shared" ref="C64:C104" si="3">C$63</f>
        <v>Additional Passenger Vehicle Subsidy</v>
      </c>
      <c r="D64" s="47" t="s">
        <v>37</v>
      </c>
      <c r="E64" s="2" t="s">
        <v>2247</v>
      </c>
      <c r="F64" s="2" t="s">
        <v>3314</v>
      </c>
      <c r="G64" s="2" t="s">
        <v>3477</v>
      </c>
      <c r="H64" s="44">
        <v>592</v>
      </c>
      <c r="I64" s="347" t="s">
        <v>44</v>
      </c>
      <c r="J64" s="276" t="str">
        <f>IF(ISBLANK(INDEX('Policy Characteristics'!D:D,MATCH($C64,'Policy Characteristics'!$C:$C,0))),"",INDEX('Policy Characteristics'!D:D,MATCH($C64,'Policy Characteristics'!$C:$C,0)))</f>
        <v>Vehicle Subsidy</v>
      </c>
      <c r="K64" s="275" t="str">
        <f>IF(ISBLANK(INDEX('Policy Characteristics'!E:E,MATCH($C64,'Policy Characteristics'!$C:$C,0))),"",INDEX('Policy Characteristics'!E:E,MATCH($C64,'Policy Characteristics'!$C:$C,0)))</f>
        <v>trans psgr subsidy</v>
      </c>
      <c r="L64" s="283">
        <f>IF(ISBLANK(INDEX('Policy Characteristics'!F:F,MATCH($C64,'Policy Characteristics'!$C:$C,0))),"",INDEX('Policy Characteristics'!F:F,MATCH($C64,'Policy Characteristics'!$C:$C,0)))</f>
        <v>0</v>
      </c>
      <c r="M64" s="283">
        <f>IF(ISBLANK(INDEX('Policy Characteristics'!G:G,MATCH($C64,'Policy Characteristics'!$C:$C,0))),"",INDEX('Policy Characteristics'!G:G,MATCH($C64,'Policy Characteristics'!$C:$C,0)))</f>
        <v>50000</v>
      </c>
      <c r="N64" s="283">
        <f>IF(ISBLANK(INDEX('Policy Characteristics'!H:H,MATCH($C64,'Policy Characteristics'!$C:$C,0))),"",INDEX('Policy Characteristics'!H:H,MATCH($C64,'Policy Characteristics'!$C:$C,0)))</f>
        <v>100</v>
      </c>
      <c r="O64" s="275" t="str">
        <f>IF(ISBLANK(INDEX('Policy Characteristics'!I:I,MATCH($C64,'Policy Characteristics'!$C:$C,0))),"",INDEX('Policy Characteristics'!I:I,MATCH($C64,'Policy Characteristics'!$C:$C,0)))</f>
        <v>$ / vehicle</v>
      </c>
      <c r="P64" s="275" t="str">
        <f>IF(ISBLANK(INDEX('Policy Characteristics'!J:J,MATCH($C64,'Policy Characteristics'!$C:$C,0))),"",INDEX('Policy Characteristics'!J:J,MATCH($C64,'Policy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4" s="275" t="str">
        <f>IF(ISBLANK(INDEX('Policy Characteristics'!K:K,MATCH($C64,'Policy Characteristics'!$C:$C,0))),"",INDEX('Policy Characteristics'!K:K,MATCH($C64,'Policy Characteristics'!$C:$C,0)))</f>
        <v>transportation-sector-main.html#ev-subsidy</v>
      </c>
      <c r="R64" s="275" t="str">
        <f>IF(ISBLANK(INDEX('Policy Characteristics'!L:L,MATCH($C64,'Policy Characteristics'!$C:$C,0))),"",INDEX('Policy Characteristics'!L:L,MATCH($C64,'Policy Characteristics'!$C:$C,0)))</f>
        <v>ev-subsidy.html</v>
      </c>
    </row>
    <row r="65" spans="1:18" x14ac:dyDescent="0.25">
      <c r="A65" s="275" t="str">
        <f>IF(ISBLANK(INDEX('Policy Characteristics'!A:A,MATCH($C65,'Policy Characteristics'!$C:$C,0))),"",INDEX('Policy Characteristics'!A:A,MATCH($C65,'Policy Characteristics'!$C:$C,0)))</f>
        <v>Transportation</v>
      </c>
      <c r="B65" s="284" t="str">
        <f>IF(ISBLANK(INDEX('Policy Characteristics'!B:B,MATCH($C65,'Policy Characteristics'!$C:$C,0))),"",INDEX('Policy Characteristics'!B:B,MATCH($C65,'Policy Characteristics'!$C:$C,0)))</f>
        <v>Passenger Vehicle Subsidy</v>
      </c>
      <c r="C65" s="275" t="str">
        <f t="shared" si="3"/>
        <v>Additional Passenger Vehicle Subsidy</v>
      </c>
      <c r="D65" s="47" t="s">
        <v>37</v>
      </c>
      <c r="E65" s="2" t="s">
        <v>2248</v>
      </c>
      <c r="F65" s="2" t="s">
        <v>3314</v>
      </c>
      <c r="G65" s="2" t="s">
        <v>3478</v>
      </c>
      <c r="H65" s="44">
        <v>593</v>
      </c>
      <c r="I65" s="347" t="s">
        <v>44</v>
      </c>
      <c r="J65" s="276" t="str">
        <f>IF(ISBLANK(INDEX('Policy Characteristics'!D:D,MATCH($C65,'Policy Characteristics'!$C:$C,0))),"",INDEX('Policy Characteristics'!D:D,MATCH($C65,'Policy Characteristics'!$C:$C,0)))</f>
        <v>Vehicle Subsidy</v>
      </c>
      <c r="K65" s="275" t="str">
        <f>IF(ISBLANK(INDEX('Policy Characteristics'!E:E,MATCH($C65,'Policy Characteristics'!$C:$C,0))),"",INDEX('Policy Characteristics'!E:E,MATCH($C65,'Policy Characteristics'!$C:$C,0)))</f>
        <v>trans psgr subsidy</v>
      </c>
      <c r="L65" s="283">
        <f>IF(ISBLANK(INDEX('Policy Characteristics'!F:F,MATCH($C65,'Policy Characteristics'!$C:$C,0))),"",INDEX('Policy Characteristics'!F:F,MATCH($C65,'Policy Characteristics'!$C:$C,0)))</f>
        <v>0</v>
      </c>
      <c r="M65" s="283">
        <f>IF(ISBLANK(INDEX('Policy Characteristics'!G:G,MATCH($C65,'Policy Characteristics'!$C:$C,0))),"",INDEX('Policy Characteristics'!G:G,MATCH($C65,'Policy Characteristics'!$C:$C,0)))</f>
        <v>50000</v>
      </c>
      <c r="N65" s="283">
        <f>IF(ISBLANK(INDEX('Policy Characteristics'!H:H,MATCH($C65,'Policy Characteristics'!$C:$C,0))),"",INDEX('Policy Characteristics'!H:H,MATCH($C65,'Policy Characteristics'!$C:$C,0)))</f>
        <v>100</v>
      </c>
      <c r="O65" s="275" t="str">
        <f>IF(ISBLANK(INDEX('Policy Characteristics'!I:I,MATCH($C65,'Policy Characteristics'!$C:$C,0))),"",INDEX('Policy Characteristics'!I:I,MATCH($C65,'Policy Characteristics'!$C:$C,0)))</f>
        <v>$ / vehicle</v>
      </c>
      <c r="P65" s="275" t="str">
        <f>IF(ISBLANK(INDEX('Policy Characteristics'!J:J,MATCH($C65,'Policy Characteristics'!$C:$C,0))),"",INDEX('Policy Characteristics'!J:J,MATCH($C65,'Policy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5" s="275" t="str">
        <f>IF(ISBLANK(INDEX('Policy Characteristics'!K:K,MATCH($C65,'Policy Characteristics'!$C:$C,0))),"",INDEX('Policy Characteristics'!K:K,MATCH($C65,'Policy Characteristics'!$C:$C,0)))</f>
        <v>transportation-sector-main.html#ev-subsidy</v>
      </c>
      <c r="R65" s="275" t="str">
        <f>IF(ISBLANK(INDEX('Policy Characteristics'!L:L,MATCH($C65,'Policy Characteristics'!$C:$C,0))),"",INDEX('Policy Characteristics'!L:L,MATCH($C65,'Policy Characteristics'!$C:$C,0)))</f>
        <v>ev-subsidy.html</v>
      </c>
    </row>
    <row r="66" spans="1:18" x14ac:dyDescent="0.25">
      <c r="A66" s="275" t="str">
        <f>IF(ISBLANK(INDEX('Policy Characteristics'!A:A,MATCH($C66,'Policy Characteristics'!$C:$C,0))),"",INDEX('Policy Characteristics'!A:A,MATCH($C66,'Policy Characteristics'!$C:$C,0)))</f>
        <v>Transportation</v>
      </c>
      <c r="B66" s="284" t="str">
        <f>IF(ISBLANK(INDEX('Policy Characteristics'!B:B,MATCH($C66,'Policy Characteristics'!$C:$C,0))),"",INDEX('Policy Characteristics'!B:B,MATCH($C66,'Policy Characteristics'!$C:$C,0)))</f>
        <v>Passenger Vehicle Subsidy</v>
      </c>
      <c r="C66" s="275" t="str">
        <f t="shared" si="3"/>
        <v>Additional Passenger Vehicle Subsidy</v>
      </c>
      <c r="D66" s="47" t="s">
        <v>37</v>
      </c>
      <c r="E66" s="2" t="s">
        <v>2249</v>
      </c>
      <c r="F66" s="2" t="s">
        <v>3314</v>
      </c>
      <c r="G66" s="2" t="s">
        <v>3479</v>
      </c>
      <c r="H66" s="44">
        <v>594</v>
      </c>
      <c r="I66" s="347" t="s">
        <v>44</v>
      </c>
      <c r="J66" s="276" t="str">
        <f>IF(ISBLANK(INDEX('Policy Characteristics'!D:D,MATCH($C66,'Policy Characteristics'!$C:$C,0))),"",INDEX('Policy Characteristics'!D:D,MATCH($C66,'Policy Characteristics'!$C:$C,0)))</f>
        <v>Vehicle Subsidy</v>
      </c>
      <c r="K66" s="275" t="str">
        <f>IF(ISBLANK(INDEX('Policy Characteristics'!E:E,MATCH($C66,'Policy Characteristics'!$C:$C,0))),"",INDEX('Policy Characteristics'!E:E,MATCH($C66,'Policy Characteristics'!$C:$C,0)))</f>
        <v>trans psgr subsidy</v>
      </c>
      <c r="L66" s="283">
        <f>IF(ISBLANK(INDEX('Policy Characteristics'!F:F,MATCH($C66,'Policy Characteristics'!$C:$C,0))),"",INDEX('Policy Characteristics'!F:F,MATCH($C66,'Policy Characteristics'!$C:$C,0)))</f>
        <v>0</v>
      </c>
      <c r="M66" s="283">
        <f>IF(ISBLANK(INDEX('Policy Characteristics'!G:G,MATCH($C66,'Policy Characteristics'!$C:$C,0))),"",INDEX('Policy Characteristics'!G:G,MATCH($C66,'Policy Characteristics'!$C:$C,0)))</f>
        <v>50000</v>
      </c>
      <c r="N66" s="283">
        <f>IF(ISBLANK(INDEX('Policy Characteristics'!H:H,MATCH($C66,'Policy Characteristics'!$C:$C,0))),"",INDEX('Policy Characteristics'!H:H,MATCH($C66,'Policy Characteristics'!$C:$C,0)))</f>
        <v>100</v>
      </c>
      <c r="O66" s="275" t="str">
        <f>IF(ISBLANK(INDEX('Policy Characteristics'!I:I,MATCH($C66,'Policy Characteristics'!$C:$C,0))),"",INDEX('Policy Characteristics'!I:I,MATCH($C66,'Policy Characteristics'!$C:$C,0)))</f>
        <v>$ / vehicle</v>
      </c>
      <c r="P66" s="275" t="str">
        <f>IF(ISBLANK(INDEX('Policy Characteristics'!J:J,MATCH($C66,'Policy Characteristics'!$C:$C,0))),"",INDEX('Policy Characteristics'!J:J,MATCH($C66,'Policy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6" s="275" t="str">
        <f>IF(ISBLANK(INDEX('Policy Characteristics'!K:K,MATCH($C66,'Policy Characteristics'!$C:$C,0))),"",INDEX('Policy Characteristics'!K:K,MATCH($C66,'Policy Characteristics'!$C:$C,0)))</f>
        <v>transportation-sector-main.html#ev-subsidy</v>
      </c>
      <c r="R66" s="275" t="str">
        <f>IF(ISBLANK(INDEX('Policy Characteristics'!L:L,MATCH($C66,'Policy Characteristics'!$C:$C,0))),"",INDEX('Policy Characteristics'!L:L,MATCH($C66,'Policy Characteristics'!$C:$C,0)))</f>
        <v>ev-subsidy.html</v>
      </c>
    </row>
    <row r="67" spans="1:18" x14ac:dyDescent="0.25">
      <c r="A67" s="275" t="str">
        <f>IF(ISBLANK(INDEX('Policy Characteristics'!A:A,MATCH($C67,'Policy Characteristics'!$C:$C,0))),"",INDEX('Policy Characteristics'!A:A,MATCH($C67,'Policy Characteristics'!$C:$C,0)))</f>
        <v>Transportation</v>
      </c>
      <c r="B67" s="284" t="str">
        <f>IF(ISBLANK(INDEX('Policy Characteristics'!B:B,MATCH($C67,'Policy Characteristics'!$C:$C,0))),"",INDEX('Policy Characteristics'!B:B,MATCH($C67,'Policy Characteristics'!$C:$C,0)))</f>
        <v>Passenger Vehicle Subsidy</v>
      </c>
      <c r="C67" s="275" t="str">
        <f t="shared" si="3"/>
        <v>Additional Passenger Vehicle Subsidy</v>
      </c>
      <c r="D67" s="47" t="s">
        <v>37</v>
      </c>
      <c r="E67" s="2" t="s">
        <v>2250</v>
      </c>
      <c r="F67" s="2" t="s">
        <v>3314</v>
      </c>
      <c r="G67" s="2" t="s">
        <v>3480</v>
      </c>
      <c r="H67" s="44">
        <v>595</v>
      </c>
      <c r="I67" s="346" t="s">
        <v>43</v>
      </c>
      <c r="J67" s="276" t="str">
        <f>IF(ISBLANK(INDEX('Policy Characteristics'!D:D,MATCH($C67,'Policy Characteristics'!$C:$C,0))),"",INDEX('Policy Characteristics'!D:D,MATCH($C67,'Policy Characteristics'!$C:$C,0)))</f>
        <v>Vehicle Subsidy</v>
      </c>
      <c r="K67" s="275" t="str">
        <f>IF(ISBLANK(INDEX('Policy Characteristics'!E:E,MATCH($C67,'Policy Characteristics'!$C:$C,0))),"",INDEX('Policy Characteristics'!E:E,MATCH($C67,'Policy Characteristics'!$C:$C,0)))</f>
        <v>trans psgr subsidy</v>
      </c>
      <c r="L67" s="283">
        <f>IF(ISBLANK(INDEX('Policy Characteristics'!F:F,MATCH($C67,'Policy Characteristics'!$C:$C,0))),"",INDEX('Policy Characteristics'!F:F,MATCH($C67,'Policy Characteristics'!$C:$C,0)))</f>
        <v>0</v>
      </c>
      <c r="M67" s="283">
        <f>IF(ISBLANK(INDEX('Policy Characteristics'!G:G,MATCH($C67,'Policy Characteristics'!$C:$C,0))),"",INDEX('Policy Characteristics'!G:G,MATCH($C67,'Policy Characteristics'!$C:$C,0)))</f>
        <v>50000</v>
      </c>
      <c r="N67" s="283">
        <f>IF(ISBLANK(INDEX('Policy Characteristics'!H:H,MATCH($C67,'Policy Characteristics'!$C:$C,0))),"",INDEX('Policy Characteristics'!H:H,MATCH($C67,'Policy Characteristics'!$C:$C,0)))</f>
        <v>100</v>
      </c>
      <c r="O67" s="275" t="str">
        <f>IF(ISBLANK(INDEX('Policy Characteristics'!I:I,MATCH($C67,'Policy Characteristics'!$C:$C,0))),"",INDEX('Policy Characteristics'!I:I,MATCH($C67,'Policy Characteristics'!$C:$C,0)))</f>
        <v>$ / vehicle</v>
      </c>
      <c r="P67" s="275" t="str">
        <f>IF(ISBLANK(INDEX('Policy Characteristics'!J:J,MATCH($C67,'Policy Characteristics'!$C:$C,0))),"",INDEX('Policy Characteristics'!J:J,MATCH($C67,'Policy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7" s="275" t="str">
        <f>IF(ISBLANK(INDEX('Policy Characteristics'!K:K,MATCH($C67,'Policy Characteristics'!$C:$C,0))),"",INDEX('Policy Characteristics'!K:K,MATCH($C67,'Policy Characteristics'!$C:$C,0)))</f>
        <v>transportation-sector-main.html#ev-subsidy</v>
      </c>
      <c r="R67" s="275" t="str">
        <f>IF(ISBLANK(INDEX('Policy Characteristics'!L:L,MATCH($C67,'Policy Characteristics'!$C:$C,0))),"",INDEX('Policy Characteristics'!L:L,MATCH($C67,'Policy Characteristics'!$C:$C,0)))</f>
        <v>ev-subsidy.html</v>
      </c>
    </row>
    <row r="68" spans="1:18" x14ac:dyDescent="0.25">
      <c r="A68" s="275" t="str">
        <f>IF(ISBLANK(INDEX('Policy Characteristics'!A:A,MATCH($C68,'Policy Characteristics'!$C:$C,0))),"",INDEX('Policy Characteristics'!A:A,MATCH($C68,'Policy Characteristics'!$C:$C,0)))</f>
        <v>Transportation</v>
      </c>
      <c r="B68" s="284" t="str">
        <f>IF(ISBLANK(INDEX('Policy Characteristics'!B:B,MATCH($C68,'Policy Characteristics'!$C:$C,0))),"",INDEX('Policy Characteristics'!B:B,MATCH($C68,'Policy Characteristics'!$C:$C,0)))</f>
        <v>Passenger Vehicle Subsidy</v>
      </c>
      <c r="C68" s="275" t="str">
        <f t="shared" si="3"/>
        <v>Additional Passenger Vehicle Subsidy</v>
      </c>
      <c r="D68" s="47" t="s">
        <v>37</v>
      </c>
      <c r="E68" s="2" t="s">
        <v>2512</v>
      </c>
      <c r="F68" s="2" t="s">
        <v>3314</v>
      </c>
      <c r="G68" s="2" t="s">
        <v>2512</v>
      </c>
      <c r="H68" s="44">
        <v>596</v>
      </c>
      <c r="I68" s="347" t="s">
        <v>44</v>
      </c>
      <c r="J68" s="276" t="str">
        <f>IF(ISBLANK(INDEX('Policy Characteristics'!D:D,MATCH($C68,'Policy Characteristics'!$C:$C,0))),"",INDEX('Policy Characteristics'!D:D,MATCH($C68,'Policy Characteristics'!$C:$C,0)))</f>
        <v>Vehicle Subsidy</v>
      </c>
      <c r="K68" s="275" t="str">
        <f>IF(ISBLANK(INDEX('Policy Characteristics'!E:E,MATCH($C68,'Policy Characteristics'!$C:$C,0))),"",INDEX('Policy Characteristics'!E:E,MATCH($C68,'Policy Characteristics'!$C:$C,0)))</f>
        <v>trans psgr subsidy</v>
      </c>
      <c r="L68" s="283">
        <f>IF(ISBLANK(INDEX('Policy Characteristics'!F:F,MATCH($C68,'Policy Characteristics'!$C:$C,0))),"",INDEX('Policy Characteristics'!F:F,MATCH($C68,'Policy Characteristics'!$C:$C,0)))</f>
        <v>0</v>
      </c>
      <c r="M68" s="283">
        <f>IF(ISBLANK(INDEX('Policy Characteristics'!G:G,MATCH($C68,'Policy Characteristics'!$C:$C,0))),"",INDEX('Policy Characteristics'!G:G,MATCH($C68,'Policy Characteristics'!$C:$C,0)))</f>
        <v>50000</v>
      </c>
      <c r="N68" s="283">
        <f>IF(ISBLANK(INDEX('Policy Characteristics'!H:H,MATCH($C68,'Policy Characteristics'!$C:$C,0))),"",INDEX('Policy Characteristics'!H:H,MATCH($C68,'Policy Characteristics'!$C:$C,0)))</f>
        <v>100</v>
      </c>
      <c r="O68" s="275" t="str">
        <f>IF(ISBLANK(INDEX('Policy Characteristics'!I:I,MATCH($C68,'Policy Characteristics'!$C:$C,0))),"",INDEX('Policy Characteristics'!I:I,MATCH($C68,'Policy Characteristics'!$C:$C,0)))</f>
        <v>$ / vehicle</v>
      </c>
      <c r="P68" s="275" t="str">
        <f>IF(ISBLANK(INDEX('Policy Characteristics'!J:J,MATCH($C68,'Policy Characteristics'!$C:$C,0))),"",INDEX('Policy Characteristics'!J:J,MATCH($C68,'Policy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8" s="275" t="str">
        <f>IF(ISBLANK(INDEX('Policy Characteristics'!K:K,MATCH($C68,'Policy Characteristics'!$C:$C,0))),"",INDEX('Policy Characteristics'!K:K,MATCH($C68,'Policy Characteristics'!$C:$C,0)))</f>
        <v>transportation-sector-main.html#ev-subsidy</v>
      </c>
      <c r="R68" s="275" t="str">
        <f>IF(ISBLANK(INDEX('Policy Characteristics'!L:L,MATCH($C68,'Policy Characteristics'!$C:$C,0))),"",INDEX('Policy Characteristics'!L:L,MATCH($C68,'Policy Characteristics'!$C:$C,0)))</f>
        <v>ev-subsidy.html</v>
      </c>
    </row>
    <row r="69" spans="1:18" x14ac:dyDescent="0.25">
      <c r="A69" s="275" t="str">
        <f>IF(ISBLANK(INDEX('Policy Characteristics'!A:A,MATCH($C69,'Policy Characteristics'!$C:$C,0))),"",INDEX('Policy Characteristics'!A:A,MATCH($C69,'Policy Characteristics'!$C:$C,0)))</f>
        <v>Transportation</v>
      </c>
      <c r="B69" s="284" t="str">
        <f>IF(ISBLANK(INDEX('Policy Characteristics'!B:B,MATCH($C69,'Policy Characteristics'!$C:$C,0))),"",INDEX('Policy Characteristics'!B:B,MATCH($C69,'Policy Characteristics'!$C:$C,0)))</f>
        <v>Passenger Vehicle Subsidy</v>
      </c>
      <c r="C69" s="275" t="str">
        <f t="shared" si="3"/>
        <v>Additional Passenger Vehicle Subsidy</v>
      </c>
      <c r="D69" s="47" t="s">
        <v>37</v>
      </c>
      <c r="E69" s="2" t="s">
        <v>2511</v>
      </c>
      <c r="F69" s="2" t="s">
        <v>3314</v>
      </c>
      <c r="G69" s="2" t="s">
        <v>3481</v>
      </c>
      <c r="H69" s="44">
        <v>597</v>
      </c>
      <c r="I69" s="346" t="s">
        <v>43</v>
      </c>
      <c r="J69" s="276" t="str">
        <f>IF(ISBLANK(INDEX('Policy Characteristics'!D:D,MATCH($C69,'Policy Characteristics'!$C:$C,0))),"",INDEX('Policy Characteristics'!D:D,MATCH($C69,'Policy Characteristics'!$C:$C,0)))</f>
        <v>Vehicle Subsidy</v>
      </c>
      <c r="K69" s="275" t="str">
        <f>IF(ISBLANK(INDEX('Policy Characteristics'!E:E,MATCH($C69,'Policy Characteristics'!$C:$C,0))),"",INDEX('Policy Characteristics'!E:E,MATCH($C69,'Policy Characteristics'!$C:$C,0)))</f>
        <v>trans psgr subsidy</v>
      </c>
      <c r="L69" s="283">
        <f>IF(ISBLANK(INDEX('Policy Characteristics'!F:F,MATCH($C69,'Policy Characteristics'!$C:$C,0))),"",INDEX('Policy Characteristics'!F:F,MATCH($C69,'Policy Characteristics'!$C:$C,0)))</f>
        <v>0</v>
      </c>
      <c r="M69" s="283">
        <f>IF(ISBLANK(INDEX('Policy Characteristics'!G:G,MATCH($C69,'Policy Characteristics'!$C:$C,0))),"",INDEX('Policy Characteristics'!G:G,MATCH($C69,'Policy Characteristics'!$C:$C,0)))</f>
        <v>50000</v>
      </c>
      <c r="N69" s="283">
        <f>IF(ISBLANK(INDEX('Policy Characteristics'!H:H,MATCH($C69,'Policy Characteristics'!$C:$C,0))),"",INDEX('Policy Characteristics'!H:H,MATCH($C69,'Policy Characteristics'!$C:$C,0)))</f>
        <v>100</v>
      </c>
      <c r="O69" s="275" t="str">
        <f>IF(ISBLANK(INDEX('Policy Characteristics'!I:I,MATCH($C69,'Policy Characteristics'!$C:$C,0))),"",INDEX('Policy Characteristics'!I:I,MATCH($C69,'Policy Characteristics'!$C:$C,0)))</f>
        <v>$ / vehicle</v>
      </c>
      <c r="P69" s="275" t="str">
        <f>IF(ISBLANK(INDEX('Policy Characteristics'!J:J,MATCH($C69,'Policy Characteristics'!$C:$C,0))),"",INDEX('Policy Characteristics'!J:J,MATCH($C69,'Policy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9" s="275" t="str">
        <f>IF(ISBLANK(INDEX('Policy Characteristics'!K:K,MATCH($C69,'Policy Characteristics'!$C:$C,0))),"",INDEX('Policy Characteristics'!K:K,MATCH($C69,'Policy Characteristics'!$C:$C,0)))</f>
        <v>transportation-sector-main.html#ev-subsidy</v>
      </c>
      <c r="R69" s="275" t="str">
        <f>IF(ISBLANK(INDEX('Policy Characteristics'!L:L,MATCH($C69,'Policy Characteristics'!$C:$C,0))),"",INDEX('Policy Characteristics'!L:L,MATCH($C69,'Policy Characteristics'!$C:$C,0)))</f>
        <v>ev-subsidy.html</v>
      </c>
    </row>
    <row r="70" spans="1:18" x14ac:dyDescent="0.25">
      <c r="A70" s="275" t="str">
        <f>IF(ISBLANK(INDEX('Policy Characteristics'!A:A,MATCH($C70,'Policy Characteristics'!$C:$C,0))),"",INDEX('Policy Characteristics'!A:A,MATCH($C70,'Policy Characteristics'!$C:$C,0)))</f>
        <v>Transportation</v>
      </c>
      <c r="B70" s="284" t="str">
        <f>IF(ISBLANK(INDEX('Policy Characteristics'!B:B,MATCH($C70,'Policy Characteristics'!$C:$C,0))),"",INDEX('Policy Characteristics'!B:B,MATCH($C70,'Policy Characteristics'!$C:$C,0)))</f>
        <v>Passenger Vehicle Subsidy</v>
      </c>
      <c r="C70" s="275" t="str">
        <f t="shared" si="3"/>
        <v>Additional Passenger Vehicle Subsidy</v>
      </c>
      <c r="D70" s="47" t="s">
        <v>38</v>
      </c>
      <c r="E70" s="47" t="s">
        <v>2246</v>
      </c>
      <c r="F70" s="2" t="s">
        <v>2346</v>
      </c>
      <c r="G70" s="47" t="s">
        <v>3476</v>
      </c>
      <c r="H70" s="44">
        <v>598</v>
      </c>
      <c r="I70" s="346" t="s">
        <v>43</v>
      </c>
      <c r="J70" s="276" t="str">
        <f>IF(ISBLANK(INDEX('Policy Characteristics'!D:D,MATCH($C70,'Policy Characteristics'!$C:$C,0))),"",INDEX('Policy Characteristics'!D:D,MATCH($C70,'Policy Characteristics'!$C:$C,0)))</f>
        <v>Vehicle Subsidy</v>
      </c>
      <c r="K70" s="275" t="str">
        <f>IF(ISBLANK(INDEX('Policy Characteristics'!E:E,MATCH($C70,'Policy Characteristics'!$C:$C,0))),"",INDEX('Policy Characteristics'!E:E,MATCH($C70,'Policy Characteristics'!$C:$C,0)))</f>
        <v>trans psgr subsidy</v>
      </c>
      <c r="L70" s="283">
        <f>IF(ISBLANK(INDEX('Policy Characteristics'!F:F,MATCH($C70,'Policy Characteristics'!$C:$C,0))),"",INDEX('Policy Characteristics'!F:F,MATCH($C70,'Policy Characteristics'!$C:$C,0)))</f>
        <v>0</v>
      </c>
      <c r="M70" s="283">
        <f>IF(ISBLANK(INDEX('Policy Characteristics'!G:G,MATCH($C70,'Policy Characteristics'!$C:$C,0))),"",INDEX('Policy Characteristics'!G:G,MATCH($C70,'Policy Characteristics'!$C:$C,0)))</f>
        <v>50000</v>
      </c>
      <c r="N70" s="283">
        <f>IF(ISBLANK(INDEX('Policy Characteristics'!H:H,MATCH($C70,'Policy Characteristics'!$C:$C,0))),"",INDEX('Policy Characteristics'!H:H,MATCH($C70,'Policy Characteristics'!$C:$C,0)))</f>
        <v>100</v>
      </c>
      <c r="O70" s="275" t="str">
        <f>IF(ISBLANK(INDEX('Policy Characteristics'!I:I,MATCH($C70,'Policy Characteristics'!$C:$C,0))),"",INDEX('Policy Characteristics'!I:I,MATCH($C70,'Policy Characteristics'!$C:$C,0)))</f>
        <v>$ / vehicle</v>
      </c>
      <c r="P70" s="275" t="str">
        <f>IF(ISBLANK(INDEX('Policy Characteristics'!J:J,MATCH($C70,'Policy Characteristics'!$C:$C,0))),"",INDEX('Policy Characteristics'!J:J,MATCH($C70,'Policy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0" s="275" t="str">
        <f>IF(ISBLANK(INDEX('Policy Characteristics'!K:K,MATCH($C70,'Policy Characteristics'!$C:$C,0))),"",INDEX('Policy Characteristics'!K:K,MATCH($C70,'Policy Characteristics'!$C:$C,0)))</f>
        <v>transportation-sector-main.html#ev-subsidy</v>
      </c>
      <c r="R70" s="275" t="str">
        <f>IF(ISBLANK(INDEX('Policy Characteristics'!L:L,MATCH($C70,'Policy Characteristics'!$C:$C,0))),"",INDEX('Policy Characteristics'!L:L,MATCH($C70,'Policy Characteristics'!$C:$C,0)))</f>
        <v>ev-subsidy.html</v>
      </c>
    </row>
    <row r="71" spans="1:18" x14ac:dyDescent="0.25">
      <c r="A71" s="275" t="str">
        <f>IF(ISBLANK(INDEX('Policy Characteristics'!A:A,MATCH($C71,'Policy Characteristics'!$C:$C,0))),"",INDEX('Policy Characteristics'!A:A,MATCH($C71,'Policy Characteristics'!$C:$C,0)))</f>
        <v>Transportation</v>
      </c>
      <c r="B71" s="284" t="str">
        <f>IF(ISBLANK(INDEX('Policy Characteristics'!B:B,MATCH($C71,'Policy Characteristics'!$C:$C,0))),"",INDEX('Policy Characteristics'!B:B,MATCH($C71,'Policy Characteristics'!$C:$C,0)))</f>
        <v>Passenger Vehicle Subsidy</v>
      </c>
      <c r="C71" s="275" t="str">
        <f t="shared" si="3"/>
        <v>Additional Passenger Vehicle Subsidy</v>
      </c>
      <c r="D71" s="47" t="s">
        <v>38</v>
      </c>
      <c r="E71" s="2" t="s">
        <v>2247</v>
      </c>
      <c r="F71" s="2" t="s">
        <v>2346</v>
      </c>
      <c r="G71" s="2" t="s">
        <v>3477</v>
      </c>
      <c r="H71" s="44">
        <v>599</v>
      </c>
      <c r="I71" s="347" t="s">
        <v>44</v>
      </c>
      <c r="J71" s="276" t="str">
        <f>IF(ISBLANK(INDEX('Policy Characteristics'!D:D,MATCH($C71,'Policy Characteristics'!$C:$C,0))),"",INDEX('Policy Characteristics'!D:D,MATCH($C71,'Policy Characteristics'!$C:$C,0)))</f>
        <v>Vehicle Subsidy</v>
      </c>
      <c r="K71" s="275" t="str">
        <f>IF(ISBLANK(INDEX('Policy Characteristics'!E:E,MATCH($C71,'Policy Characteristics'!$C:$C,0))),"",INDEX('Policy Characteristics'!E:E,MATCH($C71,'Policy Characteristics'!$C:$C,0)))</f>
        <v>trans psgr subsidy</v>
      </c>
      <c r="L71" s="283">
        <f>IF(ISBLANK(INDEX('Policy Characteristics'!F:F,MATCH($C71,'Policy Characteristics'!$C:$C,0))),"",INDEX('Policy Characteristics'!F:F,MATCH($C71,'Policy Characteristics'!$C:$C,0)))</f>
        <v>0</v>
      </c>
      <c r="M71" s="283">
        <f>IF(ISBLANK(INDEX('Policy Characteristics'!G:G,MATCH($C71,'Policy Characteristics'!$C:$C,0))),"",INDEX('Policy Characteristics'!G:G,MATCH($C71,'Policy Characteristics'!$C:$C,0)))</f>
        <v>50000</v>
      </c>
      <c r="N71" s="283">
        <f>IF(ISBLANK(INDEX('Policy Characteristics'!H:H,MATCH($C71,'Policy Characteristics'!$C:$C,0))),"",INDEX('Policy Characteristics'!H:H,MATCH($C71,'Policy Characteristics'!$C:$C,0)))</f>
        <v>100</v>
      </c>
      <c r="O71" s="275" t="str">
        <f>IF(ISBLANK(INDEX('Policy Characteristics'!I:I,MATCH($C71,'Policy Characteristics'!$C:$C,0))),"",INDEX('Policy Characteristics'!I:I,MATCH($C71,'Policy Characteristics'!$C:$C,0)))</f>
        <v>$ / vehicle</v>
      </c>
      <c r="P71" s="275" t="str">
        <f>IF(ISBLANK(INDEX('Policy Characteristics'!J:J,MATCH($C71,'Policy Characteristics'!$C:$C,0))),"",INDEX('Policy Characteristics'!J:J,MATCH($C71,'Policy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1" s="275" t="str">
        <f>IF(ISBLANK(INDEX('Policy Characteristics'!K:K,MATCH($C71,'Policy Characteristics'!$C:$C,0))),"",INDEX('Policy Characteristics'!K:K,MATCH($C71,'Policy Characteristics'!$C:$C,0)))</f>
        <v>transportation-sector-main.html#ev-subsidy</v>
      </c>
      <c r="R71" s="275" t="str">
        <f>IF(ISBLANK(INDEX('Policy Characteristics'!L:L,MATCH($C71,'Policy Characteristics'!$C:$C,0))),"",INDEX('Policy Characteristics'!L:L,MATCH($C71,'Policy Characteristics'!$C:$C,0)))</f>
        <v>ev-subsidy.html</v>
      </c>
    </row>
    <row r="72" spans="1:18" x14ac:dyDescent="0.25">
      <c r="A72" s="275" t="str">
        <f>IF(ISBLANK(INDEX('Policy Characteristics'!A:A,MATCH($C72,'Policy Characteristics'!$C:$C,0))),"",INDEX('Policy Characteristics'!A:A,MATCH($C72,'Policy Characteristics'!$C:$C,0)))</f>
        <v>Transportation</v>
      </c>
      <c r="B72" s="284" t="str">
        <f>IF(ISBLANK(INDEX('Policy Characteristics'!B:B,MATCH($C72,'Policy Characteristics'!$C:$C,0))),"",INDEX('Policy Characteristics'!B:B,MATCH($C72,'Policy Characteristics'!$C:$C,0)))</f>
        <v>Passenger Vehicle Subsidy</v>
      </c>
      <c r="C72" s="275" t="str">
        <f t="shared" si="3"/>
        <v>Additional Passenger Vehicle Subsidy</v>
      </c>
      <c r="D72" s="47" t="s">
        <v>38</v>
      </c>
      <c r="E72" s="2" t="s">
        <v>2248</v>
      </c>
      <c r="F72" s="2" t="s">
        <v>2346</v>
      </c>
      <c r="G72" s="2" t="s">
        <v>3478</v>
      </c>
      <c r="H72" s="44">
        <v>600</v>
      </c>
      <c r="I72" s="347" t="s">
        <v>44</v>
      </c>
      <c r="J72" s="276" t="str">
        <f>IF(ISBLANK(INDEX('Policy Characteristics'!D:D,MATCH($C72,'Policy Characteristics'!$C:$C,0))),"",INDEX('Policy Characteristics'!D:D,MATCH($C72,'Policy Characteristics'!$C:$C,0)))</f>
        <v>Vehicle Subsidy</v>
      </c>
      <c r="K72" s="275" t="str">
        <f>IF(ISBLANK(INDEX('Policy Characteristics'!E:E,MATCH($C72,'Policy Characteristics'!$C:$C,0))),"",INDEX('Policy Characteristics'!E:E,MATCH($C72,'Policy Characteristics'!$C:$C,0)))</f>
        <v>trans psgr subsidy</v>
      </c>
      <c r="L72" s="283">
        <f>IF(ISBLANK(INDEX('Policy Characteristics'!F:F,MATCH($C72,'Policy Characteristics'!$C:$C,0))),"",INDEX('Policy Characteristics'!F:F,MATCH($C72,'Policy Characteristics'!$C:$C,0)))</f>
        <v>0</v>
      </c>
      <c r="M72" s="283">
        <f>IF(ISBLANK(INDEX('Policy Characteristics'!G:G,MATCH($C72,'Policy Characteristics'!$C:$C,0))),"",INDEX('Policy Characteristics'!G:G,MATCH($C72,'Policy Characteristics'!$C:$C,0)))</f>
        <v>50000</v>
      </c>
      <c r="N72" s="283">
        <f>IF(ISBLANK(INDEX('Policy Characteristics'!H:H,MATCH($C72,'Policy Characteristics'!$C:$C,0))),"",INDEX('Policy Characteristics'!H:H,MATCH($C72,'Policy Characteristics'!$C:$C,0)))</f>
        <v>100</v>
      </c>
      <c r="O72" s="275" t="str">
        <f>IF(ISBLANK(INDEX('Policy Characteristics'!I:I,MATCH($C72,'Policy Characteristics'!$C:$C,0))),"",INDEX('Policy Characteristics'!I:I,MATCH($C72,'Policy Characteristics'!$C:$C,0)))</f>
        <v>$ / vehicle</v>
      </c>
      <c r="P72" s="275" t="str">
        <f>IF(ISBLANK(INDEX('Policy Characteristics'!J:J,MATCH($C72,'Policy Characteristics'!$C:$C,0))),"",INDEX('Policy Characteristics'!J:J,MATCH($C72,'Policy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2" s="275" t="str">
        <f>IF(ISBLANK(INDEX('Policy Characteristics'!K:K,MATCH($C72,'Policy Characteristics'!$C:$C,0))),"",INDEX('Policy Characteristics'!K:K,MATCH($C72,'Policy Characteristics'!$C:$C,0)))</f>
        <v>transportation-sector-main.html#ev-subsidy</v>
      </c>
      <c r="R72" s="275" t="str">
        <f>IF(ISBLANK(INDEX('Policy Characteristics'!L:L,MATCH($C72,'Policy Characteristics'!$C:$C,0))),"",INDEX('Policy Characteristics'!L:L,MATCH($C72,'Policy Characteristics'!$C:$C,0)))</f>
        <v>ev-subsidy.html</v>
      </c>
    </row>
    <row r="73" spans="1:18" x14ac:dyDescent="0.25">
      <c r="A73" s="275" t="str">
        <f>IF(ISBLANK(INDEX('Policy Characteristics'!A:A,MATCH($C73,'Policy Characteristics'!$C:$C,0))),"",INDEX('Policy Characteristics'!A:A,MATCH($C73,'Policy Characteristics'!$C:$C,0)))</f>
        <v>Transportation</v>
      </c>
      <c r="B73" s="284" t="str">
        <f>IF(ISBLANK(INDEX('Policy Characteristics'!B:B,MATCH($C73,'Policy Characteristics'!$C:$C,0))),"",INDEX('Policy Characteristics'!B:B,MATCH($C73,'Policy Characteristics'!$C:$C,0)))</f>
        <v>Passenger Vehicle Subsidy</v>
      </c>
      <c r="C73" s="275" t="str">
        <f t="shared" si="3"/>
        <v>Additional Passenger Vehicle Subsidy</v>
      </c>
      <c r="D73" s="47" t="s">
        <v>38</v>
      </c>
      <c r="E73" s="2" t="s">
        <v>2249</v>
      </c>
      <c r="F73" s="2" t="s">
        <v>2346</v>
      </c>
      <c r="G73" s="2" t="s">
        <v>3479</v>
      </c>
      <c r="H73" s="44">
        <v>601</v>
      </c>
      <c r="I73" s="347" t="s">
        <v>44</v>
      </c>
      <c r="J73" s="276" t="str">
        <f>IF(ISBLANK(INDEX('Policy Characteristics'!D:D,MATCH($C73,'Policy Characteristics'!$C:$C,0))),"",INDEX('Policy Characteristics'!D:D,MATCH($C73,'Policy Characteristics'!$C:$C,0)))</f>
        <v>Vehicle Subsidy</v>
      </c>
      <c r="K73" s="275" t="str">
        <f>IF(ISBLANK(INDEX('Policy Characteristics'!E:E,MATCH($C73,'Policy Characteristics'!$C:$C,0))),"",INDEX('Policy Characteristics'!E:E,MATCH($C73,'Policy Characteristics'!$C:$C,0)))</f>
        <v>trans psgr subsidy</v>
      </c>
      <c r="L73" s="283">
        <f>IF(ISBLANK(INDEX('Policy Characteristics'!F:F,MATCH($C73,'Policy Characteristics'!$C:$C,0))),"",INDEX('Policy Characteristics'!F:F,MATCH($C73,'Policy Characteristics'!$C:$C,0)))</f>
        <v>0</v>
      </c>
      <c r="M73" s="283">
        <f>IF(ISBLANK(INDEX('Policy Characteristics'!G:G,MATCH($C73,'Policy Characteristics'!$C:$C,0))),"",INDEX('Policy Characteristics'!G:G,MATCH($C73,'Policy Characteristics'!$C:$C,0)))</f>
        <v>50000</v>
      </c>
      <c r="N73" s="283">
        <f>IF(ISBLANK(INDEX('Policy Characteristics'!H:H,MATCH($C73,'Policy Characteristics'!$C:$C,0))),"",INDEX('Policy Characteristics'!H:H,MATCH($C73,'Policy Characteristics'!$C:$C,0)))</f>
        <v>100</v>
      </c>
      <c r="O73" s="275" t="str">
        <f>IF(ISBLANK(INDEX('Policy Characteristics'!I:I,MATCH($C73,'Policy Characteristics'!$C:$C,0))),"",INDEX('Policy Characteristics'!I:I,MATCH($C73,'Policy Characteristics'!$C:$C,0)))</f>
        <v>$ / vehicle</v>
      </c>
      <c r="P73" s="275" t="str">
        <f>IF(ISBLANK(INDEX('Policy Characteristics'!J:J,MATCH($C73,'Policy Characteristics'!$C:$C,0))),"",INDEX('Policy Characteristics'!J:J,MATCH($C73,'Policy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3" s="275" t="str">
        <f>IF(ISBLANK(INDEX('Policy Characteristics'!K:K,MATCH($C73,'Policy Characteristics'!$C:$C,0))),"",INDEX('Policy Characteristics'!K:K,MATCH($C73,'Policy Characteristics'!$C:$C,0)))</f>
        <v>transportation-sector-main.html#ev-subsidy</v>
      </c>
      <c r="R73" s="275" t="str">
        <f>IF(ISBLANK(INDEX('Policy Characteristics'!L:L,MATCH($C73,'Policy Characteristics'!$C:$C,0))),"",INDEX('Policy Characteristics'!L:L,MATCH($C73,'Policy Characteristics'!$C:$C,0)))</f>
        <v>ev-subsidy.html</v>
      </c>
    </row>
    <row r="74" spans="1:18" x14ac:dyDescent="0.25">
      <c r="A74" s="275" t="str">
        <f>IF(ISBLANK(INDEX('Policy Characteristics'!A:A,MATCH($C74,'Policy Characteristics'!$C:$C,0))),"",INDEX('Policy Characteristics'!A:A,MATCH($C74,'Policy Characteristics'!$C:$C,0)))</f>
        <v>Transportation</v>
      </c>
      <c r="B74" s="284" t="str">
        <f>IF(ISBLANK(INDEX('Policy Characteristics'!B:B,MATCH($C74,'Policy Characteristics'!$C:$C,0))),"",INDEX('Policy Characteristics'!B:B,MATCH($C74,'Policy Characteristics'!$C:$C,0)))</f>
        <v>Passenger Vehicle Subsidy</v>
      </c>
      <c r="C74" s="275" t="str">
        <f t="shared" si="3"/>
        <v>Additional Passenger Vehicle Subsidy</v>
      </c>
      <c r="D74" s="47" t="s">
        <v>38</v>
      </c>
      <c r="E74" s="2" t="s">
        <v>2250</v>
      </c>
      <c r="F74" s="2" t="s">
        <v>2346</v>
      </c>
      <c r="G74" s="2" t="s">
        <v>3480</v>
      </c>
      <c r="H74" s="44">
        <v>602</v>
      </c>
      <c r="I74" s="346" t="s">
        <v>43</v>
      </c>
      <c r="J74" s="276" t="str">
        <f>IF(ISBLANK(INDEX('Policy Characteristics'!D:D,MATCH($C74,'Policy Characteristics'!$C:$C,0))),"",INDEX('Policy Characteristics'!D:D,MATCH($C74,'Policy Characteristics'!$C:$C,0)))</f>
        <v>Vehicle Subsidy</v>
      </c>
      <c r="K74" s="275" t="str">
        <f>IF(ISBLANK(INDEX('Policy Characteristics'!E:E,MATCH($C74,'Policy Characteristics'!$C:$C,0))),"",INDEX('Policy Characteristics'!E:E,MATCH($C74,'Policy Characteristics'!$C:$C,0)))</f>
        <v>trans psgr subsidy</v>
      </c>
      <c r="L74" s="283">
        <f>IF(ISBLANK(INDEX('Policy Characteristics'!F:F,MATCH($C74,'Policy Characteristics'!$C:$C,0))),"",INDEX('Policy Characteristics'!F:F,MATCH($C74,'Policy Characteristics'!$C:$C,0)))</f>
        <v>0</v>
      </c>
      <c r="M74" s="283">
        <f>IF(ISBLANK(INDEX('Policy Characteristics'!G:G,MATCH($C74,'Policy Characteristics'!$C:$C,0))),"",INDEX('Policy Characteristics'!G:G,MATCH($C74,'Policy Characteristics'!$C:$C,0)))</f>
        <v>50000</v>
      </c>
      <c r="N74" s="283">
        <f>IF(ISBLANK(INDEX('Policy Characteristics'!H:H,MATCH($C74,'Policy Characteristics'!$C:$C,0))),"",INDEX('Policy Characteristics'!H:H,MATCH($C74,'Policy Characteristics'!$C:$C,0)))</f>
        <v>100</v>
      </c>
      <c r="O74" s="275" t="str">
        <f>IF(ISBLANK(INDEX('Policy Characteristics'!I:I,MATCH($C74,'Policy Characteristics'!$C:$C,0))),"",INDEX('Policy Characteristics'!I:I,MATCH($C74,'Policy Characteristics'!$C:$C,0)))</f>
        <v>$ / vehicle</v>
      </c>
      <c r="P74" s="275" t="str">
        <f>IF(ISBLANK(INDEX('Policy Characteristics'!J:J,MATCH($C74,'Policy Characteristics'!$C:$C,0))),"",INDEX('Policy Characteristics'!J:J,MATCH($C74,'Policy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4" s="275" t="str">
        <f>IF(ISBLANK(INDEX('Policy Characteristics'!K:K,MATCH($C74,'Policy Characteristics'!$C:$C,0))),"",INDEX('Policy Characteristics'!K:K,MATCH($C74,'Policy Characteristics'!$C:$C,0)))</f>
        <v>transportation-sector-main.html#ev-subsidy</v>
      </c>
      <c r="R74" s="275" t="str">
        <f>IF(ISBLANK(INDEX('Policy Characteristics'!L:L,MATCH($C74,'Policy Characteristics'!$C:$C,0))),"",INDEX('Policy Characteristics'!L:L,MATCH($C74,'Policy Characteristics'!$C:$C,0)))</f>
        <v>ev-subsidy.html</v>
      </c>
    </row>
    <row r="75" spans="1:18" x14ac:dyDescent="0.25">
      <c r="A75" s="275" t="str">
        <f>IF(ISBLANK(INDEX('Policy Characteristics'!A:A,MATCH($C75,'Policy Characteristics'!$C:$C,0))),"",INDEX('Policy Characteristics'!A:A,MATCH($C75,'Policy Characteristics'!$C:$C,0)))</f>
        <v>Transportation</v>
      </c>
      <c r="B75" s="284" t="str">
        <f>IF(ISBLANK(INDEX('Policy Characteristics'!B:B,MATCH($C75,'Policy Characteristics'!$C:$C,0))),"",INDEX('Policy Characteristics'!B:B,MATCH($C75,'Policy Characteristics'!$C:$C,0)))</f>
        <v>Passenger Vehicle Subsidy</v>
      </c>
      <c r="C75" s="275" t="str">
        <f t="shared" si="3"/>
        <v>Additional Passenger Vehicle Subsidy</v>
      </c>
      <c r="D75" s="47" t="s">
        <v>38</v>
      </c>
      <c r="E75" s="2" t="s">
        <v>2512</v>
      </c>
      <c r="F75" s="2" t="s">
        <v>2346</v>
      </c>
      <c r="G75" s="2" t="s">
        <v>2512</v>
      </c>
      <c r="H75" s="44">
        <v>1656</v>
      </c>
      <c r="I75" s="347" t="s">
        <v>44</v>
      </c>
      <c r="J75" s="276" t="str">
        <f>IF(ISBLANK(INDEX('Policy Characteristics'!D:D,MATCH($C75,'Policy Characteristics'!$C:$C,0))),"",INDEX('Policy Characteristics'!D:D,MATCH($C75,'Policy Characteristics'!$C:$C,0)))</f>
        <v>Vehicle Subsidy</v>
      </c>
      <c r="K75" s="275" t="str">
        <f>IF(ISBLANK(INDEX('Policy Characteristics'!E:E,MATCH($C75,'Policy Characteristics'!$C:$C,0))),"",INDEX('Policy Characteristics'!E:E,MATCH($C75,'Policy Characteristics'!$C:$C,0)))</f>
        <v>trans psgr subsidy</v>
      </c>
      <c r="L75" s="283">
        <f>IF(ISBLANK(INDEX('Policy Characteristics'!F:F,MATCH($C75,'Policy Characteristics'!$C:$C,0))),"",INDEX('Policy Characteristics'!F:F,MATCH($C75,'Policy Characteristics'!$C:$C,0)))</f>
        <v>0</v>
      </c>
      <c r="M75" s="283">
        <f>IF(ISBLANK(INDEX('Policy Characteristics'!G:G,MATCH($C75,'Policy Characteristics'!$C:$C,0))),"",INDEX('Policy Characteristics'!G:G,MATCH($C75,'Policy Characteristics'!$C:$C,0)))</f>
        <v>50000</v>
      </c>
      <c r="N75" s="283">
        <f>IF(ISBLANK(INDEX('Policy Characteristics'!H:H,MATCH($C75,'Policy Characteristics'!$C:$C,0))),"",INDEX('Policy Characteristics'!H:H,MATCH($C75,'Policy Characteristics'!$C:$C,0)))</f>
        <v>100</v>
      </c>
      <c r="O75" s="275" t="str">
        <f>IF(ISBLANK(INDEX('Policy Characteristics'!I:I,MATCH($C75,'Policy Characteristics'!$C:$C,0))),"",INDEX('Policy Characteristics'!I:I,MATCH($C75,'Policy Characteristics'!$C:$C,0)))</f>
        <v>$ / vehicle</v>
      </c>
      <c r="P75" s="275" t="str">
        <f>IF(ISBLANK(INDEX('Policy Characteristics'!J:J,MATCH($C75,'Policy Characteristics'!$C:$C,0))),"",INDEX('Policy Characteristics'!J:J,MATCH($C75,'Policy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5" s="275" t="str">
        <f>IF(ISBLANK(INDEX('Policy Characteristics'!K:K,MATCH($C75,'Policy Characteristics'!$C:$C,0))),"",INDEX('Policy Characteristics'!K:K,MATCH($C75,'Policy Characteristics'!$C:$C,0)))</f>
        <v>transportation-sector-main.html#ev-subsidy</v>
      </c>
      <c r="R75" s="275" t="str">
        <f>IF(ISBLANK(INDEX('Policy Characteristics'!L:L,MATCH($C75,'Policy Characteristics'!$C:$C,0))),"",INDEX('Policy Characteristics'!L:L,MATCH($C75,'Policy Characteristics'!$C:$C,0)))</f>
        <v>ev-subsidy.html</v>
      </c>
    </row>
    <row r="76" spans="1:18" x14ac:dyDescent="0.25">
      <c r="A76" s="275" t="str">
        <f>IF(ISBLANK(INDEX('Policy Characteristics'!A:A,MATCH($C76,'Policy Characteristics'!$C:$C,0))),"",INDEX('Policy Characteristics'!A:A,MATCH($C76,'Policy Characteristics'!$C:$C,0)))</f>
        <v>Transportation</v>
      </c>
      <c r="B76" s="284" t="str">
        <f>IF(ISBLANK(INDEX('Policy Characteristics'!B:B,MATCH($C76,'Policy Characteristics'!$C:$C,0))),"",INDEX('Policy Characteristics'!B:B,MATCH($C76,'Policy Characteristics'!$C:$C,0)))</f>
        <v>Passenger Vehicle Subsidy</v>
      </c>
      <c r="C76" s="275" t="str">
        <f t="shared" si="3"/>
        <v>Additional Passenger Vehicle Subsidy</v>
      </c>
      <c r="D76" s="47" t="s">
        <v>38</v>
      </c>
      <c r="E76" s="2" t="s">
        <v>2511</v>
      </c>
      <c r="F76" s="2" t="s">
        <v>2346</v>
      </c>
      <c r="G76" s="2" t="s">
        <v>3481</v>
      </c>
      <c r="H76" s="44">
        <v>1657</v>
      </c>
      <c r="I76" s="346" t="s">
        <v>43</v>
      </c>
      <c r="J76" s="276" t="str">
        <f>IF(ISBLANK(INDEX('Policy Characteristics'!D:D,MATCH($C76,'Policy Characteristics'!$C:$C,0))),"",INDEX('Policy Characteristics'!D:D,MATCH($C76,'Policy Characteristics'!$C:$C,0)))</f>
        <v>Vehicle Subsidy</v>
      </c>
      <c r="K76" s="275" t="str">
        <f>IF(ISBLANK(INDEX('Policy Characteristics'!E:E,MATCH($C76,'Policy Characteristics'!$C:$C,0))),"",INDEX('Policy Characteristics'!E:E,MATCH($C76,'Policy Characteristics'!$C:$C,0)))</f>
        <v>trans psgr subsidy</v>
      </c>
      <c r="L76" s="283">
        <f>IF(ISBLANK(INDEX('Policy Characteristics'!F:F,MATCH($C76,'Policy Characteristics'!$C:$C,0))),"",INDEX('Policy Characteristics'!F:F,MATCH($C76,'Policy Characteristics'!$C:$C,0)))</f>
        <v>0</v>
      </c>
      <c r="M76" s="283">
        <f>IF(ISBLANK(INDEX('Policy Characteristics'!G:G,MATCH($C76,'Policy Characteristics'!$C:$C,0))),"",INDEX('Policy Characteristics'!G:G,MATCH($C76,'Policy Characteristics'!$C:$C,0)))</f>
        <v>50000</v>
      </c>
      <c r="N76" s="283">
        <f>IF(ISBLANK(INDEX('Policy Characteristics'!H:H,MATCH($C76,'Policy Characteristics'!$C:$C,0))),"",INDEX('Policy Characteristics'!H:H,MATCH($C76,'Policy Characteristics'!$C:$C,0)))</f>
        <v>100</v>
      </c>
      <c r="O76" s="275" t="str">
        <f>IF(ISBLANK(INDEX('Policy Characteristics'!I:I,MATCH($C76,'Policy Characteristics'!$C:$C,0))),"",INDEX('Policy Characteristics'!I:I,MATCH($C76,'Policy Characteristics'!$C:$C,0)))</f>
        <v>$ / vehicle</v>
      </c>
      <c r="P76" s="275" t="str">
        <f>IF(ISBLANK(INDEX('Policy Characteristics'!J:J,MATCH($C76,'Policy Characteristics'!$C:$C,0))),"",INDEX('Policy Characteristics'!J:J,MATCH($C76,'Policy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6" s="275" t="str">
        <f>IF(ISBLANK(INDEX('Policy Characteristics'!K:K,MATCH($C76,'Policy Characteristics'!$C:$C,0))),"",INDEX('Policy Characteristics'!K:K,MATCH($C76,'Policy Characteristics'!$C:$C,0)))</f>
        <v>transportation-sector-main.html#ev-subsidy</v>
      </c>
      <c r="R76" s="275" t="str">
        <f>IF(ISBLANK(INDEX('Policy Characteristics'!L:L,MATCH($C76,'Policy Characteristics'!$C:$C,0))),"",INDEX('Policy Characteristics'!L:L,MATCH($C76,'Policy Characteristics'!$C:$C,0)))</f>
        <v>ev-subsidy.html</v>
      </c>
    </row>
    <row r="77" spans="1:18" x14ac:dyDescent="0.25">
      <c r="A77" s="275" t="str">
        <f>IF(ISBLANK(INDEX('Policy Characteristics'!A:A,MATCH($C77,'Policy Characteristics'!$C:$C,0))),"",INDEX('Policy Characteristics'!A:A,MATCH($C77,'Policy Characteristics'!$C:$C,0)))</f>
        <v>Transportation</v>
      </c>
      <c r="B77" s="284" t="str">
        <f>IF(ISBLANK(INDEX('Policy Characteristics'!B:B,MATCH($C77,'Policy Characteristics'!$C:$C,0))),"",INDEX('Policy Characteristics'!B:B,MATCH($C77,'Policy Characteristics'!$C:$C,0)))</f>
        <v>Passenger Vehicle Subsidy</v>
      </c>
      <c r="C77" s="275" t="str">
        <f t="shared" si="3"/>
        <v>Additional Passenger Vehicle Subsidy</v>
      </c>
      <c r="D77" s="2" t="s">
        <v>39</v>
      </c>
      <c r="E77" s="47" t="s">
        <v>2246</v>
      </c>
      <c r="F77" s="2" t="s">
        <v>3311</v>
      </c>
      <c r="G77" s="47" t="s">
        <v>3476</v>
      </c>
      <c r="H77" s="44">
        <v>1658</v>
      </c>
      <c r="I77" s="347" t="s">
        <v>44</v>
      </c>
      <c r="J77" s="276" t="str">
        <f>IF(ISBLANK(INDEX('Policy Characteristics'!D:D,MATCH($C77,'Policy Characteristics'!$C:$C,0))),"",INDEX('Policy Characteristics'!D:D,MATCH($C77,'Policy Characteristics'!$C:$C,0)))</f>
        <v>Vehicle Subsidy</v>
      </c>
      <c r="K77" s="275" t="str">
        <f>IF(ISBLANK(INDEX('Policy Characteristics'!E:E,MATCH($C77,'Policy Characteristics'!$C:$C,0))),"",INDEX('Policy Characteristics'!E:E,MATCH($C77,'Policy Characteristics'!$C:$C,0)))</f>
        <v>trans psgr subsidy</v>
      </c>
      <c r="L77" s="283">
        <f>IF(ISBLANK(INDEX('Policy Characteristics'!F:F,MATCH($C77,'Policy Characteristics'!$C:$C,0))),"",INDEX('Policy Characteristics'!F:F,MATCH($C77,'Policy Characteristics'!$C:$C,0)))</f>
        <v>0</v>
      </c>
      <c r="M77" s="283">
        <f>IF(ISBLANK(INDEX('Policy Characteristics'!G:G,MATCH($C77,'Policy Characteristics'!$C:$C,0))),"",INDEX('Policy Characteristics'!G:G,MATCH($C77,'Policy Characteristics'!$C:$C,0)))</f>
        <v>50000</v>
      </c>
      <c r="N77" s="283">
        <f>IF(ISBLANK(INDEX('Policy Characteristics'!H:H,MATCH($C77,'Policy Characteristics'!$C:$C,0))),"",INDEX('Policy Characteristics'!H:H,MATCH($C77,'Policy Characteristics'!$C:$C,0)))</f>
        <v>100</v>
      </c>
      <c r="O77" s="275" t="str">
        <f>IF(ISBLANK(INDEX('Policy Characteristics'!I:I,MATCH($C77,'Policy Characteristics'!$C:$C,0))),"",INDEX('Policy Characteristics'!I:I,MATCH($C77,'Policy Characteristics'!$C:$C,0)))</f>
        <v>$ / vehicle</v>
      </c>
      <c r="P77" s="275" t="str">
        <f>IF(ISBLANK(INDEX('Policy Characteristics'!J:J,MATCH($C77,'Policy Characteristics'!$C:$C,0))),"",INDEX('Policy Characteristics'!J:J,MATCH($C77,'Policy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7" s="275" t="str">
        <f>IF(ISBLANK(INDEX('Policy Characteristics'!K:K,MATCH($C77,'Policy Characteristics'!$C:$C,0))),"",INDEX('Policy Characteristics'!K:K,MATCH($C77,'Policy Characteristics'!$C:$C,0)))</f>
        <v>transportation-sector-main.html#ev-subsidy</v>
      </c>
      <c r="R77" s="275" t="str">
        <f>IF(ISBLANK(INDEX('Policy Characteristics'!L:L,MATCH($C77,'Policy Characteristics'!$C:$C,0))),"",INDEX('Policy Characteristics'!L:L,MATCH($C77,'Policy Characteristics'!$C:$C,0)))</f>
        <v>ev-subsidy.html</v>
      </c>
    </row>
    <row r="78" spans="1:18" x14ac:dyDescent="0.25">
      <c r="A78" s="275" t="str">
        <f>IF(ISBLANK(INDEX('Policy Characteristics'!A:A,MATCH($C78,'Policy Characteristics'!$C:$C,0))),"",INDEX('Policy Characteristics'!A:A,MATCH($C78,'Policy Characteristics'!$C:$C,0)))</f>
        <v>Transportation</v>
      </c>
      <c r="B78" s="284" t="str">
        <f>IF(ISBLANK(INDEX('Policy Characteristics'!B:B,MATCH($C78,'Policy Characteristics'!$C:$C,0))),"",INDEX('Policy Characteristics'!B:B,MATCH($C78,'Policy Characteristics'!$C:$C,0)))</f>
        <v>Passenger Vehicle Subsidy</v>
      </c>
      <c r="C78" s="275" t="str">
        <f t="shared" si="3"/>
        <v>Additional Passenger Vehicle Subsidy</v>
      </c>
      <c r="D78" s="2" t="s">
        <v>39</v>
      </c>
      <c r="E78" s="2" t="s">
        <v>2247</v>
      </c>
      <c r="F78" s="2" t="s">
        <v>3311</v>
      </c>
      <c r="G78" s="2" t="s">
        <v>3477</v>
      </c>
      <c r="H78" s="44">
        <v>1659</v>
      </c>
      <c r="I78" s="347" t="s">
        <v>44</v>
      </c>
      <c r="J78" s="276" t="str">
        <f>IF(ISBLANK(INDEX('Policy Characteristics'!D:D,MATCH($C78,'Policy Characteristics'!$C:$C,0))),"",INDEX('Policy Characteristics'!D:D,MATCH($C78,'Policy Characteristics'!$C:$C,0)))</f>
        <v>Vehicle Subsidy</v>
      </c>
      <c r="K78" s="275" t="str">
        <f>IF(ISBLANK(INDEX('Policy Characteristics'!E:E,MATCH($C78,'Policy Characteristics'!$C:$C,0))),"",INDEX('Policy Characteristics'!E:E,MATCH($C78,'Policy Characteristics'!$C:$C,0)))</f>
        <v>trans psgr subsidy</v>
      </c>
      <c r="L78" s="283">
        <f>IF(ISBLANK(INDEX('Policy Characteristics'!F:F,MATCH($C78,'Policy Characteristics'!$C:$C,0))),"",INDEX('Policy Characteristics'!F:F,MATCH($C78,'Policy Characteristics'!$C:$C,0)))</f>
        <v>0</v>
      </c>
      <c r="M78" s="283">
        <f>IF(ISBLANK(INDEX('Policy Characteristics'!G:G,MATCH($C78,'Policy Characteristics'!$C:$C,0))),"",INDEX('Policy Characteristics'!G:G,MATCH($C78,'Policy Characteristics'!$C:$C,0)))</f>
        <v>50000</v>
      </c>
      <c r="N78" s="283">
        <f>IF(ISBLANK(INDEX('Policy Characteristics'!H:H,MATCH($C78,'Policy Characteristics'!$C:$C,0))),"",INDEX('Policy Characteristics'!H:H,MATCH($C78,'Policy Characteristics'!$C:$C,0)))</f>
        <v>100</v>
      </c>
      <c r="O78" s="275" t="str">
        <f>IF(ISBLANK(INDEX('Policy Characteristics'!I:I,MATCH($C78,'Policy Characteristics'!$C:$C,0))),"",INDEX('Policy Characteristics'!I:I,MATCH($C78,'Policy Characteristics'!$C:$C,0)))</f>
        <v>$ / vehicle</v>
      </c>
      <c r="P78" s="275" t="str">
        <f>IF(ISBLANK(INDEX('Policy Characteristics'!J:J,MATCH($C78,'Policy Characteristics'!$C:$C,0))),"",INDEX('Policy Characteristics'!J:J,MATCH($C78,'Policy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8" s="275" t="str">
        <f>IF(ISBLANK(INDEX('Policy Characteristics'!K:K,MATCH($C78,'Policy Characteristics'!$C:$C,0))),"",INDEX('Policy Characteristics'!K:K,MATCH($C78,'Policy Characteristics'!$C:$C,0)))</f>
        <v>transportation-sector-main.html#ev-subsidy</v>
      </c>
      <c r="R78" s="275" t="str">
        <f>IF(ISBLANK(INDEX('Policy Characteristics'!L:L,MATCH($C78,'Policy Characteristics'!$C:$C,0))),"",INDEX('Policy Characteristics'!L:L,MATCH($C78,'Policy Characteristics'!$C:$C,0)))</f>
        <v>ev-subsidy.html</v>
      </c>
    </row>
    <row r="79" spans="1:18" x14ac:dyDescent="0.25">
      <c r="A79" s="275" t="str">
        <f>IF(ISBLANK(INDEX('Policy Characteristics'!A:A,MATCH($C79,'Policy Characteristics'!$C:$C,0))),"",INDEX('Policy Characteristics'!A:A,MATCH($C79,'Policy Characteristics'!$C:$C,0)))</f>
        <v>Transportation</v>
      </c>
      <c r="B79" s="284" t="str">
        <f>IF(ISBLANK(INDEX('Policy Characteristics'!B:B,MATCH($C79,'Policy Characteristics'!$C:$C,0))),"",INDEX('Policy Characteristics'!B:B,MATCH($C79,'Policy Characteristics'!$C:$C,0)))</f>
        <v>Passenger Vehicle Subsidy</v>
      </c>
      <c r="C79" s="275" t="str">
        <f t="shared" si="3"/>
        <v>Additional Passenger Vehicle Subsidy</v>
      </c>
      <c r="D79" s="2" t="s">
        <v>39</v>
      </c>
      <c r="E79" s="2" t="s">
        <v>2248</v>
      </c>
      <c r="F79" s="2" t="s">
        <v>3311</v>
      </c>
      <c r="G79" s="2" t="s">
        <v>3478</v>
      </c>
      <c r="H79" s="44">
        <v>1660</v>
      </c>
      <c r="I79" s="347" t="s">
        <v>44</v>
      </c>
      <c r="J79" s="276" t="str">
        <f>IF(ISBLANK(INDEX('Policy Characteristics'!D:D,MATCH($C79,'Policy Characteristics'!$C:$C,0))),"",INDEX('Policy Characteristics'!D:D,MATCH($C79,'Policy Characteristics'!$C:$C,0)))</f>
        <v>Vehicle Subsidy</v>
      </c>
      <c r="K79" s="275" t="str">
        <f>IF(ISBLANK(INDEX('Policy Characteristics'!E:E,MATCH($C79,'Policy Characteristics'!$C:$C,0))),"",INDEX('Policy Characteristics'!E:E,MATCH($C79,'Policy Characteristics'!$C:$C,0)))</f>
        <v>trans psgr subsidy</v>
      </c>
      <c r="L79" s="283">
        <f>IF(ISBLANK(INDEX('Policy Characteristics'!F:F,MATCH($C79,'Policy Characteristics'!$C:$C,0))),"",INDEX('Policy Characteristics'!F:F,MATCH($C79,'Policy Characteristics'!$C:$C,0)))</f>
        <v>0</v>
      </c>
      <c r="M79" s="283">
        <f>IF(ISBLANK(INDEX('Policy Characteristics'!G:G,MATCH($C79,'Policy Characteristics'!$C:$C,0))),"",INDEX('Policy Characteristics'!G:G,MATCH($C79,'Policy Characteristics'!$C:$C,0)))</f>
        <v>50000</v>
      </c>
      <c r="N79" s="283">
        <f>IF(ISBLANK(INDEX('Policy Characteristics'!H:H,MATCH($C79,'Policy Characteristics'!$C:$C,0))),"",INDEX('Policy Characteristics'!H:H,MATCH($C79,'Policy Characteristics'!$C:$C,0)))</f>
        <v>100</v>
      </c>
      <c r="O79" s="275" t="str">
        <f>IF(ISBLANK(INDEX('Policy Characteristics'!I:I,MATCH($C79,'Policy Characteristics'!$C:$C,0))),"",INDEX('Policy Characteristics'!I:I,MATCH($C79,'Policy Characteristics'!$C:$C,0)))</f>
        <v>$ / vehicle</v>
      </c>
      <c r="P79" s="275" t="str">
        <f>IF(ISBLANK(INDEX('Policy Characteristics'!J:J,MATCH($C79,'Policy Characteristics'!$C:$C,0))),"",INDEX('Policy Characteristics'!J:J,MATCH($C79,'Policy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9" s="275" t="str">
        <f>IF(ISBLANK(INDEX('Policy Characteristics'!K:K,MATCH($C79,'Policy Characteristics'!$C:$C,0))),"",INDEX('Policy Characteristics'!K:K,MATCH($C79,'Policy Characteristics'!$C:$C,0)))</f>
        <v>transportation-sector-main.html#ev-subsidy</v>
      </c>
      <c r="R79" s="275" t="str">
        <f>IF(ISBLANK(INDEX('Policy Characteristics'!L:L,MATCH($C79,'Policy Characteristics'!$C:$C,0))),"",INDEX('Policy Characteristics'!L:L,MATCH($C79,'Policy Characteristics'!$C:$C,0)))</f>
        <v>ev-subsidy.html</v>
      </c>
    </row>
    <row r="80" spans="1:18" x14ac:dyDescent="0.25">
      <c r="A80" s="275" t="str">
        <f>IF(ISBLANK(INDEX('Policy Characteristics'!A:A,MATCH($C80,'Policy Characteristics'!$C:$C,0))),"",INDEX('Policy Characteristics'!A:A,MATCH($C80,'Policy Characteristics'!$C:$C,0)))</f>
        <v>Transportation</v>
      </c>
      <c r="B80" s="284" t="str">
        <f>IF(ISBLANK(INDEX('Policy Characteristics'!B:B,MATCH($C80,'Policy Characteristics'!$C:$C,0))),"",INDEX('Policy Characteristics'!B:B,MATCH($C80,'Policy Characteristics'!$C:$C,0)))</f>
        <v>Passenger Vehicle Subsidy</v>
      </c>
      <c r="C80" s="275" t="str">
        <f t="shared" si="3"/>
        <v>Additional Passenger Vehicle Subsidy</v>
      </c>
      <c r="D80" s="2" t="s">
        <v>39</v>
      </c>
      <c r="E80" s="2" t="s">
        <v>2249</v>
      </c>
      <c r="F80" s="2" t="s">
        <v>3311</v>
      </c>
      <c r="G80" s="2" t="s">
        <v>3479</v>
      </c>
      <c r="H80" s="44">
        <v>1661</v>
      </c>
      <c r="I80" s="347" t="s">
        <v>44</v>
      </c>
      <c r="J80" s="276" t="str">
        <f>IF(ISBLANK(INDEX('Policy Characteristics'!D:D,MATCH($C80,'Policy Characteristics'!$C:$C,0))),"",INDEX('Policy Characteristics'!D:D,MATCH($C80,'Policy Characteristics'!$C:$C,0)))</f>
        <v>Vehicle Subsidy</v>
      </c>
      <c r="K80" s="275" t="str">
        <f>IF(ISBLANK(INDEX('Policy Characteristics'!E:E,MATCH($C80,'Policy Characteristics'!$C:$C,0))),"",INDEX('Policy Characteristics'!E:E,MATCH($C80,'Policy Characteristics'!$C:$C,0)))</f>
        <v>trans psgr subsidy</v>
      </c>
      <c r="L80" s="283">
        <f>IF(ISBLANK(INDEX('Policy Characteristics'!F:F,MATCH($C80,'Policy Characteristics'!$C:$C,0))),"",INDEX('Policy Characteristics'!F:F,MATCH($C80,'Policy Characteristics'!$C:$C,0)))</f>
        <v>0</v>
      </c>
      <c r="M80" s="283">
        <f>IF(ISBLANK(INDEX('Policy Characteristics'!G:G,MATCH($C80,'Policy Characteristics'!$C:$C,0))),"",INDEX('Policy Characteristics'!G:G,MATCH($C80,'Policy Characteristics'!$C:$C,0)))</f>
        <v>50000</v>
      </c>
      <c r="N80" s="283">
        <f>IF(ISBLANK(INDEX('Policy Characteristics'!H:H,MATCH($C80,'Policy Characteristics'!$C:$C,0))),"",INDEX('Policy Characteristics'!H:H,MATCH($C80,'Policy Characteristics'!$C:$C,0)))</f>
        <v>100</v>
      </c>
      <c r="O80" s="275" t="str">
        <f>IF(ISBLANK(INDEX('Policy Characteristics'!I:I,MATCH($C80,'Policy Characteristics'!$C:$C,0))),"",INDEX('Policy Characteristics'!I:I,MATCH($C80,'Policy Characteristics'!$C:$C,0)))</f>
        <v>$ / vehicle</v>
      </c>
      <c r="P80" s="275" t="str">
        <f>IF(ISBLANK(INDEX('Policy Characteristics'!J:J,MATCH($C80,'Policy Characteristics'!$C:$C,0))),"",INDEX('Policy Characteristics'!J:J,MATCH($C80,'Policy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0" s="275" t="str">
        <f>IF(ISBLANK(INDEX('Policy Characteristics'!K:K,MATCH($C80,'Policy Characteristics'!$C:$C,0))),"",INDEX('Policy Characteristics'!K:K,MATCH($C80,'Policy Characteristics'!$C:$C,0)))</f>
        <v>transportation-sector-main.html#ev-subsidy</v>
      </c>
      <c r="R80" s="275" t="str">
        <f>IF(ISBLANK(INDEX('Policy Characteristics'!L:L,MATCH($C80,'Policy Characteristics'!$C:$C,0))),"",INDEX('Policy Characteristics'!L:L,MATCH($C80,'Policy Characteristics'!$C:$C,0)))</f>
        <v>ev-subsidy.html</v>
      </c>
    </row>
    <row r="81" spans="1:18" x14ac:dyDescent="0.25">
      <c r="A81" s="275" t="str">
        <f>IF(ISBLANK(INDEX('Policy Characteristics'!A:A,MATCH($C81,'Policy Characteristics'!$C:$C,0))),"",INDEX('Policy Characteristics'!A:A,MATCH($C81,'Policy Characteristics'!$C:$C,0)))</f>
        <v>Transportation</v>
      </c>
      <c r="B81" s="284" t="str">
        <f>IF(ISBLANK(INDEX('Policy Characteristics'!B:B,MATCH($C81,'Policy Characteristics'!$C:$C,0))),"",INDEX('Policy Characteristics'!B:B,MATCH($C81,'Policy Characteristics'!$C:$C,0)))</f>
        <v>Passenger Vehicle Subsidy</v>
      </c>
      <c r="C81" s="275" t="str">
        <f t="shared" si="3"/>
        <v>Additional Passenger Vehicle Subsidy</v>
      </c>
      <c r="D81" s="2" t="s">
        <v>39</v>
      </c>
      <c r="E81" s="2" t="s">
        <v>2250</v>
      </c>
      <c r="F81" s="2" t="s">
        <v>3311</v>
      </c>
      <c r="G81" s="2" t="s">
        <v>3480</v>
      </c>
      <c r="H81" s="44">
        <v>1662</v>
      </c>
      <c r="I81" s="347" t="s">
        <v>44</v>
      </c>
      <c r="J81" s="276" t="str">
        <f>IF(ISBLANK(INDEX('Policy Characteristics'!D:D,MATCH($C81,'Policy Characteristics'!$C:$C,0))),"",INDEX('Policy Characteristics'!D:D,MATCH($C81,'Policy Characteristics'!$C:$C,0)))</f>
        <v>Vehicle Subsidy</v>
      </c>
      <c r="K81" s="275" t="str">
        <f>IF(ISBLANK(INDEX('Policy Characteristics'!E:E,MATCH($C81,'Policy Characteristics'!$C:$C,0))),"",INDEX('Policy Characteristics'!E:E,MATCH($C81,'Policy Characteristics'!$C:$C,0)))</f>
        <v>trans psgr subsidy</v>
      </c>
      <c r="L81" s="283">
        <f>IF(ISBLANK(INDEX('Policy Characteristics'!F:F,MATCH($C81,'Policy Characteristics'!$C:$C,0))),"",INDEX('Policy Characteristics'!F:F,MATCH($C81,'Policy Characteristics'!$C:$C,0)))</f>
        <v>0</v>
      </c>
      <c r="M81" s="283">
        <f>IF(ISBLANK(INDEX('Policy Characteristics'!G:G,MATCH($C81,'Policy Characteristics'!$C:$C,0))),"",INDEX('Policy Characteristics'!G:G,MATCH($C81,'Policy Characteristics'!$C:$C,0)))</f>
        <v>50000</v>
      </c>
      <c r="N81" s="283">
        <f>IF(ISBLANK(INDEX('Policy Characteristics'!H:H,MATCH($C81,'Policy Characteristics'!$C:$C,0))),"",INDEX('Policy Characteristics'!H:H,MATCH($C81,'Policy Characteristics'!$C:$C,0)))</f>
        <v>100</v>
      </c>
      <c r="O81" s="275" t="str">
        <f>IF(ISBLANK(INDEX('Policy Characteristics'!I:I,MATCH($C81,'Policy Characteristics'!$C:$C,0))),"",INDEX('Policy Characteristics'!I:I,MATCH($C81,'Policy Characteristics'!$C:$C,0)))</f>
        <v>$ / vehicle</v>
      </c>
      <c r="P81" s="275" t="str">
        <f>IF(ISBLANK(INDEX('Policy Characteristics'!J:J,MATCH($C81,'Policy Characteristics'!$C:$C,0))),"",INDEX('Policy Characteristics'!J:J,MATCH($C81,'Policy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1" s="275" t="str">
        <f>IF(ISBLANK(INDEX('Policy Characteristics'!K:K,MATCH($C81,'Policy Characteristics'!$C:$C,0))),"",INDEX('Policy Characteristics'!K:K,MATCH($C81,'Policy Characteristics'!$C:$C,0)))</f>
        <v>transportation-sector-main.html#ev-subsidy</v>
      </c>
      <c r="R81" s="275" t="str">
        <f>IF(ISBLANK(INDEX('Policy Characteristics'!L:L,MATCH($C81,'Policy Characteristics'!$C:$C,0))),"",INDEX('Policy Characteristics'!L:L,MATCH($C81,'Policy Characteristics'!$C:$C,0)))</f>
        <v>ev-subsidy.html</v>
      </c>
    </row>
    <row r="82" spans="1:18" x14ac:dyDescent="0.25">
      <c r="A82" s="275" t="str">
        <f>IF(ISBLANK(INDEX('Policy Characteristics'!A:A,MATCH($C82,'Policy Characteristics'!$C:$C,0))),"",INDEX('Policy Characteristics'!A:A,MATCH($C82,'Policy Characteristics'!$C:$C,0)))</f>
        <v>Transportation</v>
      </c>
      <c r="B82" s="284" t="str">
        <f>IF(ISBLANK(INDEX('Policy Characteristics'!B:B,MATCH($C82,'Policy Characteristics'!$C:$C,0))),"",INDEX('Policy Characteristics'!B:B,MATCH($C82,'Policy Characteristics'!$C:$C,0)))</f>
        <v>Passenger Vehicle Subsidy</v>
      </c>
      <c r="C82" s="275" t="str">
        <f t="shared" si="3"/>
        <v>Additional Passenger Vehicle Subsidy</v>
      </c>
      <c r="D82" s="2" t="s">
        <v>39</v>
      </c>
      <c r="E82" s="2" t="s">
        <v>2512</v>
      </c>
      <c r="F82" s="2" t="s">
        <v>3311</v>
      </c>
      <c r="G82" s="2" t="s">
        <v>2512</v>
      </c>
      <c r="H82" s="44">
        <v>1663</v>
      </c>
      <c r="I82" s="347" t="s">
        <v>44</v>
      </c>
      <c r="J82" s="276" t="str">
        <f>IF(ISBLANK(INDEX('Policy Characteristics'!D:D,MATCH($C82,'Policy Characteristics'!$C:$C,0))),"",INDEX('Policy Characteristics'!D:D,MATCH($C82,'Policy Characteristics'!$C:$C,0)))</f>
        <v>Vehicle Subsidy</v>
      </c>
      <c r="K82" s="275" t="str">
        <f>IF(ISBLANK(INDEX('Policy Characteristics'!E:E,MATCH($C82,'Policy Characteristics'!$C:$C,0))),"",INDEX('Policy Characteristics'!E:E,MATCH($C82,'Policy Characteristics'!$C:$C,0)))</f>
        <v>trans psgr subsidy</v>
      </c>
      <c r="L82" s="283">
        <f>IF(ISBLANK(INDEX('Policy Characteristics'!F:F,MATCH($C82,'Policy Characteristics'!$C:$C,0))),"",INDEX('Policy Characteristics'!F:F,MATCH($C82,'Policy Characteristics'!$C:$C,0)))</f>
        <v>0</v>
      </c>
      <c r="M82" s="283">
        <f>IF(ISBLANK(INDEX('Policy Characteristics'!G:G,MATCH($C82,'Policy Characteristics'!$C:$C,0))),"",INDEX('Policy Characteristics'!G:G,MATCH($C82,'Policy Characteristics'!$C:$C,0)))</f>
        <v>50000</v>
      </c>
      <c r="N82" s="283">
        <f>IF(ISBLANK(INDEX('Policy Characteristics'!H:H,MATCH($C82,'Policy Characteristics'!$C:$C,0))),"",INDEX('Policy Characteristics'!H:H,MATCH($C82,'Policy Characteristics'!$C:$C,0)))</f>
        <v>100</v>
      </c>
      <c r="O82" s="275" t="str">
        <f>IF(ISBLANK(INDEX('Policy Characteristics'!I:I,MATCH($C82,'Policy Characteristics'!$C:$C,0))),"",INDEX('Policy Characteristics'!I:I,MATCH($C82,'Policy Characteristics'!$C:$C,0)))</f>
        <v>$ / vehicle</v>
      </c>
      <c r="P82" s="275" t="str">
        <f>IF(ISBLANK(INDEX('Policy Characteristics'!J:J,MATCH($C82,'Policy Characteristics'!$C:$C,0))),"",INDEX('Policy Characteristics'!J:J,MATCH($C82,'Policy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2" s="275" t="str">
        <f>IF(ISBLANK(INDEX('Policy Characteristics'!K:K,MATCH($C82,'Policy Characteristics'!$C:$C,0))),"",INDEX('Policy Characteristics'!K:K,MATCH($C82,'Policy Characteristics'!$C:$C,0)))</f>
        <v>transportation-sector-main.html#ev-subsidy</v>
      </c>
      <c r="R82" s="275" t="str">
        <f>IF(ISBLANK(INDEX('Policy Characteristics'!L:L,MATCH($C82,'Policy Characteristics'!$C:$C,0))),"",INDEX('Policy Characteristics'!L:L,MATCH($C82,'Policy Characteristics'!$C:$C,0)))</f>
        <v>ev-subsidy.html</v>
      </c>
    </row>
    <row r="83" spans="1:18" x14ac:dyDescent="0.25">
      <c r="A83" s="275" t="str">
        <f>IF(ISBLANK(INDEX('Policy Characteristics'!A:A,MATCH($C83,'Policy Characteristics'!$C:$C,0))),"",INDEX('Policy Characteristics'!A:A,MATCH($C83,'Policy Characteristics'!$C:$C,0)))</f>
        <v>Transportation</v>
      </c>
      <c r="B83" s="284" t="str">
        <f>IF(ISBLANK(INDEX('Policy Characteristics'!B:B,MATCH($C83,'Policy Characteristics'!$C:$C,0))),"",INDEX('Policy Characteristics'!B:B,MATCH($C83,'Policy Characteristics'!$C:$C,0)))</f>
        <v>Passenger Vehicle Subsidy</v>
      </c>
      <c r="C83" s="275" t="str">
        <f t="shared" si="3"/>
        <v>Additional Passenger Vehicle Subsidy</v>
      </c>
      <c r="D83" s="2" t="s">
        <v>39</v>
      </c>
      <c r="E83" s="2" t="s">
        <v>2511</v>
      </c>
      <c r="F83" s="2" t="s">
        <v>3311</v>
      </c>
      <c r="G83" s="2" t="s">
        <v>3481</v>
      </c>
      <c r="H83" s="44">
        <v>1664</v>
      </c>
      <c r="I83" s="347" t="s">
        <v>44</v>
      </c>
      <c r="J83" s="276" t="str">
        <f>IF(ISBLANK(INDEX('Policy Characteristics'!D:D,MATCH($C83,'Policy Characteristics'!$C:$C,0))),"",INDEX('Policy Characteristics'!D:D,MATCH($C83,'Policy Characteristics'!$C:$C,0)))</f>
        <v>Vehicle Subsidy</v>
      </c>
      <c r="K83" s="275" t="str">
        <f>IF(ISBLANK(INDEX('Policy Characteristics'!E:E,MATCH($C83,'Policy Characteristics'!$C:$C,0))),"",INDEX('Policy Characteristics'!E:E,MATCH($C83,'Policy Characteristics'!$C:$C,0)))</f>
        <v>trans psgr subsidy</v>
      </c>
      <c r="L83" s="283">
        <f>IF(ISBLANK(INDEX('Policy Characteristics'!F:F,MATCH($C83,'Policy Characteristics'!$C:$C,0))),"",INDEX('Policy Characteristics'!F:F,MATCH($C83,'Policy Characteristics'!$C:$C,0)))</f>
        <v>0</v>
      </c>
      <c r="M83" s="283">
        <f>IF(ISBLANK(INDEX('Policy Characteristics'!G:G,MATCH($C83,'Policy Characteristics'!$C:$C,0))),"",INDEX('Policy Characteristics'!G:G,MATCH($C83,'Policy Characteristics'!$C:$C,0)))</f>
        <v>50000</v>
      </c>
      <c r="N83" s="283">
        <f>IF(ISBLANK(INDEX('Policy Characteristics'!H:H,MATCH($C83,'Policy Characteristics'!$C:$C,0))),"",INDEX('Policy Characteristics'!H:H,MATCH($C83,'Policy Characteristics'!$C:$C,0)))</f>
        <v>100</v>
      </c>
      <c r="O83" s="275" t="str">
        <f>IF(ISBLANK(INDEX('Policy Characteristics'!I:I,MATCH($C83,'Policy Characteristics'!$C:$C,0))),"",INDEX('Policy Characteristics'!I:I,MATCH($C83,'Policy Characteristics'!$C:$C,0)))</f>
        <v>$ / vehicle</v>
      </c>
      <c r="P83" s="275" t="str">
        <f>IF(ISBLANK(INDEX('Policy Characteristics'!J:J,MATCH($C83,'Policy Characteristics'!$C:$C,0))),"",INDEX('Policy Characteristics'!J:J,MATCH($C83,'Policy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3" s="275" t="str">
        <f>IF(ISBLANK(INDEX('Policy Characteristics'!K:K,MATCH($C83,'Policy Characteristics'!$C:$C,0))),"",INDEX('Policy Characteristics'!K:K,MATCH($C83,'Policy Characteristics'!$C:$C,0)))</f>
        <v>transportation-sector-main.html#ev-subsidy</v>
      </c>
      <c r="R83" s="275" t="str">
        <f>IF(ISBLANK(INDEX('Policy Characteristics'!L:L,MATCH($C83,'Policy Characteristics'!$C:$C,0))),"",INDEX('Policy Characteristics'!L:L,MATCH($C83,'Policy Characteristics'!$C:$C,0)))</f>
        <v>ev-subsidy.html</v>
      </c>
    </row>
    <row r="84" spans="1:18" x14ac:dyDescent="0.25">
      <c r="A84" s="275" t="str">
        <f>IF(ISBLANK(INDEX('Policy Characteristics'!A:A,MATCH($C84,'Policy Characteristics'!$C:$C,0))),"",INDEX('Policy Characteristics'!A:A,MATCH($C84,'Policy Characteristics'!$C:$C,0)))</f>
        <v>Transportation</v>
      </c>
      <c r="B84" s="284" t="str">
        <f>IF(ISBLANK(INDEX('Policy Characteristics'!B:B,MATCH($C84,'Policy Characteristics'!$C:$C,0))),"",INDEX('Policy Characteristics'!B:B,MATCH($C84,'Policy Characteristics'!$C:$C,0)))</f>
        <v>Passenger Vehicle Subsidy</v>
      </c>
      <c r="C84" s="275" t="str">
        <f t="shared" si="3"/>
        <v>Additional Passenger Vehicle Subsidy</v>
      </c>
      <c r="D84" s="47" t="s">
        <v>40</v>
      </c>
      <c r="E84" s="47" t="s">
        <v>2246</v>
      </c>
      <c r="F84" s="2" t="s">
        <v>86</v>
      </c>
      <c r="G84" s="47" t="s">
        <v>3476</v>
      </c>
      <c r="H84" s="44">
        <v>1665</v>
      </c>
      <c r="I84" s="347" t="s">
        <v>44</v>
      </c>
      <c r="J84" s="276" t="str">
        <f>IF(ISBLANK(INDEX('Policy Characteristics'!D:D,MATCH($C84,'Policy Characteristics'!$C:$C,0))),"",INDEX('Policy Characteristics'!D:D,MATCH($C84,'Policy Characteristics'!$C:$C,0)))</f>
        <v>Vehicle Subsidy</v>
      </c>
      <c r="K84" s="275" t="str">
        <f>IF(ISBLANK(INDEX('Policy Characteristics'!E:E,MATCH($C84,'Policy Characteristics'!$C:$C,0))),"",INDEX('Policy Characteristics'!E:E,MATCH($C84,'Policy Characteristics'!$C:$C,0)))</f>
        <v>trans psgr subsidy</v>
      </c>
      <c r="L84" s="283">
        <f>IF(ISBLANK(INDEX('Policy Characteristics'!F:F,MATCH($C84,'Policy Characteristics'!$C:$C,0))),"",INDEX('Policy Characteristics'!F:F,MATCH($C84,'Policy Characteristics'!$C:$C,0)))</f>
        <v>0</v>
      </c>
      <c r="M84" s="283">
        <f>IF(ISBLANK(INDEX('Policy Characteristics'!G:G,MATCH($C84,'Policy Characteristics'!$C:$C,0))),"",INDEX('Policy Characteristics'!G:G,MATCH($C84,'Policy Characteristics'!$C:$C,0)))</f>
        <v>50000</v>
      </c>
      <c r="N84" s="283">
        <f>IF(ISBLANK(INDEX('Policy Characteristics'!H:H,MATCH($C84,'Policy Characteristics'!$C:$C,0))),"",INDEX('Policy Characteristics'!H:H,MATCH($C84,'Policy Characteristics'!$C:$C,0)))</f>
        <v>100</v>
      </c>
      <c r="O84" s="275" t="str">
        <f>IF(ISBLANK(INDEX('Policy Characteristics'!I:I,MATCH($C84,'Policy Characteristics'!$C:$C,0))),"",INDEX('Policy Characteristics'!I:I,MATCH($C84,'Policy Characteristics'!$C:$C,0)))</f>
        <v>$ / vehicle</v>
      </c>
      <c r="P84" s="275" t="str">
        <f>IF(ISBLANK(INDEX('Policy Characteristics'!J:J,MATCH($C84,'Policy Characteristics'!$C:$C,0))),"",INDEX('Policy Characteristics'!J:J,MATCH($C84,'Policy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4" s="275" t="str">
        <f>IF(ISBLANK(INDEX('Policy Characteristics'!K:K,MATCH($C84,'Policy Characteristics'!$C:$C,0))),"",INDEX('Policy Characteristics'!K:K,MATCH($C84,'Policy Characteristics'!$C:$C,0)))</f>
        <v>transportation-sector-main.html#ev-subsidy</v>
      </c>
      <c r="R84" s="275" t="str">
        <f>IF(ISBLANK(INDEX('Policy Characteristics'!L:L,MATCH($C84,'Policy Characteristics'!$C:$C,0))),"",INDEX('Policy Characteristics'!L:L,MATCH($C84,'Policy Characteristics'!$C:$C,0)))</f>
        <v>ev-subsidy.html</v>
      </c>
    </row>
    <row r="85" spans="1:18" x14ac:dyDescent="0.25">
      <c r="A85" s="275" t="str">
        <f>IF(ISBLANK(INDEX('Policy Characteristics'!A:A,MATCH($C85,'Policy Characteristics'!$C:$C,0))),"",INDEX('Policy Characteristics'!A:A,MATCH($C85,'Policy Characteristics'!$C:$C,0)))</f>
        <v>Transportation</v>
      </c>
      <c r="B85" s="284" t="str">
        <f>IF(ISBLANK(INDEX('Policy Characteristics'!B:B,MATCH($C85,'Policy Characteristics'!$C:$C,0))),"",INDEX('Policy Characteristics'!B:B,MATCH($C85,'Policy Characteristics'!$C:$C,0)))</f>
        <v>Passenger Vehicle Subsidy</v>
      </c>
      <c r="C85" s="275" t="str">
        <f t="shared" si="3"/>
        <v>Additional Passenger Vehicle Subsidy</v>
      </c>
      <c r="D85" s="47" t="s">
        <v>40</v>
      </c>
      <c r="E85" s="2" t="s">
        <v>2247</v>
      </c>
      <c r="F85" s="2" t="s">
        <v>86</v>
      </c>
      <c r="G85" s="2" t="s">
        <v>3477</v>
      </c>
      <c r="H85" s="44">
        <v>1666</v>
      </c>
      <c r="I85" s="347" t="s">
        <v>44</v>
      </c>
      <c r="J85" s="276" t="str">
        <f>IF(ISBLANK(INDEX('Policy Characteristics'!D:D,MATCH($C85,'Policy Characteristics'!$C:$C,0))),"",INDEX('Policy Characteristics'!D:D,MATCH($C85,'Policy Characteristics'!$C:$C,0)))</f>
        <v>Vehicle Subsidy</v>
      </c>
      <c r="K85" s="275" t="str">
        <f>IF(ISBLANK(INDEX('Policy Characteristics'!E:E,MATCH($C85,'Policy Characteristics'!$C:$C,0))),"",INDEX('Policy Characteristics'!E:E,MATCH($C85,'Policy Characteristics'!$C:$C,0)))</f>
        <v>trans psgr subsidy</v>
      </c>
      <c r="L85" s="283">
        <f>IF(ISBLANK(INDEX('Policy Characteristics'!F:F,MATCH($C85,'Policy Characteristics'!$C:$C,0))),"",INDEX('Policy Characteristics'!F:F,MATCH($C85,'Policy Characteristics'!$C:$C,0)))</f>
        <v>0</v>
      </c>
      <c r="M85" s="283">
        <f>IF(ISBLANK(INDEX('Policy Characteristics'!G:G,MATCH($C85,'Policy Characteristics'!$C:$C,0))),"",INDEX('Policy Characteristics'!G:G,MATCH($C85,'Policy Characteristics'!$C:$C,0)))</f>
        <v>50000</v>
      </c>
      <c r="N85" s="283">
        <f>IF(ISBLANK(INDEX('Policy Characteristics'!H:H,MATCH($C85,'Policy Characteristics'!$C:$C,0))),"",INDEX('Policy Characteristics'!H:H,MATCH($C85,'Policy Characteristics'!$C:$C,0)))</f>
        <v>100</v>
      </c>
      <c r="O85" s="275" t="str">
        <f>IF(ISBLANK(INDEX('Policy Characteristics'!I:I,MATCH($C85,'Policy Characteristics'!$C:$C,0))),"",INDEX('Policy Characteristics'!I:I,MATCH($C85,'Policy Characteristics'!$C:$C,0)))</f>
        <v>$ / vehicle</v>
      </c>
      <c r="P85" s="275" t="str">
        <f>IF(ISBLANK(INDEX('Policy Characteristics'!J:J,MATCH($C85,'Policy Characteristics'!$C:$C,0))),"",INDEX('Policy Characteristics'!J:J,MATCH($C85,'Policy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5" s="275" t="str">
        <f>IF(ISBLANK(INDEX('Policy Characteristics'!K:K,MATCH($C85,'Policy Characteristics'!$C:$C,0))),"",INDEX('Policy Characteristics'!K:K,MATCH($C85,'Policy Characteristics'!$C:$C,0)))</f>
        <v>transportation-sector-main.html#ev-subsidy</v>
      </c>
      <c r="R85" s="275" t="str">
        <f>IF(ISBLANK(INDEX('Policy Characteristics'!L:L,MATCH($C85,'Policy Characteristics'!$C:$C,0))),"",INDEX('Policy Characteristics'!L:L,MATCH($C85,'Policy Characteristics'!$C:$C,0)))</f>
        <v>ev-subsidy.html</v>
      </c>
    </row>
    <row r="86" spans="1:18" x14ac:dyDescent="0.25">
      <c r="A86" s="275" t="str">
        <f>IF(ISBLANK(INDEX('Policy Characteristics'!A:A,MATCH($C86,'Policy Characteristics'!$C:$C,0))),"",INDEX('Policy Characteristics'!A:A,MATCH($C86,'Policy Characteristics'!$C:$C,0)))</f>
        <v>Transportation</v>
      </c>
      <c r="B86" s="284" t="str">
        <f>IF(ISBLANK(INDEX('Policy Characteristics'!B:B,MATCH($C86,'Policy Characteristics'!$C:$C,0))),"",INDEX('Policy Characteristics'!B:B,MATCH($C86,'Policy Characteristics'!$C:$C,0)))</f>
        <v>Passenger Vehicle Subsidy</v>
      </c>
      <c r="C86" s="275" t="str">
        <f t="shared" si="3"/>
        <v>Additional Passenger Vehicle Subsidy</v>
      </c>
      <c r="D86" s="47" t="s">
        <v>40</v>
      </c>
      <c r="E86" s="2" t="s">
        <v>2248</v>
      </c>
      <c r="F86" s="2" t="s">
        <v>86</v>
      </c>
      <c r="G86" s="2" t="s">
        <v>3478</v>
      </c>
      <c r="H86" s="44">
        <v>1667</v>
      </c>
      <c r="I86" s="347" t="s">
        <v>44</v>
      </c>
      <c r="J86" s="276" t="str">
        <f>IF(ISBLANK(INDEX('Policy Characteristics'!D:D,MATCH($C86,'Policy Characteristics'!$C:$C,0))),"",INDEX('Policy Characteristics'!D:D,MATCH($C86,'Policy Characteristics'!$C:$C,0)))</f>
        <v>Vehicle Subsidy</v>
      </c>
      <c r="K86" s="275" t="str">
        <f>IF(ISBLANK(INDEX('Policy Characteristics'!E:E,MATCH($C86,'Policy Characteristics'!$C:$C,0))),"",INDEX('Policy Characteristics'!E:E,MATCH($C86,'Policy Characteristics'!$C:$C,0)))</f>
        <v>trans psgr subsidy</v>
      </c>
      <c r="L86" s="283">
        <f>IF(ISBLANK(INDEX('Policy Characteristics'!F:F,MATCH($C86,'Policy Characteristics'!$C:$C,0))),"",INDEX('Policy Characteristics'!F:F,MATCH($C86,'Policy Characteristics'!$C:$C,0)))</f>
        <v>0</v>
      </c>
      <c r="M86" s="283">
        <f>IF(ISBLANK(INDEX('Policy Characteristics'!G:G,MATCH($C86,'Policy Characteristics'!$C:$C,0))),"",INDEX('Policy Characteristics'!G:G,MATCH($C86,'Policy Characteristics'!$C:$C,0)))</f>
        <v>50000</v>
      </c>
      <c r="N86" s="283">
        <f>IF(ISBLANK(INDEX('Policy Characteristics'!H:H,MATCH($C86,'Policy Characteristics'!$C:$C,0))),"",INDEX('Policy Characteristics'!H:H,MATCH($C86,'Policy Characteristics'!$C:$C,0)))</f>
        <v>100</v>
      </c>
      <c r="O86" s="275" t="str">
        <f>IF(ISBLANK(INDEX('Policy Characteristics'!I:I,MATCH($C86,'Policy Characteristics'!$C:$C,0))),"",INDEX('Policy Characteristics'!I:I,MATCH($C86,'Policy Characteristics'!$C:$C,0)))</f>
        <v>$ / vehicle</v>
      </c>
      <c r="P86" s="275" t="str">
        <f>IF(ISBLANK(INDEX('Policy Characteristics'!J:J,MATCH($C86,'Policy Characteristics'!$C:$C,0))),"",INDEX('Policy Characteristics'!J:J,MATCH($C86,'Policy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6" s="275" t="str">
        <f>IF(ISBLANK(INDEX('Policy Characteristics'!K:K,MATCH($C86,'Policy Characteristics'!$C:$C,0))),"",INDEX('Policy Characteristics'!K:K,MATCH($C86,'Policy Characteristics'!$C:$C,0)))</f>
        <v>transportation-sector-main.html#ev-subsidy</v>
      </c>
      <c r="R86" s="275" t="str">
        <f>IF(ISBLANK(INDEX('Policy Characteristics'!L:L,MATCH($C86,'Policy Characteristics'!$C:$C,0))),"",INDEX('Policy Characteristics'!L:L,MATCH($C86,'Policy Characteristics'!$C:$C,0)))</f>
        <v>ev-subsidy.html</v>
      </c>
    </row>
    <row r="87" spans="1:18" x14ac:dyDescent="0.25">
      <c r="A87" s="275" t="str">
        <f>IF(ISBLANK(INDEX('Policy Characteristics'!A:A,MATCH($C87,'Policy Characteristics'!$C:$C,0))),"",INDEX('Policy Characteristics'!A:A,MATCH($C87,'Policy Characteristics'!$C:$C,0)))</f>
        <v>Transportation</v>
      </c>
      <c r="B87" s="284" t="str">
        <f>IF(ISBLANK(INDEX('Policy Characteristics'!B:B,MATCH($C87,'Policy Characteristics'!$C:$C,0))),"",INDEX('Policy Characteristics'!B:B,MATCH($C87,'Policy Characteristics'!$C:$C,0)))</f>
        <v>Passenger Vehicle Subsidy</v>
      </c>
      <c r="C87" s="275" t="str">
        <f t="shared" si="3"/>
        <v>Additional Passenger Vehicle Subsidy</v>
      </c>
      <c r="D87" s="47" t="s">
        <v>40</v>
      </c>
      <c r="E87" s="2" t="s">
        <v>2249</v>
      </c>
      <c r="F87" s="2" t="s">
        <v>86</v>
      </c>
      <c r="G87" s="2" t="s">
        <v>3479</v>
      </c>
      <c r="H87" s="44">
        <v>1668</v>
      </c>
      <c r="I87" s="347" t="s">
        <v>44</v>
      </c>
      <c r="J87" s="276" t="str">
        <f>IF(ISBLANK(INDEX('Policy Characteristics'!D:D,MATCH($C87,'Policy Characteristics'!$C:$C,0))),"",INDEX('Policy Characteristics'!D:D,MATCH($C87,'Policy Characteristics'!$C:$C,0)))</f>
        <v>Vehicle Subsidy</v>
      </c>
      <c r="K87" s="275" t="str">
        <f>IF(ISBLANK(INDEX('Policy Characteristics'!E:E,MATCH($C87,'Policy Characteristics'!$C:$C,0))),"",INDEX('Policy Characteristics'!E:E,MATCH($C87,'Policy Characteristics'!$C:$C,0)))</f>
        <v>trans psgr subsidy</v>
      </c>
      <c r="L87" s="283">
        <f>IF(ISBLANK(INDEX('Policy Characteristics'!F:F,MATCH($C87,'Policy Characteristics'!$C:$C,0))),"",INDEX('Policy Characteristics'!F:F,MATCH($C87,'Policy Characteristics'!$C:$C,0)))</f>
        <v>0</v>
      </c>
      <c r="M87" s="283">
        <f>IF(ISBLANK(INDEX('Policy Characteristics'!G:G,MATCH($C87,'Policy Characteristics'!$C:$C,0))),"",INDEX('Policy Characteristics'!G:G,MATCH($C87,'Policy Characteristics'!$C:$C,0)))</f>
        <v>50000</v>
      </c>
      <c r="N87" s="283">
        <f>IF(ISBLANK(INDEX('Policy Characteristics'!H:H,MATCH($C87,'Policy Characteristics'!$C:$C,0))),"",INDEX('Policy Characteristics'!H:H,MATCH($C87,'Policy Characteristics'!$C:$C,0)))</f>
        <v>100</v>
      </c>
      <c r="O87" s="275" t="str">
        <f>IF(ISBLANK(INDEX('Policy Characteristics'!I:I,MATCH($C87,'Policy Characteristics'!$C:$C,0))),"",INDEX('Policy Characteristics'!I:I,MATCH($C87,'Policy Characteristics'!$C:$C,0)))</f>
        <v>$ / vehicle</v>
      </c>
      <c r="P87" s="275" t="str">
        <f>IF(ISBLANK(INDEX('Policy Characteristics'!J:J,MATCH($C87,'Policy Characteristics'!$C:$C,0))),"",INDEX('Policy Characteristics'!J:J,MATCH($C87,'Policy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7" s="275" t="str">
        <f>IF(ISBLANK(INDEX('Policy Characteristics'!K:K,MATCH($C87,'Policy Characteristics'!$C:$C,0))),"",INDEX('Policy Characteristics'!K:K,MATCH($C87,'Policy Characteristics'!$C:$C,0)))</f>
        <v>transportation-sector-main.html#ev-subsidy</v>
      </c>
      <c r="R87" s="275" t="str">
        <f>IF(ISBLANK(INDEX('Policy Characteristics'!L:L,MATCH($C87,'Policy Characteristics'!$C:$C,0))),"",INDEX('Policy Characteristics'!L:L,MATCH($C87,'Policy Characteristics'!$C:$C,0)))</f>
        <v>ev-subsidy.html</v>
      </c>
    </row>
    <row r="88" spans="1:18" x14ac:dyDescent="0.25">
      <c r="A88" s="275" t="str">
        <f>IF(ISBLANK(INDEX('Policy Characteristics'!A:A,MATCH($C88,'Policy Characteristics'!$C:$C,0))),"",INDEX('Policy Characteristics'!A:A,MATCH($C88,'Policy Characteristics'!$C:$C,0)))</f>
        <v>Transportation</v>
      </c>
      <c r="B88" s="284" t="str">
        <f>IF(ISBLANK(INDEX('Policy Characteristics'!B:B,MATCH($C88,'Policy Characteristics'!$C:$C,0))),"",INDEX('Policy Characteristics'!B:B,MATCH($C88,'Policy Characteristics'!$C:$C,0)))</f>
        <v>Passenger Vehicle Subsidy</v>
      </c>
      <c r="C88" s="275" t="str">
        <f t="shared" si="3"/>
        <v>Additional Passenger Vehicle Subsidy</v>
      </c>
      <c r="D88" s="47" t="s">
        <v>40</v>
      </c>
      <c r="E88" s="2" t="s">
        <v>2250</v>
      </c>
      <c r="F88" s="2" t="s">
        <v>86</v>
      </c>
      <c r="G88" s="2" t="s">
        <v>3480</v>
      </c>
      <c r="H88" s="44">
        <v>1669</v>
      </c>
      <c r="I88" s="347" t="s">
        <v>44</v>
      </c>
      <c r="J88" s="276" t="str">
        <f>IF(ISBLANK(INDEX('Policy Characteristics'!D:D,MATCH($C88,'Policy Characteristics'!$C:$C,0))),"",INDEX('Policy Characteristics'!D:D,MATCH($C88,'Policy Characteristics'!$C:$C,0)))</f>
        <v>Vehicle Subsidy</v>
      </c>
      <c r="K88" s="275" t="str">
        <f>IF(ISBLANK(INDEX('Policy Characteristics'!E:E,MATCH($C88,'Policy Characteristics'!$C:$C,0))),"",INDEX('Policy Characteristics'!E:E,MATCH($C88,'Policy Characteristics'!$C:$C,0)))</f>
        <v>trans psgr subsidy</v>
      </c>
      <c r="L88" s="283">
        <f>IF(ISBLANK(INDEX('Policy Characteristics'!F:F,MATCH($C88,'Policy Characteristics'!$C:$C,0))),"",INDEX('Policy Characteristics'!F:F,MATCH($C88,'Policy Characteristics'!$C:$C,0)))</f>
        <v>0</v>
      </c>
      <c r="M88" s="283">
        <f>IF(ISBLANK(INDEX('Policy Characteristics'!G:G,MATCH($C88,'Policy Characteristics'!$C:$C,0))),"",INDEX('Policy Characteristics'!G:G,MATCH($C88,'Policy Characteristics'!$C:$C,0)))</f>
        <v>50000</v>
      </c>
      <c r="N88" s="283">
        <f>IF(ISBLANK(INDEX('Policy Characteristics'!H:H,MATCH($C88,'Policy Characteristics'!$C:$C,0))),"",INDEX('Policy Characteristics'!H:H,MATCH($C88,'Policy Characteristics'!$C:$C,0)))</f>
        <v>100</v>
      </c>
      <c r="O88" s="275" t="str">
        <f>IF(ISBLANK(INDEX('Policy Characteristics'!I:I,MATCH($C88,'Policy Characteristics'!$C:$C,0))),"",INDEX('Policy Characteristics'!I:I,MATCH($C88,'Policy Characteristics'!$C:$C,0)))</f>
        <v>$ / vehicle</v>
      </c>
      <c r="P88" s="275" t="str">
        <f>IF(ISBLANK(INDEX('Policy Characteristics'!J:J,MATCH($C88,'Policy Characteristics'!$C:$C,0))),"",INDEX('Policy Characteristics'!J:J,MATCH($C88,'Policy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8" s="275" t="str">
        <f>IF(ISBLANK(INDEX('Policy Characteristics'!K:K,MATCH($C88,'Policy Characteristics'!$C:$C,0))),"",INDEX('Policy Characteristics'!K:K,MATCH($C88,'Policy Characteristics'!$C:$C,0)))</f>
        <v>transportation-sector-main.html#ev-subsidy</v>
      </c>
      <c r="R88" s="275" t="str">
        <f>IF(ISBLANK(INDEX('Policy Characteristics'!L:L,MATCH($C88,'Policy Characteristics'!$C:$C,0))),"",INDEX('Policy Characteristics'!L:L,MATCH($C88,'Policy Characteristics'!$C:$C,0)))</f>
        <v>ev-subsidy.html</v>
      </c>
    </row>
    <row r="89" spans="1:18" x14ac:dyDescent="0.25">
      <c r="A89" s="275" t="str">
        <f>IF(ISBLANK(INDEX('Policy Characteristics'!A:A,MATCH($C89,'Policy Characteristics'!$C:$C,0))),"",INDEX('Policy Characteristics'!A:A,MATCH($C89,'Policy Characteristics'!$C:$C,0)))</f>
        <v>Transportation</v>
      </c>
      <c r="B89" s="284" t="str">
        <f>IF(ISBLANK(INDEX('Policy Characteristics'!B:B,MATCH($C89,'Policy Characteristics'!$C:$C,0))),"",INDEX('Policy Characteristics'!B:B,MATCH($C89,'Policy Characteristics'!$C:$C,0)))</f>
        <v>Passenger Vehicle Subsidy</v>
      </c>
      <c r="C89" s="275" t="str">
        <f t="shared" si="3"/>
        <v>Additional Passenger Vehicle Subsidy</v>
      </c>
      <c r="D89" s="47" t="s">
        <v>40</v>
      </c>
      <c r="E89" s="2" t="s">
        <v>2512</v>
      </c>
      <c r="F89" s="2" t="s">
        <v>86</v>
      </c>
      <c r="G89" s="2" t="s">
        <v>2512</v>
      </c>
      <c r="H89" s="44">
        <v>1670</v>
      </c>
      <c r="I89" s="347" t="s">
        <v>44</v>
      </c>
      <c r="J89" s="276" t="str">
        <f>IF(ISBLANK(INDEX('Policy Characteristics'!D:D,MATCH($C89,'Policy Characteristics'!$C:$C,0))),"",INDEX('Policy Characteristics'!D:D,MATCH($C89,'Policy Characteristics'!$C:$C,0)))</f>
        <v>Vehicle Subsidy</v>
      </c>
      <c r="K89" s="275" t="str">
        <f>IF(ISBLANK(INDEX('Policy Characteristics'!E:E,MATCH($C89,'Policy Characteristics'!$C:$C,0))),"",INDEX('Policy Characteristics'!E:E,MATCH($C89,'Policy Characteristics'!$C:$C,0)))</f>
        <v>trans psgr subsidy</v>
      </c>
      <c r="L89" s="283">
        <f>IF(ISBLANK(INDEX('Policy Characteristics'!F:F,MATCH($C89,'Policy Characteristics'!$C:$C,0))),"",INDEX('Policy Characteristics'!F:F,MATCH($C89,'Policy Characteristics'!$C:$C,0)))</f>
        <v>0</v>
      </c>
      <c r="M89" s="283">
        <f>IF(ISBLANK(INDEX('Policy Characteristics'!G:G,MATCH($C89,'Policy Characteristics'!$C:$C,0))),"",INDEX('Policy Characteristics'!G:G,MATCH($C89,'Policy Characteristics'!$C:$C,0)))</f>
        <v>50000</v>
      </c>
      <c r="N89" s="283">
        <f>IF(ISBLANK(INDEX('Policy Characteristics'!H:H,MATCH($C89,'Policy Characteristics'!$C:$C,0))),"",INDEX('Policy Characteristics'!H:H,MATCH($C89,'Policy Characteristics'!$C:$C,0)))</f>
        <v>100</v>
      </c>
      <c r="O89" s="275" t="str">
        <f>IF(ISBLANK(INDEX('Policy Characteristics'!I:I,MATCH($C89,'Policy Characteristics'!$C:$C,0))),"",INDEX('Policy Characteristics'!I:I,MATCH($C89,'Policy Characteristics'!$C:$C,0)))</f>
        <v>$ / vehicle</v>
      </c>
      <c r="P89" s="275" t="str">
        <f>IF(ISBLANK(INDEX('Policy Characteristics'!J:J,MATCH($C89,'Policy Characteristics'!$C:$C,0))),"",INDEX('Policy Characteristics'!J:J,MATCH($C89,'Policy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9" s="275" t="str">
        <f>IF(ISBLANK(INDEX('Policy Characteristics'!K:K,MATCH($C89,'Policy Characteristics'!$C:$C,0))),"",INDEX('Policy Characteristics'!K:K,MATCH($C89,'Policy Characteristics'!$C:$C,0)))</f>
        <v>transportation-sector-main.html#ev-subsidy</v>
      </c>
      <c r="R89" s="275" t="str">
        <f>IF(ISBLANK(INDEX('Policy Characteristics'!L:L,MATCH($C89,'Policy Characteristics'!$C:$C,0))),"",INDEX('Policy Characteristics'!L:L,MATCH($C89,'Policy Characteristics'!$C:$C,0)))</f>
        <v>ev-subsidy.html</v>
      </c>
    </row>
    <row r="90" spans="1:18" x14ac:dyDescent="0.25">
      <c r="A90" s="275" t="str">
        <f>IF(ISBLANK(INDEX('Policy Characteristics'!A:A,MATCH($C90,'Policy Characteristics'!$C:$C,0))),"",INDEX('Policy Characteristics'!A:A,MATCH($C90,'Policy Characteristics'!$C:$C,0)))</f>
        <v>Transportation</v>
      </c>
      <c r="B90" s="284" t="str">
        <f>IF(ISBLANK(INDEX('Policy Characteristics'!B:B,MATCH($C90,'Policy Characteristics'!$C:$C,0))),"",INDEX('Policy Characteristics'!B:B,MATCH($C90,'Policy Characteristics'!$C:$C,0)))</f>
        <v>Passenger Vehicle Subsidy</v>
      </c>
      <c r="C90" s="275" t="str">
        <f t="shared" si="3"/>
        <v>Additional Passenger Vehicle Subsidy</v>
      </c>
      <c r="D90" s="47" t="s">
        <v>40</v>
      </c>
      <c r="E90" s="2" t="s">
        <v>2511</v>
      </c>
      <c r="F90" s="2" t="s">
        <v>86</v>
      </c>
      <c r="G90" s="2" t="s">
        <v>3481</v>
      </c>
      <c r="H90" s="44">
        <v>1671</v>
      </c>
      <c r="I90" s="347" t="s">
        <v>44</v>
      </c>
      <c r="J90" s="276" t="str">
        <f>IF(ISBLANK(INDEX('Policy Characteristics'!D:D,MATCH($C90,'Policy Characteristics'!$C:$C,0))),"",INDEX('Policy Characteristics'!D:D,MATCH($C90,'Policy Characteristics'!$C:$C,0)))</f>
        <v>Vehicle Subsidy</v>
      </c>
      <c r="K90" s="275" t="str">
        <f>IF(ISBLANK(INDEX('Policy Characteristics'!E:E,MATCH($C90,'Policy Characteristics'!$C:$C,0))),"",INDEX('Policy Characteristics'!E:E,MATCH($C90,'Policy Characteristics'!$C:$C,0)))</f>
        <v>trans psgr subsidy</v>
      </c>
      <c r="L90" s="283">
        <f>IF(ISBLANK(INDEX('Policy Characteristics'!F:F,MATCH($C90,'Policy Characteristics'!$C:$C,0))),"",INDEX('Policy Characteristics'!F:F,MATCH($C90,'Policy Characteristics'!$C:$C,0)))</f>
        <v>0</v>
      </c>
      <c r="M90" s="283">
        <f>IF(ISBLANK(INDEX('Policy Characteristics'!G:G,MATCH($C90,'Policy Characteristics'!$C:$C,0))),"",INDEX('Policy Characteristics'!G:G,MATCH($C90,'Policy Characteristics'!$C:$C,0)))</f>
        <v>50000</v>
      </c>
      <c r="N90" s="283">
        <f>IF(ISBLANK(INDEX('Policy Characteristics'!H:H,MATCH($C90,'Policy Characteristics'!$C:$C,0))),"",INDEX('Policy Characteristics'!H:H,MATCH($C90,'Policy Characteristics'!$C:$C,0)))</f>
        <v>100</v>
      </c>
      <c r="O90" s="275" t="str">
        <f>IF(ISBLANK(INDEX('Policy Characteristics'!I:I,MATCH($C90,'Policy Characteristics'!$C:$C,0))),"",INDEX('Policy Characteristics'!I:I,MATCH($C90,'Policy Characteristics'!$C:$C,0)))</f>
        <v>$ / vehicle</v>
      </c>
      <c r="P90" s="275" t="str">
        <f>IF(ISBLANK(INDEX('Policy Characteristics'!J:J,MATCH($C90,'Policy Characteristics'!$C:$C,0))),"",INDEX('Policy Characteristics'!J:J,MATCH($C90,'Policy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0" s="275" t="str">
        <f>IF(ISBLANK(INDEX('Policy Characteristics'!K:K,MATCH($C90,'Policy Characteristics'!$C:$C,0))),"",INDEX('Policy Characteristics'!K:K,MATCH($C90,'Policy Characteristics'!$C:$C,0)))</f>
        <v>transportation-sector-main.html#ev-subsidy</v>
      </c>
      <c r="R90" s="275" t="str">
        <f>IF(ISBLANK(INDEX('Policy Characteristics'!L:L,MATCH($C90,'Policy Characteristics'!$C:$C,0))),"",INDEX('Policy Characteristics'!L:L,MATCH($C90,'Policy Characteristics'!$C:$C,0)))</f>
        <v>ev-subsidy.html</v>
      </c>
    </row>
    <row r="91" spans="1:18" x14ac:dyDescent="0.25">
      <c r="A91" s="275" t="str">
        <f>IF(ISBLANK(INDEX('Policy Characteristics'!A:A,MATCH($C91,'Policy Characteristics'!$C:$C,0))),"",INDEX('Policy Characteristics'!A:A,MATCH($C91,'Policy Characteristics'!$C:$C,0)))</f>
        <v>Transportation</v>
      </c>
      <c r="B91" s="284" t="str">
        <f>IF(ISBLANK(INDEX('Policy Characteristics'!B:B,MATCH($C91,'Policy Characteristics'!$C:$C,0))),"",INDEX('Policy Characteristics'!B:B,MATCH($C91,'Policy Characteristics'!$C:$C,0)))</f>
        <v>Passenger Vehicle Subsidy</v>
      </c>
      <c r="C91" s="275" t="str">
        <f t="shared" si="3"/>
        <v>Additional Passenger Vehicle Subsidy</v>
      </c>
      <c r="D91" s="47" t="s">
        <v>41</v>
      </c>
      <c r="E91" s="47" t="s">
        <v>2246</v>
      </c>
      <c r="F91" s="2" t="s">
        <v>3312</v>
      </c>
      <c r="G91" s="47" t="s">
        <v>3476</v>
      </c>
      <c r="H91" s="44">
        <v>1672</v>
      </c>
      <c r="I91" s="347" t="s">
        <v>44</v>
      </c>
      <c r="J91" s="276" t="str">
        <f>IF(ISBLANK(INDEX('Policy Characteristics'!D:D,MATCH($C91,'Policy Characteristics'!$C:$C,0))),"",INDEX('Policy Characteristics'!D:D,MATCH($C91,'Policy Characteristics'!$C:$C,0)))</f>
        <v>Vehicle Subsidy</v>
      </c>
      <c r="K91" s="275" t="str">
        <f>IF(ISBLANK(INDEX('Policy Characteristics'!E:E,MATCH($C91,'Policy Characteristics'!$C:$C,0))),"",INDEX('Policy Characteristics'!E:E,MATCH($C91,'Policy Characteristics'!$C:$C,0)))</f>
        <v>trans psgr subsidy</v>
      </c>
      <c r="L91" s="283">
        <f>IF(ISBLANK(INDEX('Policy Characteristics'!F:F,MATCH($C91,'Policy Characteristics'!$C:$C,0))),"",INDEX('Policy Characteristics'!F:F,MATCH($C91,'Policy Characteristics'!$C:$C,0)))</f>
        <v>0</v>
      </c>
      <c r="M91" s="283">
        <f>IF(ISBLANK(INDEX('Policy Characteristics'!G:G,MATCH($C91,'Policy Characteristics'!$C:$C,0))),"",INDEX('Policy Characteristics'!G:G,MATCH($C91,'Policy Characteristics'!$C:$C,0)))</f>
        <v>50000</v>
      </c>
      <c r="N91" s="283">
        <f>IF(ISBLANK(INDEX('Policy Characteristics'!H:H,MATCH($C91,'Policy Characteristics'!$C:$C,0))),"",INDEX('Policy Characteristics'!H:H,MATCH($C91,'Policy Characteristics'!$C:$C,0)))</f>
        <v>100</v>
      </c>
      <c r="O91" s="275" t="str">
        <f>IF(ISBLANK(INDEX('Policy Characteristics'!I:I,MATCH($C91,'Policy Characteristics'!$C:$C,0))),"",INDEX('Policy Characteristics'!I:I,MATCH($C91,'Policy Characteristics'!$C:$C,0)))</f>
        <v>$ / vehicle</v>
      </c>
      <c r="P91" s="275" t="str">
        <f>IF(ISBLANK(INDEX('Policy Characteristics'!J:J,MATCH($C91,'Policy Characteristics'!$C:$C,0))),"",INDEX('Policy Characteristics'!J:J,MATCH($C91,'Policy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1" s="275" t="str">
        <f>IF(ISBLANK(INDEX('Policy Characteristics'!K:K,MATCH($C91,'Policy Characteristics'!$C:$C,0))),"",INDEX('Policy Characteristics'!K:K,MATCH($C91,'Policy Characteristics'!$C:$C,0)))</f>
        <v>transportation-sector-main.html#ev-subsidy</v>
      </c>
      <c r="R91" s="275" t="str">
        <f>IF(ISBLANK(INDEX('Policy Characteristics'!L:L,MATCH($C91,'Policy Characteristics'!$C:$C,0))),"",INDEX('Policy Characteristics'!L:L,MATCH($C91,'Policy Characteristics'!$C:$C,0)))</f>
        <v>ev-subsidy.html</v>
      </c>
    </row>
    <row r="92" spans="1:18" x14ac:dyDescent="0.25">
      <c r="A92" s="275" t="str">
        <f>IF(ISBLANK(INDEX('Policy Characteristics'!A:A,MATCH($C92,'Policy Characteristics'!$C:$C,0))),"",INDEX('Policy Characteristics'!A:A,MATCH($C92,'Policy Characteristics'!$C:$C,0)))</f>
        <v>Transportation</v>
      </c>
      <c r="B92" s="284" t="str">
        <f>IF(ISBLANK(INDEX('Policy Characteristics'!B:B,MATCH($C92,'Policy Characteristics'!$C:$C,0))),"",INDEX('Policy Characteristics'!B:B,MATCH($C92,'Policy Characteristics'!$C:$C,0)))</f>
        <v>Passenger Vehicle Subsidy</v>
      </c>
      <c r="C92" s="275" t="str">
        <f t="shared" si="3"/>
        <v>Additional Passenger Vehicle Subsidy</v>
      </c>
      <c r="D92" s="47" t="s">
        <v>41</v>
      </c>
      <c r="E92" s="2" t="s">
        <v>2247</v>
      </c>
      <c r="F92" s="2" t="s">
        <v>3312</v>
      </c>
      <c r="G92" s="2" t="s">
        <v>3477</v>
      </c>
      <c r="H92" s="44">
        <v>1673</v>
      </c>
      <c r="I92" s="347" t="s">
        <v>44</v>
      </c>
      <c r="J92" s="276" t="str">
        <f>IF(ISBLANK(INDEX('Policy Characteristics'!D:D,MATCH($C92,'Policy Characteristics'!$C:$C,0))),"",INDEX('Policy Characteristics'!D:D,MATCH($C92,'Policy Characteristics'!$C:$C,0)))</f>
        <v>Vehicle Subsidy</v>
      </c>
      <c r="K92" s="275" t="str">
        <f>IF(ISBLANK(INDEX('Policy Characteristics'!E:E,MATCH($C92,'Policy Characteristics'!$C:$C,0))),"",INDEX('Policy Characteristics'!E:E,MATCH($C92,'Policy Characteristics'!$C:$C,0)))</f>
        <v>trans psgr subsidy</v>
      </c>
      <c r="L92" s="283">
        <f>IF(ISBLANK(INDEX('Policy Characteristics'!F:F,MATCH($C92,'Policy Characteristics'!$C:$C,0))),"",INDEX('Policy Characteristics'!F:F,MATCH($C92,'Policy Characteristics'!$C:$C,0)))</f>
        <v>0</v>
      </c>
      <c r="M92" s="283">
        <f>IF(ISBLANK(INDEX('Policy Characteristics'!G:G,MATCH($C92,'Policy Characteristics'!$C:$C,0))),"",INDEX('Policy Characteristics'!G:G,MATCH($C92,'Policy Characteristics'!$C:$C,0)))</f>
        <v>50000</v>
      </c>
      <c r="N92" s="283">
        <f>IF(ISBLANK(INDEX('Policy Characteristics'!H:H,MATCH($C92,'Policy Characteristics'!$C:$C,0))),"",INDEX('Policy Characteristics'!H:H,MATCH($C92,'Policy Characteristics'!$C:$C,0)))</f>
        <v>100</v>
      </c>
      <c r="O92" s="275" t="str">
        <f>IF(ISBLANK(INDEX('Policy Characteristics'!I:I,MATCH($C92,'Policy Characteristics'!$C:$C,0))),"",INDEX('Policy Characteristics'!I:I,MATCH($C92,'Policy Characteristics'!$C:$C,0)))</f>
        <v>$ / vehicle</v>
      </c>
      <c r="P92" s="275" t="str">
        <f>IF(ISBLANK(INDEX('Policy Characteristics'!J:J,MATCH($C92,'Policy Characteristics'!$C:$C,0))),"",INDEX('Policy Characteristics'!J:J,MATCH($C92,'Policy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2" s="275" t="str">
        <f>IF(ISBLANK(INDEX('Policy Characteristics'!K:K,MATCH($C92,'Policy Characteristics'!$C:$C,0))),"",INDEX('Policy Characteristics'!K:K,MATCH($C92,'Policy Characteristics'!$C:$C,0)))</f>
        <v>transportation-sector-main.html#ev-subsidy</v>
      </c>
      <c r="R92" s="275" t="str">
        <f>IF(ISBLANK(INDEX('Policy Characteristics'!L:L,MATCH($C92,'Policy Characteristics'!$C:$C,0))),"",INDEX('Policy Characteristics'!L:L,MATCH($C92,'Policy Characteristics'!$C:$C,0)))</f>
        <v>ev-subsidy.html</v>
      </c>
    </row>
    <row r="93" spans="1:18" x14ac:dyDescent="0.25">
      <c r="A93" s="275" t="str">
        <f>IF(ISBLANK(INDEX('Policy Characteristics'!A:A,MATCH($C93,'Policy Characteristics'!$C:$C,0))),"",INDEX('Policy Characteristics'!A:A,MATCH($C93,'Policy Characteristics'!$C:$C,0)))</f>
        <v>Transportation</v>
      </c>
      <c r="B93" s="284" t="str">
        <f>IF(ISBLANK(INDEX('Policy Characteristics'!B:B,MATCH($C93,'Policy Characteristics'!$C:$C,0))),"",INDEX('Policy Characteristics'!B:B,MATCH($C93,'Policy Characteristics'!$C:$C,0)))</f>
        <v>Passenger Vehicle Subsidy</v>
      </c>
      <c r="C93" s="275" t="str">
        <f t="shared" si="3"/>
        <v>Additional Passenger Vehicle Subsidy</v>
      </c>
      <c r="D93" s="47" t="s">
        <v>41</v>
      </c>
      <c r="E93" s="2" t="s">
        <v>2248</v>
      </c>
      <c r="F93" s="2" t="s">
        <v>3312</v>
      </c>
      <c r="G93" s="2" t="s">
        <v>3478</v>
      </c>
      <c r="H93" s="44">
        <v>1674</v>
      </c>
      <c r="I93" s="347" t="s">
        <v>44</v>
      </c>
      <c r="J93" s="276" t="str">
        <f>IF(ISBLANK(INDEX('Policy Characteristics'!D:D,MATCH($C93,'Policy Characteristics'!$C:$C,0))),"",INDEX('Policy Characteristics'!D:D,MATCH($C93,'Policy Characteristics'!$C:$C,0)))</f>
        <v>Vehicle Subsidy</v>
      </c>
      <c r="K93" s="275" t="str">
        <f>IF(ISBLANK(INDEX('Policy Characteristics'!E:E,MATCH($C93,'Policy Characteristics'!$C:$C,0))),"",INDEX('Policy Characteristics'!E:E,MATCH($C93,'Policy Characteristics'!$C:$C,0)))</f>
        <v>trans psgr subsidy</v>
      </c>
      <c r="L93" s="283">
        <f>IF(ISBLANK(INDEX('Policy Characteristics'!F:F,MATCH($C93,'Policy Characteristics'!$C:$C,0))),"",INDEX('Policy Characteristics'!F:F,MATCH($C93,'Policy Characteristics'!$C:$C,0)))</f>
        <v>0</v>
      </c>
      <c r="M93" s="283">
        <f>IF(ISBLANK(INDEX('Policy Characteristics'!G:G,MATCH($C93,'Policy Characteristics'!$C:$C,0))),"",INDEX('Policy Characteristics'!G:G,MATCH($C93,'Policy Characteristics'!$C:$C,0)))</f>
        <v>50000</v>
      </c>
      <c r="N93" s="283">
        <f>IF(ISBLANK(INDEX('Policy Characteristics'!H:H,MATCH($C93,'Policy Characteristics'!$C:$C,0))),"",INDEX('Policy Characteristics'!H:H,MATCH($C93,'Policy Characteristics'!$C:$C,0)))</f>
        <v>100</v>
      </c>
      <c r="O93" s="275" t="str">
        <f>IF(ISBLANK(INDEX('Policy Characteristics'!I:I,MATCH($C93,'Policy Characteristics'!$C:$C,0))),"",INDEX('Policy Characteristics'!I:I,MATCH($C93,'Policy Characteristics'!$C:$C,0)))</f>
        <v>$ / vehicle</v>
      </c>
      <c r="P93" s="275" t="str">
        <f>IF(ISBLANK(INDEX('Policy Characteristics'!J:J,MATCH($C93,'Policy Characteristics'!$C:$C,0))),"",INDEX('Policy Characteristics'!J:J,MATCH($C93,'Policy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3" s="275" t="str">
        <f>IF(ISBLANK(INDEX('Policy Characteristics'!K:K,MATCH($C93,'Policy Characteristics'!$C:$C,0))),"",INDEX('Policy Characteristics'!K:K,MATCH($C93,'Policy Characteristics'!$C:$C,0)))</f>
        <v>transportation-sector-main.html#ev-subsidy</v>
      </c>
      <c r="R93" s="275" t="str">
        <f>IF(ISBLANK(INDEX('Policy Characteristics'!L:L,MATCH($C93,'Policy Characteristics'!$C:$C,0))),"",INDEX('Policy Characteristics'!L:L,MATCH($C93,'Policy Characteristics'!$C:$C,0)))</f>
        <v>ev-subsidy.html</v>
      </c>
    </row>
    <row r="94" spans="1:18" x14ac:dyDescent="0.25">
      <c r="A94" s="275" t="str">
        <f>IF(ISBLANK(INDEX('Policy Characteristics'!A:A,MATCH($C94,'Policy Characteristics'!$C:$C,0))),"",INDEX('Policy Characteristics'!A:A,MATCH($C94,'Policy Characteristics'!$C:$C,0)))</f>
        <v>Transportation</v>
      </c>
      <c r="B94" s="284" t="str">
        <f>IF(ISBLANK(INDEX('Policy Characteristics'!B:B,MATCH($C94,'Policy Characteristics'!$C:$C,0))),"",INDEX('Policy Characteristics'!B:B,MATCH($C94,'Policy Characteristics'!$C:$C,0)))</f>
        <v>Passenger Vehicle Subsidy</v>
      </c>
      <c r="C94" s="275" t="str">
        <f t="shared" si="3"/>
        <v>Additional Passenger Vehicle Subsidy</v>
      </c>
      <c r="D94" s="47" t="s">
        <v>41</v>
      </c>
      <c r="E94" s="2" t="s">
        <v>2249</v>
      </c>
      <c r="F94" s="2" t="s">
        <v>3312</v>
      </c>
      <c r="G94" s="2" t="s">
        <v>3479</v>
      </c>
      <c r="H94" s="44">
        <v>1675</v>
      </c>
      <c r="I94" s="347" t="s">
        <v>44</v>
      </c>
      <c r="J94" s="276" t="str">
        <f>IF(ISBLANK(INDEX('Policy Characteristics'!D:D,MATCH($C94,'Policy Characteristics'!$C:$C,0))),"",INDEX('Policy Characteristics'!D:D,MATCH($C94,'Policy Characteristics'!$C:$C,0)))</f>
        <v>Vehicle Subsidy</v>
      </c>
      <c r="K94" s="275" t="str">
        <f>IF(ISBLANK(INDEX('Policy Characteristics'!E:E,MATCH($C94,'Policy Characteristics'!$C:$C,0))),"",INDEX('Policy Characteristics'!E:E,MATCH($C94,'Policy Characteristics'!$C:$C,0)))</f>
        <v>trans psgr subsidy</v>
      </c>
      <c r="L94" s="283">
        <f>IF(ISBLANK(INDEX('Policy Characteristics'!F:F,MATCH($C94,'Policy Characteristics'!$C:$C,0))),"",INDEX('Policy Characteristics'!F:F,MATCH($C94,'Policy Characteristics'!$C:$C,0)))</f>
        <v>0</v>
      </c>
      <c r="M94" s="283">
        <f>IF(ISBLANK(INDEX('Policy Characteristics'!G:G,MATCH($C94,'Policy Characteristics'!$C:$C,0))),"",INDEX('Policy Characteristics'!G:G,MATCH($C94,'Policy Characteristics'!$C:$C,0)))</f>
        <v>50000</v>
      </c>
      <c r="N94" s="283">
        <f>IF(ISBLANK(INDEX('Policy Characteristics'!H:H,MATCH($C94,'Policy Characteristics'!$C:$C,0))),"",INDEX('Policy Characteristics'!H:H,MATCH($C94,'Policy Characteristics'!$C:$C,0)))</f>
        <v>100</v>
      </c>
      <c r="O94" s="275" t="str">
        <f>IF(ISBLANK(INDEX('Policy Characteristics'!I:I,MATCH($C94,'Policy Characteristics'!$C:$C,0))),"",INDEX('Policy Characteristics'!I:I,MATCH($C94,'Policy Characteristics'!$C:$C,0)))</f>
        <v>$ / vehicle</v>
      </c>
      <c r="P94" s="275" t="str">
        <f>IF(ISBLANK(INDEX('Policy Characteristics'!J:J,MATCH($C94,'Policy Characteristics'!$C:$C,0))),"",INDEX('Policy Characteristics'!J:J,MATCH($C94,'Policy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4" s="275" t="str">
        <f>IF(ISBLANK(INDEX('Policy Characteristics'!K:K,MATCH($C94,'Policy Characteristics'!$C:$C,0))),"",INDEX('Policy Characteristics'!K:K,MATCH($C94,'Policy Characteristics'!$C:$C,0)))</f>
        <v>transportation-sector-main.html#ev-subsidy</v>
      </c>
      <c r="R94" s="275" t="str">
        <f>IF(ISBLANK(INDEX('Policy Characteristics'!L:L,MATCH($C94,'Policy Characteristics'!$C:$C,0))),"",INDEX('Policy Characteristics'!L:L,MATCH($C94,'Policy Characteristics'!$C:$C,0)))</f>
        <v>ev-subsidy.html</v>
      </c>
    </row>
    <row r="95" spans="1:18" x14ac:dyDescent="0.25">
      <c r="A95" s="275" t="str">
        <f>IF(ISBLANK(INDEX('Policy Characteristics'!A:A,MATCH($C95,'Policy Characteristics'!$C:$C,0))),"",INDEX('Policy Characteristics'!A:A,MATCH($C95,'Policy Characteristics'!$C:$C,0)))</f>
        <v>Transportation</v>
      </c>
      <c r="B95" s="284" t="str">
        <f>IF(ISBLANK(INDEX('Policy Characteristics'!B:B,MATCH($C95,'Policy Characteristics'!$C:$C,0))),"",INDEX('Policy Characteristics'!B:B,MATCH($C95,'Policy Characteristics'!$C:$C,0)))</f>
        <v>Passenger Vehicle Subsidy</v>
      </c>
      <c r="C95" s="275" t="str">
        <f t="shared" si="3"/>
        <v>Additional Passenger Vehicle Subsidy</v>
      </c>
      <c r="D95" s="47" t="s">
        <v>41</v>
      </c>
      <c r="E95" s="2" t="s">
        <v>2250</v>
      </c>
      <c r="F95" s="2" t="s">
        <v>3312</v>
      </c>
      <c r="G95" s="2" t="s">
        <v>3480</v>
      </c>
      <c r="H95" s="44">
        <v>1676</v>
      </c>
      <c r="I95" s="347" t="s">
        <v>44</v>
      </c>
      <c r="J95" s="276" t="str">
        <f>IF(ISBLANK(INDEX('Policy Characteristics'!D:D,MATCH($C95,'Policy Characteristics'!$C:$C,0))),"",INDEX('Policy Characteristics'!D:D,MATCH($C95,'Policy Characteristics'!$C:$C,0)))</f>
        <v>Vehicle Subsidy</v>
      </c>
      <c r="K95" s="275" t="str">
        <f>IF(ISBLANK(INDEX('Policy Characteristics'!E:E,MATCH($C95,'Policy Characteristics'!$C:$C,0))),"",INDEX('Policy Characteristics'!E:E,MATCH($C95,'Policy Characteristics'!$C:$C,0)))</f>
        <v>trans psgr subsidy</v>
      </c>
      <c r="L95" s="283">
        <f>IF(ISBLANK(INDEX('Policy Characteristics'!F:F,MATCH($C95,'Policy Characteristics'!$C:$C,0))),"",INDEX('Policy Characteristics'!F:F,MATCH($C95,'Policy Characteristics'!$C:$C,0)))</f>
        <v>0</v>
      </c>
      <c r="M95" s="283">
        <f>IF(ISBLANK(INDEX('Policy Characteristics'!G:G,MATCH($C95,'Policy Characteristics'!$C:$C,0))),"",INDEX('Policy Characteristics'!G:G,MATCH($C95,'Policy Characteristics'!$C:$C,0)))</f>
        <v>50000</v>
      </c>
      <c r="N95" s="283">
        <f>IF(ISBLANK(INDEX('Policy Characteristics'!H:H,MATCH($C95,'Policy Characteristics'!$C:$C,0))),"",INDEX('Policy Characteristics'!H:H,MATCH($C95,'Policy Characteristics'!$C:$C,0)))</f>
        <v>100</v>
      </c>
      <c r="O95" s="275" t="str">
        <f>IF(ISBLANK(INDEX('Policy Characteristics'!I:I,MATCH($C95,'Policy Characteristics'!$C:$C,0))),"",INDEX('Policy Characteristics'!I:I,MATCH($C95,'Policy Characteristics'!$C:$C,0)))</f>
        <v>$ / vehicle</v>
      </c>
      <c r="P95" s="275" t="str">
        <f>IF(ISBLANK(INDEX('Policy Characteristics'!J:J,MATCH($C95,'Policy Characteristics'!$C:$C,0))),"",INDEX('Policy Characteristics'!J:J,MATCH($C95,'Policy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5" s="275" t="str">
        <f>IF(ISBLANK(INDEX('Policy Characteristics'!K:K,MATCH($C95,'Policy Characteristics'!$C:$C,0))),"",INDEX('Policy Characteristics'!K:K,MATCH($C95,'Policy Characteristics'!$C:$C,0)))</f>
        <v>transportation-sector-main.html#ev-subsidy</v>
      </c>
      <c r="R95" s="275" t="str">
        <f>IF(ISBLANK(INDEX('Policy Characteristics'!L:L,MATCH($C95,'Policy Characteristics'!$C:$C,0))),"",INDEX('Policy Characteristics'!L:L,MATCH($C95,'Policy Characteristics'!$C:$C,0)))</f>
        <v>ev-subsidy.html</v>
      </c>
    </row>
    <row r="96" spans="1:18" x14ac:dyDescent="0.25">
      <c r="A96" s="275" t="str">
        <f>IF(ISBLANK(INDEX('Policy Characteristics'!A:A,MATCH($C96,'Policy Characteristics'!$C:$C,0))),"",INDEX('Policy Characteristics'!A:A,MATCH($C96,'Policy Characteristics'!$C:$C,0)))</f>
        <v>Transportation</v>
      </c>
      <c r="B96" s="284" t="str">
        <f>IF(ISBLANK(INDEX('Policy Characteristics'!B:B,MATCH($C96,'Policy Characteristics'!$C:$C,0))),"",INDEX('Policy Characteristics'!B:B,MATCH($C96,'Policy Characteristics'!$C:$C,0)))</f>
        <v>Passenger Vehicle Subsidy</v>
      </c>
      <c r="C96" s="275" t="str">
        <f t="shared" si="3"/>
        <v>Additional Passenger Vehicle Subsidy</v>
      </c>
      <c r="D96" s="47" t="s">
        <v>41</v>
      </c>
      <c r="E96" s="2" t="s">
        <v>2512</v>
      </c>
      <c r="F96" s="2" t="s">
        <v>3312</v>
      </c>
      <c r="G96" s="2" t="s">
        <v>2512</v>
      </c>
      <c r="H96" s="44">
        <v>1677</v>
      </c>
      <c r="I96" s="347" t="s">
        <v>44</v>
      </c>
      <c r="J96" s="276" t="str">
        <f>IF(ISBLANK(INDEX('Policy Characteristics'!D:D,MATCH($C96,'Policy Characteristics'!$C:$C,0))),"",INDEX('Policy Characteristics'!D:D,MATCH($C96,'Policy Characteristics'!$C:$C,0)))</f>
        <v>Vehicle Subsidy</v>
      </c>
      <c r="K96" s="275" t="str">
        <f>IF(ISBLANK(INDEX('Policy Characteristics'!E:E,MATCH($C96,'Policy Characteristics'!$C:$C,0))),"",INDEX('Policy Characteristics'!E:E,MATCH($C96,'Policy Characteristics'!$C:$C,0)))</f>
        <v>trans psgr subsidy</v>
      </c>
      <c r="L96" s="283">
        <f>IF(ISBLANK(INDEX('Policy Characteristics'!F:F,MATCH($C96,'Policy Characteristics'!$C:$C,0))),"",INDEX('Policy Characteristics'!F:F,MATCH($C96,'Policy Characteristics'!$C:$C,0)))</f>
        <v>0</v>
      </c>
      <c r="M96" s="283">
        <f>IF(ISBLANK(INDEX('Policy Characteristics'!G:G,MATCH($C96,'Policy Characteristics'!$C:$C,0))),"",INDEX('Policy Characteristics'!G:G,MATCH($C96,'Policy Characteristics'!$C:$C,0)))</f>
        <v>50000</v>
      </c>
      <c r="N96" s="283">
        <f>IF(ISBLANK(INDEX('Policy Characteristics'!H:H,MATCH($C96,'Policy Characteristics'!$C:$C,0))),"",INDEX('Policy Characteristics'!H:H,MATCH($C96,'Policy Characteristics'!$C:$C,0)))</f>
        <v>100</v>
      </c>
      <c r="O96" s="275" t="str">
        <f>IF(ISBLANK(INDEX('Policy Characteristics'!I:I,MATCH($C96,'Policy Characteristics'!$C:$C,0))),"",INDEX('Policy Characteristics'!I:I,MATCH($C96,'Policy Characteristics'!$C:$C,0)))</f>
        <v>$ / vehicle</v>
      </c>
      <c r="P96" s="275" t="str">
        <f>IF(ISBLANK(INDEX('Policy Characteristics'!J:J,MATCH($C96,'Policy Characteristics'!$C:$C,0))),"",INDEX('Policy Characteristics'!J:J,MATCH($C96,'Policy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6" s="275" t="str">
        <f>IF(ISBLANK(INDEX('Policy Characteristics'!K:K,MATCH($C96,'Policy Characteristics'!$C:$C,0))),"",INDEX('Policy Characteristics'!K:K,MATCH($C96,'Policy Characteristics'!$C:$C,0)))</f>
        <v>transportation-sector-main.html#ev-subsidy</v>
      </c>
      <c r="R96" s="275" t="str">
        <f>IF(ISBLANK(INDEX('Policy Characteristics'!L:L,MATCH($C96,'Policy Characteristics'!$C:$C,0))),"",INDEX('Policy Characteristics'!L:L,MATCH($C96,'Policy Characteristics'!$C:$C,0)))</f>
        <v>ev-subsidy.html</v>
      </c>
    </row>
    <row r="97" spans="1:18" x14ac:dyDescent="0.25">
      <c r="A97" s="275" t="str">
        <f>IF(ISBLANK(INDEX('Policy Characteristics'!A:A,MATCH($C97,'Policy Characteristics'!$C:$C,0))),"",INDEX('Policy Characteristics'!A:A,MATCH($C97,'Policy Characteristics'!$C:$C,0)))</f>
        <v>Transportation</v>
      </c>
      <c r="B97" s="284" t="str">
        <f>IF(ISBLANK(INDEX('Policy Characteristics'!B:B,MATCH($C97,'Policy Characteristics'!$C:$C,0))),"",INDEX('Policy Characteristics'!B:B,MATCH($C97,'Policy Characteristics'!$C:$C,0)))</f>
        <v>Passenger Vehicle Subsidy</v>
      </c>
      <c r="C97" s="275" t="str">
        <f t="shared" si="3"/>
        <v>Additional Passenger Vehicle Subsidy</v>
      </c>
      <c r="D97" s="47" t="s">
        <v>41</v>
      </c>
      <c r="E97" s="2" t="s">
        <v>2511</v>
      </c>
      <c r="F97" s="2" t="s">
        <v>3312</v>
      </c>
      <c r="G97" s="2" t="s">
        <v>3481</v>
      </c>
      <c r="H97" s="44">
        <v>1678</v>
      </c>
      <c r="I97" s="347" t="s">
        <v>44</v>
      </c>
      <c r="J97" s="276" t="str">
        <f>IF(ISBLANK(INDEX('Policy Characteristics'!D:D,MATCH($C97,'Policy Characteristics'!$C:$C,0))),"",INDEX('Policy Characteristics'!D:D,MATCH($C97,'Policy Characteristics'!$C:$C,0)))</f>
        <v>Vehicle Subsidy</v>
      </c>
      <c r="K97" s="275" t="str">
        <f>IF(ISBLANK(INDEX('Policy Characteristics'!E:E,MATCH($C97,'Policy Characteristics'!$C:$C,0))),"",INDEX('Policy Characteristics'!E:E,MATCH($C97,'Policy Characteristics'!$C:$C,0)))</f>
        <v>trans psgr subsidy</v>
      </c>
      <c r="L97" s="283">
        <f>IF(ISBLANK(INDEX('Policy Characteristics'!F:F,MATCH($C97,'Policy Characteristics'!$C:$C,0))),"",INDEX('Policy Characteristics'!F:F,MATCH($C97,'Policy Characteristics'!$C:$C,0)))</f>
        <v>0</v>
      </c>
      <c r="M97" s="283">
        <f>IF(ISBLANK(INDEX('Policy Characteristics'!G:G,MATCH($C97,'Policy Characteristics'!$C:$C,0))),"",INDEX('Policy Characteristics'!G:G,MATCH($C97,'Policy Characteristics'!$C:$C,0)))</f>
        <v>50000</v>
      </c>
      <c r="N97" s="283">
        <f>IF(ISBLANK(INDEX('Policy Characteristics'!H:H,MATCH($C97,'Policy Characteristics'!$C:$C,0))),"",INDEX('Policy Characteristics'!H:H,MATCH($C97,'Policy Characteristics'!$C:$C,0)))</f>
        <v>100</v>
      </c>
      <c r="O97" s="275" t="str">
        <f>IF(ISBLANK(INDEX('Policy Characteristics'!I:I,MATCH($C97,'Policy Characteristics'!$C:$C,0))),"",INDEX('Policy Characteristics'!I:I,MATCH($C97,'Policy Characteristics'!$C:$C,0)))</f>
        <v>$ / vehicle</v>
      </c>
      <c r="P97" s="275" t="str">
        <f>IF(ISBLANK(INDEX('Policy Characteristics'!J:J,MATCH($C97,'Policy Characteristics'!$C:$C,0))),"",INDEX('Policy Characteristics'!J:J,MATCH($C97,'Policy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7" s="275" t="str">
        <f>IF(ISBLANK(INDEX('Policy Characteristics'!K:K,MATCH($C97,'Policy Characteristics'!$C:$C,0))),"",INDEX('Policy Characteristics'!K:K,MATCH($C97,'Policy Characteristics'!$C:$C,0)))</f>
        <v>transportation-sector-main.html#ev-subsidy</v>
      </c>
      <c r="R97" s="275" t="str">
        <f>IF(ISBLANK(INDEX('Policy Characteristics'!L:L,MATCH($C97,'Policy Characteristics'!$C:$C,0))),"",INDEX('Policy Characteristics'!L:L,MATCH($C97,'Policy Characteristics'!$C:$C,0)))</f>
        <v>ev-subsidy.html</v>
      </c>
    </row>
    <row r="98" spans="1:18" x14ac:dyDescent="0.25">
      <c r="A98" s="275" t="str">
        <f>IF(ISBLANK(INDEX('Policy Characteristics'!A:A,MATCH($C98,'Policy Characteristics'!$C:$C,0))),"",INDEX('Policy Characteristics'!A:A,MATCH($C98,'Policy Characteristics'!$C:$C,0)))</f>
        <v>Transportation</v>
      </c>
      <c r="B98" s="284" t="str">
        <f>IF(ISBLANK(INDEX('Policy Characteristics'!B:B,MATCH($C98,'Policy Characteristics'!$C:$C,0))),"",INDEX('Policy Characteristics'!B:B,MATCH($C98,'Policy Characteristics'!$C:$C,0)))</f>
        <v>Passenger Vehicle Subsidy</v>
      </c>
      <c r="C98" s="275" t="str">
        <f t="shared" si="3"/>
        <v>Additional Passenger Vehicle Subsidy</v>
      </c>
      <c r="D98" s="47" t="s">
        <v>113</v>
      </c>
      <c r="E98" s="47" t="s">
        <v>2246</v>
      </c>
      <c r="F98" s="2" t="s">
        <v>144</v>
      </c>
      <c r="G98" s="47" t="s">
        <v>3476</v>
      </c>
      <c r="H98" s="44">
        <v>1679</v>
      </c>
      <c r="I98" s="346" t="s">
        <v>43</v>
      </c>
      <c r="J98" s="276" t="str">
        <f>IF(ISBLANK(INDEX('Policy Characteristics'!D:D,MATCH($C98,'Policy Characteristics'!$C:$C,0))),"",INDEX('Policy Characteristics'!D:D,MATCH($C98,'Policy Characteristics'!$C:$C,0)))</f>
        <v>Vehicle Subsidy</v>
      </c>
      <c r="K98" s="275" t="str">
        <f>IF(ISBLANK(INDEX('Policy Characteristics'!E:E,MATCH($C98,'Policy Characteristics'!$C:$C,0))),"",INDEX('Policy Characteristics'!E:E,MATCH($C98,'Policy Characteristics'!$C:$C,0)))</f>
        <v>trans psgr subsidy</v>
      </c>
      <c r="L98" s="283">
        <f>IF(ISBLANK(INDEX('Policy Characteristics'!F:F,MATCH($C98,'Policy Characteristics'!$C:$C,0))),"",INDEX('Policy Characteristics'!F:F,MATCH($C98,'Policy Characteristics'!$C:$C,0)))</f>
        <v>0</v>
      </c>
      <c r="M98" s="283">
        <f>IF(ISBLANK(INDEX('Policy Characteristics'!G:G,MATCH($C98,'Policy Characteristics'!$C:$C,0))),"",INDEX('Policy Characteristics'!G:G,MATCH($C98,'Policy Characteristics'!$C:$C,0)))</f>
        <v>50000</v>
      </c>
      <c r="N98" s="283">
        <f>IF(ISBLANK(INDEX('Policy Characteristics'!H:H,MATCH($C98,'Policy Characteristics'!$C:$C,0))),"",INDEX('Policy Characteristics'!H:H,MATCH($C98,'Policy Characteristics'!$C:$C,0)))</f>
        <v>100</v>
      </c>
      <c r="O98" s="275" t="str">
        <f>IF(ISBLANK(INDEX('Policy Characteristics'!I:I,MATCH($C98,'Policy Characteristics'!$C:$C,0))),"",INDEX('Policy Characteristics'!I:I,MATCH($C98,'Policy Characteristics'!$C:$C,0)))</f>
        <v>$ / vehicle</v>
      </c>
      <c r="P98" s="275" t="str">
        <f>IF(ISBLANK(INDEX('Policy Characteristics'!J:J,MATCH($C98,'Policy Characteristics'!$C:$C,0))),"",INDEX('Policy Characteristics'!J:J,MATCH($C98,'Policy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8" s="275" t="str">
        <f>IF(ISBLANK(INDEX('Policy Characteristics'!K:K,MATCH($C98,'Policy Characteristics'!$C:$C,0))),"",INDEX('Policy Characteristics'!K:K,MATCH($C98,'Policy Characteristics'!$C:$C,0)))</f>
        <v>transportation-sector-main.html#ev-subsidy</v>
      </c>
      <c r="R98" s="275" t="str">
        <f>IF(ISBLANK(INDEX('Policy Characteristics'!L:L,MATCH($C98,'Policy Characteristics'!$C:$C,0))),"",INDEX('Policy Characteristics'!L:L,MATCH($C98,'Policy Characteristics'!$C:$C,0)))</f>
        <v>ev-subsidy.html</v>
      </c>
    </row>
    <row r="99" spans="1:18" x14ac:dyDescent="0.25">
      <c r="A99" s="275" t="str">
        <f>IF(ISBLANK(INDEX('Policy Characteristics'!A:A,MATCH($C99,'Policy Characteristics'!$C:$C,0))),"",INDEX('Policy Characteristics'!A:A,MATCH($C99,'Policy Characteristics'!$C:$C,0)))</f>
        <v>Transportation</v>
      </c>
      <c r="B99" s="284" t="str">
        <f>IF(ISBLANK(INDEX('Policy Characteristics'!B:B,MATCH($C99,'Policy Characteristics'!$C:$C,0))),"",INDEX('Policy Characteristics'!B:B,MATCH($C99,'Policy Characteristics'!$C:$C,0)))</f>
        <v>Passenger Vehicle Subsidy</v>
      </c>
      <c r="C99" s="275" t="str">
        <f t="shared" si="3"/>
        <v>Additional Passenger Vehicle Subsidy</v>
      </c>
      <c r="D99" s="47" t="s">
        <v>113</v>
      </c>
      <c r="E99" s="2" t="s">
        <v>2247</v>
      </c>
      <c r="F99" s="2" t="s">
        <v>144</v>
      </c>
      <c r="G99" s="2" t="s">
        <v>3477</v>
      </c>
      <c r="H99" s="44">
        <v>1680</v>
      </c>
      <c r="I99" s="347" t="s">
        <v>44</v>
      </c>
      <c r="J99" s="276" t="str">
        <f>IF(ISBLANK(INDEX('Policy Characteristics'!D:D,MATCH($C99,'Policy Characteristics'!$C:$C,0))),"",INDEX('Policy Characteristics'!D:D,MATCH($C99,'Policy Characteristics'!$C:$C,0)))</f>
        <v>Vehicle Subsidy</v>
      </c>
      <c r="K99" s="275" t="str">
        <f>IF(ISBLANK(INDEX('Policy Characteristics'!E:E,MATCH($C99,'Policy Characteristics'!$C:$C,0))),"",INDEX('Policy Characteristics'!E:E,MATCH($C99,'Policy Characteristics'!$C:$C,0)))</f>
        <v>trans psgr subsidy</v>
      </c>
      <c r="L99" s="283">
        <f>IF(ISBLANK(INDEX('Policy Characteristics'!F:F,MATCH($C99,'Policy Characteristics'!$C:$C,0))),"",INDEX('Policy Characteristics'!F:F,MATCH($C99,'Policy Characteristics'!$C:$C,0)))</f>
        <v>0</v>
      </c>
      <c r="M99" s="283">
        <f>IF(ISBLANK(INDEX('Policy Characteristics'!G:G,MATCH($C99,'Policy Characteristics'!$C:$C,0))),"",INDEX('Policy Characteristics'!G:G,MATCH($C99,'Policy Characteristics'!$C:$C,0)))</f>
        <v>50000</v>
      </c>
      <c r="N99" s="283">
        <f>IF(ISBLANK(INDEX('Policy Characteristics'!H:H,MATCH($C99,'Policy Characteristics'!$C:$C,0))),"",INDEX('Policy Characteristics'!H:H,MATCH($C99,'Policy Characteristics'!$C:$C,0)))</f>
        <v>100</v>
      </c>
      <c r="O99" s="275" t="str">
        <f>IF(ISBLANK(INDEX('Policy Characteristics'!I:I,MATCH($C99,'Policy Characteristics'!$C:$C,0))),"",INDEX('Policy Characteristics'!I:I,MATCH($C99,'Policy Characteristics'!$C:$C,0)))</f>
        <v>$ / vehicle</v>
      </c>
      <c r="P99" s="275" t="str">
        <f>IF(ISBLANK(INDEX('Policy Characteristics'!J:J,MATCH($C99,'Policy Characteristics'!$C:$C,0))),"",INDEX('Policy Characteristics'!J:J,MATCH($C99,'Policy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9" s="275" t="str">
        <f>IF(ISBLANK(INDEX('Policy Characteristics'!K:K,MATCH($C99,'Policy Characteristics'!$C:$C,0))),"",INDEX('Policy Characteristics'!K:K,MATCH($C99,'Policy Characteristics'!$C:$C,0)))</f>
        <v>transportation-sector-main.html#ev-subsidy</v>
      </c>
      <c r="R99" s="275" t="str">
        <f>IF(ISBLANK(INDEX('Policy Characteristics'!L:L,MATCH($C99,'Policy Characteristics'!$C:$C,0))),"",INDEX('Policy Characteristics'!L:L,MATCH($C99,'Policy Characteristics'!$C:$C,0)))</f>
        <v>ev-subsidy.html</v>
      </c>
    </row>
    <row r="100" spans="1:18" x14ac:dyDescent="0.25">
      <c r="A100" s="275" t="str">
        <f>IF(ISBLANK(INDEX('Policy Characteristics'!A:A,MATCH($C100,'Policy Characteristics'!$C:$C,0))),"",INDEX('Policy Characteristics'!A:A,MATCH($C100,'Policy Characteristics'!$C:$C,0)))</f>
        <v>Transportation</v>
      </c>
      <c r="B100" s="284" t="str">
        <f>IF(ISBLANK(INDEX('Policy Characteristics'!B:B,MATCH($C100,'Policy Characteristics'!$C:$C,0))),"",INDEX('Policy Characteristics'!B:B,MATCH($C100,'Policy Characteristics'!$C:$C,0)))</f>
        <v>Passenger Vehicle Subsidy</v>
      </c>
      <c r="C100" s="275" t="str">
        <f t="shared" si="3"/>
        <v>Additional Passenger Vehicle Subsidy</v>
      </c>
      <c r="D100" s="47" t="s">
        <v>113</v>
      </c>
      <c r="E100" s="2" t="s">
        <v>2248</v>
      </c>
      <c r="F100" s="2" t="s">
        <v>144</v>
      </c>
      <c r="G100" s="2" t="s">
        <v>3478</v>
      </c>
      <c r="H100" s="44">
        <v>1681</v>
      </c>
      <c r="I100" s="347" t="s">
        <v>44</v>
      </c>
      <c r="J100" s="276" t="str">
        <f>IF(ISBLANK(INDEX('Policy Characteristics'!D:D,MATCH($C100,'Policy Characteristics'!$C:$C,0))),"",INDEX('Policy Characteristics'!D:D,MATCH($C100,'Policy Characteristics'!$C:$C,0)))</f>
        <v>Vehicle Subsidy</v>
      </c>
      <c r="K100" s="275" t="str">
        <f>IF(ISBLANK(INDEX('Policy Characteristics'!E:E,MATCH($C100,'Policy Characteristics'!$C:$C,0))),"",INDEX('Policy Characteristics'!E:E,MATCH($C100,'Policy Characteristics'!$C:$C,0)))</f>
        <v>trans psgr subsidy</v>
      </c>
      <c r="L100" s="283">
        <f>IF(ISBLANK(INDEX('Policy Characteristics'!F:F,MATCH($C100,'Policy Characteristics'!$C:$C,0))),"",INDEX('Policy Characteristics'!F:F,MATCH($C100,'Policy Characteristics'!$C:$C,0)))</f>
        <v>0</v>
      </c>
      <c r="M100" s="283">
        <f>IF(ISBLANK(INDEX('Policy Characteristics'!G:G,MATCH($C100,'Policy Characteristics'!$C:$C,0))),"",INDEX('Policy Characteristics'!G:G,MATCH($C100,'Policy Characteristics'!$C:$C,0)))</f>
        <v>50000</v>
      </c>
      <c r="N100" s="283">
        <f>IF(ISBLANK(INDEX('Policy Characteristics'!H:H,MATCH($C100,'Policy Characteristics'!$C:$C,0))),"",INDEX('Policy Characteristics'!H:H,MATCH($C100,'Policy Characteristics'!$C:$C,0)))</f>
        <v>100</v>
      </c>
      <c r="O100" s="275" t="str">
        <f>IF(ISBLANK(INDEX('Policy Characteristics'!I:I,MATCH($C100,'Policy Characteristics'!$C:$C,0))),"",INDEX('Policy Characteristics'!I:I,MATCH($C100,'Policy Characteristics'!$C:$C,0)))</f>
        <v>$ / vehicle</v>
      </c>
      <c r="P100" s="275" t="str">
        <f>IF(ISBLANK(INDEX('Policy Characteristics'!J:J,MATCH($C100,'Policy Characteristics'!$C:$C,0))),"",INDEX('Policy Characteristics'!J:J,MATCH($C100,'Policy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0" s="275" t="str">
        <f>IF(ISBLANK(INDEX('Policy Characteristics'!K:K,MATCH($C100,'Policy Characteristics'!$C:$C,0))),"",INDEX('Policy Characteristics'!K:K,MATCH($C100,'Policy Characteristics'!$C:$C,0)))</f>
        <v>transportation-sector-main.html#ev-subsidy</v>
      </c>
      <c r="R100" s="275" t="str">
        <f>IF(ISBLANK(INDEX('Policy Characteristics'!L:L,MATCH($C100,'Policy Characteristics'!$C:$C,0))),"",INDEX('Policy Characteristics'!L:L,MATCH($C100,'Policy Characteristics'!$C:$C,0)))</f>
        <v>ev-subsidy.html</v>
      </c>
    </row>
    <row r="101" spans="1:18" x14ac:dyDescent="0.25">
      <c r="A101" s="275" t="str">
        <f>IF(ISBLANK(INDEX('Policy Characteristics'!A:A,MATCH($C101,'Policy Characteristics'!$C:$C,0))),"",INDEX('Policy Characteristics'!A:A,MATCH($C101,'Policy Characteristics'!$C:$C,0)))</f>
        <v>Transportation</v>
      </c>
      <c r="B101" s="284" t="str">
        <f>IF(ISBLANK(INDEX('Policy Characteristics'!B:B,MATCH($C101,'Policy Characteristics'!$C:$C,0))),"",INDEX('Policy Characteristics'!B:B,MATCH($C101,'Policy Characteristics'!$C:$C,0)))</f>
        <v>Passenger Vehicle Subsidy</v>
      </c>
      <c r="C101" s="275" t="str">
        <f t="shared" si="3"/>
        <v>Additional Passenger Vehicle Subsidy</v>
      </c>
      <c r="D101" s="47" t="s">
        <v>113</v>
      </c>
      <c r="E101" s="2" t="s">
        <v>2249</v>
      </c>
      <c r="F101" s="2" t="s">
        <v>144</v>
      </c>
      <c r="G101" s="2" t="s">
        <v>3479</v>
      </c>
      <c r="H101" s="44">
        <v>1682</v>
      </c>
      <c r="I101" s="347" t="s">
        <v>44</v>
      </c>
      <c r="J101" s="276" t="str">
        <f>IF(ISBLANK(INDEX('Policy Characteristics'!D:D,MATCH($C101,'Policy Characteristics'!$C:$C,0))),"",INDEX('Policy Characteristics'!D:D,MATCH($C101,'Policy Characteristics'!$C:$C,0)))</f>
        <v>Vehicle Subsidy</v>
      </c>
      <c r="K101" s="275" t="str">
        <f>IF(ISBLANK(INDEX('Policy Characteristics'!E:E,MATCH($C101,'Policy Characteristics'!$C:$C,0))),"",INDEX('Policy Characteristics'!E:E,MATCH($C101,'Policy Characteristics'!$C:$C,0)))</f>
        <v>trans psgr subsidy</v>
      </c>
      <c r="L101" s="283">
        <f>IF(ISBLANK(INDEX('Policy Characteristics'!F:F,MATCH($C101,'Policy Characteristics'!$C:$C,0))),"",INDEX('Policy Characteristics'!F:F,MATCH($C101,'Policy Characteristics'!$C:$C,0)))</f>
        <v>0</v>
      </c>
      <c r="M101" s="283">
        <f>IF(ISBLANK(INDEX('Policy Characteristics'!G:G,MATCH($C101,'Policy Characteristics'!$C:$C,0))),"",INDEX('Policy Characteristics'!G:G,MATCH($C101,'Policy Characteristics'!$C:$C,0)))</f>
        <v>50000</v>
      </c>
      <c r="N101" s="283">
        <f>IF(ISBLANK(INDEX('Policy Characteristics'!H:H,MATCH($C101,'Policy Characteristics'!$C:$C,0))),"",INDEX('Policy Characteristics'!H:H,MATCH($C101,'Policy Characteristics'!$C:$C,0)))</f>
        <v>100</v>
      </c>
      <c r="O101" s="275" t="str">
        <f>IF(ISBLANK(INDEX('Policy Characteristics'!I:I,MATCH($C101,'Policy Characteristics'!$C:$C,0))),"",INDEX('Policy Characteristics'!I:I,MATCH($C101,'Policy Characteristics'!$C:$C,0)))</f>
        <v>$ / vehicle</v>
      </c>
      <c r="P101" s="275" t="str">
        <f>IF(ISBLANK(INDEX('Policy Characteristics'!J:J,MATCH($C101,'Policy Characteristics'!$C:$C,0))),"",INDEX('Policy Characteristics'!J:J,MATCH($C101,'Policy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1" s="275" t="str">
        <f>IF(ISBLANK(INDEX('Policy Characteristics'!K:K,MATCH($C101,'Policy Characteristics'!$C:$C,0))),"",INDEX('Policy Characteristics'!K:K,MATCH($C101,'Policy Characteristics'!$C:$C,0)))</f>
        <v>transportation-sector-main.html#ev-subsidy</v>
      </c>
      <c r="R101" s="275" t="str">
        <f>IF(ISBLANK(INDEX('Policy Characteristics'!L:L,MATCH($C101,'Policy Characteristics'!$C:$C,0))),"",INDEX('Policy Characteristics'!L:L,MATCH($C101,'Policy Characteristics'!$C:$C,0)))</f>
        <v>ev-subsidy.html</v>
      </c>
    </row>
    <row r="102" spans="1:18" x14ac:dyDescent="0.25">
      <c r="A102" s="275" t="str">
        <f>IF(ISBLANK(INDEX('Policy Characteristics'!A:A,MATCH($C102,'Policy Characteristics'!$C:$C,0))),"",INDEX('Policy Characteristics'!A:A,MATCH($C102,'Policy Characteristics'!$C:$C,0)))</f>
        <v>Transportation</v>
      </c>
      <c r="B102" s="284" t="str">
        <f>IF(ISBLANK(INDEX('Policy Characteristics'!B:B,MATCH($C102,'Policy Characteristics'!$C:$C,0))),"",INDEX('Policy Characteristics'!B:B,MATCH($C102,'Policy Characteristics'!$C:$C,0)))</f>
        <v>Passenger Vehicle Subsidy</v>
      </c>
      <c r="C102" s="275" t="str">
        <f t="shared" si="3"/>
        <v>Additional Passenger Vehicle Subsidy</v>
      </c>
      <c r="D102" s="47" t="s">
        <v>113</v>
      </c>
      <c r="E102" s="2" t="s">
        <v>2250</v>
      </c>
      <c r="F102" s="2" t="s">
        <v>144</v>
      </c>
      <c r="G102" s="2" t="s">
        <v>3480</v>
      </c>
      <c r="H102" s="44">
        <v>1683</v>
      </c>
      <c r="I102" s="346" t="s">
        <v>43</v>
      </c>
      <c r="J102" s="276" t="str">
        <f>IF(ISBLANK(INDEX('Policy Characteristics'!D:D,MATCH($C102,'Policy Characteristics'!$C:$C,0))),"",INDEX('Policy Characteristics'!D:D,MATCH($C102,'Policy Characteristics'!$C:$C,0)))</f>
        <v>Vehicle Subsidy</v>
      </c>
      <c r="K102" s="275" t="str">
        <f>IF(ISBLANK(INDEX('Policy Characteristics'!E:E,MATCH($C102,'Policy Characteristics'!$C:$C,0))),"",INDEX('Policy Characteristics'!E:E,MATCH($C102,'Policy Characteristics'!$C:$C,0)))</f>
        <v>trans psgr subsidy</v>
      </c>
      <c r="L102" s="283">
        <f>IF(ISBLANK(INDEX('Policy Characteristics'!F:F,MATCH($C102,'Policy Characteristics'!$C:$C,0))),"",INDEX('Policy Characteristics'!F:F,MATCH($C102,'Policy Characteristics'!$C:$C,0)))</f>
        <v>0</v>
      </c>
      <c r="M102" s="283">
        <f>IF(ISBLANK(INDEX('Policy Characteristics'!G:G,MATCH($C102,'Policy Characteristics'!$C:$C,0))),"",INDEX('Policy Characteristics'!G:G,MATCH($C102,'Policy Characteristics'!$C:$C,0)))</f>
        <v>50000</v>
      </c>
      <c r="N102" s="283">
        <f>IF(ISBLANK(INDEX('Policy Characteristics'!H:H,MATCH($C102,'Policy Characteristics'!$C:$C,0))),"",INDEX('Policy Characteristics'!H:H,MATCH($C102,'Policy Characteristics'!$C:$C,0)))</f>
        <v>100</v>
      </c>
      <c r="O102" s="275" t="str">
        <f>IF(ISBLANK(INDEX('Policy Characteristics'!I:I,MATCH($C102,'Policy Characteristics'!$C:$C,0))),"",INDEX('Policy Characteristics'!I:I,MATCH($C102,'Policy Characteristics'!$C:$C,0)))</f>
        <v>$ / vehicle</v>
      </c>
      <c r="P102" s="275" t="str">
        <f>IF(ISBLANK(INDEX('Policy Characteristics'!J:J,MATCH($C102,'Policy Characteristics'!$C:$C,0))),"",INDEX('Policy Characteristics'!J:J,MATCH($C102,'Policy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2" s="275" t="str">
        <f>IF(ISBLANK(INDEX('Policy Characteristics'!K:K,MATCH($C102,'Policy Characteristics'!$C:$C,0))),"",INDEX('Policy Characteristics'!K:K,MATCH($C102,'Policy Characteristics'!$C:$C,0)))</f>
        <v>transportation-sector-main.html#ev-subsidy</v>
      </c>
      <c r="R102" s="275" t="str">
        <f>IF(ISBLANK(INDEX('Policy Characteristics'!L:L,MATCH($C102,'Policy Characteristics'!$C:$C,0))),"",INDEX('Policy Characteristics'!L:L,MATCH($C102,'Policy Characteristics'!$C:$C,0)))</f>
        <v>ev-subsidy.html</v>
      </c>
    </row>
    <row r="103" spans="1:18" x14ac:dyDescent="0.25">
      <c r="A103" s="275" t="str">
        <f>IF(ISBLANK(INDEX('Policy Characteristics'!A:A,MATCH($C103,'Policy Characteristics'!$C:$C,0))),"",INDEX('Policy Characteristics'!A:A,MATCH($C103,'Policy Characteristics'!$C:$C,0)))</f>
        <v>Transportation</v>
      </c>
      <c r="B103" s="284" t="str">
        <f>IF(ISBLANK(INDEX('Policy Characteristics'!B:B,MATCH($C103,'Policy Characteristics'!$C:$C,0))),"",INDEX('Policy Characteristics'!B:B,MATCH($C103,'Policy Characteristics'!$C:$C,0)))</f>
        <v>Passenger Vehicle Subsidy</v>
      </c>
      <c r="C103" s="275" t="str">
        <f t="shared" si="3"/>
        <v>Additional Passenger Vehicle Subsidy</v>
      </c>
      <c r="D103" s="47" t="s">
        <v>113</v>
      </c>
      <c r="E103" s="2" t="s">
        <v>2512</v>
      </c>
      <c r="F103" s="2" t="s">
        <v>144</v>
      </c>
      <c r="G103" s="2" t="s">
        <v>2512</v>
      </c>
      <c r="H103" s="44">
        <v>1684</v>
      </c>
      <c r="I103" s="347" t="s">
        <v>44</v>
      </c>
      <c r="J103" s="276" t="str">
        <f>IF(ISBLANK(INDEX('Policy Characteristics'!D:D,MATCH($C103,'Policy Characteristics'!$C:$C,0))),"",INDEX('Policy Characteristics'!D:D,MATCH($C103,'Policy Characteristics'!$C:$C,0)))</f>
        <v>Vehicle Subsidy</v>
      </c>
      <c r="K103" s="275" t="str">
        <f>IF(ISBLANK(INDEX('Policy Characteristics'!E:E,MATCH($C103,'Policy Characteristics'!$C:$C,0))),"",INDEX('Policy Characteristics'!E:E,MATCH($C103,'Policy Characteristics'!$C:$C,0)))</f>
        <v>trans psgr subsidy</v>
      </c>
      <c r="L103" s="283">
        <f>IF(ISBLANK(INDEX('Policy Characteristics'!F:F,MATCH($C103,'Policy Characteristics'!$C:$C,0))),"",INDEX('Policy Characteristics'!F:F,MATCH($C103,'Policy Characteristics'!$C:$C,0)))</f>
        <v>0</v>
      </c>
      <c r="M103" s="283">
        <f>IF(ISBLANK(INDEX('Policy Characteristics'!G:G,MATCH($C103,'Policy Characteristics'!$C:$C,0))),"",INDEX('Policy Characteristics'!G:G,MATCH($C103,'Policy Characteristics'!$C:$C,0)))</f>
        <v>50000</v>
      </c>
      <c r="N103" s="283">
        <f>IF(ISBLANK(INDEX('Policy Characteristics'!H:H,MATCH($C103,'Policy Characteristics'!$C:$C,0))),"",INDEX('Policy Characteristics'!H:H,MATCH($C103,'Policy Characteristics'!$C:$C,0)))</f>
        <v>100</v>
      </c>
      <c r="O103" s="275" t="str">
        <f>IF(ISBLANK(INDEX('Policy Characteristics'!I:I,MATCH($C103,'Policy Characteristics'!$C:$C,0))),"",INDEX('Policy Characteristics'!I:I,MATCH($C103,'Policy Characteristics'!$C:$C,0)))</f>
        <v>$ / vehicle</v>
      </c>
      <c r="P103" s="275" t="str">
        <f>IF(ISBLANK(INDEX('Policy Characteristics'!J:J,MATCH($C103,'Policy Characteristics'!$C:$C,0))),"",INDEX('Policy Characteristics'!J:J,MATCH($C103,'Policy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3" s="275" t="str">
        <f>IF(ISBLANK(INDEX('Policy Characteristics'!K:K,MATCH($C103,'Policy Characteristics'!$C:$C,0))),"",INDEX('Policy Characteristics'!K:K,MATCH($C103,'Policy Characteristics'!$C:$C,0)))</f>
        <v>transportation-sector-main.html#ev-subsidy</v>
      </c>
      <c r="R103" s="275" t="str">
        <f>IF(ISBLANK(INDEX('Policy Characteristics'!L:L,MATCH($C103,'Policy Characteristics'!$C:$C,0))),"",INDEX('Policy Characteristics'!L:L,MATCH($C103,'Policy Characteristics'!$C:$C,0)))</f>
        <v>ev-subsidy.html</v>
      </c>
    </row>
    <row r="104" spans="1:18" x14ac:dyDescent="0.25">
      <c r="A104" s="275" t="str">
        <f>IF(ISBLANK(INDEX('Policy Characteristics'!A:A,MATCH($C104,'Policy Characteristics'!$C:$C,0))),"",INDEX('Policy Characteristics'!A:A,MATCH($C104,'Policy Characteristics'!$C:$C,0)))</f>
        <v>Transportation</v>
      </c>
      <c r="B104" s="284" t="str">
        <f>IF(ISBLANK(INDEX('Policy Characteristics'!B:B,MATCH($C104,'Policy Characteristics'!$C:$C,0))),"",INDEX('Policy Characteristics'!B:B,MATCH($C104,'Policy Characteristics'!$C:$C,0)))</f>
        <v>Passenger Vehicle Subsidy</v>
      </c>
      <c r="C104" s="275" t="str">
        <f t="shared" si="3"/>
        <v>Additional Passenger Vehicle Subsidy</v>
      </c>
      <c r="D104" s="47" t="s">
        <v>113</v>
      </c>
      <c r="E104" s="2" t="s">
        <v>2511</v>
      </c>
      <c r="F104" s="2" t="s">
        <v>144</v>
      </c>
      <c r="G104" s="2" t="s">
        <v>3481</v>
      </c>
      <c r="H104" s="44">
        <v>1685</v>
      </c>
      <c r="I104" s="346" t="s">
        <v>43</v>
      </c>
      <c r="J104" s="276" t="str">
        <f>IF(ISBLANK(INDEX('Policy Characteristics'!D:D,MATCH($C104,'Policy Characteristics'!$C:$C,0))),"",INDEX('Policy Characteristics'!D:D,MATCH($C104,'Policy Characteristics'!$C:$C,0)))</f>
        <v>Vehicle Subsidy</v>
      </c>
      <c r="K104" s="275" t="str">
        <f>IF(ISBLANK(INDEX('Policy Characteristics'!E:E,MATCH($C104,'Policy Characteristics'!$C:$C,0))),"",INDEX('Policy Characteristics'!E:E,MATCH($C104,'Policy Characteristics'!$C:$C,0)))</f>
        <v>trans psgr subsidy</v>
      </c>
      <c r="L104" s="283">
        <f>IF(ISBLANK(INDEX('Policy Characteristics'!F:F,MATCH($C104,'Policy Characteristics'!$C:$C,0))),"",INDEX('Policy Characteristics'!F:F,MATCH($C104,'Policy Characteristics'!$C:$C,0)))</f>
        <v>0</v>
      </c>
      <c r="M104" s="283">
        <f>IF(ISBLANK(INDEX('Policy Characteristics'!G:G,MATCH($C104,'Policy Characteristics'!$C:$C,0))),"",INDEX('Policy Characteristics'!G:G,MATCH($C104,'Policy Characteristics'!$C:$C,0)))</f>
        <v>50000</v>
      </c>
      <c r="N104" s="283">
        <f>IF(ISBLANK(INDEX('Policy Characteristics'!H:H,MATCH($C104,'Policy Characteristics'!$C:$C,0))),"",INDEX('Policy Characteristics'!H:H,MATCH($C104,'Policy Characteristics'!$C:$C,0)))</f>
        <v>100</v>
      </c>
      <c r="O104" s="275" t="str">
        <f>IF(ISBLANK(INDEX('Policy Characteristics'!I:I,MATCH($C104,'Policy Characteristics'!$C:$C,0))),"",INDEX('Policy Characteristics'!I:I,MATCH($C104,'Policy Characteristics'!$C:$C,0)))</f>
        <v>$ / vehicle</v>
      </c>
      <c r="P104" s="275" t="str">
        <f>IF(ISBLANK(INDEX('Policy Characteristics'!J:J,MATCH($C104,'Policy Characteristics'!$C:$C,0))),"",INDEX('Policy Characteristics'!J:J,MATCH($C104,'Policy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4" s="275" t="str">
        <f>IF(ISBLANK(INDEX('Policy Characteristics'!K:K,MATCH($C104,'Policy Characteristics'!$C:$C,0))),"",INDEX('Policy Characteristics'!K:K,MATCH($C104,'Policy Characteristics'!$C:$C,0)))</f>
        <v>transportation-sector-main.html#ev-subsidy</v>
      </c>
      <c r="R104" s="275" t="str">
        <f>IF(ISBLANK(INDEX('Policy Characteristics'!L:L,MATCH($C104,'Policy Characteristics'!$C:$C,0))),"",INDEX('Policy Characteristics'!L:L,MATCH($C104,'Policy Characteristics'!$C:$C,0)))</f>
        <v>ev-subsidy.html</v>
      </c>
    </row>
    <row r="105" spans="1:18" s="2" customFormat="1" x14ac:dyDescent="0.25">
      <c r="A105" s="275" t="str">
        <f>IF(ISBLANK(INDEX('Policy Characteristics'!A:A,MATCH($C105,'Policy Characteristics'!$C:$C,0))),"",INDEX('Policy Characteristics'!A:A,MATCH($C105,'Policy Characteristics'!$C:$C,0)))</f>
        <v>Transportation</v>
      </c>
      <c r="B105" s="284" t="str">
        <f>IF(ISBLANK(INDEX('Policy Characteristics'!B:B,MATCH($C105,'Policy Characteristics'!$C:$C,0))),"",INDEX('Policy Characteristics'!B:B,MATCH($C105,'Policy Characteristics'!$C:$C,0)))</f>
        <v>Freight Vehicle Subsidy</v>
      </c>
      <c r="C105" s="1" t="s">
        <v>3469</v>
      </c>
      <c r="D105" s="47" t="s">
        <v>37</v>
      </c>
      <c r="E105" s="47" t="s">
        <v>2246</v>
      </c>
      <c r="F105" s="2" t="s">
        <v>3488</v>
      </c>
      <c r="G105" s="47" t="s">
        <v>3476</v>
      </c>
      <c r="H105" s="44">
        <v>1686</v>
      </c>
      <c r="I105" s="346" t="s">
        <v>43</v>
      </c>
      <c r="J105" s="276" t="str">
        <f>IF(ISBLANK(INDEX('Policy Characteristics'!D:D,MATCH($C105,'Policy Characteristics'!$C:$C,0))),"",INDEX('Policy Characteristics'!D:D,MATCH($C105,'Policy Characteristics'!$C:$C,0)))</f>
        <v>Vehicle Subsidy</v>
      </c>
      <c r="K105" s="275" t="str">
        <f>IF(ISBLANK(INDEX('Policy Characteristics'!E:E,MATCH($C105,'Policy Characteristics'!$C:$C,0))),"",INDEX('Policy Characteristics'!E:E,MATCH($C105,'Policy Characteristics'!$C:$C,0)))</f>
        <v>trans frgt subsidy</v>
      </c>
      <c r="L105" s="283">
        <f>IF(ISBLANK(INDEX('Policy Characteristics'!F:F,MATCH($C105,'Policy Characteristics'!$C:$C,0))),"",INDEX('Policy Characteristics'!F:F,MATCH($C105,'Policy Characteristics'!$C:$C,0)))</f>
        <v>0</v>
      </c>
      <c r="M105" s="283">
        <f>IF(ISBLANK(INDEX('Policy Characteristics'!G:G,MATCH($C105,'Policy Characteristics'!$C:$C,0))),"",INDEX('Policy Characteristics'!G:G,MATCH($C105,'Policy Characteristics'!$C:$C,0)))</f>
        <v>50000</v>
      </c>
      <c r="N105" s="283">
        <f>IF(ISBLANK(INDEX('Policy Characteristics'!H:H,MATCH($C105,'Policy Characteristics'!$C:$C,0))),"",INDEX('Policy Characteristics'!H:H,MATCH($C105,'Policy Characteristics'!$C:$C,0)))</f>
        <v>100</v>
      </c>
      <c r="O105" s="275" t="str">
        <f>IF(ISBLANK(INDEX('Policy Characteristics'!I:I,MATCH($C105,'Policy Characteristics'!$C:$C,0))),"",INDEX('Policy Characteristics'!I:I,MATCH($C105,'Policy Characteristics'!$C:$C,0)))</f>
        <v>$ / vehicle</v>
      </c>
      <c r="P105" s="275"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5" s="275" t="str">
        <f>IF(ISBLANK(INDEX('Policy Characteristics'!K:K,MATCH($C105,'Policy Characteristics'!$C:$C,0))),"",INDEX('Policy Characteristics'!K:K,MATCH($C105,'Policy Characteristics'!$C:$C,0)))</f>
        <v>transportation-sector-main.html#ev-subsidy</v>
      </c>
      <c r="R105" s="275" t="str">
        <f>IF(ISBLANK(INDEX('Policy Characteristics'!L:L,MATCH($C105,'Policy Characteristics'!$C:$C,0))),"",INDEX('Policy Characteristics'!L:L,MATCH($C105,'Policy Characteristics'!$C:$C,0)))</f>
        <v>ev-subsidy.html</v>
      </c>
    </row>
    <row r="106" spans="1:18" ht="14.45" customHeight="1" x14ac:dyDescent="0.25">
      <c r="A106" s="275" t="str">
        <f>IF(ISBLANK(INDEX('Policy Characteristics'!A:A,MATCH($C106,'Policy Characteristics'!$C:$C,0))),"",INDEX('Policy Characteristics'!A:A,MATCH($C106,'Policy Characteristics'!$C:$C,0)))</f>
        <v>Transportation</v>
      </c>
      <c r="B106" s="284" t="str">
        <f>IF(ISBLANK(INDEX('Policy Characteristics'!B:B,MATCH($C106,'Policy Characteristics'!$C:$C,0))),"",INDEX('Policy Characteristics'!B:B,MATCH($C106,'Policy Characteristics'!$C:$C,0)))</f>
        <v>Freight Vehicle Subsidy</v>
      </c>
      <c r="C106" s="275" t="str">
        <f>C$105</f>
        <v>Additional Freight Vehicle Subsidy</v>
      </c>
      <c r="D106" s="47" t="s">
        <v>37</v>
      </c>
      <c r="E106" s="2" t="s">
        <v>2247</v>
      </c>
      <c r="F106" s="2" t="s">
        <v>3488</v>
      </c>
      <c r="G106" s="2" t="s">
        <v>3477</v>
      </c>
      <c r="H106" s="44">
        <v>1687</v>
      </c>
      <c r="I106" s="346" t="s">
        <v>43</v>
      </c>
      <c r="J106" s="276" t="str">
        <f>IF(ISBLANK(INDEX('Policy Characteristics'!D:D,MATCH($C106,'Policy Characteristics'!$C:$C,0))),"",INDEX('Policy Characteristics'!D:D,MATCH($C106,'Policy Characteristics'!$C:$C,0)))</f>
        <v>Vehicle Subsidy</v>
      </c>
      <c r="K106" s="275" t="str">
        <f>IF(ISBLANK(INDEX('Policy Characteristics'!E:E,MATCH($C106,'Policy Characteristics'!$C:$C,0))),"",INDEX('Policy Characteristics'!E:E,MATCH($C106,'Policy Characteristics'!$C:$C,0)))</f>
        <v>trans frgt subsidy</v>
      </c>
      <c r="L106" s="283">
        <f>IF(ISBLANK(INDEX('Policy Characteristics'!F:F,MATCH($C106,'Policy Characteristics'!$C:$C,0))),"",INDEX('Policy Characteristics'!F:F,MATCH($C106,'Policy Characteristics'!$C:$C,0)))</f>
        <v>0</v>
      </c>
      <c r="M106" s="283">
        <f>IF(ISBLANK(INDEX('Policy Characteristics'!G:G,MATCH($C106,'Policy Characteristics'!$C:$C,0))),"",INDEX('Policy Characteristics'!G:G,MATCH($C106,'Policy Characteristics'!$C:$C,0)))</f>
        <v>50000</v>
      </c>
      <c r="N106" s="283">
        <f>IF(ISBLANK(INDEX('Policy Characteristics'!H:H,MATCH($C106,'Policy Characteristics'!$C:$C,0))),"",INDEX('Policy Characteristics'!H:H,MATCH($C106,'Policy Characteristics'!$C:$C,0)))</f>
        <v>100</v>
      </c>
      <c r="O106" s="275" t="str">
        <f>IF(ISBLANK(INDEX('Policy Characteristics'!I:I,MATCH($C106,'Policy Characteristics'!$C:$C,0))),"",INDEX('Policy Characteristics'!I:I,MATCH($C106,'Policy Characteristics'!$C:$C,0)))</f>
        <v>$ / vehicle</v>
      </c>
      <c r="P106" s="275"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6" s="275" t="str">
        <f>IF(ISBLANK(INDEX('Policy Characteristics'!K:K,MATCH($C106,'Policy Characteristics'!$C:$C,0))),"",INDEX('Policy Characteristics'!K:K,MATCH($C106,'Policy Characteristics'!$C:$C,0)))</f>
        <v>transportation-sector-main.html#ev-subsidy</v>
      </c>
      <c r="R106" s="275" t="str">
        <f>IF(ISBLANK(INDEX('Policy Characteristics'!L:L,MATCH($C106,'Policy Characteristics'!$C:$C,0))),"",INDEX('Policy Characteristics'!L:L,MATCH($C106,'Policy Characteristics'!$C:$C,0)))</f>
        <v>ev-subsidy.html</v>
      </c>
    </row>
    <row r="107" spans="1:18" x14ac:dyDescent="0.25">
      <c r="A107" s="275" t="str">
        <f>IF(ISBLANK(INDEX('Policy Characteristics'!A:A,MATCH($C107,'Policy Characteristics'!$C:$C,0))),"",INDEX('Policy Characteristics'!A:A,MATCH($C107,'Policy Characteristics'!$C:$C,0)))</f>
        <v>Transportation</v>
      </c>
      <c r="B107" s="284" t="str">
        <f>IF(ISBLANK(INDEX('Policy Characteristics'!B:B,MATCH($C107,'Policy Characteristics'!$C:$C,0))),"",INDEX('Policy Characteristics'!B:B,MATCH($C107,'Policy Characteristics'!$C:$C,0)))</f>
        <v>Freight Vehicle Subsidy</v>
      </c>
      <c r="C107" s="275" t="str">
        <f t="shared" ref="C107:C146" si="4">C$105</f>
        <v>Additional Freight Vehicle Subsidy</v>
      </c>
      <c r="D107" s="47" t="s">
        <v>37</v>
      </c>
      <c r="E107" s="2" t="s">
        <v>2248</v>
      </c>
      <c r="F107" s="2" t="s">
        <v>3488</v>
      </c>
      <c r="G107" s="2" t="s">
        <v>3478</v>
      </c>
      <c r="H107" s="44">
        <v>1688</v>
      </c>
      <c r="I107" s="347" t="s">
        <v>44</v>
      </c>
      <c r="J107" s="276" t="str">
        <f>IF(ISBLANK(INDEX('Policy Characteristics'!D:D,MATCH($C107,'Policy Characteristics'!$C:$C,0))),"",INDEX('Policy Characteristics'!D:D,MATCH($C107,'Policy Characteristics'!$C:$C,0)))</f>
        <v>Vehicle Subsidy</v>
      </c>
      <c r="K107" s="275" t="str">
        <f>IF(ISBLANK(INDEX('Policy Characteristics'!E:E,MATCH($C107,'Policy Characteristics'!$C:$C,0))),"",INDEX('Policy Characteristics'!E:E,MATCH($C107,'Policy Characteristics'!$C:$C,0)))</f>
        <v>trans frgt subsidy</v>
      </c>
      <c r="L107" s="283">
        <f>IF(ISBLANK(INDEX('Policy Characteristics'!F:F,MATCH($C107,'Policy Characteristics'!$C:$C,0))),"",INDEX('Policy Characteristics'!F:F,MATCH($C107,'Policy Characteristics'!$C:$C,0)))</f>
        <v>0</v>
      </c>
      <c r="M107" s="283">
        <f>IF(ISBLANK(INDEX('Policy Characteristics'!G:G,MATCH($C107,'Policy Characteristics'!$C:$C,0))),"",INDEX('Policy Characteristics'!G:G,MATCH($C107,'Policy Characteristics'!$C:$C,0)))</f>
        <v>50000</v>
      </c>
      <c r="N107" s="283">
        <f>IF(ISBLANK(INDEX('Policy Characteristics'!H:H,MATCH($C107,'Policy Characteristics'!$C:$C,0))),"",INDEX('Policy Characteristics'!H:H,MATCH($C107,'Policy Characteristics'!$C:$C,0)))</f>
        <v>100</v>
      </c>
      <c r="O107" s="275" t="str">
        <f>IF(ISBLANK(INDEX('Policy Characteristics'!I:I,MATCH($C107,'Policy Characteristics'!$C:$C,0))),"",INDEX('Policy Characteristics'!I:I,MATCH($C107,'Policy Characteristics'!$C:$C,0)))</f>
        <v>$ / vehicle</v>
      </c>
      <c r="P107" s="275"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7" s="275" t="str">
        <f>IF(ISBLANK(INDEX('Policy Characteristics'!K:K,MATCH($C107,'Policy Characteristics'!$C:$C,0))),"",INDEX('Policy Characteristics'!K:K,MATCH($C107,'Policy Characteristics'!$C:$C,0)))</f>
        <v>transportation-sector-main.html#ev-subsidy</v>
      </c>
      <c r="R107" s="275" t="str">
        <f>IF(ISBLANK(INDEX('Policy Characteristics'!L:L,MATCH($C107,'Policy Characteristics'!$C:$C,0))),"",INDEX('Policy Characteristics'!L:L,MATCH($C107,'Policy Characteristics'!$C:$C,0)))</f>
        <v>ev-subsidy.html</v>
      </c>
    </row>
    <row r="108" spans="1:18" x14ac:dyDescent="0.25">
      <c r="A108" s="275" t="str">
        <f>IF(ISBLANK(INDEX('Policy Characteristics'!A:A,MATCH($C108,'Policy Characteristics'!$C:$C,0))),"",INDEX('Policy Characteristics'!A:A,MATCH($C108,'Policy Characteristics'!$C:$C,0)))</f>
        <v>Transportation</v>
      </c>
      <c r="B108" s="284" t="str">
        <f>IF(ISBLANK(INDEX('Policy Characteristics'!B:B,MATCH($C108,'Policy Characteristics'!$C:$C,0))),"",INDEX('Policy Characteristics'!B:B,MATCH($C108,'Policy Characteristics'!$C:$C,0)))</f>
        <v>Freight Vehicle Subsidy</v>
      </c>
      <c r="C108" s="275" t="str">
        <f t="shared" si="4"/>
        <v>Additional Freight Vehicle Subsidy</v>
      </c>
      <c r="D108" s="47" t="s">
        <v>37</v>
      </c>
      <c r="E108" s="2" t="s">
        <v>2249</v>
      </c>
      <c r="F108" s="2" t="s">
        <v>3488</v>
      </c>
      <c r="G108" s="2" t="s">
        <v>3479</v>
      </c>
      <c r="H108" s="44">
        <v>1689</v>
      </c>
      <c r="I108" s="347" t="s">
        <v>44</v>
      </c>
      <c r="J108" s="276" t="str">
        <f>IF(ISBLANK(INDEX('Policy Characteristics'!D:D,MATCH($C108,'Policy Characteristics'!$C:$C,0))),"",INDEX('Policy Characteristics'!D:D,MATCH($C108,'Policy Characteristics'!$C:$C,0)))</f>
        <v>Vehicle Subsidy</v>
      </c>
      <c r="K108" s="275" t="str">
        <f>IF(ISBLANK(INDEX('Policy Characteristics'!E:E,MATCH($C108,'Policy Characteristics'!$C:$C,0))),"",INDEX('Policy Characteristics'!E:E,MATCH($C108,'Policy Characteristics'!$C:$C,0)))</f>
        <v>trans frgt subsidy</v>
      </c>
      <c r="L108" s="283">
        <f>IF(ISBLANK(INDEX('Policy Characteristics'!F:F,MATCH($C108,'Policy Characteristics'!$C:$C,0))),"",INDEX('Policy Characteristics'!F:F,MATCH($C108,'Policy Characteristics'!$C:$C,0)))</f>
        <v>0</v>
      </c>
      <c r="M108" s="283">
        <f>IF(ISBLANK(INDEX('Policy Characteristics'!G:G,MATCH($C108,'Policy Characteristics'!$C:$C,0))),"",INDEX('Policy Characteristics'!G:G,MATCH($C108,'Policy Characteristics'!$C:$C,0)))</f>
        <v>50000</v>
      </c>
      <c r="N108" s="283">
        <f>IF(ISBLANK(INDEX('Policy Characteristics'!H:H,MATCH($C108,'Policy Characteristics'!$C:$C,0))),"",INDEX('Policy Characteristics'!H:H,MATCH($C108,'Policy Characteristics'!$C:$C,0)))</f>
        <v>100</v>
      </c>
      <c r="O108" s="275" t="str">
        <f>IF(ISBLANK(INDEX('Policy Characteristics'!I:I,MATCH($C108,'Policy Characteristics'!$C:$C,0))),"",INDEX('Policy Characteristics'!I:I,MATCH($C108,'Policy Characteristics'!$C:$C,0)))</f>
        <v>$ / vehicle</v>
      </c>
      <c r="P108" s="275"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8" s="275" t="str">
        <f>IF(ISBLANK(INDEX('Policy Characteristics'!K:K,MATCH($C108,'Policy Characteristics'!$C:$C,0))),"",INDEX('Policy Characteristics'!K:K,MATCH($C108,'Policy Characteristics'!$C:$C,0)))</f>
        <v>transportation-sector-main.html#ev-subsidy</v>
      </c>
      <c r="R108" s="275" t="str">
        <f>IF(ISBLANK(INDEX('Policy Characteristics'!L:L,MATCH($C108,'Policy Characteristics'!$C:$C,0))),"",INDEX('Policy Characteristics'!L:L,MATCH($C108,'Policy Characteristics'!$C:$C,0)))</f>
        <v>ev-subsidy.html</v>
      </c>
    </row>
    <row r="109" spans="1:18" x14ac:dyDescent="0.25">
      <c r="A109" s="275" t="str">
        <f>IF(ISBLANK(INDEX('Policy Characteristics'!A:A,MATCH($C109,'Policy Characteristics'!$C:$C,0))),"",INDEX('Policy Characteristics'!A:A,MATCH($C109,'Policy Characteristics'!$C:$C,0)))</f>
        <v>Transportation</v>
      </c>
      <c r="B109" s="284" t="str">
        <f>IF(ISBLANK(INDEX('Policy Characteristics'!B:B,MATCH($C109,'Policy Characteristics'!$C:$C,0))),"",INDEX('Policy Characteristics'!B:B,MATCH($C109,'Policy Characteristics'!$C:$C,0)))</f>
        <v>Freight Vehicle Subsidy</v>
      </c>
      <c r="C109" s="275" t="str">
        <f t="shared" si="4"/>
        <v>Additional Freight Vehicle Subsidy</v>
      </c>
      <c r="D109" s="47" t="s">
        <v>37</v>
      </c>
      <c r="E109" s="2" t="s">
        <v>2250</v>
      </c>
      <c r="F109" s="2" t="s">
        <v>3488</v>
      </c>
      <c r="G109" s="2" t="s">
        <v>3480</v>
      </c>
      <c r="H109" s="44">
        <v>1690</v>
      </c>
      <c r="I109" s="347" t="s">
        <v>44</v>
      </c>
      <c r="J109" s="276" t="str">
        <f>IF(ISBLANK(INDEX('Policy Characteristics'!D:D,MATCH($C109,'Policy Characteristics'!$C:$C,0))),"",INDEX('Policy Characteristics'!D:D,MATCH($C109,'Policy Characteristics'!$C:$C,0)))</f>
        <v>Vehicle Subsidy</v>
      </c>
      <c r="K109" s="275" t="str">
        <f>IF(ISBLANK(INDEX('Policy Characteristics'!E:E,MATCH($C109,'Policy Characteristics'!$C:$C,0))),"",INDEX('Policy Characteristics'!E:E,MATCH($C109,'Policy Characteristics'!$C:$C,0)))</f>
        <v>trans frgt subsidy</v>
      </c>
      <c r="L109" s="283">
        <f>IF(ISBLANK(INDEX('Policy Characteristics'!F:F,MATCH($C109,'Policy Characteristics'!$C:$C,0))),"",INDEX('Policy Characteristics'!F:F,MATCH($C109,'Policy Characteristics'!$C:$C,0)))</f>
        <v>0</v>
      </c>
      <c r="M109" s="283">
        <f>IF(ISBLANK(INDEX('Policy Characteristics'!G:G,MATCH($C109,'Policy Characteristics'!$C:$C,0))),"",INDEX('Policy Characteristics'!G:G,MATCH($C109,'Policy Characteristics'!$C:$C,0)))</f>
        <v>50000</v>
      </c>
      <c r="N109" s="283">
        <f>IF(ISBLANK(INDEX('Policy Characteristics'!H:H,MATCH($C109,'Policy Characteristics'!$C:$C,0))),"",INDEX('Policy Characteristics'!H:H,MATCH($C109,'Policy Characteristics'!$C:$C,0)))</f>
        <v>100</v>
      </c>
      <c r="O109" s="275" t="str">
        <f>IF(ISBLANK(INDEX('Policy Characteristics'!I:I,MATCH($C109,'Policy Characteristics'!$C:$C,0))),"",INDEX('Policy Characteristics'!I:I,MATCH($C109,'Policy Characteristics'!$C:$C,0)))</f>
        <v>$ / vehicle</v>
      </c>
      <c r="P109" s="275"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9" s="275" t="str">
        <f>IF(ISBLANK(INDEX('Policy Characteristics'!K:K,MATCH($C109,'Policy Characteristics'!$C:$C,0))),"",INDEX('Policy Characteristics'!K:K,MATCH($C109,'Policy Characteristics'!$C:$C,0)))</f>
        <v>transportation-sector-main.html#ev-subsidy</v>
      </c>
      <c r="R109" s="275" t="str">
        <f>IF(ISBLANK(INDEX('Policy Characteristics'!L:L,MATCH($C109,'Policy Characteristics'!$C:$C,0))),"",INDEX('Policy Characteristics'!L:L,MATCH($C109,'Policy Characteristics'!$C:$C,0)))</f>
        <v>ev-subsidy.html</v>
      </c>
    </row>
    <row r="110" spans="1:18" x14ac:dyDescent="0.25">
      <c r="A110" s="275" t="str">
        <f>IF(ISBLANK(INDEX('Policy Characteristics'!A:A,MATCH($C110,'Policy Characteristics'!$C:$C,0))),"",INDEX('Policy Characteristics'!A:A,MATCH($C110,'Policy Characteristics'!$C:$C,0)))</f>
        <v>Transportation</v>
      </c>
      <c r="B110" s="284" t="str">
        <f>IF(ISBLANK(INDEX('Policy Characteristics'!B:B,MATCH($C110,'Policy Characteristics'!$C:$C,0))),"",INDEX('Policy Characteristics'!B:B,MATCH($C110,'Policy Characteristics'!$C:$C,0)))</f>
        <v>Freight Vehicle Subsidy</v>
      </c>
      <c r="C110" s="275" t="str">
        <f t="shared" si="4"/>
        <v>Additional Freight Vehicle Subsidy</v>
      </c>
      <c r="D110" s="47" t="s">
        <v>37</v>
      </c>
      <c r="E110" s="2" t="s">
        <v>2512</v>
      </c>
      <c r="F110" s="2" t="s">
        <v>3488</v>
      </c>
      <c r="G110" s="2" t="s">
        <v>2512</v>
      </c>
      <c r="H110" s="44">
        <v>1691</v>
      </c>
      <c r="I110" s="346" t="s">
        <v>43</v>
      </c>
      <c r="J110" s="276" t="str">
        <f>IF(ISBLANK(INDEX('Policy Characteristics'!D:D,MATCH($C110,'Policy Characteristics'!$C:$C,0))),"",INDEX('Policy Characteristics'!D:D,MATCH($C110,'Policy Characteristics'!$C:$C,0)))</f>
        <v>Vehicle Subsidy</v>
      </c>
      <c r="K110" s="275" t="str">
        <f>IF(ISBLANK(INDEX('Policy Characteristics'!E:E,MATCH($C110,'Policy Characteristics'!$C:$C,0))),"",INDEX('Policy Characteristics'!E:E,MATCH($C110,'Policy Characteristics'!$C:$C,0)))</f>
        <v>trans frgt subsidy</v>
      </c>
      <c r="L110" s="283">
        <f>IF(ISBLANK(INDEX('Policy Characteristics'!F:F,MATCH($C110,'Policy Characteristics'!$C:$C,0))),"",INDEX('Policy Characteristics'!F:F,MATCH($C110,'Policy Characteristics'!$C:$C,0)))</f>
        <v>0</v>
      </c>
      <c r="M110" s="283">
        <f>IF(ISBLANK(INDEX('Policy Characteristics'!G:G,MATCH($C110,'Policy Characteristics'!$C:$C,0))),"",INDEX('Policy Characteristics'!G:G,MATCH($C110,'Policy Characteristics'!$C:$C,0)))</f>
        <v>50000</v>
      </c>
      <c r="N110" s="283">
        <f>IF(ISBLANK(INDEX('Policy Characteristics'!H:H,MATCH($C110,'Policy Characteristics'!$C:$C,0))),"",INDEX('Policy Characteristics'!H:H,MATCH($C110,'Policy Characteristics'!$C:$C,0)))</f>
        <v>100</v>
      </c>
      <c r="O110" s="275" t="str">
        <f>IF(ISBLANK(INDEX('Policy Characteristics'!I:I,MATCH($C110,'Policy Characteristics'!$C:$C,0))),"",INDEX('Policy Characteristics'!I:I,MATCH($C110,'Policy Characteristics'!$C:$C,0)))</f>
        <v>$ / vehicle</v>
      </c>
      <c r="P110" s="275"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0" s="275" t="str">
        <f>IF(ISBLANK(INDEX('Policy Characteristics'!K:K,MATCH($C110,'Policy Characteristics'!$C:$C,0))),"",INDEX('Policy Characteristics'!K:K,MATCH($C110,'Policy Characteristics'!$C:$C,0)))</f>
        <v>transportation-sector-main.html#ev-subsidy</v>
      </c>
      <c r="R110" s="275" t="str">
        <f>IF(ISBLANK(INDEX('Policy Characteristics'!L:L,MATCH($C110,'Policy Characteristics'!$C:$C,0))),"",INDEX('Policy Characteristics'!L:L,MATCH($C110,'Policy Characteristics'!$C:$C,0)))</f>
        <v>ev-subsidy.html</v>
      </c>
    </row>
    <row r="111" spans="1:18" x14ac:dyDescent="0.25">
      <c r="A111" s="275" t="str">
        <f>IF(ISBLANK(INDEX('Policy Characteristics'!A:A,MATCH($C111,'Policy Characteristics'!$C:$C,0))),"",INDEX('Policy Characteristics'!A:A,MATCH($C111,'Policy Characteristics'!$C:$C,0)))</f>
        <v>Transportation</v>
      </c>
      <c r="B111" s="284" t="str">
        <f>IF(ISBLANK(INDEX('Policy Characteristics'!B:B,MATCH($C111,'Policy Characteristics'!$C:$C,0))),"",INDEX('Policy Characteristics'!B:B,MATCH($C111,'Policy Characteristics'!$C:$C,0)))</f>
        <v>Freight Vehicle Subsidy</v>
      </c>
      <c r="C111" s="275" t="str">
        <f t="shared" si="4"/>
        <v>Additional Freight Vehicle Subsidy</v>
      </c>
      <c r="D111" s="47" t="s">
        <v>37</v>
      </c>
      <c r="E111" s="2" t="s">
        <v>2511</v>
      </c>
      <c r="F111" s="2" t="s">
        <v>3488</v>
      </c>
      <c r="G111" s="2" t="s">
        <v>3481</v>
      </c>
      <c r="H111" s="44">
        <v>1692</v>
      </c>
      <c r="I111" s="347" t="s">
        <v>44</v>
      </c>
      <c r="J111" s="276" t="str">
        <f>IF(ISBLANK(INDEX('Policy Characteristics'!D:D,MATCH($C111,'Policy Characteristics'!$C:$C,0))),"",INDEX('Policy Characteristics'!D:D,MATCH($C111,'Policy Characteristics'!$C:$C,0)))</f>
        <v>Vehicle Subsidy</v>
      </c>
      <c r="K111" s="275" t="str">
        <f>IF(ISBLANK(INDEX('Policy Characteristics'!E:E,MATCH($C111,'Policy Characteristics'!$C:$C,0))),"",INDEX('Policy Characteristics'!E:E,MATCH($C111,'Policy Characteristics'!$C:$C,0)))</f>
        <v>trans frgt subsidy</v>
      </c>
      <c r="L111" s="283">
        <f>IF(ISBLANK(INDEX('Policy Characteristics'!F:F,MATCH($C111,'Policy Characteristics'!$C:$C,0))),"",INDEX('Policy Characteristics'!F:F,MATCH($C111,'Policy Characteristics'!$C:$C,0)))</f>
        <v>0</v>
      </c>
      <c r="M111" s="283">
        <f>IF(ISBLANK(INDEX('Policy Characteristics'!G:G,MATCH($C111,'Policy Characteristics'!$C:$C,0))),"",INDEX('Policy Characteristics'!G:G,MATCH($C111,'Policy Characteristics'!$C:$C,0)))</f>
        <v>50000</v>
      </c>
      <c r="N111" s="283">
        <f>IF(ISBLANK(INDEX('Policy Characteristics'!H:H,MATCH($C111,'Policy Characteristics'!$C:$C,0))),"",INDEX('Policy Characteristics'!H:H,MATCH($C111,'Policy Characteristics'!$C:$C,0)))</f>
        <v>100</v>
      </c>
      <c r="O111" s="275" t="str">
        <f>IF(ISBLANK(INDEX('Policy Characteristics'!I:I,MATCH($C111,'Policy Characteristics'!$C:$C,0))),"",INDEX('Policy Characteristics'!I:I,MATCH($C111,'Policy Characteristics'!$C:$C,0)))</f>
        <v>$ / vehicle</v>
      </c>
      <c r="P111" s="275"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1" s="275" t="str">
        <f>IF(ISBLANK(INDEX('Policy Characteristics'!K:K,MATCH($C111,'Policy Characteristics'!$C:$C,0))),"",INDEX('Policy Characteristics'!K:K,MATCH($C111,'Policy Characteristics'!$C:$C,0)))</f>
        <v>transportation-sector-main.html#ev-subsidy</v>
      </c>
      <c r="R111" s="275" t="str">
        <f>IF(ISBLANK(INDEX('Policy Characteristics'!L:L,MATCH($C111,'Policy Characteristics'!$C:$C,0))),"",INDEX('Policy Characteristics'!L:L,MATCH($C111,'Policy Characteristics'!$C:$C,0)))</f>
        <v>ev-subsidy.html</v>
      </c>
    </row>
    <row r="112" spans="1:18" x14ac:dyDescent="0.25">
      <c r="A112" s="275" t="str">
        <f>IF(ISBLANK(INDEX('Policy Characteristics'!A:A,MATCH($C112,'Policy Characteristics'!$C:$C,0))),"",INDEX('Policy Characteristics'!A:A,MATCH($C112,'Policy Characteristics'!$C:$C,0)))</f>
        <v>Transportation</v>
      </c>
      <c r="B112" s="284" t="str">
        <f>IF(ISBLANK(INDEX('Policy Characteristics'!B:B,MATCH($C112,'Policy Characteristics'!$C:$C,0))),"",INDEX('Policy Characteristics'!B:B,MATCH($C112,'Policy Characteristics'!$C:$C,0)))</f>
        <v>Freight Vehicle Subsidy</v>
      </c>
      <c r="C112" s="275" t="str">
        <f t="shared" si="4"/>
        <v>Additional Freight Vehicle Subsidy</v>
      </c>
      <c r="D112" s="47" t="s">
        <v>38</v>
      </c>
      <c r="E112" s="47" t="s">
        <v>2246</v>
      </c>
      <c r="F112" s="2" t="s">
        <v>3484</v>
      </c>
      <c r="G112" s="47" t="s">
        <v>3476</v>
      </c>
      <c r="H112" s="44">
        <v>1693</v>
      </c>
      <c r="I112" s="346" t="s">
        <v>43</v>
      </c>
      <c r="J112" s="276" t="str">
        <f>IF(ISBLANK(INDEX('Policy Characteristics'!D:D,MATCH($C112,'Policy Characteristics'!$C:$C,0))),"",INDEX('Policy Characteristics'!D:D,MATCH($C112,'Policy Characteristics'!$C:$C,0)))</f>
        <v>Vehicle Subsidy</v>
      </c>
      <c r="K112" s="275" t="str">
        <f>IF(ISBLANK(INDEX('Policy Characteristics'!E:E,MATCH($C112,'Policy Characteristics'!$C:$C,0))),"",INDEX('Policy Characteristics'!E:E,MATCH($C112,'Policy Characteristics'!$C:$C,0)))</f>
        <v>trans frgt subsidy</v>
      </c>
      <c r="L112" s="283">
        <f>IF(ISBLANK(INDEX('Policy Characteristics'!F:F,MATCH($C112,'Policy Characteristics'!$C:$C,0))),"",INDEX('Policy Characteristics'!F:F,MATCH($C112,'Policy Characteristics'!$C:$C,0)))</f>
        <v>0</v>
      </c>
      <c r="M112" s="283">
        <f>IF(ISBLANK(INDEX('Policy Characteristics'!G:G,MATCH($C112,'Policy Characteristics'!$C:$C,0))),"",INDEX('Policy Characteristics'!G:G,MATCH($C112,'Policy Characteristics'!$C:$C,0)))</f>
        <v>50000</v>
      </c>
      <c r="N112" s="283">
        <f>IF(ISBLANK(INDEX('Policy Characteristics'!H:H,MATCH($C112,'Policy Characteristics'!$C:$C,0))),"",INDEX('Policy Characteristics'!H:H,MATCH($C112,'Policy Characteristics'!$C:$C,0)))</f>
        <v>100</v>
      </c>
      <c r="O112" s="275" t="str">
        <f>IF(ISBLANK(INDEX('Policy Characteristics'!I:I,MATCH($C112,'Policy Characteristics'!$C:$C,0))),"",INDEX('Policy Characteristics'!I:I,MATCH($C112,'Policy Characteristics'!$C:$C,0)))</f>
        <v>$ / vehicle</v>
      </c>
      <c r="P112" s="275"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2" s="275" t="str">
        <f>IF(ISBLANK(INDEX('Policy Characteristics'!K:K,MATCH($C112,'Policy Characteristics'!$C:$C,0))),"",INDEX('Policy Characteristics'!K:K,MATCH($C112,'Policy Characteristics'!$C:$C,0)))</f>
        <v>transportation-sector-main.html#ev-subsidy</v>
      </c>
      <c r="R112" s="275" t="str">
        <f>IF(ISBLANK(INDEX('Policy Characteristics'!L:L,MATCH($C112,'Policy Characteristics'!$C:$C,0))),"",INDEX('Policy Characteristics'!L:L,MATCH($C112,'Policy Characteristics'!$C:$C,0)))</f>
        <v>ev-subsidy.html</v>
      </c>
    </row>
    <row r="113" spans="1:18" x14ac:dyDescent="0.25">
      <c r="A113" s="275" t="str">
        <f>IF(ISBLANK(INDEX('Policy Characteristics'!A:A,MATCH($C113,'Policy Characteristics'!$C:$C,0))),"",INDEX('Policy Characteristics'!A:A,MATCH($C113,'Policy Characteristics'!$C:$C,0)))</f>
        <v>Transportation</v>
      </c>
      <c r="B113" s="284" t="str">
        <f>IF(ISBLANK(INDEX('Policy Characteristics'!B:B,MATCH($C113,'Policy Characteristics'!$C:$C,0))),"",INDEX('Policy Characteristics'!B:B,MATCH($C113,'Policy Characteristics'!$C:$C,0)))</f>
        <v>Freight Vehicle Subsidy</v>
      </c>
      <c r="C113" s="275" t="str">
        <f t="shared" si="4"/>
        <v>Additional Freight Vehicle Subsidy</v>
      </c>
      <c r="D113" s="47" t="s">
        <v>38</v>
      </c>
      <c r="E113" s="2" t="s">
        <v>2247</v>
      </c>
      <c r="F113" s="2" t="s">
        <v>3484</v>
      </c>
      <c r="G113" s="2" t="s">
        <v>3477</v>
      </c>
      <c r="H113" s="44">
        <v>1694</v>
      </c>
      <c r="I113" s="347" t="s">
        <v>44</v>
      </c>
      <c r="J113" s="276" t="str">
        <f>IF(ISBLANK(INDEX('Policy Characteristics'!D:D,MATCH($C113,'Policy Characteristics'!$C:$C,0))),"",INDEX('Policy Characteristics'!D:D,MATCH($C113,'Policy Characteristics'!$C:$C,0)))</f>
        <v>Vehicle Subsidy</v>
      </c>
      <c r="K113" s="275" t="str">
        <f>IF(ISBLANK(INDEX('Policy Characteristics'!E:E,MATCH($C113,'Policy Characteristics'!$C:$C,0))),"",INDEX('Policy Characteristics'!E:E,MATCH($C113,'Policy Characteristics'!$C:$C,0)))</f>
        <v>trans frgt subsidy</v>
      </c>
      <c r="L113" s="283">
        <f>IF(ISBLANK(INDEX('Policy Characteristics'!F:F,MATCH($C113,'Policy Characteristics'!$C:$C,0))),"",INDEX('Policy Characteristics'!F:F,MATCH($C113,'Policy Characteristics'!$C:$C,0)))</f>
        <v>0</v>
      </c>
      <c r="M113" s="283">
        <f>IF(ISBLANK(INDEX('Policy Characteristics'!G:G,MATCH($C113,'Policy Characteristics'!$C:$C,0))),"",INDEX('Policy Characteristics'!G:G,MATCH($C113,'Policy Characteristics'!$C:$C,0)))</f>
        <v>50000</v>
      </c>
      <c r="N113" s="283">
        <f>IF(ISBLANK(INDEX('Policy Characteristics'!H:H,MATCH($C113,'Policy Characteristics'!$C:$C,0))),"",INDEX('Policy Characteristics'!H:H,MATCH($C113,'Policy Characteristics'!$C:$C,0)))</f>
        <v>100</v>
      </c>
      <c r="O113" s="275" t="str">
        <f>IF(ISBLANK(INDEX('Policy Characteristics'!I:I,MATCH($C113,'Policy Characteristics'!$C:$C,0))),"",INDEX('Policy Characteristics'!I:I,MATCH($C113,'Policy Characteristics'!$C:$C,0)))</f>
        <v>$ / vehicle</v>
      </c>
      <c r="P113" s="275"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3" s="275" t="str">
        <f>IF(ISBLANK(INDEX('Policy Characteristics'!K:K,MATCH($C113,'Policy Characteristics'!$C:$C,0))),"",INDEX('Policy Characteristics'!K:K,MATCH($C113,'Policy Characteristics'!$C:$C,0)))</f>
        <v>transportation-sector-main.html#ev-subsidy</v>
      </c>
      <c r="R113" s="275" t="str">
        <f>IF(ISBLANK(INDEX('Policy Characteristics'!L:L,MATCH($C113,'Policy Characteristics'!$C:$C,0))),"",INDEX('Policy Characteristics'!L:L,MATCH($C113,'Policy Characteristics'!$C:$C,0)))</f>
        <v>ev-subsidy.html</v>
      </c>
    </row>
    <row r="114" spans="1:18" x14ac:dyDescent="0.25">
      <c r="A114" s="275" t="str">
        <f>IF(ISBLANK(INDEX('Policy Characteristics'!A:A,MATCH($C114,'Policy Characteristics'!$C:$C,0))),"",INDEX('Policy Characteristics'!A:A,MATCH($C114,'Policy Characteristics'!$C:$C,0)))</f>
        <v>Transportation</v>
      </c>
      <c r="B114" s="284" t="str">
        <f>IF(ISBLANK(INDEX('Policy Characteristics'!B:B,MATCH($C114,'Policy Characteristics'!$C:$C,0))),"",INDEX('Policy Characteristics'!B:B,MATCH($C114,'Policy Characteristics'!$C:$C,0)))</f>
        <v>Freight Vehicle Subsidy</v>
      </c>
      <c r="C114" s="275" t="str">
        <f t="shared" si="4"/>
        <v>Additional Freight Vehicle Subsidy</v>
      </c>
      <c r="D114" s="47" t="s">
        <v>38</v>
      </c>
      <c r="E114" s="2" t="s">
        <v>2248</v>
      </c>
      <c r="F114" s="2" t="s">
        <v>3484</v>
      </c>
      <c r="G114" s="2" t="s">
        <v>3478</v>
      </c>
      <c r="H114" s="44">
        <v>1695</v>
      </c>
      <c r="I114" s="347" t="s">
        <v>44</v>
      </c>
      <c r="J114" s="276" t="str">
        <f>IF(ISBLANK(INDEX('Policy Characteristics'!D:D,MATCH($C114,'Policy Characteristics'!$C:$C,0))),"",INDEX('Policy Characteristics'!D:D,MATCH($C114,'Policy Characteristics'!$C:$C,0)))</f>
        <v>Vehicle Subsidy</v>
      </c>
      <c r="K114" s="275" t="str">
        <f>IF(ISBLANK(INDEX('Policy Characteristics'!E:E,MATCH($C114,'Policy Characteristics'!$C:$C,0))),"",INDEX('Policy Characteristics'!E:E,MATCH($C114,'Policy Characteristics'!$C:$C,0)))</f>
        <v>trans frgt subsidy</v>
      </c>
      <c r="L114" s="283">
        <f>IF(ISBLANK(INDEX('Policy Characteristics'!F:F,MATCH($C114,'Policy Characteristics'!$C:$C,0))),"",INDEX('Policy Characteristics'!F:F,MATCH($C114,'Policy Characteristics'!$C:$C,0)))</f>
        <v>0</v>
      </c>
      <c r="M114" s="283">
        <f>IF(ISBLANK(INDEX('Policy Characteristics'!G:G,MATCH($C114,'Policy Characteristics'!$C:$C,0))),"",INDEX('Policy Characteristics'!G:G,MATCH($C114,'Policy Characteristics'!$C:$C,0)))</f>
        <v>50000</v>
      </c>
      <c r="N114" s="283">
        <f>IF(ISBLANK(INDEX('Policy Characteristics'!H:H,MATCH($C114,'Policy Characteristics'!$C:$C,0))),"",INDEX('Policy Characteristics'!H:H,MATCH($C114,'Policy Characteristics'!$C:$C,0)))</f>
        <v>100</v>
      </c>
      <c r="O114" s="275" t="str">
        <f>IF(ISBLANK(INDEX('Policy Characteristics'!I:I,MATCH($C114,'Policy Characteristics'!$C:$C,0))),"",INDEX('Policy Characteristics'!I:I,MATCH($C114,'Policy Characteristics'!$C:$C,0)))</f>
        <v>$ / vehicle</v>
      </c>
      <c r="P114" s="275"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4" s="275" t="str">
        <f>IF(ISBLANK(INDEX('Policy Characteristics'!K:K,MATCH($C114,'Policy Characteristics'!$C:$C,0))),"",INDEX('Policy Characteristics'!K:K,MATCH($C114,'Policy Characteristics'!$C:$C,0)))</f>
        <v>transportation-sector-main.html#ev-subsidy</v>
      </c>
      <c r="R114" s="275" t="str">
        <f>IF(ISBLANK(INDEX('Policy Characteristics'!L:L,MATCH($C114,'Policy Characteristics'!$C:$C,0))),"",INDEX('Policy Characteristics'!L:L,MATCH($C114,'Policy Characteristics'!$C:$C,0)))</f>
        <v>ev-subsidy.html</v>
      </c>
    </row>
    <row r="115" spans="1:18" x14ac:dyDescent="0.25">
      <c r="A115" s="275" t="str">
        <f>IF(ISBLANK(INDEX('Policy Characteristics'!A:A,MATCH($C115,'Policy Characteristics'!$C:$C,0))),"",INDEX('Policy Characteristics'!A:A,MATCH($C115,'Policy Characteristics'!$C:$C,0)))</f>
        <v>Transportation</v>
      </c>
      <c r="B115" s="284" t="str">
        <f>IF(ISBLANK(INDEX('Policy Characteristics'!B:B,MATCH($C115,'Policy Characteristics'!$C:$C,0))),"",INDEX('Policy Characteristics'!B:B,MATCH($C115,'Policy Characteristics'!$C:$C,0)))</f>
        <v>Freight Vehicle Subsidy</v>
      </c>
      <c r="C115" s="275" t="str">
        <f t="shared" si="4"/>
        <v>Additional Freight Vehicle Subsidy</v>
      </c>
      <c r="D115" s="47" t="s">
        <v>38</v>
      </c>
      <c r="E115" s="2" t="s">
        <v>2249</v>
      </c>
      <c r="F115" s="2" t="s">
        <v>3484</v>
      </c>
      <c r="G115" s="2" t="s">
        <v>3479</v>
      </c>
      <c r="H115" s="44">
        <v>1696</v>
      </c>
      <c r="I115" s="347" t="s">
        <v>44</v>
      </c>
      <c r="J115" s="276" t="str">
        <f>IF(ISBLANK(INDEX('Policy Characteristics'!D:D,MATCH($C115,'Policy Characteristics'!$C:$C,0))),"",INDEX('Policy Characteristics'!D:D,MATCH($C115,'Policy Characteristics'!$C:$C,0)))</f>
        <v>Vehicle Subsidy</v>
      </c>
      <c r="K115" s="275" t="str">
        <f>IF(ISBLANK(INDEX('Policy Characteristics'!E:E,MATCH($C115,'Policy Characteristics'!$C:$C,0))),"",INDEX('Policy Characteristics'!E:E,MATCH($C115,'Policy Characteristics'!$C:$C,0)))</f>
        <v>trans frgt subsidy</v>
      </c>
      <c r="L115" s="283">
        <f>IF(ISBLANK(INDEX('Policy Characteristics'!F:F,MATCH($C115,'Policy Characteristics'!$C:$C,0))),"",INDEX('Policy Characteristics'!F:F,MATCH($C115,'Policy Characteristics'!$C:$C,0)))</f>
        <v>0</v>
      </c>
      <c r="M115" s="283">
        <f>IF(ISBLANK(INDEX('Policy Characteristics'!G:G,MATCH($C115,'Policy Characteristics'!$C:$C,0))),"",INDEX('Policy Characteristics'!G:G,MATCH($C115,'Policy Characteristics'!$C:$C,0)))</f>
        <v>50000</v>
      </c>
      <c r="N115" s="283">
        <f>IF(ISBLANK(INDEX('Policy Characteristics'!H:H,MATCH($C115,'Policy Characteristics'!$C:$C,0))),"",INDEX('Policy Characteristics'!H:H,MATCH($C115,'Policy Characteristics'!$C:$C,0)))</f>
        <v>100</v>
      </c>
      <c r="O115" s="275" t="str">
        <f>IF(ISBLANK(INDEX('Policy Characteristics'!I:I,MATCH($C115,'Policy Characteristics'!$C:$C,0))),"",INDEX('Policy Characteristics'!I:I,MATCH($C115,'Policy Characteristics'!$C:$C,0)))</f>
        <v>$ / vehicle</v>
      </c>
      <c r="P115" s="275"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5" s="275" t="str">
        <f>IF(ISBLANK(INDEX('Policy Characteristics'!K:K,MATCH($C115,'Policy Characteristics'!$C:$C,0))),"",INDEX('Policy Characteristics'!K:K,MATCH($C115,'Policy Characteristics'!$C:$C,0)))</f>
        <v>transportation-sector-main.html#ev-subsidy</v>
      </c>
      <c r="R115" s="275" t="str">
        <f>IF(ISBLANK(INDEX('Policy Characteristics'!L:L,MATCH($C115,'Policy Characteristics'!$C:$C,0))),"",INDEX('Policy Characteristics'!L:L,MATCH($C115,'Policy Characteristics'!$C:$C,0)))</f>
        <v>ev-subsidy.html</v>
      </c>
    </row>
    <row r="116" spans="1:18" x14ac:dyDescent="0.25">
      <c r="A116" s="275" t="str">
        <f>IF(ISBLANK(INDEX('Policy Characteristics'!A:A,MATCH($C116,'Policy Characteristics'!$C:$C,0))),"",INDEX('Policy Characteristics'!A:A,MATCH($C116,'Policy Characteristics'!$C:$C,0)))</f>
        <v>Transportation</v>
      </c>
      <c r="B116" s="284" t="str">
        <f>IF(ISBLANK(INDEX('Policy Characteristics'!B:B,MATCH($C116,'Policy Characteristics'!$C:$C,0))),"",INDEX('Policy Characteristics'!B:B,MATCH($C116,'Policy Characteristics'!$C:$C,0)))</f>
        <v>Freight Vehicle Subsidy</v>
      </c>
      <c r="C116" s="275" t="str">
        <f t="shared" si="4"/>
        <v>Additional Freight Vehicle Subsidy</v>
      </c>
      <c r="D116" s="47" t="s">
        <v>38</v>
      </c>
      <c r="E116" s="2" t="s">
        <v>2250</v>
      </c>
      <c r="F116" s="2" t="s">
        <v>3484</v>
      </c>
      <c r="G116" s="2" t="s">
        <v>3480</v>
      </c>
      <c r="H116" s="44">
        <v>1697</v>
      </c>
      <c r="I116" s="346" t="s">
        <v>43</v>
      </c>
      <c r="J116" s="276" t="str">
        <f>IF(ISBLANK(INDEX('Policy Characteristics'!D:D,MATCH($C116,'Policy Characteristics'!$C:$C,0))),"",INDEX('Policy Characteristics'!D:D,MATCH($C116,'Policy Characteristics'!$C:$C,0)))</f>
        <v>Vehicle Subsidy</v>
      </c>
      <c r="K116" s="275" t="str">
        <f>IF(ISBLANK(INDEX('Policy Characteristics'!E:E,MATCH($C116,'Policy Characteristics'!$C:$C,0))),"",INDEX('Policy Characteristics'!E:E,MATCH($C116,'Policy Characteristics'!$C:$C,0)))</f>
        <v>trans frgt subsidy</v>
      </c>
      <c r="L116" s="283">
        <f>IF(ISBLANK(INDEX('Policy Characteristics'!F:F,MATCH($C116,'Policy Characteristics'!$C:$C,0))),"",INDEX('Policy Characteristics'!F:F,MATCH($C116,'Policy Characteristics'!$C:$C,0)))</f>
        <v>0</v>
      </c>
      <c r="M116" s="283">
        <f>IF(ISBLANK(INDEX('Policy Characteristics'!G:G,MATCH($C116,'Policy Characteristics'!$C:$C,0))),"",INDEX('Policy Characteristics'!G:G,MATCH($C116,'Policy Characteristics'!$C:$C,0)))</f>
        <v>50000</v>
      </c>
      <c r="N116" s="283">
        <f>IF(ISBLANK(INDEX('Policy Characteristics'!H:H,MATCH($C116,'Policy Characteristics'!$C:$C,0))),"",INDEX('Policy Characteristics'!H:H,MATCH($C116,'Policy Characteristics'!$C:$C,0)))</f>
        <v>100</v>
      </c>
      <c r="O116" s="275" t="str">
        <f>IF(ISBLANK(INDEX('Policy Characteristics'!I:I,MATCH($C116,'Policy Characteristics'!$C:$C,0))),"",INDEX('Policy Characteristics'!I:I,MATCH($C116,'Policy Characteristics'!$C:$C,0)))</f>
        <v>$ / vehicle</v>
      </c>
      <c r="P116" s="275"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6" s="275" t="str">
        <f>IF(ISBLANK(INDEX('Policy Characteristics'!K:K,MATCH($C116,'Policy Characteristics'!$C:$C,0))),"",INDEX('Policy Characteristics'!K:K,MATCH($C116,'Policy Characteristics'!$C:$C,0)))</f>
        <v>transportation-sector-main.html#ev-subsidy</v>
      </c>
      <c r="R116" s="275" t="str">
        <f>IF(ISBLANK(INDEX('Policy Characteristics'!L:L,MATCH($C116,'Policy Characteristics'!$C:$C,0))),"",INDEX('Policy Characteristics'!L:L,MATCH($C116,'Policy Characteristics'!$C:$C,0)))</f>
        <v>ev-subsidy.html</v>
      </c>
    </row>
    <row r="117" spans="1:18" x14ac:dyDescent="0.25">
      <c r="A117" s="275" t="str">
        <f>IF(ISBLANK(INDEX('Policy Characteristics'!A:A,MATCH($C117,'Policy Characteristics'!$C:$C,0))),"",INDEX('Policy Characteristics'!A:A,MATCH($C117,'Policy Characteristics'!$C:$C,0)))</f>
        <v>Transportation</v>
      </c>
      <c r="B117" s="284" t="str">
        <f>IF(ISBLANK(INDEX('Policy Characteristics'!B:B,MATCH($C117,'Policy Characteristics'!$C:$C,0))),"",INDEX('Policy Characteristics'!B:B,MATCH($C117,'Policy Characteristics'!$C:$C,0)))</f>
        <v>Freight Vehicle Subsidy</v>
      </c>
      <c r="C117" s="275" t="str">
        <f t="shared" si="4"/>
        <v>Additional Freight Vehicle Subsidy</v>
      </c>
      <c r="D117" s="47" t="s">
        <v>38</v>
      </c>
      <c r="E117" s="2" t="s">
        <v>2512</v>
      </c>
      <c r="F117" s="2" t="s">
        <v>3484</v>
      </c>
      <c r="G117" s="2" t="s">
        <v>2512</v>
      </c>
      <c r="H117" s="44">
        <v>1698</v>
      </c>
      <c r="I117" s="347" t="s">
        <v>44</v>
      </c>
      <c r="J117" s="276" t="str">
        <f>IF(ISBLANK(INDEX('Policy Characteristics'!D:D,MATCH($C117,'Policy Characteristics'!$C:$C,0))),"",INDEX('Policy Characteristics'!D:D,MATCH($C117,'Policy Characteristics'!$C:$C,0)))</f>
        <v>Vehicle Subsidy</v>
      </c>
      <c r="K117" s="275" t="str">
        <f>IF(ISBLANK(INDEX('Policy Characteristics'!E:E,MATCH($C117,'Policy Characteristics'!$C:$C,0))),"",INDEX('Policy Characteristics'!E:E,MATCH($C117,'Policy Characteristics'!$C:$C,0)))</f>
        <v>trans frgt subsidy</v>
      </c>
      <c r="L117" s="283">
        <f>IF(ISBLANK(INDEX('Policy Characteristics'!F:F,MATCH($C117,'Policy Characteristics'!$C:$C,0))),"",INDEX('Policy Characteristics'!F:F,MATCH($C117,'Policy Characteristics'!$C:$C,0)))</f>
        <v>0</v>
      </c>
      <c r="M117" s="283">
        <f>IF(ISBLANK(INDEX('Policy Characteristics'!G:G,MATCH($C117,'Policy Characteristics'!$C:$C,0))),"",INDEX('Policy Characteristics'!G:G,MATCH($C117,'Policy Characteristics'!$C:$C,0)))</f>
        <v>50000</v>
      </c>
      <c r="N117" s="283">
        <f>IF(ISBLANK(INDEX('Policy Characteristics'!H:H,MATCH($C117,'Policy Characteristics'!$C:$C,0))),"",INDEX('Policy Characteristics'!H:H,MATCH($C117,'Policy Characteristics'!$C:$C,0)))</f>
        <v>100</v>
      </c>
      <c r="O117" s="275" t="str">
        <f>IF(ISBLANK(INDEX('Policy Characteristics'!I:I,MATCH($C117,'Policy Characteristics'!$C:$C,0))),"",INDEX('Policy Characteristics'!I:I,MATCH($C117,'Policy Characteristics'!$C:$C,0)))</f>
        <v>$ / vehicle</v>
      </c>
      <c r="P117" s="275"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7" s="275" t="str">
        <f>IF(ISBLANK(INDEX('Policy Characteristics'!K:K,MATCH($C117,'Policy Characteristics'!$C:$C,0))),"",INDEX('Policy Characteristics'!K:K,MATCH($C117,'Policy Characteristics'!$C:$C,0)))</f>
        <v>transportation-sector-main.html#ev-subsidy</v>
      </c>
      <c r="R117" s="275" t="str">
        <f>IF(ISBLANK(INDEX('Policy Characteristics'!L:L,MATCH($C117,'Policy Characteristics'!$C:$C,0))),"",INDEX('Policy Characteristics'!L:L,MATCH($C117,'Policy Characteristics'!$C:$C,0)))</f>
        <v>ev-subsidy.html</v>
      </c>
    </row>
    <row r="118" spans="1:18" x14ac:dyDescent="0.25">
      <c r="A118" s="275" t="str">
        <f>IF(ISBLANK(INDEX('Policy Characteristics'!A:A,MATCH($C118,'Policy Characteristics'!$C:$C,0))),"",INDEX('Policy Characteristics'!A:A,MATCH($C118,'Policy Characteristics'!$C:$C,0)))</f>
        <v>Transportation</v>
      </c>
      <c r="B118" s="284" t="str">
        <f>IF(ISBLANK(INDEX('Policy Characteristics'!B:B,MATCH($C118,'Policy Characteristics'!$C:$C,0))),"",INDEX('Policy Characteristics'!B:B,MATCH($C118,'Policy Characteristics'!$C:$C,0)))</f>
        <v>Freight Vehicle Subsidy</v>
      </c>
      <c r="C118" s="275" t="str">
        <f t="shared" si="4"/>
        <v>Additional Freight Vehicle Subsidy</v>
      </c>
      <c r="D118" s="47" t="s">
        <v>38</v>
      </c>
      <c r="E118" s="2" t="s">
        <v>2511</v>
      </c>
      <c r="F118" s="2" t="s">
        <v>3484</v>
      </c>
      <c r="G118" s="2" t="s">
        <v>3481</v>
      </c>
      <c r="H118" s="44">
        <v>1699</v>
      </c>
      <c r="I118" s="346" t="s">
        <v>43</v>
      </c>
      <c r="J118" s="276" t="str">
        <f>IF(ISBLANK(INDEX('Policy Characteristics'!D:D,MATCH($C118,'Policy Characteristics'!$C:$C,0))),"",INDEX('Policy Characteristics'!D:D,MATCH($C118,'Policy Characteristics'!$C:$C,0)))</f>
        <v>Vehicle Subsidy</v>
      </c>
      <c r="K118" s="275" t="str">
        <f>IF(ISBLANK(INDEX('Policy Characteristics'!E:E,MATCH($C118,'Policy Characteristics'!$C:$C,0))),"",INDEX('Policy Characteristics'!E:E,MATCH($C118,'Policy Characteristics'!$C:$C,0)))</f>
        <v>trans frgt subsidy</v>
      </c>
      <c r="L118" s="283">
        <f>IF(ISBLANK(INDEX('Policy Characteristics'!F:F,MATCH($C118,'Policy Characteristics'!$C:$C,0))),"",INDEX('Policy Characteristics'!F:F,MATCH($C118,'Policy Characteristics'!$C:$C,0)))</f>
        <v>0</v>
      </c>
      <c r="M118" s="283">
        <f>IF(ISBLANK(INDEX('Policy Characteristics'!G:G,MATCH($C118,'Policy Characteristics'!$C:$C,0))),"",INDEX('Policy Characteristics'!G:G,MATCH($C118,'Policy Characteristics'!$C:$C,0)))</f>
        <v>50000</v>
      </c>
      <c r="N118" s="283">
        <f>IF(ISBLANK(INDEX('Policy Characteristics'!H:H,MATCH($C118,'Policy Characteristics'!$C:$C,0))),"",INDEX('Policy Characteristics'!H:H,MATCH($C118,'Policy Characteristics'!$C:$C,0)))</f>
        <v>100</v>
      </c>
      <c r="O118" s="275" t="str">
        <f>IF(ISBLANK(INDEX('Policy Characteristics'!I:I,MATCH($C118,'Policy Characteristics'!$C:$C,0))),"",INDEX('Policy Characteristics'!I:I,MATCH($C118,'Policy Characteristics'!$C:$C,0)))</f>
        <v>$ / vehicle</v>
      </c>
      <c r="P118" s="275"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8" s="275" t="str">
        <f>IF(ISBLANK(INDEX('Policy Characteristics'!K:K,MATCH($C118,'Policy Characteristics'!$C:$C,0))),"",INDEX('Policy Characteristics'!K:K,MATCH($C118,'Policy Characteristics'!$C:$C,0)))</f>
        <v>transportation-sector-main.html#ev-subsidy</v>
      </c>
      <c r="R118" s="275" t="str">
        <f>IF(ISBLANK(INDEX('Policy Characteristics'!L:L,MATCH($C118,'Policy Characteristics'!$C:$C,0))),"",INDEX('Policy Characteristics'!L:L,MATCH($C118,'Policy Characteristics'!$C:$C,0)))</f>
        <v>ev-subsidy.html</v>
      </c>
    </row>
    <row r="119" spans="1:18" x14ac:dyDescent="0.25">
      <c r="A119" s="275" t="str">
        <f>IF(ISBLANK(INDEX('Policy Characteristics'!A:A,MATCH($C119,'Policy Characteristics'!$C:$C,0))),"",INDEX('Policy Characteristics'!A:A,MATCH($C119,'Policy Characteristics'!$C:$C,0)))</f>
        <v>Transportation</v>
      </c>
      <c r="B119" s="284" t="str">
        <f>IF(ISBLANK(INDEX('Policy Characteristics'!B:B,MATCH($C119,'Policy Characteristics'!$C:$C,0))),"",INDEX('Policy Characteristics'!B:B,MATCH($C119,'Policy Characteristics'!$C:$C,0)))</f>
        <v>Freight Vehicle Subsidy</v>
      </c>
      <c r="C119" s="275" t="str">
        <f t="shared" si="4"/>
        <v>Additional Freight Vehicle Subsidy</v>
      </c>
      <c r="D119" s="2" t="s">
        <v>39</v>
      </c>
      <c r="E119" s="47" t="s">
        <v>2246</v>
      </c>
      <c r="F119" s="2" t="s">
        <v>3311</v>
      </c>
      <c r="G119" s="47" t="s">
        <v>3476</v>
      </c>
      <c r="H119" s="44">
        <v>1700</v>
      </c>
      <c r="I119" s="347" t="s">
        <v>44</v>
      </c>
      <c r="J119" s="276" t="str">
        <f>IF(ISBLANK(INDEX('Policy Characteristics'!D:D,MATCH($C119,'Policy Characteristics'!$C:$C,0))),"",INDEX('Policy Characteristics'!D:D,MATCH($C119,'Policy Characteristics'!$C:$C,0)))</f>
        <v>Vehicle Subsidy</v>
      </c>
      <c r="K119" s="275" t="str">
        <f>IF(ISBLANK(INDEX('Policy Characteristics'!E:E,MATCH($C119,'Policy Characteristics'!$C:$C,0))),"",INDEX('Policy Characteristics'!E:E,MATCH($C119,'Policy Characteristics'!$C:$C,0)))</f>
        <v>trans frgt subsidy</v>
      </c>
      <c r="L119" s="283">
        <f>IF(ISBLANK(INDEX('Policy Characteristics'!F:F,MATCH($C119,'Policy Characteristics'!$C:$C,0))),"",INDEX('Policy Characteristics'!F:F,MATCH($C119,'Policy Characteristics'!$C:$C,0)))</f>
        <v>0</v>
      </c>
      <c r="M119" s="283">
        <f>IF(ISBLANK(INDEX('Policy Characteristics'!G:G,MATCH($C119,'Policy Characteristics'!$C:$C,0))),"",INDEX('Policy Characteristics'!G:G,MATCH($C119,'Policy Characteristics'!$C:$C,0)))</f>
        <v>50000</v>
      </c>
      <c r="N119" s="283">
        <f>IF(ISBLANK(INDEX('Policy Characteristics'!H:H,MATCH($C119,'Policy Characteristics'!$C:$C,0))),"",INDEX('Policy Characteristics'!H:H,MATCH($C119,'Policy Characteristics'!$C:$C,0)))</f>
        <v>100</v>
      </c>
      <c r="O119" s="275" t="str">
        <f>IF(ISBLANK(INDEX('Policy Characteristics'!I:I,MATCH($C119,'Policy Characteristics'!$C:$C,0))),"",INDEX('Policy Characteristics'!I:I,MATCH($C119,'Policy Characteristics'!$C:$C,0)))</f>
        <v>$ / vehicle</v>
      </c>
      <c r="P119" s="275"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9" s="275" t="str">
        <f>IF(ISBLANK(INDEX('Policy Characteristics'!K:K,MATCH($C119,'Policy Characteristics'!$C:$C,0))),"",INDEX('Policy Characteristics'!K:K,MATCH($C119,'Policy Characteristics'!$C:$C,0)))</f>
        <v>transportation-sector-main.html#ev-subsidy</v>
      </c>
      <c r="R119" s="275" t="str">
        <f>IF(ISBLANK(INDEX('Policy Characteristics'!L:L,MATCH($C119,'Policy Characteristics'!$C:$C,0))),"",INDEX('Policy Characteristics'!L:L,MATCH($C119,'Policy Characteristics'!$C:$C,0)))</f>
        <v>ev-subsidy.html</v>
      </c>
    </row>
    <row r="120" spans="1:18" x14ac:dyDescent="0.25">
      <c r="A120" s="275" t="str">
        <f>IF(ISBLANK(INDEX('Policy Characteristics'!A:A,MATCH($C120,'Policy Characteristics'!$C:$C,0))),"",INDEX('Policy Characteristics'!A:A,MATCH($C120,'Policy Characteristics'!$C:$C,0)))</f>
        <v>Transportation</v>
      </c>
      <c r="B120" s="284" t="str">
        <f>IF(ISBLANK(INDEX('Policy Characteristics'!B:B,MATCH($C120,'Policy Characteristics'!$C:$C,0))),"",INDEX('Policy Characteristics'!B:B,MATCH($C120,'Policy Characteristics'!$C:$C,0)))</f>
        <v>Freight Vehicle Subsidy</v>
      </c>
      <c r="C120" s="275" t="str">
        <f t="shared" si="4"/>
        <v>Additional Freight Vehicle Subsidy</v>
      </c>
      <c r="D120" s="2" t="s">
        <v>39</v>
      </c>
      <c r="E120" s="2" t="s">
        <v>2247</v>
      </c>
      <c r="F120" s="2" t="s">
        <v>3311</v>
      </c>
      <c r="G120" s="2" t="s">
        <v>3477</v>
      </c>
      <c r="H120" s="44">
        <v>1701</v>
      </c>
      <c r="I120" s="347" t="s">
        <v>44</v>
      </c>
      <c r="J120" s="276" t="str">
        <f>IF(ISBLANK(INDEX('Policy Characteristics'!D:D,MATCH($C120,'Policy Characteristics'!$C:$C,0))),"",INDEX('Policy Characteristics'!D:D,MATCH($C120,'Policy Characteristics'!$C:$C,0)))</f>
        <v>Vehicle Subsidy</v>
      </c>
      <c r="K120" s="275" t="str">
        <f>IF(ISBLANK(INDEX('Policy Characteristics'!E:E,MATCH($C120,'Policy Characteristics'!$C:$C,0))),"",INDEX('Policy Characteristics'!E:E,MATCH($C120,'Policy Characteristics'!$C:$C,0)))</f>
        <v>trans frgt subsidy</v>
      </c>
      <c r="L120" s="283">
        <f>IF(ISBLANK(INDEX('Policy Characteristics'!F:F,MATCH($C120,'Policy Characteristics'!$C:$C,0))),"",INDEX('Policy Characteristics'!F:F,MATCH($C120,'Policy Characteristics'!$C:$C,0)))</f>
        <v>0</v>
      </c>
      <c r="M120" s="283">
        <f>IF(ISBLANK(INDEX('Policy Characteristics'!G:G,MATCH($C120,'Policy Characteristics'!$C:$C,0))),"",INDEX('Policy Characteristics'!G:G,MATCH($C120,'Policy Characteristics'!$C:$C,0)))</f>
        <v>50000</v>
      </c>
      <c r="N120" s="283">
        <f>IF(ISBLANK(INDEX('Policy Characteristics'!H:H,MATCH($C120,'Policy Characteristics'!$C:$C,0))),"",INDEX('Policy Characteristics'!H:H,MATCH($C120,'Policy Characteristics'!$C:$C,0)))</f>
        <v>100</v>
      </c>
      <c r="O120" s="275" t="str">
        <f>IF(ISBLANK(INDEX('Policy Characteristics'!I:I,MATCH($C120,'Policy Characteristics'!$C:$C,0))),"",INDEX('Policy Characteristics'!I:I,MATCH($C120,'Policy Characteristics'!$C:$C,0)))</f>
        <v>$ / vehicle</v>
      </c>
      <c r="P120" s="275"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0" s="275" t="str">
        <f>IF(ISBLANK(INDEX('Policy Characteristics'!K:K,MATCH($C120,'Policy Characteristics'!$C:$C,0))),"",INDEX('Policy Characteristics'!K:K,MATCH($C120,'Policy Characteristics'!$C:$C,0)))</f>
        <v>transportation-sector-main.html#ev-subsidy</v>
      </c>
      <c r="R120" s="275" t="str">
        <f>IF(ISBLANK(INDEX('Policy Characteristics'!L:L,MATCH($C120,'Policy Characteristics'!$C:$C,0))),"",INDEX('Policy Characteristics'!L:L,MATCH($C120,'Policy Characteristics'!$C:$C,0)))</f>
        <v>ev-subsidy.html</v>
      </c>
    </row>
    <row r="121" spans="1:18" x14ac:dyDescent="0.25">
      <c r="A121" s="275" t="str">
        <f>IF(ISBLANK(INDEX('Policy Characteristics'!A:A,MATCH($C121,'Policy Characteristics'!$C:$C,0))),"",INDEX('Policy Characteristics'!A:A,MATCH($C121,'Policy Characteristics'!$C:$C,0)))</f>
        <v>Transportation</v>
      </c>
      <c r="B121" s="284" t="str">
        <f>IF(ISBLANK(INDEX('Policy Characteristics'!B:B,MATCH($C121,'Policy Characteristics'!$C:$C,0))),"",INDEX('Policy Characteristics'!B:B,MATCH($C121,'Policy Characteristics'!$C:$C,0)))</f>
        <v>Freight Vehicle Subsidy</v>
      </c>
      <c r="C121" s="275" t="str">
        <f t="shared" si="4"/>
        <v>Additional Freight Vehicle Subsidy</v>
      </c>
      <c r="D121" s="2" t="s">
        <v>39</v>
      </c>
      <c r="E121" s="2" t="s">
        <v>2248</v>
      </c>
      <c r="F121" s="2" t="s">
        <v>3311</v>
      </c>
      <c r="G121" s="2" t="s">
        <v>3478</v>
      </c>
      <c r="H121" s="44">
        <v>1702</v>
      </c>
      <c r="I121" s="347" t="s">
        <v>44</v>
      </c>
      <c r="J121" s="276" t="str">
        <f>IF(ISBLANK(INDEX('Policy Characteristics'!D:D,MATCH($C121,'Policy Characteristics'!$C:$C,0))),"",INDEX('Policy Characteristics'!D:D,MATCH($C121,'Policy Characteristics'!$C:$C,0)))</f>
        <v>Vehicle Subsidy</v>
      </c>
      <c r="K121" s="275" t="str">
        <f>IF(ISBLANK(INDEX('Policy Characteristics'!E:E,MATCH($C121,'Policy Characteristics'!$C:$C,0))),"",INDEX('Policy Characteristics'!E:E,MATCH($C121,'Policy Characteristics'!$C:$C,0)))</f>
        <v>trans frgt subsidy</v>
      </c>
      <c r="L121" s="283">
        <f>IF(ISBLANK(INDEX('Policy Characteristics'!F:F,MATCH($C121,'Policy Characteristics'!$C:$C,0))),"",INDEX('Policy Characteristics'!F:F,MATCH($C121,'Policy Characteristics'!$C:$C,0)))</f>
        <v>0</v>
      </c>
      <c r="M121" s="283">
        <f>IF(ISBLANK(INDEX('Policy Characteristics'!G:G,MATCH($C121,'Policy Characteristics'!$C:$C,0))),"",INDEX('Policy Characteristics'!G:G,MATCH($C121,'Policy Characteristics'!$C:$C,0)))</f>
        <v>50000</v>
      </c>
      <c r="N121" s="283">
        <f>IF(ISBLANK(INDEX('Policy Characteristics'!H:H,MATCH($C121,'Policy Characteristics'!$C:$C,0))),"",INDEX('Policy Characteristics'!H:H,MATCH($C121,'Policy Characteristics'!$C:$C,0)))</f>
        <v>100</v>
      </c>
      <c r="O121" s="275" t="str">
        <f>IF(ISBLANK(INDEX('Policy Characteristics'!I:I,MATCH($C121,'Policy Characteristics'!$C:$C,0))),"",INDEX('Policy Characteristics'!I:I,MATCH($C121,'Policy Characteristics'!$C:$C,0)))</f>
        <v>$ / vehicle</v>
      </c>
      <c r="P121" s="275"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1" s="275" t="str">
        <f>IF(ISBLANK(INDEX('Policy Characteristics'!K:K,MATCH($C121,'Policy Characteristics'!$C:$C,0))),"",INDEX('Policy Characteristics'!K:K,MATCH($C121,'Policy Characteristics'!$C:$C,0)))</f>
        <v>transportation-sector-main.html#ev-subsidy</v>
      </c>
      <c r="R121" s="275" t="str">
        <f>IF(ISBLANK(INDEX('Policy Characteristics'!L:L,MATCH($C121,'Policy Characteristics'!$C:$C,0))),"",INDEX('Policy Characteristics'!L:L,MATCH($C121,'Policy Characteristics'!$C:$C,0)))</f>
        <v>ev-subsidy.html</v>
      </c>
    </row>
    <row r="122" spans="1:18" x14ac:dyDescent="0.25">
      <c r="A122" s="275" t="str">
        <f>IF(ISBLANK(INDEX('Policy Characteristics'!A:A,MATCH($C122,'Policy Characteristics'!$C:$C,0))),"",INDEX('Policy Characteristics'!A:A,MATCH($C122,'Policy Characteristics'!$C:$C,0)))</f>
        <v>Transportation</v>
      </c>
      <c r="B122" s="284" t="str">
        <f>IF(ISBLANK(INDEX('Policy Characteristics'!B:B,MATCH($C122,'Policy Characteristics'!$C:$C,0))),"",INDEX('Policy Characteristics'!B:B,MATCH($C122,'Policy Characteristics'!$C:$C,0)))</f>
        <v>Freight Vehicle Subsidy</v>
      </c>
      <c r="C122" s="275" t="str">
        <f t="shared" si="4"/>
        <v>Additional Freight Vehicle Subsidy</v>
      </c>
      <c r="D122" s="2" t="s">
        <v>39</v>
      </c>
      <c r="E122" s="2" t="s">
        <v>2249</v>
      </c>
      <c r="F122" s="2" t="s">
        <v>3311</v>
      </c>
      <c r="G122" s="2" t="s">
        <v>3479</v>
      </c>
      <c r="H122" s="44">
        <v>1703</v>
      </c>
      <c r="I122" s="347" t="s">
        <v>44</v>
      </c>
      <c r="J122" s="276" t="str">
        <f>IF(ISBLANK(INDEX('Policy Characteristics'!D:D,MATCH($C122,'Policy Characteristics'!$C:$C,0))),"",INDEX('Policy Characteristics'!D:D,MATCH($C122,'Policy Characteristics'!$C:$C,0)))</f>
        <v>Vehicle Subsidy</v>
      </c>
      <c r="K122" s="275" t="str">
        <f>IF(ISBLANK(INDEX('Policy Characteristics'!E:E,MATCH($C122,'Policy Characteristics'!$C:$C,0))),"",INDEX('Policy Characteristics'!E:E,MATCH($C122,'Policy Characteristics'!$C:$C,0)))</f>
        <v>trans frgt subsidy</v>
      </c>
      <c r="L122" s="283">
        <f>IF(ISBLANK(INDEX('Policy Characteristics'!F:F,MATCH($C122,'Policy Characteristics'!$C:$C,0))),"",INDEX('Policy Characteristics'!F:F,MATCH($C122,'Policy Characteristics'!$C:$C,0)))</f>
        <v>0</v>
      </c>
      <c r="M122" s="283">
        <f>IF(ISBLANK(INDEX('Policy Characteristics'!G:G,MATCH($C122,'Policy Characteristics'!$C:$C,0))),"",INDEX('Policy Characteristics'!G:G,MATCH($C122,'Policy Characteristics'!$C:$C,0)))</f>
        <v>50000</v>
      </c>
      <c r="N122" s="283">
        <f>IF(ISBLANK(INDEX('Policy Characteristics'!H:H,MATCH($C122,'Policy Characteristics'!$C:$C,0))),"",INDEX('Policy Characteristics'!H:H,MATCH($C122,'Policy Characteristics'!$C:$C,0)))</f>
        <v>100</v>
      </c>
      <c r="O122" s="275" t="str">
        <f>IF(ISBLANK(INDEX('Policy Characteristics'!I:I,MATCH($C122,'Policy Characteristics'!$C:$C,0))),"",INDEX('Policy Characteristics'!I:I,MATCH($C122,'Policy Characteristics'!$C:$C,0)))</f>
        <v>$ / vehicle</v>
      </c>
      <c r="P122" s="275"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2" s="275" t="str">
        <f>IF(ISBLANK(INDEX('Policy Characteristics'!K:K,MATCH($C122,'Policy Characteristics'!$C:$C,0))),"",INDEX('Policy Characteristics'!K:K,MATCH($C122,'Policy Characteristics'!$C:$C,0)))</f>
        <v>transportation-sector-main.html#ev-subsidy</v>
      </c>
      <c r="R122" s="275" t="str">
        <f>IF(ISBLANK(INDEX('Policy Characteristics'!L:L,MATCH($C122,'Policy Characteristics'!$C:$C,0))),"",INDEX('Policy Characteristics'!L:L,MATCH($C122,'Policy Characteristics'!$C:$C,0)))</f>
        <v>ev-subsidy.html</v>
      </c>
    </row>
    <row r="123" spans="1:18" x14ac:dyDescent="0.25">
      <c r="A123" s="275" t="str">
        <f>IF(ISBLANK(INDEX('Policy Characteristics'!A:A,MATCH($C123,'Policy Characteristics'!$C:$C,0))),"",INDEX('Policy Characteristics'!A:A,MATCH($C123,'Policy Characteristics'!$C:$C,0)))</f>
        <v>Transportation</v>
      </c>
      <c r="B123" s="284" t="str">
        <f>IF(ISBLANK(INDEX('Policy Characteristics'!B:B,MATCH($C123,'Policy Characteristics'!$C:$C,0))),"",INDEX('Policy Characteristics'!B:B,MATCH($C123,'Policy Characteristics'!$C:$C,0)))</f>
        <v>Freight Vehicle Subsidy</v>
      </c>
      <c r="C123" s="275" t="str">
        <f t="shared" si="4"/>
        <v>Additional Freight Vehicle Subsidy</v>
      </c>
      <c r="D123" s="2" t="s">
        <v>39</v>
      </c>
      <c r="E123" s="2" t="s">
        <v>2250</v>
      </c>
      <c r="F123" s="2" t="s">
        <v>3311</v>
      </c>
      <c r="G123" s="2" t="s">
        <v>3480</v>
      </c>
      <c r="H123" s="44">
        <v>1704</v>
      </c>
      <c r="I123" s="347" t="s">
        <v>44</v>
      </c>
      <c r="J123" s="276" t="str">
        <f>IF(ISBLANK(INDEX('Policy Characteristics'!D:D,MATCH($C123,'Policy Characteristics'!$C:$C,0))),"",INDEX('Policy Characteristics'!D:D,MATCH($C123,'Policy Characteristics'!$C:$C,0)))</f>
        <v>Vehicle Subsidy</v>
      </c>
      <c r="K123" s="275" t="str">
        <f>IF(ISBLANK(INDEX('Policy Characteristics'!E:E,MATCH($C123,'Policy Characteristics'!$C:$C,0))),"",INDEX('Policy Characteristics'!E:E,MATCH($C123,'Policy Characteristics'!$C:$C,0)))</f>
        <v>trans frgt subsidy</v>
      </c>
      <c r="L123" s="283">
        <f>IF(ISBLANK(INDEX('Policy Characteristics'!F:F,MATCH($C123,'Policy Characteristics'!$C:$C,0))),"",INDEX('Policy Characteristics'!F:F,MATCH($C123,'Policy Characteristics'!$C:$C,0)))</f>
        <v>0</v>
      </c>
      <c r="M123" s="283">
        <f>IF(ISBLANK(INDEX('Policy Characteristics'!G:G,MATCH($C123,'Policy Characteristics'!$C:$C,0))),"",INDEX('Policy Characteristics'!G:G,MATCH($C123,'Policy Characteristics'!$C:$C,0)))</f>
        <v>50000</v>
      </c>
      <c r="N123" s="283">
        <f>IF(ISBLANK(INDEX('Policy Characteristics'!H:H,MATCH($C123,'Policy Characteristics'!$C:$C,0))),"",INDEX('Policy Characteristics'!H:H,MATCH($C123,'Policy Characteristics'!$C:$C,0)))</f>
        <v>100</v>
      </c>
      <c r="O123" s="275" t="str">
        <f>IF(ISBLANK(INDEX('Policy Characteristics'!I:I,MATCH($C123,'Policy Characteristics'!$C:$C,0))),"",INDEX('Policy Characteristics'!I:I,MATCH($C123,'Policy Characteristics'!$C:$C,0)))</f>
        <v>$ / vehicle</v>
      </c>
      <c r="P123" s="275"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3" s="275" t="str">
        <f>IF(ISBLANK(INDEX('Policy Characteristics'!K:K,MATCH($C123,'Policy Characteristics'!$C:$C,0))),"",INDEX('Policy Characteristics'!K:K,MATCH($C123,'Policy Characteristics'!$C:$C,0)))</f>
        <v>transportation-sector-main.html#ev-subsidy</v>
      </c>
      <c r="R123" s="275" t="str">
        <f>IF(ISBLANK(INDEX('Policy Characteristics'!L:L,MATCH($C123,'Policy Characteristics'!$C:$C,0))),"",INDEX('Policy Characteristics'!L:L,MATCH($C123,'Policy Characteristics'!$C:$C,0)))</f>
        <v>ev-subsidy.html</v>
      </c>
    </row>
    <row r="124" spans="1:18" x14ac:dyDescent="0.25">
      <c r="A124" s="275" t="str">
        <f>IF(ISBLANK(INDEX('Policy Characteristics'!A:A,MATCH($C124,'Policy Characteristics'!$C:$C,0))),"",INDEX('Policy Characteristics'!A:A,MATCH($C124,'Policy Characteristics'!$C:$C,0)))</f>
        <v>Transportation</v>
      </c>
      <c r="B124" s="284" t="str">
        <f>IF(ISBLANK(INDEX('Policy Characteristics'!B:B,MATCH($C124,'Policy Characteristics'!$C:$C,0))),"",INDEX('Policy Characteristics'!B:B,MATCH($C124,'Policy Characteristics'!$C:$C,0)))</f>
        <v>Freight Vehicle Subsidy</v>
      </c>
      <c r="C124" s="275" t="str">
        <f t="shared" si="4"/>
        <v>Additional Freight Vehicle Subsidy</v>
      </c>
      <c r="D124" s="2" t="s">
        <v>39</v>
      </c>
      <c r="E124" s="2" t="s">
        <v>2512</v>
      </c>
      <c r="F124" s="2" t="s">
        <v>3311</v>
      </c>
      <c r="G124" s="2" t="s">
        <v>2512</v>
      </c>
      <c r="H124" s="44">
        <v>1705</v>
      </c>
      <c r="I124" s="347" t="s">
        <v>44</v>
      </c>
      <c r="J124" s="276" t="str">
        <f>IF(ISBLANK(INDEX('Policy Characteristics'!D:D,MATCH($C124,'Policy Characteristics'!$C:$C,0))),"",INDEX('Policy Characteristics'!D:D,MATCH($C124,'Policy Characteristics'!$C:$C,0)))</f>
        <v>Vehicle Subsidy</v>
      </c>
      <c r="K124" s="275" t="str">
        <f>IF(ISBLANK(INDEX('Policy Characteristics'!E:E,MATCH($C124,'Policy Characteristics'!$C:$C,0))),"",INDEX('Policy Characteristics'!E:E,MATCH($C124,'Policy Characteristics'!$C:$C,0)))</f>
        <v>trans frgt subsidy</v>
      </c>
      <c r="L124" s="283">
        <f>IF(ISBLANK(INDEX('Policy Characteristics'!F:F,MATCH($C124,'Policy Characteristics'!$C:$C,0))),"",INDEX('Policy Characteristics'!F:F,MATCH($C124,'Policy Characteristics'!$C:$C,0)))</f>
        <v>0</v>
      </c>
      <c r="M124" s="283">
        <f>IF(ISBLANK(INDEX('Policy Characteristics'!G:G,MATCH($C124,'Policy Characteristics'!$C:$C,0))),"",INDEX('Policy Characteristics'!G:G,MATCH($C124,'Policy Characteristics'!$C:$C,0)))</f>
        <v>50000</v>
      </c>
      <c r="N124" s="283">
        <f>IF(ISBLANK(INDEX('Policy Characteristics'!H:H,MATCH($C124,'Policy Characteristics'!$C:$C,0))),"",INDEX('Policy Characteristics'!H:H,MATCH($C124,'Policy Characteristics'!$C:$C,0)))</f>
        <v>100</v>
      </c>
      <c r="O124" s="275" t="str">
        <f>IF(ISBLANK(INDEX('Policy Characteristics'!I:I,MATCH($C124,'Policy Characteristics'!$C:$C,0))),"",INDEX('Policy Characteristics'!I:I,MATCH($C124,'Policy Characteristics'!$C:$C,0)))</f>
        <v>$ / vehicle</v>
      </c>
      <c r="P124" s="275"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4" s="275" t="str">
        <f>IF(ISBLANK(INDEX('Policy Characteristics'!K:K,MATCH($C124,'Policy Characteristics'!$C:$C,0))),"",INDEX('Policy Characteristics'!K:K,MATCH($C124,'Policy Characteristics'!$C:$C,0)))</f>
        <v>transportation-sector-main.html#ev-subsidy</v>
      </c>
      <c r="R124" s="275" t="str">
        <f>IF(ISBLANK(INDEX('Policy Characteristics'!L:L,MATCH($C124,'Policy Characteristics'!$C:$C,0))),"",INDEX('Policy Characteristics'!L:L,MATCH($C124,'Policy Characteristics'!$C:$C,0)))</f>
        <v>ev-subsidy.html</v>
      </c>
    </row>
    <row r="125" spans="1:18" x14ac:dyDescent="0.25">
      <c r="A125" s="275" t="str">
        <f>IF(ISBLANK(INDEX('Policy Characteristics'!A:A,MATCH($C125,'Policy Characteristics'!$C:$C,0))),"",INDEX('Policy Characteristics'!A:A,MATCH($C125,'Policy Characteristics'!$C:$C,0)))</f>
        <v>Transportation</v>
      </c>
      <c r="B125" s="284" t="str">
        <f>IF(ISBLANK(INDEX('Policy Characteristics'!B:B,MATCH($C125,'Policy Characteristics'!$C:$C,0))),"",INDEX('Policy Characteristics'!B:B,MATCH($C125,'Policy Characteristics'!$C:$C,0)))</f>
        <v>Freight Vehicle Subsidy</v>
      </c>
      <c r="C125" s="275" t="str">
        <f t="shared" si="4"/>
        <v>Additional Freight Vehicle Subsidy</v>
      </c>
      <c r="D125" s="2" t="s">
        <v>39</v>
      </c>
      <c r="E125" s="2" t="s">
        <v>2511</v>
      </c>
      <c r="F125" s="2" t="s">
        <v>3311</v>
      </c>
      <c r="G125" s="2" t="s">
        <v>3481</v>
      </c>
      <c r="H125" s="44">
        <v>1706</v>
      </c>
      <c r="I125" s="347" t="s">
        <v>44</v>
      </c>
      <c r="J125" s="276" t="str">
        <f>IF(ISBLANK(INDEX('Policy Characteristics'!D:D,MATCH($C125,'Policy Characteristics'!$C:$C,0))),"",INDEX('Policy Characteristics'!D:D,MATCH($C125,'Policy Characteristics'!$C:$C,0)))</f>
        <v>Vehicle Subsidy</v>
      </c>
      <c r="K125" s="275" t="str">
        <f>IF(ISBLANK(INDEX('Policy Characteristics'!E:E,MATCH($C125,'Policy Characteristics'!$C:$C,0))),"",INDEX('Policy Characteristics'!E:E,MATCH($C125,'Policy Characteristics'!$C:$C,0)))</f>
        <v>trans frgt subsidy</v>
      </c>
      <c r="L125" s="283">
        <f>IF(ISBLANK(INDEX('Policy Characteristics'!F:F,MATCH($C125,'Policy Characteristics'!$C:$C,0))),"",INDEX('Policy Characteristics'!F:F,MATCH($C125,'Policy Characteristics'!$C:$C,0)))</f>
        <v>0</v>
      </c>
      <c r="M125" s="283">
        <f>IF(ISBLANK(INDEX('Policy Characteristics'!G:G,MATCH($C125,'Policy Characteristics'!$C:$C,0))),"",INDEX('Policy Characteristics'!G:G,MATCH($C125,'Policy Characteristics'!$C:$C,0)))</f>
        <v>50000</v>
      </c>
      <c r="N125" s="283">
        <f>IF(ISBLANK(INDEX('Policy Characteristics'!H:H,MATCH($C125,'Policy Characteristics'!$C:$C,0))),"",INDEX('Policy Characteristics'!H:H,MATCH($C125,'Policy Characteristics'!$C:$C,0)))</f>
        <v>100</v>
      </c>
      <c r="O125" s="275" t="str">
        <f>IF(ISBLANK(INDEX('Policy Characteristics'!I:I,MATCH($C125,'Policy Characteristics'!$C:$C,0))),"",INDEX('Policy Characteristics'!I:I,MATCH($C125,'Policy Characteristics'!$C:$C,0)))</f>
        <v>$ / vehicle</v>
      </c>
      <c r="P125" s="275"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5" s="275" t="str">
        <f>IF(ISBLANK(INDEX('Policy Characteristics'!K:K,MATCH($C125,'Policy Characteristics'!$C:$C,0))),"",INDEX('Policy Characteristics'!K:K,MATCH($C125,'Policy Characteristics'!$C:$C,0)))</f>
        <v>transportation-sector-main.html#ev-subsidy</v>
      </c>
      <c r="R125" s="275" t="str">
        <f>IF(ISBLANK(INDEX('Policy Characteristics'!L:L,MATCH($C125,'Policy Characteristics'!$C:$C,0))),"",INDEX('Policy Characteristics'!L:L,MATCH($C125,'Policy Characteristics'!$C:$C,0)))</f>
        <v>ev-subsidy.html</v>
      </c>
    </row>
    <row r="126" spans="1:18" x14ac:dyDescent="0.25">
      <c r="A126" s="275" t="str">
        <f>IF(ISBLANK(INDEX('Policy Characteristics'!A:A,MATCH($C126,'Policy Characteristics'!$C:$C,0))),"",INDEX('Policy Characteristics'!A:A,MATCH($C126,'Policy Characteristics'!$C:$C,0)))</f>
        <v>Transportation</v>
      </c>
      <c r="B126" s="284" t="str">
        <f>IF(ISBLANK(INDEX('Policy Characteristics'!B:B,MATCH($C126,'Policy Characteristics'!$C:$C,0))),"",INDEX('Policy Characteristics'!B:B,MATCH($C126,'Policy Characteristics'!$C:$C,0)))</f>
        <v>Freight Vehicle Subsidy</v>
      </c>
      <c r="C126" s="275" t="str">
        <f t="shared" si="4"/>
        <v>Additional Freight Vehicle Subsidy</v>
      </c>
      <c r="D126" s="47" t="s">
        <v>40</v>
      </c>
      <c r="E126" s="47" t="s">
        <v>2246</v>
      </c>
      <c r="F126" s="2" t="s">
        <v>86</v>
      </c>
      <c r="G126" s="47" t="s">
        <v>3476</v>
      </c>
      <c r="H126" s="44">
        <v>1707</v>
      </c>
      <c r="I126" s="347" t="s">
        <v>44</v>
      </c>
      <c r="J126" s="276" t="str">
        <f>IF(ISBLANK(INDEX('Policy Characteristics'!D:D,MATCH($C126,'Policy Characteristics'!$C:$C,0))),"",INDEX('Policy Characteristics'!D:D,MATCH($C126,'Policy Characteristics'!$C:$C,0)))</f>
        <v>Vehicle Subsidy</v>
      </c>
      <c r="K126" s="275" t="str">
        <f>IF(ISBLANK(INDEX('Policy Characteristics'!E:E,MATCH($C126,'Policy Characteristics'!$C:$C,0))),"",INDEX('Policy Characteristics'!E:E,MATCH($C126,'Policy Characteristics'!$C:$C,0)))</f>
        <v>trans frgt subsidy</v>
      </c>
      <c r="L126" s="283">
        <f>IF(ISBLANK(INDEX('Policy Characteristics'!F:F,MATCH($C126,'Policy Characteristics'!$C:$C,0))),"",INDEX('Policy Characteristics'!F:F,MATCH($C126,'Policy Characteristics'!$C:$C,0)))</f>
        <v>0</v>
      </c>
      <c r="M126" s="283">
        <f>IF(ISBLANK(INDEX('Policy Characteristics'!G:G,MATCH($C126,'Policy Characteristics'!$C:$C,0))),"",INDEX('Policy Characteristics'!G:G,MATCH($C126,'Policy Characteristics'!$C:$C,0)))</f>
        <v>50000</v>
      </c>
      <c r="N126" s="283">
        <f>IF(ISBLANK(INDEX('Policy Characteristics'!H:H,MATCH($C126,'Policy Characteristics'!$C:$C,0))),"",INDEX('Policy Characteristics'!H:H,MATCH($C126,'Policy Characteristics'!$C:$C,0)))</f>
        <v>100</v>
      </c>
      <c r="O126" s="275" t="str">
        <f>IF(ISBLANK(INDEX('Policy Characteristics'!I:I,MATCH($C126,'Policy Characteristics'!$C:$C,0))),"",INDEX('Policy Characteristics'!I:I,MATCH($C126,'Policy Characteristics'!$C:$C,0)))</f>
        <v>$ / vehicle</v>
      </c>
      <c r="P126" s="275"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6" s="275" t="str">
        <f>IF(ISBLANK(INDEX('Policy Characteristics'!K:K,MATCH($C126,'Policy Characteristics'!$C:$C,0))),"",INDEX('Policy Characteristics'!K:K,MATCH($C126,'Policy Characteristics'!$C:$C,0)))</f>
        <v>transportation-sector-main.html#ev-subsidy</v>
      </c>
      <c r="R126" s="275" t="str">
        <f>IF(ISBLANK(INDEX('Policy Characteristics'!L:L,MATCH($C126,'Policy Characteristics'!$C:$C,0))),"",INDEX('Policy Characteristics'!L:L,MATCH($C126,'Policy Characteristics'!$C:$C,0)))</f>
        <v>ev-subsidy.html</v>
      </c>
    </row>
    <row r="127" spans="1:18" x14ac:dyDescent="0.25">
      <c r="A127" s="275" t="str">
        <f>IF(ISBLANK(INDEX('Policy Characteristics'!A:A,MATCH($C127,'Policy Characteristics'!$C:$C,0))),"",INDEX('Policy Characteristics'!A:A,MATCH($C127,'Policy Characteristics'!$C:$C,0)))</f>
        <v>Transportation</v>
      </c>
      <c r="B127" s="284" t="str">
        <f>IF(ISBLANK(INDEX('Policy Characteristics'!B:B,MATCH($C127,'Policy Characteristics'!$C:$C,0))),"",INDEX('Policy Characteristics'!B:B,MATCH($C127,'Policy Characteristics'!$C:$C,0)))</f>
        <v>Freight Vehicle Subsidy</v>
      </c>
      <c r="C127" s="275" t="str">
        <f t="shared" si="4"/>
        <v>Additional Freight Vehicle Subsidy</v>
      </c>
      <c r="D127" s="47" t="s">
        <v>40</v>
      </c>
      <c r="E127" s="2" t="s">
        <v>2247</v>
      </c>
      <c r="F127" s="2" t="s">
        <v>86</v>
      </c>
      <c r="G127" s="2" t="s">
        <v>3477</v>
      </c>
      <c r="H127" s="44">
        <v>1708</v>
      </c>
      <c r="I127" s="347" t="s">
        <v>44</v>
      </c>
      <c r="J127" s="276" t="str">
        <f>IF(ISBLANK(INDEX('Policy Characteristics'!D:D,MATCH($C127,'Policy Characteristics'!$C:$C,0))),"",INDEX('Policy Characteristics'!D:D,MATCH($C127,'Policy Characteristics'!$C:$C,0)))</f>
        <v>Vehicle Subsidy</v>
      </c>
      <c r="K127" s="275" t="str">
        <f>IF(ISBLANK(INDEX('Policy Characteristics'!E:E,MATCH($C127,'Policy Characteristics'!$C:$C,0))),"",INDEX('Policy Characteristics'!E:E,MATCH($C127,'Policy Characteristics'!$C:$C,0)))</f>
        <v>trans frgt subsidy</v>
      </c>
      <c r="L127" s="283">
        <f>IF(ISBLANK(INDEX('Policy Characteristics'!F:F,MATCH($C127,'Policy Characteristics'!$C:$C,0))),"",INDEX('Policy Characteristics'!F:F,MATCH($C127,'Policy Characteristics'!$C:$C,0)))</f>
        <v>0</v>
      </c>
      <c r="M127" s="283">
        <f>IF(ISBLANK(INDEX('Policy Characteristics'!G:G,MATCH($C127,'Policy Characteristics'!$C:$C,0))),"",INDEX('Policy Characteristics'!G:G,MATCH($C127,'Policy Characteristics'!$C:$C,0)))</f>
        <v>50000</v>
      </c>
      <c r="N127" s="283">
        <f>IF(ISBLANK(INDEX('Policy Characteristics'!H:H,MATCH($C127,'Policy Characteristics'!$C:$C,0))),"",INDEX('Policy Characteristics'!H:H,MATCH($C127,'Policy Characteristics'!$C:$C,0)))</f>
        <v>100</v>
      </c>
      <c r="O127" s="275" t="str">
        <f>IF(ISBLANK(INDEX('Policy Characteristics'!I:I,MATCH($C127,'Policy Characteristics'!$C:$C,0))),"",INDEX('Policy Characteristics'!I:I,MATCH($C127,'Policy Characteristics'!$C:$C,0)))</f>
        <v>$ / vehicle</v>
      </c>
      <c r="P127" s="275"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7" s="275" t="str">
        <f>IF(ISBLANK(INDEX('Policy Characteristics'!K:K,MATCH($C127,'Policy Characteristics'!$C:$C,0))),"",INDEX('Policy Characteristics'!K:K,MATCH($C127,'Policy Characteristics'!$C:$C,0)))</f>
        <v>transportation-sector-main.html#ev-subsidy</v>
      </c>
      <c r="R127" s="275" t="str">
        <f>IF(ISBLANK(INDEX('Policy Characteristics'!L:L,MATCH($C127,'Policy Characteristics'!$C:$C,0))),"",INDEX('Policy Characteristics'!L:L,MATCH($C127,'Policy Characteristics'!$C:$C,0)))</f>
        <v>ev-subsidy.html</v>
      </c>
    </row>
    <row r="128" spans="1:18" x14ac:dyDescent="0.25">
      <c r="A128" s="275" t="str">
        <f>IF(ISBLANK(INDEX('Policy Characteristics'!A:A,MATCH($C128,'Policy Characteristics'!$C:$C,0))),"",INDEX('Policy Characteristics'!A:A,MATCH($C128,'Policy Characteristics'!$C:$C,0)))</f>
        <v>Transportation</v>
      </c>
      <c r="B128" s="284" t="str">
        <f>IF(ISBLANK(INDEX('Policy Characteristics'!B:B,MATCH($C128,'Policy Characteristics'!$C:$C,0))),"",INDEX('Policy Characteristics'!B:B,MATCH($C128,'Policy Characteristics'!$C:$C,0)))</f>
        <v>Freight Vehicle Subsidy</v>
      </c>
      <c r="C128" s="275" t="str">
        <f t="shared" si="4"/>
        <v>Additional Freight Vehicle Subsidy</v>
      </c>
      <c r="D128" s="47" t="s">
        <v>40</v>
      </c>
      <c r="E128" s="2" t="s">
        <v>2248</v>
      </c>
      <c r="F128" s="2" t="s">
        <v>86</v>
      </c>
      <c r="G128" s="2" t="s">
        <v>3478</v>
      </c>
      <c r="H128" s="44">
        <v>1709</v>
      </c>
      <c r="I128" s="347" t="s">
        <v>44</v>
      </c>
      <c r="J128" s="276" t="str">
        <f>IF(ISBLANK(INDEX('Policy Characteristics'!D:D,MATCH($C128,'Policy Characteristics'!$C:$C,0))),"",INDEX('Policy Characteristics'!D:D,MATCH($C128,'Policy Characteristics'!$C:$C,0)))</f>
        <v>Vehicle Subsidy</v>
      </c>
      <c r="K128" s="275" t="str">
        <f>IF(ISBLANK(INDEX('Policy Characteristics'!E:E,MATCH($C128,'Policy Characteristics'!$C:$C,0))),"",INDEX('Policy Characteristics'!E:E,MATCH($C128,'Policy Characteristics'!$C:$C,0)))</f>
        <v>trans frgt subsidy</v>
      </c>
      <c r="L128" s="283">
        <f>IF(ISBLANK(INDEX('Policy Characteristics'!F:F,MATCH($C128,'Policy Characteristics'!$C:$C,0))),"",INDEX('Policy Characteristics'!F:F,MATCH($C128,'Policy Characteristics'!$C:$C,0)))</f>
        <v>0</v>
      </c>
      <c r="M128" s="283">
        <f>IF(ISBLANK(INDEX('Policy Characteristics'!G:G,MATCH($C128,'Policy Characteristics'!$C:$C,0))),"",INDEX('Policy Characteristics'!G:G,MATCH($C128,'Policy Characteristics'!$C:$C,0)))</f>
        <v>50000</v>
      </c>
      <c r="N128" s="283">
        <f>IF(ISBLANK(INDEX('Policy Characteristics'!H:H,MATCH($C128,'Policy Characteristics'!$C:$C,0))),"",INDEX('Policy Characteristics'!H:H,MATCH($C128,'Policy Characteristics'!$C:$C,0)))</f>
        <v>100</v>
      </c>
      <c r="O128" s="275" t="str">
        <f>IF(ISBLANK(INDEX('Policy Characteristics'!I:I,MATCH($C128,'Policy Characteristics'!$C:$C,0))),"",INDEX('Policy Characteristics'!I:I,MATCH($C128,'Policy Characteristics'!$C:$C,0)))</f>
        <v>$ / vehicle</v>
      </c>
      <c r="P128" s="275"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8" s="275" t="str">
        <f>IF(ISBLANK(INDEX('Policy Characteristics'!K:K,MATCH($C128,'Policy Characteristics'!$C:$C,0))),"",INDEX('Policy Characteristics'!K:K,MATCH($C128,'Policy Characteristics'!$C:$C,0)))</f>
        <v>transportation-sector-main.html#ev-subsidy</v>
      </c>
      <c r="R128" s="275" t="str">
        <f>IF(ISBLANK(INDEX('Policy Characteristics'!L:L,MATCH($C128,'Policy Characteristics'!$C:$C,0))),"",INDEX('Policy Characteristics'!L:L,MATCH($C128,'Policy Characteristics'!$C:$C,0)))</f>
        <v>ev-subsidy.html</v>
      </c>
    </row>
    <row r="129" spans="1:18" x14ac:dyDescent="0.25">
      <c r="A129" s="275" t="str">
        <f>IF(ISBLANK(INDEX('Policy Characteristics'!A:A,MATCH($C129,'Policy Characteristics'!$C:$C,0))),"",INDEX('Policy Characteristics'!A:A,MATCH($C129,'Policy Characteristics'!$C:$C,0)))</f>
        <v>Transportation</v>
      </c>
      <c r="B129" s="284" t="str">
        <f>IF(ISBLANK(INDEX('Policy Characteristics'!B:B,MATCH($C129,'Policy Characteristics'!$C:$C,0))),"",INDEX('Policy Characteristics'!B:B,MATCH($C129,'Policy Characteristics'!$C:$C,0)))</f>
        <v>Freight Vehicle Subsidy</v>
      </c>
      <c r="C129" s="275" t="str">
        <f t="shared" si="4"/>
        <v>Additional Freight Vehicle Subsidy</v>
      </c>
      <c r="D129" s="47" t="s">
        <v>40</v>
      </c>
      <c r="E129" s="2" t="s">
        <v>2249</v>
      </c>
      <c r="F129" s="2" t="s">
        <v>86</v>
      </c>
      <c r="G129" s="2" t="s">
        <v>3479</v>
      </c>
      <c r="H129" s="44">
        <v>1710</v>
      </c>
      <c r="I129" s="347" t="s">
        <v>44</v>
      </c>
      <c r="J129" s="276" t="str">
        <f>IF(ISBLANK(INDEX('Policy Characteristics'!D:D,MATCH($C129,'Policy Characteristics'!$C:$C,0))),"",INDEX('Policy Characteristics'!D:D,MATCH($C129,'Policy Characteristics'!$C:$C,0)))</f>
        <v>Vehicle Subsidy</v>
      </c>
      <c r="K129" s="275" t="str">
        <f>IF(ISBLANK(INDEX('Policy Characteristics'!E:E,MATCH($C129,'Policy Characteristics'!$C:$C,0))),"",INDEX('Policy Characteristics'!E:E,MATCH($C129,'Policy Characteristics'!$C:$C,0)))</f>
        <v>trans frgt subsidy</v>
      </c>
      <c r="L129" s="283">
        <f>IF(ISBLANK(INDEX('Policy Characteristics'!F:F,MATCH($C129,'Policy Characteristics'!$C:$C,0))),"",INDEX('Policy Characteristics'!F:F,MATCH($C129,'Policy Characteristics'!$C:$C,0)))</f>
        <v>0</v>
      </c>
      <c r="M129" s="283">
        <f>IF(ISBLANK(INDEX('Policy Characteristics'!G:G,MATCH($C129,'Policy Characteristics'!$C:$C,0))),"",INDEX('Policy Characteristics'!G:G,MATCH($C129,'Policy Characteristics'!$C:$C,0)))</f>
        <v>50000</v>
      </c>
      <c r="N129" s="283">
        <f>IF(ISBLANK(INDEX('Policy Characteristics'!H:H,MATCH($C129,'Policy Characteristics'!$C:$C,0))),"",INDEX('Policy Characteristics'!H:H,MATCH($C129,'Policy Characteristics'!$C:$C,0)))</f>
        <v>100</v>
      </c>
      <c r="O129" s="275" t="str">
        <f>IF(ISBLANK(INDEX('Policy Characteristics'!I:I,MATCH($C129,'Policy Characteristics'!$C:$C,0))),"",INDEX('Policy Characteristics'!I:I,MATCH($C129,'Policy Characteristics'!$C:$C,0)))</f>
        <v>$ / vehicle</v>
      </c>
      <c r="P129" s="275"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9" s="275" t="str">
        <f>IF(ISBLANK(INDEX('Policy Characteristics'!K:K,MATCH($C129,'Policy Characteristics'!$C:$C,0))),"",INDEX('Policy Characteristics'!K:K,MATCH($C129,'Policy Characteristics'!$C:$C,0)))</f>
        <v>transportation-sector-main.html#ev-subsidy</v>
      </c>
      <c r="R129" s="275" t="str">
        <f>IF(ISBLANK(INDEX('Policy Characteristics'!L:L,MATCH($C129,'Policy Characteristics'!$C:$C,0))),"",INDEX('Policy Characteristics'!L:L,MATCH($C129,'Policy Characteristics'!$C:$C,0)))</f>
        <v>ev-subsidy.html</v>
      </c>
    </row>
    <row r="130" spans="1:18" x14ac:dyDescent="0.25">
      <c r="A130" s="275" t="str">
        <f>IF(ISBLANK(INDEX('Policy Characteristics'!A:A,MATCH($C130,'Policy Characteristics'!$C:$C,0))),"",INDEX('Policy Characteristics'!A:A,MATCH($C130,'Policy Characteristics'!$C:$C,0)))</f>
        <v>Transportation</v>
      </c>
      <c r="B130" s="284" t="str">
        <f>IF(ISBLANK(INDEX('Policy Characteristics'!B:B,MATCH($C130,'Policy Characteristics'!$C:$C,0))),"",INDEX('Policy Characteristics'!B:B,MATCH($C130,'Policy Characteristics'!$C:$C,0)))</f>
        <v>Freight Vehicle Subsidy</v>
      </c>
      <c r="C130" s="275" t="str">
        <f t="shared" si="4"/>
        <v>Additional Freight Vehicle Subsidy</v>
      </c>
      <c r="D130" s="47" t="s">
        <v>40</v>
      </c>
      <c r="E130" s="2" t="s">
        <v>2250</v>
      </c>
      <c r="F130" s="2" t="s">
        <v>86</v>
      </c>
      <c r="G130" s="2" t="s">
        <v>3480</v>
      </c>
      <c r="H130" s="44">
        <v>1711</v>
      </c>
      <c r="I130" s="347" t="s">
        <v>44</v>
      </c>
      <c r="J130" s="276" t="str">
        <f>IF(ISBLANK(INDEX('Policy Characteristics'!D:D,MATCH($C130,'Policy Characteristics'!$C:$C,0))),"",INDEX('Policy Characteristics'!D:D,MATCH($C130,'Policy Characteristics'!$C:$C,0)))</f>
        <v>Vehicle Subsidy</v>
      </c>
      <c r="K130" s="275" t="str">
        <f>IF(ISBLANK(INDEX('Policy Characteristics'!E:E,MATCH($C130,'Policy Characteristics'!$C:$C,0))),"",INDEX('Policy Characteristics'!E:E,MATCH($C130,'Policy Characteristics'!$C:$C,0)))</f>
        <v>trans frgt subsidy</v>
      </c>
      <c r="L130" s="283">
        <f>IF(ISBLANK(INDEX('Policy Characteristics'!F:F,MATCH($C130,'Policy Characteristics'!$C:$C,0))),"",INDEX('Policy Characteristics'!F:F,MATCH($C130,'Policy Characteristics'!$C:$C,0)))</f>
        <v>0</v>
      </c>
      <c r="M130" s="283">
        <f>IF(ISBLANK(INDEX('Policy Characteristics'!G:G,MATCH($C130,'Policy Characteristics'!$C:$C,0))),"",INDEX('Policy Characteristics'!G:G,MATCH($C130,'Policy Characteristics'!$C:$C,0)))</f>
        <v>50000</v>
      </c>
      <c r="N130" s="283">
        <f>IF(ISBLANK(INDEX('Policy Characteristics'!H:H,MATCH($C130,'Policy Characteristics'!$C:$C,0))),"",INDEX('Policy Characteristics'!H:H,MATCH($C130,'Policy Characteristics'!$C:$C,0)))</f>
        <v>100</v>
      </c>
      <c r="O130" s="275" t="str">
        <f>IF(ISBLANK(INDEX('Policy Characteristics'!I:I,MATCH($C130,'Policy Characteristics'!$C:$C,0))),"",INDEX('Policy Characteristics'!I:I,MATCH($C130,'Policy Characteristics'!$C:$C,0)))</f>
        <v>$ / vehicle</v>
      </c>
      <c r="P130" s="275"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0" s="275" t="str">
        <f>IF(ISBLANK(INDEX('Policy Characteristics'!K:K,MATCH($C130,'Policy Characteristics'!$C:$C,0))),"",INDEX('Policy Characteristics'!K:K,MATCH($C130,'Policy Characteristics'!$C:$C,0)))</f>
        <v>transportation-sector-main.html#ev-subsidy</v>
      </c>
      <c r="R130" s="275" t="str">
        <f>IF(ISBLANK(INDEX('Policy Characteristics'!L:L,MATCH($C130,'Policy Characteristics'!$C:$C,0))),"",INDEX('Policy Characteristics'!L:L,MATCH($C130,'Policy Characteristics'!$C:$C,0)))</f>
        <v>ev-subsidy.html</v>
      </c>
    </row>
    <row r="131" spans="1:18" x14ac:dyDescent="0.25">
      <c r="A131" s="275" t="str">
        <f>IF(ISBLANK(INDEX('Policy Characteristics'!A:A,MATCH($C131,'Policy Characteristics'!$C:$C,0))),"",INDEX('Policy Characteristics'!A:A,MATCH($C131,'Policy Characteristics'!$C:$C,0)))</f>
        <v>Transportation</v>
      </c>
      <c r="B131" s="284" t="str">
        <f>IF(ISBLANK(INDEX('Policy Characteristics'!B:B,MATCH($C131,'Policy Characteristics'!$C:$C,0))),"",INDEX('Policy Characteristics'!B:B,MATCH($C131,'Policy Characteristics'!$C:$C,0)))</f>
        <v>Freight Vehicle Subsidy</v>
      </c>
      <c r="C131" s="275" t="str">
        <f t="shared" si="4"/>
        <v>Additional Freight Vehicle Subsidy</v>
      </c>
      <c r="D131" s="47" t="s">
        <v>40</v>
      </c>
      <c r="E131" s="2" t="s">
        <v>2512</v>
      </c>
      <c r="F131" s="2" t="s">
        <v>86</v>
      </c>
      <c r="G131" s="2" t="s">
        <v>2512</v>
      </c>
      <c r="H131" s="44">
        <v>1712</v>
      </c>
      <c r="I131" s="347" t="s">
        <v>44</v>
      </c>
      <c r="J131" s="276" t="str">
        <f>IF(ISBLANK(INDEX('Policy Characteristics'!D:D,MATCH($C131,'Policy Characteristics'!$C:$C,0))),"",INDEX('Policy Characteristics'!D:D,MATCH($C131,'Policy Characteristics'!$C:$C,0)))</f>
        <v>Vehicle Subsidy</v>
      </c>
      <c r="K131" s="275" t="str">
        <f>IF(ISBLANK(INDEX('Policy Characteristics'!E:E,MATCH($C131,'Policy Characteristics'!$C:$C,0))),"",INDEX('Policy Characteristics'!E:E,MATCH($C131,'Policy Characteristics'!$C:$C,0)))</f>
        <v>trans frgt subsidy</v>
      </c>
      <c r="L131" s="283">
        <f>IF(ISBLANK(INDEX('Policy Characteristics'!F:F,MATCH($C131,'Policy Characteristics'!$C:$C,0))),"",INDEX('Policy Characteristics'!F:F,MATCH($C131,'Policy Characteristics'!$C:$C,0)))</f>
        <v>0</v>
      </c>
      <c r="M131" s="283">
        <f>IF(ISBLANK(INDEX('Policy Characteristics'!G:G,MATCH($C131,'Policy Characteristics'!$C:$C,0))),"",INDEX('Policy Characteristics'!G:G,MATCH($C131,'Policy Characteristics'!$C:$C,0)))</f>
        <v>50000</v>
      </c>
      <c r="N131" s="283">
        <f>IF(ISBLANK(INDEX('Policy Characteristics'!H:H,MATCH($C131,'Policy Characteristics'!$C:$C,0))),"",INDEX('Policy Characteristics'!H:H,MATCH($C131,'Policy Characteristics'!$C:$C,0)))</f>
        <v>100</v>
      </c>
      <c r="O131" s="275" t="str">
        <f>IF(ISBLANK(INDEX('Policy Characteristics'!I:I,MATCH($C131,'Policy Characteristics'!$C:$C,0))),"",INDEX('Policy Characteristics'!I:I,MATCH($C131,'Policy Characteristics'!$C:$C,0)))</f>
        <v>$ / vehicle</v>
      </c>
      <c r="P131" s="275"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1" s="275" t="str">
        <f>IF(ISBLANK(INDEX('Policy Characteristics'!K:K,MATCH($C131,'Policy Characteristics'!$C:$C,0))),"",INDEX('Policy Characteristics'!K:K,MATCH($C131,'Policy Characteristics'!$C:$C,0)))</f>
        <v>transportation-sector-main.html#ev-subsidy</v>
      </c>
      <c r="R131" s="275" t="str">
        <f>IF(ISBLANK(INDEX('Policy Characteristics'!L:L,MATCH($C131,'Policy Characteristics'!$C:$C,0))),"",INDEX('Policy Characteristics'!L:L,MATCH($C131,'Policy Characteristics'!$C:$C,0)))</f>
        <v>ev-subsidy.html</v>
      </c>
    </row>
    <row r="132" spans="1:18" x14ac:dyDescent="0.25">
      <c r="A132" s="275" t="str">
        <f>IF(ISBLANK(INDEX('Policy Characteristics'!A:A,MATCH($C132,'Policy Characteristics'!$C:$C,0))),"",INDEX('Policy Characteristics'!A:A,MATCH($C132,'Policy Characteristics'!$C:$C,0)))</f>
        <v>Transportation</v>
      </c>
      <c r="B132" s="284" t="str">
        <f>IF(ISBLANK(INDEX('Policy Characteristics'!B:B,MATCH($C132,'Policy Characteristics'!$C:$C,0))),"",INDEX('Policy Characteristics'!B:B,MATCH($C132,'Policy Characteristics'!$C:$C,0)))</f>
        <v>Freight Vehicle Subsidy</v>
      </c>
      <c r="C132" s="275" t="str">
        <f t="shared" si="4"/>
        <v>Additional Freight Vehicle Subsidy</v>
      </c>
      <c r="D132" s="47" t="s">
        <v>40</v>
      </c>
      <c r="E132" s="2" t="s">
        <v>2511</v>
      </c>
      <c r="F132" s="2" t="s">
        <v>86</v>
      </c>
      <c r="G132" s="2" t="s">
        <v>3481</v>
      </c>
      <c r="H132" s="44">
        <v>1713</v>
      </c>
      <c r="I132" s="347" t="s">
        <v>44</v>
      </c>
      <c r="J132" s="276" t="str">
        <f>IF(ISBLANK(INDEX('Policy Characteristics'!D:D,MATCH($C132,'Policy Characteristics'!$C:$C,0))),"",INDEX('Policy Characteristics'!D:D,MATCH($C132,'Policy Characteristics'!$C:$C,0)))</f>
        <v>Vehicle Subsidy</v>
      </c>
      <c r="K132" s="275" t="str">
        <f>IF(ISBLANK(INDEX('Policy Characteristics'!E:E,MATCH($C132,'Policy Characteristics'!$C:$C,0))),"",INDEX('Policy Characteristics'!E:E,MATCH($C132,'Policy Characteristics'!$C:$C,0)))</f>
        <v>trans frgt subsidy</v>
      </c>
      <c r="L132" s="283">
        <f>IF(ISBLANK(INDEX('Policy Characteristics'!F:F,MATCH($C132,'Policy Characteristics'!$C:$C,0))),"",INDEX('Policy Characteristics'!F:F,MATCH($C132,'Policy Characteristics'!$C:$C,0)))</f>
        <v>0</v>
      </c>
      <c r="M132" s="283">
        <f>IF(ISBLANK(INDEX('Policy Characteristics'!G:G,MATCH($C132,'Policy Characteristics'!$C:$C,0))),"",INDEX('Policy Characteristics'!G:G,MATCH($C132,'Policy Characteristics'!$C:$C,0)))</f>
        <v>50000</v>
      </c>
      <c r="N132" s="283">
        <f>IF(ISBLANK(INDEX('Policy Characteristics'!H:H,MATCH($C132,'Policy Characteristics'!$C:$C,0))),"",INDEX('Policy Characteristics'!H:H,MATCH($C132,'Policy Characteristics'!$C:$C,0)))</f>
        <v>100</v>
      </c>
      <c r="O132" s="275" t="str">
        <f>IF(ISBLANK(INDEX('Policy Characteristics'!I:I,MATCH($C132,'Policy Characteristics'!$C:$C,0))),"",INDEX('Policy Characteristics'!I:I,MATCH($C132,'Policy Characteristics'!$C:$C,0)))</f>
        <v>$ / vehicle</v>
      </c>
      <c r="P132" s="275"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2" s="275" t="str">
        <f>IF(ISBLANK(INDEX('Policy Characteristics'!K:K,MATCH($C132,'Policy Characteristics'!$C:$C,0))),"",INDEX('Policy Characteristics'!K:K,MATCH($C132,'Policy Characteristics'!$C:$C,0)))</f>
        <v>transportation-sector-main.html#ev-subsidy</v>
      </c>
      <c r="R132" s="275" t="str">
        <f>IF(ISBLANK(INDEX('Policy Characteristics'!L:L,MATCH($C132,'Policy Characteristics'!$C:$C,0))),"",INDEX('Policy Characteristics'!L:L,MATCH($C132,'Policy Characteristics'!$C:$C,0)))</f>
        <v>ev-subsidy.html</v>
      </c>
    </row>
    <row r="133" spans="1:18" x14ac:dyDescent="0.25">
      <c r="A133" s="275" t="str">
        <f>IF(ISBLANK(INDEX('Policy Characteristics'!A:A,MATCH($C133,'Policy Characteristics'!$C:$C,0))),"",INDEX('Policy Characteristics'!A:A,MATCH($C133,'Policy Characteristics'!$C:$C,0)))</f>
        <v>Transportation</v>
      </c>
      <c r="B133" s="284" t="str">
        <f>IF(ISBLANK(INDEX('Policy Characteristics'!B:B,MATCH($C133,'Policy Characteristics'!$C:$C,0))),"",INDEX('Policy Characteristics'!B:B,MATCH($C133,'Policy Characteristics'!$C:$C,0)))</f>
        <v>Freight Vehicle Subsidy</v>
      </c>
      <c r="C133" s="275" t="str">
        <f t="shared" si="4"/>
        <v>Additional Freight Vehicle Subsidy</v>
      </c>
      <c r="D133" s="47" t="s">
        <v>41</v>
      </c>
      <c r="E133" s="47" t="s">
        <v>2246</v>
      </c>
      <c r="F133" s="2" t="s">
        <v>3313</v>
      </c>
      <c r="G133" s="47" t="s">
        <v>3476</v>
      </c>
      <c r="H133" s="44">
        <v>1714</v>
      </c>
      <c r="I133" s="347" t="s">
        <v>44</v>
      </c>
      <c r="J133" s="276" t="str">
        <f>IF(ISBLANK(INDEX('Policy Characteristics'!D:D,MATCH($C133,'Policy Characteristics'!$C:$C,0))),"",INDEX('Policy Characteristics'!D:D,MATCH($C133,'Policy Characteristics'!$C:$C,0)))</f>
        <v>Vehicle Subsidy</v>
      </c>
      <c r="K133" s="275" t="str">
        <f>IF(ISBLANK(INDEX('Policy Characteristics'!E:E,MATCH($C133,'Policy Characteristics'!$C:$C,0))),"",INDEX('Policy Characteristics'!E:E,MATCH($C133,'Policy Characteristics'!$C:$C,0)))</f>
        <v>trans frgt subsidy</v>
      </c>
      <c r="L133" s="283">
        <f>IF(ISBLANK(INDEX('Policy Characteristics'!F:F,MATCH($C133,'Policy Characteristics'!$C:$C,0))),"",INDEX('Policy Characteristics'!F:F,MATCH($C133,'Policy Characteristics'!$C:$C,0)))</f>
        <v>0</v>
      </c>
      <c r="M133" s="283">
        <f>IF(ISBLANK(INDEX('Policy Characteristics'!G:G,MATCH($C133,'Policy Characteristics'!$C:$C,0))),"",INDEX('Policy Characteristics'!G:G,MATCH($C133,'Policy Characteristics'!$C:$C,0)))</f>
        <v>50000</v>
      </c>
      <c r="N133" s="283">
        <f>IF(ISBLANK(INDEX('Policy Characteristics'!H:H,MATCH($C133,'Policy Characteristics'!$C:$C,0))),"",INDEX('Policy Characteristics'!H:H,MATCH($C133,'Policy Characteristics'!$C:$C,0)))</f>
        <v>100</v>
      </c>
      <c r="O133" s="275" t="str">
        <f>IF(ISBLANK(INDEX('Policy Characteristics'!I:I,MATCH($C133,'Policy Characteristics'!$C:$C,0))),"",INDEX('Policy Characteristics'!I:I,MATCH($C133,'Policy Characteristics'!$C:$C,0)))</f>
        <v>$ / vehicle</v>
      </c>
      <c r="P133" s="275"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3" s="275" t="str">
        <f>IF(ISBLANK(INDEX('Policy Characteristics'!K:K,MATCH($C133,'Policy Characteristics'!$C:$C,0))),"",INDEX('Policy Characteristics'!K:K,MATCH($C133,'Policy Characteristics'!$C:$C,0)))</f>
        <v>transportation-sector-main.html#ev-subsidy</v>
      </c>
      <c r="R133" s="275" t="str">
        <f>IF(ISBLANK(INDEX('Policy Characteristics'!L:L,MATCH($C133,'Policy Characteristics'!$C:$C,0))),"",INDEX('Policy Characteristics'!L:L,MATCH($C133,'Policy Characteristics'!$C:$C,0)))</f>
        <v>ev-subsidy.html</v>
      </c>
    </row>
    <row r="134" spans="1:18" x14ac:dyDescent="0.25">
      <c r="A134" s="275" t="str">
        <f>IF(ISBLANK(INDEX('Policy Characteristics'!A:A,MATCH($C134,'Policy Characteristics'!$C:$C,0))),"",INDEX('Policy Characteristics'!A:A,MATCH($C134,'Policy Characteristics'!$C:$C,0)))</f>
        <v>Transportation</v>
      </c>
      <c r="B134" s="284" t="str">
        <f>IF(ISBLANK(INDEX('Policy Characteristics'!B:B,MATCH($C134,'Policy Characteristics'!$C:$C,0))),"",INDEX('Policy Characteristics'!B:B,MATCH($C134,'Policy Characteristics'!$C:$C,0)))</f>
        <v>Freight Vehicle Subsidy</v>
      </c>
      <c r="C134" s="275" t="str">
        <f t="shared" si="4"/>
        <v>Additional Freight Vehicle Subsidy</v>
      </c>
      <c r="D134" s="47" t="s">
        <v>41</v>
      </c>
      <c r="E134" s="2" t="s">
        <v>2247</v>
      </c>
      <c r="F134" s="2" t="s">
        <v>3313</v>
      </c>
      <c r="G134" s="2" t="s">
        <v>3477</v>
      </c>
      <c r="H134" s="44">
        <v>1715</v>
      </c>
      <c r="I134" s="347" t="s">
        <v>44</v>
      </c>
      <c r="J134" s="276" t="str">
        <f>IF(ISBLANK(INDEX('Policy Characteristics'!D:D,MATCH($C134,'Policy Characteristics'!$C:$C,0))),"",INDEX('Policy Characteristics'!D:D,MATCH($C134,'Policy Characteristics'!$C:$C,0)))</f>
        <v>Vehicle Subsidy</v>
      </c>
      <c r="K134" s="275" t="str">
        <f>IF(ISBLANK(INDEX('Policy Characteristics'!E:E,MATCH($C134,'Policy Characteristics'!$C:$C,0))),"",INDEX('Policy Characteristics'!E:E,MATCH($C134,'Policy Characteristics'!$C:$C,0)))</f>
        <v>trans frgt subsidy</v>
      </c>
      <c r="L134" s="283">
        <f>IF(ISBLANK(INDEX('Policy Characteristics'!F:F,MATCH($C134,'Policy Characteristics'!$C:$C,0))),"",INDEX('Policy Characteristics'!F:F,MATCH($C134,'Policy Characteristics'!$C:$C,0)))</f>
        <v>0</v>
      </c>
      <c r="M134" s="283">
        <f>IF(ISBLANK(INDEX('Policy Characteristics'!G:G,MATCH($C134,'Policy Characteristics'!$C:$C,0))),"",INDEX('Policy Characteristics'!G:G,MATCH($C134,'Policy Characteristics'!$C:$C,0)))</f>
        <v>50000</v>
      </c>
      <c r="N134" s="283">
        <f>IF(ISBLANK(INDEX('Policy Characteristics'!H:H,MATCH($C134,'Policy Characteristics'!$C:$C,0))),"",INDEX('Policy Characteristics'!H:H,MATCH($C134,'Policy Characteristics'!$C:$C,0)))</f>
        <v>100</v>
      </c>
      <c r="O134" s="275" t="str">
        <f>IF(ISBLANK(INDEX('Policy Characteristics'!I:I,MATCH($C134,'Policy Characteristics'!$C:$C,0))),"",INDEX('Policy Characteristics'!I:I,MATCH($C134,'Policy Characteristics'!$C:$C,0)))</f>
        <v>$ / vehicle</v>
      </c>
      <c r="P134" s="275"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4" s="275" t="str">
        <f>IF(ISBLANK(INDEX('Policy Characteristics'!K:K,MATCH($C134,'Policy Characteristics'!$C:$C,0))),"",INDEX('Policy Characteristics'!K:K,MATCH($C134,'Policy Characteristics'!$C:$C,0)))</f>
        <v>transportation-sector-main.html#ev-subsidy</v>
      </c>
      <c r="R134" s="275" t="str">
        <f>IF(ISBLANK(INDEX('Policy Characteristics'!L:L,MATCH($C134,'Policy Characteristics'!$C:$C,0))),"",INDEX('Policy Characteristics'!L:L,MATCH($C134,'Policy Characteristics'!$C:$C,0)))</f>
        <v>ev-subsidy.html</v>
      </c>
    </row>
    <row r="135" spans="1:18" x14ac:dyDescent="0.25">
      <c r="A135" s="275" t="str">
        <f>IF(ISBLANK(INDEX('Policy Characteristics'!A:A,MATCH($C135,'Policy Characteristics'!$C:$C,0))),"",INDEX('Policy Characteristics'!A:A,MATCH($C135,'Policy Characteristics'!$C:$C,0)))</f>
        <v>Transportation</v>
      </c>
      <c r="B135" s="284" t="str">
        <f>IF(ISBLANK(INDEX('Policy Characteristics'!B:B,MATCH($C135,'Policy Characteristics'!$C:$C,0))),"",INDEX('Policy Characteristics'!B:B,MATCH($C135,'Policy Characteristics'!$C:$C,0)))</f>
        <v>Freight Vehicle Subsidy</v>
      </c>
      <c r="C135" s="275" t="str">
        <f t="shared" si="4"/>
        <v>Additional Freight Vehicle Subsidy</v>
      </c>
      <c r="D135" s="47" t="s">
        <v>41</v>
      </c>
      <c r="E135" s="2" t="s">
        <v>2248</v>
      </c>
      <c r="F135" s="2" t="s">
        <v>3313</v>
      </c>
      <c r="G135" s="2" t="s">
        <v>3478</v>
      </c>
      <c r="H135" s="44">
        <v>1716</v>
      </c>
      <c r="I135" s="347" t="s">
        <v>44</v>
      </c>
      <c r="J135" s="276" t="str">
        <f>IF(ISBLANK(INDEX('Policy Characteristics'!D:D,MATCH($C135,'Policy Characteristics'!$C:$C,0))),"",INDEX('Policy Characteristics'!D:D,MATCH($C135,'Policy Characteristics'!$C:$C,0)))</f>
        <v>Vehicle Subsidy</v>
      </c>
      <c r="K135" s="275" t="str">
        <f>IF(ISBLANK(INDEX('Policy Characteristics'!E:E,MATCH($C135,'Policy Characteristics'!$C:$C,0))),"",INDEX('Policy Characteristics'!E:E,MATCH($C135,'Policy Characteristics'!$C:$C,0)))</f>
        <v>trans frgt subsidy</v>
      </c>
      <c r="L135" s="283">
        <f>IF(ISBLANK(INDEX('Policy Characteristics'!F:F,MATCH($C135,'Policy Characteristics'!$C:$C,0))),"",INDEX('Policy Characteristics'!F:F,MATCH($C135,'Policy Characteristics'!$C:$C,0)))</f>
        <v>0</v>
      </c>
      <c r="M135" s="283">
        <f>IF(ISBLANK(INDEX('Policy Characteristics'!G:G,MATCH($C135,'Policy Characteristics'!$C:$C,0))),"",INDEX('Policy Characteristics'!G:G,MATCH($C135,'Policy Characteristics'!$C:$C,0)))</f>
        <v>50000</v>
      </c>
      <c r="N135" s="283">
        <f>IF(ISBLANK(INDEX('Policy Characteristics'!H:H,MATCH($C135,'Policy Characteristics'!$C:$C,0))),"",INDEX('Policy Characteristics'!H:H,MATCH($C135,'Policy Characteristics'!$C:$C,0)))</f>
        <v>100</v>
      </c>
      <c r="O135" s="275" t="str">
        <f>IF(ISBLANK(INDEX('Policy Characteristics'!I:I,MATCH($C135,'Policy Characteristics'!$C:$C,0))),"",INDEX('Policy Characteristics'!I:I,MATCH($C135,'Policy Characteristics'!$C:$C,0)))</f>
        <v>$ / vehicle</v>
      </c>
      <c r="P135" s="275"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5" s="275" t="str">
        <f>IF(ISBLANK(INDEX('Policy Characteristics'!K:K,MATCH($C135,'Policy Characteristics'!$C:$C,0))),"",INDEX('Policy Characteristics'!K:K,MATCH($C135,'Policy Characteristics'!$C:$C,0)))</f>
        <v>transportation-sector-main.html#ev-subsidy</v>
      </c>
      <c r="R135" s="275" t="str">
        <f>IF(ISBLANK(INDEX('Policy Characteristics'!L:L,MATCH($C135,'Policy Characteristics'!$C:$C,0))),"",INDEX('Policy Characteristics'!L:L,MATCH($C135,'Policy Characteristics'!$C:$C,0)))</f>
        <v>ev-subsidy.html</v>
      </c>
    </row>
    <row r="136" spans="1:18" x14ac:dyDescent="0.25">
      <c r="A136" s="275" t="str">
        <f>IF(ISBLANK(INDEX('Policy Characteristics'!A:A,MATCH($C136,'Policy Characteristics'!$C:$C,0))),"",INDEX('Policy Characteristics'!A:A,MATCH($C136,'Policy Characteristics'!$C:$C,0)))</f>
        <v>Transportation</v>
      </c>
      <c r="B136" s="284" t="str">
        <f>IF(ISBLANK(INDEX('Policy Characteristics'!B:B,MATCH($C136,'Policy Characteristics'!$C:$C,0))),"",INDEX('Policy Characteristics'!B:B,MATCH($C136,'Policy Characteristics'!$C:$C,0)))</f>
        <v>Freight Vehicle Subsidy</v>
      </c>
      <c r="C136" s="275" t="str">
        <f t="shared" si="4"/>
        <v>Additional Freight Vehicle Subsidy</v>
      </c>
      <c r="D136" s="47" t="s">
        <v>41</v>
      </c>
      <c r="E136" s="2" t="s">
        <v>2249</v>
      </c>
      <c r="F136" s="2" t="s">
        <v>3313</v>
      </c>
      <c r="G136" s="2" t="s">
        <v>3479</v>
      </c>
      <c r="H136" s="44">
        <v>1717</v>
      </c>
      <c r="I136" s="347" t="s">
        <v>44</v>
      </c>
      <c r="J136" s="276" t="str">
        <f>IF(ISBLANK(INDEX('Policy Characteristics'!D:D,MATCH($C136,'Policy Characteristics'!$C:$C,0))),"",INDEX('Policy Characteristics'!D:D,MATCH($C136,'Policy Characteristics'!$C:$C,0)))</f>
        <v>Vehicle Subsidy</v>
      </c>
      <c r="K136" s="275" t="str">
        <f>IF(ISBLANK(INDEX('Policy Characteristics'!E:E,MATCH($C136,'Policy Characteristics'!$C:$C,0))),"",INDEX('Policy Characteristics'!E:E,MATCH($C136,'Policy Characteristics'!$C:$C,0)))</f>
        <v>trans frgt subsidy</v>
      </c>
      <c r="L136" s="283">
        <f>IF(ISBLANK(INDEX('Policy Characteristics'!F:F,MATCH($C136,'Policy Characteristics'!$C:$C,0))),"",INDEX('Policy Characteristics'!F:F,MATCH($C136,'Policy Characteristics'!$C:$C,0)))</f>
        <v>0</v>
      </c>
      <c r="M136" s="283">
        <f>IF(ISBLANK(INDEX('Policy Characteristics'!G:G,MATCH($C136,'Policy Characteristics'!$C:$C,0))),"",INDEX('Policy Characteristics'!G:G,MATCH($C136,'Policy Characteristics'!$C:$C,0)))</f>
        <v>50000</v>
      </c>
      <c r="N136" s="283">
        <f>IF(ISBLANK(INDEX('Policy Characteristics'!H:H,MATCH($C136,'Policy Characteristics'!$C:$C,0))),"",INDEX('Policy Characteristics'!H:H,MATCH($C136,'Policy Characteristics'!$C:$C,0)))</f>
        <v>100</v>
      </c>
      <c r="O136" s="275" t="str">
        <f>IF(ISBLANK(INDEX('Policy Characteristics'!I:I,MATCH($C136,'Policy Characteristics'!$C:$C,0))),"",INDEX('Policy Characteristics'!I:I,MATCH($C136,'Policy Characteristics'!$C:$C,0)))</f>
        <v>$ / vehicle</v>
      </c>
      <c r="P136" s="275"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6" s="275" t="str">
        <f>IF(ISBLANK(INDEX('Policy Characteristics'!K:K,MATCH($C136,'Policy Characteristics'!$C:$C,0))),"",INDEX('Policy Characteristics'!K:K,MATCH($C136,'Policy Characteristics'!$C:$C,0)))</f>
        <v>transportation-sector-main.html#ev-subsidy</v>
      </c>
      <c r="R136" s="275" t="str">
        <f>IF(ISBLANK(INDEX('Policy Characteristics'!L:L,MATCH($C136,'Policy Characteristics'!$C:$C,0))),"",INDEX('Policy Characteristics'!L:L,MATCH($C136,'Policy Characteristics'!$C:$C,0)))</f>
        <v>ev-subsidy.html</v>
      </c>
    </row>
    <row r="137" spans="1:18" x14ac:dyDescent="0.25">
      <c r="A137" s="275" t="str">
        <f>IF(ISBLANK(INDEX('Policy Characteristics'!A:A,MATCH($C137,'Policy Characteristics'!$C:$C,0))),"",INDEX('Policy Characteristics'!A:A,MATCH($C137,'Policy Characteristics'!$C:$C,0)))</f>
        <v>Transportation</v>
      </c>
      <c r="B137" s="284" t="str">
        <f>IF(ISBLANK(INDEX('Policy Characteristics'!B:B,MATCH($C137,'Policy Characteristics'!$C:$C,0))),"",INDEX('Policy Characteristics'!B:B,MATCH($C137,'Policy Characteristics'!$C:$C,0)))</f>
        <v>Freight Vehicle Subsidy</v>
      </c>
      <c r="C137" s="275" t="str">
        <f t="shared" si="4"/>
        <v>Additional Freight Vehicle Subsidy</v>
      </c>
      <c r="D137" s="47" t="s">
        <v>41</v>
      </c>
      <c r="E137" s="2" t="s">
        <v>2250</v>
      </c>
      <c r="F137" s="2" t="s">
        <v>3313</v>
      </c>
      <c r="G137" s="2" t="s">
        <v>3480</v>
      </c>
      <c r="H137" s="44">
        <v>1718</v>
      </c>
      <c r="I137" s="347" t="s">
        <v>44</v>
      </c>
      <c r="J137" s="276" t="str">
        <f>IF(ISBLANK(INDEX('Policy Characteristics'!D:D,MATCH($C137,'Policy Characteristics'!$C:$C,0))),"",INDEX('Policy Characteristics'!D:D,MATCH($C137,'Policy Characteristics'!$C:$C,0)))</f>
        <v>Vehicle Subsidy</v>
      </c>
      <c r="K137" s="275" t="str">
        <f>IF(ISBLANK(INDEX('Policy Characteristics'!E:E,MATCH($C137,'Policy Characteristics'!$C:$C,0))),"",INDEX('Policy Characteristics'!E:E,MATCH($C137,'Policy Characteristics'!$C:$C,0)))</f>
        <v>trans frgt subsidy</v>
      </c>
      <c r="L137" s="283">
        <f>IF(ISBLANK(INDEX('Policy Characteristics'!F:F,MATCH($C137,'Policy Characteristics'!$C:$C,0))),"",INDEX('Policy Characteristics'!F:F,MATCH($C137,'Policy Characteristics'!$C:$C,0)))</f>
        <v>0</v>
      </c>
      <c r="M137" s="283">
        <f>IF(ISBLANK(INDEX('Policy Characteristics'!G:G,MATCH($C137,'Policy Characteristics'!$C:$C,0))),"",INDEX('Policy Characteristics'!G:G,MATCH($C137,'Policy Characteristics'!$C:$C,0)))</f>
        <v>50000</v>
      </c>
      <c r="N137" s="283">
        <f>IF(ISBLANK(INDEX('Policy Characteristics'!H:H,MATCH($C137,'Policy Characteristics'!$C:$C,0))),"",INDEX('Policy Characteristics'!H:H,MATCH($C137,'Policy Characteristics'!$C:$C,0)))</f>
        <v>100</v>
      </c>
      <c r="O137" s="275" t="str">
        <f>IF(ISBLANK(INDEX('Policy Characteristics'!I:I,MATCH($C137,'Policy Characteristics'!$C:$C,0))),"",INDEX('Policy Characteristics'!I:I,MATCH($C137,'Policy Characteristics'!$C:$C,0)))</f>
        <v>$ / vehicle</v>
      </c>
      <c r="P137" s="275"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7" s="275" t="str">
        <f>IF(ISBLANK(INDEX('Policy Characteristics'!K:K,MATCH($C137,'Policy Characteristics'!$C:$C,0))),"",INDEX('Policy Characteristics'!K:K,MATCH($C137,'Policy Characteristics'!$C:$C,0)))</f>
        <v>transportation-sector-main.html#ev-subsidy</v>
      </c>
      <c r="R137" s="275" t="str">
        <f>IF(ISBLANK(INDEX('Policy Characteristics'!L:L,MATCH($C137,'Policy Characteristics'!$C:$C,0))),"",INDEX('Policy Characteristics'!L:L,MATCH($C137,'Policy Characteristics'!$C:$C,0)))</f>
        <v>ev-subsidy.html</v>
      </c>
    </row>
    <row r="138" spans="1:18" x14ac:dyDescent="0.25">
      <c r="A138" s="275" t="str">
        <f>IF(ISBLANK(INDEX('Policy Characteristics'!A:A,MATCH($C138,'Policy Characteristics'!$C:$C,0))),"",INDEX('Policy Characteristics'!A:A,MATCH($C138,'Policy Characteristics'!$C:$C,0)))</f>
        <v>Transportation</v>
      </c>
      <c r="B138" s="284" t="str">
        <f>IF(ISBLANK(INDEX('Policy Characteristics'!B:B,MATCH($C138,'Policy Characteristics'!$C:$C,0))),"",INDEX('Policy Characteristics'!B:B,MATCH($C138,'Policy Characteristics'!$C:$C,0)))</f>
        <v>Freight Vehicle Subsidy</v>
      </c>
      <c r="C138" s="275" t="str">
        <f t="shared" si="4"/>
        <v>Additional Freight Vehicle Subsidy</v>
      </c>
      <c r="D138" s="47" t="s">
        <v>41</v>
      </c>
      <c r="E138" s="2" t="s">
        <v>2512</v>
      </c>
      <c r="F138" s="2" t="s">
        <v>3313</v>
      </c>
      <c r="G138" s="2" t="s">
        <v>2512</v>
      </c>
      <c r="H138" s="44">
        <v>1719</v>
      </c>
      <c r="I138" s="347" t="s">
        <v>44</v>
      </c>
      <c r="J138" s="276" t="str">
        <f>IF(ISBLANK(INDEX('Policy Characteristics'!D:D,MATCH($C138,'Policy Characteristics'!$C:$C,0))),"",INDEX('Policy Characteristics'!D:D,MATCH($C138,'Policy Characteristics'!$C:$C,0)))</f>
        <v>Vehicle Subsidy</v>
      </c>
      <c r="K138" s="275" t="str">
        <f>IF(ISBLANK(INDEX('Policy Characteristics'!E:E,MATCH($C138,'Policy Characteristics'!$C:$C,0))),"",INDEX('Policy Characteristics'!E:E,MATCH($C138,'Policy Characteristics'!$C:$C,0)))</f>
        <v>trans frgt subsidy</v>
      </c>
      <c r="L138" s="283">
        <f>IF(ISBLANK(INDEX('Policy Characteristics'!F:F,MATCH($C138,'Policy Characteristics'!$C:$C,0))),"",INDEX('Policy Characteristics'!F:F,MATCH($C138,'Policy Characteristics'!$C:$C,0)))</f>
        <v>0</v>
      </c>
      <c r="M138" s="283">
        <f>IF(ISBLANK(INDEX('Policy Characteristics'!G:G,MATCH($C138,'Policy Characteristics'!$C:$C,0))),"",INDEX('Policy Characteristics'!G:G,MATCH($C138,'Policy Characteristics'!$C:$C,0)))</f>
        <v>50000</v>
      </c>
      <c r="N138" s="283">
        <f>IF(ISBLANK(INDEX('Policy Characteristics'!H:H,MATCH($C138,'Policy Characteristics'!$C:$C,0))),"",INDEX('Policy Characteristics'!H:H,MATCH($C138,'Policy Characteristics'!$C:$C,0)))</f>
        <v>100</v>
      </c>
      <c r="O138" s="275" t="str">
        <f>IF(ISBLANK(INDEX('Policy Characteristics'!I:I,MATCH($C138,'Policy Characteristics'!$C:$C,0))),"",INDEX('Policy Characteristics'!I:I,MATCH($C138,'Policy Characteristics'!$C:$C,0)))</f>
        <v>$ / vehicle</v>
      </c>
      <c r="P138" s="275"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8" s="275" t="str">
        <f>IF(ISBLANK(INDEX('Policy Characteristics'!K:K,MATCH($C138,'Policy Characteristics'!$C:$C,0))),"",INDEX('Policy Characteristics'!K:K,MATCH($C138,'Policy Characteristics'!$C:$C,0)))</f>
        <v>transportation-sector-main.html#ev-subsidy</v>
      </c>
      <c r="R138" s="275" t="str">
        <f>IF(ISBLANK(INDEX('Policy Characteristics'!L:L,MATCH($C138,'Policy Characteristics'!$C:$C,0))),"",INDEX('Policy Characteristics'!L:L,MATCH($C138,'Policy Characteristics'!$C:$C,0)))</f>
        <v>ev-subsidy.html</v>
      </c>
    </row>
    <row r="139" spans="1:18" x14ac:dyDescent="0.25">
      <c r="A139" s="275" t="str">
        <f>IF(ISBLANK(INDEX('Policy Characteristics'!A:A,MATCH($C139,'Policy Characteristics'!$C:$C,0))),"",INDEX('Policy Characteristics'!A:A,MATCH($C139,'Policy Characteristics'!$C:$C,0)))</f>
        <v>Transportation</v>
      </c>
      <c r="B139" s="284" t="str">
        <f>IF(ISBLANK(INDEX('Policy Characteristics'!B:B,MATCH($C139,'Policy Characteristics'!$C:$C,0))),"",INDEX('Policy Characteristics'!B:B,MATCH($C139,'Policy Characteristics'!$C:$C,0)))</f>
        <v>Freight Vehicle Subsidy</v>
      </c>
      <c r="C139" s="275" t="str">
        <f t="shared" si="4"/>
        <v>Additional Freight Vehicle Subsidy</v>
      </c>
      <c r="D139" s="47" t="s">
        <v>41</v>
      </c>
      <c r="E139" s="2" t="s">
        <v>2511</v>
      </c>
      <c r="F139" s="2" t="s">
        <v>3313</v>
      </c>
      <c r="G139" s="2" t="s">
        <v>3481</v>
      </c>
      <c r="H139" s="44">
        <v>1720</v>
      </c>
      <c r="I139" s="347" t="s">
        <v>44</v>
      </c>
      <c r="J139" s="276" t="str">
        <f>IF(ISBLANK(INDEX('Policy Characteristics'!D:D,MATCH($C139,'Policy Characteristics'!$C:$C,0))),"",INDEX('Policy Characteristics'!D:D,MATCH($C139,'Policy Characteristics'!$C:$C,0)))</f>
        <v>Vehicle Subsidy</v>
      </c>
      <c r="K139" s="275" t="str">
        <f>IF(ISBLANK(INDEX('Policy Characteristics'!E:E,MATCH($C139,'Policy Characteristics'!$C:$C,0))),"",INDEX('Policy Characteristics'!E:E,MATCH($C139,'Policy Characteristics'!$C:$C,0)))</f>
        <v>trans frgt subsidy</v>
      </c>
      <c r="L139" s="283">
        <f>IF(ISBLANK(INDEX('Policy Characteristics'!F:F,MATCH($C139,'Policy Characteristics'!$C:$C,0))),"",INDEX('Policy Characteristics'!F:F,MATCH($C139,'Policy Characteristics'!$C:$C,0)))</f>
        <v>0</v>
      </c>
      <c r="M139" s="283">
        <f>IF(ISBLANK(INDEX('Policy Characteristics'!G:G,MATCH($C139,'Policy Characteristics'!$C:$C,0))),"",INDEX('Policy Characteristics'!G:G,MATCH($C139,'Policy Characteristics'!$C:$C,0)))</f>
        <v>50000</v>
      </c>
      <c r="N139" s="283">
        <f>IF(ISBLANK(INDEX('Policy Characteristics'!H:H,MATCH($C139,'Policy Characteristics'!$C:$C,0))),"",INDEX('Policy Characteristics'!H:H,MATCH($C139,'Policy Characteristics'!$C:$C,0)))</f>
        <v>100</v>
      </c>
      <c r="O139" s="275" t="str">
        <f>IF(ISBLANK(INDEX('Policy Characteristics'!I:I,MATCH($C139,'Policy Characteristics'!$C:$C,0))),"",INDEX('Policy Characteristics'!I:I,MATCH($C139,'Policy Characteristics'!$C:$C,0)))</f>
        <v>$ / vehicle</v>
      </c>
      <c r="P139" s="275"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9" s="275" t="str">
        <f>IF(ISBLANK(INDEX('Policy Characteristics'!K:K,MATCH($C139,'Policy Characteristics'!$C:$C,0))),"",INDEX('Policy Characteristics'!K:K,MATCH($C139,'Policy Characteristics'!$C:$C,0)))</f>
        <v>transportation-sector-main.html#ev-subsidy</v>
      </c>
      <c r="R139" s="275" t="str">
        <f>IF(ISBLANK(INDEX('Policy Characteristics'!L:L,MATCH($C139,'Policy Characteristics'!$C:$C,0))),"",INDEX('Policy Characteristics'!L:L,MATCH($C139,'Policy Characteristics'!$C:$C,0)))</f>
        <v>ev-subsidy.html</v>
      </c>
    </row>
    <row r="140" spans="1:18" x14ac:dyDescent="0.25">
      <c r="A140" s="275" t="str">
        <f>IF(ISBLANK(INDEX('Policy Characteristics'!A:A,MATCH($C140,'Policy Characteristics'!$C:$C,0))),"",INDEX('Policy Characteristics'!A:A,MATCH($C140,'Policy Characteristics'!$C:$C,0)))</f>
        <v>Transportation</v>
      </c>
      <c r="B140" s="284" t="str">
        <f>IF(ISBLANK(INDEX('Policy Characteristics'!B:B,MATCH($C140,'Policy Characteristics'!$C:$C,0))),"",INDEX('Policy Characteristics'!B:B,MATCH($C140,'Policy Characteristics'!$C:$C,0)))</f>
        <v>Freight Vehicle Subsidy</v>
      </c>
      <c r="C140" s="275" t="str">
        <f t="shared" si="4"/>
        <v>Additional Freight Vehicle Subsidy</v>
      </c>
      <c r="D140" s="47" t="s">
        <v>113</v>
      </c>
      <c r="E140" s="47" t="s">
        <v>2246</v>
      </c>
      <c r="F140" s="2" t="s">
        <v>144</v>
      </c>
      <c r="G140" s="47" t="s">
        <v>3476</v>
      </c>
      <c r="H140" s="44">
        <v>1721</v>
      </c>
      <c r="I140" s="347" t="s">
        <v>44</v>
      </c>
      <c r="J140" s="276" t="str">
        <f>IF(ISBLANK(INDEX('Policy Characteristics'!D:D,MATCH($C140,'Policy Characteristics'!$C:$C,0))),"",INDEX('Policy Characteristics'!D:D,MATCH($C140,'Policy Characteristics'!$C:$C,0)))</f>
        <v>Vehicle Subsidy</v>
      </c>
      <c r="K140" s="275" t="str">
        <f>IF(ISBLANK(INDEX('Policy Characteristics'!E:E,MATCH($C140,'Policy Characteristics'!$C:$C,0))),"",INDEX('Policy Characteristics'!E:E,MATCH($C140,'Policy Characteristics'!$C:$C,0)))</f>
        <v>trans frgt subsidy</v>
      </c>
      <c r="L140" s="283">
        <f>IF(ISBLANK(INDEX('Policy Characteristics'!F:F,MATCH($C140,'Policy Characteristics'!$C:$C,0))),"",INDEX('Policy Characteristics'!F:F,MATCH($C140,'Policy Characteristics'!$C:$C,0)))</f>
        <v>0</v>
      </c>
      <c r="M140" s="283">
        <f>IF(ISBLANK(INDEX('Policy Characteristics'!G:G,MATCH($C140,'Policy Characteristics'!$C:$C,0))),"",INDEX('Policy Characteristics'!G:G,MATCH($C140,'Policy Characteristics'!$C:$C,0)))</f>
        <v>50000</v>
      </c>
      <c r="N140" s="283">
        <f>IF(ISBLANK(INDEX('Policy Characteristics'!H:H,MATCH($C140,'Policy Characteristics'!$C:$C,0))),"",INDEX('Policy Characteristics'!H:H,MATCH($C140,'Policy Characteristics'!$C:$C,0)))</f>
        <v>100</v>
      </c>
      <c r="O140" s="275" t="str">
        <f>IF(ISBLANK(INDEX('Policy Characteristics'!I:I,MATCH($C140,'Policy Characteristics'!$C:$C,0))),"",INDEX('Policy Characteristics'!I:I,MATCH($C140,'Policy Characteristics'!$C:$C,0)))</f>
        <v>$ / vehicle</v>
      </c>
      <c r="P140" s="275"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0" s="275" t="str">
        <f>IF(ISBLANK(INDEX('Policy Characteristics'!K:K,MATCH($C140,'Policy Characteristics'!$C:$C,0))),"",INDEX('Policy Characteristics'!K:K,MATCH($C140,'Policy Characteristics'!$C:$C,0)))</f>
        <v>transportation-sector-main.html#ev-subsidy</v>
      </c>
      <c r="R140" s="275" t="str">
        <f>IF(ISBLANK(INDEX('Policy Characteristics'!L:L,MATCH($C140,'Policy Characteristics'!$C:$C,0))),"",INDEX('Policy Characteristics'!L:L,MATCH($C140,'Policy Characteristics'!$C:$C,0)))</f>
        <v>ev-subsidy.html</v>
      </c>
    </row>
    <row r="141" spans="1:18" x14ac:dyDescent="0.25">
      <c r="A141" s="275" t="str">
        <f>IF(ISBLANK(INDEX('Policy Characteristics'!A:A,MATCH($C141,'Policy Characteristics'!$C:$C,0))),"",INDEX('Policy Characteristics'!A:A,MATCH($C141,'Policy Characteristics'!$C:$C,0)))</f>
        <v>Transportation</v>
      </c>
      <c r="B141" s="284" t="str">
        <f>IF(ISBLANK(INDEX('Policy Characteristics'!B:B,MATCH($C141,'Policy Characteristics'!$C:$C,0))),"",INDEX('Policy Characteristics'!B:B,MATCH($C141,'Policy Characteristics'!$C:$C,0)))</f>
        <v>Freight Vehicle Subsidy</v>
      </c>
      <c r="C141" s="275" t="str">
        <f t="shared" si="4"/>
        <v>Additional Freight Vehicle Subsidy</v>
      </c>
      <c r="D141" s="47" t="s">
        <v>113</v>
      </c>
      <c r="E141" s="2" t="s">
        <v>2247</v>
      </c>
      <c r="F141" s="2" t="s">
        <v>144</v>
      </c>
      <c r="G141" s="2" t="s">
        <v>3477</v>
      </c>
      <c r="H141" s="44">
        <v>1722</v>
      </c>
      <c r="I141" s="347" t="s">
        <v>44</v>
      </c>
      <c r="J141" s="276" t="str">
        <f>IF(ISBLANK(INDEX('Policy Characteristics'!D:D,MATCH($C141,'Policy Characteristics'!$C:$C,0))),"",INDEX('Policy Characteristics'!D:D,MATCH($C141,'Policy Characteristics'!$C:$C,0)))</f>
        <v>Vehicle Subsidy</v>
      </c>
      <c r="K141" s="275" t="str">
        <f>IF(ISBLANK(INDEX('Policy Characteristics'!E:E,MATCH($C141,'Policy Characteristics'!$C:$C,0))),"",INDEX('Policy Characteristics'!E:E,MATCH($C141,'Policy Characteristics'!$C:$C,0)))</f>
        <v>trans frgt subsidy</v>
      </c>
      <c r="L141" s="283">
        <f>IF(ISBLANK(INDEX('Policy Characteristics'!F:F,MATCH($C141,'Policy Characteristics'!$C:$C,0))),"",INDEX('Policy Characteristics'!F:F,MATCH($C141,'Policy Characteristics'!$C:$C,0)))</f>
        <v>0</v>
      </c>
      <c r="M141" s="283">
        <f>IF(ISBLANK(INDEX('Policy Characteristics'!G:G,MATCH($C141,'Policy Characteristics'!$C:$C,0))),"",INDEX('Policy Characteristics'!G:G,MATCH($C141,'Policy Characteristics'!$C:$C,0)))</f>
        <v>50000</v>
      </c>
      <c r="N141" s="283">
        <f>IF(ISBLANK(INDEX('Policy Characteristics'!H:H,MATCH($C141,'Policy Characteristics'!$C:$C,0))),"",INDEX('Policy Characteristics'!H:H,MATCH($C141,'Policy Characteristics'!$C:$C,0)))</f>
        <v>100</v>
      </c>
      <c r="O141" s="275" t="str">
        <f>IF(ISBLANK(INDEX('Policy Characteristics'!I:I,MATCH($C141,'Policy Characteristics'!$C:$C,0))),"",INDEX('Policy Characteristics'!I:I,MATCH($C141,'Policy Characteristics'!$C:$C,0)))</f>
        <v>$ / vehicle</v>
      </c>
      <c r="P141" s="275"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1" s="275" t="str">
        <f>IF(ISBLANK(INDEX('Policy Characteristics'!K:K,MATCH($C141,'Policy Characteristics'!$C:$C,0))),"",INDEX('Policy Characteristics'!K:K,MATCH($C141,'Policy Characteristics'!$C:$C,0)))</f>
        <v>transportation-sector-main.html#ev-subsidy</v>
      </c>
      <c r="R141" s="275" t="str">
        <f>IF(ISBLANK(INDEX('Policy Characteristics'!L:L,MATCH($C141,'Policy Characteristics'!$C:$C,0))),"",INDEX('Policy Characteristics'!L:L,MATCH($C141,'Policy Characteristics'!$C:$C,0)))</f>
        <v>ev-subsidy.html</v>
      </c>
    </row>
    <row r="142" spans="1:18" x14ac:dyDescent="0.25">
      <c r="A142" s="275" t="str">
        <f>IF(ISBLANK(INDEX('Policy Characteristics'!A:A,MATCH($C142,'Policy Characteristics'!$C:$C,0))),"",INDEX('Policy Characteristics'!A:A,MATCH($C142,'Policy Characteristics'!$C:$C,0)))</f>
        <v>Transportation</v>
      </c>
      <c r="B142" s="284" t="str">
        <f>IF(ISBLANK(INDEX('Policy Characteristics'!B:B,MATCH($C142,'Policy Characteristics'!$C:$C,0))),"",INDEX('Policy Characteristics'!B:B,MATCH($C142,'Policy Characteristics'!$C:$C,0)))</f>
        <v>Freight Vehicle Subsidy</v>
      </c>
      <c r="C142" s="275" t="str">
        <f t="shared" si="4"/>
        <v>Additional Freight Vehicle Subsidy</v>
      </c>
      <c r="D142" s="47" t="s">
        <v>113</v>
      </c>
      <c r="E142" s="2" t="s">
        <v>2248</v>
      </c>
      <c r="F142" s="2" t="s">
        <v>144</v>
      </c>
      <c r="G142" s="2" t="s">
        <v>3478</v>
      </c>
      <c r="H142" s="44">
        <v>1723</v>
      </c>
      <c r="I142" s="347" t="s">
        <v>44</v>
      </c>
      <c r="J142" s="276" t="str">
        <f>IF(ISBLANK(INDEX('Policy Characteristics'!D:D,MATCH($C142,'Policy Characteristics'!$C:$C,0))),"",INDEX('Policy Characteristics'!D:D,MATCH($C142,'Policy Characteristics'!$C:$C,0)))</f>
        <v>Vehicle Subsidy</v>
      </c>
      <c r="K142" s="275" t="str">
        <f>IF(ISBLANK(INDEX('Policy Characteristics'!E:E,MATCH($C142,'Policy Characteristics'!$C:$C,0))),"",INDEX('Policy Characteristics'!E:E,MATCH($C142,'Policy Characteristics'!$C:$C,0)))</f>
        <v>trans frgt subsidy</v>
      </c>
      <c r="L142" s="283">
        <f>IF(ISBLANK(INDEX('Policy Characteristics'!F:F,MATCH($C142,'Policy Characteristics'!$C:$C,0))),"",INDEX('Policy Characteristics'!F:F,MATCH($C142,'Policy Characteristics'!$C:$C,0)))</f>
        <v>0</v>
      </c>
      <c r="M142" s="283">
        <f>IF(ISBLANK(INDEX('Policy Characteristics'!G:G,MATCH($C142,'Policy Characteristics'!$C:$C,0))),"",INDEX('Policy Characteristics'!G:G,MATCH($C142,'Policy Characteristics'!$C:$C,0)))</f>
        <v>50000</v>
      </c>
      <c r="N142" s="283">
        <f>IF(ISBLANK(INDEX('Policy Characteristics'!H:H,MATCH($C142,'Policy Characteristics'!$C:$C,0))),"",INDEX('Policy Characteristics'!H:H,MATCH($C142,'Policy Characteristics'!$C:$C,0)))</f>
        <v>100</v>
      </c>
      <c r="O142" s="275" t="str">
        <f>IF(ISBLANK(INDEX('Policy Characteristics'!I:I,MATCH($C142,'Policy Characteristics'!$C:$C,0))),"",INDEX('Policy Characteristics'!I:I,MATCH($C142,'Policy Characteristics'!$C:$C,0)))</f>
        <v>$ / vehicle</v>
      </c>
      <c r="P142" s="275"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2" s="275" t="str">
        <f>IF(ISBLANK(INDEX('Policy Characteristics'!K:K,MATCH($C142,'Policy Characteristics'!$C:$C,0))),"",INDEX('Policy Characteristics'!K:K,MATCH($C142,'Policy Characteristics'!$C:$C,0)))</f>
        <v>transportation-sector-main.html#ev-subsidy</v>
      </c>
      <c r="R142" s="275" t="str">
        <f>IF(ISBLANK(INDEX('Policy Characteristics'!L:L,MATCH($C142,'Policy Characteristics'!$C:$C,0))),"",INDEX('Policy Characteristics'!L:L,MATCH($C142,'Policy Characteristics'!$C:$C,0)))</f>
        <v>ev-subsidy.html</v>
      </c>
    </row>
    <row r="143" spans="1:18" x14ac:dyDescent="0.25">
      <c r="A143" s="275" t="str">
        <f>IF(ISBLANK(INDEX('Policy Characteristics'!A:A,MATCH($C143,'Policy Characteristics'!$C:$C,0))),"",INDEX('Policy Characteristics'!A:A,MATCH($C143,'Policy Characteristics'!$C:$C,0)))</f>
        <v>Transportation</v>
      </c>
      <c r="B143" s="284" t="str">
        <f>IF(ISBLANK(INDEX('Policy Characteristics'!B:B,MATCH($C143,'Policy Characteristics'!$C:$C,0))),"",INDEX('Policy Characteristics'!B:B,MATCH($C143,'Policy Characteristics'!$C:$C,0)))</f>
        <v>Freight Vehicle Subsidy</v>
      </c>
      <c r="C143" s="275" t="str">
        <f t="shared" si="4"/>
        <v>Additional Freight Vehicle Subsidy</v>
      </c>
      <c r="D143" s="47" t="s">
        <v>113</v>
      </c>
      <c r="E143" s="2" t="s">
        <v>2249</v>
      </c>
      <c r="F143" s="2" t="s">
        <v>144</v>
      </c>
      <c r="G143" s="2" t="s">
        <v>3479</v>
      </c>
      <c r="H143" s="44">
        <v>1724</v>
      </c>
      <c r="I143" s="347" t="s">
        <v>44</v>
      </c>
      <c r="J143" s="276" t="str">
        <f>IF(ISBLANK(INDEX('Policy Characteristics'!D:D,MATCH($C143,'Policy Characteristics'!$C:$C,0))),"",INDEX('Policy Characteristics'!D:D,MATCH($C143,'Policy Characteristics'!$C:$C,0)))</f>
        <v>Vehicle Subsidy</v>
      </c>
      <c r="K143" s="275" t="str">
        <f>IF(ISBLANK(INDEX('Policy Characteristics'!E:E,MATCH($C143,'Policy Characteristics'!$C:$C,0))),"",INDEX('Policy Characteristics'!E:E,MATCH($C143,'Policy Characteristics'!$C:$C,0)))</f>
        <v>trans frgt subsidy</v>
      </c>
      <c r="L143" s="283">
        <f>IF(ISBLANK(INDEX('Policy Characteristics'!F:F,MATCH($C143,'Policy Characteristics'!$C:$C,0))),"",INDEX('Policy Characteristics'!F:F,MATCH($C143,'Policy Characteristics'!$C:$C,0)))</f>
        <v>0</v>
      </c>
      <c r="M143" s="283">
        <f>IF(ISBLANK(INDEX('Policy Characteristics'!G:G,MATCH($C143,'Policy Characteristics'!$C:$C,0))),"",INDEX('Policy Characteristics'!G:G,MATCH($C143,'Policy Characteristics'!$C:$C,0)))</f>
        <v>50000</v>
      </c>
      <c r="N143" s="283">
        <f>IF(ISBLANK(INDEX('Policy Characteristics'!H:H,MATCH($C143,'Policy Characteristics'!$C:$C,0))),"",INDEX('Policy Characteristics'!H:H,MATCH($C143,'Policy Characteristics'!$C:$C,0)))</f>
        <v>100</v>
      </c>
      <c r="O143" s="275" t="str">
        <f>IF(ISBLANK(INDEX('Policy Characteristics'!I:I,MATCH($C143,'Policy Characteristics'!$C:$C,0))),"",INDEX('Policy Characteristics'!I:I,MATCH($C143,'Policy Characteristics'!$C:$C,0)))</f>
        <v>$ / vehicle</v>
      </c>
      <c r="P143" s="275"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3" s="275" t="str">
        <f>IF(ISBLANK(INDEX('Policy Characteristics'!K:K,MATCH($C143,'Policy Characteristics'!$C:$C,0))),"",INDEX('Policy Characteristics'!K:K,MATCH($C143,'Policy Characteristics'!$C:$C,0)))</f>
        <v>transportation-sector-main.html#ev-subsidy</v>
      </c>
      <c r="R143" s="275" t="str">
        <f>IF(ISBLANK(INDEX('Policy Characteristics'!L:L,MATCH($C143,'Policy Characteristics'!$C:$C,0))),"",INDEX('Policy Characteristics'!L:L,MATCH($C143,'Policy Characteristics'!$C:$C,0)))</f>
        <v>ev-subsidy.html</v>
      </c>
    </row>
    <row r="144" spans="1:18" x14ac:dyDescent="0.25">
      <c r="A144" s="275" t="str">
        <f>IF(ISBLANK(INDEX('Policy Characteristics'!A:A,MATCH($C144,'Policy Characteristics'!$C:$C,0))),"",INDEX('Policy Characteristics'!A:A,MATCH($C144,'Policy Characteristics'!$C:$C,0)))</f>
        <v>Transportation</v>
      </c>
      <c r="B144" s="284" t="str">
        <f>IF(ISBLANK(INDEX('Policy Characteristics'!B:B,MATCH($C144,'Policy Characteristics'!$C:$C,0))),"",INDEX('Policy Characteristics'!B:B,MATCH($C144,'Policy Characteristics'!$C:$C,0)))</f>
        <v>Freight Vehicle Subsidy</v>
      </c>
      <c r="C144" s="275" t="str">
        <f t="shared" si="4"/>
        <v>Additional Freight Vehicle Subsidy</v>
      </c>
      <c r="D144" s="47" t="s">
        <v>113</v>
      </c>
      <c r="E144" s="2" t="s">
        <v>2250</v>
      </c>
      <c r="F144" s="2" t="s">
        <v>144</v>
      </c>
      <c r="G144" s="2" t="s">
        <v>3480</v>
      </c>
      <c r="H144" s="44">
        <v>1725</v>
      </c>
      <c r="I144" s="347" t="s">
        <v>44</v>
      </c>
      <c r="J144" s="276" t="str">
        <f>IF(ISBLANK(INDEX('Policy Characteristics'!D:D,MATCH($C144,'Policy Characteristics'!$C:$C,0))),"",INDEX('Policy Characteristics'!D:D,MATCH($C144,'Policy Characteristics'!$C:$C,0)))</f>
        <v>Vehicle Subsidy</v>
      </c>
      <c r="K144" s="275" t="str">
        <f>IF(ISBLANK(INDEX('Policy Characteristics'!E:E,MATCH($C144,'Policy Characteristics'!$C:$C,0))),"",INDEX('Policy Characteristics'!E:E,MATCH($C144,'Policy Characteristics'!$C:$C,0)))</f>
        <v>trans frgt subsidy</v>
      </c>
      <c r="L144" s="283">
        <f>IF(ISBLANK(INDEX('Policy Characteristics'!F:F,MATCH($C144,'Policy Characteristics'!$C:$C,0))),"",INDEX('Policy Characteristics'!F:F,MATCH($C144,'Policy Characteristics'!$C:$C,0)))</f>
        <v>0</v>
      </c>
      <c r="M144" s="283">
        <f>IF(ISBLANK(INDEX('Policy Characteristics'!G:G,MATCH($C144,'Policy Characteristics'!$C:$C,0))),"",INDEX('Policy Characteristics'!G:G,MATCH($C144,'Policy Characteristics'!$C:$C,0)))</f>
        <v>50000</v>
      </c>
      <c r="N144" s="283">
        <f>IF(ISBLANK(INDEX('Policy Characteristics'!H:H,MATCH($C144,'Policy Characteristics'!$C:$C,0))),"",INDEX('Policy Characteristics'!H:H,MATCH($C144,'Policy Characteristics'!$C:$C,0)))</f>
        <v>100</v>
      </c>
      <c r="O144" s="275" t="str">
        <f>IF(ISBLANK(INDEX('Policy Characteristics'!I:I,MATCH($C144,'Policy Characteristics'!$C:$C,0))),"",INDEX('Policy Characteristics'!I:I,MATCH($C144,'Policy Characteristics'!$C:$C,0)))</f>
        <v>$ / vehicle</v>
      </c>
      <c r="P144" s="275"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4" s="275" t="str">
        <f>IF(ISBLANK(INDEX('Policy Characteristics'!K:K,MATCH($C144,'Policy Characteristics'!$C:$C,0))),"",INDEX('Policy Characteristics'!K:K,MATCH($C144,'Policy Characteristics'!$C:$C,0)))</f>
        <v>transportation-sector-main.html#ev-subsidy</v>
      </c>
      <c r="R144" s="275" t="str">
        <f>IF(ISBLANK(INDEX('Policy Characteristics'!L:L,MATCH($C144,'Policy Characteristics'!$C:$C,0))),"",INDEX('Policy Characteristics'!L:L,MATCH($C144,'Policy Characteristics'!$C:$C,0)))</f>
        <v>ev-subsidy.html</v>
      </c>
    </row>
    <row r="145" spans="1:18" x14ac:dyDescent="0.25">
      <c r="A145" s="275" t="str">
        <f>IF(ISBLANK(INDEX('Policy Characteristics'!A:A,MATCH($C145,'Policy Characteristics'!$C:$C,0))),"",INDEX('Policy Characteristics'!A:A,MATCH($C145,'Policy Characteristics'!$C:$C,0)))</f>
        <v>Transportation</v>
      </c>
      <c r="B145" s="284" t="str">
        <f>IF(ISBLANK(INDEX('Policy Characteristics'!B:B,MATCH($C145,'Policy Characteristics'!$C:$C,0))),"",INDEX('Policy Characteristics'!B:B,MATCH($C145,'Policy Characteristics'!$C:$C,0)))</f>
        <v>Freight Vehicle Subsidy</v>
      </c>
      <c r="C145" s="275" t="str">
        <f t="shared" si="4"/>
        <v>Additional Freight Vehicle Subsidy</v>
      </c>
      <c r="D145" s="47" t="s">
        <v>113</v>
      </c>
      <c r="E145" s="2" t="s">
        <v>2512</v>
      </c>
      <c r="F145" s="2" t="s">
        <v>144</v>
      </c>
      <c r="G145" s="2" t="s">
        <v>2512</v>
      </c>
      <c r="H145" s="44">
        <v>1726</v>
      </c>
      <c r="I145" s="347" t="s">
        <v>44</v>
      </c>
      <c r="J145" s="276" t="str">
        <f>IF(ISBLANK(INDEX('Policy Characteristics'!D:D,MATCH($C145,'Policy Characteristics'!$C:$C,0))),"",INDEX('Policy Characteristics'!D:D,MATCH($C145,'Policy Characteristics'!$C:$C,0)))</f>
        <v>Vehicle Subsidy</v>
      </c>
      <c r="K145" s="275" t="str">
        <f>IF(ISBLANK(INDEX('Policy Characteristics'!E:E,MATCH($C145,'Policy Characteristics'!$C:$C,0))),"",INDEX('Policy Characteristics'!E:E,MATCH($C145,'Policy Characteristics'!$C:$C,0)))</f>
        <v>trans frgt subsidy</v>
      </c>
      <c r="L145" s="283">
        <f>IF(ISBLANK(INDEX('Policy Characteristics'!F:F,MATCH($C145,'Policy Characteristics'!$C:$C,0))),"",INDEX('Policy Characteristics'!F:F,MATCH($C145,'Policy Characteristics'!$C:$C,0)))</f>
        <v>0</v>
      </c>
      <c r="M145" s="283">
        <f>IF(ISBLANK(INDEX('Policy Characteristics'!G:G,MATCH($C145,'Policy Characteristics'!$C:$C,0))),"",INDEX('Policy Characteristics'!G:G,MATCH($C145,'Policy Characteristics'!$C:$C,0)))</f>
        <v>50000</v>
      </c>
      <c r="N145" s="283">
        <f>IF(ISBLANK(INDEX('Policy Characteristics'!H:H,MATCH($C145,'Policy Characteristics'!$C:$C,0))),"",INDEX('Policy Characteristics'!H:H,MATCH($C145,'Policy Characteristics'!$C:$C,0)))</f>
        <v>100</v>
      </c>
      <c r="O145" s="275" t="str">
        <f>IF(ISBLANK(INDEX('Policy Characteristics'!I:I,MATCH($C145,'Policy Characteristics'!$C:$C,0))),"",INDEX('Policy Characteristics'!I:I,MATCH($C145,'Policy Characteristics'!$C:$C,0)))</f>
        <v>$ / vehicle</v>
      </c>
      <c r="P145" s="275"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5" s="275" t="str">
        <f>IF(ISBLANK(INDEX('Policy Characteristics'!K:K,MATCH($C145,'Policy Characteristics'!$C:$C,0))),"",INDEX('Policy Characteristics'!K:K,MATCH($C145,'Policy Characteristics'!$C:$C,0)))</f>
        <v>transportation-sector-main.html#ev-subsidy</v>
      </c>
      <c r="R145" s="275" t="str">
        <f>IF(ISBLANK(INDEX('Policy Characteristics'!L:L,MATCH($C145,'Policy Characteristics'!$C:$C,0))),"",INDEX('Policy Characteristics'!L:L,MATCH($C145,'Policy Characteristics'!$C:$C,0)))</f>
        <v>ev-subsidy.html</v>
      </c>
    </row>
    <row r="146" spans="1:18" x14ac:dyDescent="0.25">
      <c r="A146" s="275" t="str">
        <f>IF(ISBLANK(INDEX('Policy Characteristics'!A:A,MATCH($C146,'Policy Characteristics'!$C:$C,0))),"",INDEX('Policy Characteristics'!A:A,MATCH($C146,'Policy Characteristics'!$C:$C,0)))</f>
        <v>Transportation</v>
      </c>
      <c r="B146" s="284" t="str">
        <f>IF(ISBLANK(INDEX('Policy Characteristics'!B:B,MATCH($C146,'Policy Characteristics'!$C:$C,0))),"",INDEX('Policy Characteristics'!B:B,MATCH($C146,'Policy Characteristics'!$C:$C,0)))</f>
        <v>Freight Vehicle Subsidy</v>
      </c>
      <c r="C146" s="275" t="str">
        <f t="shared" si="4"/>
        <v>Additional Freight Vehicle Subsidy</v>
      </c>
      <c r="D146" s="47" t="s">
        <v>113</v>
      </c>
      <c r="E146" s="2" t="s">
        <v>2511</v>
      </c>
      <c r="F146" s="2" t="s">
        <v>144</v>
      </c>
      <c r="G146" s="2" t="s">
        <v>3481</v>
      </c>
      <c r="H146" s="44">
        <v>1727</v>
      </c>
      <c r="I146" s="347" t="s">
        <v>44</v>
      </c>
      <c r="J146" s="276" t="str">
        <f>IF(ISBLANK(INDEX('Policy Characteristics'!D:D,MATCH($C146,'Policy Characteristics'!$C:$C,0))),"",INDEX('Policy Characteristics'!D:D,MATCH($C146,'Policy Characteristics'!$C:$C,0)))</f>
        <v>Vehicle Subsidy</v>
      </c>
      <c r="K146" s="275" t="str">
        <f>IF(ISBLANK(INDEX('Policy Characteristics'!E:E,MATCH($C146,'Policy Characteristics'!$C:$C,0))),"",INDEX('Policy Characteristics'!E:E,MATCH($C146,'Policy Characteristics'!$C:$C,0)))</f>
        <v>trans frgt subsidy</v>
      </c>
      <c r="L146" s="283">
        <f>IF(ISBLANK(INDEX('Policy Characteristics'!F:F,MATCH($C146,'Policy Characteristics'!$C:$C,0))),"",INDEX('Policy Characteristics'!F:F,MATCH($C146,'Policy Characteristics'!$C:$C,0)))</f>
        <v>0</v>
      </c>
      <c r="M146" s="283">
        <f>IF(ISBLANK(INDEX('Policy Characteristics'!G:G,MATCH($C146,'Policy Characteristics'!$C:$C,0))),"",INDEX('Policy Characteristics'!G:G,MATCH($C146,'Policy Characteristics'!$C:$C,0)))</f>
        <v>50000</v>
      </c>
      <c r="N146" s="283">
        <f>IF(ISBLANK(INDEX('Policy Characteristics'!H:H,MATCH($C146,'Policy Characteristics'!$C:$C,0))),"",INDEX('Policy Characteristics'!H:H,MATCH($C146,'Policy Characteristics'!$C:$C,0)))</f>
        <v>100</v>
      </c>
      <c r="O146" s="275" t="str">
        <f>IF(ISBLANK(INDEX('Policy Characteristics'!I:I,MATCH($C146,'Policy Characteristics'!$C:$C,0))),"",INDEX('Policy Characteristics'!I:I,MATCH($C146,'Policy Characteristics'!$C:$C,0)))</f>
        <v>$ / vehicle</v>
      </c>
      <c r="P146" s="275"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6" s="275" t="str">
        <f>IF(ISBLANK(INDEX('Policy Characteristics'!K:K,MATCH($C146,'Policy Characteristics'!$C:$C,0))),"",INDEX('Policy Characteristics'!K:K,MATCH($C146,'Policy Characteristics'!$C:$C,0)))</f>
        <v>transportation-sector-main.html#ev-subsidy</v>
      </c>
      <c r="R146" s="275" t="str">
        <f>IF(ISBLANK(INDEX('Policy Characteristics'!L:L,MATCH($C146,'Policy Characteristics'!$C:$C,0))),"",INDEX('Policy Characteristics'!L:L,MATCH($C146,'Policy Characteristics'!$C:$C,0)))</f>
        <v>ev-subsidy.html</v>
      </c>
    </row>
    <row r="147" spans="1:18" x14ac:dyDescent="0.25">
      <c r="A147" s="275" t="str">
        <f>IF(ISBLANK(INDEX('Policy Characteristics'!A:A,MATCH($C147,'Policy Characteristics'!$C:$C,0))),"",INDEX('Policy Characteristics'!A:A,MATCH($C147,'Policy Characteristics'!$C:$C,0)))</f>
        <v>Transportation</v>
      </c>
      <c r="B147" s="284" t="str">
        <f>IF(ISBLANK(INDEX('Policy Characteristics'!B:B,MATCH($C147,'Policy Characteristics'!$C:$C,0))),"",INDEX('Policy Characteristics'!B:B,MATCH($C147,'Policy Characteristics'!$C:$C,0)))</f>
        <v>Feebate</v>
      </c>
      <c r="C147" t="s">
        <v>111</v>
      </c>
      <c r="D147" s="47"/>
      <c r="E147" s="47"/>
      <c r="F147" s="47"/>
      <c r="G147" s="47"/>
      <c r="H147" s="44">
        <v>1</v>
      </c>
      <c r="I147" s="346" t="s">
        <v>43</v>
      </c>
      <c r="J147" s="276" t="str">
        <f>IF(ISBLANK(INDEX('Policy Characteristics'!D:D,MATCH($C147,'Policy Characteristics'!$C:$C,0))),"",INDEX('Policy Characteristics'!D:D,MATCH($C147,'Policy Characteristics'!$C:$C,0)))</f>
        <v>Feebate</v>
      </c>
      <c r="K147" s="275" t="str">
        <f>IF(ISBLANK(INDEX('Policy Characteristics'!E:E,MATCH($C147,'Policy Characteristics'!$C:$C,0))),"",INDEX('Policy Characteristics'!E:E,MATCH($C147,'Policy Characteristics'!$C:$C,0)))</f>
        <v>trans LDVs feebate</v>
      </c>
      <c r="L147" s="283">
        <f>IF(ISBLANK(INDEX('Policy Characteristics'!F:F,MATCH($C147,'Policy Characteristics'!$C:$C,0))),"",INDEX('Policy Characteristics'!F:F,MATCH($C147,'Policy Characteristics'!$C:$C,0)))</f>
        <v>0</v>
      </c>
      <c r="M147" s="283">
        <f>IF(ISBLANK(INDEX('Policy Characteristics'!G:G,MATCH($C147,'Policy Characteristics'!$C:$C,0))),"",INDEX('Policy Characteristics'!G:G,MATCH($C147,'Policy Characteristics'!$C:$C,0)))</f>
        <v>1</v>
      </c>
      <c r="N147" s="283">
        <f>IF(ISBLANK(INDEX('Policy Characteristics'!H:H,MATCH($C147,'Policy Characteristics'!$C:$C,0))),"",INDEX('Policy Characteristics'!H:H,MATCH($C147,'Policy Characteristics'!$C:$C,0)))</f>
        <v>0.02</v>
      </c>
      <c r="O147" s="275" t="str">
        <f>IF(ISBLANK(INDEX('Policy Characteristics'!I:I,MATCH($C147,'Policy Characteristics'!$C:$C,0))),"",INDEX('Policy Characteristics'!I:I,MATCH($C147,'Policy Characteristics'!$C:$C,0)))</f>
        <v>% of global best practice rate</v>
      </c>
      <c r="P147" s="275"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75" t="str">
        <f>IF(ISBLANK(INDEX('Policy Characteristics'!K:K,MATCH($C147,'Policy Characteristics'!$C:$C,0))),"",INDEX('Policy Characteristics'!K:K,MATCH($C147,'Policy Characteristics'!$C:$C,0)))</f>
        <v>transportation-sector-main.html#feebate</v>
      </c>
      <c r="R147" s="275" t="str">
        <f>IF(ISBLANK(INDEX('Policy Characteristics'!L:L,MATCH($C147,'Policy Characteristics'!$C:$C,0))),"",INDEX('Policy Characteristics'!L:L,MATCH($C147,'Policy Characteristics'!$C:$C,0)))</f>
        <v>feebate.html</v>
      </c>
    </row>
    <row r="148" spans="1:18" x14ac:dyDescent="0.25">
      <c r="A148" s="275" t="str">
        <f>IF(ISBLANK(INDEX('Policy Characteristics'!A:A,MATCH($C148,'Policy Characteristics'!$C:$C,0))),"",INDEX('Policy Characteristics'!A:A,MATCH($C148,'Policy Characteristics'!$C:$C,0)))</f>
        <v>Transportation</v>
      </c>
      <c r="B148" s="284" t="str">
        <f>IF(ISBLANK(INDEX('Policy Characteristics'!B:B,MATCH($C148,'Policy Characteristics'!$C:$C,0))),"",INDEX('Policy Characteristics'!B:B,MATCH($C148,'Policy Characteristics'!$C:$C,0)))</f>
        <v>Fuel Economy Standard</v>
      </c>
      <c r="C148" t="s">
        <v>299</v>
      </c>
      <c r="D148" s="47" t="s">
        <v>45</v>
      </c>
      <c r="E148" s="47" t="s">
        <v>37</v>
      </c>
      <c r="F148" s="47" t="s">
        <v>84</v>
      </c>
      <c r="G148" s="2" t="s">
        <v>3314</v>
      </c>
      <c r="H148" s="44">
        <v>362</v>
      </c>
      <c r="I148" s="347" t="s">
        <v>43</v>
      </c>
      <c r="J148" s="276" t="str">
        <f>IF(ISBLANK(INDEX('Policy Characteristics'!D:D,MATCH($C148,'Policy Characteristics'!$C:$C,0))),"",INDEX('Policy Characteristics'!D:D,MATCH($C148,'Policy Characteristics'!$C:$C,0)))</f>
        <v>Vehicle Fuel Economy Standards</v>
      </c>
      <c r="K148" s="275" t="str">
        <f>IF(ISBLANK(INDEX('Policy Characteristics'!E:E,MATCH($C148,'Policy Characteristics'!$C:$C,0))),"",INDEX('Policy Characteristics'!E:E,MATCH($C148,'Policy Characteristics'!$C:$C,0)))</f>
        <v>trans fuel economy standards</v>
      </c>
      <c r="L148" s="283">
        <f>IF(ISBLANK(INDEX('Policy Characteristics'!F:F,MATCH($C148,'Policy Characteristics'!$C:$C,0))),"",INDEX('Policy Characteristics'!F:F,MATCH($C148,'Policy Characteristics'!$C:$C,0)))</f>
        <v>0</v>
      </c>
      <c r="M148" s="283">
        <f>IF(ISBLANK(INDEX('Policy Characteristics'!G:G,MATCH($C148,'Policy Characteristics'!$C:$C,0))),"",INDEX('Policy Characteristics'!G:G,MATCH($C148,'Policy Characteristics'!$C:$C,0)))</f>
        <v>1</v>
      </c>
      <c r="N148" s="283">
        <f>IF(ISBLANK(INDEX('Policy Characteristics'!H:H,MATCH($C148,'Policy Characteristics'!$C:$C,0))),"",INDEX('Policy Characteristics'!H:H,MATCH($C148,'Policy Characteristics'!$C:$C,0)))</f>
        <v>0.01</v>
      </c>
      <c r="O148" s="275" t="str">
        <f>IF(ISBLANK(INDEX('Policy Characteristics'!I:I,MATCH($C148,'Policy Characteristics'!$C:$C,0))),"",INDEX('Policy Characteristics'!I:I,MATCH($C148,'Policy Characteristics'!$C:$C,0)))</f>
        <v>% increase in miles/gal</v>
      </c>
      <c r="P148" s="275"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75" t="str">
        <f>IF(ISBLANK(INDEX('Policy Characteristics'!K:K,MATCH($C148,'Policy Characteristics'!$C:$C,0))),"",INDEX('Policy Characteristics'!K:K,MATCH($C148,'Policy Characteristics'!$C:$C,0)))</f>
        <v>transportation-sector-main.html#fuel-econ-std</v>
      </c>
      <c r="R148" s="275" t="str">
        <f>IF(ISBLANK(INDEX('Policy Characteristics'!L:L,MATCH($C148,'Policy Characteristics'!$C:$C,0))),"",INDEX('Policy Characteristics'!L:L,MATCH($C148,'Policy Characteristics'!$C:$C,0)))</f>
        <v>fuel-economy-standard.html</v>
      </c>
    </row>
    <row r="149" spans="1:18" x14ac:dyDescent="0.25">
      <c r="A149" s="275" t="str">
        <f>IF(ISBLANK(INDEX('Policy Characteristics'!A:A,MATCH($C149,'Policy Characteristics'!$C:$C,0))),"",INDEX('Policy Characteristics'!A:A,MATCH($C149,'Policy Characteristics'!$C:$C,0)))</f>
        <v>Transportation</v>
      </c>
      <c r="B149" s="284" t="str">
        <f>IF(ISBLANK(INDEX('Policy Characteristics'!B:B,MATCH($C149,'Policy Characteristics'!$C:$C,0))),"",INDEX('Policy Characteristics'!B:B,MATCH($C149,'Policy Characteristics'!$C:$C,0)))</f>
        <v>Fuel Economy Standard</v>
      </c>
      <c r="C149" s="275" t="str">
        <f t="shared" ref="C149:C152" si="5">C$148</f>
        <v>Percentage Additional Improvement of Fuel Economy Std</v>
      </c>
      <c r="D149" s="47" t="s">
        <v>42</v>
      </c>
      <c r="E149" s="47" t="s">
        <v>37</v>
      </c>
      <c r="F149" s="47" t="s">
        <v>85</v>
      </c>
      <c r="G149" s="2" t="s">
        <v>3488</v>
      </c>
      <c r="H149" s="44">
        <v>363</v>
      </c>
      <c r="I149" s="347" t="s">
        <v>43</v>
      </c>
      <c r="J149" s="276" t="str">
        <f>IF(ISBLANK(INDEX('Policy Characteristics'!D:D,MATCH($C149,'Policy Characteristics'!$C:$C,0))),"",INDEX('Policy Characteristics'!D:D,MATCH($C149,'Policy Characteristics'!$C:$C,0)))</f>
        <v>Vehicle Fuel Economy Standards</v>
      </c>
      <c r="K149" s="275" t="str">
        <f>IF(ISBLANK(INDEX('Policy Characteristics'!E:E,MATCH($C149,'Policy Characteristics'!$C:$C,0))),"",INDEX('Policy Characteristics'!E:E,MATCH($C149,'Policy Characteristics'!$C:$C,0)))</f>
        <v>trans fuel economy standards</v>
      </c>
      <c r="L149" s="283">
        <f>IF(ISBLANK(INDEX('Policy Characteristics'!F:F,MATCH($C149,'Policy Characteristics'!$C:$C,0))),"",INDEX('Policy Characteristics'!F:F,MATCH($C149,'Policy Characteristics'!$C:$C,0)))</f>
        <v>0</v>
      </c>
      <c r="M149" s="283">
        <f>IF(ISBLANK(INDEX('Policy Characteristics'!G:G,MATCH($C149,'Policy Characteristics'!$C:$C,0))),"",INDEX('Policy Characteristics'!G:G,MATCH($C149,'Policy Characteristics'!$C:$C,0)))</f>
        <v>1</v>
      </c>
      <c r="N149" s="283">
        <f>IF(ISBLANK(INDEX('Policy Characteristics'!H:H,MATCH($C149,'Policy Characteristics'!$C:$C,0))),"",INDEX('Policy Characteristics'!H:H,MATCH($C149,'Policy Characteristics'!$C:$C,0)))</f>
        <v>0.01</v>
      </c>
      <c r="O149" s="275" t="str">
        <f>IF(ISBLANK(INDEX('Policy Characteristics'!I:I,MATCH($C149,'Policy Characteristics'!$C:$C,0))),"",INDEX('Policy Characteristics'!I:I,MATCH($C149,'Policy Characteristics'!$C:$C,0)))</f>
        <v>% increase in miles/gal</v>
      </c>
      <c r="P149" s="275"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75" t="str">
        <f>IF(ISBLANK(INDEX('Policy Characteristics'!K:K,MATCH($C149,'Policy Characteristics'!$C:$C,0))),"",INDEX('Policy Characteristics'!K:K,MATCH($C149,'Policy Characteristics'!$C:$C,0)))</f>
        <v>transportation-sector-main.html#fuel-econ-std</v>
      </c>
      <c r="R149" s="275" t="str">
        <f>IF(ISBLANK(INDEX('Policy Characteristics'!L:L,MATCH($C149,'Policy Characteristics'!$C:$C,0))),"",INDEX('Policy Characteristics'!L:L,MATCH($C149,'Policy Characteristics'!$C:$C,0)))</f>
        <v>fuel-economy-standard.html</v>
      </c>
    </row>
    <row r="150" spans="1:18" x14ac:dyDescent="0.25">
      <c r="A150" s="275" t="str">
        <f>IF(ISBLANK(INDEX('Policy Characteristics'!A:A,MATCH($C150,'Policy Characteristics'!$C:$C,0))),"",INDEX('Policy Characteristics'!A:A,MATCH($C150,'Policy Characteristics'!$C:$C,0)))</f>
        <v>Transportation</v>
      </c>
      <c r="B150" s="284" t="str">
        <f>IF(ISBLANK(INDEX('Policy Characteristics'!B:B,MATCH($C150,'Policy Characteristics'!$C:$C,0))),"",INDEX('Policy Characteristics'!B:B,MATCH($C150,'Policy Characteristics'!$C:$C,0)))</f>
        <v>Fuel Economy Standard</v>
      </c>
      <c r="C150" s="275" t="str">
        <f t="shared" ref="C150:C153" si="6">C$148</f>
        <v>Percentage Additional Improvement of Fuel Economy Std</v>
      </c>
      <c r="D150" s="47" t="s">
        <v>45</v>
      </c>
      <c r="E150" s="47" t="s">
        <v>38</v>
      </c>
      <c r="F150" s="47" t="s">
        <v>84</v>
      </c>
      <c r="G150" s="2" t="s">
        <v>2346</v>
      </c>
      <c r="H150" s="44">
        <v>364</v>
      </c>
      <c r="I150" s="347" t="s">
        <v>43</v>
      </c>
      <c r="J150" s="276" t="str">
        <f>IF(ISBLANK(INDEX('Policy Characteristics'!D:D,MATCH($C150,'Policy Characteristics'!$C:$C,0))),"",INDEX('Policy Characteristics'!D:D,MATCH($C150,'Policy Characteristics'!$C:$C,0)))</f>
        <v>Vehicle Fuel Economy Standards</v>
      </c>
      <c r="K150" s="275" t="str">
        <f>IF(ISBLANK(INDEX('Policy Characteristics'!E:E,MATCH($C150,'Policy Characteristics'!$C:$C,0))),"",INDEX('Policy Characteristics'!E:E,MATCH($C150,'Policy Characteristics'!$C:$C,0)))</f>
        <v>trans fuel economy standards</v>
      </c>
      <c r="L150" s="283">
        <f>IF(ISBLANK(INDEX('Policy Characteristics'!F:F,MATCH($C150,'Policy Characteristics'!$C:$C,0))),"",INDEX('Policy Characteristics'!F:F,MATCH($C150,'Policy Characteristics'!$C:$C,0)))</f>
        <v>0</v>
      </c>
      <c r="M150" s="283">
        <f>IF(ISBLANK(INDEX('Policy Characteristics'!G:G,MATCH($C150,'Policy Characteristics'!$C:$C,0))),"",INDEX('Policy Characteristics'!G:G,MATCH($C150,'Policy Characteristics'!$C:$C,0)))</f>
        <v>1</v>
      </c>
      <c r="N150" s="283">
        <f>IF(ISBLANK(INDEX('Policy Characteristics'!H:H,MATCH($C150,'Policy Characteristics'!$C:$C,0))),"",INDEX('Policy Characteristics'!H:H,MATCH($C150,'Policy Characteristics'!$C:$C,0)))</f>
        <v>0.01</v>
      </c>
      <c r="O150" s="275" t="str">
        <f>IF(ISBLANK(INDEX('Policy Characteristics'!I:I,MATCH($C150,'Policy Characteristics'!$C:$C,0))),"",INDEX('Policy Characteristics'!I:I,MATCH($C150,'Policy Characteristics'!$C:$C,0)))</f>
        <v>% increase in miles/gal</v>
      </c>
      <c r="P150" s="275"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75" t="str">
        <f>IF(ISBLANK(INDEX('Policy Characteristics'!K:K,MATCH($C150,'Policy Characteristics'!$C:$C,0))),"",INDEX('Policy Characteristics'!K:K,MATCH($C150,'Policy Characteristics'!$C:$C,0)))</f>
        <v>transportation-sector-main.html#fuel-econ-std</v>
      </c>
      <c r="R150" s="275" t="str">
        <f>IF(ISBLANK(INDEX('Policy Characteristics'!L:L,MATCH($C150,'Policy Characteristics'!$C:$C,0))),"",INDEX('Policy Characteristics'!L:L,MATCH($C150,'Policy Characteristics'!$C:$C,0)))</f>
        <v>fuel-economy-standard.html</v>
      </c>
    </row>
    <row r="151" spans="1:18" x14ac:dyDescent="0.25">
      <c r="A151" s="275" t="str">
        <f>IF(ISBLANK(INDEX('Policy Characteristics'!A:A,MATCH($C151,'Policy Characteristics'!$C:$C,0))),"",INDEX('Policy Characteristics'!A:A,MATCH($C151,'Policy Characteristics'!$C:$C,0)))</f>
        <v>Transportation</v>
      </c>
      <c r="B151" s="284" t="str">
        <f>IF(ISBLANK(INDEX('Policy Characteristics'!B:B,MATCH($C151,'Policy Characteristics'!$C:$C,0))),"",INDEX('Policy Characteristics'!B:B,MATCH($C151,'Policy Characteristics'!$C:$C,0)))</f>
        <v>Fuel Economy Standard</v>
      </c>
      <c r="C151" s="275" t="str">
        <f t="shared" si="5"/>
        <v>Percentage Additional Improvement of Fuel Economy Std</v>
      </c>
      <c r="D151" s="47" t="s">
        <v>42</v>
      </c>
      <c r="E151" s="47" t="s">
        <v>38</v>
      </c>
      <c r="F151" s="47" t="s">
        <v>85</v>
      </c>
      <c r="G151" s="2" t="s">
        <v>3484</v>
      </c>
      <c r="H151" s="44">
        <v>365</v>
      </c>
      <c r="I151" s="347" t="s">
        <v>43</v>
      </c>
      <c r="J151" s="276" t="str">
        <f>IF(ISBLANK(INDEX('Policy Characteristics'!D:D,MATCH($C151,'Policy Characteristics'!$C:$C,0))),"",INDEX('Policy Characteristics'!D:D,MATCH($C151,'Policy Characteristics'!$C:$C,0)))</f>
        <v>Vehicle Fuel Economy Standards</v>
      </c>
      <c r="K151" s="275" t="str">
        <f>IF(ISBLANK(INDEX('Policy Characteristics'!E:E,MATCH($C151,'Policy Characteristics'!$C:$C,0))),"",INDEX('Policy Characteristics'!E:E,MATCH($C151,'Policy Characteristics'!$C:$C,0)))</f>
        <v>trans fuel economy standards</v>
      </c>
      <c r="L151" s="283">
        <f>IF(ISBLANK(INDEX('Policy Characteristics'!F:F,MATCH($C151,'Policy Characteristics'!$C:$C,0))),"",INDEX('Policy Characteristics'!F:F,MATCH($C151,'Policy Characteristics'!$C:$C,0)))</f>
        <v>0</v>
      </c>
      <c r="M151" s="283">
        <f>IF(ISBLANK(INDEX('Policy Characteristics'!G:G,MATCH($C151,'Policy Characteristics'!$C:$C,0))),"",INDEX('Policy Characteristics'!G:G,MATCH($C151,'Policy Characteristics'!$C:$C,0)))</f>
        <v>1</v>
      </c>
      <c r="N151" s="283">
        <f>IF(ISBLANK(INDEX('Policy Characteristics'!H:H,MATCH($C151,'Policy Characteristics'!$C:$C,0))),"",INDEX('Policy Characteristics'!H:H,MATCH($C151,'Policy Characteristics'!$C:$C,0)))</f>
        <v>0.01</v>
      </c>
      <c r="O151" s="275" t="str">
        <f>IF(ISBLANK(INDEX('Policy Characteristics'!I:I,MATCH($C151,'Policy Characteristics'!$C:$C,0))),"",INDEX('Policy Characteristics'!I:I,MATCH($C151,'Policy Characteristics'!$C:$C,0)))</f>
        <v>% increase in miles/gal</v>
      </c>
      <c r="P151" s="275"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75" t="str">
        <f>IF(ISBLANK(INDEX('Policy Characteristics'!K:K,MATCH($C151,'Policy Characteristics'!$C:$C,0))),"",INDEX('Policy Characteristics'!K:K,MATCH($C151,'Policy Characteristics'!$C:$C,0)))</f>
        <v>transportation-sector-main.html#fuel-econ-std</v>
      </c>
      <c r="R151" s="275" t="str">
        <f>IF(ISBLANK(INDEX('Policy Characteristics'!L:L,MATCH($C151,'Policy Characteristics'!$C:$C,0))),"",INDEX('Policy Characteristics'!L:L,MATCH($C151,'Policy Characteristics'!$C:$C,0)))</f>
        <v>fuel-economy-standard.html</v>
      </c>
    </row>
    <row r="152" spans="1:18" x14ac:dyDescent="0.25">
      <c r="A152" s="275" t="str">
        <f>IF(ISBLANK(INDEX('Policy Characteristics'!A:A,MATCH($C152,'Policy Characteristics'!$C:$C,0))),"",INDEX('Policy Characteristics'!A:A,MATCH($C152,'Policy Characteristics'!$C:$C,0)))</f>
        <v>Transportation</v>
      </c>
      <c r="B152" s="284" t="str">
        <f>IF(ISBLANK(INDEX('Policy Characteristics'!B:B,MATCH($C152,'Policy Characteristics'!$C:$C,0))),"",INDEX('Policy Characteristics'!B:B,MATCH($C152,'Policy Characteristics'!$C:$C,0)))</f>
        <v>Fuel Economy Standard</v>
      </c>
      <c r="C152" s="275" t="str">
        <f t="shared" si="5"/>
        <v>Percentage Additional Improvement of Fuel Economy Std</v>
      </c>
      <c r="D152" s="47" t="s">
        <v>45</v>
      </c>
      <c r="E152" s="47" t="s">
        <v>39</v>
      </c>
      <c r="F152" s="47" t="s">
        <v>84</v>
      </c>
      <c r="G152" s="2" t="s">
        <v>3311</v>
      </c>
      <c r="H152" s="44">
        <v>366</v>
      </c>
      <c r="I152" s="347" t="s">
        <v>43</v>
      </c>
      <c r="J152" s="276" t="str">
        <f>IF(ISBLANK(INDEX('Policy Characteristics'!D:D,MATCH($C152,'Policy Characteristics'!$C:$C,0))),"",INDEX('Policy Characteristics'!D:D,MATCH($C152,'Policy Characteristics'!$C:$C,0)))</f>
        <v>Vehicle Fuel Economy Standards</v>
      </c>
      <c r="K152" s="275" t="str">
        <f>IF(ISBLANK(INDEX('Policy Characteristics'!E:E,MATCH($C152,'Policy Characteristics'!$C:$C,0))),"",INDEX('Policy Characteristics'!E:E,MATCH($C152,'Policy Characteristics'!$C:$C,0)))</f>
        <v>trans fuel economy standards</v>
      </c>
      <c r="L152" s="283">
        <f>IF(ISBLANK(INDEX('Policy Characteristics'!F:F,MATCH($C152,'Policy Characteristics'!$C:$C,0))),"",INDEX('Policy Characteristics'!F:F,MATCH($C152,'Policy Characteristics'!$C:$C,0)))</f>
        <v>0</v>
      </c>
      <c r="M152" s="283">
        <f>IF(ISBLANK(INDEX('Policy Characteristics'!G:G,MATCH($C152,'Policy Characteristics'!$C:$C,0))),"",INDEX('Policy Characteristics'!G:G,MATCH($C152,'Policy Characteristics'!$C:$C,0)))</f>
        <v>1</v>
      </c>
      <c r="N152" s="283">
        <f>IF(ISBLANK(INDEX('Policy Characteristics'!H:H,MATCH($C152,'Policy Characteristics'!$C:$C,0))),"",INDEX('Policy Characteristics'!H:H,MATCH($C152,'Policy Characteristics'!$C:$C,0)))</f>
        <v>0.01</v>
      </c>
      <c r="O152" s="275" t="str">
        <f>IF(ISBLANK(INDEX('Policy Characteristics'!I:I,MATCH($C152,'Policy Characteristics'!$C:$C,0))),"",INDEX('Policy Characteristics'!I:I,MATCH($C152,'Policy Characteristics'!$C:$C,0)))</f>
        <v>% increase in miles/gal</v>
      </c>
      <c r="P152" s="275"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75" t="str">
        <f>IF(ISBLANK(INDEX('Policy Characteristics'!K:K,MATCH($C152,'Policy Characteristics'!$C:$C,0))),"",INDEX('Policy Characteristics'!K:K,MATCH($C152,'Policy Characteristics'!$C:$C,0)))</f>
        <v>transportation-sector-main.html#fuel-econ-std</v>
      </c>
      <c r="R152" s="275" t="str">
        <f>IF(ISBLANK(INDEX('Policy Characteristics'!L:L,MATCH($C152,'Policy Characteristics'!$C:$C,0))),"",INDEX('Policy Characteristics'!L:L,MATCH($C152,'Policy Characteristics'!$C:$C,0)))</f>
        <v>fuel-economy-standard.html</v>
      </c>
    </row>
    <row r="153" spans="1:18" x14ac:dyDescent="0.25">
      <c r="A153" s="275" t="str">
        <f>IF(ISBLANK(INDEX('Policy Characteristics'!A:A,MATCH($C153,'Policy Characteristics'!$C:$C,0))),"",INDEX('Policy Characteristics'!A:A,MATCH($C153,'Policy Characteristics'!$C:$C,0)))</f>
        <v>Transportation</v>
      </c>
      <c r="B153" s="284" t="str">
        <f>IF(ISBLANK(INDEX('Policy Characteristics'!B:B,MATCH($C153,'Policy Characteristics'!$C:$C,0))),"",INDEX('Policy Characteristics'!B:B,MATCH($C153,'Policy Characteristics'!$C:$C,0)))</f>
        <v>Fuel Economy Standard</v>
      </c>
      <c r="C153" s="275" t="str">
        <f t="shared" si="6"/>
        <v>Percentage Additional Improvement of Fuel Economy Std</v>
      </c>
      <c r="D153" s="47" t="s">
        <v>42</v>
      </c>
      <c r="E153" s="47" t="s">
        <v>39</v>
      </c>
      <c r="F153" s="47" t="s">
        <v>85</v>
      </c>
      <c r="G153" s="2" t="s">
        <v>3311</v>
      </c>
      <c r="H153" s="44">
        <v>367</v>
      </c>
      <c r="I153" s="347" t="s">
        <v>43</v>
      </c>
      <c r="J153" s="276" t="str">
        <f>IF(ISBLANK(INDEX('Policy Characteristics'!D:D,MATCH($C153,'Policy Characteristics'!$C:$C,0))),"",INDEX('Policy Characteristics'!D:D,MATCH($C153,'Policy Characteristics'!$C:$C,0)))</f>
        <v>Vehicle Fuel Economy Standards</v>
      </c>
      <c r="K153" s="275" t="str">
        <f>IF(ISBLANK(INDEX('Policy Characteristics'!E:E,MATCH($C153,'Policy Characteristics'!$C:$C,0))),"",INDEX('Policy Characteristics'!E:E,MATCH($C153,'Policy Characteristics'!$C:$C,0)))</f>
        <v>trans fuel economy standards</v>
      </c>
      <c r="L153" s="283">
        <f>IF(ISBLANK(INDEX('Policy Characteristics'!F:F,MATCH($C153,'Policy Characteristics'!$C:$C,0))),"",INDEX('Policy Characteristics'!F:F,MATCH($C153,'Policy Characteristics'!$C:$C,0)))</f>
        <v>0</v>
      </c>
      <c r="M153" s="283">
        <f>IF(ISBLANK(INDEX('Policy Characteristics'!G:G,MATCH($C153,'Policy Characteristics'!$C:$C,0))),"",INDEX('Policy Characteristics'!G:G,MATCH($C153,'Policy Characteristics'!$C:$C,0)))</f>
        <v>1</v>
      </c>
      <c r="N153" s="283">
        <f>IF(ISBLANK(INDEX('Policy Characteristics'!H:H,MATCH($C153,'Policy Characteristics'!$C:$C,0))),"",INDEX('Policy Characteristics'!H:H,MATCH($C153,'Policy Characteristics'!$C:$C,0)))</f>
        <v>0.01</v>
      </c>
      <c r="O153" s="275" t="str">
        <f>IF(ISBLANK(INDEX('Policy Characteristics'!I:I,MATCH($C153,'Policy Characteristics'!$C:$C,0))),"",INDEX('Policy Characteristics'!I:I,MATCH($C153,'Policy Characteristics'!$C:$C,0)))</f>
        <v>% increase in miles/gal</v>
      </c>
      <c r="P153" s="275"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75" t="str">
        <f>IF(ISBLANK(INDEX('Policy Characteristics'!K:K,MATCH($C153,'Policy Characteristics'!$C:$C,0))),"",INDEX('Policy Characteristics'!K:K,MATCH($C153,'Policy Characteristics'!$C:$C,0)))</f>
        <v>transportation-sector-main.html#fuel-econ-std</v>
      </c>
      <c r="R153" s="275" t="str">
        <f>IF(ISBLANK(INDEX('Policy Characteristics'!L:L,MATCH($C153,'Policy Characteristics'!$C:$C,0))),"",INDEX('Policy Characteristics'!L:L,MATCH($C153,'Policy Characteristics'!$C:$C,0)))</f>
        <v>fuel-economy-standard.html</v>
      </c>
    </row>
    <row r="154" spans="1:18" x14ac:dyDescent="0.25">
      <c r="A154" s="275" t="str">
        <f>IF(ISBLANK(INDEX('Policy Characteristics'!A:A,MATCH($C154,'Policy Characteristics'!$C:$C,0))),"",INDEX('Policy Characteristics'!A:A,MATCH($C154,'Policy Characteristics'!$C:$C,0)))</f>
        <v>Transportation</v>
      </c>
      <c r="B154" s="284" t="str">
        <f>IF(ISBLANK(INDEX('Policy Characteristics'!B:B,MATCH($C154,'Policy Characteristics'!$C:$C,0))),"",INDEX('Policy Characteristics'!B:B,MATCH($C154,'Policy Characteristics'!$C:$C,0)))</f>
        <v>Fuel Economy Standard</v>
      </c>
      <c r="C154" s="275" t="str">
        <f t="shared" ref="C154:C159" si="7">C$148</f>
        <v>Percentage Additional Improvement of Fuel Economy Std</v>
      </c>
      <c r="D154" s="47" t="s">
        <v>45</v>
      </c>
      <c r="E154" s="47" t="s">
        <v>40</v>
      </c>
      <c r="F154" s="47" t="s">
        <v>84</v>
      </c>
      <c r="G154" s="2" t="s">
        <v>86</v>
      </c>
      <c r="H154" s="44">
        <v>368</v>
      </c>
      <c r="I154" s="347" t="s">
        <v>43</v>
      </c>
      <c r="J154" s="276" t="str">
        <f>IF(ISBLANK(INDEX('Policy Characteristics'!D:D,MATCH($C154,'Policy Characteristics'!$C:$C,0))),"",INDEX('Policy Characteristics'!D:D,MATCH($C154,'Policy Characteristics'!$C:$C,0)))</f>
        <v>Vehicle Fuel Economy Standards</v>
      </c>
      <c r="K154" s="275" t="str">
        <f>IF(ISBLANK(INDEX('Policy Characteristics'!E:E,MATCH($C154,'Policy Characteristics'!$C:$C,0))),"",INDEX('Policy Characteristics'!E:E,MATCH($C154,'Policy Characteristics'!$C:$C,0)))</f>
        <v>trans fuel economy standards</v>
      </c>
      <c r="L154" s="283">
        <f>IF(ISBLANK(INDEX('Policy Characteristics'!F:F,MATCH($C154,'Policy Characteristics'!$C:$C,0))),"",INDEX('Policy Characteristics'!F:F,MATCH($C154,'Policy Characteristics'!$C:$C,0)))</f>
        <v>0</v>
      </c>
      <c r="M154" s="283">
        <f>IF(ISBLANK(INDEX('Policy Characteristics'!G:G,MATCH($C154,'Policy Characteristics'!$C:$C,0))),"",INDEX('Policy Characteristics'!G:G,MATCH($C154,'Policy Characteristics'!$C:$C,0)))</f>
        <v>1</v>
      </c>
      <c r="N154" s="283">
        <f>IF(ISBLANK(INDEX('Policy Characteristics'!H:H,MATCH($C154,'Policy Characteristics'!$C:$C,0))),"",INDEX('Policy Characteristics'!H:H,MATCH($C154,'Policy Characteristics'!$C:$C,0)))</f>
        <v>0.01</v>
      </c>
      <c r="O154" s="275" t="str">
        <f>IF(ISBLANK(INDEX('Policy Characteristics'!I:I,MATCH($C154,'Policy Characteristics'!$C:$C,0))),"",INDEX('Policy Characteristics'!I:I,MATCH($C154,'Policy Characteristics'!$C:$C,0)))</f>
        <v>% increase in miles/gal</v>
      </c>
      <c r="P154" s="275"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75" t="str">
        <f>IF(ISBLANK(INDEX('Policy Characteristics'!K:K,MATCH($C154,'Policy Characteristics'!$C:$C,0))),"",INDEX('Policy Characteristics'!K:K,MATCH($C154,'Policy Characteristics'!$C:$C,0)))</f>
        <v>transportation-sector-main.html#fuel-econ-std</v>
      </c>
      <c r="R154" s="275" t="str">
        <f>IF(ISBLANK(INDEX('Policy Characteristics'!L:L,MATCH($C154,'Policy Characteristics'!$C:$C,0))),"",INDEX('Policy Characteristics'!L:L,MATCH($C154,'Policy Characteristics'!$C:$C,0)))</f>
        <v>fuel-economy-standard.html</v>
      </c>
    </row>
    <row r="155" spans="1:18" x14ac:dyDescent="0.25">
      <c r="A155" s="275" t="str">
        <f>IF(ISBLANK(INDEX('Policy Characteristics'!A:A,MATCH($C155,'Policy Characteristics'!$C:$C,0))),"",INDEX('Policy Characteristics'!A:A,MATCH($C155,'Policy Characteristics'!$C:$C,0)))</f>
        <v>Transportation</v>
      </c>
      <c r="B155" s="284" t="str">
        <f>IF(ISBLANK(INDEX('Policy Characteristics'!B:B,MATCH($C155,'Policy Characteristics'!$C:$C,0))),"",INDEX('Policy Characteristics'!B:B,MATCH($C155,'Policy Characteristics'!$C:$C,0)))</f>
        <v>Fuel Economy Standard</v>
      </c>
      <c r="C155" s="275" t="str">
        <f t="shared" si="7"/>
        <v>Percentage Additional Improvement of Fuel Economy Std</v>
      </c>
      <c r="D155" s="47" t="s">
        <v>42</v>
      </c>
      <c r="E155" s="47" t="s">
        <v>40</v>
      </c>
      <c r="F155" s="47" t="s">
        <v>85</v>
      </c>
      <c r="G155" s="2" t="s">
        <v>86</v>
      </c>
      <c r="H155" s="44">
        <v>369</v>
      </c>
      <c r="I155" s="347" t="s">
        <v>43</v>
      </c>
      <c r="J155" s="276" t="str">
        <f>IF(ISBLANK(INDEX('Policy Characteristics'!D:D,MATCH($C155,'Policy Characteristics'!$C:$C,0))),"",INDEX('Policy Characteristics'!D:D,MATCH($C155,'Policy Characteristics'!$C:$C,0)))</f>
        <v>Vehicle Fuel Economy Standards</v>
      </c>
      <c r="K155" s="275" t="str">
        <f>IF(ISBLANK(INDEX('Policy Characteristics'!E:E,MATCH($C155,'Policy Characteristics'!$C:$C,0))),"",INDEX('Policy Characteristics'!E:E,MATCH($C155,'Policy Characteristics'!$C:$C,0)))</f>
        <v>trans fuel economy standards</v>
      </c>
      <c r="L155" s="283">
        <f>IF(ISBLANK(INDEX('Policy Characteristics'!F:F,MATCH($C155,'Policy Characteristics'!$C:$C,0))),"",INDEX('Policy Characteristics'!F:F,MATCH($C155,'Policy Characteristics'!$C:$C,0)))</f>
        <v>0</v>
      </c>
      <c r="M155" s="283">
        <f>IF(ISBLANK(INDEX('Policy Characteristics'!G:G,MATCH($C155,'Policy Characteristics'!$C:$C,0))),"",INDEX('Policy Characteristics'!G:G,MATCH($C155,'Policy Characteristics'!$C:$C,0)))</f>
        <v>1</v>
      </c>
      <c r="N155" s="283">
        <f>IF(ISBLANK(INDEX('Policy Characteristics'!H:H,MATCH($C155,'Policy Characteristics'!$C:$C,0))),"",INDEX('Policy Characteristics'!H:H,MATCH($C155,'Policy Characteristics'!$C:$C,0)))</f>
        <v>0.01</v>
      </c>
      <c r="O155" s="275" t="str">
        <f>IF(ISBLANK(INDEX('Policy Characteristics'!I:I,MATCH($C155,'Policy Characteristics'!$C:$C,0))),"",INDEX('Policy Characteristics'!I:I,MATCH($C155,'Policy Characteristics'!$C:$C,0)))</f>
        <v>% increase in miles/gal</v>
      </c>
      <c r="P155" s="275"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75" t="str">
        <f>IF(ISBLANK(INDEX('Policy Characteristics'!K:K,MATCH($C155,'Policy Characteristics'!$C:$C,0))),"",INDEX('Policy Characteristics'!K:K,MATCH($C155,'Policy Characteristics'!$C:$C,0)))</f>
        <v>transportation-sector-main.html#fuel-econ-std</v>
      </c>
      <c r="R155" s="275" t="str">
        <f>IF(ISBLANK(INDEX('Policy Characteristics'!L:L,MATCH($C155,'Policy Characteristics'!$C:$C,0))),"",INDEX('Policy Characteristics'!L:L,MATCH($C155,'Policy Characteristics'!$C:$C,0)))</f>
        <v>fuel-economy-standard.html</v>
      </c>
    </row>
    <row r="156" spans="1:18" x14ac:dyDescent="0.25">
      <c r="A156" s="275" t="str">
        <f>IF(ISBLANK(INDEX('Policy Characteristics'!A:A,MATCH($C156,'Policy Characteristics'!$C:$C,0))),"",INDEX('Policy Characteristics'!A:A,MATCH($C156,'Policy Characteristics'!$C:$C,0)))</f>
        <v>Transportation</v>
      </c>
      <c r="B156" s="284" t="str">
        <f>IF(ISBLANK(INDEX('Policy Characteristics'!B:B,MATCH($C156,'Policy Characteristics'!$C:$C,0))),"",INDEX('Policy Characteristics'!B:B,MATCH($C156,'Policy Characteristics'!$C:$C,0)))</f>
        <v>Fuel Economy Standard</v>
      </c>
      <c r="C156" s="275" t="str">
        <f t="shared" si="7"/>
        <v>Percentage Additional Improvement of Fuel Economy Std</v>
      </c>
      <c r="D156" s="47" t="s">
        <v>45</v>
      </c>
      <c r="E156" s="47" t="s">
        <v>41</v>
      </c>
      <c r="F156" s="47" t="s">
        <v>84</v>
      </c>
      <c r="G156" s="2" t="s">
        <v>3312</v>
      </c>
      <c r="H156" s="44">
        <v>370</v>
      </c>
      <c r="I156" s="347" t="s">
        <v>43</v>
      </c>
      <c r="J156" s="276" t="str">
        <f>IF(ISBLANK(INDEX('Policy Characteristics'!D:D,MATCH($C156,'Policy Characteristics'!$C:$C,0))),"",INDEX('Policy Characteristics'!D:D,MATCH($C156,'Policy Characteristics'!$C:$C,0)))</f>
        <v>Vehicle Fuel Economy Standards</v>
      </c>
      <c r="K156" s="275" t="str">
        <f>IF(ISBLANK(INDEX('Policy Characteristics'!E:E,MATCH($C156,'Policy Characteristics'!$C:$C,0))),"",INDEX('Policy Characteristics'!E:E,MATCH($C156,'Policy Characteristics'!$C:$C,0)))</f>
        <v>trans fuel economy standards</v>
      </c>
      <c r="L156" s="283">
        <f>IF(ISBLANK(INDEX('Policy Characteristics'!F:F,MATCH($C156,'Policy Characteristics'!$C:$C,0))),"",INDEX('Policy Characteristics'!F:F,MATCH($C156,'Policy Characteristics'!$C:$C,0)))</f>
        <v>0</v>
      </c>
      <c r="M156" s="283">
        <f>IF(ISBLANK(INDEX('Policy Characteristics'!G:G,MATCH($C156,'Policy Characteristics'!$C:$C,0))),"",INDEX('Policy Characteristics'!G:G,MATCH($C156,'Policy Characteristics'!$C:$C,0)))</f>
        <v>1</v>
      </c>
      <c r="N156" s="283">
        <f>IF(ISBLANK(INDEX('Policy Characteristics'!H:H,MATCH($C156,'Policy Characteristics'!$C:$C,0))),"",INDEX('Policy Characteristics'!H:H,MATCH($C156,'Policy Characteristics'!$C:$C,0)))</f>
        <v>0.01</v>
      </c>
      <c r="O156" s="275" t="str">
        <f>IF(ISBLANK(INDEX('Policy Characteristics'!I:I,MATCH($C156,'Policy Characteristics'!$C:$C,0))),"",INDEX('Policy Characteristics'!I:I,MATCH($C156,'Policy Characteristics'!$C:$C,0)))</f>
        <v>% increase in miles/gal</v>
      </c>
      <c r="P156" s="275"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75" t="str">
        <f>IF(ISBLANK(INDEX('Policy Characteristics'!K:K,MATCH($C156,'Policy Characteristics'!$C:$C,0))),"",INDEX('Policy Characteristics'!K:K,MATCH($C156,'Policy Characteristics'!$C:$C,0)))</f>
        <v>transportation-sector-main.html#fuel-econ-std</v>
      </c>
      <c r="R156" s="275" t="str">
        <f>IF(ISBLANK(INDEX('Policy Characteristics'!L:L,MATCH($C156,'Policy Characteristics'!$C:$C,0))),"",INDEX('Policy Characteristics'!L:L,MATCH($C156,'Policy Characteristics'!$C:$C,0)))</f>
        <v>fuel-economy-standard.html</v>
      </c>
    </row>
    <row r="157" spans="1:18" x14ac:dyDescent="0.25">
      <c r="A157" s="275" t="str">
        <f>IF(ISBLANK(INDEX('Policy Characteristics'!A:A,MATCH($C157,'Policy Characteristics'!$C:$C,0))),"",INDEX('Policy Characteristics'!A:A,MATCH($C157,'Policy Characteristics'!$C:$C,0)))</f>
        <v>Transportation</v>
      </c>
      <c r="B157" s="284" t="str">
        <f>IF(ISBLANK(INDEX('Policy Characteristics'!B:B,MATCH($C157,'Policy Characteristics'!$C:$C,0))),"",INDEX('Policy Characteristics'!B:B,MATCH($C157,'Policy Characteristics'!$C:$C,0)))</f>
        <v>Fuel Economy Standard</v>
      </c>
      <c r="C157" s="275" t="str">
        <f t="shared" si="7"/>
        <v>Percentage Additional Improvement of Fuel Economy Std</v>
      </c>
      <c r="D157" s="47" t="s">
        <v>42</v>
      </c>
      <c r="E157" s="47" t="s">
        <v>41</v>
      </c>
      <c r="F157" s="47" t="s">
        <v>85</v>
      </c>
      <c r="G157" s="2" t="s">
        <v>3313</v>
      </c>
      <c r="H157" s="44">
        <v>371</v>
      </c>
      <c r="I157" s="347" t="s">
        <v>43</v>
      </c>
      <c r="J157" s="276" t="str">
        <f>IF(ISBLANK(INDEX('Policy Characteristics'!D:D,MATCH($C157,'Policy Characteristics'!$C:$C,0))),"",INDEX('Policy Characteristics'!D:D,MATCH($C157,'Policy Characteristics'!$C:$C,0)))</f>
        <v>Vehicle Fuel Economy Standards</v>
      </c>
      <c r="K157" s="275" t="str">
        <f>IF(ISBLANK(INDEX('Policy Characteristics'!E:E,MATCH($C157,'Policy Characteristics'!$C:$C,0))),"",INDEX('Policy Characteristics'!E:E,MATCH($C157,'Policy Characteristics'!$C:$C,0)))</f>
        <v>trans fuel economy standards</v>
      </c>
      <c r="L157" s="283">
        <f>IF(ISBLANK(INDEX('Policy Characteristics'!F:F,MATCH($C157,'Policy Characteristics'!$C:$C,0))),"",INDEX('Policy Characteristics'!F:F,MATCH($C157,'Policy Characteristics'!$C:$C,0)))</f>
        <v>0</v>
      </c>
      <c r="M157" s="283">
        <f>IF(ISBLANK(INDEX('Policy Characteristics'!G:G,MATCH($C157,'Policy Characteristics'!$C:$C,0))),"",INDEX('Policy Characteristics'!G:G,MATCH($C157,'Policy Characteristics'!$C:$C,0)))</f>
        <v>1</v>
      </c>
      <c r="N157" s="283">
        <f>IF(ISBLANK(INDEX('Policy Characteristics'!H:H,MATCH($C157,'Policy Characteristics'!$C:$C,0))),"",INDEX('Policy Characteristics'!H:H,MATCH($C157,'Policy Characteristics'!$C:$C,0)))</f>
        <v>0.01</v>
      </c>
      <c r="O157" s="275" t="str">
        <f>IF(ISBLANK(INDEX('Policy Characteristics'!I:I,MATCH($C157,'Policy Characteristics'!$C:$C,0))),"",INDEX('Policy Characteristics'!I:I,MATCH($C157,'Policy Characteristics'!$C:$C,0)))</f>
        <v>% increase in miles/gal</v>
      </c>
      <c r="P157" s="275"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75" t="str">
        <f>IF(ISBLANK(INDEX('Policy Characteristics'!K:K,MATCH($C157,'Policy Characteristics'!$C:$C,0))),"",INDEX('Policy Characteristics'!K:K,MATCH($C157,'Policy Characteristics'!$C:$C,0)))</f>
        <v>transportation-sector-main.html#fuel-econ-std</v>
      </c>
      <c r="R157" s="275" t="str">
        <f>IF(ISBLANK(INDEX('Policy Characteristics'!L:L,MATCH($C157,'Policy Characteristics'!$C:$C,0))),"",INDEX('Policy Characteristics'!L:L,MATCH($C157,'Policy Characteristics'!$C:$C,0)))</f>
        <v>fuel-economy-standard.html</v>
      </c>
    </row>
    <row r="158" spans="1:18" x14ac:dyDescent="0.25">
      <c r="A158" s="275" t="str">
        <f>IF(ISBLANK(INDEX('Policy Characteristics'!A:A,MATCH($C158,'Policy Characteristics'!$C:$C,0))),"",INDEX('Policy Characteristics'!A:A,MATCH($C158,'Policy Characteristics'!$C:$C,0)))</f>
        <v>Transportation</v>
      </c>
      <c r="B158" s="284" t="str">
        <f>IF(ISBLANK(INDEX('Policy Characteristics'!B:B,MATCH($C158,'Policy Characteristics'!$C:$C,0))),"",INDEX('Policy Characteristics'!B:B,MATCH($C158,'Policy Characteristics'!$C:$C,0)))</f>
        <v>Fuel Economy Standard</v>
      </c>
      <c r="C158" s="275" t="str">
        <f t="shared" si="7"/>
        <v>Percentage Additional Improvement of Fuel Economy Std</v>
      </c>
      <c r="D158" s="47" t="s">
        <v>45</v>
      </c>
      <c r="E158" s="47" t="s">
        <v>113</v>
      </c>
      <c r="F158" s="47" t="s">
        <v>84</v>
      </c>
      <c r="G158" s="2" t="s">
        <v>144</v>
      </c>
      <c r="H158" s="44">
        <v>372</v>
      </c>
      <c r="I158" s="347" t="s">
        <v>43</v>
      </c>
      <c r="J158" s="276" t="str">
        <f>IF(ISBLANK(INDEX('Policy Characteristics'!D:D,MATCH($C158,'Policy Characteristics'!$C:$C,0))),"",INDEX('Policy Characteristics'!D:D,MATCH($C158,'Policy Characteristics'!$C:$C,0)))</f>
        <v>Vehicle Fuel Economy Standards</v>
      </c>
      <c r="K158" s="275" t="str">
        <f>IF(ISBLANK(INDEX('Policy Characteristics'!E:E,MATCH($C158,'Policy Characteristics'!$C:$C,0))),"",INDEX('Policy Characteristics'!E:E,MATCH($C158,'Policy Characteristics'!$C:$C,0)))</f>
        <v>trans fuel economy standards</v>
      </c>
      <c r="L158" s="283">
        <f>IF(ISBLANK(INDEX('Policy Characteristics'!F:F,MATCH($C158,'Policy Characteristics'!$C:$C,0))),"",INDEX('Policy Characteristics'!F:F,MATCH($C158,'Policy Characteristics'!$C:$C,0)))</f>
        <v>0</v>
      </c>
      <c r="M158" s="283">
        <f>IF(ISBLANK(INDEX('Policy Characteristics'!G:G,MATCH($C158,'Policy Characteristics'!$C:$C,0))),"",INDEX('Policy Characteristics'!G:G,MATCH($C158,'Policy Characteristics'!$C:$C,0)))</f>
        <v>1</v>
      </c>
      <c r="N158" s="283">
        <f>IF(ISBLANK(INDEX('Policy Characteristics'!H:H,MATCH($C158,'Policy Characteristics'!$C:$C,0))),"",INDEX('Policy Characteristics'!H:H,MATCH($C158,'Policy Characteristics'!$C:$C,0)))</f>
        <v>0.01</v>
      </c>
      <c r="O158" s="275" t="str">
        <f>IF(ISBLANK(INDEX('Policy Characteristics'!I:I,MATCH($C158,'Policy Characteristics'!$C:$C,0))),"",INDEX('Policy Characteristics'!I:I,MATCH($C158,'Policy Characteristics'!$C:$C,0)))</f>
        <v>% increase in miles/gal</v>
      </c>
      <c r="P158" s="275"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75" t="str">
        <f>IF(ISBLANK(INDEX('Policy Characteristics'!K:K,MATCH($C158,'Policy Characteristics'!$C:$C,0))),"",INDEX('Policy Characteristics'!K:K,MATCH($C158,'Policy Characteristics'!$C:$C,0)))</f>
        <v>transportation-sector-main.html#fuel-econ-std</v>
      </c>
      <c r="R158" s="275" t="str">
        <f>IF(ISBLANK(INDEX('Policy Characteristics'!L:L,MATCH($C158,'Policy Characteristics'!$C:$C,0))),"",INDEX('Policy Characteristics'!L:L,MATCH($C158,'Policy Characteristics'!$C:$C,0)))</f>
        <v>fuel-economy-standard.html</v>
      </c>
    </row>
    <row r="159" spans="1:18" x14ac:dyDescent="0.25">
      <c r="A159" s="275" t="str">
        <f>IF(ISBLANK(INDEX('Policy Characteristics'!A:A,MATCH($C159,'Policy Characteristics'!$C:$C,0))),"",INDEX('Policy Characteristics'!A:A,MATCH($C159,'Policy Characteristics'!$C:$C,0)))</f>
        <v>Transportation</v>
      </c>
      <c r="B159" s="284" t="str">
        <f>IF(ISBLANK(INDEX('Policy Characteristics'!B:B,MATCH($C159,'Policy Characteristics'!$C:$C,0))),"",INDEX('Policy Characteristics'!B:B,MATCH($C159,'Policy Characteristics'!$C:$C,0)))</f>
        <v>Fuel Economy Standard</v>
      </c>
      <c r="C159" s="275" t="str">
        <f t="shared" si="7"/>
        <v>Percentage Additional Improvement of Fuel Economy Std</v>
      </c>
      <c r="D159" s="47" t="s">
        <v>42</v>
      </c>
      <c r="E159" s="47" t="s">
        <v>113</v>
      </c>
      <c r="F159" s="47" t="s">
        <v>85</v>
      </c>
      <c r="G159" s="2" t="s">
        <v>144</v>
      </c>
      <c r="H159" s="44">
        <v>373</v>
      </c>
      <c r="I159" s="347" t="s">
        <v>44</v>
      </c>
      <c r="J159" s="276" t="str">
        <f>IF(ISBLANK(INDEX('Policy Characteristics'!D:D,MATCH($C159,'Policy Characteristics'!$C:$C,0))),"",INDEX('Policy Characteristics'!D:D,MATCH($C159,'Policy Characteristics'!$C:$C,0)))</f>
        <v>Vehicle Fuel Economy Standards</v>
      </c>
      <c r="K159" s="275" t="str">
        <f>IF(ISBLANK(INDEX('Policy Characteristics'!E:E,MATCH($C159,'Policy Characteristics'!$C:$C,0))),"",INDEX('Policy Characteristics'!E:E,MATCH($C159,'Policy Characteristics'!$C:$C,0)))</f>
        <v>trans fuel economy standards</v>
      </c>
      <c r="L159" s="283">
        <f>IF(ISBLANK(INDEX('Policy Characteristics'!F:F,MATCH($C159,'Policy Characteristics'!$C:$C,0))),"",INDEX('Policy Characteristics'!F:F,MATCH($C159,'Policy Characteristics'!$C:$C,0)))</f>
        <v>0</v>
      </c>
      <c r="M159" s="283">
        <f>IF(ISBLANK(INDEX('Policy Characteristics'!G:G,MATCH($C159,'Policy Characteristics'!$C:$C,0))),"",INDEX('Policy Characteristics'!G:G,MATCH($C159,'Policy Characteristics'!$C:$C,0)))</f>
        <v>1</v>
      </c>
      <c r="N159" s="283">
        <f>IF(ISBLANK(INDEX('Policy Characteristics'!H:H,MATCH($C159,'Policy Characteristics'!$C:$C,0))),"",INDEX('Policy Characteristics'!H:H,MATCH($C159,'Policy Characteristics'!$C:$C,0)))</f>
        <v>0.01</v>
      </c>
      <c r="O159" s="275" t="str">
        <f>IF(ISBLANK(INDEX('Policy Characteristics'!I:I,MATCH($C159,'Policy Characteristics'!$C:$C,0))),"",INDEX('Policy Characteristics'!I:I,MATCH($C159,'Policy Characteristics'!$C:$C,0)))</f>
        <v>% increase in miles/gal</v>
      </c>
      <c r="P159" s="275"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75" t="str">
        <f>IF(ISBLANK(INDEX('Policy Characteristics'!K:K,MATCH($C159,'Policy Characteristics'!$C:$C,0))),"",INDEX('Policy Characteristics'!K:K,MATCH($C159,'Policy Characteristics'!$C:$C,0)))</f>
        <v>transportation-sector-main.html#fuel-econ-std</v>
      </c>
      <c r="R159" s="275" t="str">
        <f>IF(ISBLANK(INDEX('Policy Characteristics'!L:L,MATCH($C159,'Policy Characteristics'!$C:$C,0))),"",INDEX('Policy Characteristics'!L:L,MATCH($C159,'Policy Characteristics'!$C:$C,0)))</f>
        <v>fuel-economy-standard.html</v>
      </c>
    </row>
    <row r="160" spans="1:18" s="2" customFormat="1" x14ac:dyDescent="0.25">
      <c r="A160" s="275" t="str">
        <f>IF(ISBLANK(INDEX('Policy Characteristics'!A:A,MATCH($C160,'Policy Characteristics'!$C:$C,0))),"",INDEX('Policy Characteristics'!A:A,MATCH($C160,'Policy Characteristics'!$C:$C,0)))</f>
        <v>Transportation</v>
      </c>
      <c r="B160" s="284" t="str">
        <f>IF(ISBLANK(INDEX('Policy Characteristics'!B:B,MATCH($C160,'Policy Characteristics'!$C:$C,0))),"",INDEX('Policy Characteristics'!B:B,MATCH($C160,'Policy Characteristics'!$C:$C,0)))</f>
        <v>Low Carbon Fuel Standard</v>
      </c>
      <c r="C160" s="339" t="s">
        <v>466</v>
      </c>
      <c r="D160" s="47"/>
      <c r="E160" s="47"/>
      <c r="F160" s="47"/>
      <c r="G160" s="47"/>
      <c r="H160" s="49">
        <v>190</v>
      </c>
      <c r="I160" s="346" t="s">
        <v>43</v>
      </c>
      <c r="J160" s="276" t="str">
        <f>IF(ISBLANK(INDEX('Policy Characteristics'!D:D,MATCH($C160,'Policy Characteristics'!$C:$C,0))),"",INDEX('Policy Characteristics'!D:D,MATCH($C160,'Policy Characteristics'!$C:$C,0)))</f>
        <v>Low Carbon Fuel Standard</v>
      </c>
      <c r="K160" s="275" t="str">
        <f>IF(ISBLANK(INDEX('Policy Characteristics'!E:E,MATCH($C160,'Policy Characteristics'!$C:$C,0))),"",INDEX('Policy Characteristics'!E:E,MATCH($C160,'Policy Characteristics'!$C:$C,0)))</f>
        <v>trans LCFS</v>
      </c>
      <c r="L160" s="283">
        <f>IF(ISBLANK(INDEX('Policy Characteristics'!F:F,MATCH($C160,'Policy Characteristics'!$C:$C,0))),"",INDEX('Policy Characteristics'!F:F,MATCH($C160,'Policy Characteristics'!$C:$C,0)))</f>
        <v>0</v>
      </c>
      <c r="M160" s="283">
        <f>IF(ISBLANK(INDEX('Policy Characteristics'!G:G,MATCH($C160,'Policy Characteristics'!$C:$C,0))),"",INDEX('Policy Characteristics'!G:G,MATCH($C160,'Policy Characteristics'!$C:$C,0)))</f>
        <v>1</v>
      </c>
      <c r="N160" s="283">
        <f>IF(ISBLANK(INDEX('Policy Characteristics'!H:H,MATCH($C160,'Policy Characteristics'!$C:$C,0))),"",INDEX('Policy Characteristics'!H:H,MATCH($C160,'Policy Characteristics'!$C:$C,0)))</f>
        <v>0.01</v>
      </c>
      <c r="O160" s="275" t="str">
        <f>IF(ISBLANK(INDEX('Policy Characteristics'!I:I,MATCH($C160,'Policy Characteristics'!$C:$C,0))),"",INDEX('Policy Characteristics'!I:I,MATCH($C160,'Policy Characteristics'!$C:$C,0)))</f>
        <v>% reduction in carbon emissions</v>
      </c>
      <c r="P160" s="275"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This value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75" t="str">
        <f>IF(ISBLANK(INDEX('Policy Characteristics'!K:K,MATCH($C160,'Policy Characteristics'!$C:$C,0))),"",INDEX('Policy Characteristics'!K:K,MATCH($C160,'Policy Characteristics'!$C:$C,0)))</f>
        <v>transportation-sector-main.html#lcfs</v>
      </c>
      <c r="R160" s="275" t="str">
        <f>IF(ISBLANK(INDEX('Policy Characteristics'!L:L,MATCH($C160,'Policy Characteristics'!$C:$C,0))),"",INDEX('Policy Characteristics'!L:L,MATCH($C160,'Policy Characteristics'!$C:$C,0)))</f>
        <v>low-carbon-fuel-standard.html</v>
      </c>
    </row>
    <row r="161" spans="1:18" s="2" customFormat="1" x14ac:dyDescent="0.25">
      <c r="A161" s="275" t="str">
        <f>IF(ISBLANK(INDEX('Policy Characteristics'!A:A,MATCH($C161,'Policy Characteristics'!$C:$C,0))),"",INDEX('Policy Characteristics'!A:A,MATCH($C161,'Policy Characteristics'!$C:$C,0)))</f>
        <v>Transportation</v>
      </c>
      <c r="B161" s="284" t="str">
        <f>IF(ISBLANK(INDEX('Policy Characteristics'!B:B,MATCH($C161,'Policy Characteristics'!$C:$C,0))),"",INDEX('Policy Characteristics'!B:B,MATCH($C161,'Policy Characteristics'!$C:$C,0)))</f>
        <v>Non-BAU LCFS-Qualifying Vehicles</v>
      </c>
      <c r="C161" s="1" t="s">
        <v>3741</v>
      </c>
      <c r="D161" s="47"/>
      <c r="E161" s="47"/>
      <c r="F161" s="47"/>
      <c r="G161" s="47"/>
      <c r="H161" s="49">
        <v>2284</v>
      </c>
      <c r="I161" s="346" t="s">
        <v>43</v>
      </c>
      <c r="J161" s="276" t="str">
        <f>IF(ISBLANK(INDEX('Policy Characteristics'!D:D,MATCH($C161,'Policy Characteristics'!$C:$C,0))),"",INDEX('Policy Characteristics'!D:D,MATCH($C161,'Policy Characteristics'!$C:$C,0)))</f>
        <v>Low Carbon Fuel Standard</v>
      </c>
      <c r="K161" s="275" t="str">
        <f>IF(ISBLANK(INDEX('Policy Characteristics'!E:E,MATCH($C161,'Policy Characteristics'!$C:$C,0))),"",INDEX('Policy Characteristics'!E:E,MATCH($C161,'Policy Characteristics'!$C:$C,0)))</f>
        <v>trans LCFS vehicles</v>
      </c>
      <c r="L161" s="283">
        <f>IF(ISBLANK(INDEX('Policy Characteristics'!F:F,MATCH($C161,'Policy Characteristics'!$C:$C,0))),"",INDEX('Policy Characteristics'!F:F,MATCH($C161,'Policy Characteristics'!$C:$C,0)))</f>
        <v>0</v>
      </c>
      <c r="M161" s="283">
        <f>IF(ISBLANK(INDEX('Policy Characteristics'!G:G,MATCH($C161,'Policy Characteristics'!$C:$C,0))),"",INDEX('Policy Characteristics'!G:G,MATCH($C161,'Policy Characteristics'!$C:$C,0)))</f>
        <v>1</v>
      </c>
      <c r="N161" s="283">
        <f>IF(ISBLANK(INDEX('Policy Characteristics'!H:H,MATCH($C161,'Policy Characteristics'!$C:$C,0))),"",INDEX('Policy Characteristics'!H:H,MATCH($C161,'Policy Characteristics'!$C:$C,0)))</f>
        <v>1</v>
      </c>
      <c r="O161" s="275" t="str">
        <f>IF(ISBLANK(INDEX('Policy Characteristics'!I:I,MATCH($C161,'Policy Characteristics'!$C:$C,0))),"",INDEX('Policy Characteristics'!I:I,MATCH($C161,'Policy Characteristics'!$C:$C,0)))</f>
        <v>on/off</v>
      </c>
      <c r="P161" s="275"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75" t="str">
        <f>IF(ISBLANK(INDEX('Policy Characteristics'!K:K,MATCH($C161,'Policy Characteristics'!$C:$C,0))),"",INDEX('Policy Characteristics'!K:K,MATCH($C161,'Policy Characteristics'!$C:$C,0)))</f>
        <v>transportation-sector-main.html#lcfs</v>
      </c>
      <c r="R161" s="275" t="str">
        <f>IF(ISBLANK(INDEX('Policy Characteristics'!L:L,MATCH($C161,'Policy Characteristics'!$C:$C,0))),"",INDEX('Policy Characteristics'!L:L,MATCH($C161,'Policy Characteristics'!$C:$C,0)))</f>
        <v>low-carbon-fuel-standard.html</v>
      </c>
    </row>
    <row r="162" spans="1:18" x14ac:dyDescent="0.25">
      <c r="A162" s="275" t="str">
        <f>IF(ISBLANK(INDEX('Policy Characteristics'!A:A,MATCH($C162,'Policy Characteristics'!$C:$C,0))),"",INDEX('Policy Characteristics'!A:A,MATCH($C162,'Policy Characteristics'!$C:$C,0)))</f>
        <v>Transportation</v>
      </c>
      <c r="B162" s="284" t="str">
        <f>IF(ISBLANK(INDEX('Policy Characteristics'!B:B,MATCH($C162,'Policy Characteristics'!$C:$C,0))),"",INDEX('Policy Characteristics'!B:B,MATCH($C162,'Policy Characteristics'!$C:$C,0)))</f>
        <v>Mode Shifting</v>
      </c>
      <c r="C162" t="s">
        <v>2995</v>
      </c>
      <c r="D162" s="47" t="s">
        <v>45</v>
      </c>
      <c r="E162" s="47" t="s">
        <v>37</v>
      </c>
      <c r="F162" s="47" t="s">
        <v>84</v>
      </c>
      <c r="G162" s="2" t="s">
        <v>3314</v>
      </c>
      <c r="H162" s="44">
        <v>848</v>
      </c>
      <c r="I162" s="346" t="s">
        <v>43</v>
      </c>
      <c r="J162" s="276" t="str">
        <f>IF(ISBLANK(INDEX('Policy Characteristics'!D:D,MATCH($C162,'Policy Characteristics'!$C:$C,0))),"",INDEX('Policy Characteristics'!D:D,MATCH($C162,'Policy Characteristics'!$C:$C,0)))</f>
        <v>Mode Shifting</v>
      </c>
      <c r="K162" s="275" t="str">
        <f>IF(ISBLANK(INDEX('Policy Characteristics'!E:E,MATCH($C162,'Policy Characteristics'!$C:$C,0))),"",INDEX('Policy Characteristics'!E:E,MATCH($C162,'Policy Characteristics'!$C:$C,0)))</f>
        <v>trans mode shifting</v>
      </c>
      <c r="L162" s="283">
        <f>IF(ISBLANK(INDEX('Policy Characteristics'!F:F,MATCH($C162,'Policy Characteristics'!$C:$C,0))),"",INDEX('Policy Characteristics'!F:F,MATCH($C162,'Policy Characteristics'!$C:$C,0)))</f>
        <v>0</v>
      </c>
      <c r="M162" s="283">
        <f>IF(ISBLANK(INDEX('Policy Characteristics'!G:G,MATCH($C162,'Policy Characteristics'!$C:$C,0))),"",INDEX('Policy Characteristics'!G:G,MATCH($C162,'Policy Characteristics'!$C:$C,0)))</f>
        <v>0.26</v>
      </c>
      <c r="N162" s="283">
        <f>IF(ISBLANK(INDEX('Policy Characteristics'!H:H,MATCH($C162,'Policy Characteristics'!$C:$C,0))),"",INDEX('Policy Characteristics'!H:H,MATCH($C162,'Policy Characteristics'!$C:$C,0)))</f>
        <v>0.01</v>
      </c>
      <c r="O162" s="275" t="str">
        <f>IF(ISBLANK(INDEX('Policy Characteristics'!I:I,MATCH($C162,'Policy Characteristics'!$C:$C,0))),"",INDEX('Policy Characteristics'!I:I,MATCH($C162,'Policy Characteristics'!$C:$C,0)))</f>
        <v>% of trips shifted</v>
      </c>
      <c r="P162" s="275"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75" t="str">
        <f>IF(ISBLANK(INDEX('Policy Characteristics'!K:K,MATCH($C162,'Policy Characteristics'!$C:$C,0))),"",INDEX('Policy Characteristics'!K:K,MATCH($C162,'Policy Characteristics'!$C:$C,0)))</f>
        <v>transportation-sector-main.html#tdm</v>
      </c>
      <c r="R162" s="275" t="str">
        <f>IF(ISBLANK(INDEX('Policy Characteristics'!L:L,MATCH($C162,'Policy Characteristics'!$C:$C,0))),"",INDEX('Policy Characteristics'!L:L,MATCH($C162,'Policy Characteristics'!$C:$C,0)))</f>
        <v>transportation-demand-management.html</v>
      </c>
    </row>
    <row r="163" spans="1:18" x14ac:dyDescent="0.25">
      <c r="A163" s="275" t="str">
        <f>IF(ISBLANK(INDEX('Policy Characteristics'!A:A,MATCH($C163,'Policy Characteristics'!$C:$C,0))),"",INDEX('Policy Characteristics'!A:A,MATCH($C163,'Policy Characteristics'!$C:$C,0)))</f>
        <v>Transportation</v>
      </c>
      <c r="B163" s="284" t="str">
        <f>IF(ISBLANK(INDEX('Policy Characteristics'!B:B,MATCH($C163,'Policy Characteristics'!$C:$C,0))),"",INDEX('Policy Characteristics'!B:B,MATCH($C163,'Policy Characteristics'!$C:$C,0)))</f>
        <v>Mode Shifting</v>
      </c>
      <c r="C163" s="275" t="str">
        <f t="shared" ref="C163:C173" si="8">C$162</f>
        <v>Percent of Travel Demand Shifted to Other Modes or Eliminated</v>
      </c>
      <c r="D163" s="47" t="s">
        <v>45</v>
      </c>
      <c r="E163" s="47" t="s">
        <v>38</v>
      </c>
      <c r="F163" s="47" t="s">
        <v>84</v>
      </c>
      <c r="G163" s="2" t="s">
        <v>2346</v>
      </c>
      <c r="H163" s="44">
        <v>849</v>
      </c>
      <c r="I163" s="347" t="s">
        <v>44</v>
      </c>
      <c r="J163" s="276" t="str">
        <f>IF(ISBLANK(INDEX('Policy Characteristics'!D:D,MATCH($C163,'Policy Characteristics'!$C:$C,0))),"",INDEX('Policy Characteristics'!D:D,MATCH($C163,'Policy Characteristics'!$C:$C,0)))</f>
        <v>Mode Shifting</v>
      </c>
      <c r="K163" s="275" t="str">
        <f>IF(ISBLANK(INDEX('Policy Characteristics'!E:E,MATCH($C163,'Policy Characteristics'!$C:$C,0))),"",INDEX('Policy Characteristics'!E:E,MATCH($C163,'Policy Characteristics'!$C:$C,0)))</f>
        <v>trans mode shifting</v>
      </c>
      <c r="L163" s="283">
        <f>IF(ISBLANK(INDEX('Policy Characteristics'!F:F,MATCH($C163,'Policy Characteristics'!$C:$C,0))),"",INDEX('Policy Characteristics'!F:F,MATCH($C163,'Policy Characteristics'!$C:$C,0)))</f>
        <v>0</v>
      </c>
      <c r="M163" s="283">
        <f>IF(ISBLANK(INDEX('Policy Characteristics'!G:G,MATCH($C163,'Policy Characteristics'!$C:$C,0))),"",INDEX('Policy Characteristics'!G:G,MATCH($C163,'Policy Characteristics'!$C:$C,0)))</f>
        <v>0.26</v>
      </c>
      <c r="N163" s="283">
        <f>IF(ISBLANK(INDEX('Policy Characteristics'!H:H,MATCH($C163,'Policy Characteristics'!$C:$C,0))),"",INDEX('Policy Characteristics'!H:H,MATCH($C163,'Policy Characteristics'!$C:$C,0)))</f>
        <v>0.01</v>
      </c>
      <c r="O163" s="275" t="str">
        <f>IF(ISBLANK(INDEX('Policy Characteristics'!I:I,MATCH($C163,'Policy Characteristics'!$C:$C,0))),"",INDEX('Policy Characteristics'!I:I,MATCH($C163,'Policy Characteristics'!$C:$C,0)))</f>
        <v>% of trips shifted</v>
      </c>
      <c r="P163" s="275"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75" t="str">
        <f>IF(ISBLANK(INDEX('Policy Characteristics'!K:K,MATCH($C163,'Policy Characteristics'!$C:$C,0))),"",INDEX('Policy Characteristics'!K:K,MATCH($C163,'Policy Characteristics'!$C:$C,0)))</f>
        <v>transportation-sector-main.html#tdm</v>
      </c>
      <c r="R163" s="275" t="str">
        <f>IF(ISBLANK(INDEX('Policy Characteristics'!L:L,MATCH($C163,'Policy Characteristics'!$C:$C,0))),"",INDEX('Policy Characteristics'!L:L,MATCH($C163,'Policy Characteristics'!$C:$C,0)))</f>
        <v>transportation-demand-management.html</v>
      </c>
    </row>
    <row r="164" spans="1:18" x14ac:dyDescent="0.25">
      <c r="A164" s="275" t="str">
        <f>IF(ISBLANK(INDEX('Policy Characteristics'!A:A,MATCH($C164,'Policy Characteristics'!$C:$C,0))),"",INDEX('Policy Characteristics'!A:A,MATCH($C164,'Policy Characteristics'!$C:$C,0)))</f>
        <v>Transportation</v>
      </c>
      <c r="B164" s="284" t="str">
        <f>IF(ISBLANK(INDEX('Policy Characteristics'!B:B,MATCH($C164,'Policy Characteristics'!$C:$C,0))),"",INDEX('Policy Characteristics'!B:B,MATCH($C164,'Policy Characteristics'!$C:$C,0)))</f>
        <v>Mode Shifting</v>
      </c>
      <c r="C164" s="275" t="str">
        <f t="shared" si="8"/>
        <v>Percent of Travel Demand Shifted to Other Modes or Eliminated</v>
      </c>
      <c r="D164" s="47" t="s">
        <v>45</v>
      </c>
      <c r="E164" s="47" t="s">
        <v>39</v>
      </c>
      <c r="F164" s="47" t="s">
        <v>84</v>
      </c>
      <c r="G164" s="2" t="s">
        <v>3311</v>
      </c>
      <c r="H164" s="44">
        <v>850</v>
      </c>
      <c r="I164" s="346" t="s">
        <v>43</v>
      </c>
      <c r="J164" s="276" t="str">
        <f>IF(ISBLANK(INDEX('Policy Characteristics'!D:D,MATCH($C164,'Policy Characteristics'!$C:$C,0))),"",INDEX('Policy Characteristics'!D:D,MATCH($C164,'Policy Characteristics'!$C:$C,0)))</f>
        <v>Mode Shifting</v>
      </c>
      <c r="K164" s="275" t="str">
        <f>IF(ISBLANK(INDEX('Policy Characteristics'!E:E,MATCH($C164,'Policy Characteristics'!$C:$C,0))),"",INDEX('Policy Characteristics'!E:E,MATCH($C164,'Policy Characteristics'!$C:$C,0)))</f>
        <v>trans mode shifting</v>
      </c>
      <c r="L164" s="283">
        <f>IF(ISBLANK(INDEX('Policy Characteristics'!F:F,MATCH($C164,'Policy Characteristics'!$C:$C,0))),"",INDEX('Policy Characteristics'!F:F,MATCH($C164,'Policy Characteristics'!$C:$C,0)))</f>
        <v>0</v>
      </c>
      <c r="M164" s="283">
        <f>IF(ISBLANK(INDEX('Policy Characteristics'!G:G,MATCH($C164,'Policy Characteristics'!$C:$C,0))),"",INDEX('Policy Characteristics'!G:G,MATCH($C164,'Policy Characteristics'!$C:$C,0)))</f>
        <v>0.26</v>
      </c>
      <c r="N164" s="283">
        <f>IF(ISBLANK(INDEX('Policy Characteristics'!H:H,MATCH($C164,'Policy Characteristics'!$C:$C,0))),"",INDEX('Policy Characteristics'!H:H,MATCH($C164,'Policy Characteristics'!$C:$C,0)))</f>
        <v>0.01</v>
      </c>
      <c r="O164" s="275" t="str">
        <f>IF(ISBLANK(INDEX('Policy Characteristics'!I:I,MATCH($C164,'Policy Characteristics'!$C:$C,0))),"",INDEX('Policy Characteristics'!I:I,MATCH($C164,'Policy Characteristics'!$C:$C,0)))</f>
        <v>% of trips shifted</v>
      </c>
      <c r="P164" s="275"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75" t="str">
        <f>IF(ISBLANK(INDEX('Policy Characteristics'!K:K,MATCH($C164,'Policy Characteristics'!$C:$C,0))),"",INDEX('Policy Characteristics'!K:K,MATCH($C164,'Policy Characteristics'!$C:$C,0)))</f>
        <v>transportation-sector-main.html#tdm</v>
      </c>
      <c r="R164" s="275" t="str">
        <f>IF(ISBLANK(INDEX('Policy Characteristics'!L:L,MATCH($C164,'Policy Characteristics'!$C:$C,0))),"",INDEX('Policy Characteristics'!L:L,MATCH($C164,'Policy Characteristics'!$C:$C,0)))</f>
        <v>transportation-demand-management.html</v>
      </c>
    </row>
    <row r="165" spans="1:18" x14ac:dyDescent="0.25">
      <c r="A165" s="275" t="str">
        <f>IF(ISBLANK(INDEX('Policy Characteristics'!A:A,MATCH($C165,'Policy Characteristics'!$C:$C,0))),"",INDEX('Policy Characteristics'!A:A,MATCH($C165,'Policy Characteristics'!$C:$C,0)))</f>
        <v>Transportation</v>
      </c>
      <c r="B165" s="284" t="str">
        <f>IF(ISBLANK(INDEX('Policy Characteristics'!B:B,MATCH($C165,'Policy Characteristics'!$C:$C,0))),"",INDEX('Policy Characteristics'!B:B,MATCH($C165,'Policy Characteristics'!$C:$C,0)))</f>
        <v>Mode Shifting</v>
      </c>
      <c r="C165" s="275" t="str">
        <f t="shared" si="8"/>
        <v>Percent of Travel Demand Shifted to Other Modes or Eliminated</v>
      </c>
      <c r="D165" s="47" t="s">
        <v>45</v>
      </c>
      <c r="E165" s="47" t="s">
        <v>40</v>
      </c>
      <c r="F165" s="47" t="s">
        <v>84</v>
      </c>
      <c r="G165" s="47" t="s">
        <v>86</v>
      </c>
      <c r="H165" s="44">
        <v>851</v>
      </c>
      <c r="I165" s="347" t="s">
        <v>44</v>
      </c>
      <c r="J165" s="276" t="str">
        <f>IF(ISBLANK(INDEX('Policy Characteristics'!D:D,MATCH($C165,'Policy Characteristics'!$C:$C,0))),"",INDEX('Policy Characteristics'!D:D,MATCH($C165,'Policy Characteristics'!$C:$C,0)))</f>
        <v>Mode Shifting</v>
      </c>
      <c r="K165" s="275" t="str">
        <f>IF(ISBLANK(INDEX('Policy Characteristics'!E:E,MATCH($C165,'Policy Characteristics'!$C:$C,0))),"",INDEX('Policy Characteristics'!E:E,MATCH($C165,'Policy Characteristics'!$C:$C,0)))</f>
        <v>trans mode shifting</v>
      </c>
      <c r="L165" s="283">
        <f>IF(ISBLANK(INDEX('Policy Characteristics'!F:F,MATCH($C165,'Policy Characteristics'!$C:$C,0))),"",INDEX('Policy Characteristics'!F:F,MATCH($C165,'Policy Characteristics'!$C:$C,0)))</f>
        <v>0</v>
      </c>
      <c r="M165" s="283">
        <f>IF(ISBLANK(INDEX('Policy Characteristics'!G:G,MATCH($C165,'Policy Characteristics'!$C:$C,0))),"",INDEX('Policy Characteristics'!G:G,MATCH($C165,'Policy Characteristics'!$C:$C,0)))</f>
        <v>0.26</v>
      </c>
      <c r="N165" s="283">
        <f>IF(ISBLANK(INDEX('Policy Characteristics'!H:H,MATCH($C165,'Policy Characteristics'!$C:$C,0))),"",INDEX('Policy Characteristics'!H:H,MATCH($C165,'Policy Characteristics'!$C:$C,0)))</f>
        <v>0.01</v>
      </c>
      <c r="O165" s="275" t="str">
        <f>IF(ISBLANK(INDEX('Policy Characteristics'!I:I,MATCH($C165,'Policy Characteristics'!$C:$C,0))),"",INDEX('Policy Characteristics'!I:I,MATCH($C165,'Policy Characteristics'!$C:$C,0)))</f>
        <v>% of trips shifted</v>
      </c>
      <c r="P165" s="275"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75" t="str">
        <f>IF(ISBLANK(INDEX('Policy Characteristics'!K:K,MATCH($C165,'Policy Characteristics'!$C:$C,0))),"",INDEX('Policy Characteristics'!K:K,MATCH($C165,'Policy Characteristics'!$C:$C,0)))</f>
        <v>transportation-sector-main.html#tdm</v>
      </c>
      <c r="R165" s="275" t="str">
        <f>IF(ISBLANK(INDEX('Policy Characteristics'!L:L,MATCH($C165,'Policy Characteristics'!$C:$C,0))),"",INDEX('Policy Characteristics'!L:L,MATCH($C165,'Policy Characteristics'!$C:$C,0)))</f>
        <v>transportation-demand-management.html</v>
      </c>
    </row>
    <row r="166" spans="1:18" x14ac:dyDescent="0.25">
      <c r="A166" s="275" t="str">
        <f>IF(ISBLANK(INDEX('Policy Characteristics'!A:A,MATCH($C166,'Policy Characteristics'!$C:$C,0))),"",INDEX('Policy Characteristics'!A:A,MATCH($C166,'Policy Characteristics'!$C:$C,0)))</f>
        <v>Transportation</v>
      </c>
      <c r="B166" s="284" t="str">
        <f>IF(ISBLANK(INDEX('Policy Characteristics'!B:B,MATCH($C166,'Policy Characteristics'!$C:$C,0))),"",INDEX('Policy Characteristics'!B:B,MATCH($C166,'Policy Characteristics'!$C:$C,0)))</f>
        <v>Mode Shifting</v>
      </c>
      <c r="C166" s="275" t="str">
        <f t="shared" si="8"/>
        <v>Percent of Travel Demand Shifted to Other Modes or Eliminated</v>
      </c>
      <c r="D166" s="47" t="s">
        <v>45</v>
      </c>
      <c r="E166" s="47" t="s">
        <v>41</v>
      </c>
      <c r="F166" s="47" t="s">
        <v>84</v>
      </c>
      <c r="G166" s="2" t="s">
        <v>3312</v>
      </c>
      <c r="H166" s="44">
        <v>852</v>
      </c>
      <c r="I166" s="347" t="s">
        <v>44</v>
      </c>
      <c r="J166" s="276" t="str">
        <f>IF(ISBLANK(INDEX('Policy Characteristics'!D:D,MATCH($C166,'Policy Characteristics'!$C:$C,0))),"",INDEX('Policy Characteristics'!D:D,MATCH($C166,'Policy Characteristics'!$C:$C,0)))</f>
        <v>Mode Shifting</v>
      </c>
      <c r="K166" s="275" t="str">
        <f>IF(ISBLANK(INDEX('Policy Characteristics'!E:E,MATCH($C166,'Policy Characteristics'!$C:$C,0))),"",INDEX('Policy Characteristics'!E:E,MATCH($C166,'Policy Characteristics'!$C:$C,0)))</f>
        <v>trans mode shifting</v>
      </c>
      <c r="L166" s="283">
        <f>IF(ISBLANK(INDEX('Policy Characteristics'!F:F,MATCH($C166,'Policy Characteristics'!$C:$C,0))),"",INDEX('Policy Characteristics'!F:F,MATCH($C166,'Policy Characteristics'!$C:$C,0)))</f>
        <v>0</v>
      </c>
      <c r="M166" s="283">
        <f>IF(ISBLANK(INDEX('Policy Characteristics'!G:G,MATCH($C166,'Policy Characteristics'!$C:$C,0))),"",INDEX('Policy Characteristics'!G:G,MATCH($C166,'Policy Characteristics'!$C:$C,0)))</f>
        <v>0.26</v>
      </c>
      <c r="N166" s="283">
        <f>IF(ISBLANK(INDEX('Policy Characteristics'!H:H,MATCH($C166,'Policy Characteristics'!$C:$C,0))),"",INDEX('Policy Characteristics'!H:H,MATCH($C166,'Policy Characteristics'!$C:$C,0)))</f>
        <v>0.01</v>
      </c>
      <c r="O166" s="275" t="str">
        <f>IF(ISBLANK(INDEX('Policy Characteristics'!I:I,MATCH($C166,'Policy Characteristics'!$C:$C,0))),"",INDEX('Policy Characteristics'!I:I,MATCH($C166,'Policy Characteristics'!$C:$C,0)))</f>
        <v>% of trips shifted</v>
      </c>
      <c r="P166" s="275"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75" t="str">
        <f>IF(ISBLANK(INDEX('Policy Characteristics'!K:K,MATCH($C166,'Policy Characteristics'!$C:$C,0))),"",INDEX('Policy Characteristics'!K:K,MATCH($C166,'Policy Characteristics'!$C:$C,0)))</f>
        <v>transportation-sector-main.html#tdm</v>
      </c>
      <c r="R166" s="275" t="str">
        <f>IF(ISBLANK(INDEX('Policy Characteristics'!L:L,MATCH($C166,'Policy Characteristics'!$C:$C,0))),"",INDEX('Policy Characteristics'!L:L,MATCH($C166,'Policy Characteristics'!$C:$C,0)))</f>
        <v>transportation-demand-management.html</v>
      </c>
    </row>
    <row r="167" spans="1:18" x14ac:dyDescent="0.25">
      <c r="A167" s="275" t="str">
        <f>IF(ISBLANK(INDEX('Policy Characteristics'!A:A,MATCH($C167,'Policy Characteristics'!$C:$C,0))),"",INDEX('Policy Characteristics'!A:A,MATCH($C167,'Policy Characteristics'!$C:$C,0)))</f>
        <v>Transportation</v>
      </c>
      <c r="B167" s="284" t="str">
        <f>IF(ISBLANK(INDEX('Policy Characteristics'!B:B,MATCH($C167,'Policy Characteristics'!$C:$C,0))),"",INDEX('Policy Characteristics'!B:B,MATCH($C167,'Policy Characteristics'!$C:$C,0)))</f>
        <v>Mode Shifting</v>
      </c>
      <c r="C167" s="275" t="str">
        <f t="shared" si="8"/>
        <v>Percent of Travel Demand Shifted to Other Modes or Eliminated</v>
      </c>
      <c r="D167" s="47" t="s">
        <v>45</v>
      </c>
      <c r="E167" s="47" t="s">
        <v>113</v>
      </c>
      <c r="F167" s="47" t="s">
        <v>84</v>
      </c>
      <c r="G167" s="47" t="s">
        <v>144</v>
      </c>
      <c r="H167" s="44">
        <v>853</v>
      </c>
      <c r="I167" s="347" t="s">
        <v>44</v>
      </c>
      <c r="J167" s="276" t="str">
        <f>IF(ISBLANK(INDEX('Policy Characteristics'!D:D,MATCH($C167,'Policy Characteristics'!$C:$C,0))),"",INDEX('Policy Characteristics'!D:D,MATCH($C167,'Policy Characteristics'!$C:$C,0)))</f>
        <v>Mode Shifting</v>
      </c>
      <c r="K167" s="275" t="str">
        <f>IF(ISBLANK(INDEX('Policy Characteristics'!E:E,MATCH($C167,'Policy Characteristics'!$C:$C,0))),"",INDEX('Policy Characteristics'!E:E,MATCH($C167,'Policy Characteristics'!$C:$C,0)))</f>
        <v>trans mode shifting</v>
      </c>
      <c r="L167" s="283">
        <f>IF(ISBLANK(INDEX('Policy Characteristics'!F:F,MATCH($C167,'Policy Characteristics'!$C:$C,0))),"",INDEX('Policy Characteristics'!F:F,MATCH($C167,'Policy Characteristics'!$C:$C,0)))</f>
        <v>0</v>
      </c>
      <c r="M167" s="283">
        <f>IF(ISBLANK(INDEX('Policy Characteristics'!G:G,MATCH($C167,'Policy Characteristics'!$C:$C,0))),"",INDEX('Policy Characteristics'!G:G,MATCH($C167,'Policy Characteristics'!$C:$C,0)))</f>
        <v>0.26</v>
      </c>
      <c r="N167" s="283">
        <f>IF(ISBLANK(INDEX('Policy Characteristics'!H:H,MATCH($C167,'Policy Characteristics'!$C:$C,0))),"",INDEX('Policy Characteristics'!H:H,MATCH($C167,'Policy Characteristics'!$C:$C,0)))</f>
        <v>0.01</v>
      </c>
      <c r="O167" s="275" t="str">
        <f>IF(ISBLANK(INDEX('Policy Characteristics'!I:I,MATCH($C167,'Policy Characteristics'!$C:$C,0))),"",INDEX('Policy Characteristics'!I:I,MATCH($C167,'Policy Characteristics'!$C:$C,0)))</f>
        <v>% of trips shifted</v>
      </c>
      <c r="P167" s="275"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75" t="str">
        <f>IF(ISBLANK(INDEX('Policy Characteristics'!K:K,MATCH($C167,'Policy Characteristics'!$C:$C,0))),"",INDEX('Policy Characteristics'!K:K,MATCH($C167,'Policy Characteristics'!$C:$C,0)))</f>
        <v>transportation-sector-main.html#tdm</v>
      </c>
      <c r="R167" s="275" t="str">
        <f>IF(ISBLANK(INDEX('Policy Characteristics'!L:L,MATCH($C167,'Policy Characteristics'!$C:$C,0))),"",INDEX('Policy Characteristics'!L:L,MATCH($C167,'Policy Characteristics'!$C:$C,0)))</f>
        <v>transportation-demand-management.html</v>
      </c>
    </row>
    <row r="168" spans="1:18" x14ac:dyDescent="0.25">
      <c r="A168" s="275" t="str">
        <f>IF(ISBLANK(INDEX('Policy Characteristics'!A:A,MATCH($C168,'Policy Characteristics'!$C:$C,0))),"",INDEX('Policy Characteristics'!A:A,MATCH($C168,'Policy Characteristics'!$C:$C,0)))</f>
        <v>Transportation</v>
      </c>
      <c r="B168" s="284" t="str">
        <f>IF(ISBLANK(INDEX('Policy Characteristics'!B:B,MATCH($C168,'Policy Characteristics'!$C:$C,0))),"",INDEX('Policy Characteristics'!B:B,MATCH($C168,'Policy Characteristics'!$C:$C,0)))</f>
        <v>Mode Shifting</v>
      </c>
      <c r="C168" s="275" t="str">
        <f t="shared" si="8"/>
        <v>Percent of Travel Demand Shifted to Other Modes or Eliminated</v>
      </c>
      <c r="D168" s="47" t="s">
        <v>42</v>
      </c>
      <c r="E168" s="47" t="s">
        <v>37</v>
      </c>
      <c r="F168" s="47" t="s">
        <v>85</v>
      </c>
      <c r="G168" s="2" t="s">
        <v>3488</v>
      </c>
      <c r="H168" s="44">
        <v>854</v>
      </c>
      <c r="I168" s="347" t="s">
        <v>44</v>
      </c>
      <c r="J168" s="276" t="str">
        <f>IF(ISBLANK(INDEX('Policy Characteristics'!D:D,MATCH($C168,'Policy Characteristics'!$C:$C,0))),"",INDEX('Policy Characteristics'!D:D,MATCH($C168,'Policy Characteristics'!$C:$C,0)))</f>
        <v>Mode Shifting</v>
      </c>
      <c r="K168" s="275" t="str">
        <f>IF(ISBLANK(INDEX('Policy Characteristics'!E:E,MATCH($C168,'Policy Characteristics'!$C:$C,0))),"",INDEX('Policy Characteristics'!E:E,MATCH($C168,'Policy Characteristics'!$C:$C,0)))</f>
        <v>trans mode shifting</v>
      </c>
      <c r="L168" s="283">
        <f>IF(ISBLANK(INDEX('Policy Characteristics'!F:F,MATCH($C168,'Policy Characteristics'!$C:$C,0))),"",INDEX('Policy Characteristics'!F:F,MATCH($C168,'Policy Characteristics'!$C:$C,0)))</f>
        <v>0</v>
      </c>
      <c r="M168" s="283">
        <f>IF(ISBLANK(INDEX('Policy Characteristics'!G:G,MATCH($C168,'Policy Characteristics'!$C:$C,0))),"",INDEX('Policy Characteristics'!G:G,MATCH($C168,'Policy Characteristics'!$C:$C,0)))</f>
        <v>0.26</v>
      </c>
      <c r="N168" s="283">
        <f>IF(ISBLANK(INDEX('Policy Characteristics'!H:H,MATCH($C168,'Policy Characteristics'!$C:$C,0))),"",INDEX('Policy Characteristics'!H:H,MATCH($C168,'Policy Characteristics'!$C:$C,0)))</f>
        <v>0.01</v>
      </c>
      <c r="O168" s="275" t="str">
        <f>IF(ISBLANK(INDEX('Policy Characteristics'!I:I,MATCH($C168,'Policy Characteristics'!$C:$C,0))),"",INDEX('Policy Characteristics'!I:I,MATCH($C168,'Policy Characteristics'!$C:$C,0)))</f>
        <v>% of trips shifted</v>
      </c>
      <c r="P168" s="275"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75" t="str">
        <f>IF(ISBLANK(INDEX('Policy Characteristics'!K:K,MATCH($C168,'Policy Characteristics'!$C:$C,0))),"",INDEX('Policy Characteristics'!K:K,MATCH($C168,'Policy Characteristics'!$C:$C,0)))</f>
        <v>transportation-sector-main.html#tdm</v>
      </c>
      <c r="R168" s="275" t="str">
        <f>IF(ISBLANK(INDEX('Policy Characteristics'!L:L,MATCH($C168,'Policy Characteristics'!$C:$C,0))),"",INDEX('Policy Characteristics'!L:L,MATCH($C168,'Policy Characteristics'!$C:$C,0)))</f>
        <v>transportation-demand-management.html</v>
      </c>
    </row>
    <row r="169" spans="1:18" x14ac:dyDescent="0.25">
      <c r="A169" s="275" t="str">
        <f>IF(ISBLANK(INDEX('Policy Characteristics'!A:A,MATCH($C169,'Policy Characteristics'!$C:$C,0))),"",INDEX('Policy Characteristics'!A:A,MATCH($C169,'Policy Characteristics'!$C:$C,0)))</f>
        <v>Transportation</v>
      </c>
      <c r="B169" s="284" t="str">
        <f>IF(ISBLANK(INDEX('Policy Characteristics'!B:B,MATCH($C169,'Policy Characteristics'!$C:$C,0))),"",INDEX('Policy Characteristics'!B:B,MATCH($C169,'Policy Characteristics'!$C:$C,0)))</f>
        <v>Mode Shifting</v>
      </c>
      <c r="C169" s="275" t="str">
        <f t="shared" si="8"/>
        <v>Percent of Travel Demand Shifted to Other Modes or Eliminated</v>
      </c>
      <c r="D169" s="47" t="s">
        <v>42</v>
      </c>
      <c r="E169" s="47" t="s">
        <v>38</v>
      </c>
      <c r="F169" s="47" t="s">
        <v>85</v>
      </c>
      <c r="G169" s="2" t="s">
        <v>3484</v>
      </c>
      <c r="H169" s="44">
        <v>855</v>
      </c>
      <c r="I169" s="346" t="s">
        <v>43</v>
      </c>
      <c r="J169" s="276" t="str">
        <f>IF(ISBLANK(INDEX('Policy Characteristics'!D:D,MATCH($C169,'Policy Characteristics'!$C:$C,0))),"",INDEX('Policy Characteristics'!D:D,MATCH($C169,'Policy Characteristics'!$C:$C,0)))</f>
        <v>Mode Shifting</v>
      </c>
      <c r="K169" s="275" t="str">
        <f>IF(ISBLANK(INDEX('Policy Characteristics'!E:E,MATCH($C169,'Policy Characteristics'!$C:$C,0))),"",INDEX('Policy Characteristics'!E:E,MATCH($C169,'Policy Characteristics'!$C:$C,0)))</f>
        <v>trans mode shifting</v>
      </c>
      <c r="L169" s="283">
        <f>IF(ISBLANK(INDEX('Policy Characteristics'!F:F,MATCH($C169,'Policy Characteristics'!$C:$C,0))),"",INDEX('Policy Characteristics'!F:F,MATCH($C169,'Policy Characteristics'!$C:$C,0)))</f>
        <v>0</v>
      </c>
      <c r="M169" s="283">
        <f>IF(ISBLANK(INDEX('Policy Characteristics'!G:G,MATCH($C169,'Policy Characteristics'!$C:$C,0))),"",INDEX('Policy Characteristics'!G:G,MATCH($C169,'Policy Characteristics'!$C:$C,0)))</f>
        <v>0.26</v>
      </c>
      <c r="N169" s="283">
        <f>IF(ISBLANK(INDEX('Policy Characteristics'!H:H,MATCH($C169,'Policy Characteristics'!$C:$C,0))),"",INDEX('Policy Characteristics'!H:H,MATCH($C169,'Policy Characteristics'!$C:$C,0)))</f>
        <v>0.01</v>
      </c>
      <c r="O169" s="275" t="str">
        <f>IF(ISBLANK(INDEX('Policy Characteristics'!I:I,MATCH($C169,'Policy Characteristics'!$C:$C,0))),"",INDEX('Policy Characteristics'!I:I,MATCH($C169,'Policy Characteristics'!$C:$C,0)))</f>
        <v>% of trips shifted</v>
      </c>
      <c r="P169" s="275"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75" t="str">
        <f>IF(ISBLANK(INDEX('Policy Characteristics'!K:K,MATCH($C169,'Policy Characteristics'!$C:$C,0))),"",INDEX('Policy Characteristics'!K:K,MATCH($C169,'Policy Characteristics'!$C:$C,0)))</f>
        <v>transportation-sector-main.html#tdm</v>
      </c>
      <c r="R169" s="275" t="str">
        <f>IF(ISBLANK(INDEX('Policy Characteristics'!L:L,MATCH($C169,'Policy Characteristics'!$C:$C,0))),"",INDEX('Policy Characteristics'!L:L,MATCH($C169,'Policy Characteristics'!$C:$C,0)))</f>
        <v>transportation-demand-management.html</v>
      </c>
    </row>
    <row r="170" spans="1:18" x14ac:dyDescent="0.25">
      <c r="A170" s="275" t="str">
        <f>IF(ISBLANK(INDEX('Policy Characteristics'!A:A,MATCH($C170,'Policy Characteristics'!$C:$C,0))),"",INDEX('Policy Characteristics'!A:A,MATCH($C170,'Policy Characteristics'!$C:$C,0)))</f>
        <v>Transportation</v>
      </c>
      <c r="B170" s="284" t="str">
        <f>IF(ISBLANK(INDEX('Policy Characteristics'!B:B,MATCH($C170,'Policy Characteristics'!$C:$C,0))),"",INDEX('Policy Characteristics'!B:B,MATCH($C170,'Policy Characteristics'!$C:$C,0)))</f>
        <v>Mode Shifting</v>
      </c>
      <c r="C170" s="275" t="str">
        <f t="shared" si="8"/>
        <v>Percent of Travel Demand Shifted to Other Modes or Eliminated</v>
      </c>
      <c r="D170" s="47" t="s">
        <v>42</v>
      </c>
      <c r="E170" s="47" t="s">
        <v>39</v>
      </c>
      <c r="F170" s="47" t="s">
        <v>85</v>
      </c>
      <c r="G170" s="2" t="s">
        <v>3311</v>
      </c>
      <c r="H170" s="44">
        <v>856</v>
      </c>
      <c r="I170" s="347" t="s">
        <v>44</v>
      </c>
      <c r="J170" s="276" t="str">
        <f>IF(ISBLANK(INDEX('Policy Characteristics'!D:D,MATCH($C170,'Policy Characteristics'!$C:$C,0))),"",INDEX('Policy Characteristics'!D:D,MATCH($C170,'Policy Characteristics'!$C:$C,0)))</f>
        <v>Mode Shifting</v>
      </c>
      <c r="K170" s="275" t="str">
        <f>IF(ISBLANK(INDEX('Policy Characteristics'!E:E,MATCH($C170,'Policy Characteristics'!$C:$C,0))),"",INDEX('Policy Characteristics'!E:E,MATCH($C170,'Policy Characteristics'!$C:$C,0)))</f>
        <v>trans mode shifting</v>
      </c>
      <c r="L170" s="283">
        <f>IF(ISBLANK(INDEX('Policy Characteristics'!F:F,MATCH($C170,'Policy Characteristics'!$C:$C,0))),"",INDEX('Policy Characteristics'!F:F,MATCH($C170,'Policy Characteristics'!$C:$C,0)))</f>
        <v>0</v>
      </c>
      <c r="M170" s="283">
        <f>IF(ISBLANK(INDEX('Policy Characteristics'!G:G,MATCH($C170,'Policy Characteristics'!$C:$C,0))),"",INDEX('Policy Characteristics'!G:G,MATCH($C170,'Policy Characteristics'!$C:$C,0)))</f>
        <v>0.26</v>
      </c>
      <c r="N170" s="283">
        <f>IF(ISBLANK(INDEX('Policy Characteristics'!H:H,MATCH($C170,'Policy Characteristics'!$C:$C,0))),"",INDEX('Policy Characteristics'!H:H,MATCH($C170,'Policy Characteristics'!$C:$C,0)))</f>
        <v>0.01</v>
      </c>
      <c r="O170" s="275" t="str">
        <f>IF(ISBLANK(INDEX('Policy Characteristics'!I:I,MATCH($C170,'Policy Characteristics'!$C:$C,0))),"",INDEX('Policy Characteristics'!I:I,MATCH($C170,'Policy Characteristics'!$C:$C,0)))</f>
        <v>% of trips shifted</v>
      </c>
      <c r="P170" s="275"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75" t="str">
        <f>IF(ISBLANK(INDEX('Policy Characteristics'!K:K,MATCH($C170,'Policy Characteristics'!$C:$C,0))),"",INDEX('Policy Characteristics'!K:K,MATCH($C170,'Policy Characteristics'!$C:$C,0)))</f>
        <v>transportation-sector-main.html#tdm</v>
      </c>
      <c r="R170" s="275" t="str">
        <f>IF(ISBLANK(INDEX('Policy Characteristics'!L:L,MATCH($C170,'Policy Characteristics'!$C:$C,0))),"",INDEX('Policy Characteristics'!L:L,MATCH($C170,'Policy Characteristics'!$C:$C,0)))</f>
        <v>transportation-demand-management.html</v>
      </c>
    </row>
    <row r="171" spans="1:18" x14ac:dyDescent="0.25">
      <c r="A171" s="275" t="str">
        <f>IF(ISBLANK(INDEX('Policy Characteristics'!A:A,MATCH($C171,'Policy Characteristics'!$C:$C,0))),"",INDEX('Policy Characteristics'!A:A,MATCH($C171,'Policy Characteristics'!$C:$C,0)))</f>
        <v>Transportation</v>
      </c>
      <c r="B171" s="284" t="str">
        <f>IF(ISBLANK(INDEX('Policy Characteristics'!B:B,MATCH($C171,'Policy Characteristics'!$C:$C,0))),"",INDEX('Policy Characteristics'!B:B,MATCH($C171,'Policy Characteristics'!$C:$C,0)))</f>
        <v>Mode Shifting</v>
      </c>
      <c r="C171" s="275" t="str">
        <f t="shared" si="8"/>
        <v>Percent of Travel Demand Shifted to Other Modes or Eliminated</v>
      </c>
      <c r="D171" s="47" t="s">
        <v>42</v>
      </c>
      <c r="E171" s="47" t="s">
        <v>40</v>
      </c>
      <c r="F171" s="47" t="s">
        <v>85</v>
      </c>
      <c r="G171" s="47" t="s">
        <v>86</v>
      </c>
      <c r="H171" s="44">
        <v>857</v>
      </c>
      <c r="I171" s="347" t="s">
        <v>44</v>
      </c>
      <c r="J171" s="276" t="str">
        <f>IF(ISBLANK(INDEX('Policy Characteristics'!D:D,MATCH($C171,'Policy Characteristics'!$C:$C,0))),"",INDEX('Policy Characteristics'!D:D,MATCH($C171,'Policy Characteristics'!$C:$C,0)))</f>
        <v>Mode Shifting</v>
      </c>
      <c r="K171" s="275" t="str">
        <f>IF(ISBLANK(INDEX('Policy Characteristics'!E:E,MATCH($C171,'Policy Characteristics'!$C:$C,0))),"",INDEX('Policy Characteristics'!E:E,MATCH($C171,'Policy Characteristics'!$C:$C,0)))</f>
        <v>trans mode shifting</v>
      </c>
      <c r="L171" s="283">
        <f>IF(ISBLANK(INDEX('Policy Characteristics'!F:F,MATCH($C171,'Policy Characteristics'!$C:$C,0))),"",INDEX('Policy Characteristics'!F:F,MATCH($C171,'Policy Characteristics'!$C:$C,0)))</f>
        <v>0</v>
      </c>
      <c r="M171" s="283">
        <f>IF(ISBLANK(INDEX('Policy Characteristics'!G:G,MATCH($C171,'Policy Characteristics'!$C:$C,0))),"",INDEX('Policy Characteristics'!G:G,MATCH($C171,'Policy Characteristics'!$C:$C,0)))</f>
        <v>0.26</v>
      </c>
      <c r="N171" s="283">
        <f>IF(ISBLANK(INDEX('Policy Characteristics'!H:H,MATCH($C171,'Policy Characteristics'!$C:$C,0))),"",INDEX('Policy Characteristics'!H:H,MATCH($C171,'Policy Characteristics'!$C:$C,0)))</f>
        <v>0.01</v>
      </c>
      <c r="O171" s="275" t="str">
        <f>IF(ISBLANK(INDEX('Policy Characteristics'!I:I,MATCH($C171,'Policy Characteristics'!$C:$C,0))),"",INDEX('Policy Characteristics'!I:I,MATCH($C171,'Policy Characteristics'!$C:$C,0)))</f>
        <v>% of trips shifted</v>
      </c>
      <c r="P171" s="275"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75" t="str">
        <f>IF(ISBLANK(INDEX('Policy Characteristics'!K:K,MATCH($C171,'Policy Characteristics'!$C:$C,0))),"",INDEX('Policy Characteristics'!K:K,MATCH($C171,'Policy Characteristics'!$C:$C,0)))</f>
        <v>transportation-sector-main.html#tdm</v>
      </c>
      <c r="R171" s="275" t="str">
        <f>IF(ISBLANK(INDEX('Policy Characteristics'!L:L,MATCH($C171,'Policy Characteristics'!$C:$C,0))),"",INDEX('Policy Characteristics'!L:L,MATCH($C171,'Policy Characteristics'!$C:$C,0)))</f>
        <v>transportation-demand-management.html</v>
      </c>
    </row>
    <row r="172" spans="1:18" x14ac:dyDescent="0.25">
      <c r="A172" s="275" t="str">
        <f>IF(ISBLANK(INDEX('Policy Characteristics'!A:A,MATCH($C172,'Policy Characteristics'!$C:$C,0))),"",INDEX('Policy Characteristics'!A:A,MATCH($C172,'Policy Characteristics'!$C:$C,0)))</f>
        <v>Transportation</v>
      </c>
      <c r="B172" s="284" t="str">
        <f>IF(ISBLANK(INDEX('Policy Characteristics'!B:B,MATCH($C172,'Policy Characteristics'!$C:$C,0))),"",INDEX('Policy Characteristics'!B:B,MATCH($C172,'Policy Characteristics'!$C:$C,0)))</f>
        <v>Mode Shifting</v>
      </c>
      <c r="C172" s="275" t="str">
        <f t="shared" si="8"/>
        <v>Percent of Travel Demand Shifted to Other Modes or Eliminated</v>
      </c>
      <c r="D172" s="47" t="s">
        <v>42</v>
      </c>
      <c r="E172" s="47" t="s">
        <v>41</v>
      </c>
      <c r="F172" s="47" t="s">
        <v>85</v>
      </c>
      <c r="G172" s="2" t="s">
        <v>3313</v>
      </c>
      <c r="H172" s="44">
        <v>858</v>
      </c>
      <c r="I172" s="347" t="s">
        <v>44</v>
      </c>
      <c r="J172" s="276" t="str">
        <f>IF(ISBLANK(INDEX('Policy Characteristics'!D:D,MATCH($C172,'Policy Characteristics'!$C:$C,0))),"",INDEX('Policy Characteristics'!D:D,MATCH($C172,'Policy Characteristics'!$C:$C,0)))</f>
        <v>Mode Shifting</v>
      </c>
      <c r="K172" s="275" t="str">
        <f>IF(ISBLANK(INDEX('Policy Characteristics'!E:E,MATCH($C172,'Policy Characteristics'!$C:$C,0))),"",INDEX('Policy Characteristics'!E:E,MATCH($C172,'Policy Characteristics'!$C:$C,0)))</f>
        <v>trans mode shifting</v>
      </c>
      <c r="L172" s="283">
        <f>IF(ISBLANK(INDEX('Policy Characteristics'!F:F,MATCH($C172,'Policy Characteristics'!$C:$C,0))),"",INDEX('Policy Characteristics'!F:F,MATCH($C172,'Policy Characteristics'!$C:$C,0)))</f>
        <v>0</v>
      </c>
      <c r="M172" s="283">
        <f>IF(ISBLANK(INDEX('Policy Characteristics'!G:G,MATCH($C172,'Policy Characteristics'!$C:$C,0))),"",INDEX('Policy Characteristics'!G:G,MATCH($C172,'Policy Characteristics'!$C:$C,0)))</f>
        <v>0.26</v>
      </c>
      <c r="N172" s="283">
        <f>IF(ISBLANK(INDEX('Policy Characteristics'!H:H,MATCH($C172,'Policy Characteristics'!$C:$C,0))),"",INDEX('Policy Characteristics'!H:H,MATCH($C172,'Policy Characteristics'!$C:$C,0)))</f>
        <v>0.01</v>
      </c>
      <c r="O172" s="275" t="str">
        <f>IF(ISBLANK(INDEX('Policy Characteristics'!I:I,MATCH($C172,'Policy Characteristics'!$C:$C,0))),"",INDEX('Policy Characteristics'!I:I,MATCH($C172,'Policy Characteristics'!$C:$C,0)))</f>
        <v>% of trips shifted</v>
      </c>
      <c r="P172" s="275"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75" t="str">
        <f>IF(ISBLANK(INDEX('Policy Characteristics'!K:K,MATCH($C172,'Policy Characteristics'!$C:$C,0))),"",INDEX('Policy Characteristics'!K:K,MATCH($C172,'Policy Characteristics'!$C:$C,0)))</f>
        <v>transportation-sector-main.html#tdm</v>
      </c>
      <c r="R172" s="275" t="str">
        <f>IF(ISBLANK(INDEX('Policy Characteristics'!L:L,MATCH($C172,'Policy Characteristics'!$C:$C,0))),"",INDEX('Policy Characteristics'!L:L,MATCH($C172,'Policy Characteristics'!$C:$C,0)))</f>
        <v>transportation-demand-management.html</v>
      </c>
    </row>
    <row r="173" spans="1:18" x14ac:dyDescent="0.25">
      <c r="A173" s="275" t="str">
        <f>IF(ISBLANK(INDEX('Policy Characteristics'!A:A,MATCH($C173,'Policy Characteristics'!$C:$C,0))),"",INDEX('Policy Characteristics'!A:A,MATCH($C173,'Policy Characteristics'!$C:$C,0)))</f>
        <v>Transportation</v>
      </c>
      <c r="B173" s="284" t="str">
        <f>IF(ISBLANK(INDEX('Policy Characteristics'!B:B,MATCH($C173,'Policy Characteristics'!$C:$C,0))),"",INDEX('Policy Characteristics'!B:B,MATCH($C173,'Policy Characteristics'!$C:$C,0)))</f>
        <v>Mode Shifting</v>
      </c>
      <c r="C173" s="275" t="str">
        <f t="shared" si="8"/>
        <v>Percent of Travel Demand Shifted to Other Modes or Eliminated</v>
      </c>
      <c r="D173" s="47" t="s">
        <v>42</v>
      </c>
      <c r="E173" s="47" t="s">
        <v>113</v>
      </c>
      <c r="F173" s="47" t="s">
        <v>85</v>
      </c>
      <c r="G173" s="47" t="s">
        <v>144</v>
      </c>
      <c r="H173" s="44">
        <v>859</v>
      </c>
      <c r="I173" s="347" t="s">
        <v>44</v>
      </c>
      <c r="J173" s="276" t="str">
        <f>IF(ISBLANK(INDEX('Policy Characteristics'!D:D,MATCH($C173,'Policy Characteristics'!$C:$C,0))),"",INDEX('Policy Characteristics'!D:D,MATCH($C173,'Policy Characteristics'!$C:$C,0)))</f>
        <v>Mode Shifting</v>
      </c>
      <c r="K173" s="275" t="str">
        <f>IF(ISBLANK(INDEX('Policy Characteristics'!E:E,MATCH($C173,'Policy Characteristics'!$C:$C,0))),"",INDEX('Policy Characteristics'!E:E,MATCH($C173,'Policy Characteristics'!$C:$C,0)))</f>
        <v>trans mode shifting</v>
      </c>
      <c r="L173" s="283">
        <f>IF(ISBLANK(INDEX('Policy Characteristics'!F:F,MATCH($C173,'Policy Characteristics'!$C:$C,0))),"",INDEX('Policy Characteristics'!F:F,MATCH($C173,'Policy Characteristics'!$C:$C,0)))</f>
        <v>0</v>
      </c>
      <c r="M173" s="283">
        <f>IF(ISBLANK(INDEX('Policy Characteristics'!G:G,MATCH($C173,'Policy Characteristics'!$C:$C,0))),"",INDEX('Policy Characteristics'!G:G,MATCH($C173,'Policy Characteristics'!$C:$C,0)))</f>
        <v>0.26</v>
      </c>
      <c r="N173" s="283">
        <f>IF(ISBLANK(INDEX('Policy Characteristics'!H:H,MATCH($C173,'Policy Characteristics'!$C:$C,0))),"",INDEX('Policy Characteristics'!H:H,MATCH($C173,'Policy Characteristics'!$C:$C,0)))</f>
        <v>0.01</v>
      </c>
      <c r="O173" s="275" t="str">
        <f>IF(ISBLANK(INDEX('Policy Characteristics'!I:I,MATCH($C173,'Policy Characteristics'!$C:$C,0))),"",INDEX('Policy Characteristics'!I:I,MATCH($C173,'Policy Characteristics'!$C:$C,0)))</f>
        <v>% of trips shifted</v>
      </c>
      <c r="P173" s="275"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75" t="str">
        <f>IF(ISBLANK(INDEX('Policy Characteristics'!K:K,MATCH($C173,'Policy Characteristics'!$C:$C,0))),"",INDEX('Policy Characteristics'!K:K,MATCH($C173,'Policy Characteristics'!$C:$C,0)))</f>
        <v>transportation-sector-main.html#tdm</v>
      </c>
      <c r="R173" s="275" t="str">
        <f>IF(ISBLANK(INDEX('Policy Characteristics'!L:L,MATCH($C173,'Policy Characteristics'!$C:$C,0))),"",INDEX('Policy Characteristics'!L:L,MATCH($C173,'Policy Characteristics'!$C:$C,0)))</f>
        <v>transportation-demand-management.html</v>
      </c>
    </row>
    <row r="174" spans="1:18" x14ac:dyDescent="0.25">
      <c r="A174" s="275" t="str">
        <f>IF(ISBLANK(INDEX('Policy Characteristics'!A:A,MATCH($C174,'Policy Characteristics'!$C:$C,0))),"",INDEX('Policy Characteristics'!A:A,MATCH($C174,'Policy Characteristics'!$C:$C,0)))</f>
        <v>Transportation</v>
      </c>
      <c r="B174" s="284" t="str">
        <f>IF(ISBLANK(INDEX('Policy Characteristics'!B:B,MATCH($C174,'Policy Characteristics'!$C:$C,0))),"",INDEX('Policy Characteristics'!B:B,MATCH($C174,'Policy Characteristics'!$C:$C,0)))</f>
        <v>Zero-Emission Vehicle Sales Standard</v>
      </c>
      <c r="C174" s="339" t="s">
        <v>3458</v>
      </c>
      <c r="D174" s="47" t="s">
        <v>45</v>
      </c>
      <c r="E174" s="47" t="s">
        <v>37</v>
      </c>
      <c r="F174" s="47" t="s">
        <v>84</v>
      </c>
      <c r="G174" s="2" t="s">
        <v>3314</v>
      </c>
      <c r="H174" s="49">
        <v>186</v>
      </c>
      <c r="I174" s="346" t="s">
        <v>43</v>
      </c>
      <c r="J174" s="276" t="str">
        <f>IF(ISBLANK(INDEX('Policy Characteristics'!D:D,MATCH($C174,'Policy Characteristics'!$C:$C,0))),"",INDEX('Policy Characteristics'!D:D,MATCH($C174,'Policy Characteristics'!$C:$C,0)))</f>
        <v>ZEV Sales Standard</v>
      </c>
      <c r="K174" s="275" t="str">
        <f>IF(ISBLANK(INDEX('Policy Characteristics'!E:E,MATCH($C174,'Policy Characteristics'!$C:$C,0))),"",INDEX('Policy Characteristics'!E:E,MATCH($C174,'Policy Characteristics'!$C:$C,0)))</f>
        <v>trans ZEV minimum</v>
      </c>
      <c r="L174" s="283">
        <f>IF(ISBLANK(INDEX('Policy Characteristics'!F:F,MATCH($C174,'Policy Characteristics'!$C:$C,0))),"",INDEX('Policy Characteristics'!F:F,MATCH($C174,'Policy Characteristics'!$C:$C,0)))</f>
        <v>0</v>
      </c>
      <c r="M174" s="283">
        <f>IF(ISBLANK(INDEX('Policy Characteristics'!G:G,MATCH($C174,'Policy Characteristics'!$C:$C,0))),"",INDEX('Policy Characteristics'!G:G,MATCH($C174,'Policy Characteristics'!$C:$C,0)))</f>
        <v>50</v>
      </c>
      <c r="N174" s="283">
        <f>IF(ISBLANK(INDEX('Policy Characteristics'!H:H,MATCH($C174,'Policy Characteristics'!$C:$C,0))),"",INDEX('Policy Characteristics'!H:H,MATCH($C174,'Policy Characteristics'!$C:$C,0)))</f>
        <v>1</v>
      </c>
      <c r="O174" s="275" t="str">
        <f>IF(ISBLANK(INDEX('Policy Characteristics'!I:I,MATCH($C174,'Policy Characteristics'!$C:$C,0))),"",INDEX('Policy Characteristics'!I:I,MATCH($C174,'Policy Characteristics'!$C:$C,0)))</f>
        <v>$ / kWh</v>
      </c>
      <c r="P174" s="275" t="str">
        <f>IF(ISBLANK(INDEX('Policy Characteristics'!J:J,MATCH($C174,'Policy Characteristics'!$C:$C,0))),"",INDEX('Policy Characteristics'!J:J,MATCH($C174,'Policy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4" s="275" t="str">
        <f>IF(ISBLANK(INDEX('Policy Characteristics'!K:K,MATCH($C174,'Policy Characteristics'!$C:$C,0))),"",INDEX('Policy Characteristics'!K:K,MATCH($C174,'Policy Characteristics'!$C:$C,0)))</f>
        <v>transportation-sector-main.html#ev-mandate</v>
      </c>
      <c r="R174" s="275" t="str">
        <f>IF(ISBLANK(INDEX('Policy Characteristics'!L:L,MATCH($C174,'Policy Characteristics'!$C:$C,0))),"",INDEX('Policy Characteristics'!L:L,MATCH($C174,'Policy Characteristics'!$C:$C,0)))</f>
        <v>ev-mandate.html</v>
      </c>
    </row>
    <row r="175" spans="1:18" x14ac:dyDescent="0.25">
      <c r="A175" s="275" t="str">
        <f>IF(ISBLANK(INDEX('Policy Characteristics'!A:A,MATCH($C175,'Policy Characteristics'!$C:$C,0))),"",INDEX('Policy Characteristics'!A:A,MATCH($C175,'Policy Characteristics'!$C:$C,0)))</f>
        <v>Transportation</v>
      </c>
      <c r="B175" s="284" t="str">
        <f>IF(ISBLANK(INDEX('Policy Characteristics'!B:B,MATCH($C175,'Policy Characteristics'!$C:$C,0))),"",INDEX('Policy Characteristics'!B:B,MATCH($C175,'Policy Characteristics'!$C:$C,0)))</f>
        <v>Zero-Emission Vehicle Sales Standard</v>
      </c>
      <c r="C175" s="275" t="str">
        <f>C$174</f>
        <v>Minimum Required ZEV Sales Percentage</v>
      </c>
      <c r="D175" s="2" t="s">
        <v>42</v>
      </c>
      <c r="E175" s="2" t="s">
        <v>37</v>
      </c>
      <c r="F175" s="2" t="s">
        <v>85</v>
      </c>
      <c r="G175" s="2" t="s">
        <v>3488</v>
      </c>
      <c r="H175" s="49">
        <v>203</v>
      </c>
      <c r="I175" s="347" t="s">
        <v>43</v>
      </c>
      <c r="J175" s="276" t="str">
        <f>IF(ISBLANK(INDEX('Policy Characteristics'!D:D,MATCH($C175,'Policy Characteristics'!$C:$C,0))),"",INDEX('Policy Characteristics'!D:D,MATCH($C175,'Policy Characteristics'!$C:$C,0)))</f>
        <v>ZEV Sales Standard</v>
      </c>
      <c r="K175" s="275" t="str">
        <f>IF(ISBLANK(INDEX('Policy Characteristics'!E:E,MATCH($C175,'Policy Characteristics'!$C:$C,0))),"",INDEX('Policy Characteristics'!E:E,MATCH($C175,'Policy Characteristics'!$C:$C,0)))</f>
        <v>trans ZEV minimum</v>
      </c>
      <c r="L175" s="283">
        <f>IF(ISBLANK(INDEX('Policy Characteristics'!F:F,MATCH($C175,'Policy Characteristics'!$C:$C,0))),"",INDEX('Policy Characteristics'!F:F,MATCH($C175,'Policy Characteristics'!$C:$C,0)))</f>
        <v>0</v>
      </c>
      <c r="M175" s="283">
        <f>IF(ISBLANK(INDEX('Policy Characteristics'!G:G,MATCH($C175,'Policy Characteristics'!$C:$C,0))),"",INDEX('Policy Characteristics'!G:G,MATCH($C175,'Policy Characteristics'!$C:$C,0)))</f>
        <v>50</v>
      </c>
      <c r="N175" s="283">
        <f>IF(ISBLANK(INDEX('Policy Characteristics'!H:H,MATCH($C175,'Policy Characteristics'!$C:$C,0))),"",INDEX('Policy Characteristics'!H:H,MATCH($C175,'Policy Characteristics'!$C:$C,0)))</f>
        <v>1</v>
      </c>
      <c r="O175" s="275" t="str">
        <f>IF(ISBLANK(INDEX('Policy Characteristics'!I:I,MATCH($C175,'Policy Characteristics'!$C:$C,0))),"",INDEX('Policy Characteristics'!I:I,MATCH($C175,'Policy Characteristics'!$C:$C,0)))</f>
        <v>$ / kWh</v>
      </c>
      <c r="P175" s="275" t="str">
        <f>IF(ISBLANK(INDEX('Policy Characteristics'!J:J,MATCH($C175,'Policy Characteristics'!$C:$C,0))),"",INDEX('Policy Characteristics'!J:J,MATCH($C175,'Policy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5" s="275" t="str">
        <f>IF(ISBLANK(INDEX('Policy Characteristics'!K:K,MATCH($C175,'Policy Characteristics'!$C:$C,0))),"",INDEX('Policy Characteristics'!K:K,MATCH($C175,'Policy Characteristics'!$C:$C,0)))</f>
        <v>transportation-sector-main.html#ev-mandate</v>
      </c>
      <c r="R175" s="275" t="str">
        <f>IF(ISBLANK(INDEX('Policy Characteristics'!L:L,MATCH($C175,'Policy Characteristics'!$C:$C,0))),"",INDEX('Policy Characteristics'!L:L,MATCH($C175,'Policy Characteristics'!$C:$C,0)))</f>
        <v>ev-mandate.html</v>
      </c>
    </row>
    <row r="176" spans="1:18" x14ac:dyDescent="0.25">
      <c r="A176" s="275" t="str">
        <f>IF(ISBLANK(INDEX('Policy Characteristics'!A:A,MATCH($C176,'Policy Characteristics'!$C:$C,0))),"",INDEX('Policy Characteristics'!A:A,MATCH($C176,'Policy Characteristics'!$C:$C,0)))</f>
        <v>Transportation</v>
      </c>
      <c r="B176" s="284" t="str">
        <f>IF(ISBLANK(INDEX('Policy Characteristics'!B:B,MATCH($C176,'Policy Characteristics'!$C:$C,0))),"",INDEX('Policy Characteristics'!B:B,MATCH($C176,'Policy Characteristics'!$C:$C,0)))</f>
        <v>Zero-Emission Vehicle Sales Standard</v>
      </c>
      <c r="C176" s="275" t="str">
        <f t="shared" ref="C176:C185" si="9">C$174</f>
        <v>Minimum Required ZEV Sales Percentage</v>
      </c>
      <c r="D176" s="2" t="s">
        <v>45</v>
      </c>
      <c r="E176" s="2" t="s">
        <v>38</v>
      </c>
      <c r="F176" s="2" t="s">
        <v>84</v>
      </c>
      <c r="G176" s="2" t="s">
        <v>2346</v>
      </c>
      <c r="H176" s="49">
        <v>187</v>
      </c>
      <c r="I176" s="346" t="s">
        <v>43</v>
      </c>
      <c r="J176" s="276" t="str">
        <f>IF(ISBLANK(INDEX('Policy Characteristics'!D:D,MATCH($C176,'Policy Characteristics'!$C:$C,0))),"",INDEX('Policy Characteristics'!D:D,MATCH($C176,'Policy Characteristics'!$C:$C,0)))</f>
        <v>ZEV Sales Standard</v>
      </c>
      <c r="K176" s="275" t="str">
        <f>IF(ISBLANK(INDEX('Policy Characteristics'!E:E,MATCH($C176,'Policy Characteristics'!$C:$C,0))),"",INDEX('Policy Characteristics'!E:E,MATCH($C176,'Policy Characteristics'!$C:$C,0)))</f>
        <v>trans ZEV minimum</v>
      </c>
      <c r="L176" s="283">
        <f>IF(ISBLANK(INDEX('Policy Characteristics'!F:F,MATCH($C176,'Policy Characteristics'!$C:$C,0))),"",INDEX('Policy Characteristics'!F:F,MATCH($C176,'Policy Characteristics'!$C:$C,0)))</f>
        <v>0</v>
      </c>
      <c r="M176" s="283">
        <f>IF(ISBLANK(INDEX('Policy Characteristics'!G:G,MATCH($C176,'Policy Characteristics'!$C:$C,0))),"",INDEX('Policy Characteristics'!G:G,MATCH($C176,'Policy Characteristics'!$C:$C,0)))</f>
        <v>50</v>
      </c>
      <c r="N176" s="283">
        <f>IF(ISBLANK(INDEX('Policy Characteristics'!H:H,MATCH($C176,'Policy Characteristics'!$C:$C,0))),"",INDEX('Policy Characteristics'!H:H,MATCH($C176,'Policy Characteristics'!$C:$C,0)))</f>
        <v>1</v>
      </c>
      <c r="O176" s="275" t="str">
        <f>IF(ISBLANK(INDEX('Policy Characteristics'!I:I,MATCH($C176,'Policy Characteristics'!$C:$C,0))),"",INDEX('Policy Characteristics'!I:I,MATCH($C176,'Policy Characteristics'!$C:$C,0)))</f>
        <v>$ / kWh</v>
      </c>
      <c r="P176" s="275" t="str">
        <f>IF(ISBLANK(INDEX('Policy Characteristics'!J:J,MATCH($C176,'Policy Characteristics'!$C:$C,0))),"",INDEX('Policy Characteristics'!J:J,MATCH($C176,'Policy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6" s="275" t="str">
        <f>IF(ISBLANK(INDEX('Policy Characteristics'!K:K,MATCH($C176,'Policy Characteristics'!$C:$C,0))),"",INDEX('Policy Characteristics'!K:K,MATCH($C176,'Policy Characteristics'!$C:$C,0)))</f>
        <v>transportation-sector-main.html#ev-mandate</v>
      </c>
      <c r="R176" s="275" t="str">
        <f>IF(ISBLANK(INDEX('Policy Characteristics'!L:L,MATCH($C176,'Policy Characteristics'!$C:$C,0))),"",INDEX('Policy Characteristics'!L:L,MATCH($C176,'Policy Characteristics'!$C:$C,0)))</f>
        <v>ev-mandate.html</v>
      </c>
    </row>
    <row r="177" spans="1:18" x14ac:dyDescent="0.25">
      <c r="A177" s="275" t="str">
        <f>IF(ISBLANK(INDEX('Policy Characteristics'!A:A,MATCH($C177,'Policy Characteristics'!$C:$C,0))),"",INDEX('Policy Characteristics'!A:A,MATCH($C177,'Policy Characteristics'!$C:$C,0)))</f>
        <v>Transportation</v>
      </c>
      <c r="B177" s="284" t="str">
        <f>IF(ISBLANK(INDEX('Policy Characteristics'!B:B,MATCH($C177,'Policy Characteristics'!$C:$C,0))),"",INDEX('Policy Characteristics'!B:B,MATCH($C177,'Policy Characteristics'!$C:$C,0)))</f>
        <v>Zero-Emission Vehicle Sales Standard</v>
      </c>
      <c r="C177" s="275" t="str">
        <f t="shared" si="9"/>
        <v>Minimum Required ZEV Sales Percentage</v>
      </c>
      <c r="D177" s="2" t="s">
        <v>42</v>
      </c>
      <c r="E177" s="2" t="s">
        <v>38</v>
      </c>
      <c r="F177" s="2" t="s">
        <v>85</v>
      </c>
      <c r="G177" s="2" t="s">
        <v>3484</v>
      </c>
      <c r="H177" s="49">
        <v>191</v>
      </c>
      <c r="I177" s="346" t="s">
        <v>43</v>
      </c>
      <c r="J177" s="276" t="str">
        <f>IF(ISBLANK(INDEX('Policy Characteristics'!D:D,MATCH($C177,'Policy Characteristics'!$C:$C,0))),"",INDEX('Policy Characteristics'!D:D,MATCH($C177,'Policy Characteristics'!$C:$C,0)))</f>
        <v>ZEV Sales Standard</v>
      </c>
      <c r="K177" s="275" t="str">
        <f>IF(ISBLANK(INDEX('Policy Characteristics'!E:E,MATCH($C177,'Policy Characteristics'!$C:$C,0))),"",INDEX('Policy Characteristics'!E:E,MATCH($C177,'Policy Characteristics'!$C:$C,0)))</f>
        <v>trans ZEV minimum</v>
      </c>
      <c r="L177" s="283">
        <f>IF(ISBLANK(INDEX('Policy Characteristics'!F:F,MATCH($C177,'Policy Characteristics'!$C:$C,0))),"",INDEX('Policy Characteristics'!F:F,MATCH($C177,'Policy Characteristics'!$C:$C,0)))</f>
        <v>0</v>
      </c>
      <c r="M177" s="283">
        <f>IF(ISBLANK(INDEX('Policy Characteristics'!G:G,MATCH($C177,'Policy Characteristics'!$C:$C,0))),"",INDEX('Policy Characteristics'!G:G,MATCH($C177,'Policy Characteristics'!$C:$C,0)))</f>
        <v>50</v>
      </c>
      <c r="N177" s="283">
        <f>IF(ISBLANK(INDEX('Policy Characteristics'!H:H,MATCH($C177,'Policy Characteristics'!$C:$C,0))),"",INDEX('Policy Characteristics'!H:H,MATCH($C177,'Policy Characteristics'!$C:$C,0)))</f>
        <v>1</v>
      </c>
      <c r="O177" s="275" t="str">
        <f>IF(ISBLANK(INDEX('Policy Characteristics'!I:I,MATCH($C177,'Policy Characteristics'!$C:$C,0))),"",INDEX('Policy Characteristics'!I:I,MATCH($C177,'Policy Characteristics'!$C:$C,0)))</f>
        <v>$ / kWh</v>
      </c>
      <c r="P177" s="275" t="str">
        <f>IF(ISBLANK(INDEX('Policy Characteristics'!J:J,MATCH($C177,'Policy Characteristics'!$C:$C,0))),"",INDEX('Policy Characteristics'!J:J,MATCH($C177,'Policy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7" s="275" t="str">
        <f>IF(ISBLANK(INDEX('Policy Characteristics'!K:K,MATCH($C177,'Policy Characteristics'!$C:$C,0))),"",INDEX('Policy Characteristics'!K:K,MATCH($C177,'Policy Characteristics'!$C:$C,0)))</f>
        <v>transportation-sector-main.html#ev-mandate</v>
      </c>
      <c r="R177" s="275" t="str">
        <f>IF(ISBLANK(INDEX('Policy Characteristics'!L:L,MATCH($C177,'Policy Characteristics'!$C:$C,0))),"",INDEX('Policy Characteristics'!L:L,MATCH($C177,'Policy Characteristics'!$C:$C,0)))</f>
        <v>ev-mandate.html</v>
      </c>
    </row>
    <row r="178" spans="1:18" x14ac:dyDescent="0.25">
      <c r="A178" s="275" t="str">
        <f>IF(ISBLANK(INDEX('Policy Characteristics'!A:A,MATCH($C178,'Policy Characteristics'!$C:$C,0))),"",INDEX('Policy Characteristics'!A:A,MATCH($C178,'Policy Characteristics'!$C:$C,0)))</f>
        <v>Transportation</v>
      </c>
      <c r="B178" s="284" t="str">
        <f>IF(ISBLANK(INDEX('Policy Characteristics'!B:B,MATCH($C178,'Policy Characteristics'!$C:$C,0))),"",INDEX('Policy Characteristics'!B:B,MATCH($C178,'Policy Characteristics'!$C:$C,0)))</f>
        <v>Zero-Emission Vehicle Sales Standard</v>
      </c>
      <c r="C178" s="275" t="str">
        <f t="shared" si="9"/>
        <v>Minimum Required ZEV Sales Percentage</v>
      </c>
      <c r="D178" s="2" t="s">
        <v>45</v>
      </c>
      <c r="E178" s="2" t="s">
        <v>39</v>
      </c>
      <c r="F178" s="2" t="s">
        <v>84</v>
      </c>
      <c r="G178" s="2" t="s">
        <v>3311</v>
      </c>
      <c r="H178" s="49">
        <v>496</v>
      </c>
      <c r="I178" s="346" t="s">
        <v>44</v>
      </c>
      <c r="J178" s="276" t="str">
        <f>IF(ISBLANK(INDEX('Policy Characteristics'!D:D,MATCH($C178,'Policy Characteristics'!$C:$C,0))),"",INDEX('Policy Characteristics'!D:D,MATCH($C178,'Policy Characteristics'!$C:$C,0)))</f>
        <v>ZEV Sales Standard</v>
      </c>
      <c r="K178" s="275" t="str">
        <f>IF(ISBLANK(INDEX('Policy Characteristics'!E:E,MATCH($C178,'Policy Characteristics'!$C:$C,0))),"",INDEX('Policy Characteristics'!E:E,MATCH($C178,'Policy Characteristics'!$C:$C,0)))</f>
        <v>trans ZEV minimum</v>
      </c>
      <c r="L178" s="283">
        <f>IF(ISBLANK(INDEX('Policy Characteristics'!F:F,MATCH($C178,'Policy Characteristics'!$C:$C,0))),"",INDEX('Policy Characteristics'!F:F,MATCH($C178,'Policy Characteristics'!$C:$C,0)))</f>
        <v>0</v>
      </c>
      <c r="M178" s="283">
        <f>IF(ISBLANK(INDEX('Policy Characteristics'!G:G,MATCH($C178,'Policy Characteristics'!$C:$C,0))),"",INDEX('Policy Characteristics'!G:G,MATCH($C178,'Policy Characteristics'!$C:$C,0)))</f>
        <v>50</v>
      </c>
      <c r="N178" s="283">
        <f>IF(ISBLANK(INDEX('Policy Characteristics'!H:H,MATCH($C178,'Policy Characteristics'!$C:$C,0))),"",INDEX('Policy Characteristics'!H:H,MATCH($C178,'Policy Characteristics'!$C:$C,0)))</f>
        <v>1</v>
      </c>
      <c r="O178" s="275" t="str">
        <f>IF(ISBLANK(INDEX('Policy Characteristics'!I:I,MATCH($C178,'Policy Characteristics'!$C:$C,0))),"",INDEX('Policy Characteristics'!I:I,MATCH($C178,'Policy Characteristics'!$C:$C,0)))</f>
        <v>$ / kWh</v>
      </c>
      <c r="P178" s="275" t="str">
        <f>IF(ISBLANK(INDEX('Policy Characteristics'!J:J,MATCH($C178,'Policy Characteristics'!$C:$C,0))),"",INDEX('Policy Characteristics'!J:J,MATCH($C178,'Policy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8" s="275" t="str">
        <f>IF(ISBLANK(INDEX('Policy Characteristics'!K:K,MATCH($C178,'Policy Characteristics'!$C:$C,0))),"",INDEX('Policy Characteristics'!K:K,MATCH($C178,'Policy Characteristics'!$C:$C,0)))</f>
        <v>transportation-sector-main.html#ev-mandate</v>
      </c>
      <c r="R178" s="275" t="str">
        <f>IF(ISBLANK(INDEX('Policy Characteristics'!L:L,MATCH($C178,'Policy Characteristics'!$C:$C,0))),"",INDEX('Policy Characteristics'!L:L,MATCH($C178,'Policy Characteristics'!$C:$C,0)))</f>
        <v>ev-mandate.html</v>
      </c>
    </row>
    <row r="179" spans="1:18" x14ac:dyDescent="0.25">
      <c r="A179" s="275" t="str">
        <f>IF(ISBLANK(INDEX('Policy Characteristics'!A:A,MATCH($C179,'Policy Characteristics'!$C:$C,0))),"",INDEX('Policy Characteristics'!A:A,MATCH($C179,'Policy Characteristics'!$C:$C,0)))</f>
        <v>Transportation</v>
      </c>
      <c r="B179" s="284" t="str">
        <f>IF(ISBLANK(INDEX('Policy Characteristics'!B:B,MATCH($C179,'Policy Characteristics'!$C:$C,0))),"",INDEX('Policy Characteristics'!B:B,MATCH($C179,'Policy Characteristics'!$C:$C,0)))</f>
        <v>Zero-Emission Vehicle Sales Standard</v>
      </c>
      <c r="C179" s="275" t="str">
        <f t="shared" si="9"/>
        <v>Minimum Required ZEV Sales Percentage</v>
      </c>
      <c r="D179" s="2" t="s">
        <v>42</v>
      </c>
      <c r="E179" s="2" t="s">
        <v>39</v>
      </c>
      <c r="F179" s="2" t="s">
        <v>85</v>
      </c>
      <c r="G179" s="2" t="s">
        <v>3311</v>
      </c>
      <c r="H179" s="49">
        <v>497</v>
      </c>
      <c r="I179" s="346" t="s">
        <v>44</v>
      </c>
      <c r="J179" s="276" t="str">
        <f>IF(ISBLANK(INDEX('Policy Characteristics'!D:D,MATCH($C179,'Policy Characteristics'!$C:$C,0))),"",INDEX('Policy Characteristics'!D:D,MATCH($C179,'Policy Characteristics'!$C:$C,0)))</f>
        <v>ZEV Sales Standard</v>
      </c>
      <c r="K179" s="275" t="str">
        <f>IF(ISBLANK(INDEX('Policy Characteristics'!E:E,MATCH($C179,'Policy Characteristics'!$C:$C,0))),"",INDEX('Policy Characteristics'!E:E,MATCH($C179,'Policy Characteristics'!$C:$C,0)))</f>
        <v>trans ZEV minimum</v>
      </c>
      <c r="L179" s="283">
        <f>IF(ISBLANK(INDEX('Policy Characteristics'!F:F,MATCH($C179,'Policy Characteristics'!$C:$C,0))),"",INDEX('Policy Characteristics'!F:F,MATCH($C179,'Policy Characteristics'!$C:$C,0)))</f>
        <v>0</v>
      </c>
      <c r="M179" s="283">
        <f>IF(ISBLANK(INDEX('Policy Characteristics'!G:G,MATCH($C179,'Policy Characteristics'!$C:$C,0))),"",INDEX('Policy Characteristics'!G:G,MATCH($C179,'Policy Characteristics'!$C:$C,0)))</f>
        <v>50</v>
      </c>
      <c r="N179" s="283">
        <f>IF(ISBLANK(INDEX('Policy Characteristics'!H:H,MATCH($C179,'Policy Characteristics'!$C:$C,0))),"",INDEX('Policy Characteristics'!H:H,MATCH($C179,'Policy Characteristics'!$C:$C,0)))</f>
        <v>1</v>
      </c>
      <c r="O179" s="275" t="str">
        <f>IF(ISBLANK(INDEX('Policy Characteristics'!I:I,MATCH($C179,'Policy Characteristics'!$C:$C,0))),"",INDEX('Policy Characteristics'!I:I,MATCH($C179,'Policy Characteristics'!$C:$C,0)))</f>
        <v>$ / kWh</v>
      </c>
      <c r="P179" s="275" t="str">
        <f>IF(ISBLANK(INDEX('Policy Characteristics'!J:J,MATCH($C179,'Policy Characteristics'!$C:$C,0))),"",INDEX('Policy Characteristics'!J:J,MATCH($C179,'Policy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9" s="275" t="str">
        <f>IF(ISBLANK(INDEX('Policy Characteristics'!K:K,MATCH($C179,'Policy Characteristics'!$C:$C,0))),"",INDEX('Policy Characteristics'!K:K,MATCH($C179,'Policy Characteristics'!$C:$C,0)))</f>
        <v>transportation-sector-main.html#ev-mandate</v>
      </c>
      <c r="R179" s="275" t="str">
        <f>IF(ISBLANK(INDEX('Policy Characteristics'!L:L,MATCH($C179,'Policy Characteristics'!$C:$C,0))),"",INDEX('Policy Characteristics'!L:L,MATCH($C179,'Policy Characteristics'!$C:$C,0)))</f>
        <v>ev-mandate.html</v>
      </c>
    </row>
    <row r="180" spans="1:18" x14ac:dyDescent="0.25">
      <c r="A180" s="275" t="str">
        <f>IF(ISBLANK(INDEX('Policy Characteristics'!A:A,MATCH($C180,'Policy Characteristics'!$C:$C,0))),"",INDEX('Policy Characteristics'!A:A,MATCH($C180,'Policy Characteristics'!$C:$C,0)))</f>
        <v>Transportation</v>
      </c>
      <c r="B180" s="284" t="str">
        <f>IF(ISBLANK(INDEX('Policy Characteristics'!B:B,MATCH($C180,'Policy Characteristics'!$C:$C,0))),"",INDEX('Policy Characteristics'!B:B,MATCH($C180,'Policy Characteristics'!$C:$C,0)))</f>
        <v>Zero-Emission Vehicle Sales Standard</v>
      </c>
      <c r="C180" s="275" t="str">
        <f t="shared" si="9"/>
        <v>Minimum Required ZEV Sales Percentage</v>
      </c>
      <c r="D180" s="2" t="s">
        <v>45</v>
      </c>
      <c r="E180" s="2" t="s">
        <v>40</v>
      </c>
      <c r="F180" s="2" t="s">
        <v>84</v>
      </c>
      <c r="G180" s="2" t="s">
        <v>86</v>
      </c>
      <c r="H180" s="49">
        <v>498</v>
      </c>
      <c r="I180" s="346" t="s">
        <v>44</v>
      </c>
      <c r="J180" s="276" t="str">
        <f>IF(ISBLANK(INDEX('Policy Characteristics'!D:D,MATCH($C180,'Policy Characteristics'!$C:$C,0))),"",INDEX('Policy Characteristics'!D:D,MATCH($C180,'Policy Characteristics'!$C:$C,0)))</f>
        <v>ZEV Sales Standard</v>
      </c>
      <c r="K180" s="275" t="str">
        <f>IF(ISBLANK(INDEX('Policy Characteristics'!E:E,MATCH($C180,'Policy Characteristics'!$C:$C,0))),"",INDEX('Policy Characteristics'!E:E,MATCH($C180,'Policy Characteristics'!$C:$C,0)))</f>
        <v>trans ZEV minimum</v>
      </c>
      <c r="L180" s="283">
        <f>IF(ISBLANK(INDEX('Policy Characteristics'!F:F,MATCH($C180,'Policy Characteristics'!$C:$C,0))),"",INDEX('Policy Characteristics'!F:F,MATCH($C180,'Policy Characteristics'!$C:$C,0)))</f>
        <v>0</v>
      </c>
      <c r="M180" s="283">
        <f>IF(ISBLANK(INDEX('Policy Characteristics'!G:G,MATCH($C180,'Policy Characteristics'!$C:$C,0))),"",INDEX('Policy Characteristics'!G:G,MATCH($C180,'Policy Characteristics'!$C:$C,0)))</f>
        <v>50</v>
      </c>
      <c r="N180" s="283">
        <f>IF(ISBLANK(INDEX('Policy Characteristics'!H:H,MATCH($C180,'Policy Characteristics'!$C:$C,0))),"",INDEX('Policy Characteristics'!H:H,MATCH($C180,'Policy Characteristics'!$C:$C,0)))</f>
        <v>1</v>
      </c>
      <c r="O180" s="275" t="str">
        <f>IF(ISBLANK(INDEX('Policy Characteristics'!I:I,MATCH($C180,'Policy Characteristics'!$C:$C,0))),"",INDEX('Policy Characteristics'!I:I,MATCH($C180,'Policy Characteristics'!$C:$C,0)))</f>
        <v>$ / kWh</v>
      </c>
      <c r="P180" s="275" t="str">
        <f>IF(ISBLANK(INDEX('Policy Characteristics'!J:J,MATCH($C180,'Policy Characteristics'!$C:$C,0))),"",INDEX('Policy Characteristics'!J:J,MATCH($C180,'Policy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0" s="275" t="str">
        <f>IF(ISBLANK(INDEX('Policy Characteristics'!K:K,MATCH($C180,'Policy Characteristics'!$C:$C,0))),"",INDEX('Policy Characteristics'!K:K,MATCH($C180,'Policy Characteristics'!$C:$C,0)))</f>
        <v>transportation-sector-main.html#ev-mandate</v>
      </c>
      <c r="R180" s="275" t="str">
        <f>IF(ISBLANK(INDEX('Policy Characteristics'!L:L,MATCH($C180,'Policy Characteristics'!$C:$C,0))),"",INDEX('Policy Characteristics'!L:L,MATCH($C180,'Policy Characteristics'!$C:$C,0)))</f>
        <v>ev-mandate.html</v>
      </c>
    </row>
    <row r="181" spans="1:18" x14ac:dyDescent="0.25">
      <c r="A181" s="275" t="str">
        <f>IF(ISBLANK(INDEX('Policy Characteristics'!A:A,MATCH($C181,'Policy Characteristics'!$C:$C,0))),"",INDEX('Policy Characteristics'!A:A,MATCH($C181,'Policy Characteristics'!$C:$C,0)))</f>
        <v>Transportation</v>
      </c>
      <c r="B181" s="284" t="str">
        <f>IF(ISBLANK(INDEX('Policy Characteristics'!B:B,MATCH($C181,'Policy Characteristics'!$C:$C,0))),"",INDEX('Policy Characteristics'!B:B,MATCH($C181,'Policy Characteristics'!$C:$C,0)))</f>
        <v>Zero-Emission Vehicle Sales Standard</v>
      </c>
      <c r="C181" s="275" t="str">
        <f t="shared" si="9"/>
        <v>Minimum Required ZEV Sales Percentage</v>
      </c>
      <c r="D181" s="2" t="s">
        <v>42</v>
      </c>
      <c r="E181" s="2" t="s">
        <v>40</v>
      </c>
      <c r="F181" s="2" t="s">
        <v>85</v>
      </c>
      <c r="G181" s="2" t="s">
        <v>86</v>
      </c>
      <c r="H181" s="49">
        <v>499</v>
      </c>
      <c r="I181" s="346" t="s">
        <v>44</v>
      </c>
      <c r="J181" s="276" t="str">
        <f>IF(ISBLANK(INDEX('Policy Characteristics'!D:D,MATCH($C181,'Policy Characteristics'!$C:$C,0))),"",INDEX('Policy Characteristics'!D:D,MATCH($C181,'Policy Characteristics'!$C:$C,0)))</f>
        <v>ZEV Sales Standard</v>
      </c>
      <c r="K181" s="275" t="str">
        <f>IF(ISBLANK(INDEX('Policy Characteristics'!E:E,MATCH($C181,'Policy Characteristics'!$C:$C,0))),"",INDEX('Policy Characteristics'!E:E,MATCH($C181,'Policy Characteristics'!$C:$C,0)))</f>
        <v>trans ZEV minimum</v>
      </c>
      <c r="L181" s="283">
        <f>IF(ISBLANK(INDEX('Policy Characteristics'!F:F,MATCH($C181,'Policy Characteristics'!$C:$C,0))),"",INDEX('Policy Characteristics'!F:F,MATCH($C181,'Policy Characteristics'!$C:$C,0)))</f>
        <v>0</v>
      </c>
      <c r="M181" s="283">
        <f>IF(ISBLANK(INDEX('Policy Characteristics'!G:G,MATCH($C181,'Policy Characteristics'!$C:$C,0))),"",INDEX('Policy Characteristics'!G:G,MATCH($C181,'Policy Characteristics'!$C:$C,0)))</f>
        <v>50</v>
      </c>
      <c r="N181" s="283">
        <f>IF(ISBLANK(INDEX('Policy Characteristics'!H:H,MATCH($C181,'Policy Characteristics'!$C:$C,0))),"",INDEX('Policy Characteristics'!H:H,MATCH($C181,'Policy Characteristics'!$C:$C,0)))</f>
        <v>1</v>
      </c>
      <c r="O181" s="275" t="str">
        <f>IF(ISBLANK(INDEX('Policy Characteristics'!I:I,MATCH($C181,'Policy Characteristics'!$C:$C,0))),"",INDEX('Policy Characteristics'!I:I,MATCH($C181,'Policy Characteristics'!$C:$C,0)))</f>
        <v>$ / kWh</v>
      </c>
      <c r="P181" s="275" t="str">
        <f>IF(ISBLANK(INDEX('Policy Characteristics'!J:J,MATCH($C181,'Policy Characteristics'!$C:$C,0))),"",INDEX('Policy Characteristics'!J:J,MATCH($C181,'Policy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1" s="275" t="str">
        <f>IF(ISBLANK(INDEX('Policy Characteristics'!K:K,MATCH($C181,'Policy Characteristics'!$C:$C,0))),"",INDEX('Policy Characteristics'!K:K,MATCH($C181,'Policy Characteristics'!$C:$C,0)))</f>
        <v>transportation-sector-main.html#ev-mandate</v>
      </c>
      <c r="R181" s="275" t="str">
        <f>IF(ISBLANK(INDEX('Policy Characteristics'!L:L,MATCH($C181,'Policy Characteristics'!$C:$C,0))),"",INDEX('Policy Characteristics'!L:L,MATCH($C181,'Policy Characteristics'!$C:$C,0)))</f>
        <v>ev-mandate.html</v>
      </c>
    </row>
    <row r="182" spans="1:18" x14ac:dyDescent="0.25">
      <c r="A182" s="275" t="str">
        <f>IF(ISBLANK(INDEX('Policy Characteristics'!A:A,MATCH($C182,'Policy Characteristics'!$C:$C,0))),"",INDEX('Policy Characteristics'!A:A,MATCH($C182,'Policy Characteristics'!$C:$C,0)))</f>
        <v>Transportation</v>
      </c>
      <c r="B182" s="284" t="str">
        <f>IF(ISBLANK(INDEX('Policy Characteristics'!B:B,MATCH($C182,'Policy Characteristics'!$C:$C,0))),"",INDEX('Policy Characteristics'!B:B,MATCH($C182,'Policy Characteristics'!$C:$C,0)))</f>
        <v>Zero-Emission Vehicle Sales Standard</v>
      </c>
      <c r="C182" s="275" t="str">
        <f t="shared" si="9"/>
        <v>Minimum Required ZEV Sales Percentage</v>
      </c>
      <c r="D182" s="2" t="s">
        <v>45</v>
      </c>
      <c r="E182" s="2" t="s">
        <v>41</v>
      </c>
      <c r="F182" s="2" t="s">
        <v>84</v>
      </c>
      <c r="G182" s="2" t="s">
        <v>3312</v>
      </c>
      <c r="H182" s="49">
        <v>500</v>
      </c>
      <c r="I182" s="346" t="s">
        <v>44</v>
      </c>
      <c r="J182" s="276" t="str">
        <f>IF(ISBLANK(INDEX('Policy Characteristics'!D:D,MATCH($C182,'Policy Characteristics'!$C:$C,0))),"",INDEX('Policy Characteristics'!D:D,MATCH($C182,'Policy Characteristics'!$C:$C,0)))</f>
        <v>ZEV Sales Standard</v>
      </c>
      <c r="K182" s="275" t="str">
        <f>IF(ISBLANK(INDEX('Policy Characteristics'!E:E,MATCH($C182,'Policy Characteristics'!$C:$C,0))),"",INDEX('Policy Characteristics'!E:E,MATCH($C182,'Policy Characteristics'!$C:$C,0)))</f>
        <v>trans ZEV minimum</v>
      </c>
      <c r="L182" s="283">
        <f>IF(ISBLANK(INDEX('Policy Characteristics'!F:F,MATCH($C182,'Policy Characteristics'!$C:$C,0))),"",INDEX('Policy Characteristics'!F:F,MATCH($C182,'Policy Characteristics'!$C:$C,0)))</f>
        <v>0</v>
      </c>
      <c r="M182" s="283">
        <f>IF(ISBLANK(INDEX('Policy Characteristics'!G:G,MATCH($C182,'Policy Characteristics'!$C:$C,0))),"",INDEX('Policy Characteristics'!G:G,MATCH($C182,'Policy Characteristics'!$C:$C,0)))</f>
        <v>50</v>
      </c>
      <c r="N182" s="283">
        <f>IF(ISBLANK(INDEX('Policy Characteristics'!H:H,MATCH($C182,'Policy Characteristics'!$C:$C,0))),"",INDEX('Policy Characteristics'!H:H,MATCH($C182,'Policy Characteristics'!$C:$C,0)))</f>
        <v>1</v>
      </c>
      <c r="O182" s="275" t="str">
        <f>IF(ISBLANK(INDEX('Policy Characteristics'!I:I,MATCH($C182,'Policy Characteristics'!$C:$C,0))),"",INDEX('Policy Characteristics'!I:I,MATCH($C182,'Policy Characteristics'!$C:$C,0)))</f>
        <v>$ / kWh</v>
      </c>
      <c r="P182" s="275" t="str">
        <f>IF(ISBLANK(INDEX('Policy Characteristics'!J:J,MATCH($C182,'Policy Characteristics'!$C:$C,0))),"",INDEX('Policy Characteristics'!J:J,MATCH($C182,'Policy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2" s="275" t="str">
        <f>IF(ISBLANK(INDEX('Policy Characteristics'!K:K,MATCH($C182,'Policy Characteristics'!$C:$C,0))),"",INDEX('Policy Characteristics'!K:K,MATCH($C182,'Policy Characteristics'!$C:$C,0)))</f>
        <v>transportation-sector-main.html#ev-mandate</v>
      </c>
      <c r="R182" s="275" t="str">
        <f>IF(ISBLANK(INDEX('Policy Characteristics'!L:L,MATCH($C182,'Policy Characteristics'!$C:$C,0))),"",INDEX('Policy Characteristics'!L:L,MATCH($C182,'Policy Characteristics'!$C:$C,0)))</f>
        <v>ev-mandate.html</v>
      </c>
    </row>
    <row r="183" spans="1:18" x14ac:dyDescent="0.25">
      <c r="A183" s="275" t="str">
        <f>IF(ISBLANK(INDEX('Policy Characteristics'!A:A,MATCH($C183,'Policy Characteristics'!$C:$C,0))),"",INDEX('Policy Characteristics'!A:A,MATCH($C183,'Policy Characteristics'!$C:$C,0)))</f>
        <v>Transportation</v>
      </c>
      <c r="B183" s="284" t="str">
        <f>IF(ISBLANK(INDEX('Policy Characteristics'!B:B,MATCH($C183,'Policy Characteristics'!$C:$C,0))),"",INDEX('Policy Characteristics'!B:B,MATCH($C183,'Policy Characteristics'!$C:$C,0)))</f>
        <v>Zero-Emission Vehicle Sales Standard</v>
      </c>
      <c r="C183" s="275" t="str">
        <f t="shared" si="9"/>
        <v>Minimum Required ZEV Sales Percentage</v>
      </c>
      <c r="D183" s="2" t="s">
        <v>42</v>
      </c>
      <c r="E183" s="2" t="s">
        <v>41</v>
      </c>
      <c r="F183" s="2" t="s">
        <v>85</v>
      </c>
      <c r="G183" s="2" t="s">
        <v>3313</v>
      </c>
      <c r="H183" s="49">
        <v>501</v>
      </c>
      <c r="I183" s="346" t="s">
        <v>44</v>
      </c>
      <c r="J183" s="276" t="str">
        <f>IF(ISBLANK(INDEX('Policy Characteristics'!D:D,MATCH($C183,'Policy Characteristics'!$C:$C,0))),"",INDEX('Policy Characteristics'!D:D,MATCH($C183,'Policy Characteristics'!$C:$C,0)))</f>
        <v>ZEV Sales Standard</v>
      </c>
      <c r="K183" s="275" t="str">
        <f>IF(ISBLANK(INDEX('Policy Characteristics'!E:E,MATCH($C183,'Policy Characteristics'!$C:$C,0))),"",INDEX('Policy Characteristics'!E:E,MATCH($C183,'Policy Characteristics'!$C:$C,0)))</f>
        <v>trans ZEV minimum</v>
      </c>
      <c r="L183" s="283">
        <f>IF(ISBLANK(INDEX('Policy Characteristics'!F:F,MATCH($C183,'Policy Characteristics'!$C:$C,0))),"",INDEX('Policy Characteristics'!F:F,MATCH($C183,'Policy Characteristics'!$C:$C,0)))</f>
        <v>0</v>
      </c>
      <c r="M183" s="283">
        <f>IF(ISBLANK(INDEX('Policy Characteristics'!G:G,MATCH($C183,'Policy Characteristics'!$C:$C,0))),"",INDEX('Policy Characteristics'!G:G,MATCH($C183,'Policy Characteristics'!$C:$C,0)))</f>
        <v>50</v>
      </c>
      <c r="N183" s="283">
        <f>IF(ISBLANK(INDEX('Policy Characteristics'!H:H,MATCH($C183,'Policy Characteristics'!$C:$C,0))),"",INDEX('Policy Characteristics'!H:H,MATCH($C183,'Policy Characteristics'!$C:$C,0)))</f>
        <v>1</v>
      </c>
      <c r="O183" s="275" t="str">
        <f>IF(ISBLANK(INDEX('Policy Characteristics'!I:I,MATCH($C183,'Policy Characteristics'!$C:$C,0))),"",INDEX('Policy Characteristics'!I:I,MATCH($C183,'Policy Characteristics'!$C:$C,0)))</f>
        <v>$ / kWh</v>
      </c>
      <c r="P183" s="275" t="str">
        <f>IF(ISBLANK(INDEX('Policy Characteristics'!J:J,MATCH($C183,'Policy Characteristics'!$C:$C,0))),"",INDEX('Policy Characteristics'!J:J,MATCH($C183,'Policy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3" s="275" t="str">
        <f>IF(ISBLANK(INDEX('Policy Characteristics'!K:K,MATCH($C183,'Policy Characteristics'!$C:$C,0))),"",INDEX('Policy Characteristics'!K:K,MATCH($C183,'Policy Characteristics'!$C:$C,0)))</f>
        <v>transportation-sector-main.html#ev-mandate</v>
      </c>
      <c r="R183" s="275" t="str">
        <f>IF(ISBLANK(INDEX('Policy Characteristics'!L:L,MATCH($C183,'Policy Characteristics'!$C:$C,0))),"",INDEX('Policy Characteristics'!L:L,MATCH($C183,'Policy Characteristics'!$C:$C,0)))</f>
        <v>ev-mandate.html</v>
      </c>
    </row>
    <row r="184" spans="1:18" x14ac:dyDescent="0.25">
      <c r="A184" s="275" t="str">
        <f>IF(ISBLANK(INDEX('Policy Characteristics'!A:A,MATCH($C184,'Policy Characteristics'!$C:$C,0))),"",INDEX('Policy Characteristics'!A:A,MATCH($C184,'Policy Characteristics'!$C:$C,0)))</f>
        <v>Transportation</v>
      </c>
      <c r="B184" s="284" t="str">
        <f>IF(ISBLANK(INDEX('Policy Characteristics'!B:B,MATCH($C184,'Policy Characteristics'!$C:$C,0))),"",INDEX('Policy Characteristics'!B:B,MATCH($C184,'Policy Characteristics'!$C:$C,0)))</f>
        <v>Zero-Emission Vehicle Sales Standard</v>
      </c>
      <c r="C184" s="275" t="str">
        <f t="shared" si="9"/>
        <v>Minimum Required ZEV Sales Percentage</v>
      </c>
      <c r="D184" s="2" t="s">
        <v>45</v>
      </c>
      <c r="E184" s="2" t="s">
        <v>113</v>
      </c>
      <c r="F184" s="2" t="s">
        <v>84</v>
      </c>
      <c r="G184" s="2" t="s">
        <v>144</v>
      </c>
      <c r="H184" s="49">
        <v>188</v>
      </c>
      <c r="I184" s="346" t="s">
        <v>43</v>
      </c>
      <c r="J184" s="276" t="str">
        <f>IF(ISBLANK(INDEX('Policy Characteristics'!D:D,MATCH($C184,'Policy Characteristics'!$C:$C,0))),"",INDEX('Policy Characteristics'!D:D,MATCH($C184,'Policy Characteristics'!$C:$C,0)))</f>
        <v>ZEV Sales Standard</v>
      </c>
      <c r="K184" s="275" t="str">
        <f>IF(ISBLANK(INDEX('Policy Characteristics'!E:E,MATCH($C184,'Policy Characteristics'!$C:$C,0))),"",INDEX('Policy Characteristics'!E:E,MATCH($C184,'Policy Characteristics'!$C:$C,0)))</f>
        <v>trans ZEV minimum</v>
      </c>
      <c r="L184" s="283">
        <f>IF(ISBLANK(INDEX('Policy Characteristics'!F:F,MATCH($C184,'Policy Characteristics'!$C:$C,0))),"",INDEX('Policy Characteristics'!F:F,MATCH($C184,'Policy Characteristics'!$C:$C,0)))</f>
        <v>0</v>
      </c>
      <c r="M184" s="283">
        <f>IF(ISBLANK(INDEX('Policy Characteristics'!G:G,MATCH($C184,'Policy Characteristics'!$C:$C,0))),"",INDEX('Policy Characteristics'!G:G,MATCH($C184,'Policy Characteristics'!$C:$C,0)))</f>
        <v>50</v>
      </c>
      <c r="N184" s="283">
        <f>IF(ISBLANK(INDEX('Policy Characteristics'!H:H,MATCH($C184,'Policy Characteristics'!$C:$C,0))),"",INDEX('Policy Characteristics'!H:H,MATCH($C184,'Policy Characteristics'!$C:$C,0)))</f>
        <v>1</v>
      </c>
      <c r="O184" s="275" t="str">
        <f>IF(ISBLANK(INDEX('Policy Characteristics'!I:I,MATCH($C184,'Policy Characteristics'!$C:$C,0))),"",INDEX('Policy Characteristics'!I:I,MATCH($C184,'Policy Characteristics'!$C:$C,0)))</f>
        <v>$ / kWh</v>
      </c>
      <c r="P184" s="275" t="str">
        <f>IF(ISBLANK(INDEX('Policy Characteristics'!J:J,MATCH($C184,'Policy Characteristics'!$C:$C,0))),"",INDEX('Policy Characteristics'!J:J,MATCH($C184,'Policy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4" s="275" t="str">
        <f>IF(ISBLANK(INDEX('Policy Characteristics'!K:K,MATCH($C184,'Policy Characteristics'!$C:$C,0))),"",INDEX('Policy Characteristics'!K:K,MATCH($C184,'Policy Characteristics'!$C:$C,0)))</f>
        <v>transportation-sector-main.html#ev-mandate</v>
      </c>
      <c r="R184" s="275" t="str">
        <f>IF(ISBLANK(INDEX('Policy Characteristics'!L:L,MATCH($C184,'Policy Characteristics'!$C:$C,0))),"",INDEX('Policy Characteristics'!L:L,MATCH($C184,'Policy Characteristics'!$C:$C,0)))</f>
        <v>ev-mandate.html</v>
      </c>
    </row>
    <row r="185" spans="1:18" x14ac:dyDescent="0.25">
      <c r="A185" s="275" t="str">
        <f>IF(ISBLANK(INDEX('Policy Characteristics'!A:A,MATCH($C185,'Policy Characteristics'!$C:$C,0))),"",INDEX('Policy Characteristics'!A:A,MATCH($C185,'Policy Characteristics'!$C:$C,0)))</f>
        <v>Transportation</v>
      </c>
      <c r="B185" s="284" t="str">
        <f>IF(ISBLANK(INDEX('Policy Characteristics'!B:B,MATCH($C185,'Policy Characteristics'!$C:$C,0))),"",INDEX('Policy Characteristics'!B:B,MATCH($C185,'Policy Characteristics'!$C:$C,0)))</f>
        <v>Zero-Emission Vehicle Sales Standard</v>
      </c>
      <c r="C185" s="275" t="str">
        <f t="shared" si="9"/>
        <v>Minimum Required ZEV Sales Percentage</v>
      </c>
      <c r="D185" s="2" t="s">
        <v>42</v>
      </c>
      <c r="E185" s="2" t="s">
        <v>113</v>
      </c>
      <c r="F185" s="2" t="s">
        <v>85</v>
      </c>
      <c r="G185" s="2" t="s">
        <v>144</v>
      </c>
      <c r="H185" s="49">
        <v>591</v>
      </c>
      <c r="I185" s="347" t="s">
        <v>44</v>
      </c>
      <c r="J185" s="276" t="str">
        <f>IF(ISBLANK(INDEX('Policy Characteristics'!D:D,MATCH($C185,'Policy Characteristics'!$C:$C,0))),"",INDEX('Policy Characteristics'!D:D,MATCH($C185,'Policy Characteristics'!$C:$C,0)))</f>
        <v>ZEV Sales Standard</v>
      </c>
      <c r="K185" s="275" t="str">
        <f>IF(ISBLANK(INDEX('Policy Characteristics'!E:E,MATCH($C185,'Policy Characteristics'!$C:$C,0))),"",INDEX('Policy Characteristics'!E:E,MATCH($C185,'Policy Characteristics'!$C:$C,0)))</f>
        <v>trans ZEV minimum</v>
      </c>
      <c r="L185" s="283">
        <f>IF(ISBLANK(INDEX('Policy Characteristics'!F:F,MATCH($C185,'Policy Characteristics'!$C:$C,0))),"",INDEX('Policy Characteristics'!F:F,MATCH($C185,'Policy Characteristics'!$C:$C,0)))</f>
        <v>0</v>
      </c>
      <c r="M185" s="283">
        <f>IF(ISBLANK(INDEX('Policy Characteristics'!G:G,MATCH($C185,'Policy Characteristics'!$C:$C,0))),"",INDEX('Policy Characteristics'!G:G,MATCH($C185,'Policy Characteristics'!$C:$C,0)))</f>
        <v>50</v>
      </c>
      <c r="N185" s="283">
        <f>IF(ISBLANK(INDEX('Policy Characteristics'!H:H,MATCH($C185,'Policy Characteristics'!$C:$C,0))),"",INDEX('Policy Characteristics'!H:H,MATCH($C185,'Policy Characteristics'!$C:$C,0)))</f>
        <v>1</v>
      </c>
      <c r="O185" s="275" t="str">
        <f>IF(ISBLANK(INDEX('Policy Characteristics'!I:I,MATCH($C185,'Policy Characteristics'!$C:$C,0))),"",INDEX('Policy Characteristics'!I:I,MATCH($C185,'Policy Characteristics'!$C:$C,0)))</f>
        <v>$ / kWh</v>
      </c>
      <c r="P185" s="275" t="str">
        <f>IF(ISBLANK(INDEX('Policy Characteristics'!J:J,MATCH($C185,'Policy Characteristics'!$C:$C,0))),"",INDEX('Policy Characteristics'!J:J,MATCH($C185,'Policy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5" s="275" t="str">
        <f>IF(ISBLANK(INDEX('Policy Characteristics'!K:K,MATCH($C185,'Policy Characteristics'!$C:$C,0))),"",INDEX('Policy Characteristics'!K:K,MATCH($C185,'Policy Characteristics'!$C:$C,0)))</f>
        <v>transportation-sector-main.html#ev-mandate</v>
      </c>
      <c r="R185" s="275" t="str">
        <f>IF(ISBLANK(INDEX('Policy Characteristics'!L:L,MATCH($C185,'Policy Characteristics'!$C:$C,0))),"",INDEX('Policy Characteristics'!L:L,MATCH($C185,'Policy Characteristics'!$C:$C,0)))</f>
        <v>ev-mandate.html</v>
      </c>
    </row>
    <row r="186" spans="1:18" x14ac:dyDescent="0.25">
      <c r="A186" s="275" t="str">
        <f>IF(ISBLANK(INDEX('Policy Characteristics'!A:A,MATCH($C186,'Policy Characteristics'!$C:$C,0))),"",INDEX('Policy Characteristics'!A:A,MATCH($C186,'Policy Characteristics'!$C:$C,0)))</f>
        <v>Transportation</v>
      </c>
      <c r="B186" s="284" t="str">
        <f>IF(ISBLANK(INDEX('Policy Characteristics'!B:B,MATCH($C186,'Policy Characteristics'!$C:$C,0))),"",INDEX('Policy Characteristics'!B:B,MATCH($C186,'Policy Characteristics'!$C:$C,0)))</f>
        <v>Non-BAU ZEV-Qualifying Vehicles</v>
      </c>
      <c r="C186" s="1" t="s">
        <v>3464</v>
      </c>
      <c r="D186" s="47"/>
      <c r="E186" s="47"/>
      <c r="F186" s="47"/>
      <c r="G186" s="47"/>
      <c r="H186" s="44">
        <v>1655</v>
      </c>
      <c r="I186" s="346" t="s">
        <v>43</v>
      </c>
      <c r="J186" s="276" t="str">
        <f>IF(ISBLANK(INDEX('Policy Characteristics'!D:D,MATCH($C186,'Policy Characteristics'!$C:$C,0))),"",INDEX('Policy Characteristics'!D:D,MATCH($C186,'Policy Characteristics'!$C:$C,0)))</f>
        <v>ZEV Sales Standard</v>
      </c>
      <c r="K186" s="275" t="str">
        <f>IF(ISBLANK(INDEX('Policy Characteristics'!E:E,MATCH($C186,'Policy Characteristics'!$C:$C,0))),"",INDEX('Policy Characteristics'!E:E,MATCH($C186,'Policy Characteristics'!$C:$C,0)))</f>
        <v>trans non BAU ZEV vehicle definitions</v>
      </c>
      <c r="L186" s="283">
        <f>IF(ISBLANK(INDEX('Policy Characteristics'!F:F,MATCH($C186,'Policy Characteristics'!$C:$C,0))),"",INDEX('Policy Characteristics'!F:F,MATCH($C186,'Policy Characteristics'!$C:$C,0)))</f>
        <v>0</v>
      </c>
      <c r="M186" s="283">
        <f>IF(ISBLANK(INDEX('Policy Characteristics'!G:G,MATCH($C186,'Policy Characteristics'!$C:$C,0))),"",INDEX('Policy Characteristics'!G:G,MATCH($C186,'Policy Characteristics'!$C:$C,0)))</f>
        <v>1</v>
      </c>
      <c r="N186" s="283">
        <f>IF(ISBLANK(INDEX('Policy Characteristics'!H:H,MATCH($C186,'Policy Characteristics'!$C:$C,0))),"",INDEX('Policy Characteristics'!H:H,MATCH($C186,'Policy Characteristics'!$C:$C,0)))</f>
        <v>1</v>
      </c>
      <c r="O186" s="275" t="str">
        <f>IF(ISBLANK(INDEX('Policy Characteristics'!I:I,MATCH($C186,'Policy Characteristics'!$C:$C,0))),"",INDEX('Policy Characteristics'!I:I,MATCH($C186,'Policy Characteristics'!$C:$C,0)))</f>
        <v>on/off</v>
      </c>
      <c r="P186" s="275"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75" t="str">
        <f>IF(ISBLANK(INDEX('Policy Characteristics'!K:K,MATCH($C186,'Policy Characteristics'!$C:$C,0))),"",INDEX('Policy Characteristics'!K:K,MATCH($C186,'Policy Characteristics'!$C:$C,0)))</f>
        <v/>
      </c>
      <c r="R186" s="275" t="str">
        <f>IF(ISBLANK(INDEX('Policy Characteristics'!L:L,MATCH($C186,'Policy Characteristics'!$C:$C,0))),"",INDEX('Policy Characteristics'!L:L,MATCH($C186,'Policy Characteristics'!$C:$C,0)))</f>
        <v/>
      </c>
    </row>
    <row r="187" spans="1:18" s="2" customFormat="1" x14ac:dyDescent="0.25">
      <c r="A187" s="275" t="str">
        <f>IF(ISBLANK(INDEX('Policy Characteristics'!A:A,MATCH($C187,'Policy Characteristics'!$C:$C,0))),"",INDEX('Policy Characteristics'!A:A,MATCH($C187,'Policy Characteristics'!$C:$C,0)))</f>
        <v>Transportation</v>
      </c>
      <c r="B187" s="284" t="str">
        <f>IF(ISBLANK(INDEX('Policy Characteristics'!B:B,MATCH($C187,'Policy Characteristics'!$C:$C,0))),"",INDEX('Policy Characteristics'!B:B,MATCH($C187,'Policy Characteristics'!$C:$C,0)))</f>
        <v>Subsidy for Vehicle Battery Production</v>
      </c>
      <c r="C187" s="1" t="s">
        <v>3664</v>
      </c>
      <c r="H187" s="44">
        <v>2257</v>
      </c>
      <c r="I187" s="346" t="s">
        <v>43</v>
      </c>
      <c r="J187" s="276" t="str">
        <f>IF(ISBLANK(INDEX('Policy Characteristics'!D:D,MATCH($C187,'Policy Characteristics'!$C:$C,0))),"",INDEX('Policy Characteristics'!D:D,MATCH($C187,'Policy Characteristics'!$C:$C,0)))</f>
        <v>Vehicle Battery Production Subsidy</v>
      </c>
      <c r="K187" s="275" t="str">
        <f>IF(ISBLANK(INDEX('Policy Characteristics'!E:E,MATCH($C187,'Policy Characteristics'!$C:$C,0))),"",INDEX('Policy Characteristics'!E:E,MATCH($C187,'Policy Characteristics'!$C:$C,0)))</f>
        <v>trans battery subsidy</v>
      </c>
      <c r="L187" s="283">
        <f>IF(ISBLANK(INDEX('Policy Characteristics'!F:F,MATCH($C187,'Policy Characteristics'!$C:$C,0))),"",INDEX('Policy Characteristics'!F:F,MATCH($C187,'Policy Characteristics'!$C:$C,0)))</f>
        <v>0</v>
      </c>
      <c r="M187" s="283">
        <f>IF(ISBLANK(INDEX('Policy Characteristics'!G:G,MATCH($C187,'Policy Characteristics'!$C:$C,0))),"",INDEX('Policy Characteristics'!G:G,MATCH($C187,'Policy Characteristics'!$C:$C,0)))</f>
        <v>1</v>
      </c>
      <c r="N187" s="283">
        <f>IF(ISBLANK(INDEX('Policy Characteristics'!H:H,MATCH($C187,'Policy Characteristics'!$C:$C,0))),"",INDEX('Policy Characteristics'!H:H,MATCH($C187,'Policy Characteristics'!$C:$C,0)))</f>
        <v>1</v>
      </c>
      <c r="O187" s="275" t="str">
        <f>IF(ISBLANK(INDEX('Policy Characteristics'!I:I,MATCH($C187,'Policy Characteristics'!$C:$C,0))),"",INDEX('Policy Characteristics'!I:I,MATCH($C187,'Policy Characteristics'!$C:$C,0)))</f>
        <v>on/off</v>
      </c>
      <c r="P187" s="275"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275" t="str">
        <f>IF(ISBLANK(INDEX('Policy Characteristics'!K:K,MATCH($C187,'Policy Characteristics'!$C:$C,0))),"",INDEX('Policy Characteristics'!K:K,MATCH($C187,'Policy Characteristics'!$C:$C,0)))</f>
        <v/>
      </c>
      <c r="R187" s="275" t="str">
        <f>IF(ISBLANK(INDEX('Policy Characteristics'!L:L,MATCH($C187,'Policy Characteristics'!$C:$C,0))),"",INDEX('Policy Characteristics'!L:L,MATCH($C187,'Policy Characteristics'!$C:$C,0)))</f>
        <v/>
      </c>
    </row>
    <row r="188" spans="1:18" x14ac:dyDescent="0.25">
      <c r="A188" s="275" t="str">
        <f>IF(ISBLANK(INDEX('Policy Characteristics'!A:A,MATCH($C188,'Policy Characteristics'!$C:$C,0))),"",INDEX('Policy Characteristics'!A:A,MATCH($C188,'Policy Characteristics'!$C:$C,0)))</f>
        <v>Buildings and Appliances</v>
      </c>
      <c r="B188" s="284" t="str">
        <f>IF(ISBLANK(INDEX('Policy Characteristics'!B:B,MATCH($C188,'Policy Characteristics'!$C:$C,0))),"",INDEX('Policy Characteristics'!B:B,MATCH($C188,'Policy Characteristics'!$C:$C,0)))</f>
        <v>Building Component Electrification</v>
      </c>
      <c r="C188" t="s">
        <v>2489</v>
      </c>
      <c r="D188" s="47" t="s">
        <v>115</v>
      </c>
      <c r="E188" s="47" t="s">
        <v>277</v>
      </c>
      <c r="F188" s="47" t="s">
        <v>121</v>
      </c>
      <c r="G188" s="47" t="s">
        <v>281</v>
      </c>
      <c r="H188" s="44">
        <v>435</v>
      </c>
      <c r="I188" s="346" t="s">
        <v>43</v>
      </c>
      <c r="J188" s="276" t="str">
        <f>IF(ISBLANK(INDEX('Policy Characteristics'!D:D,MATCH($C188,'Policy Characteristics'!$C:$C,0))),"",INDEX('Policy Characteristics'!D:D,MATCH($C188,'Policy Characteristics'!$C:$C,0)))</f>
        <v>Building Component Electrification</v>
      </c>
      <c r="K188" s="275" t="str">
        <f>IF(ISBLANK(INDEX('Policy Characteristics'!E:E,MATCH($C188,'Policy Characteristics'!$C:$C,0))),"",INDEX('Policy Characteristics'!E:E,MATCH($C188,'Policy Characteristics'!$C:$C,0)))</f>
        <v>bldgs new component fuel shifting</v>
      </c>
      <c r="L188" s="283">
        <f>IF(ISBLANK(INDEX('Policy Characteristics'!F:F,MATCH($C188,'Policy Characteristics'!$C:$C,0))),"",INDEX('Policy Characteristics'!F:F,MATCH($C188,'Policy Characteristics'!$C:$C,0)))</f>
        <v>0</v>
      </c>
      <c r="M188" s="283">
        <f>IF(ISBLANK(INDEX('Policy Characteristics'!G:G,MATCH($C188,'Policy Characteristics'!$C:$C,0))),"",INDEX('Policy Characteristics'!G:G,MATCH($C188,'Policy Characteristics'!$C:$C,0)))</f>
        <v>1</v>
      </c>
      <c r="N188" s="283">
        <f>IF(ISBLANK(INDEX('Policy Characteristics'!H:H,MATCH($C188,'Policy Characteristics'!$C:$C,0))),"",INDEX('Policy Characteristics'!H:H,MATCH($C188,'Policy Characteristics'!$C:$C,0)))</f>
        <v>0.01</v>
      </c>
      <c r="O188" s="275" t="str">
        <f>IF(ISBLANK(INDEX('Policy Characteristics'!I:I,MATCH($C188,'Policy Characteristics'!$C:$C,0))),"",INDEX('Policy Characteristics'!I:I,MATCH($C188,'Policy Characteristics'!$C:$C,0)))</f>
        <v>% of newly sold non-electric building components</v>
      </c>
      <c r="P188" s="275" t="str">
        <f>IF(ISBLANK(INDEX('Policy Characteristics'!J:J,MATCH($C188,'Policy Characteristics'!$C:$C,0))),"",INDEX('Policy Characteristics'!J:J,MATCH($C188,'Policy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88" s="275" t="str">
        <f>IF(ISBLANK(INDEX('Policy Characteristics'!K:K,MATCH($C188,'Policy Characteristics'!$C:$C,0))),"",INDEX('Policy Characteristics'!K:K,MATCH($C188,'Policy Characteristics'!$C:$C,0)))</f>
        <v>buildings-sector-main.html#component-elec</v>
      </c>
      <c r="R188" s="275" t="str">
        <f>IF(ISBLANK(INDEX('Policy Characteristics'!L:L,MATCH($C188,'Policy Characteristics'!$C:$C,0))),"",INDEX('Policy Characteristics'!L:L,MATCH($C188,'Policy Characteristics'!$C:$C,0)))</f>
        <v>building-component-electrification.html</v>
      </c>
    </row>
    <row r="189" spans="1:18" x14ac:dyDescent="0.25">
      <c r="A189" s="275" t="str">
        <f>IF(ISBLANK(INDEX('Policy Characteristics'!A:A,MATCH($C189,'Policy Characteristics'!$C:$C,0))),"",INDEX('Policy Characteristics'!A:A,MATCH($C189,'Policy Characteristics'!$C:$C,0)))</f>
        <v>Buildings and Appliances</v>
      </c>
      <c r="B189" s="284" t="str">
        <f>IF(ISBLANK(INDEX('Policy Characteristics'!B:B,MATCH($C189,'Policy Characteristics'!$C:$C,0))),"",INDEX('Policy Characteristics'!B:B,MATCH($C189,'Policy Characteristics'!$C:$C,0)))</f>
        <v>Building Component Electrification</v>
      </c>
      <c r="C189" s="275" t="str">
        <f t="shared" ref="C189:C201" si="10">C$188</f>
        <v>Fraction of New Bldg Components Shifted to Other Fuels</v>
      </c>
      <c r="D189" s="47" t="s">
        <v>116</v>
      </c>
      <c r="E189" s="47" t="s">
        <v>277</v>
      </c>
      <c r="F189" s="47" t="s">
        <v>122</v>
      </c>
      <c r="G189" s="47" t="s">
        <v>281</v>
      </c>
      <c r="H189" s="44">
        <v>436</v>
      </c>
      <c r="I189" s="346" t="s">
        <v>44</v>
      </c>
      <c r="J189" s="276" t="str">
        <f>IF(ISBLANK(INDEX('Policy Characteristics'!D:D,MATCH($C189,'Policy Characteristics'!$C:$C,0))),"",INDEX('Policy Characteristics'!D:D,MATCH($C189,'Policy Characteristics'!$C:$C,0)))</f>
        <v>Building Component Electrification</v>
      </c>
      <c r="K189" s="275" t="str">
        <f>IF(ISBLANK(INDEX('Policy Characteristics'!E:E,MATCH($C189,'Policy Characteristics'!$C:$C,0))),"",INDEX('Policy Characteristics'!E:E,MATCH($C189,'Policy Characteristics'!$C:$C,0)))</f>
        <v>bldgs new component fuel shifting</v>
      </c>
      <c r="L189" s="283">
        <f>IF(ISBLANK(INDEX('Policy Characteristics'!F:F,MATCH($C189,'Policy Characteristics'!$C:$C,0))),"",INDEX('Policy Characteristics'!F:F,MATCH($C189,'Policy Characteristics'!$C:$C,0)))</f>
        <v>0</v>
      </c>
      <c r="M189" s="283">
        <f>IF(ISBLANK(INDEX('Policy Characteristics'!G:G,MATCH($C189,'Policy Characteristics'!$C:$C,0))),"",INDEX('Policy Characteristics'!G:G,MATCH($C189,'Policy Characteristics'!$C:$C,0)))</f>
        <v>1</v>
      </c>
      <c r="N189" s="283">
        <f>IF(ISBLANK(INDEX('Policy Characteristics'!H:H,MATCH($C189,'Policy Characteristics'!$C:$C,0))),"",INDEX('Policy Characteristics'!H:H,MATCH($C189,'Policy Characteristics'!$C:$C,0)))</f>
        <v>0.01</v>
      </c>
      <c r="O189" s="275" t="str">
        <f>IF(ISBLANK(INDEX('Policy Characteristics'!I:I,MATCH($C189,'Policy Characteristics'!$C:$C,0))),"",INDEX('Policy Characteristics'!I:I,MATCH($C189,'Policy Characteristics'!$C:$C,0)))</f>
        <v>% of newly sold non-electric building components</v>
      </c>
      <c r="P189" s="275" t="str">
        <f>IF(ISBLANK(INDEX('Policy Characteristics'!J:J,MATCH($C189,'Policy Characteristics'!$C:$C,0))),"",INDEX('Policy Characteristics'!J:J,MATCH($C189,'Policy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89" s="275" t="str">
        <f>IF(ISBLANK(INDEX('Policy Characteristics'!K:K,MATCH($C189,'Policy Characteristics'!$C:$C,0))),"",INDEX('Policy Characteristics'!K:K,MATCH($C189,'Policy Characteristics'!$C:$C,0)))</f>
        <v>buildings-sector-main.html#component-elec</v>
      </c>
      <c r="R189" s="275" t="str">
        <f>IF(ISBLANK(INDEX('Policy Characteristics'!L:L,MATCH($C189,'Policy Characteristics'!$C:$C,0))),"",INDEX('Policy Characteristics'!L:L,MATCH($C189,'Policy Characteristics'!$C:$C,0)))</f>
        <v>building-component-electrification.html</v>
      </c>
    </row>
    <row r="190" spans="1:18" x14ac:dyDescent="0.25">
      <c r="A190" s="275" t="str">
        <f>IF(ISBLANK(INDEX('Policy Characteristics'!A:A,MATCH($C190,'Policy Characteristics'!$C:$C,0))),"",INDEX('Policy Characteristics'!A:A,MATCH($C190,'Policy Characteristics'!$C:$C,0)))</f>
        <v>Buildings and Appliances</v>
      </c>
      <c r="B190" s="284" t="str">
        <f>IF(ISBLANK(INDEX('Policy Characteristics'!B:B,MATCH($C190,'Policy Characteristics'!$C:$C,0))),"",INDEX('Policy Characteristics'!B:B,MATCH($C190,'Policy Characteristics'!$C:$C,0)))</f>
        <v>Building Component Electrification</v>
      </c>
      <c r="C190" s="275" t="str">
        <f t="shared" si="10"/>
        <v>Fraction of New Bldg Components Shifted to Other Fuels</v>
      </c>
      <c r="D190" s="47" t="s">
        <v>118</v>
      </c>
      <c r="E190" s="47" t="s">
        <v>277</v>
      </c>
      <c r="F190" s="47" t="s">
        <v>124</v>
      </c>
      <c r="G190" s="47" t="s">
        <v>281</v>
      </c>
      <c r="H190" s="44">
        <v>437</v>
      </c>
      <c r="I190" s="346" t="s">
        <v>44</v>
      </c>
      <c r="J190" s="276" t="str">
        <f>IF(ISBLANK(INDEX('Policy Characteristics'!D:D,MATCH($C190,'Policy Characteristics'!$C:$C,0))),"",INDEX('Policy Characteristics'!D:D,MATCH($C190,'Policy Characteristics'!$C:$C,0)))</f>
        <v>Building Component Electrification</v>
      </c>
      <c r="K190" s="275" t="str">
        <f>IF(ISBLANK(INDEX('Policy Characteristics'!E:E,MATCH($C190,'Policy Characteristics'!$C:$C,0))),"",INDEX('Policy Characteristics'!E:E,MATCH($C190,'Policy Characteristics'!$C:$C,0)))</f>
        <v>bldgs new component fuel shifting</v>
      </c>
      <c r="L190" s="283">
        <f>IF(ISBLANK(INDEX('Policy Characteristics'!F:F,MATCH($C190,'Policy Characteristics'!$C:$C,0))),"",INDEX('Policy Characteristics'!F:F,MATCH($C190,'Policy Characteristics'!$C:$C,0)))</f>
        <v>0</v>
      </c>
      <c r="M190" s="283">
        <f>IF(ISBLANK(INDEX('Policy Characteristics'!G:G,MATCH($C190,'Policy Characteristics'!$C:$C,0))),"",INDEX('Policy Characteristics'!G:G,MATCH($C190,'Policy Characteristics'!$C:$C,0)))</f>
        <v>1</v>
      </c>
      <c r="N190" s="283">
        <f>IF(ISBLANK(INDEX('Policy Characteristics'!H:H,MATCH($C190,'Policy Characteristics'!$C:$C,0))),"",INDEX('Policy Characteristics'!H:H,MATCH($C190,'Policy Characteristics'!$C:$C,0)))</f>
        <v>0.01</v>
      </c>
      <c r="O190" s="275" t="str">
        <f>IF(ISBLANK(INDEX('Policy Characteristics'!I:I,MATCH($C190,'Policy Characteristics'!$C:$C,0))),"",INDEX('Policy Characteristics'!I:I,MATCH($C190,'Policy Characteristics'!$C:$C,0)))</f>
        <v>% of newly sold non-electric building components</v>
      </c>
      <c r="P190" s="275" t="str">
        <f>IF(ISBLANK(INDEX('Policy Characteristics'!J:J,MATCH($C190,'Policy Characteristics'!$C:$C,0))),"",INDEX('Policy Characteristics'!J:J,MATCH($C190,'Policy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0" s="275" t="str">
        <f>IF(ISBLANK(INDEX('Policy Characteristics'!K:K,MATCH($C190,'Policy Characteristics'!$C:$C,0))),"",INDEX('Policy Characteristics'!K:K,MATCH($C190,'Policy Characteristics'!$C:$C,0)))</f>
        <v>buildings-sector-main.html#component-elec</v>
      </c>
      <c r="R190" s="275" t="str">
        <f>IF(ISBLANK(INDEX('Policy Characteristics'!L:L,MATCH($C190,'Policy Characteristics'!$C:$C,0))),"",INDEX('Policy Characteristics'!L:L,MATCH($C190,'Policy Characteristics'!$C:$C,0)))</f>
        <v>building-component-electrification.html</v>
      </c>
    </row>
    <row r="191" spans="1:18" x14ac:dyDescent="0.25">
      <c r="A191" s="275" t="str">
        <f>IF(ISBLANK(INDEX('Policy Characteristics'!A:A,MATCH($C191,'Policy Characteristics'!$C:$C,0))),"",INDEX('Policy Characteristics'!A:A,MATCH($C191,'Policy Characteristics'!$C:$C,0)))</f>
        <v>Buildings and Appliances</v>
      </c>
      <c r="B191" s="284" t="str">
        <f>IF(ISBLANK(INDEX('Policy Characteristics'!B:B,MATCH($C191,'Policy Characteristics'!$C:$C,0))),"",INDEX('Policy Characteristics'!B:B,MATCH($C191,'Policy Characteristics'!$C:$C,0)))</f>
        <v>Building Component Electrification</v>
      </c>
      <c r="C191" s="275" t="str">
        <f t="shared" si="10"/>
        <v>Fraction of New Bldg Components Shifted to Other Fuels</v>
      </c>
      <c r="D191" s="47" t="s">
        <v>119</v>
      </c>
      <c r="E191" s="47" t="s">
        <v>277</v>
      </c>
      <c r="F191" s="47" t="s">
        <v>125</v>
      </c>
      <c r="G191" s="47" t="s">
        <v>281</v>
      </c>
      <c r="H191" s="44">
        <v>438</v>
      </c>
      <c r="I191" s="346" t="s">
        <v>43</v>
      </c>
      <c r="J191" s="276" t="str">
        <f>IF(ISBLANK(INDEX('Policy Characteristics'!D:D,MATCH($C191,'Policy Characteristics'!$C:$C,0))),"",INDEX('Policy Characteristics'!D:D,MATCH($C191,'Policy Characteristics'!$C:$C,0)))</f>
        <v>Building Component Electrification</v>
      </c>
      <c r="K191" s="275" t="str">
        <f>IF(ISBLANK(INDEX('Policy Characteristics'!E:E,MATCH($C191,'Policy Characteristics'!$C:$C,0))),"",INDEX('Policy Characteristics'!E:E,MATCH($C191,'Policy Characteristics'!$C:$C,0)))</f>
        <v>bldgs new component fuel shifting</v>
      </c>
      <c r="L191" s="283">
        <f>IF(ISBLANK(INDEX('Policy Characteristics'!F:F,MATCH($C191,'Policy Characteristics'!$C:$C,0))),"",INDEX('Policy Characteristics'!F:F,MATCH($C191,'Policy Characteristics'!$C:$C,0)))</f>
        <v>0</v>
      </c>
      <c r="M191" s="283">
        <f>IF(ISBLANK(INDEX('Policy Characteristics'!G:G,MATCH($C191,'Policy Characteristics'!$C:$C,0))),"",INDEX('Policy Characteristics'!G:G,MATCH($C191,'Policy Characteristics'!$C:$C,0)))</f>
        <v>1</v>
      </c>
      <c r="N191" s="283">
        <f>IF(ISBLANK(INDEX('Policy Characteristics'!H:H,MATCH($C191,'Policy Characteristics'!$C:$C,0))),"",INDEX('Policy Characteristics'!H:H,MATCH($C191,'Policy Characteristics'!$C:$C,0)))</f>
        <v>0.01</v>
      </c>
      <c r="O191" s="275" t="str">
        <f>IF(ISBLANK(INDEX('Policy Characteristics'!I:I,MATCH($C191,'Policy Characteristics'!$C:$C,0))),"",INDEX('Policy Characteristics'!I:I,MATCH($C191,'Policy Characteristics'!$C:$C,0)))</f>
        <v>% of newly sold non-electric building components</v>
      </c>
      <c r="P191" s="275" t="str">
        <f>IF(ISBLANK(INDEX('Policy Characteristics'!J:J,MATCH($C191,'Policy Characteristics'!$C:$C,0))),"",INDEX('Policy Characteristics'!J:J,MATCH($C191,'Policy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1" s="275" t="str">
        <f>IF(ISBLANK(INDEX('Policy Characteristics'!K:K,MATCH($C191,'Policy Characteristics'!$C:$C,0))),"",INDEX('Policy Characteristics'!K:K,MATCH($C191,'Policy Characteristics'!$C:$C,0)))</f>
        <v>buildings-sector-main.html#component-elec</v>
      </c>
      <c r="R191" s="275" t="str">
        <f>IF(ISBLANK(INDEX('Policy Characteristics'!L:L,MATCH($C191,'Policy Characteristics'!$C:$C,0))),"",INDEX('Policy Characteristics'!L:L,MATCH($C191,'Policy Characteristics'!$C:$C,0)))</f>
        <v>building-component-electrification.html</v>
      </c>
    </row>
    <row r="192" spans="1:18" x14ac:dyDescent="0.25">
      <c r="A192" s="275" t="str">
        <f>IF(ISBLANK(INDEX('Policy Characteristics'!A:A,MATCH($C192,'Policy Characteristics'!$C:$C,0))),"",INDEX('Policy Characteristics'!A:A,MATCH($C192,'Policy Characteristics'!$C:$C,0)))</f>
        <v>Buildings and Appliances</v>
      </c>
      <c r="B192" s="284" t="str">
        <f>IF(ISBLANK(INDEX('Policy Characteristics'!B:B,MATCH($C192,'Policy Characteristics'!$C:$C,0))),"",INDEX('Policy Characteristics'!B:B,MATCH($C192,'Policy Characteristics'!$C:$C,0)))</f>
        <v>Building Component Electrification</v>
      </c>
      <c r="C192" s="275" t="str">
        <f t="shared" si="10"/>
        <v>Fraction of New Bldg Components Shifted to Other Fuels</v>
      </c>
      <c r="D192" s="47" t="s">
        <v>120</v>
      </c>
      <c r="E192" s="47" t="s">
        <v>277</v>
      </c>
      <c r="F192" s="47" t="s">
        <v>126</v>
      </c>
      <c r="G192" s="47" t="s">
        <v>281</v>
      </c>
      <c r="H192" s="44">
        <v>439</v>
      </c>
      <c r="I192" s="346" t="s">
        <v>43</v>
      </c>
      <c r="J192" s="276" t="str">
        <f>IF(ISBLANK(INDEX('Policy Characteristics'!D:D,MATCH($C192,'Policy Characteristics'!$C:$C,0))),"",INDEX('Policy Characteristics'!D:D,MATCH($C192,'Policy Characteristics'!$C:$C,0)))</f>
        <v>Building Component Electrification</v>
      </c>
      <c r="K192" s="275" t="str">
        <f>IF(ISBLANK(INDEX('Policy Characteristics'!E:E,MATCH($C192,'Policy Characteristics'!$C:$C,0))),"",INDEX('Policy Characteristics'!E:E,MATCH($C192,'Policy Characteristics'!$C:$C,0)))</f>
        <v>bldgs new component fuel shifting</v>
      </c>
      <c r="L192" s="283">
        <f>IF(ISBLANK(INDEX('Policy Characteristics'!F:F,MATCH($C192,'Policy Characteristics'!$C:$C,0))),"",INDEX('Policy Characteristics'!F:F,MATCH($C192,'Policy Characteristics'!$C:$C,0)))</f>
        <v>0</v>
      </c>
      <c r="M192" s="283">
        <f>IF(ISBLANK(INDEX('Policy Characteristics'!G:G,MATCH($C192,'Policy Characteristics'!$C:$C,0))),"",INDEX('Policy Characteristics'!G:G,MATCH($C192,'Policy Characteristics'!$C:$C,0)))</f>
        <v>1</v>
      </c>
      <c r="N192" s="283">
        <f>IF(ISBLANK(INDEX('Policy Characteristics'!H:H,MATCH($C192,'Policy Characteristics'!$C:$C,0))),"",INDEX('Policy Characteristics'!H:H,MATCH($C192,'Policy Characteristics'!$C:$C,0)))</f>
        <v>0.01</v>
      </c>
      <c r="O192" s="275" t="str">
        <f>IF(ISBLANK(INDEX('Policy Characteristics'!I:I,MATCH($C192,'Policy Characteristics'!$C:$C,0))),"",INDEX('Policy Characteristics'!I:I,MATCH($C192,'Policy Characteristics'!$C:$C,0)))</f>
        <v>% of newly sold non-electric building components</v>
      </c>
      <c r="P192" s="275" t="str">
        <f>IF(ISBLANK(INDEX('Policy Characteristics'!J:J,MATCH($C192,'Policy Characteristics'!$C:$C,0))),"",INDEX('Policy Characteristics'!J:J,MATCH($C192,'Policy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2" s="275" t="str">
        <f>IF(ISBLANK(INDEX('Policy Characteristics'!K:K,MATCH($C192,'Policy Characteristics'!$C:$C,0))),"",INDEX('Policy Characteristics'!K:K,MATCH($C192,'Policy Characteristics'!$C:$C,0)))</f>
        <v>buildings-sector-main.html#component-elec</v>
      </c>
      <c r="R192" s="275" t="str">
        <f>IF(ISBLANK(INDEX('Policy Characteristics'!L:L,MATCH($C192,'Policy Characteristics'!$C:$C,0))),"",INDEX('Policy Characteristics'!L:L,MATCH($C192,'Policy Characteristics'!$C:$C,0)))</f>
        <v>building-component-electrification.html</v>
      </c>
    </row>
    <row r="193" spans="1:18" x14ac:dyDescent="0.25">
      <c r="A193" s="275" t="str">
        <f>IF(ISBLANK(INDEX('Policy Characteristics'!A:A,MATCH($C193,'Policy Characteristics'!$C:$C,0))),"",INDEX('Policy Characteristics'!A:A,MATCH($C193,'Policy Characteristics'!$C:$C,0)))</f>
        <v>Buildings and Appliances</v>
      </c>
      <c r="B193" s="284" t="str">
        <f>IF(ISBLANK(INDEX('Policy Characteristics'!B:B,MATCH($C193,'Policy Characteristics'!$C:$C,0))),"",INDEX('Policy Characteristics'!B:B,MATCH($C193,'Policy Characteristics'!$C:$C,0)))</f>
        <v>Building Component Electrification</v>
      </c>
      <c r="C193" s="275" t="str">
        <f t="shared" si="10"/>
        <v>Fraction of New Bldg Components Shifted to Other Fuels</v>
      </c>
      <c r="D193" s="47" t="s">
        <v>115</v>
      </c>
      <c r="E193" s="47" t="s">
        <v>278</v>
      </c>
      <c r="F193" s="47" t="s">
        <v>121</v>
      </c>
      <c r="G193" s="47" t="s">
        <v>280</v>
      </c>
      <c r="H193" s="44">
        <v>440</v>
      </c>
      <c r="I193" s="346" t="s">
        <v>43</v>
      </c>
      <c r="J193" s="276" t="str">
        <f>IF(ISBLANK(INDEX('Policy Characteristics'!D:D,MATCH($C193,'Policy Characteristics'!$C:$C,0))),"",INDEX('Policy Characteristics'!D:D,MATCH($C193,'Policy Characteristics'!$C:$C,0)))</f>
        <v>Building Component Electrification</v>
      </c>
      <c r="K193" s="275" t="str">
        <f>IF(ISBLANK(INDEX('Policy Characteristics'!E:E,MATCH($C193,'Policy Characteristics'!$C:$C,0))),"",INDEX('Policy Characteristics'!E:E,MATCH($C193,'Policy Characteristics'!$C:$C,0)))</f>
        <v>bldgs new component fuel shifting</v>
      </c>
      <c r="L193" s="283">
        <f>IF(ISBLANK(INDEX('Policy Characteristics'!F:F,MATCH($C193,'Policy Characteristics'!$C:$C,0))),"",INDEX('Policy Characteristics'!F:F,MATCH($C193,'Policy Characteristics'!$C:$C,0)))</f>
        <v>0</v>
      </c>
      <c r="M193" s="283">
        <f>IF(ISBLANK(INDEX('Policy Characteristics'!G:G,MATCH($C193,'Policy Characteristics'!$C:$C,0))),"",INDEX('Policy Characteristics'!G:G,MATCH($C193,'Policy Characteristics'!$C:$C,0)))</f>
        <v>1</v>
      </c>
      <c r="N193" s="283">
        <f>IF(ISBLANK(INDEX('Policy Characteristics'!H:H,MATCH($C193,'Policy Characteristics'!$C:$C,0))),"",INDEX('Policy Characteristics'!H:H,MATCH($C193,'Policy Characteristics'!$C:$C,0)))</f>
        <v>0.01</v>
      </c>
      <c r="O193" s="275" t="str">
        <f>IF(ISBLANK(INDEX('Policy Characteristics'!I:I,MATCH($C193,'Policy Characteristics'!$C:$C,0))),"",INDEX('Policy Characteristics'!I:I,MATCH($C193,'Policy Characteristics'!$C:$C,0)))</f>
        <v>% of newly sold non-electric building components</v>
      </c>
      <c r="P193" s="275" t="str">
        <f>IF(ISBLANK(INDEX('Policy Characteristics'!J:J,MATCH($C193,'Policy Characteristics'!$C:$C,0))),"",INDEX('Policy Characteristics'!J:J,MATCH($C193,'Policy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3" s="275" t="str">
        <f>IF(ISBLANK(INDEX('Policy Characteristics'!K:K,MATCH($C193,'Policy Characteristics'!$C:$C,0))),"",INDEX('Policy Characteristics'!K:K,MATCH($C193,'Policy Characteristics'!$C:$C,0)))</f>
        <v>buildings-sector-main.html#component-elec</v>
      </c>
      <c r="R193" s="275" t="str">
        <f>IF(ISBLANK(INDEX('Policy Characteristics'!L:L,MATCH($C193,'Policy Characteristics'!$C:$C,0))),"",INDEX('Policy Characteristics'!L:L,MATCH($C193,'Policy Characteristics'!$C:$C,0)))</f>
        <v>building-component-electrification.html</v>
      </c>
    </row>
    <row r="194" spans="1:18" x14ac:dyDescent="0.25">
      <c r="A194" s="275" t="str">
        <f>IF(ISBLANK(INDEX('Policy Characteristics'!A:A,MATCH($C194,'Policy Characteristics'!$C:$C,0))),"",INDEX('Policy Characteristics'!A:A,MATCH($C194,'Policy Characteristics'!$C:$C,0)))</f>
        <v>Buildings and Appliances</v>
      </c>
      <c r="B194" s="284" t="str">
        <f>IF(ISBLANK(INDEX('Policy Characteristics'!B:B,MATCH($C194,'Policy Characteristics'!$C:$C,0))),"",INDEX('Policy Characteristics'!B:B,MATCH($C194,'Policy Characteristics'!$C:$C,0)))</f>
        <v>Building Component Electrification</v>
      </c>
      <c r="C194" s="275" t="str">
        <f t="shared" si="10"/>
        <v>Fraction of New Bldg Components Shifted to Other Fuels</v>
      </c>
      <c r="D194" s="47" t="s">
        <v>116</v>
      </c>
      <c r="E194" s="47" t="s">
        <v>278</v>
      </c>
      <c r="F194" s="47" t="s">
        <v>122</v>
      </c>
      <c r="G194" s="47" t="s">
        <v>280</v>
      </c>
      <c r="H194" s="44">
        <v>441</v>
      </c>
      <c r="I194" s="346" t="s">
        <v>44</v>
      </c>
      <c r="J194" s="276" t="str">
        <f>IF(ISBLANK(INDEX('Policy Characteristics'!D:D,MATCH($C194,'Policy Characteristics'!$C:$C,0))),"",INDEX('Policy Characteristics'!D:D,MATCH($C194,'Policy Characteristics'!$C:$C,0)))</f>
        <v>Building Component Electrification</v>
      </c>
      <c r="K194" s="275" t="str">
        <f>IF(ISBLANK(INDEX('Policy Characteristics'!E:E,MATCH($C194,'Policy Characteristics'!$C:$C,0))),"",INDEX('Policy Characteristics'!E:E,MATCH($C194,'Policy Characteristics'!$C:$C,0)))</f>
        <v>bldgs new component fuel shifting</v>
      </c>
      <c r="L194" s="283">
        <f>IF(ISBLANK(INDEX('Policy Characteristics'!F:F,MATCH($C194,'Policy Characteristics'!$C:$C,0))),"",INDEX('Policy Characteristics'!F:F,MATCH($C194,'Policy Characteristics'!$C:$C,0)))</f>
        <v>0</v>
      </c>
      <c r="M194" s="283">
        <f>IF(ISBLANK(INDEX('Policy Characteristics'!G:G,MATCH($C194,'Policy Characteristics'!$C:$C,0))),"",INDEX('Policy Characteristics'!G:G,MATCH($C194,'Policy Characteristics'!$C:$C,0)))</f>
        <v>1</v>
      </c>
      <c r="N194" s="283">
        <f>IF(ISBLANK(INDEX('Policy Characteristics'!H:H,MATCH($C194,'Policy Characteristics'!$C:$C,0))),"",INDEX('Policy Characteristics'!H:H,MATCH($C194,'Policy Characteristics'!$C:$C,0)))</f>
        <v>0.01</v>
      </c>
      <c r="O194" s="275" t="str">
        <f>IF(ISBLANK(INDEX('Policy Characteristics'!I:I,MATCH($C194,'Policy Characteristics'!$C:$C,0))),"",INDEX('Policy Characteristics'!I:I,MATCH($C194,'Policy Characteristics'!$C:$C,0)))</f>
        <v>% of newly sold non-electric building components</v>
      </c>
      <c r="P194" s="275" t="str">
        <f>IF(ISBLANK(INDEX('Policy Characteristics'!J:J,MATCH($C194,'Policy Characteristics'!$C:$C,0))),"",INDEX('Policy Characteristics'!J:J,MATCH($C194,'Policy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4" s="275" t="str">
        <f>IF(ISBLANK(INDEX('Policy Characteristics'!K:K,MATCH($C194,'Policy Characteristics'!$C:$C,0))),"",INDEX('Policy Characteristics'!K:K,MATCH($C194,'Policy Characteristics'!$C:$C,0)))</f>
        <v>buildings-sector-main.html#component-elec</v>
      </c>
      <c r="R194" s="275" t="str">
        <f>IF(ISBLANK(INDEX('Policy Characteristics'!L:L,MATCH($C194,'Policy Characteristics'!$C:$C,0))),"",INDEX('Policy Characteristics'!L:L,MATCH($C194,'Policy Characteristics'!$C:$C,0)))</f>
        <v>building-component-electrification.html</v>
      </c>
    </row>
    <row r="195" spans="1:18" x14ac:dyDescent="0.25">
      <c r="A195" s="275" t="str">
        <f>IF(ISBLANK(INDEX('Policy Characteristics'!A:A,MATCH($C195,'Policy Characteristics'!$C:$C,0))),"",INDEX('Policy Characteristics'!A:A,MATCH($C195,'Policy Characteristics'!$C:$C,0)))</f>
        <v>Buildings and Appliances</v>
      </c>
      <c r="B195" s="284" t="str">
        <f>IF(ISBLANK(INDEX('Policy Characteristics'!B:B,MATCH($C195,'Policy Characteristics'!$C:$C,0))),"",INDEX('Policy Characteristics'!B:B,MATCH($C195,'Policy Characteristics'!$C:$C,0)))</f>
        <v>Building Component Electrification</v>
      </c>
      <c r="C195" s="275" t="str">
        <f t="shared" si="10"/>
        <v>Fraction of New Bldg Components Shifted to Other Fuels</v>
      </c>
      <c r="D195" s="47" t="s">
        <v>118</v>
      </c>
      <c r="E195" s="47" t="s">
        <v>278</v>
      </c>
      <c r="F195" s="47" t="s">
        <v>124</v>
      </c>
      <c r="G195" s="47" t="s">
        <v>280</v>
      </c>
      <c r="H195" s="44">
        <v>442</v>
      </c>
      <c r="I195" s="346" t="s">
        <v>44</v>
      </c>
      <c r="J195" s="276" t="str">
        <f>IF(ISBLANK(INDEX('Policy Characteristics'!D:D,MATCH($C195,'Policy Characteristics'!$C:$C,0))),"",INDEX('Policy Characteristics'!D:D,MATCH($C195,'Policy Characteristics'!$C:$C,0)))</f>
        <v>Building Component Electrification</v>
      </c>
      <c r="K195" s="275" t="str">
        <f>IF(ISBLANK(INDEX('Policy Characteristics'!E:E,MATCH($C195,'Policy Characteristics'!$C:$C,0))),"",INDEX('Policy Characteristics'!E:E,MATCH($C195,'Policy Characteristics'!$C:$C,0)))</f>
        <v>bldgs new component fuel shifting</v>
      </c>
      <c r="L195" s="283">
        <f>IF(ISBLANK(INDEX('Policy Characteristics'!F:F,MATCH($C195,'Policy Characteristics'!$C:$C,0))),"",INDEX('Policy Characteristics'!F:F,MATCH($C195,'Policy Characteristics'!$C:$C,0)))</f>
        <v>0</v>
      </c>
      <c r="M195" s="283">
        <f>IF(ISBLANK(INDEX('Policy Characteristics'!G:G,MATCH($C195,'Policy Characteristics'!$C:$C,0))),"",INDEX('Policy Characteristics'!G:G,MATCH($C195,'Policy Characteristics'!$C:$C,0)))</f>
        <v>1</v>
      </c>
      <c r="N195" s="283">
        <f>IF(ISBLANK(INDEX('Policy Characteristics'!H:H,MATCH($C195,'Policy Characteristics'!$C:$C,0))),"",INDEX('Policy Characteristics'!H:H,MATCH($C195,'Policy Characteristics'!$C:$C,0)))</f>
        <v>0.01</v>
      </c>
      <c r="O195" s="275" t="str">
        <f>IF(ISBLANK(INDEX('Policy Characteristics'!I:I,MATCH($C195,'Policy Characteristics'!$C:$C,0))),"",INDEX('Policy Characteristics'!I:I,MATCH($C195,'Policy Characteristics'!$C:$C,0)))</f>
        <v>% of newly sold non-electric building components</v>
      </c>
      <c r="P195" s="275" t="str">
        <f>IF(ISBLANK(INDEX('Policy Characteristics'!J:J,MATCH($C195,'Policy Characteristics'!$C:$C,0))),"",INDEX('Policy Characteristics'!J:J,MATCH($C195,'Policy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5" s="275" t="str">
        <f>IF(ISBLANK(INDEX('Policy Characteristics'!K:K,MATCH($C195,'Policy Characteristics'!$C:$C,0))),"",INDEX('Policy Characteristics'!K:K,MATCH($C195,'Policy Characteristics'!$C:$C,0)))</f>
        <v>buildings-sector-main.html#component-elec</v>
      </c>
      <c r="R195" s="275" t="str">
        <f>IF(ISBLANK(INDEX('Policy Characteristics'!L:L,MATCH($C195,'Policy Characteristics'!$C:$C,0))),"",INDEX('Policy Characteristics'!L:L,MATCH($C195,'Policy Characteristics'!$C:$C,0)))</f>
        <v>building-component-electrification.html</v>
      </c>
    </row>
    <row r="196" spans="1:18" x14ac:dyDescent="0.25">
      <c r="A196" s="275" t="str">
        <f>IF(ISBLANK(INDEX('Policy Characteristics'!A:A,MATCH($C196,'Policy Characteristics'!$C:$C,0))),"",INDEX('Policy Characteristics'!A:A,MATCH($C196,'Policy Characteristics'!$C:$C,0)))</f>
        <v>Buildings and Appliances</v>
      </c>
      <c r="B196" s="284" t="str">
        <f>IF(ISBLANK(INDEX('Policy Characteristics'!B:B,MATCH($C196,'Policy Characteristics'!$C:$C,0))),"",INDEX('Policy Characteristics'!B:B,MATCH($C196,'Policy Characteristics'!$C:$C,0)))</f>
        <v>Building Component Electrification</v>
      </c>
      <c r="C196" s="275" t="str">
        <f t="shared" si="10"/>
        <v>Fraction of New Bldg Components Shifted to Other Fuels</v>
      </c>
      <c r="D196" s="47" t="s">
        <v>119</v>
      </c>
      <c r="E196" s="47" t="s">
        <v>278</v>
      </c>
      <c r="F196" s="47" t="s">
        <v>125</v>
      </c>
      <c r="G196" s="47" t="s">
        <v>280</v>
      </c>
      <c r="H196" s="44">
        <v>443</v>
      </c>
      <c r="I196" s="346" t="s">
        <v>43</v>
      </c>
      <c r="J196" s="276" t="str">
        <f>IF(ISBLANK(INDEX('Policy Characteristics'!D:D,MATCH($C196,'Policy Characteristics'!$C:$C,0))),"",INDEX('Policy Characteristics'!D:D,MATCH($C196,'Policy Characteristics'!$C:$C,0)))</f>
        <v>Building Component Electrification</v>
      </c>
      <c r="K196" s="275" t="str">
        <f>IF(ISBLANK(INDEX('Policy Characteristics'!E:E,MATCH($C196,'Policy Characteristics'!$C:$C,0))),"",INDEX('Policy Characteristics'!E:E,MATCH($C196,'Policy Characteristics'!$C:$C,0)))</f>
        <v>bldgs new component fuel shifting</v>
      </c>
      <c r="L196" s="283">
        <f>IF(ISBLANK(INDEX('Policy Characteristics'!F:F,MATCH($C196,'Policy Characteristics'!$C:$C,0))),"",INDEX('Policy Characteristics'!F:F,MATCH($C196,'Policy Characteristics'!$C:$C,0)))</f>
        <v>0</v>
      </c>
      <c r="M196" s="283">
        <f>IF(ISBLANK(INDEX('Policy Characteristics'!G:G,MATCH($C196,'Policy Characteristics'!$C:$C,0))),"",INDEX('Policy Characteristics'!G:G,MATCH($C196,'Policy Characteristics'!$C:$C,0)))</f>
        <v>1</v>
      </c>
      <c r="N196" s="283">
        <f>IF(ISBLANK(INDEX('Policy Characteristics'!H:H,MATCH($C196,'Policy Characteristics'!$C:$C,0))),"",INDEX('Policy Characteristics'!H:H,MATCH($C196,'Policy Characteristics'!$C:$C,0)))</f>
        <v>0.01</v>
      </c>
      <c r="O196" s="275" t="str">
        <f>IF(ISBLANK(INDEX('Policy Characteristics'!I:I,MATCH($C196,'Policy Characteristics'!$C:$C,0))),"",INDEX('Policy Characteristics'!I:I,MATCH($C196,'Policy Characteristics'!$C:$C,0)))</f>
        <v>% of newly sold non-electric building components</v>
      </c>
      <c r="P196" s="275" t="str">
        <f>IF(ISBLANK(INDEX('Policy Characteristics'!J:J,MATCH($C196,'Policy Characteristics'!$C:$C,0))),"",INDEX('Policy Characteristics'!J:J,MATCH($C196,'Policy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6" s="275" t="str">
        <f>IF(ISBLANK(INDEX('Policy Characteristics'!K:K,MATCH($C196,'Policy Characteristics'!$C:$C,0))),"",INDEX('Policy Characteristics'!K:K,MATCH($C196,'Policy Characteristics'!$C:$C,0)))</f>
        <v>buildings-sector-main.html#component-elec</v>
      </c>
      <c r="R196" s="275" t="str">
        <f>IF(ISBLANK(INDEX('Policy Characteristics'!L:L,MATCH($C196,'Policy Characteristics'!$C:$C,0))),"",INDEX('Policy Characteristics'!L:L,MATCH($C196,'Policy Characteristics'!$C:$C,0)))</f>
        <v>building-component-electrification.html</v>
      </c>
    </row>
    <row r="197" spans="1:18" x14ac:dyDescent="0.25">
      <c r="A197" s="275" t="str">
        <f>IF(ISBLANK(INDEX('Policy Characteristics'!A:A,MATCH($C197,'Policy Characteristics'!$C:$C,0))),"",INDEX('Policy Characteristics'!A:A,MATCH($C197,'Policy Characteristics'!$C:$C,0)))</f>
        <v>Buildings and Appliances</v>
      </c>
      <c r="B197" s="284" t="str">
        <f>IF(ISBLANK(INDEX('Policy Characteristics'!B:B,MATCH($C197,'Policy Characteristics'!$C:$C,0))),"",INDEX('Policy Characteristics'!B:B,MATCH($C197,'Policy Characteristics'!$C:$C,0)))</f>
        <v>Building Component Electrification</v>
      </c>
      <c r="C197" s="275" t="str">
        <f t="shared" si="10"/>
        <v>Fraction of New Bldg Components Shifted to Other Fuels</v>
      </c>
      <c r="D197" s="47" t="s">
        <v>120</v>
      </c>
      <c r="E197" s="47" t="s">
        <v>278</v>
      </c>
      <c r="F197" s="47" t="s">
        <v>126</v>
      </c>
      <c r="G197" s="47" t="s">
        <v>280</v>
      </c>
      <c r="H197" s="44">
        <v>444</v>
      </c>
      <c r="I197" s="346" t="s">
        <v>43</v>
      </c>
      <c r="J197" s="276" t="str">
        <f>IF(ISBLANK(INDEX('Policy Characteristics'!D:D,MATCH($C197,'Policy Characteristics'!$C:$C,0))),"",INDEX('Policy Characteristics'!D:D,MATCH($C197,'Policy Characteristics'!$C:$C,0)))</f>
        <v>Building Component Electrification</v>
      </c>
      <c r="K197" s="275" t="str">
        <f>IF(ISBLANK(INDEX('Policy Characteristics'!E:E,MATCH($C197,'Policy Characteristics'!$C:$C,0))),"",INDEX('Policy Characteristics'!E:E,MATCH($C197,'Policy Characteristics'!$C:$C,0)))</f>
        <v>bldgs new component fuel shifting</v>
      </c>
      <c r="L197" s="283">
        <f>IF(ISBLANK(INDEX('Policy Characteristics'!F:F,MATCH($C197,'Policy Characteristics'!$C:$C,0))),"",INDEX('Policy Characteristics'!F:F,MATCH($C197,'Policy Characteristics'!$C:$C,0)))</f>
        <v>0</v>
      </c>
      <c r="M197" s="283">
        <f>IF(ISBLANK(INDEX('Policy Characteristics'!G:G,MATCH($C197,'Policy Characteristics'!$C:$C,0))),"",INDEX('Policy Characteristics'!G:G,MATCH($C197,'Policy Characteristics'!$C:$C,0)))</f>
        <v>1</v>
      </c>
      <c r="N197" s="283">
        <f>IF(ISBLANK(INDEX('Policy Characteristics'!H:H,MATCH($C197,'Policy Characteristics'!$C:$C,0))),"",INDEX('Policy Characteristics'!H:H,MATCH($C197,'Policy Characteristics'!$C:$C,0)))</f>
        <v>0.01</v>
      </c>
      <c r="O197" s="275" t="str">
        <f>IF(ISBLANK(INDEX('Policy Characteristics'!I:I,MATCH($C197,'Policy Characteristics'!$C:$C,0))),"",INDEX('Policy Characteristics'!I:I,MATCH($C197,'Policy Characteristics'!$C:$C,0)))</f>
        <v>% of newly sold non-electric building components</v>
      </c>
      <c r="P197" s="275" t="str">
        <f>IF(ISBLANK(INDEX('Policy Characteristics'!J:J,MATCH($C197,'Policy Characteristics'!$C:$C,0))),"",INDEX('Policy Characteristics'!J:J,MATCH($C197,'Policy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7" s="275" t="str">
        <f>IF(ISBLANK(INDEX('Policy Characteristics'!K:K,MATCH($C197,'Policy Characteristics'!$C:$C,0))),"",INDEX('Policy Characteristics'!K:K,MATCH($C197,'Policy Characteristics'!$C:$C,0)))</f>
        <v>buildings-sector-main.html#component-elec</v>
      </c>
      <c r="R197" s="275" t="str">
        <f>IF(ISBLANK(INDEX('Policy Characteristics'!L:L,MATCH($C197,'Policy Characteristics'!$C:$C,0))),"",INDEX('Policy Characteristics'!L:L,MATCH($C197,'Policy Characteristics'!$C:$C,0)))</f>
        <v>building-component-electrification.html</v>
      </c>
    </row>
    <row r="198" spans="1:18" x14ac:dyDescent="0.25">
      <c r="A198" s="275" t="str">
        <f>IF(ISBLANK(INDEX('Policy Characteristics'!A:A,MATCH($C198,'Policy Characteristics'!$C:$C,0))),"",INDEX('Policy Characteristics'!A:A,MATCH($C198,'Policy Characteristics'!$C:$C,0)))</f>
        <v>Buildings and Appliances</v>
      </c>
      <c r="B198" s="284" t="str">
        <f>IF(ISBLANK(INDEX('Policy Characteristics'!B:B,MATCH($C198,'Policy Characteristics'!$C:$C,0))),"",INDEX('Policy Characteristics'!B:B,MATCH($C198,'Policy Characteristics'!$C:$C,0)))</f>
        <v>Building Component Electrification</v>
      </c>
      <c r="C198" s="275" t="str">
        <f t="shared" si="10"/>
        <v>Fraction of New Bldg Components Shifted to Other Fuels</v>
      </c>
      <c r="D198" s="47" t="s">
        <v>115</v>
      </c>
      <c r="E198" s="47" t="s">
        <v>279</v>
      </c>
      <c r="F198" s="47" t="s">
        <v>121</v>
      </c>
      <c r="G198" s="47" t="s">
        <v>165</v>
      </c>
      <c r="H198" s="44">
        <v>445</v>
      </c>
      <c r="I198" s="346" t="s">
        <v>43</v>
      </c>
      <c r="J198" s="276" t="str">
        <f>IF(ISBLANK(INDEX('Policy Characteristics'!D:D,MATCH($C198,'Policy Characteristics'!$C:$C,0))),"",INDEX('Policy Characteristics'!D:D,MATCH($C198,'Policy Characteristics'!$C:$C,0)))</f>
        <v>Building Component Electrification</v>
      </c>
      <c r="K198" s="275" t="str">
        <f>IF(ISBLANK(INDEX('Policy Characteristics'!E:E,MATCH($C198,'Policy Characteristics'!$C:$C,0))),"",INDEX('Policy Characteristics'!E:E,MATCH($C198,'Policy Characteristics'!$C:$C,0)))</f>
        <v>bldgs new component fuel shifting</v>
      </c>
      <c r="L198" s="283">
        <f>IF(ISBLANK(INDEX('Policy Characteristics'!F:F,MATCH($C198,'Policy Characteristics'!$C:$C,0))),"",INDEX('Policy Characteristics'!F:F,MATCH($C198,'Policy Characteristics'!$C:$C,0)))</f>
        <v>0</v>
      </c>
      <c r="M198" s="283">
        <f>IF(ISBLANK(INDEX('Policy Characteristics'!G:G,MATCH($C198,'Policy Characteristics'!$C:$C,0))),"",INDEX('Policy Characteristics'!G:G,MATCH($C198,'Policy Characteristics'!$C:$C,0)))</f>
        <v>1</v>
      </c>
      <c r="N198" s="283">
        <f>IF(ISBLANK(INDEX('Policy Characteristics'!H:H,MATCH($C198,'Policy Characteristics'!$C:$C,0))),"",INDEX('Policy Characteristics'!H:H,MATCH($C198,'Policy Characteristics'!$C:$C,0)))</f>
        <v>0.01</v>
      </c>
      <c r="O198" s="275" t="str">
        <f>IF(ISBLANK(INDEX('Policy Characteristics'!I:I,MATCH($C198,'Policy Characteristics'!$C:$C,0))),"",INDEX('Policy Characteristics'!I:I,MATCH($C198,'Policy Characteristics'!$C:$C,0)))</f>
        <v>% of newly sold non-electric building components</v>
      </c>
      <c r="P198" s="275" t="str">
        <f>IF(ISBLANK(INDEX('Policy Characteristics'!J:J,MATCH($C198,'Policy Characteristics'!$C:$C,0))),"",INDEX('Policy Characteristics'!J:J,MATCH($C198,'Policy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8" s="275" t="str">
        <f>IF(ISBLANK(INDEX('Policy Characteristics'!K:K,MATCH($C198,'Policy Characteristics'!$C:$C,0))),"",INDEX('Policy Characteristics'!K:K,MATCH($C198,'Policy Characteristics'!$C:$C,0)))</f>
        <v>buildings-sector-main.html#component-elec</v>
      </c>
      <c r="R198" s="275" t="str">
        <f>IF(ISBLANK(INDEX('Policy Characteristics'!L:L,MATCH($C198,'Policy Characteristics'!$C:$C,0))),"",INDEX('Policy Characteristics'!L:L,MATCH($C198,'Policy Characteristics'!$C:$C,0)))</f>
        <v>building-component-electrification.html</v>
      </c>
    </row>
    <row r="199" spans="1:18" x14ac:dyDescent="0.25">
      <c r="A199" s="275" t="str">
        <f>IF(ISBLANK(INDEX('Policy Characteristics'!A:A,MATCH($C199,'Policy Characteristics'!$C:$C,0))),"",INDEX('Policy Characteristics'!A:A,MATCH($C199,'Policy Characteristics'!$C:$C,0)))</f>
        <v>Buildings and Appliances</v>
      </c>
      <c r="B199" s="284" t="str">
        <f>IF(ISBLANK(INDEX('Policy Characteristics'!B:B,MATCH($C199,'Policy Characteristics'!$C:$C,0))),"",INDEX('Policy Characteristics'!B:B,MATCH($C199,'Policy Characteristics'!$C:$C,0)))</f>
        <v>Building Component Electrification</v>
      </c>
      <c r="C199" s="275" t="str">
        <f t="shared" si="10"/>
        <v>Fraction of New Bldg Components Shifted to Other Fuels</v>
      </c>
      <c r="D199" s="47" t="s">
        <v>116</v>
      </c>
      <c r="E199" s="47" t="s">
        <v>279</v>
      </c>
      <c r="F199" s="47" t="s">
        <v>122</v>
      </c>
      <c r="G199" s="47" t="s">
        <v>165</v>
      </c>
      <c r="H199" s="44">
        <v>446</v>
      </c>
      <c r="I199" s="346" t="s">
        <v>44</v>
      </c>
      <c r="J199" s="276" t="str">
        <f>IF(ISBLANK(INDEX('Policy Characteristics'!D:D,MATCH($C199,'Policy Characteristics'!$C:$C,0))),"",INDEX('Policy Characteristics'!D:D,MATCH($C199,'Policy Characteristics'!$C:$C,0)))</f>
        <v>Building Component Electrification</v>
      </c>
      <c r="K199" s="275" t="str">
        <f>IF(ISBLANK(INDEX('Policy Characteristics'!E:E,MATCH($C199,'Policy Characteristics'!$C:$C,0))),"",INDEX('Policy Characteristics'!E:E,MATCH($C199,'Policy Characteristics'!$C:$C,0)))</f>
        <v>bldgs new component fuel shifting</v>
      </c>
      <c r="L199" s="283">
        <f>IF(ISBLANK(INDEX('Policy Characteristics'!F:F,MATCH($C199,'Policy Characteristics'!$C:$C,0))),"",INDEX('Policy Characteristics'!F:F,MATCH($C199,'Policy Characteristics'!$C:$C,0)))</f>
        <v>0</v>
      </c>
      <c r="M199" s="283">
        <f>IF(ISBLANK(INDEX('Policy Characteristics'!G:G,MATCH($C199,'Policy Characteristics'!$C:$C,0))),"",INDEX('Policy Characteristics'!G:G,MATCH($C199,'Policy Characteristics'!$C:$C,0)))</f>
        <v>1</v>
      </c>
      <c r="N199" s="283">
        <f>IF(ISBLANK(INDEX('Policy Characteristics'!H:H,MATCH($C199,'Policy Characteristics'!$C:$C,0))),"",INDEX('Policy Characteristics'!H:H,MATCH($C199,'Policy Characteristics'!$C:$C,0)))</f>
        <v>0.01</v>
      </c>
      <c r="O199" s="275" t="str">
        <f>IF(ISBLANK(INDEX('Policy Characteristics'!I:I,MATCH($C199,'Policy Characteristics'!$C:$C,0))),"",INDEX('Policy Characteristics'!I:I,MATCH($C199,'Policy Characteristics'!$C:$C,0)))</f>
        <v>% of newly sold non-electric building components</v>
      </c>
      <c r="P199" s="275" t="str">
        <f>IF(ISBLANK(INDEX('Policy Characteristics'!J:J,MATCH($C199,'Policy Characteristics'!$C:$C,0))),"",INDEX('Policy Characteristics'!J:J,MATCH($C199,'Policy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9" s="275" t="str">
        <f>IF(ISBLANK(INDEX('Policy Characteristics'!K:K,MATCH($C199,'Policy Characteristics'!$C:$C,0))),"",INDEX('Policy Characteristics'!K:K,MATCH($C199,'Policy Characteristics'!$C:$C,0)))</f>
        <v>buildings-sector-main.html#component-elec</v>
      </c>
      <c r="R199" s="275" t="str">
        <f>IF(ISBLANK(INDEX('Policy Characteristics'!L:L,MATCH($C199,'Policy Characteristics'!$C:$C,0))),"",INDEX('Policy Characteristics'!L:L,MATCH($C199,'Policy Characteristics'!$C:$C,0)))</f>
        <v>building-component-electrification.html</v>
      </c>
    </row>
    <row r="200" spans="1:18" x14ac:dyDescent="0.25">
      <c r="A200" s="275" t="str">
        <f>IF(ISBLANK(INDEX('Policy Characteristics'!A:A,MATCH($C200,'Policy Characteristics'!$C:$C,0))),"",INDEX('Policy Characteristics'!A:A,MATCH($C200,'Policy Characteristics'!$C:$C,0)))</f>
        <v>Buildings and Appliances</v>
      </c>
      <c r="B200" s="284" t="str">
        <f>IF(ISBLANK(INDEX('Policy Characteristics'!B:B,MATCH($C200,'Policy Characteristics'!$C:$C,0))),"",INDEX('Policy Characteristics'!B:B,MATCH($C200,'Policy Characteristics'!$C:$C,0)))</f>
        <v>Building Component Electrification</v>
      </c>
      <c r="C200" s="275" t="str">
        <f t="shared" si="10"/>
        <v>Fraction of New Bldg Components Shifted to Other Fuels</v>
      </c>
      <c r="D200" s="47" t="s">
        <v>118</v>
      </c>
      <c r="E200" s="47" t="s">
        <v>279</v>
      </c>
      <c r="F200" s="47" t="s">
        <v>124</v>
      </c>
      <c r="G200" s="47" t="s">
        <v>165</v>
      </c>
      <c r="H200" s="44">
        <v>447</v>
      </c>
      <c r="I200" s="346" t="s">
        <v>44</v>
      </c>
      <c r="J200" s="276" t="str">
        <f>IF(ISBLANK(INDEX('Policy Characteristics'!D:D,MATCH($C200,'Policy Characteristics'!$C:$C,0))),"",INDEX('Policy Characteristics'!D:D,MATCH($C200,'Policy Characteristics'!$C:$C,0)))</f>
        <v>Building Component Electrification</v>
      </c>
      <c r="K200" s="275" t="str">
        <f>IF(ISBLANK(INDEX('Policy Characteristics'!E:E,MATCH($C200,'Policy Characteristics'!$C:$C,0))),"",INDEX('Policy Characteristics'!E:E,MATCH($C200,'Policy Characteristics'!$C:$C,0)))</f>
        <v>bldgs new component fuel shifting</v>
      </c>
      <c r="L200" s="283">
        <f>IF(ISBLANK(INDEX('Policy Characteristics'!F:F,MATCH($C200,'Policy Characteristics'!$C:$C,0))),"",INDEX('Policy Characteristics'!F:F,MATCH($C200,'Policy Characteristics'!$C:$C,0)))</f>
        <v>0</v>
      </c>
      <c r="M200" s="283">
        <f>IF(ISBLANK(INDEX('Policy Characteristics'!G:G,MATCH($C200,'Policy Characteristics'!$C:$C,0))),"",INDEX('Policy Characteristics'!G:G,MATCH($C200,'Policy Characteristics'!$C:$C,0)))</f>
        <v>1</v>
      </c>
      <c r="N200" s="283">
        <f>IF(ISBLANK(INDEX('Policy Characteristics'!H:H,MATCH($C200,'Policy Characteristics'!$C:$C,0))),"",INDEX('Policy Characteristics'!H:H,MATCH($C200,'Policy Characteristics'!$C:$C,0)))</f>
        <v>0.01</v>
      </c>
      <c r="O200" s="275" t="str">
        <f>IF(ISBLANK(INDEX('Policy Characteristics'!I:I,MATCH($C200,'Policy Characteristics'!$C:$C,0))),"",INDEX('Policy Characteristics'!I:I,MATCH($C200,'Policy Characteristics'!$C:$C,0)))</f>
        <v>% of newly sold non-electric building components</v>
      </c>
      <c r="P200" s="275"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200" s="275" t="str">
        <f>IF(ISBLANK(INDEX('Policy Characteristics'!K:K,MATCH($C200,'Policy Characteristics'!$C:$C,0))),"",INDEX('Policy Characteristics'!K:K,MATCH($C200,'Policy Characteristics'!$C:$C,0)))</f>
        <v>buildings-sector-main.html#component-elec</v>
      </c>
      <c r="R200" s="275" t="str">
        <f>IF(ISBLANK(INDEX('Policy Characteristics'!L:L,MATCH($C200,'Policy Characteristics'!$C:$C,0))),"",INDEX('Policy Characteristics'!L:L,MATCH($C200,'Policy Characteristics'!$C:$C,0)))</f>
        <v>building-component-electrification.html</v>
      </c>
    </row>
    <row r="201" spans="1:18" x14ac:dyDescent="0.25">
      <c r="A201" s="275" t="str">
        <f>IF(ISBLANK(INDEX('Policy Characteristics'!A:A,MATCH($C201,'Policy Characteristics'!$C:$C,0))),"",INDEX('Policy Characteristics'!A:A,MATCH($C201,'Policy Characteristics'!$C:$C,0)))</f>
        <v>Buildings and Appliances</v>
      </c>
      <c r="B201" s="284" t="str">
        <f>IF(ISBLANK(INDEX('Policy Characteristics'!B:B,MATCH($C201,'Policy Characteristics'!$C:$C,0))),"",INDEX('Policy Characteristics'!B:B,MATCH($C201,'Policy Characteristics'!$C:$C,0)))</f>
        <v>Building Component Electrification</v>
      </c>
      <c r="C201" s="275" t="str">
        <f t="shared" si="10"/>
        <v>Fraction of New Bldg Components Shifted to Other Fuels</v>
      </c>
      <c r="D201" s="47" t="s">
        <v>119</v>
      </c>
      <c r="E201" s="47" t="s">
        <v>279</v>
      </c>
      <c r="F201" s="47" t="s">
        <v>125</v>
      </c>
      <c r="G201" s="47" t="s">
        <v>165</v>
      </c>
      <c r="H201" s="44">
        <v>448</v>
      </c>
      <c r="I201" s="346" t="s">
        <v>43</v>
      </c>
      <c r="J201" s="276" t="str">
        <f>IF(ISBLANK(INDEX('Policy Characteristics'!D:D,MATCH($C201,'Policy Characteristics'!$C:$C,0))),"",INDEX('Policy Characteristics'!D:D,MATCH($C201,'Policy Characteristics'!$C:$C,0)))</f>
        <v>Building Component Electrification</v>
      </c>
      <c r="K201" s="275" t="str">
        <f>IF(ISBLANK(INDEX('Policy Characteristics'!E:E,MATCH($C201,'Policy Characteristics'!$C:$C,0))),"",INDEX('Policy Characteristics'!E:E,MATCH($C201,'Policy Characteristics'!$C:$C,0)))</f>
        <v>bldgs new component fuel shifting</v>
      </c>
      <c r="L201" s="283">
        <f>IF(ISBLANK(INDEX('Policy Characteristics'!F:F,MATCH($C201,'Policy Characteristics'!$C:$C,0))),"",INDEX('Policy Characteristics'!F:F,MATCH($C201,'Policy Characteristics'!$C:$C,0)))</f>
        <v>0</v>
      </c>
      <c r="M201" s="283">
        <f>IF(ISBLANK(INDEX('Policy Characteristics'!G:G,MATCH($C201,'Policy Characteristics'!$C:$C,0))),"",INDEX('Policy Characteristics'!G:G,MATCH($C201,'Policy Characteristics'!$C:$C,0)))</f>
        <v>1</v>
      </c>
      <c r="N201" s="283">
        <f>IF(ISBLANK(INDEX('Policy Characteristics'!H:H,MATCH($C201,'Policy Characteristics'!$C:$C,0))),"",INDEX('Policy Characteristics'!H:H,MATCH($C201,'Policy Characteristics'!$C:$C,0)))</f>
        <v>0.01</v>
      </c>
      <c r="O201" s="275" t="str">
        <f>IF(ISBLANK(INDEX('Policy Characteristics'!I:I,MATCH($C201,'Policy Characteristics'!$C:$C,0))),"",INDEX('Policy Characteristics'!I:I,MATCH($C201,'Policy Characteristics'!$C:$C,0)))</f>
        <v>% of newly sold non-electric building components</v>
      </c>
      <c r="P201" s="275"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201" s="275" t="str">
        <f>IF(ISBLANK(INDEX('Policy Characteristics'!K:K,MATCH($C201,'Policy Characteristics'!$C:$C,0))),"",INDEX('Policy Characteristics'!K:K,MATCH($C201,'Policy Characteristics'!$C:$C,0)))</f>
        <v>buildings-sector-main.html#component-elec</v>
      </c>
      <c r="R201" s="275" t="str">
        <f>IF(ISBLANK(INDEX('Policy Characteristics'!L:L,MATCH($C201,'Policy Characteristics'!$C:$C,0))),"",INDEX('Policy Characteristics'!L:L,MATCH($C201,'Policy Characteristics'!$C:$C,0)))</f>
        <v>building-component-electrification.html</v>
      </c>
    </row>
    <row r="202" spans="1:18" x14ac:dyDescent="0.25">
      <c r="A202" s="275" t="str">
        <f>IF(ISBLANK(INDEX('Policy Characteristics'!A:A,MATCH($C202,'Policy Characteristics'!$C:$C,0))),"",INDEX('Policy Characteristics'!A:A,MATCH($C202,'Policy Characteristics'!$C:$C,0)))</f>
        <v>Buildings and Appliances</v>
      </c>
      <c r="B202" s="284" t="str">
        <f>IF(ISBLANK(INDEX('Policy Characteristics'!B:B,MATCH($C202,'Policy Characteristics'!$C:$C,0))),"",INDEX('Policy Characteristics'!B:B,MATCH($C202,'Policy Characteristics'!$C:$C,0)))</f>
        <v>Building Component Electrification</v>
      </c>
      <c r="C202" s="275" t="str">
        <f t="shared" ref="C202" si="11">C$188</f>
        <v>Fraction of New Bldg Components Shifted to Other Fuels</v>
      </c>
      <c r="D202" s="47" t="s">
        <v>120</v>
      </c>
      <c r="E202" s="47" t="s">
        <v>279</v>
      </c>
      <c r="F202" s="47" t="s">
        <v>126</v>
      </c>
      <c r="G202" s="47" t="s">
        <v>165</v>
      </c>
      <c r="H202" s="44">
        <v>449</v>
      </c>
      <c r="I202" s="346" t="s">
        <v>43</v>
      </c>
      <c r="J202" s="276" t="str">
        <f>IF(ISBLANK(INDEX('Policy Characteristics'!D:D,MATCH($C202,'Policy Characteristics'!$C:$C,0))),"",INDEX('Policy Characteristics'!D:D,MATCH($C202,'Policy Characteristics'!$C:$C,0)))</f>
        <v>Building Component Electrification</v>
      </c>
      <c r="K202" s="275" t="str">
        <f>IF(ISBLANK(INDEX('Policy Characteristics'!E:E,MATCH($C202,'Policy Characteristics'!$C:$C,0))),"",INDEX('Policy Characteristics'!E:E,MATCH($C202,'Policy Characteristics'!$C:$C,0)))</f>
        <v>bldgs new component fuel shifting</v>
      </c>
      <c r="L202" s="283">
        <f>IF(ISBLANK(INDEX('Policy Characteristics'!F:F,MATCH($C202,'Policy Characteristics'!$C:$C,0))),"",INDEX('Policy Characteristics'!F:F,MATCH($C202,'Policy Characteristics'!$C:$C,0)))</f>
        <v>0</v>
      </c>
      <c r="M202" s="283">
        <f>IF(ISBLANK(INDEX('Policy Characteristics'!G:G,MATCH($C202,'Policy Characteristics'!$C:$C,0))),"",INDEX('Policy Characteristics'!G:G,MATCH($C202,'Policy Characteristics'!$C:$C,0)))</f>
        <v>1</v>
      </c>
      <c r="N202" s="283">
        <f>IF(ISBLANK(INDEX('Policy Characteristics'!H:H,MATCH($C202,'Policy Characteristics'!$C:$C,0))),"",INDEX('Policy Characteristics'!H:H,MATCH($C202,'Policy Characteristics'!$C:$C,0)))</f>
        <v>0.01</v>
      </c>
      <c r="O202" s="275" t="str">
        <f>IF(ISBLANK(INDEX('Policy Characteristics'!I:I,MATCH($C202,'Policy Characteristics'!$C:$C,0))),"",INDEX('Policy Characteristics'!I:I,MATCH($C202,'Policy Characteristics'!$C:$C,0)))</f>
        <v>% of newly sold non-electric building components</v>
      </c>
      <c r="P202" s="275"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202" s="275" t="str">
        <f>IF(ISBLANK(INDEX('Policy Characteristics'!K:K,MATCH($C202,'Policy Characteristics'!$C:$C,0))),"",INDEX('Policy Characteristics'!K:K,MATCH($C202,'Policy Characteristics'!$C:$C,0)))</f>
        <v>buildings-sector-main.html#component-elec</v>
      </c>
      <c r="R202" s="275" t="str">
        <f>IF(ISBLANK(INDEX('Policy Characteristics'!L:L,MATCH($C202,'Policy Characteristics'!$C:$C,0))),"",INDEX('Policy Characteristics'!L:L,MATCH($C202,'Policy Characteristics'!$C:$C,0)))</f>
        <v>building-component-electrification.html</v>
      </c>
    </row>
    <row r="203" spans="1:18" s="4" customFormat="1" x14ac:dyDescent="0.25">
      <c r="A203" s="275" t="str">
        <f>IF(ISBLANK(INDEX('Policy Characteristics'!A:A,MATCH($C203,'Policy Characteristics'!$C:$C,0))),"",INDEX('Policy Characteristics'!A:A,MATCH($C203,'Policy Characteristics'!$C:$C,0)))</f>
        <v>Buildings and Appliances</v>
      </c>
      <c r="B203" s="284" t="str">
        <f>IF(ISBLANK(INDEX('Policy Characteristics'!B:B,MATCH($C203,'Policy Characteristics'!$C:$C,0))),"",INDEX('Policy Characteristics'!B:B,MATCH($C203,'Policy Characteristics'!$C:$C,0)))</f>
        <v>Building Energy Efficiency Standards</v>
      </c>
      <c r="C203" t="s">
        <v>300</v>
      </c>
      <c r="D203" s="47" t="s">
        <v>115</v>
      </c>
      <c r="E203" s="47" t="s">
        <v>277</v>
      </c>
      <c r="F203" s="47" t="s">
        <v>121</v>
      </c>
      <c r="G203" s="47" t="s">
        <v>281</v>
      </c>
      <c r="H203" s="44">
        <v>13</v>
      </c>
      <c r="I203" s="346" t="s">
        <v>43</v>
      </c>
      <c r="J203" s="276" t="str">
        <f>IF(ISBLANK(INDEX('Policy Characteristics'!D:D,MATCH($C203,'Policy Characteristics'!$C:$C,0))),"",INDEX('Policy Characteristics'!D:D,MATCH($C203,'Policy Characteristics'!$C:$C,0)))</f>
        <v>Building Energy Efficiency Standards</v>
      </c>
      <c r="K203" s="275" t="str">
        <f>IF(ISBLANK(INDEX('Policy Characteristics'!E:E,MATCH($C203,'Policy Characteristics'!$C:$C,0))),"",INDEX('Policy Characteristics'!E:E,MATCH($C203,'Policy Characteristics'!$C:$C,0)))</f>
        <v>bldgs efficiency standards</v>
      </c>
      <c r="L203" s="283">
        <f>IF(ISBLANK(INDEX('Policy Characteristics'!F:F,MATCH($C203,'Policy Characteristics'!$C:$C,0))),"",INDEX('Policy Characteristics'!F:F,MATCH($C203,'Policy Characteristics'!$C:$C,0)))</f>
        <v>0</v>
      </c>
      <c r="M203" s="283">
        <f>IF(ISBLANK(INDEX('Policy Characteristics'!G:G,MATCH($C203,'Policy Characteristics'!$C:$C,0))),"",INDEX('Policy Characteristics'!G:G,MATCH($C203,'Policy Characteristics'!$C:$C,0)))</f>
        <v>0.75</v>
      </c>
      <c r="N203" s="283">
        <f>IF(ISBLANK(INDEX('Policy Characteristics'!H:H,MATCH($C203,'Policy Characteristics'!$C:$C,0))),"",INDEX('Policy Characteristics'!H:H,MATCH($C203,'Policy Characteristics'!$C:$C,0)))</f>
        <v>0.01</v>
      </c>
      <c r="O203" s="275" t="str">
        <f>IF(ISBLANK(INDEX('Policy Characteristics'!I:I,MATCH($C203,'Policy Characteristics'!$C:$C,0))),"",INDEX('Policy Characteristics'!I:I,MATCH($C203,'Policy Characteristics'!$C:$C,0)))</f>
        <v>% reduction in energy use</v>
      </c>
      <c r="P203" s="275" t="str">
        <f>IF(ISBLANK(INDEX('Policy Characteristics'!J:J,MATCH($C203,'Policy Characteristics'!$C:$C,0))),"",INDEX('Policy Characteristics'!J:J,MATCH($C203,'Policy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3" s="275" t="str">
        <f>IF(ISBLANK(INDEX('Policy Characteristics'!K:K,MATCH($C203,'Policy Characteristics'!$C:$C,0))),"",INDEX('Policy Characteristics'!K:K,MATCH($C203,'Policy Characteristics'!$C:$C,0)))</f>
        <v>buildings-sector-main.html#eff-stds</v>
      </c>
      <c r="R203" s="275" t="str">
        <f>IF(ISBLANK(INDEX('Policy Characteristics'!L:L,MATCH($C203,'Policy Characteristics'!$C:$C,0))),"",INDEX('Policy Characteristics'!L:L,MATCH($C203,'Policy Characteristics'!$C:$C,0)))</f>
        <v>building-energy-efficiency-standards.html</v>
      </c>
    </row>
    <row r="204" spans="1:18" s="4" customFormat="1" x14ac:dyDescent="0.25">
      <c r="A204" s="275" t="str">
        <f>IF(ISBLANK(INDEX('Policy Characteristics'!A:A,MATCH($C204,'Policy Characteristics'!$C:$C,0))),"",INDEX('Policy Characteristics'!A:A,MATCH($C204,'Policy Characteristics'!$C:$C,0)))</f>
        <v>Buildings and Appliances</v>
      </c>
      <c r="B204" s="284" t="str">
        <f>IF(ISBLANK(INDEX('Policy Characteristics'!B:B,MATCH($C204,'Policy Characteristics'!$C:$C,0))),"",INDEX('Policy Characteristics'!B:B,MATCH($C204,'Policy Characteristics'!$C:$C,0)))</f>
        <v>Building Energy Efficiency Standards</v>
      </c>
      <c r="C204" s="275" t="str">
        <f t="shared" ref="C204:C219" si="12">C$203</f>
        <v>Reduction in E Use Allowed by Component Eff Std</v>
      </c>
      <c r="D204" s="47" t="s">
        <v>116</v>
      </c>
      <c r="E204" s="47" t="s">
        <v>277</v>
      </c>
      <c r="F204" s="47" t="s">
        <v>122</v>
      </c>
      <c r="G204" s="47" t="s">
        <v>281</v>
      </c>
      <c r="H204" s="44">
        <v>14</v>
      </c>
      <c r="I204" s="346" t="s">
        <v>43</v>
      </c>
      <c r="J204" s="276" t="str">
        <f>IF(ISBLANK(INDEX('Policy Characteristics'!D:D,MATCH($C204,'Policy Characteristics'!$C:$C,0))),"",INDEX('Policy Characteristics'!D:D,MATCH($C204,'Policy Characteristics'!$C:$C,0)))</f>
        <v>Building Energy Efficiency Standards</v>
      </c>
      <c r="K204" s="275" t="str">
        <f>IF(ISBLANK(INDEX('Policy Characteristics'!E:E,MATCH($C204,'Policy Characteristics'!$C:$C,0))),"",INDEX('Policy Characteristics'!E:E,MATCH($C204,'Policy Characteristics'!$C:$C,0)))</f>
        <v>bldgs efficiency standards</v>
      </c>
      <c r="L204" s="283">
        <f>IF(ISBLANK(INDEX('Policy Characteristics'!F:F,MATCH($C204,'Policy Characteristics'!$C:$C,0))),"",INDEX('Policy Characteristics'!F:F,MATCH($C204,'Policy Characteristics'!$C:$C,0)))</f>
        <v>0</v>
      </c>
      <c r="M204" s="283">
        <f>IF(ISBLANK(INDEX('Policy Characteristics'!G:G,MATCH($C204,'Policy Characteristics'!$C:$C,0))),"",INDEX('Policy Characteristics'!G:G,MATCH($C204,'Policy Characteristics'!$C:$C,0)))</f>
        <v>0.75</v>
      </c>
      <c r="N204" s="283">
        <f>IF(ISBLANK(INDEX('Policy Characteristics'!H:H,MATCH($C204,'Policy Characteristics'!$C:$C,0))),"",INDEX('Policy Characteristics'!H:H,MATCH($C204,'Policy Characteristics'!$C:$C,0)))</f>
        <v>0.01</v>
      </c>
      <c r="O204" s="275" t="str">
        <f>IF(ISBLANK(INDEX('Policy Characteristics'!I:I,MATCH($C204,'Policy Characteristics'!$C:$C,0))),"",INDEX('Policy Characteristics'!I:I,MATCH($C204,'Policy Characteristics'!$C:$C,0)))</f>
        <v>% reduction in energy use</v>
      </c>
      <c r="P204" s="275" t="str">
        <f>IF(ISBLANK(INDEX('Policy Characteristics'!J:J,MATCH($C204,'Policy Characteristics'!$C:$C,0))),"",INDEX('Policy Characteristics'!J:J,MATCH($C204,'Policy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4" s="275" t="str">
        <f>IF(ISBLANK(INDEX('Policy Characteristics'!K:K,MATCH($C204,'Policy Characteristics'!$C:$C,0))),"",INDEX('Policy Characteristics'!K:K,MATCH($C204,'Policy Characteristics'!$C:$C,0)))</f>
        <v>buildings-sector-main.html#eff-stds</v>
      </c>
      <c r="R204" s="275" t="str">
        <f>IF(ISBLANK(INDEX('Policy Characteristics'!L:L,MATCH($C204,'Policy Characteristics'!$C:$C,0))),"",INDEX('Policy Characteristics'!L:L,MATCH($C204,'Policy Characteristics'!$C:$C,0)))</f>
        <v>building-energy-efficiency-standards.html</v>
      </c>
    </row>
    <row r="205" spans="1:18" s="4" customFormat="1" x14ac:dyDescent="0.25">
      <c r="A205" s="275" t="str">
        <f>IF(ISBLANK(INDEX('Policy Characteristics'!A:A,MATCH($C205,'Policy Characteristics'!$C:$C,0))),"",INDEX('Policy Characteristics'!A:A,MATCH($C205,'Policy Characteristics'!$C:$C,0)))</f>
        <v>Buildings and Appliances</v>
      </c>
      <c r="B205" s="284" t="str">
        <f>IF(ISBLANK(INDEX('Policy Characteristics'!B:B,MATCH($C205,'Policy Characteristics'!$C:$C,0))),"",INDEX('Policy Characteristics'!B:B,MATCH($C205,'Policy Characteristics'!$C:$C,0)))</f>
        <v>Building Energy Efficiency Standards</v>
      </c>
      <c r="C205" s="275" t="str">
        <f t="shared" si="12"/>
        <v>Reduction in E Use Allowed by Component Eff Std</v>
      </c>
      <c r="D205" s="47" t="s">
        <v>117</v>
      </c>
      <c r="E205" s="47" t="s">
        <v>277</v>
      </c>
      <c r="F205" s="47" t="s">
        <v>123</v>
      </c>
      <c r="G205" s="47" t="s">
        <v>281</v>
      </c>
      <c r="H205" s="44">
        <v>15</v>
      </c>
      <c r="I205" s="346" t="s">
        <v>43</v>
      </c>
      <c r="J205" s="276" t="str">
        <f>IF(ISBLANK(INDEX('Policy Characteristics'!D:D,MATCH($C205,'Policy Characteristics'!$C:$C,0))),"",INDEX('Policy Characteristics'!D:D,MATCH($C205,'Policy Characteristics'!$C:$C,0)))</f>
        <v>Building Energy Efficiency Standards</v>
      </c>
      <c r="K205" s="275" t="str">
        <f>IF(ISBLANK(INDEX('Policy Characteristics'!E:E,MATCH($C205,'Policy Characteristics'!$C:$C,0))),"",INDEX('Policy Characteristics'!E:E,MATCH($C205,'Policy Characteristics'!$C:$C,0)))</f>
        <v>bldgs efficiency standards</v>
      </c>
      <c r="L205" s="283">
        <f>IF(ISBLANK(INDEX('Policy Characteristics'!F:F,MATCH($C205,'Policy Characteristics'!$C:$C,0))),"",INDEX('Policy Characteristics'!F:F,MATCH($C205,'Policy Characteristics'!$C:$C,0)))</f>
        <v>0</v>
      </c>
      <c r="M205" s="283">
        <f>IF(ISBLANK(INDEX('Policy Characteristics'!G:G,MATCH($C205,'Policy Characteristics'!$C:$C,0))),"",INDEX('Policy Characteristics'!G:G,MATCH($C205,'Policy Characteristics'!$C:$C,0)))</f>
        <v>0.75</v>
      </c>
      <c r="N205" s="283">
        <f>IF(ISBLANK(INDEX('Policy Characteristics'!H:H,MATCH($C205,'Policy Characteristics'!$C:$C,0))),"",INDEX('Policy Characteristics'!H:H,MATCH($C205,'Policy Characteristics'!$C:$C,0)))</f>
        <v>0.01</v>
      </c>
      <c r="O205" s="275" t="str">
        <f>IF(ISBLANK(INDEX('Policy Characteristics'!I:I,MATCH($C205,'Policy Characteristics'!$C:$C,0))),"",INDEX('Policy Characteristics'!I:I,MATCH($C205,'Policy Characteristics'!$C:$C,0)))</f>
        <v>% reduction in energy use</v>
      </c>
      <c r="P205" s="275" t="str">
        <f>IF(ISBLANK(INDEX('Policy Characteristics'!J:J,MATCH($C205,'Policy Characteristics'!$C:$C,0))),"",INDEX('Policy Characteristics'!J:J,MATCH($C205,'Policy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5" s="275" t="str">
        <f>IF(ISBLANK(INDEX('Policy Characteristics'!K:K,MATCH($C205,'Policy Characteristics'!$C:$C,0))),"",INDEX('Policy Characteristics'!K:K,MATCH($C205,'Policy Characteristics'!$C:$C,0)))</f>
        <v>buildings-sector-main.html#eff-stds</v>
      </c>
      <c r="R205" s="275" t="str">
        <f>IF(ISBLANK(INDEX('Policy Characteristics'!L:L,MATCH($C205,'Policy Characteristics'!$C:$C,0))),"",INDEX('Policy Characteristics'!L:L,MATCH($C205,'Policy Characteristics'!$C:$C,0)))</f>
        <v>building-energy-efficiency-standards.html</v>
      </c>
    </row>
    <row r="206" spans="1:18" s="4" customFormat="1" x14ac:dyDescent="0.25">
      <c r="A206" s="275" t="str">
        <f>IF(ISBLANK(INDEX('Policy Characteristics'!A:A,MATCH($C206,'Policy Characteristics'!$C:$C,0))),"",INDEX('Policy Characteristics'!A:A,MATCH($C206,'Policy Characteristics'!$C:$C,0)))</f>
        <v>Buildings and Appliances</v>
      </c>
      <c r="B206" s="284" t="str">
        <f>IF(ISBLANK(INDEX('Policy Characteristics'!B:B,MATCH($C206,'Policy Characteristics'!$C:$C,0))),"",INDEX('Policy Characteristics'!B:B,MATCH($C206,'Policy Characteristics'!$C:$C,0)))</f>
        <v>Building Energy Efficiency Standards</v>
      </c>
      <c r="C206" s="275" t="str">
        <f t="shared" si="12"/>
        <v>Reduction in E Use Allowed by Component Eff Std</v>
      </c>
      <c r="D206" s="47" t="s">
        <v>118</v>
      </c>
      <c r="E206" s="47" t="s">
        <v>277</v>
      </c>
      <c r="F206" s="47" t="s">
        <v>124</v>
      </c>
      <c r="G206" s="47" t="s">
        <v>281</v>
      </c>
      <c r="H206" s="44">
        <v>16</v>
      </c>
      <c r="I206" s="346" t="s">
        <v>43</v>
      </c>
      <c r="J206" s="276" t="str">
        <f>IF(ISBLANK(INDEX('Policy Characteristics'!D:D,MATCH($C206,'Policy Characteristics'!$C:$C,0))),"",INDEX('Policy Characteristics'!D:D,MATCH($C206,'Policy Characteristics'!$C:$C,0)))</f>
        <v>Building Energy Efficiency Standards</v>
      </c>
      <c r="K206" s="275" t="str">
        <f>IF(ISBLANK(INDEX('Policy Characteristics'!E:E,MATCH($C206,'Policy Characteristics'!$C:$C,0))),"",INDEX('Policy Characteristics'!E:E,MATCH($C206,'Policy Characteristics'!$C:$C,0)))</f>
        <v>bldgs efficiency standards</v>
      </c>
      <c r="L206" s="283">
        <f>IF(ISBLANK(INDEX('Policy Characteristics'!F:F,MATCH($C206,'Policy Characteristics'!$C:$C,0))),"",INDEX('Policy Characteristics'!F:F,MATCH($C206,'Policy Characteristics'!$C:$C,0)))</f>
        <v>0</v>
      </c>
      <c r="M206" s="283">
        <f>IF(ISBLANK(INDEX('Policy Characteristics'!G:G,MATCH($C206,'Policy Characteristics'!$C:$C,0))),"",INDEX('Policy Characteristics'!G:G,MATCH($C206,'Policy Characteristics'!$C:$C,0)))</f>
        <v>0.75</v>
      </c>
      <c r="N206" s="283">
        <f>IF(ISBLANK(INDEX('Policy Characteristics'!H:H,MATCH($C206,'Policy Characteristics'!$C:$C,0))),"",INDEX('Policy Characteristics'!H:H,MATCH($C206,'Policy Characteristics'!$C:$C,0)))</f>
        <v>0.01</v>
      </c>
      <c r="O206" s="275" t="str">
        <f>IF(ISBLANK(INDEX('Policy Characteristics'!I:I,MATCH($C206,'Policy Characteristics'!$C:$C,0))),"",INDEX('Policy Characteristics'!I:I,MATCH($C206,'Policy Characteristics'!$C:$C,0)))</f>
        <v>% reduction in energy use</v>
      </c>
      <c r="P206" s="275" t="str">
        <f>IF(ISBLANK(INDEX('Policy Characteristics'!J:J,MATCH($C206,'Policy Characteristics'!$C:$C,0))),"",INDEX('Policy Characteristics'!J:J,MATCH($C206,'Policy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6" s="275" t="str">
        <f>IF(ISBLANK(INDEX('Policy Characteristics'!K:K,MATCH($C206,'Policy Characteristics'!$C:$C,0))),"",INDEX('Policy Characteristics'!K:K,MATCH($C206,'Policy Characteristics'!$C:$C,0)))</f>
        <v>buildings-sector-main.html#eff-stds</v>
      </c>
      <c r="R206" s="275" t="str">
        <f>IF(ISBLANK(INDEX('Policy Characteristics'!L:L,MATCH($C206,'Policy Characteristics'!$C:$C,0))),"",INDEX('Policy Characteristics'!L:L,MATCH($C206,'Policy Characteristics'!$C:$C,0)))</f>
        <v>building-energy-efficiency-standards.html</v>
      </c>
    </row>
    <row r="207" spans="1:18" s="4" customFormat="1" x14ac:dyDescent="0.25">
      <c r="A207" s="275" t="str">
        <f>IF(ISBLANK(INDEX('Policy Characteristics'!A:A,MATCH($C207,'Policy Characteristics'!$C:$C,0))),"",INDEX('Policy Characteristics'!A:A,MATCH($C207,'Policy Characteristics'!$C:$C,0)))</f>
        <v>Buildings and Appliances</v>
      </c>
      <c r="B207" s="284" t="str">
        <f>IF(ISBLANK(INDEX('Policy Characteristics'!B:B,MATCH($C207,'Policy Characteristics'!$C:$C,0))),"",INDEX('Policy Characteristics'!B:B,MATCH($C207,'Policy Characteristics'!$C:$C,0)))</f>
        <v>Building Energy Efficiency Standards</v>
      </c>
      <c r="C207" s="275" t="str">
        <f t="shared" si="12"/>
        <v>Reduction in E Use Allowed by Component Eff Std</v>
      </c>
      <c r="D207" s="47" t="s">
        <v>119</v>
      </c>
      <c r="E207" s="47" t="s">
        <v>277</v>
      </c>
      <c r="F207" s="47" t="s">
        <v>125</v>
      </c>
      <c r="G207" s="47" t="s">
        <v>281</v>
      </c>
      <c r="H207" s="44">
        <v>17</v>
      </c>
      <c r="I207" s="346" t="s">
        <v>43</v>
      </c>
      <c r="J207" s="276" t="str">
        <f>IF(ISBLANK(INDEX('Policy Characteristics'!D:D,MATCH($C207,'Policy Characteristics'!$C:$C,0))),"",INDEX('Policy Characteristics'!D:D,MATCH($C207,'Policy Characteristics'!$C:$C,0)))</f>
        <v>Building Energy Efficiency Standards</v>
      </c>
      <c r="K207" s="275" t="str">
        <f>IF(ISBLANK(INDEX('Policy Characteristics'!E:E,MATCH($C207,'Policy Characteristics'!$C:$C,0))),"",INDEX('Policy Characteristics'!E:E,MATCH($C207,'Policy Characteristics'!$C:$C,0)))</f>
        <v>bldgs efficiency standards</v>
      </c>
      <c r="L207" s="283">
        <f>IF(ISBLANK(INDEX('Policy Characteristics'!F:F,MATCH($C207,'Policy Characteristics'!$C:$C,0))),"",INDEX('Policy Characteristics'!F:F,MATCH($C207,'Policy Characteristics'!$C:$C,0)))</f>
        <v>0</v>
      </c>
      <c r="M207" s="283">
        <f>IF(ISBLANK(INDEX('Policy Characteristics'!G:G,MATCH($C207,'Policy Characteristics'!$C:$C,0))),"",INDEX('Policy Characteristics'!G:G,MATCH($C207,'Policy Characteristics'!$C:$C,0)))</f>
        <v>0.75</v>
      </c>
      <c r="N207" s="283">
        <f>IF(ISBLANK(INDEX('Policy Characteristics'!H:H,MATCH($C207,'Policy Characteristics'!$C:$C,0))),"",INDEX('Policy Characteristics'!H:H,MATCH($C207,'Policy Characteristics'!$C:$C,0)))</f>
        <v>0.01</v>
      </c>
      <c r="O207" s="275" t="str">
        <f>IF(ISBLANK(INDEX('Policy Characteristics'!I:I,MATCH($C207,'Policy Characteristics'!$C:$C,0))),"",INDEX('Policy Characteristics'!I:I,MATCH($C207,'Policy Characteristics'!$C:$C,0)))</f>
        <v>% reduction in energy use</v>
      </c>
      <c r="P207" s="275" t="str">
        <f>IF(ISBLANK(INDEX('Policy Characteristics'!J:J,MATCH($C207,'Policy Characteristics'!$C:$C,0))),"",INDEX('Policy Characteristics'!J:J,MATCH($C207,'Policy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7" s="275" t="str">
        <f>IF(ISBLANK(INDEX('Policy Characteristics'!K:K,MATCH($C207,'Policy Characteristics'!$C:$C,0))),"",INDEX('Policy Characteristics'!K:K,MATCH($C207,'Policy Characteristics'!$C:$C,0)))</f>
        <v>buildings-sector-main.html#eff-stds</v>
      </c>
      <c r="R207" s="275" t="str">
        <f>IF(ISBLANK(INDEX('Policy Characteristics'!L:L,MATCH($C207,'Policy Characteristics'!$C:$C,0))),"",INDEX('Policy Characteristics'!L:L,MATCH($C207,'Policy Characteristics'!$C:$C,0)))</f>
        <v>building-energy-efficiency-standards.html</v>
      </c>
    </row>
    <row r="208" spans="1:18" s="4" customFormat="1" x14ac:dyDescent="0.25">
      <c r="A208" s="275" t="str">
        <f>IF(ISBLANK(INDEX('Policy Characteristics'!A:A,MATCH($C208,'Policy Characteristics'!$C:$C,0))),"",INDEX('Policy Characteristics'!A:A,MATCH($C208,'Policy Characteristics'!$C:$C,0)))</f>
        <v>Buildings and Appliances</v>
      </c>
      <c r="B208" s="284" t="str">
        <f>IF(ISBLANK(INDEX('Policy Characteristics'!B:B,MATCH($C208,'Policy Characteristics'!$C:$C,0))),"",INDEX('Policy Characteristics'!B:B,MATCH($C208,'Policy Characteristics'!$C:$C,0)))</f>
        <v>Building Energy Efficiency Standards</v>
      </c>
      <c r="C208" s="275" t="str">
        <f t="shared" si="12"/>
        <v>Reduction in E Use Allowed by Component Eff Std</v>
      </c>
      <c r="D208" s="47" t="s">
        <v>120</v>
      </c>
      <c r="E208" s="47" t="s">
        <v>277</v>
      </c>
      <c r="F208" s="47" t="s">
        <v>126</v>
      </c>
      <c r="G208" s="47" t="s">
        <v>281</v>
      </c>
      <c r="H208" s="44">
        <v>18</v>
      </c>
      <c r="I208" s="346" t="s">
        <v>43</v>
      </c>
      <c r="J208" s="276" t="str">
        <f>IF(ISBLANK(INDEX('Policy Characteristics'!D:D,MATCH($C208,'Policy Characteristics'!$C:$C,0))),"",INDEX('Policy Characteristics'!D:D,MATCH($C208,'Policy Characteristics'!$C:$C,0)))</f>
        <v>Building Energy Efficiency Standards</v>
      </c>
      <c r="K208" s="275" t="str">
        <f>IF(ISBLANK(INDEX('Policy Characteristics'!E:E,MATCH($C208,'Policy Characteristics'!$C:$C,0))),"",INDEX('Policy Characteristics'!E:E,MATCH($C208,'Policy Characteristics'!$C:$C,0)))</f>
        <v>bldgs efficiency standards</v>
      </c>
      <c r="L208" s="283">
        <f>IF(ISBLANK(INDEX('Policy Characteristics'!F:F,MATCH($C208,'Policy Characteristics'!$C:$C,0))),"",INDEX('Policy Characteristics'!F:F,MATCH($C208,'Policy Characteristics'!$C:$C,0)))</f>
        <v>0</v>
      </c>
      <c r="M208" s="283">
        <f>IF(ISBLANK(INDEX('Policy Characteristics'!G:G,MATCH($C208,'Policy Characteristics'!$C:$C,0))),"",INDEX('Policy Characteristics'!G:G,MATCH($C208,'Policy Characteristics'!$C:$C,0)))</f>
        <v>0.75</v>
      </c>
      <c r="N208" s="283">
        <f>IF(ISBLANK(INDEX('Policy Characteristics'!H:H,MATCH($C208,'Policy Characteristics'!$C:$C,0))),"",INDEX('Policy Characteristics'!H:H,MATCH($C208,'Policy Characteristics'!$C:$C,0)))</f>
        <v>0.01</v>
      </c>
      <c r="O208" s="275" t="str">
        <f>IF(ISBLANK(INDEX('Policy Characteristics'!I:I,MATCH($C208,'Policy Characteristics'!$C:$C,0))),"",INDEX('Policy Characteristics'!I:I,MATCH($C208,'Policy Characteristics'!$C:$C,0)))</f>
        <v>% reduction in energy use</v>
      </c>
      <c r="P208" s="275" t="str">
        <f>IF(ISBLANK(INDEX('Policy Characteristics'!J:J,MATCH($C208,'Policy Characteristics'!$C:$C,0))),"",INDEX('Policy Characteristics'!J:J,MATCH($C208,'Policy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8" s="275" t="str">
        <f>IF(ISBLANK(INDEX('Policy Characteristics'!K:K,MATCH($C208,'Policy Characteristics'!$C:$C,0))),"",INDEX('Policy Characteristics'!K:K,MATCH($C208,'Policy Characteristics'!$C:$C,0)))</f>
        <v>buildings-sector-main.html#eff-stds</v>
      </c>
      <c r="R208" s="275" t="str">
        <f>IF(ISBLANK(INDEX('Policy Characteristics'!L:L,MATCH($C208,'Policy Characteristics'!$C:$C,0))),"",INDEX('Policy Characteristics'!L:L,MATCH($C208,'Policy Characteristics'!$C:$C,0)))</f>
        <v>building-energy-efficiency-standards.html</v>
      </c>
    </row>
    <row r="209" spans="1:18" s="4" customFormat="1" x14ac:dyDescent="0.25">
      <c r="A209" s="275" t="str">
        <f>IF(ISBLANK(INDEX('Policy Characteristics'!A:A,MATCH($C209,'Policy Characteristics'!$C:$C,0))),"",INDEX('Policy Characteristics'!A:A,MATCH($C209,'Policy Characteristics'!$C:$C,0)))</f>
        <v>Buildings and Appliances</v>
      </c>
      <c r="B209" s="284" t="str">
        <f>IF(ISBLANK(INDEX('Policy Characteristics'!B:B,MATCH($C209,'Policy Characteristics'!$C:$C,0))),"",INDEX('Policy Characteristics'!B:B,MATCH($C209,'Policy Characteristics'!$C:$C,0)))</f>
        <v>Building Energy Efficiency Standards</v>
      </c>
      <c r="C209" s="275" t="str">
        <f t="shared" si="12"/>
        <v>Reduction in E Use Allowed by Component Eff Std</v>
      </c>
      <c r="D209" s="47" t="s">
        <v>115</v>
      </c>
      <c r="E209" s="47" t="s">
        <v>278</v>
      </c>
      <c r="F209" s="47" t="s">
        <v>121</v>
      </c>
      <c r="G209" s="47" t="s">
        <v>280</v>
      </c>
      <c r="H209" s="44">
        <v>150</v>
      </c>
      <c r="I209" s="346" t="s">
        <v>43</v>
      </c>
      <c r="J209" s="276" t="str">
        <f>IF(ISBLANK(INDEX('Policy Characteristics'!D:D,MATCH($C209,'Policy Characteristics'!$C:$C,0))),"",INDEX('Policy Characteristics'!D:D,MATCH($C209,'Policy Characteristics'!$C:$C,0)))</f>
        <v>Building Energy Efficiency Standards</v>
      </c>
      <c r="K209" s="275" t="str">
        <f>IF(ISBLANK(INDEX('Policy Characteristics'!E:E,MATCH($C209,'Policy Characteristics'!$C:$C,0))),"",INDEX('Policy Characteristics'!E:E,MATCH($C209,'Policy Characteristics'!$C:$C,0)))</f>
        <v>bldgs efficiency standards</v>
      </c>
      <c r="L209" s="283">
        <f>IF(ISBLANK(INDEX('Policy Characteristics'!F:F,MATCH($C209,'Policy Characteristics'!$C:$C,0))),"",INDEX('Policy Characteristics'!F:F,MATCH($C209,'Policy Characteristics'!$C:$C,0)))</f>
        <v>0</v>
      </c>
      <c r="M209" s="283">
        <f>IF(ISBLANK(INDEX('Policy Characteristics'!G:G,MATCH($C209,'Policy Characteristics'!$C:$C,0))),"",INDEX('Policy Characteristics'!G:G,MATCH($C209,'Policy Characteristics'!$C:$C,0)))</f>
        <v>0.75</v>
      </c>
      <c r="N209" s="283">
        <f>IF(ISBLANK(INDEX('Policy Characteristics'!H:H,MATCH($C209,'Policy Characteristics'!$C:$C,0))),"",INDEX('Policy Characteristics'!H:H,MATCH($C209,'Policy Characteristics'!$C:$C,0)))</f>
        <v>0.01</v>
      </c>
      <c r="O209" s="275" t="str">
        <f>IF(ISBLANK(INDEX('Policy Characteristics'!I:I,MATCH($C209,'Policy Characteristics'!$C:$C,0))),"",INDEX('Policy Characteristics'!I:I,MATCH($C209,'Policy Characteristics'!$C:$C,0)))</f>
        <v>% reduction in energy use</v>
      </c>
      <c r="P209" s="275" t="str">
        <f>IF(ISBLANK(INDEX('Policy Characteristics'!J:J,MATCH($C209,'Policy Characteristics'!$C:$C,0))),"",INDEX('Policy Characteristics'!J:J,MATCH($C209,'Policy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9" s="275" t="str">
        <f>IF(ISBLANK(INDEX('Policy Characteristics'!K:K,MATCH($C209,'Policy Characteristics'!$C:$C,0))),"",INDEX('Policy Characteristics'!K:K,MATCH($C209,'Policy Characteristics'!$C:$C,0)))</f>
        <v>buildings-sector-main.html#eff-stds</v>
      </c>
      <c r="R209" s="275" t="str">
        <f>IF(ISBLANK(INDEX('Policy Characteristics'!L:L,MATCH($C209,'Policy Characteristics'!$C:$C,0))),"",INDEX('Policy Characteristics'!L:L,MATCH($C209,'Policy Characteristics'!$C:$C,0)))</f>
        <v>building-energy-efficiency-standards.html</v>
      </c>
    </row>
    <row r="210" spans="1:18" s="4" customFormat="1" x14ac:dyDescent="0.25">
      <c r="A210" s="275" t="str">
        <f>IF(ISBLANK(INDEX('Policy Characteristics'!A:A,MATCH($C210,'Policy Characteristics'!$C:$C,0))),"",INDEX('Policy Characteristics'!A:A,MATCH($C210,'Policy Characteristics'!$C:$C,0)))</f>
        <v>Buildings and Appliances</v>
      </c>
      <c r="B210" s="284" t="str">
        <f>IF(ISBLANK(INDEX('Policy Characteristics'!B:B,MATCH($C210,'Policy Characteristics'!$C:$C,0))),"",INDEX('Policy Characteristics'!B:B,MATCH($C210,'Policy Characteristics'!$C:$C,0)))</f>
        <v>Building Energy Efficiency Standards</v>
      </c>
      <c r="C210" s="275" t="str">
        <f t="shared" si="12"/>
        <v>Reduction in E Use Allowed by Component Eff Std</v>
      </c>
      <c r="D210" s="47" t="s">
        <v>116</v>
      </c>
      <c r="E210" s="47" t="s">
        <v>278</v>
      </c>
      <c r="F210" s="47" t="s">
        <v>122</v>
      </c>
      <c r="G210" s="47" t="s">
        <v>280</v>
      </c>
      <c r="H210" s="44">
        <v>151</v>
      </c>
      <c r="I210" s="346" t="s">
        <v>43</v>
      </c>
      <c r="J210" s="276" t="str">
        <f>IF(ISBLANK(INDEX('Policy Characteristics'!D:D,MATCH($C210,'Policy Characteristics'!$C:$C,0))),"",INDEX('Policy Characteristics'!D:D,MATCH($C210,'Policy Characteristics'!$C:$C,0)))</f>
        <v>Building Energy Efficiency Standards</v>
      </c>
      <c r="K210" s="275" t="str">
        <f>IF(ISBLANK(INDEX('Policy Characteristics'!E:E,MATCH($C210,'Policy Characteristics'!$C:$C,0))),"",INDEX('Policy Characteristics'!E:E,MATCH($C210,'Policy Characteristics'!$C:$C,0)))</f>
        <v>bldgs efficiency standards</v>
      </c>
      <c r="L210" s="283">
        <f>IF(ISBLANK(INDEX('Policy Characteristics'!F:F,MATCH($C210,'Policy Characteristics'!$C:$C,0))),"",INDEX('Policy Characteristics'!F:F,MATCH($C210,'Policy Characteristics'!$C:$C,0)))</f>
        <v>0</v>
      </c>
      <c r="M210" s="283">
        <f>IF(ISBLANK(INDEX('Policy Characteristics'!G:G,MATCH($C210,'Policy Characteristics'!$C:$C,0))),"",INDEX('Policy Characteristics'!G:G,MATCH($C210,'Policy Characteristics'!$C:$C,0)))</f>
        <v>0.75</v>
      </c>
      <c r="N210" s="283">
        <f>IF(ISBLANK(INDEX('Policy Characteristics'!H:H,MATCH($C210,'Policy Characteristics'!$C:$C,0))),"",INDEX('Policy Characteristics'!H:H,MATCH($C210,'Policy Characteristics'!$C:$C,0)))</f>
        <v>0.01</v>
      </c>
      <c r="O210" s="275" t="str">
        <f>IF(ISBLANK(INDEX('Policy Characteristics'!I:I,MATCH($C210,'Policy Characteristics'!$C:$C,0))),"",INDEX('Policy Characteristics'!I:I,MATCH($C210,'Policy Characteristics'!$C:$C,0)))</f>
        <v>% reduction in energy use</v>
      </c>
      <c r="P210" s="275" t="str">
        <f>IF(ISBLANK(INDEX('Policy Characteristics'!J:J,MATCH($C210,'Policy Characteristics'!$C:$C,0))),"",INDEX('Policy Characteristics'!J:J,MATCH($C210,'Policy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0" s="275" t="str">
        <f>IF(ISBLANK(INDEX('Policy Characteristics'!K:K,MATCH($C210,'Policy Characteristics'!$C:$C,0))),"",INDEX('Policy Characteristics'!K:K,MATCH($C210,'Policy Characteristics'!$C:$C,0)))</f>
        <v>buildings-sector-main.html#eff-stds</v>
      </c>
      <c r="R210" s="275" t="str">
        <f>IF(ISBLANK(INDEX('Policy Characteristics'!L:L,MATCH($C210,'Policy Characteristics'!$C:$C,0))),"",INDEX('Policy Characteristics'!L:L,MATCH($C210,'Policy Characteristics'!$C:$C,0)))</f>
        <v>building-energy-efficiency-standards.html</v>
      </c>
    </row>
    <row r="211" spans="1:18" s="4" customFormat="1" x14ac:dyDescent="0.25">
      <c r="A211" s="275" t="str">
        <f>IF(ISBLANK(INDEX('Policy Characteristics'!A:A,MATCH($C211,'Policy Characteristics'!$C:$C,0))),"",INDEX('Policy Characteristics'!A:A,MATCH($C211,'Policy Characteristics'!$C:$C,0)))</f>
        <v>Buildings and Appliances</v>
      </c>
      <c r="B211" s="284" t="str">
        <f>IF(ISBLANK(INDEX('Policy Characteristics'!B:B,MATCH($C211,'Policy Characteristics'!$C:$C,0))),"",INDEX('Policy Characteristics'!B:B,MATCH($C211,'Policy Characteristics'!$C:$C,0)))</f>
        <v>Building Energy Efficiency Standards</v>
      </c>
      <c r="C211" s="275" t="str">
        <f t="shared" si="12"/>
        <v>Reduction in E Use Allowed by Component Eff Std</v>
      </c>
      <c r="D211" s="47" t="s">
        <v>117</v>
      </c>
      <c r="E211" s="47" t="s">
        <v>278</v>
      </c>
      <c r="F211" s="47" t="s">
        <v>123</v>
      </c>
      <c r="G211" s="47" t="s">
        <v>280</v>
      </c>
      <c r="H211" s="44">
        <v>152</v>
      </c>
      <c r="I211" s="346" t="s">
        <v>43</v>
      </c>
      <c r="J211" s="276" t="str">
        <f>IF(ISBLANK(INDEX('Policy Characteristics'!D:D,MATCH($C211,'Policy Characteristics'!$C:$C,0))),"",INDEX('Policy Characteristics'!D:D,MATCH($C211,'Policy Characteristics'!$C:$C,0)))</f>
        <v>Building Energy Efficiency Standards</v>
      </c>
      <c r="K211" s="275" t="str">
        <f>IF(ISBLANK(INDEX('Policy Characteristics'!E:E,MATCH($C211,'Policy Characteristics'!$C:$C,0))),"",INDEX('Policy Characteristics'!E:E,MATCH($C211,'Policy Characteristics'!$C:$C,0)))</f>
        <v>bldgs efficiency standards</v>
      </c>
      <c r="L211" s="283">
        <f>IF(ISBLANK(INDEX('Policy Characteristics'!F:F,MATCH($C211,'Policy Characteristics'!$C:$C,0))),"",INDEX('Policy Characteristics'!F:F,MATCH($C211,'Policy Characteristics'!$C:$C,0)))</f>
        <v>0</v>
      </c>
      <c r="M211" s="283">
        <f>IF(ISBLANK(INDEX('Policy Characteristics'!G:G,MATCH($C211,'Policy Characteristics'!$C:$C,0))),"",INDEX('Policy Characteristics'!G:G,MATCH($C211,'Policy Characteristics'!$C:$C,0)))</f>
        <v>0.75</v>
      </c>
      <c r="N211" s="283">
        <f>IF(ISBLANK(INDEX('Policy Characteristics'!H:H,MATCH($C211,'Policy Characteristics'!$C:$C,0))),"",INDEX('Policy Characteristics'!H:H,MATCH($C211,'Policy Characteristics'!$C:$C,0)))</f>
        <v>0.01</v>
      </c>
      <c r="O211" s="275" t="str">
        <f>IF(ISBLANK(INDEX('Policy Characteristics'!I:I,MATCH($C211,'Policy Characteristics'!$C:$C,0))),"",INDEX('Policy Characteristics'!I:I,MATCH($C211,'Policy Characteristics'!$C:$C,0)))</f>
        <v>% reduction in energy use</v>
      </c>
      <c r="P211" s="275" t="str">
        <f>IF(ISBLANK(INDEX('Policy Characteristics'!J:J,MATCH($C211,'Policy Characteristics'!$C:$C,0))),"",INDEX('Policy Characteristics'!J:J,MATCH($C211,'Policy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1" s="275" t="str">
        <f>IF(ISBLANK(INDEX('Policy Characteristics'!K:K,MATCH($C211,'Policy Characteristics'!$C:$C,0))),"",INDEX('Policy Characteristics'!K:K,MATCH($C211,'Policy Characteristics'!$C:$C,0)))</f>
        <v>buildings-sector-main.html#eff-stds</v>
      </c>
      <c r="R211" s="275" t="str">
        <f>IF(ISBLANK(INDEX('Policy Characteristics'!L:L,MATCH($C211,'Policy Characteristics'!$C:$C,0))),"",INDEX('Policy Characteristics'!L:L,MATCH($C211,'Policy Characteristics'!$C:$C,0)))</f>
        <v>building-energy-efficiency-standards.html</v>
      </c>
    </row>
    <row r="212" spans="1:18" s="4" customFormat="1" x14ac:dyDescent="0.25">
      <c r="A212" s="275" t="str">
        <f>IF(ISBLANK(INDEX('Policy Characteristics'!A:A,MATCH($C212,'Policy Characteristics'!$C:$C,0))),"",INDEX('Policy Characteristics'!A:A,MATCH($C212,'Policy Characteristics'!$C:$C,0)))</f>
        <v>Buildings and Appliances</v>
      </c>
      <c r="B212" s="284" t="str">
        <f>IF(ISBLANK(INDEX('Policy Characteristics'!B:B,MATCH($C212,'Policy Characteristics'!$C:$C,0))),"",INDEX('Policy Characteristics'!B:B,MATCH($C212,'Policy Characteristics'!$C:$C,0)))</f>
        <v>Building Energy Efficiency Standards</v>
      </c>
      <c r="C212" s="275" t="str">
        <f t="shared" si="12"/>
        <v>Reduction in E Use Allowed by Component Eff Std</v>
      </c>
      <c r="D212" s="47" t="s">
        <v>118</v>
      </c>
      <c r="E212" s="47" t="s">
        <v>278</v>
      </c>
      <c r="F212" s="47" t="s">
        <v>124</v>
      </c>
      <c r="G212" s="47" t="s">
        <v>280</v>
      </c>
      <c r="H212" s="44">
        <v>153</v>
      </c>
      <c r="I212" s="346" t="s">
        <v>43</v>
      </c>
      <c r="J212" s="276" t="str">
        <f>IF(ISBLANK(INDEX('Policy Characteristics'!D:D,MATCH($C212,'Policy Characteristics'!$C:$C,0))),"",INDEX('Policy Characteristics'!D:D,MATCH($C212,'Policy Characteristics'!$C:$C,0)))</f>
        <v>Building Energy Efficiency Standards</v>
      </c>
      <c r="K212" s="275" t="str">
        <f>IF(ISBLANK(INDEX('Policy Characteristics'!E:E,MATCH($C212,'Policy Characteristics'!$C:$C,0))),"",INDEX('Policy Characteristics'!E:E,MATCH($C212,'Policy Characteristics'!$C:$C,0)))</f>
        <v>bldgs efficiency standards</v>
      </c>
      <c r="L212" s="283">
        <f>IF(ISBLANK(INDEX('Policy Characteristics'!F:F,MATCH($C212,'Policy Characteristics'!$C:$C,0))),"",INDEX('Policy Characteristics'!F:F,MATCH($C212,'Policy Characteristics'!$C:$C,0)))</f>
        <v>0</v>
      </c>
      <c r="M212" s="283">
        <f>IF(ISBLANK(INDEX('Policy Characteristics'!G:G,MATCH($C212,'Policy Characteristics'!$C:$C,0))),"",INDEX('Policy Characteristics'!G:G,MATCH($C212,'Policy Characteristics'!$C:$C,0)))</f>
        <v>0.75</v>
      </c>
      <c r="N212" s="283">
        <f>IF(ISBLANK(INDEX('Policy Characteristics'!H:H,MATCH($C212,'Policy Characteristics'!$C:$C,0))),"",INDEX('Policy Characteristics'!H:H,MATCH($C212,'Policy Characteristics'!$C:$C,0)))</f>
        <v>0.01</v>
      </c>
      <c r="O212" s="275" t="str">
        <f>IF(ISBLANK(INDEX('Policy Characteristics'!I:I,MATCH($C212,'Policy Characteristics'!$C:$C,0))),"",INDEX('Policy Characteristics'!I:I,MATCH($C212,'Policy Characteristics'!$C:$C,0)))</f>
        <v>% reduction in energy use</v>
      </c>
      <c r="P212" s="275" t="str">
        <f>IF(ISBLANK(INDEX('Policy Characteristics'!J:J,MATCH($C212,'Policy Characteristics'!$C:$C,0))),"",INDEX('Policy Characteristics'!J:J,MATCH($C212,'Policy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2" s="275" t="str">
        <f>IF(ISBLANK(INDEX('Policy Characteristics'!K:K,MATCH($C212,'Policy Characteristics'!$C:$C,0))),"",INDEX('Policy Characteristics'!K:K,MATCH($C212,'Policy Characteristics'!$C:$C,0)))</f>
        <v>buildings-sector-main.html#eff-stds</v>
      </c>
      <c r="R212" s="275" t="str">
        <f>IF(ISBLANK(INDEX('Policy Characteristics'!L:L,MATCH($C212,'Policy Characteristics'!$C:$C,0))),"",INDEX('Policy Characteristics'!L:L,MATCH($C212,'Policy Characteristics'!$C:$C,0)))</f>
        <v>building-energy-efficiency-standards.html</v>
      </c>
    </row>
    <row r="213" spans="1:18" s="4" customFormat="1" x14ac:dyDescent="0.25">
      <c r="A213" s="275" t="str">
        <f>IF(ISBLANK(INDEX('Policy Characteristics'!A:A,MATCH($C213,'Policy Characteristics'!$C:$C,0))),"",INDEX('Policy Characteristics'!A:A,MATCH($C213,'Policy Characteristics'!$C:$C,0)))</f>
        <v>Buildings and Appliances</v>
      </c>
      <c r="B213" s="284" t="str">
        <f>IF(ISBLANK(INDEX('Policy Characteristics'!B:B,MATCH($C213,'Policy Characteristics'!$C:$C,0))),"",INDEX('Policy Characteristics'!B:B,MATCH($C213,'Policy Characteristics'!$C:$C,0)))</f>
        <v>Building Energy Efficiency Standards</v>
      </c>
      <c r="C213" s="275" t="str">
        <f t="shared" si="12"/>
        <v>Reduction in E Use Allowed by Component Eff Std</v>
      </c>
      <c r="D213" s="47" t="s">
        <v>119</v>
      </c>
      <c r="E213" s="47" t="s">
        <v>278</v>
      </c>
      <c r="F213" s="47" t="s">
        <v>125</v>
      </c>
      <c r="G213" s="47" t="s">
        <v>280</v>
      </c>
      <c r="H213" s="44">
        <v>154</v>
      </c>
      <c r="I213" s="346" t="s">
        <v>43</v>
      </c>
      <c r="J213" s="276" t="str">
        <f>IF(ISBLANK(INDEX('Policy Characteristics'!D:D,MATCH($C213,'Policy Characteristics'!$C:$C,0))),"",INDEX('Policy Characteristics'!D:D,MATCH($C213,'Policy Characteristics'!$C:$C,0)))</f>
        <v>Building Energy Efficiency Standards</v>
      </c>
      <c r="K213" s="275" t="str">
        <f>IF(ISBLANK(INDEX('Policy Characteristics'!E:E,MATCH($C213,'Policy Characteristics'!$C:$C,0))),"",INDEX('Policy Characteristics'!E:E,MATCH($C213,'Policy Characteristics'!$C:$C,0)))</f>
        <v>bldgs efficiency standards</v>
      </c>
      <c r="L213" s="283">
        <f>IF(ISBLANK(INDEX('Policy Characteristics'!F:F,MATCH($C213,'Policy Characteristics'!$C:$C,0))),"",INDEX('Policy Characteristics'!F:F,MATCH($C213,'Policy Characteristics'!$C:$C,0)))</f>
        <v>0</v>
      </c>
      <c r="M213" s="283">
        <f>IF(ISBLANK(INDEX('Policy Characteristics'!G:G,MATCH($C213,'Policy Characteristics'!$C:$C,0))),"",INDEX('Policy Characteristics'!G:G,MATCH($C213,'Policy Characteristics'!$C:$C,0)))</f>
        <v>0.75</v>
      </c>
      <c r="N213" s="283">
        <f>IF(ISBLANK(INDEX('Policy Characteristics'!H:H,MATCH($C213,'Policy Characteristics'!$C:$C,0))),"",INDEX('Policy Characteristics'!H:H,MATCH($C213,'Policy Characteristics'!$C:$C,0)))</f>
        <v>0.01</v>
      </c>
      <c r="O213" s="275" t="str">
        <f>IF(ISBLANK(INDEX('Policy Characteristics'!I:I,MATCH($C213,'Policy Characteristics'!$C:$C,0))),"",INDEX('Policy Characteristics'!I:I,MATCH($C213,'Policy Characteristics'!$C:$C,0)))</f>
        <v>% reduction in energy use</v>
      </c>
      <c r="P213" s="275" t="str">
        <f>IF(ISBLANK(INDEX('Policy Characteristics'!J:J,MATCH($C213,'Policy Characteristics'!$C:$C,0))),"",INDEX('Policy Characteristics'!J:J,MATCH($C213,'Policy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3" s="275" t="str">
        <f>IF(ISBLANK(INDEX('Policy Characteristics'!K:K,MATCH($C213,'Policy Characteristics'!$C:$C,0))),"",INDEX('Policy Characteristics'!K:K,MATCH($C213,'Policy Characteristics'!$C:$C,0)))</f>
        <v>buildings-sector-main.html#eff-stds</v>
      </c>
      <c r="R213" s="275" t="str">
        <f>IF(ISBLANK(INDEX('Policy Characteristics'!L:L,MATCH($C213,'Policy Characteristics'!$C:$C,0))),"",INDEX('Policy Characteristics'!L:L,MATCH($C213,'Policy Characteristics'!$C:$C,0)))</f>
        <v>building-energy-efficiency-standards.html</v>
      </c>
    </row>
    <row r="214" spans="1:18" s="4" customFormat="1" x14ac:dyDescent="0.25">
      <c r="A214" s="275" t="str">
        <f>IF(ISBLANK(INDEX('Policy Characteristics'!A:A,MATCH($C214,'Policy Characteristics'!$C:$C,0))),"",INDEX('Policy Characteristics'!A:A,MATCH($C214,'Policy Characteristics'!$C:$C,0)))</f>
        <v>Buildings and Appliances</v>
      </c>
      <c r="B214" s="284" t="str">
        <f>IF(ISBLANK(INDEX('Policy Characteristics'!B:B,MATCH($C214,'Policy Characteristics'!$C:$C,0))),"",INDEX('Policy Characteristics'!B:B,MATCH($C214,'Policy Characteristics'!$C:$C,0)))</f>
        <v>Building Energy Efficiency Standards</v>
      </c>
      <c r="C214" s="275" t="str">
        <f t="shared" si="12"/>
        <v>Reduction in E Use Allowed by Component Eff Std</v>
      </c>
      <c r="D214" s="47" t="s">
        <v>120</v>
      </c>
      <c r="E214" s="47" t="s">
        <v>278</v>
      </c>
      <c r="F214" s="47" t="s">
        <v>126</v>
      </c>
      <c r="G214" s="47" t="s">
        <v>280</v>
      </c>
      <c r="H214" s="44">
        <v>155</v>
      </c>
      <c r="I214" s="346" t="s">
        <v>43</v>
      </c>
      <c r="J214" s="276" t="str">
        <f>IF(ISBLANK(INDEX('Policy Characteristics'!D:D,MATCH($C214,'Policy Characteristics'!$C:$C,0))),"",INDEX('Policy Characteristics'!D:D,MATCH($C214,'Policy Characteristics'!$C:$C,0)))</f>
        <v>Building Energy Efficiency Standards</v>
      </c>
      <c r="K214" s="275" t="str">
        <f>IF(ISBLANK(INDEX('Policy Characteristics'!E:E,MATCH($C214,'Policy Characteristics'!$C:$C,0))),"",INDEX('Policy Characteristics'!E:E,MATCH($C214,'Policy Characteristics'!$C:$C,0)))</f>
        <v>bldgs efficiency standards</v>
      </c>
      <c r="L214" s="283">
        <f>IF(ISBLANK(INDEX('Policy Characteristics'!F:F,MATCH($C214,'Policy Characteristics'!$C:$C,0))),"",INDEX('Policy Characteristics'!F:F,MATCH($C214,'Policy Characteristics'!$C:$C,0)))</f>
        <v>0</v>
      </c>
      <c r="M214" s="283">
        <f>IF(ISBLANK(INDEX('Policy Characteristics'!G:G,MATCH($C214,'Policy Characteristics'!$C:$C,0))),"",INDEX('Policy Characteristics'!G:G,MATCH($C214,'Policy Characteristics'!$C:$C,0)))</f>
        <v>0.75</v>
      </c>
      <c r="N214" s="283">
        <f>IF(ISBLANK(INDEX('Policy Characteristics'!H:H,MATCH($C214,'Policy Characteristics'!$C:$C,0))),"",INDEX('Policy Characteristics'!H:H,MATCH($C214,'Policy Characteristics'!$C:$C,0)))</f>
        <v>0.01</v>
      </c>
      <c r="O214" s="275" t="str">
        <f>IF(ISBLANK(INDEX('Policy Characteristics'!I:I,MATCH($C214,'Policy Characteristics'!$C:$C,0))),"",INDEX('Policy Characteristics'!I:I,MATCH($C214,'Policy Characteristics'!$C:$C,0)))</f>
        <v>% reduction in energy use</v>
      </c>
      <c r="P214" s="275" t="str">
        <f>IF(ISBLANK(INDEX('Policy Characteristics'!J:J,MATCH($C214,'Policy Characteristics'!$C:$C,0))),"",INDEX('Policy Characteristics'!J:J,MATCH($C214,'Policy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4" s="275" t="str">
        <f>IF(ISBLANK(INDEX('Policy Characteristics'!K:K,MATCH($C214,'Policy Characteristics'!$C:$C,0))),"",INDEX('Policy Characteristics'!K:K,MATCH($C214,'Policy Characteristics'!$C:$C,0)))</f>
        <v>buildings-sector-main.html#eff-stds</v>
      </c>
      <c r="R214" s="275" t="str">
        <f>IF(ISBLANK(INDEX('Policy Characteristics'!L:L,MATCH($C214,'Policy Characteristics'!$C:$C,0))),"",INDEX('Policy Characteristics'!L:L,MATCH($C214,'Policy Characteristics'!$C:$C,0)))</f>
        <v>building-energy-efficiency-standards.html</v>
      </c>
    </row>
    <row r="215" spans="1:18" s="4" customFormat="1" x14ac:dyDescent="0.25">
      <c r="A215" s="275" t="str">
        <f>IF(ISBLANK(INDEX('Policy Characteristics'!A:A,MATCH($C215,'Policy Characteristics'!$C:$C,0))),"",INDEX('Policy Characteristics'!A:A,MATCH($C215,'Policy Characteristics'!$C:$C,0)))</f>
        <v>Buildings and Appliances</v>
      </c>
      <c r="B215" s="284" t="str">
        <f>IF(ISBLANK(INDEX('Policy Characteristics'!B:B,MATCH($C215,'Policy Characteristics'!$C:$C,0))),"",INDEX('Policy Characteristics'!B:B,MATCH($C215,'Policy Characteristics'!$C:$C,0)))</f>
        <v>Building Energy Efficiency Standards</v>
      </c>
      <c r="C215" s="275" t="str">
        <f t="shared" si="12"/>
        <v>Reduction in E Use Allowed by Component Eff Std</v>
      </c>
      <c r="D215" s="47" t="s">
        <v>115</v>
      </c>
      <c r="E215" s="47" t="s">
        <v>279</v>
      </c>
      <c r="F215" s="47" t="s">
        <v>121</v>
      </c>
      <c r="G215" s="47" t="s">
        <v>165</v>
      </c>
      <c r="H215" s="44">
        <v>156</v>
      </c>
      <c r="I215" s="346" t="s">
        <v>43</v>
      </c>
      <c r="J215" s="276" t="str">
        <f>IF(ISBLANK(INDEX('Policy Characteristics'!D:D,MATCH($C215,'Policy Characteristics'!$C:$C,0))),"",INDEX('Policy Characteristics'!D:D,MATCH($C215,'Policy Characteristics'!$C:$C,0)))</f>
        <v>Building Energy Efficiency Standards</v>
      </c>
      <c r="K215" s="275" t="str">
        <f>IF(ISBLANK(INDEX('Policy Characteristics'!E:E,MATCH($C215,'Policy Characteristics'!$C:$C,0))),"",INDEX('Policy Characteristics'!E:E,MATCH($C215,'Policy Characteristics'!$C:$C,0)))</f>
        <v>bldgs efficiency standards</v>
      </c>
      <c r="L215" s="283">
        <f>IF(ISBLANK(INDEX('Policy Characteristics'!F:F,MATCH($C215,'Policy Characteristics'!$C:$C,0))),"",INDEX('Policy Characteristics'!F:F,MATCH($C215,'Policy Characteristics'!$C:$C,0)))</f>
        <v>0</v>
      </c>
      <c r="M215" s="283">
        <f>IF(ISBLANK(INDEX('Policy Characteristics'!G:G,MATCH($C215,'Policy Characteristics'!$C:$C,0))),"",INDEX('Policy Characteristics'!G:G,MATCH($C215,'Policy Characteristics'!$C:$C,0)))</f>
        <v>0.75</v>
      </c>
      <c r="N215" s="283">
        <f>IF(ISBLANK(INDEX('Policy Characteristics'!H:H,MATCH($C215,'Policy Characteristics'!$C:$C,0))),"",INDEX('Policy Characteristics'!H:H,MATCH($C215,'Policy Characteristics'!$C:$C,0)))</f>
        <v>0.01</v>
      </c>
      <c r="O215" s="275" t="str">
        <f>IF(ISBLANK(INDEX('Policy Characteristics'!I:I,MATCH($C215,'Policy Characteristics'!$C:$C,0))),"",INDEX('Policy Characteristics'!I:I,MATCH($C215,'Policy Characteristics'!$C:$C,0)))</f>
        <v>% reduction in energy use</v>
      </c>
      <c r="P215" s="275"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75" t="str">
        <f>IF(ISBLANK(INDEX('Policy Characteristics'!K:K,MATCH($C215,'Policy Characteristics'!$C:$C,0))),"",INDEX('Policy Characteristics'!K:K,MATCH($C215,'Policy Characteristics'!$C:$C,0)))</f>
        <v>buildings-sector-main.html#eff-stds</v>
      </c>
      <c r="R215" s="275" t="str">
        <f>IF(ISBLANK(INDEX('Policy Characteristics'!L:L,MATCH($C215,'Policy Characteristics'!$C:$C,0))),"",INDEX('Policy Characteristics'!L:L,MATCH($C215,'Policy Characteristics'!$C:$C,0)))</f>
        <v>building-energy-efficiency-standards.html</v>
      </c>
    </row>
    <row r="216" spans="1:18" s="4" customFormat="1" x14ac:dyDescent="0.25">
      <c r="A216" s="275" t="str">
        <f>IF(ISBLANK(INDEX('Policy Characteristics'!A:A,MATCH($C216,'Policy Characteristics'!$C:$C,0))),"",INDEX('Policy Characteristics'!A:A,MATCH($C216,'Policy Characteristics'!$C:$C,0)))</f>
        <v>Buildings and Appliances</v>
      </c>
      <c r="B216" s="284" t="str">
        <f>IF(ISBLANK(INDEX('Policy Characteristics'!B:B,MATCH($C216,'Policy Characteristics'!$C:$C,0))),"",INDEX('Policy Characteristics'!B:B,MATCH($C216,'Policy Characteristics'!$C:$C,0)))</f>
        <v>Building Energy Efficiency Standards</v>
      </c>
      <c r="C216" s="275" t="str">
        <f t="shared" si="12"/>
        <v>Reduction in E Use Allowed by Component Eff Std</v>
      </c>
      <c r="D216" s="47" t="s">
        <v>116</v>
      </c>
      <c r="E216" s="47" t="s">
        <v>279</v>
      </c>
      <c r="F216" s="47" t="s">
        <v>122</v>
      </c>
      <c r="G216" s="47" t="s">
        <v>165</v>
      </c>
      <c r="H216" s="44">
        <v>157</v>
      </c>
      <c r="I216" s="346" t="s">
        <v>43</v>
      </c>
      <c r="J216" s="276" t="str">
        <f>IF(ISBLANK(INDEX('Policy Characteristics'!D:D,MATCH($C216,'Policy Characteristics'!$C:$C,0))),"",INDEX('Policy Characteristics'!D:D,MATCH($C216,'Policy Characteristics'!$C:$C,0)))</f>
        <v>Building Energy Efficiency Standards</v>
      </c>
      <c r="K216" s="275" t="str">
        <f>IF(ISBLANK(INDEX('Policy Characteristics'!E:E,MATCH($C216,'Policy Characteristics'!$C:$C,0))),"",INDEX('Policy Characteristics'!E:E,MATCH($C216,'Policy Characteristics'!$C:$C,0)))</f>
        <v>bldgs efficiency standards</v>
      </c>
      <c r="L216" s="283">
        <f>IF(ISBLANK(INDEX('Policy Characteristics'!F:F,MATCH($C216,'Policy Characteristics'!$C:$C,0))),"",INDEX('Policy Characteristics'!F:F,MATCH($C216,'Policy Characteristics'!$C:$C,0)))</f>
        <v>0</v>
      </c>
      <c r="M216" s="283">
        <f>IF(ISBLANK(INDEX('Policy Characteristics'!G:G,MATCH($C216,'Policy Characteristics'!$C:$C,0))),"",INDEX('Policy Characteristics'!G:G,MATCH($C216,'Policy Characteristics'!$C:$C,0)))</f>
        <v>0.75</v>
      </c>
      <c r="N216" s="283">
        <f>IF(ISBLANK(INDEX('Policy Characteristics'!H:H,MATCH($C216,'Policy Characteristics'!$C:$C,0))),"",INDEX('Policy Characteristics'!H:H,MATCH($C216,'Policy Characteristics'!$C:$C,0)))</f>
        <v>0.01</v>
      </c>
      <c r="O216" s="275" t="str">
        <f>IF(ISBLANK(INDEX('Policy Characteristics'!I:I,MATCH($C216,'Policy Characteristics'!$C:$C,0))),"",INDEX('Policy Characteristics'!I:I,MATCH($C216,'Policy Characteristics'!$C:$C,0)))</f>
        <v>% reduction in energy use</v>
      </c>
      <c r="P216" s="275"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75" t="str">
        <f>IF(ISBLANK(INDEX('Policy Characteristics'!K:K,MATCH($C216,'Policy Characteristics'!$C:$C,0))),"",INDEX('Policy Characteristics'!K:K,MATCH($C216,'Policy Characteristics'!$C:$C,0)))</f>
        <v>buildings-sector-main.html#eff-stds</v>
      </c>
      <c r="R216" s="275" t="str">
        <f>IF(ISBLANK(INDEX('Policy Characteristics'!L:L,MATCH($C216,'Policy Characteristics'!$C:$C,0))),"",INDEX('Policy Characteristics'!L:L,MATCH($C216,'Policy Characteristics'!$C:$C,0)))</f>
        <v>building-energy-efficiency-standards.html</v>
      </c>
    </row>
    <row r="217" spans="1:18" s="4" customFormat="1" x14ac:dyDescent="0.25">
      <c r="A217" s="275" t="str">
        <f>IF(ISBLANK(INDEX('Policy Characteristics'!A:A,MATCH($C217,'Policy Characteristics'!$C:$C,0))),"",INDEX('Policy Characteristics'!A:A,MATCH($C217,'Policy Characteristics'!$C:$C,0)))</f>
        <v>Buildings and Appliances</v>
      </c>
      <c r="B217" s="284" t="str">
        <f>IF(ISBLANK(INDEX('Policy Characteristics'!B:B,MATCH($C217,'Policy Characteristics'!$C:$C,0))),"",INDEX('Policy Characteristics'!B:B,MATCH($C217,'Policy Characteristics'!$C:$C,0)))</f>
        <v>Building Energy Efficiency Standards</v>
      </c>
      <c r="C217" s="275" t="str">
        <f t="shared" si="12"/>
        <v>Reduction in E Use Allowed by Component Eff Std</v>
      </c>
      <c r="D217" s="47" t="s">
        <v>117</v>
      </c>
      <c r="E217" s="47" t="s">
        <v>279</v>
      </c>
      <c r="F217" s="47" t="s">
        <v>123</v>
      </c>
      <c r="G217" s="47" t="s">
        <v>165</v>
      </c>
      <c r="H217" s="44">
        <v>158</v>
      </c>
      <c r="I217" s="346" t="s">
        <v>43</v>
      </c>
      <c r="J217" s="276" t="str">
        <f>IF(ISBLANK(INDEX('Policy Characteristics'!D:D,MATCH($C217,'Policy Characteristics'!$C:$C,0))),"",INDEX('Policy Characteristics'!D:D,MATCH($C217,'Policy Characteristics'!$C:$C,0)))</f>
        <v>Building Energy Efficiency Standards</v>
      </c>
      <c r="K217" s="275" t="str">
        <f>IF(ISBLANK(INDEX('Policy Characteristics'!E:E,MATCH($C217,'Policy Characteristics'!$C:$C,0))),"",INDEX('Policy Characteristics'!E:E,MATCH($C217,'Policy Characteristics'!$C:$C,0)))</f>
        <v>bldgs efficiency standards</v>
      </c>
      <c r="L217" s="283">
        <f>IF(ISBLANK(INDEX('Policy Characteristics'!F:F,MATCH($C217,'Policy Characteristics'!$C:$C,0))),"",INDEX('Policy Characteristics'!F:F,MATCH($C217,'Policy Characteristics'!$C:$C,0)))</f>
        <v>0</v>
      </c>
      <c r="M217" s="283">
        <f>IF(ISBLANK(INDEX('Policy Characteristics'!G:G,MATCH($C217,'Policy Characteristics'!$C:$C,0))),"",INDEX('Policy Characteristics'!G:G,MATCH($C217,'Policy Characteristics'!$C:$C,0)))</f>
        <v>0.75</v>
      </c>
      <c r="N217" s="283">
        <f>IF(ISBLANK(INDEX('Policy Characteristics'!H:H,MATCH($C217,'Policy Characteristics'!$C:$C,0))),"",INDEX('Policy Characteristics'!H:H,MATCH($C217,'Policy Characteristics'!$C:$C,0)))</f>
        <v>0.01</v>
      </c>
      <c r="O217" s="275" t="str">
        <f>IF(ISBLANK(INDEX('Policy Characteristics'!I:I,MATCH($C217,'Policy Characteristics'!$C:$C,0))),"",INDEX('Policy Characteristics'!I:I,MATCH($C217,'Policy Characteristics'!$C:$C,0)))</f>
        <v>% reduction in energy use</v>
      </c>
      <c r="P217" s="275"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75" t="str">
        <f>IF(ISBLANK(INDEX('Policy Characteristics'!K:K,MATCH($C217,'Policy Characteristics'!$C:$C,0))),"",INDEX('Policy Characteristics'!K:K,MATCH($C217,'Policy Characteristics'!$C:$C,0)))</f>
        <v>buildings-sector-main.html#eff-stds</v>
      </c>
      <c r="R217" s="275" t="str">
        <f>IF(ISBLANK(INDEX('Policy Characteristics'!L:L,MATCH($C217,'Policy Characteristics'!$C:$C,0))),"",INDEX('Policy Characteristics'!L:L,MATCH($C217,'Policy Characteristics'!$C:$C,0)))</f>
        <v>building-energy-efficiency-standards.html</v>
      </c>
    </row>
    <row r="218" spans="1:18" s="4" customFormat="1" x14ac:dyDescent="0.25">
      <c r="A218" s="275" t="str">
        <f>IF(ISBLANK(INDEX('Policy Characteristics'!A:A,MATCH($C218,'Policy Characteristics'!$C:$C,0))),"",INDEX('Policy Characteristics'!A:A,MATCH($C218,'Policy Characteristics'!$C:$C,0)))</f>
        <v>Buildings and Appliances</v>
      </c>
      <c r="B218" s="284" t="str">
        <f>IF(ISBLANK(INDEX('Policy Characteristics'!B:B,MATCH($C218,'Policy Characteristics'!$C:$C,0))),"",INDEX('Policy Characteristics'!B:B,MATCH($C218,'Policy Characteristics'!$C:$C,0)))</f>
        <v>Building Energy Efficiency Standards</v>
      </c>
      <c r="C218" s="275" t="str">
        <f t="shared" si="12"/>
        <v>Reduction in E Use Allowed by Component Eff Std</v>
      </c>
      <c r="D218" s="47" t="s">
        <v>118</v>
      </c>
      <c r="E218" s="47" t="s">
        <v>279</v>
      </c>
      <c r="F218" s="47" t="s">
        <v>124</v>
      </c>
      <c r="G218" s="47" t="s">
        <v>165</v>
      </c>
      <c r="H218" s="44">
        <v>159</v>
      </c>
      <c r="I218" s="346" t="s">
        <v>43</v>
      </c>
      <c r="J218" s="276" t="str">
        <f>IF(ISBLANK(INDEX('Policy Characteristics'!D:D,MATCH($C218,'Policy Characteristics'!$C:$C,0))),"",INDEX('Policy Characteristics'!D:D,MATCH($C218,'Policy Characteristics'!$C:$C,0)))</f>
        <v>Building Energy Efficiency Standards</v>
      </c>
      <c r="K218" s="275" t="str">
        <f>IF(ISBLANK(INDEX('Policy Characteristics'!E:E,MATCH($C218,'Policy Characteristics'!$C:$C,0))),"",INDEX('Policy Characteristics'!E:E,MATCH($C218,'Policy Characteristics'!$C:$C,0)))</f>
        <v>bldgs efficiency standards</v>
      </c>
      <c r="L218" s="283">
        <f>IF(ISBLANK(INDEX('Policy Characteristics'!F:F,MATCH($C218,'Policy Characteristics'!$C:$C,0))),"",INDEX('Policy Characteristics'!F:F,MATCH($C218,'Policy Characteristics'!$C:$C,0)))</f>
        <v>0</v>
      </c>
      <c r="M218" s="283">
        <f>IF(ISBLANK(INDEX('Policy Characteristics'!G:G,MATCH($C218,'Policy Characteristics'!$C:$C,0))),"",INDEX('Policy Characteristics'!G:G,MATCH($C218,'Policy Characteristics'!$C:$C,0)))</f>
        <v>0.75</v>
      </c>
      <c r="N218" s="283">
        <f>IF(ISBLANK(INDEX('Policy Characteristics'!H:H,MATCH($C218,'Policy Characteristics'!$C:$C,0))),"",INDEX('Policy Characteristics'!H:H,MATCH($C218,'Policy Characteristics'!$C:$C,0)))</f>
        <v>0.01</v>
      </c>
      <c r="O218" s="275" t="str">
        <f>IF(ISBLANK(INDEX('Policy Characteristics'!I:I,MATCH($C218,'Policy Characteristics'!$C:$C,0))),"",INDEX('Policy Characteristics'!I:I,MATCH($C218,'Policy Characteristics'!$C:$C,0)))</f>
        <v>% reduction in energy use</v>
      </c>
      <c r="P218" s="275"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75" t="str">
        <f>IF(ISBLANK(INDEX('Policy Characteristics'!K:K,MATCH($C218,'Policy Characteristics'!$C:$C,0))),"",INDEX('Policy Characteristics'!K:K,MATCH($C218,'Policy Characteristics'!$C:$C,0)))</f>
        <v>buildings-sector-main.html#eff-stds</v>
      </c>
      <c r="R218" s="275" t="str">
        <f>IF(ISBLANK(INDEX('Policy Characteristics'!L:L,MATCH($C218,'Policy Characteristics'!$C:$C,0))),"",INDEX('Policy Characteristics'!L:L,MATCH($C218,'Policy Characteristics'!$C:$C,0)))</f>
        <v>building-energy-efficiency-standards.html</v>
      </c>
    </row>
    <row r="219" spans="1:18" s="4" customFormat="1" x14ac:dyDescent="0.25">
      <c r="A219" s="275" t="str">
        <f>IF(ISBLANK(INDEX('Policy Characteristics'!A:A,MATCH($C219,'Policy Characteristics'!$C:$C,0))),"",INDEX('Policy Characteristics'!A:A,MATCH($C219,'Policy Characteristics'!$C:$C,0)))</f>
        <v>Buildings and Appliances</v>
      </c>
      <c r="B219" s="284" t="str">
        <f>IF(ISBLANK(INDEX('Policy Characteristics'!B:B,MATCH($C219,'Policy Characteristics'!$C:$C,0))),"",INDEX('Policy Characteristics'!B:B,MATCH($C219,'Policy Characteristics'!$C:$C,0)))</f>
        <v>Building Energy Efficiency Standards</v>
      </c>
      <c r="C219" s="275" t="str">
        <f t="shared" si="12"/>
        <v>Reduction in E Use Allowed by Component Eff Std</v>
      </c>
      <c r="D219" s="47" t="s">
        <v>119</v>
      </c>
      <c r="E219" s="47" t="s">
        <v>279</v>
      </c>
      <c r="F219" s="47" t="s">
        <v>125</v>
      </c>
      <c r="G219" s="47" t="s">
        <v>165</v>
      </c>
      <c r="H219" s="44">
        <v>160</v>
      </c>
      <c r="I219" s="346" t="s">
        <v>43</v>
      </c>
      <c r="J219" s="276" t="str">
        <f>IF(ISBLANK(INDEX('Policy Characteristics'!D:D,MATCH($C219,'Policy Characteristics'!$C:$C,0))),"",INDEX('Policy Characteristics'!D:D,MATCH($C219,'Policy Characteristics'!$C:$C,0)))</f>
        <v>Building Energy Efficiency Standards</v>
      </c>
      <c r="K219" s="275" t="str">
        <f>IF(ISBLANK(INDEX('Policy Characteristics'!E:E,MATCH($C219,'Policy Characteristics'!$C:$C,0))),"",INDEX('Policy Characteristics'!E:E,MATCH($C219,'Policy Characteristics'!$C:$C,0)))</f>
        <v>bldgs efficiency standards</v>
      </c>
      <c r="L219" s="283">
        <f>IF(ISBLANK(INDEX('Policy Characteristics'!F:F,MATCH($C219,'Policy Characteristics'!$C:$C,0))),"",INDEX('Policy Characteristics'!F:F,MATCH($C219,'Policy Characteristics'!$C:$C,0)))</f>
        <v>0</v>
      </c>
      <c r="M219" s="283">
        <f>IF(ISBLANK(INDEX('Policy Characteristics'!G:G,MATCH($C219,'Policy Characteristics'!$C:$C,0))),"",INDEX('Policy Characteristics'!G:G,MATCH($C219,'Policy Characteristics'!$C:$C,0)))</f>
        <v>0.75</v>
      </c>
      <c r="N219" s="283">
        <f>IF(ISBLANK(INDEX('Policy Characteristics'!H:H,MATCH($C219,'Policy Characteristics'!$C:$C,0))),"",INDEX('Policy Characteristics'!H:H,MATCH($C219,'Policy Characteristics'!$C:$C,0)))</f>
        <v>0.01</v>
      </c>
      <c r="O219" s="275" t="str">
        <f>IF(ISBLANK(INDEX('Policy Characteristics'!I:I,MATCH($C219,'Policy Characteristics'!$C:$C,0))),"",INDEX('Policy Characteristics'!I:I,MATCH($C219,'Policy Characteristics'!$C:$C,0)))</f>
        <v>% reduction in energy use</v>
      </c>
      <c r="P219" s="275"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75" t="str">
        <f>IF(ISBLANK(INDEX('Policy Characteristics'!K:K,MATCH($C219,'Policy Characteristics'!$C:$C,0))),"",INDEX('Policy Characteristics'!K:K,MATCH($C219,'Policy Characteristics'!$C:$C,0)))</f>
        <v>buildings-sector-main.html#eff-stds</v>
      </c>
      <c r="R219" s="275" t="str">
        <f>IF(ISBLANK(INDEX('Policy Characteristics'!L:L,MATCH($C219,'Policy Characteristics'!$C:$C,0))),"",INDEX('Policy Characteristics'!L:L,MATCH($C219,'Policy Characteristics'!$C:$C,0)))</f>
        <v>building-energy-efficiency-standards.html</v>
      </c>
    </row>
    <row r="220" spans="1:18" s="4" customFormat="1" x14ac:dyDescent="0.25">
      <c r="A220" s="275" t="str">
        <f>IF(ISBLANK(INDEX('Policy Characteristics'!A:A,MATCH($C220,'Policy Characteristics'!$C:$C,0))),"",INDEX('Policy Characteristics'!A:A,MATCH($C220,'Policy Characteristics'!$C:$C,0)))</f>
        <v>Buildings and Appliances</v>
      </c>
      <c r="B220" s="284" t="str">
        <f>IF(ISBLANK(INDEX('Policy Characteristics'!B:B,MATCH($C220,'Policy Characteristics'!$C:$C,0))),"",INDEX('Policy Characteristics'!B:B,MATCH($C220,'Policy Characteristics'!$C:$C,0)))</f>
        <v>Building Energy Efficiency Standards</v>
      </c>
      <c r="C220" s="275" t="str">
        <f t="shared" ref="C220" si="13">C$203</f>
        <v>Reduction in E Use Allowed by Component Eff Std</v>
      </c>
      <c r="D220" s="47" t="s">
        <v>120</v>
      </c>
      <c r="E220" s="47" t="s">
        <v>279</v>
      </c>
      <c r="F220" s="47" t="s">
        <v>126</v>
      </c>
      <c r="G220" s="47" t="s">
        <v>165</v>
      </c>
      <c r="H220" s="44">
        <v>161</v>
      </c>
      <c r="I220" s="346" t="s">
        <v>43</v>
      </c>
      <c r="J220" s="276" t="str">
        <f>IF(ISBLANK(INDEX('Policy Characteristics'!D:D,MATCH($C220,'Policy Characteristics'!$C:$C,0))),"",INDEX('Policy Characteristics'!D:D,MATCH($C220,'Policy Characteristics'!$C:$C,0)))</f>
        <v>Building Energy Efficiency Standards</v>
      </c>
      <c r="K220" s="275" t="str">
        <f>IF(ISBLANK(INDEX('Policy Characteristics'!E:E,MATCH($C220,'Policy Characteristics'!$C:$C,0))),"",INDEX('Policy Characteristics'!E:E,MATCH($C220,'Policy Characteristics'!$C:$C,0)))</f>
        <v>bldgs efficiency standards</v>
      </c>
      <c r="L220" s="283">
        <f>IF(ISBLANK(INDEX('Policy Characteristics'!F:F,MATCH($C220,'Policy Characteristics'!$C:$C,0))),"",INDEX('Policy Characteristics'!F:F,MATCH($C220,'Policy Characteristics'!$C:$C,0)))</f>
        <v>0</v>
      </c>
      <c r="M220" s="283">
        <f>IF(ISBLANK(INDEX('Policy Characteristics'!G:G,MATCH($C220,'Policy Characteristics'!$C:$C,0))),"",INDEX('Policy Characteristics'!G:G,MATCH($C220,'Policy Characteristics'!$C:$C,0)))</f>
        <v>0.75</v>
      </c>
      <c r="N220" s="283">
        <f>IF(ISBLANK(INDEX('Policy Characteristics'!H:H,MATCH($C220,'Policy Characteristics'!$C:$C,0))),"",INDEX('Policy Characteristics'!H:H,MATCH($C220,'Policy Characteristics'!$C:$C,0)))</f>
        <v>0.01</v>
      </c>
      <c r="O220" s="275" t="str">
        <f>IF(ISBLANK(INDEX('Policy Characteristics'!I:I,MATCH($C220,'Policy Characteristics'!$C:$C,0))),"",INDEX('Policy Characteristics'!I:I,MATCH($C220,'Policy Characteristics'!$C:$C,0)))</f>
        <v>% reduction in energy use</v>
      </c>
      <c r="P220" s="275"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75" t="str">
        <f>IF(ISBLANK(INDEX('Policy Characteristics'!K:K,MATCH($C220,'Policy Characteristics'!$C:$C,0))),"",INDEX('Policy Characteristics'!K:K,MATCH($C220,'Policy Characteristics'!$C:$C,0)))</f>
        <v>buildings-sector-main.html#eff-stds</v>
      </c>
      <c r="R220" s="275" t="str">
        <f>IF(ISBLANK(INDEX('Policy Characteristics'!L:L,MATCH($C220,'Policy Characteristics'!$C:$C,0))),"",INDEX('Policy Characteristics'!L:L,MATCH($C220,'Policy Characteristics'!$C:$C,0)))</f>
        <v>building-energy-efficiency-standards.html</v>
      </c>
    </row>
    <row r="221" spans="1:18" s="4" customFormat="1" x14ac:dyDescent="0.25">
      <c r="A221" s="275" t="str">
        <f>IF(ISBLANK(INDEX('Policy Characteristics'!A:A,MATCH($C221,'Policy Characteristics'!$C:$C,0))),"",INDEX('Policy Characteristics'!A:A,MATCH($C221,'Policy Characteristics'!$C:$C,0)))</f>
        <v>Buildings and Appliances</v>
      </c>
      <c r="B221" s="284" t="str">
        <f>IF(ISBLANK(INDEX('Policy Characteristics'!B:B,MATCH($C221,'Policy Characteristics'!$C:$C,0))),"",INDEX('Policy Characteristics'!B:B,MATCH($C221,'Policy Characteristics'!$C:$C,0)))</f>
        <v>Contractor Training</v>
      </c>
      <c r="C221" t="s">
        <v>7</v>
      </c>
      <c r="D221" s="47"/>
      <c r="E221" s="47"/>
      <c r="F221" s="47"/>
      <c r="G221" s="47"/>
      <c r="H221" s="44">
        <v>19</v>
      </c>
      <c r="I221" s="346" t="s">
        <v>43</v>
      </c>
      <c r="J221" s="276" t="str">
        <f>IF(ISBLANK(INDEX('Policy Characteristics'!D:D,MATCH($C221,'Policy Characteristics'!$C:$C,0))),"",INDEX('Policy Characteristics'!D:D,MATCH($C221,'Policy Characteristics'!$C:$C,0)))</f>
        <v>Contractor Training</v>
      </c>
      <c r="K221" s="275" t="str">
        <f>IF(ISBLANK(INDEX('Policy Characteristics'!E:E,MATCH($C221,'Policy Characteristics'!$C:$C,0))),"",INDEX('Policy Characteristics'!E:E,MATCH($C221,'Policy Characteristics'!$C:$C,0)))</f>
        <v>bldgs contractor training</v>
      </c>
      <c r="L221" s="275">
        <f>IF(ISBLANK(INDEX('Policy Characteristics'!F:F,MATCH($C221,'Policy Characteristics'!$C:$C,0))),"",INDEX('Policy Characteristics'!F:F,MATCH($C221,'Policy Characteristics'!$C:$C,0)))</f>
        <v>0</v>
      </c>
      <c r="M221" s="275">
        <f>IF(ISBLANK(INDEX('Policy Characteristics'!G:G,MATCH($C221,'Policy Characteristics'!$C:$C,0))),"",INDEX('Policy Characteristics'!G:G,MATCH($C221,'Policy Characteristics'!$C:$C,0)))</f>
        <v>1</v>
      </c>
      <c r="N221" s="275">
        <f>IF(ISBLANK(INDEX('Policy Characteristics'!H:H,MATCH($C221,'Policy Characteristics'!$C:$C,0))),"",INDEX('Policy Characteristics'!H:H,MATCH($C221,'Policy Characteristics'!$C:$C,0)))</f>
        <v>1</v>
      </c>
      <c r="O221" s="275" t="str">
        <f>IF(ISBLANK(INDEX('Policy Characteristics'!I:I,MATCH($C221,'Policy Characteristics'!$C:$C,0))),"",INDEX('Policy Characteristics'!I:I,MATCH($C221,'Policy Characteristics'!$C:$C,0)))</f>
        <v>on/off</v>
      </c>
      <c r="P221" s="275" t="str">
        <f>IF(ISBLANK(INDEX('Policy Characteristics'!J:J,MATCH($C221,'Policy Characteristics'!$C:$C,0))),"",INDEX('Policy Characteristics'!J:J,MATCH($C221,'Policy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21" s="275" t="str">
        <f>IF(ISBLANK(INDEX('Policy Characteristics'!K:K,MATCH($C221,'Policy Characteristics'!$C:$C,0))),"",INDEX('Policy Characteristics'!K:K,MATCH($C221,'Policy Characteristics'!$C:$C,0)))</f>
        <v>buildings-sector-main.html#contractor-ed</v>
      </c>
      <c r="R221" s="275" t="str">
        <f>IF(ISBLANK(INDEX('Policy Characteristics'!L:L,MATCH($C221,'Policy Characteristics'!$C:$C,0))),"",INDEX('Policy Characteristics'!L:L,MATCH($C221,'Policy Characteristics'!$C:$C,0)))</f>
        <v>contractor-training.html</v>
      </c>
    </row>
    <row r="222" spans="1:18" s="4" customFormat="1" x14ac:dyDescent="0.25">
      <c r="A222" s="275" t="str">
        <f>IF(ISBLANK(INDEX('Policy Characteristics'!A:A,MATCH($C222,'Policy Characteristics'!$C:$C,0))),"",INDEX('Policy Characteristics'!A:A,MATCH($C222,'Policy Characteristics'!$C:$C,0)))</f>
        <v>Buildings and Appliances</v>
      </c>
      <c r="B222" s="284" t="str">
        <f>IF(ISBLANK(INDEX('Policy Characteristics'!B:B,MATCH($C222,'Policy Characteristics'!$C:$C,0))),"",INDEX('Policy Characteristics'!B:B,MATCH($C222,'Policy Characteristics'!$C:$C,0)))</f>
        <v>Distributed Solar Carve-Out</v>
      </c>
      <c r="C222" t="s">
        <v>301</v>
      </c>
      <c r="D222" s="47"/>
      <c r="E222" s="47"/>
      <c r="F222" s="47"/>
      <c r="G222" s="47"/>
      <c r="H222" s="44">
        <v>146</v>
      </c>
      <c r="I222" s="346" t="s">
        <v>43</v>
      </c>
      <c r="J222" s="276" t="str">
        <f>IF(ISBLANK(INDEX('Policy Characteristics'!D:D,MATCH($C222,'Policy Characteristics'!$C:$C,0))),"",INDEX('Policy Characteristics'!D:D,MATCH($C222,'Policy Characteristics'!$C:$C,0)))</f>
        <v>Distributed Solar Promotion</v>
      </c>
      <c r="K222" s="275" t="str">
        <f>IF(ISBLANK(INDEX('Policy Characteristics'!E:E,MATCH($C222,'Policy Characteristics'!$C:$C,0))),"",INDEX('Policy Characteristics'!E:E,MATCH($C222,'Policy Characteristics'!$C:$C,0)))</f>
        <v>bldgs min fraction distributed solar</v>
      </c>
      <c r="L222" s="283">
        <f>IF(ISBLANK(INDEX('Policy Characteristics'!F:F,MATCH($C222,'Policy Characteristics'!$C:$C,0))),"",INDEX('Policy Characteristics'!F:F,MATCH($C222,'Policy Characteristics'!$C:$C,0)))</f>
        <v>0</v>
      </c>
      <c r="M222" s="283">
        <f>IF(ISBLANK(INDEX('Policy Characteristics'!G:G,MATCH($C222,'Policy Characteristics'!$C:$C,0))),"",INDEX('Policy Characteristics'!G:G,MATCH($C222,'Policy Characteristics'!$C:$C,0)))</f>
        <v>0.24</v>
      </c>
      <c r="N222" s="283">
        <f>IF(ISBLANK(INDEX('Policy Characteristics'!H:H,MATCH($C222,'Policy Characteristics'!$C:$C,0))),"",INDEX('Policy Characteristics'!H:H,MATCH($C222,'Policy Characteristics'!$C:$C,0)))</f>
        <v>5.0000000000000001E-3</v>
      </c>
      <c r="O222" s="275" t="str">
        <f>IF(ISBLANK(INDEX('Policy Characteristics'!I:I,MATCH($C222,'Policy Characteristics'!$C:$C,0))),"",INDEX('Policy Characteristics'!I:I,MATCH($C222,'Policy Characteristics'!$C:$C,0)))</f>
        <v>minimum % elec from solar</v>
      </c>
      <c r="P222" s="275" t="str">
        <f>IF(ISBLANK(INDEX('Policy Characteristics'!J:J,MATCH($C222,'Policy Characteristics'!$C:$C,0))),"",INDEX('Policy Characteristics'!J:J,MATCH($C222,'Policy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22" s="275" t="str">
        <f>IF(ISBLANK(INDEX('Policy Characteristics'!K:K,MATCH($C222,'Policy Characteristics'!$C:$C,0))),"",INDEX('Policy Characteristics'!K:K,MATCH($C222,'Policy Characteristics'!$C:$C,0)))</f>
        <v>buildings-sector-main.html#solar-carve-out</v>
      </c>
      <c r="R222" s="275" t="str">
        <f>IF(ISBLANK(INDEX('Policy Characteristics'!L:L,MATCH($C222,'Policy Characteristics'!$C:$C,0))),"",INDEX('Policy Characteristics'!L:L,MATCH($C222,'Policy Characteristics'!$C:$C,0)))</f>
        <v>solar-carve-out.html</v>
      </c>
    </row>
    <row r="223" spans="1:18" s="4" customFormat="1" x14ac:dyDescent="0.25">
      <c r="A223" s="275" t="str">
        <f>IF(ISBLANK(INDEX('Policy Characteristics'!A:A,MATCH($C223,'Policy Characteristics'!$C:$C,0))),"",INDEX('Policy Characteristics'!A:A,MATCH($C223,'Policy Characteristics'!$C:$C,0)))</f>
        <v>Buildings and Appliances</v>
      </c>
      <c r="B223" s="284" t="str">
        <f>IF(ISBLANK(INDEX('Policy Characteristics'!B:B,MATCH($C223,'Policy Characteristics'!$C:$C,0))),"",INDEX('Policy Characteristics'!B:B,MATCH($C223,'Policy Characteristics'!$C:$C,0)))</f>
        <v>Distributed Solar Subsidy</v>
      </c>
      <c r="C223" s="1" t="s">
        <v>3489</v>
      </c>
      <c r="D223" s="47" t="s">
        <v>277</v>
      </c>
      <c r="E223" s="47"/>
      <c r="F223" s="47" t="s">
        <v>281</v>
      </c>
      <c r="G223" s="47"/>
      <c r="H223" s="44">
        <v>147</v>
      </c>
      <c r="I223" s="346" t="s">
        <v>43</v>
      </c>
      <c r="J223" s="276" t="str">
        <f>IF(ISBLANK(INDEX('Policy Characteristics'!D:D,MATCH($C223,'Policy Characteristics'!$C:$C,0))),"",INDEX('Policy Characteristics'!D:D,MATCH($C223,'Policy Characteristics'!$C:$C,0)))</f>
        <v>Distributed Solar Promotion</v>
      </c>
      <c r="K223" s="275" t="str">
        <f>IF(ISBLANK(INDEX('Policy Characteristics'!E:E,MATCH($C223,'Policy Characteristics'!$C:$C,0))),"",INDEX('Policy Characteristics'!E:E,MATCH($C223,'Policy Characteristics'!$C:$C,0)))</f>
        <v>bldgs distributed solar subsidy</v>
      </c>
      <c r="L223" s="283">
        <f>IF(ISBLANK(INDEX('Policy Characteristics'!F:F,MATCH($C223,'Policy Characteristics'!$C:$C,0))),"",INDEX('Policy Characteristics'!F:F,MATCH($C223,'Policy Characteristics'!$C:$C,0)))</f>
        <v>0</v>
      </c>
      <c r="M223" s="283">
        <f>IF(ISBLANK(INDEX('Policy Characteristics'!G:G,MATCH($C223,'Policy Characteristics'!$C:$C,0))),"",INDEX('Policy Characteristics'!G:G,MATCH($C223,'Policy Characteristics'!$C:$C,0)))</f>
        <v>0.5</v>
      </c>
      <c r="N223" s="283">
        <f>IF(ISBLANK(INDEX('Policy Characteristics'!H:H,MATCH($C223,'Policy Characteristics'!$C:$C,0))),"",INDEX('Policy Characteristics'!H:H,MATCH($C223,'Policy Characteristics'!$C:$C,0)))</f>
        <v>0.01</v>
      </c>
      <c r="O223" s="275" t="str">
        <f>IF(ISBLANK(INDEX('Policy Characteristics'!I:I,MATCH($C223,'Policy Characteristics'!$C:$C,0))),"",INDEX('Policy Characteristics'!I:I,MATCH($C223,'Policy Characteristics'!$C:$C,0)))</f>
        <v>% of PV system cost</v>
      </c>
      <c r="P223" s="275" t="str">
        <f>IF(ISBLANK(INDEX('Policy Characteristics'!J:J,MATCH($C223,'Policy Characteristics'!$C:$C,0))),"",INDEX('Policy Characteristics'!J:J,MATCH($C223,'Policy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3" s="275" t="str">
        <f>IF(ISBLANK(INDEX('Policy Characteristics'!K:K,MATCH($C223,'Policy Characteristics'!$C:$C,0))),"",INDEX('Policy Characteristics'!K:K,MATCH($C223,'Policy Characteristics'!$C:$C,0)))</f>
        <v>buildings-sector-main.html#distributed-solar-subsidy</v>
      </c>
      <c r="R223" s="275" t="str">
        <f>IF(ISBLANK(INDEX('Policy Characteristics'!L:L,MATCH($C223,'Policy Characteristics'!$C:$C,0))),"",INDEX('Policy Characteristics'!L:L,MATCH($C223,'Policy Characteristics'!$C:$C,0)))</f>
        <v>distributed-solar-subsidy.html</v>
      </c>
    </row>
    <row r="224" spans="1:18" s="4" customFormat="1" x14ac:dyDescent="0.25">
      <c r="A224" s="275" t="str">
        <f>IF(ISBLANK(INDEX('Policy Characteristics'!A:A,MATCH($C224,'Policy Characteristics'!$C:$C,0))),"",INDEX('Policy Characteristics'!A:A,MATCH($C224,'Policy Characteristics'!$C:$C,0)))</f>
        <v>Buildings and Appliances</v>
      </c>
      <c r="B224" s="284" t="str">
        <f>IF(ISBLANK(INDEX('Policy Characteristics'!B:B,MATCH($C224,'Policy Characteristics'!$C:$C,0))),"",INDEX('Policy Characteristics'!B:B,MATCH($C224,'Policy Characteristics'!$C:$C,0)))</f>
        <v>Distributed Solar Subsidy</v>
      </c>
      <c r="C224" s="275" t="str">
        <f>$C$223</f>
        <v>Additional Perc Subsidy for Distributed Solar PV Capacity</v>
      </c>
      <c r="D224" s="47" t="s">
        <v>278</v>
      </c>
      <c r="E224" s="47"/>
      <c r="F224" s="47" t="s">
        <v>280</v>
      </c>
      <c r="G224" s="47"/>
      <c r="H224" s="44">
        <v>1728</v>
      </c>
      <c r="I224" s="346" t="s">
        <v>43</v>
      </c>
      <c r="J224" s="276" t="str">
        <f>IF(ISBLANK(INDEX('Policy Characteristics'!D:D,MATCH($C224,'Policy Characteristics'!$C:$C,0))),"",INDEX('Policy Characteristics'!D:D,MATCH($C224,'Policy Characteristics'!$C:$C,0)))</f>
        <v>Distributed Solar Promotion</v>
      </c>
      <c r="K224" s="275" t="str">
        <f>IF(ISBLANK(INDEX('Policy Characteristics'!E:E,MATCH($C224,'Policy Characteristics'!$C:$C,0))),"",INDEX('Policy Characteristics'!E:E,MATCH($C224,'Policy Characteristics'!$C:$C,0)))</f>
        <v>bldgs distributed solar subsidy</v>
      </c>
      <c r="L224" s="283">
        <f>IF(ISBLANK(INDEX('Policy Characteristics'!F:F,MATCH($C224,'Policy Characteristics'!$C:$C,0))),"",INDEX('Policy Characteristics'!F:F,MATCH($C224,'Policy Characteristics'!$C:$C,0)))</f>
        <v>0</v>
      </c>
      <c r="M224" s="283">
        <f>IF(ISBLANK(INDEX('Policy Characteristics'!G:G,MATCH($C224,'Policy Characteristics'!$C:$C,0))),"",INDEX('Policy Characteristics'!G:G,MATCH($C224,'Policy Characteristics'!$C:$C,0)))</f>
        <v>0.5</v>
      </c>
      <c r="N224" s="283">
        <f>IF(ISBLANK(INDEX('Policy Characteristics'!H:H,MATCH($C224,'Policy Characteristics'!$C:$C,0))),"",INDEX('Policy Characteristics'!H:H,MATCH($C224,'Policy Characteristics'!$C:$C,0)))</f>
        <v>0.01</v>
      </c>
      <c r="O224" s="275" t="str">
        <f>IF(ISBLANK(INDEX('Policy Characteristics'!I:I,MATCH($C224,'Policy Characteristics'!$C:$C,0))),"",INDEX('Policy Characteristics'!I:I,MATCH($C224,'Policy Characteristics'!$C:$C,0)))</f>
        <v>% of PV system cost</v>
      </c>
      <c r="P224" s="275" t="str">
        <f>IF(ISBLANK(INDEX('Policy Characteristics'!J:J,MATCH($C224,'Policy Characteristics'!$C:$C,0))),"",INDEX('Policy Characteristics'!J:J,MATCH($C224,'Policy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4" s="275" t="str">
        <f>IF(ISBLANK(INDEX('Policy Characteristics'!K:K,MATCH($C224,'Policy Characteristics'!$C:$C,0))),"",INDEX('Policy Characteristics'!K:K,MATCH($C224,'Policy Characteristics'!$C:$C,0)))</f>
        <v>buildings-sector-main.html#distributed-solar-subsidy</v>
      </c>
      <c r="R224" s="275" t="str">
        <f>IF(ISBLANK(INDEX('Policy Characteristics'!L:L,MATCH($C224,'Policy Characteristics'!$C:$C,0))),"",INDEX('Policy Characteristics'!L:L,MATCH($C224,'Policy Characteristics'!$C:$C,0)))</f>
        <v>distributed-solar-subsidy.html</v>
      </c>
    </row>
    <row r="225" spans="1:18" s="4" customFormat="1" x14ac:dyDescent="0.25">
      <c r="A225" s="275" t="str">
        <f>IF(ISBLANK(INDEX('Policy Characteristics'!A:A,MATCH($C225,'Policy Characteristics'!$C:$C,0))),"",INDEX('Policy Characteristics'!A:A,MATCH($C225,'Policy Characteristics'!$C:$C,0)))</f>
        <v>Buildings and Appliances</v>
      </c>
      <c r="B225" s="284" t="str">
        <f>IF(ISBLANK(INDEX('Policy Characteristics'!B:B,MATCH($C225,'Policy Characteristics'!$C:$C,0))),"",INDEX('Policy Characteristics'!B:B,MATCH($C225,'Policy Characteristics'!$C:$C,0)))</f>
        <v>Distributed Solar Subsidy</v>
      </c>
      <c r="C225" s="275" t="str">
        <f>$C$223</f>
        <v>Additional Perc Subsidy for Distributed Solar PV Capacity</v>
      </c>
      <c r="D225" s="47" t="s">
        <v>279</v>
      </c>
      <c r="E225" s="47"/>
      <c r="F225" s="47" t="s">
        <v>165</v>
      </c>
      <c r="G225" s="47"/>
      <c r="H225" s="44">
        <v>1729</v>
      </c>
      <c r="I225" s="346" t="s">
        <v>43</v>
      </c>
      <c r="J225" s="276" t="str">
        <f>IF(ISBLANK(INDEX('Policy Characteristics'!D:D,MATCH($C225,'Policy Characteristics'!$C:$C,0))),"",INDEX('Policy Characteristics'!D:D,MATCH($C225,'Policy Characteristics'!$C:$C,0)))</f>
        <v>Distributed Solar Promotion</v>
      </c>
      <c r="K225" s="275" t="str">
        <f>IF(ISBLANK(INDEX('Policy Characteristics'!E:E,MATCH($C225,'Policy Characteristics'!$C:$C,0))),"",INDEX('Policy Characteristics'!E:E,MATCH($C225,'Policy Characteristics'!$C:$C,0)))</f>
        <v>bldgs distributed solar subsidy</v>
      </c>
      <c r="L225" s="283">
        <f>IF(ISBLANK(INDEX('Policy Characteristics'!F:F,MATCH($C225,'Policy Characteristics'!$C:$C,0))),"",INDEX('Policy Characteristics'!F:F,MATCH($C225,'Policy Characteristics'!$C:$C,0)))</f>
        <v>0</v>
      </c>
      <c r="M225" s="283">
        <f>IF(ISBLANK(INDEX('Policy Characteristics'!G:G,MATCH($C225,'Policy Characteristics'!$C:$C,0))),"",INDEX('Policy Characteristics'!G:G,MATCH($C225,'Policy Characteristics'!$C:$C,0)))</f>
        <v>0.5</v>
      </c>
      <c r="N225" s="283">
        <f>IF(ISBLANK(INDEX('Policy Characteristics'!H:H,MATCH($C225,'Policy Characteristics'!$C:$C,0))),"",INDEX('Policy Characteristics'!H:H,MATCH($C225,'Policy Characteristics'!$C:$C,0)))</f>
        <v>0.01</v>
      </c>
      <c r="O225" s="275" t="str">
        <f>IF(ISBLANK(INDEX('Policy Characteristics'!I:I,MATCH($C225,'Policy Characteristics'!$C:$C,0))),"",INDEX('Policy Characteristics'!I:I,MATCH($C225,'Policy Characteristics'!$C:$C,0)))</f>
        <v>% of PV system cost</v>
      </c>
      <c r="P225" s="275" t="str">
        <f>IF(ISBLANK(INDEX('Policy Characteristics'!J:J,MATCH($C225,'Policy Characteristics'!$C:$C,0))),"",INDEX('Policy Characteristics'!J:J,MATCH($C225,'Policy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5" s="275" t="str">
        <f>IF(ISBLANK(INDEX('Policy Characteristics'!K:K,MATCH($C225,'Policy Characteristics'!$C:$C,0))),"",INDEX('Policy Characteristics'!K:K,MATCH($C225,'Policy Characteristics'!$C:$C,0)))</f>
        <v>buildings-sector-main.html#distributed-solar-subsidy</v>
      </c>
      <c r="R225" s="275" t="str">
        <f>IF(ISBLANK(INDEX('Policy Characteristics'!L:L,MATCH($C225,'Policy Characteristics'!$C:$C,0))),"",INDEX('Policy Characteristics'!L:L,MATCH($C225,'Policy Characteristics'!$C:$C,0)))</f>
        <v>distributed-solar-subsidy.html</v>
      </c>
    </row>
    <row r="226" spans="1:18" s="4" customFormat="1" x14ac:dyDescent="0.25">
      <c r="A226" s="275" t="str">
        <f>IF(ISBLANK(INDEX('Policy Characteristics'!A:A,MATCH($C226,'Policy Characteristics'!$C:$C,0))),"",INDEX('Policy Characteristics'!A:A,MATCH($C226,'Policy Characteristics'!$C:$C,0)))</f>
        <v>Buildings and Appliances</v>
      </c>
      <c r="B226" s="284" t="str">
        <f>IF(ISBLANK(INDEX('Policy Characteristics'!B:B,MATCH($C226,'Policy Characteristics'!$C:$C,0))),"",INDEX('Policy Characteristics'!B:B,MATCH($C226,'Policy Characteristics'!$C:$C,0)))</f>
        <v>Improved Labeling</v>
      </c>
      <c r="C226" t="s">
        <v>127</v>
      </c>
      <c r="D226" s="47"/>
      <c r="E226" s="47"/>
      <c r="F226" s="47"/>
      <c r="G226" s="47"/>
      <c r="H226" s="44">
        <v>20</v>
      </c>
      <c r="I226" s="346" t="s">
        <v>43</v>
      </c>
      <c r="J226" s="276" t="str">
        <f>IF(ISBLANK(INDEX('Policy Characteristics'!D:D,MATCH($C226,'Policy Characteristics'!$C:$C,0))),"",INDEX('Policy Characteristics'!D:D,MATCH($C226,'Policy Characteristics'!$C:$C,0)))</f>
        <v>Improved Labeling</v>
      </c>
      <c r="K226" s="275" t="str">
        <f>IF(ISBLANK(INDEX('Policy Characteristics'!E:E,MATCH($C226,'Policy Characteristics'!$C:$C,0))),"",INDEX('Policy Characteristics'!E:E,MATCH($C226,'Policy Characteristics'!$C:$C,0)))</f>
        <v>bldgs device labeling</v>
      </c>
      <c r="L226" s="275">
        <f>IF(ISBLANK(INDEX('Policy Characteristics'!F:F,MATCH($C226,'Policy Characteristics'!$C:$C,0))),"",INDEX('Policy Characteristics'!F:F,MATCH($C226,'Policy Characteristics'!$C:$C,0)))</f>
        <v>0</v>
      </c>
      <c r="M226" s="275">
        <f>IF(ISBLANK(INDEX('Policy Characteristics'!G:G,MATCH($C226,'Policy Characteristics'!$C:$C,0))),"",INDEX('Policy Characteristics'!G:G,MATCH($C226,'Policy Characteristics'!$C:$C,0)))</f>
        <v>1</v>
      </c>
      <c r="N226" s="275">
        <f>IF(ISBLANK(INDEX('Policy Characteristics'!H:H,MATCH($C226,'Policy Characteristics'!$C:$C,0))),"",INDEX('Policy Characteristics'!H:H,MATCH($C226,'Policy Characteristics'!$C:$C,0)))</f>
        <v>1</v>
      </c>
      <c r="O226" s="275" t="str">
        <f>IF(ISBLANK(INDEX('Policy Characteristics'!I:I,MATCH($C226,'Policy Characteristics'!$C:$C,0))),"",INDEX('Policy Characteristics'!I:I,MATCH($C226,'Policy Characteristics'!$C:$C,0)))</f>
        <v>on/off</v>
      </c>
      <c r="P226" s="275" t="str">
        <f>IF(ISBLANK(INDEX('Policy Characteristics'!J:J,MATCH($C226,'Policy Characteristics'!$C:$C,0))),"",INDEX('Policy Characteristics'!J:J,MATCH($C226,'Policy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26" s="275" t="str">
        <f>IF(ISBLANK(INDEX('Policy Characteristics'!K:K,MATCH($C226,'Policy Characteristics'!$C:$C,0))),"",INDEX('Policy Characteristics'!K:K,MATCH($C226,'Policy Characteristics'!$C:$C,0)))</f>
        <v>buildings-sector-main.html#device-labeling</v>
      </c>
      <c r="R226" s="275" t="str">
        <f>IF(ISBLANK(INDEX('Policy Characteristics'!L:L,MATCH($C226,'Policy Characteristics'!$C:$C,0))),"",INDEX('Policy Characteristics'!L:L,MATCH($C226,'Policy Characteristics'!$C:$C,0)))</f>
        <v>improved-labeling.html</v>
      </c>
    </row>
    <row r="227" spans="1:18" s="4" customFormat="1" x14ac:dyDescent="0.25">
      <c r="A227" s="275" t="str">
        <f>IF(ISBLANK(INDEX('Policy Characteristics'!A:A,MATCH($C227,'Policy Characteristics'!$C:$C,0))),"",INDEX('Policy Characteristics'!A:A,MATCH($C227,'Policy Characteristics'!$C:$C,0)))</f>
        <v>Buildings and Appliances</v>
      </c>
      <c r="B227" s="284" t="str">
        <f>IF(ISBLANK(INDEX('Policy Characteristics'!B:B,MATCH($C227,'Policy Characteristics'!$C:$C,0))),"",INDEX('Policy Characteristics'!B:B,MATCH($C227,'Policy Characteristics'!$C:$C,0)))</f>
        <v>Retrofit Existing Buildings</v>
      </c>
      <c r="C227" t="s">
        <v>2462</v>
      </c>
      <c r="D227" s="47" t="s">
        <v>277</v>
      </c>
      <c r="E227" s="47"/>
      <c r="F227" s="47" t="s">
        <v>281</v>
      </c>
      <c r="G227" s="47"/>
      <c r="H227" s="44">
        <v>378</v>
      </c>
      <c r="I227" s="346" t="s">
        <v>43</v>
      </c>
      <c r="J227" s="276" t="str">
        <f>IF(ISBLANK(INDEX('Policy Characteristics'!D:D,MATCH($C227,'Policy Characteristics'!$C:$C,0))),"",INDEX('Policy Characteristics'!D:D,MATCH($C227,'Policy Characteristics'!$C:$C,0)))</f>
        <v>Increased Retrofitting</v>
      </c>
      <c r="K227" s="275" t="str">
        <f>IF(ISBLANK(INDEX('Policy Characteristics'!E:E,MATCH($C227,'Policy Characteristics'!$C:$C,0))),"",INDEX('Policy Characteristics'!E:E,MATCH($C227,'Policy Characteristics'!$C:$C,0)))</f>
        <v>bldgs retrofitting</v>
      </c>
      <c r="L227" s="283">
        <f>IF(ISBLANK(INDEX('Policy Characteristics'!F:F,MATCH($C227,'Policy Characteristics'!$C:$C,0))),"",INDEX('Policy Characteristics'!F:F,MATCH($C227,'Policy Characteristics'!$C:$C,0)))</f>
        <v>0</v>
      </c>
      <c r="M227" s="283">
        <f>IF(ISBLANK(INDEX('Policy Characteristics'!G:G,MATCH($C227,'Policy Characteristics'!$C:$C,0))),"",INDEX('Policy Characteristics'!G:G,MATCH($C227,'Policy Characteristics'!$C:$C,0)))</f>
        <v>0.5</v>
      </c>
      <c r="N227" s="283">
        <f>IF(ISBLANK(INDEX('Policy Characteristics'!H:H,MATCH($C227,'Policy Characteristics'!$C:$C,0))),"",INDEX('Policy Characteristics'!H:H,MATCH($C227,'Policy Characteristics'!$C:$C,0)))</f>
        <v>0.01</v>
      </c>
      <c r="O227" s="275" t="str">
        <f>IF(ISBLANK(INDEX('Policy Characteristics'!I:I,MATCH($C227,'Policy Characteristics'!$C:$C,0))),"",INDEX('Policy Characteristics'!I:I,MATCH($C227,'Policy Characteristics'!$C:$C,0)))</f>
        <v>% of existing buildings</v>
      </c>
      <c r="P227" s="275" t="str">
        <f>IF(ISBLANK(INDEX('Policy Characteristics'!J:J,MATCH($C227,'Policy Characteristics'!$C:$C,0))),"",INDEX('Policy Characteristics'!J:J,MATCH($C227,'Policy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7" s="275" t="str">
        <f>IF(ISBLANK(INDEX('Policy Characteristics'!K:K,MATCH($C227,'Policy Characteristics'!$C:$C,0))),"",INDEX('Policy Characteristics'!K:K,MATCH($C227,'Policy Characteristics'!$C:$C,0)))</f>
        <v>buildings-sector-main.html#retrofitting</v>
      </c>
      <c r="R227" s="275" t="str">
        <f>IF(ISBLANK(INDEX('Policy Characteristics'!L:L,MATCH($C227,'Policy Characteristics'!$C:$C,0))),"",INDEX('Policy Characteristics'!L:L,MATCH($C227,'Policy Characteristics'!$C:$C,0)))</f>
        <v>increased-retrofitting.html</v>
      </c>
    </row>
    <row r="228" spans="1:18" s="4" customFormat="1" x14ac:dyDescent="0.25">
      <c r="A228" s="275" t="str">
        <f>IF(ISBLANK(INDEX('Policy Characteristics'!A:A,MATCH($C228,'Policy Characteristics'!$C:$C,0))),"",INDEX('Policy Characteristics'!A:A,MATCH($C228,'Policy Characteristics'!$C:$C,0)))</f>
        <v>Buildings and Appliances</v>
      </c>
      <c r="B228" s="284" t="str">
        <f>IF(ISBLANK(INDEX('Policy Characteristics'!B:B,MATCH($C228,'Policy Characteristics'!$C:$C,0))),"",INDEX('Policy Characteristics'!B:B,MATCH($C228,'Policy Characteristics'!$C:$C,0)))</f>
        <v>Retrofit Existing Buildings</v>
      </c>
      <c r="C228" s="275" t="str">
        <f t="shared" ref="C228:C229" si="14">C$227</f>
        <v>Share of Preexisting Buildings Subject to Retrofitting</v>
      </c>
      <c r="D228" s="47" t="s">
        <v>278</v>
      </c>
      <c r="E228" s="47"/>
      <c r="F228" s="47" t="s">
        <v>280</v>
      </c>
      <c r="G228" s="47"/>
      <c r="H228" s="44">
        <v>379</v>
      </c>
      <c r="I228" s="346" t="s">
        <v>43</v>
      </c>
      <c r="J228" s="276" t="str">
        <f>IF(ISBLANK(INDEX('Policy Characteristics'!D:D,MATCH($C228,'Policy Characteristics'!$C:$C,0))),"",INDEX('Policy Characteristics'!D:D,MATCH($C228,'Policy Characteristics'!$C:$C,0)))</f>
        <v>Increased Retrofitting</v>
      </c>
      <c r="K228" s="275" t="str">
        <f>IF(ISBLANK(INDEX('Policy Characteristics'!E:E,MATCH($C228,'Policy Characteristics'!$C:$C,0))),"",INDEX('Policy Characteristics'!E:E,MATCH($C228,'Policy Characteristics'!$C:$C,0)))</f>
        <v>bldgs retrofitting</v>
      </c>
      <c r="L228" s="283">
        <f>IF(ISBLANK(INDEX('Policy Characteristics'!F:F,MATCH($C228,'Policy Characteristics'!$C:$C,0))),"",INDEX('Policy Characteristics'!F:F,MATCH($C228,'Policy Characteristics'!$C:$C,0)))</f>
        <v>0</v>
      </c>
      <c r="M228" s="283">
        <f>IF(ISBLANK(INDEX('Policy Characteristics'!G:G,MATCH($C228,'Policy Characteristics'!$C:$C,0))),"",INDEX('Policy Characteristics'!G:G,MATCH($C228,'Policy Characteristics'!$C:$C,0)))</f>
        <v>0.5</v>
      </c>
      <c r="N228" s="283">
        <f>IF(ISBLANK(INDEX('Policy Characteristics'!H:H,MATCH($C228,'Policy Characteristics'!$C:$C,0))),"",INDEX('Policy Characteristics'!H:H,MATCH($C228,'Policy Characteristics'!$C:$C,0)))</f>
        <v>0.01</v>
      </c>
      <c r="O228" s="275" t="str">
        <f>IF(ISBLANK(INDEX('Policy Characteristics'!I:I,MATCH($C228,'Policy Characteristics'!$C:$C,0))),"",INDEX('Policy Characteristics'!I:I,MATCH($C228,'Policy Characteristics'!$C:$C,0)))</f>
        <v>% of existing buildings</v>
      </c>
      <c r="P228" s="275" t="str">
        <f>IF(ISBLANK(INDEX('Policy Characteristics'!J:J,MATCH($C228,'Policy Characteristics'!$C:$C,0))),"",INDEX('Policy Characteristics'!J:J,MATCH($C228,'Policy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8" s="275" t="str">
        <f>IF(ISBLANK(INDEX('Policy Characteristics'!K:K,MATCH($C228,'Policy Characteristics'!$C:$C,0))),"",INDEX('Policy Characteristics'!K:K,MATCH($C228,'Policy Characteristics'!$C:$C,0)))</f>
        <v>buildings-sector-main.html#retrofitting</v>
      </c>
      <c r="R228" s="275" t="str">
        <f>IF(ISBLANK(INDEX('Policy Characteristics'!L:L,MATCH($C228,'Policy Characteristics'!$C:$C,0))),"",INDEX('Policy Characteristics'!L:L,MATCH($C228,'Policy Characteristics'!$C:$C,0)))</f>
        <v>increased-retrofitting.html</v>
      </c>
    </row>
    <row r="229" spans="1:18" s="4" customFormat="1" x14ac:dyDescent="0.25">
      <c r="A229" s="275" t="str">
        <f>IF(ISBLANK(INDEX('Policy Characteristics'!A:A,MATCH($C229,'Policy Characteristics'!$C:$C,0))),"",INDEX('Policy Characteristics'!A:A,MATCH($C229,'Policy Characteristics'!$C:$C,0)))</f>
        <v>Buildings and Appliances</v>
      </c>
      <c r="B229" s="284" t="str">
        <f>IF(ISBLANK(INDEX('Policy Characteristics'!B:B,MATCH($C229,'Policy Characteristics'!$C:$C,0))),"",INDEX('Policy Characteristics'!B:B,MATCH($C229,'Policy Characteristics'!$C:$C,0)))</f>
        <v>Retrofit Existing Buildings</v>
      </c>
      <c r="C229" s="275" t="str">
        <f t="shared" si="14"/>
        <v>Share of Preexisting Buildings Subject to Retrofitting</v>
      </c>
      <c r="D229" s="47" t="s">
        <v>279</v>
      </c>
      <c r="E229" s="47"/>
      <c r="F229" s="47" t="s">
        <v>165</v>
      </c>
      <c r="G229" s="47"/>
      <c r="H229" s="44">
        <v>380</v>
      </c>
      <c r="I229" s="346" t="s">
        <v>43</v>
      </c>
      <c r="J229" s="276" t="str">
        <f>IF(ISBLANK(INDEX('Policy Characteristics'!D:D,MATCH($C229,'Policy Characteristics'!$C:$C,0))),"",INDEX('Policy Characteristics'!D:D,MATCH($C229,'Policy Characteristics'!$C:$C,0)))</f>
        <v>Increased Retrofitting</v>
      </c>
      <c r="K229" s="275" t="str">
        <f>IF(ISBLANK(INDEX('Policy Characteristics'!E:E,MATCH($C229,'Policy Characteristics'!$C:$C,0))),"",INDEX('Policy Characteristics'!E:E,MATCH($C229,'Policy Characteristics'!$C:$C,0)))</f>
        <v>bldgs retrofitting</v>
      </c>
      <c r="L229" s="283">
        <f>IF(ISBLANK(INDEX('Policy Characteristics'!F:F,MATCH($C229,'Policy Characteristics'!$C:$C,0))),"",INDEX('Policy Characteristics'!F:F,MATCH($C229,'Policy Characteristics'!$C:$C,0)))</f>
        <v>0</v>
      </c>
      <c r="M229" s="283">
        <f>IF(ISBLANK(INDEX('Policy Characteristics'!G:G,MATCH($C229,'Policy Characteristics'!$C:$C,0))),"",INDEX('Policy Characteristics'!G:G,MATCH($C229,'Policy Characteristics'!$C:$C,0)))</f>
        <v>0.5</v>
      </c>
      <c r="N229" s="283">
        <f>IF(ISBLANK(INDEX('Policy Characteristics'!H:H,MATCH($C229,'Policy Characteristics'!$C:$C,0))),"",INDEX('Policy Characteristics'!H:H,MATCH($C229,'Policy Characteristics'!$C:$C,0)))</f>
        <v>0.01</v>
      </c>
      <c r="O229" s="275" t="str">
        <f>IF(ISBLANK(INDEX('Policy Characteristics'!I:I,MATCH($C229,'Policy Characteristics'!$C:$C,0))),"",INDEX('Policy Characteristics'!I:I,MATCH($C229,'Policy Characteristics'!$C:$C,0)))</f>
        <v>% of existing buildings</v>
      </c>
      <c r="P229" s="275" t="str">
        <f>IF(ISBLANK(INDEX('Policy Characteristics'!J:J,MATCH($C229,'Policy Characteristics'!$C:$C,0))),"",INDEX('Policy Characteristics'!J:J,MATCH($C229,'Policy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9" s="275" t="str">
        <f>IF(ISBLANK(INDEX('Policy Characteristics'!K:K,MATCH($C229,'Policy Characteristics'!$C:$C,0))),"",INDEX('Policy Characteristics'!K:K,MATCH($C229,'Policy Characteristics'!$C:$C,0)))</f>
        <v>buildings-sector-main.html#retrofitting</v>
      </c>
      <c r="R229" s="275" t="str">
        <f>IF(ISBLANK(INDEX('Policy Characteristics'!L:L,MATCH($C229,'Policy Characteristics'!$C:$C,0))),"",INDEX('Policy Characteristics'!L:L,MATCH($C229,'Policy Characteristics'!$C:$C,0)))</f>
        <v>increased-retrofitting.html</v>
      </c>
    </row>
    <row r="230" spans="1:18" s="4" customFormat="1" x14ac:dyDescent="0.25">
      <c r="A230" s="275" t="str">
        <f>IF(ISBLANK(INDEX('Policy Characteristics'!A:A,MATCH($C230,'Policy Characteristics'!$C:$C,0))),"",INDEX('Policy Characteristics'!A:A,MATCH($C230,'Policy Characteristics'!$C:$C,0)))</f>
        <v>Buildings and Appliances</v>
      </c>
      <c r="B230" s="284" t="str">
        <f>IF(ISBLANK(INDEX('Policy Characteristics'!B:B,MATCH($C230,'Policy Characteristics'!$C:$C,0))),"",INDEX('Policy Characteristics'!B:B,MATCH($C230,'Policy Characteristics'!$C:$C,0)))</f>
        <v>Rebate for Efficient Products</v>
      </c>
      <c r="C230" t="s">
        <v>6</v>
      </c>
      <c r="D230" s="47" t="s">
        <v>115</v>
      </c>
      <c r="E230" s="47"/>
      <c r="F230" s="47" t="s">
        <v>121</v>
      </c>
      <c r="G230" s="47"/>
      <c r="H230" s="44">
        <v>27</v>
      </c>
      <c r="I230" s="346" t="s">
        <v>43</v>
      </c>
      <c r="J230" s="276" t="str">
        <f>IF(ISBLANK(INDEX('Policy Characteristics'!D:D,MATCH($C230,'Policy Characteristics'!$C:$C,0))),"",INDEX('Policy Characteristics'!D:D,MATCH($C230,'Policy Characteristics'!$C:$C,0)))</f>
        <v>Rebate for Efficient Products</v>
      </c>
      <c r="K230" s="275" t="str">
        <f>IF(ISBLANK(INDEX('Policy Characteristics'!E:E,MATCH($C230,'Policy Characteristics'!$C:$C,0))),"",INDEX('Policy Characteristics'!E:E,MATCH($C230,'Policy Characteristics'!$C:$C,0)))</f>
        <v>bldgs rebate</v>
      </c>
      <c r="L230" s="275">
        <f>IF(ISBLANK(INDEX('Policy Characteristics'!F:F,MATCH($C230,'Policy Characteristics'!$C:$C,0))),"",INDEX('Policy Characteristics'!F:F,MATCH($C230,'Policy Characteristics'!$C:$C,0)))</f>
        <v>0</v>
      </c>
      <c r="M230" s="275">
        <f>IF(ISBLANK(INDEX('Policy Characteristics'!G:G,MATCH($C230,'Policy Characteristics'!$C:$C,0))),"",INDEX('Policy Characteristics'!G:G,MATCH($C230,'Policy Characteristics'!$C:$C,0)))</f>
        <v>1</v>
      </c>
      <c r="N230" s="275">
        <f>IF(ISBLANK(INDEX('Policy Characteristics'!H:H,MATCH($C230,'Policy Characteristics'!$C:$C,0))),"",INDEX('Policy Characteristics'!H:H,MATCH($C230,'Policy Characteristics'!$C:$C,0)))</f>
        <v>1</v>
      </c>
      <c r="O230" s="275" t="str">
        <f>IF(ISBLANK(INDEX('Policy Characteristics'!I:I,MATCH($C230,'Policy Characteristics'!$C:$C,0))),"",INDEX('Policy Characteristics'!I:I,MATCH($C230,'Policy Characteristics'!$C:$C,0)))</f>
        <v>on/off</v>
      </c>
      <c r="P230" s="275" t="str">
        <f>IF(ISBLANK(INDEX('Policy Characteristics'!J:J,MATCH($C230,'Policy Characteristics'!$C:$C,0))),"",INDEX('Policy Characteristics'!J:J,MATCH($C230,'Policy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0" s="275" t="str">
        <f>IF(ISBLANK(INDEX('Policy Characteristics'!K:K,MATCH($C230,'Policy Characteristics'!$C:$C,0))),"",INDEX('Policy Characteristics'!K:K,MATCH($C230,'Policy Characteristics'!$C:$C,0)))</f>
        <v>buildings-sector-main.html#rebate</v>
      </c>
      <c r="R230" s="275" t="str">
        <f>IF(ISBLANK(INDEX('Policy Characteristics'!L:L,MATCH($C230,'Policy Characteristics'!$C:$C,0))),"",INDEX('Policy Characteristics'!L:L,MATCH($C230,'Policy Characteristics'!$C:$C,0)))</f>
        <v>rebate-for-efficient-products.html</v>
      </c>
    </row>
    <row r="231" spans="1:18" s="4" customFormat="1" x14ac:dyDescent="0.25">
      <c r="A231" s="275" t="str">
        <f>IF(ISBLANK(INDEX('Policy Characteristics'!A:A,MATCH($C231,'Policy Characteristics'!$C:$C,0))),"",INDEX('Policy Characteristics'!A:A,MATCH($C231,'Policy Characteristics'!$C:$C,0)))</f>
        <v>Buildings and Appliances</v>
      </c>
      <c r="B231" s="284" t="str">
        <f>IF(ISBLANK(INDEX('Policy Characteristics'!B:B,MATCH($C231,'Policy Characteristics'!$C:$C,0))),"",INDEX('Policy Characteristics'!B:B,MATCH($C231,'Policy Characteristics'!$C:$C,0)))</f>
        <v>Rebate for Efficient Products</v>
      </c>
      <c r="C231" s="275" t="str">
        <f t="shared" ref="C231:C235" si="15">C$230</f>
        <v>Boolean Rebate Program for Efficient Components</v>
      </c>
      <c r="D231" s="47" t="s">
        <v>116</v>
      </c>
      <c r="E231" s="47"/>
      <c r="F231" s="47" t="s">
        <v>122</v>
      </c>
      <c r="G231" s="47"/>
      <c r="H231" s="44">
        <v>28</v>
      </c>
      <c r="I231" s="346" t="s">
        <v>43</v>
      </c>
      <c r="J231" s="276" t="str">
        <f>IF(ISBLANK(INDEX('Policy Characteristics'!D:D,MATCH($C231,'Policy Characteristics'!$C:$C,0))),"",INDEX('Policy Characteristics'!D:D,MATCH($C231,'Policy Characteristics'!$C:$C,0)))</f>
        <v>Rebate for Efficient Products</v>
      </c>
      <c r="K231" s="275" t="str">
        <f>IF(ISBLANK(INDEX('Policy Characteristics'!E:E,MATCH($C231,'Policy Characteristics'!$C:$C,0))),"",INDEX('Policy Characteristics'!E:E,MATCH($C231,'Policy Characteristics'!$C:$C,0)))</f>
        <v>bldgs rebate</v>
      </c>
      <c r="L231" s="275">
        <f>IF(ISBLANK(INDEX('Policy Characteristics'!F:F,MATCH($C231,'Policy Characteristics'!$C:$C,0))),"",INDEX('Policy Characteristics'!F:F,MATCH($C231,'Policy Characteristics'!$C:$C,0)))</f>
        <v>0</v>
      </c>
      <c r="M231" s="275">
        <f>IF(ISBLANK(INDEX('Policy Characteristics'!G:G,MATCH($C231,'Policy Characteristics'!$C:$C,0))),"",INDEX('Policy Characteristics'!G:G,MATCH($C231,'Policy Characteristics'!$C:$C,0)))</f>
        <v>1</v>
      </c>
      <c r="N231" s="275">
        <f>IF(ISBLANK(INDEX('Policy Characteristics'!H:H,MATCH($C231,'Policy Characteristics'!$C:$C,0))),"",INDEX('Policy Characteristics'!H:H,MATCH($C231,'Policy Characteristics'!$C:$C,0)))</f>
        <v>1</v>
      </c>
      <c r="O231" s="275" t="str">
        <f>IF(ISBLANK(INDEX('Policy Characteristics'!I:I,MATCH($C231,'Policy Characteristics'!$C:$C,0))),"",INDEX('Policy Characteristics'!I:I,MATCH($C231,'Policy Characteristics'!$C:$C,0)))</f>
        <v>on/off</v>
      </c>
      <c r="P231" s="275" t="str">
        <f>IF(ISBLANK(INDEX('Policy Characteristics'!J:J,MATCH($C231,'Policy Characteristics'!$C:$C,0))),"",INDEX('Policy Characteristics'!J:J,MATCH($C231,'Policy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1" s="275" t="str">
        <f>IF(ISBLANK(INDEX('Policy Characteristics'!K:K,MATCH($C231,'Policy Characteristics'!$C:$C,0))),"",INDEX('Policy Characteristics'!K:K,MATCH($C231,'Policy Characteristics'!$C:$C,0)))</f>
        <v>buildings-sector-main.html#rebate</v>
      </c>
      <c r="R231" s="275" t="str">
        <f>IF(ISBLANK(INDEX('Policy Characteristics'!L:L,MATCH($C231,'Policy Characteristics'!$C:$C,0))),"",INDEX('Policy Characteristics'!L:L,MATCH($C231,'Policy Characteristics'!$C:$C,0)))</f>
        <v>rebate-for-efficient-products.html</v>
      </c>
    </row>
    <row r="232" spans="1:18" s="4" customFormat="1" x14ac:dyDescent="0.25">
      <c r="A232" s="275" t="str">
        <f>IF(ISBLANK(INDEX('Policy Characteristics'!A:A,MATCH($C232,'Policy Characteristics'!$C:$C,0))),"",INDEX('Policy Characteristics'!A:A,MATCH($C232,'Policy Characteristics'!$C:$C,0)))</f>
        <v>Buildings and Appliances</v>
      </c>
      <c r="B232" s="284" t="str">
        <f>IF(ISBLANK(INDEX('Policy Characteristics'!B:B,MATCH($C232,'Policy Characteristics'!$C:$C,0))),"",INDEX('Policy Characteristics'!B:B,MATCH($C232,'Policy Characteristics'!$C:$C,0)))</f>
        <v>Rebate for Efficient Products</v>
      </c>
      <c r="C232" s="275" t="str">
        <f t="shared" si="15"/>
        <v>Boolean Rebate Program for Efficient Components</v>
      </c>
      <c r="D232" s="47" t="s">
        <v>117</v>
      </c>
      <c r="E232" s="47"/>
      <c r="F232" s="47" t="s">
        <v>123</v>
      </c>
      <c r="G232" s="47"/>
      <c r="H232" s="44">
        <v>605</v>
      </c>
      <c r="I232" s="346" t="s">
        <v>44</v>
      </c>
      <c r="J232" s="276" t="str">
        <f>IF(ISBLANK(INDEX('Policy Characteristics'!D:D,MATCH($C232,'Policy Characteristics'!$C:$C,0))),"",INDEX('Policy Characteristics'!D:D,MATCH($C232,'Policy Characteristics'!$C:$C,0)))</f>
        <v>Rebate for Efficient Products</v>
      </c>
      <c r="K232" s="275" t="str">
        <f>IF(ISBLANK(INDEX('Policy Characteristics'!E:E,MATCH($C232,'Policy Characteristics'!$C:$C,0))),"",INDEX('Policy Characteristics'!E:E,MATCH($C232,'Policy Characteristics'!$C:$C,0)))</f>
        <v>bldgs rebate</v>
      </c>
      <c r="L232" s="275">
        <f>IF(ISBLANK(INDEX('Policy Characteristics'!F:F,MATCH($C232,'Policy Characteristics'!$C:$C,0))),"",INDEX('Policy Characteristics'!F:F,MATCH($C232,'Policy Characteristics'!$C:$C,0)))</f>
        <v>0</v>
      </c>
      <c r="M232" s="275">
        <f>IF(ISBLANK(INDEX('Policy Characteristics'!G:G,MATCH($C232,'Policy Characteristics'!$C:$C,0))),"",INDEX('Policy Characteristics'!G:G,MATCH($C232,'Policy Characteristics'!$C:$C,0)))</f>
        <v>1</v>
      </c>
      <c r="N232" s="275">
        <f>IF(ISBLANK(INDEX('Policy Characteristics'!H:H,MATCH($C232,'Policy Characteristics'!$C:$C,0))),"",INDEX('Policy Characteristics'!H:H,MATCH($C232,'Policy Characteristics'!$C:$C,0)))</f>
        <v>1</v>
      </c>
      <c r="O232" s="275" t="str">
        <f>IF(ISBLANK(INDEX('Policy Characteristics'!I:I,MATCH($C232,'Policy Characteristics'!$C:$C,0))),"",INDEX('Policy Characteristics'!I:I,MATCH($C232,'Policy Characteristics'!$C:$C,0)))</f>
        <v>on/off</v>
      </c>
      <c r="P232" s="275" t="str">
        <f>IF(ISBLANK(INDEX('Policy Characteristics'!J:J,MATCH($C232,'Policy Characteristics'!$C:$C,0))),"",INDEX('Policy Characteristics'!J:J,MATCH($C232,'Policy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2" s="275" t="str">
        <f>IF(ISBLANK(INDEX('Policy Characteristics'!K:K,MATCH($C232,'Policy Characteristics'!$C:$C,0))),"",INDEX('Policy Characteristics'!K:K,MATCH($C232,'Policy Characteristics'!$C:$C,0)))</f>
        <v>buildings-sector-main.html#rebate</v>
      </c>
      <c r="R232" s="275" t="str">
        <f>IF(ISBLANK(INDEX('Policy Characteristics'!L:L,MATCH($C232,'Policy Characteristics'!$C:$C,0))),"",INDEX('Policy Characteristics'!L:L,MATCH($C232,'Policy Characteristics'!$C:$C,0)))</f>
        <v>rebate-for-efficient-products.html</v>
      </c>
    </row>
    <row r="233" spans="1:18" s="4" customFormat="1" x14ac:dyDescent="0.25">
      <c r="A233" s="275" t="str">
        <f>IF(ISBLANK(INDEX('Policy Characteristics'!A:A,MATCH($C233,'Policy Characteristics'!$C:$C,0))),"",INDEX('Policy Characteristics'!A:A,MATCH($C233,'Policy Characteristics'!$C:$C,0)))</f>
        <v>Buildings and Appliances</v>
      </c>
      <c r="B233" s="284" t="str">
        <f>IF(ISBLANK(INDEX('Policy Characteristics'!B:B,MATCH($C233,'Policy Characteristics'!$C:$C,0))),"",INDEX('Policy Characteristics'!B:B,MATCH($C233,'Policy Characteristics'!$C:$C,0)))</f>
        <v>Rebate for Efficient Products</v>
      </c>
      <c r="C233" s="275" t="str">
        <f t="shared" si="15"/>
        <v>Boolean Rebate Program for Efficient Components</v>
      </c>
      <c r="D233" s="47" t="s">
        <v>118</v>
      </c>
      <c r="E233" s="47"/>
      <c r="F233" s="47" t="s">
        <v>124</v>
      </c>
      <c r="G233" s="47"/>
      <c r="H233" s="44">
        <v>606</v>
      </c>
      <c r="I233" s="346" t="s">
        <v>44</v>
      </c>
      <c r="J233" s="276" t="str">
        <f>IF(ISBLANK(INDEX('Policy Characteristics'!D:D,MATCH($C233,'Policy Characteristics'!$C:$C,0))),"",INDEX('Policy Characteristics'!D:D,MATCH($C233,'Policy Characteristics'!$C:$C,0)))</f>
        <v>Rebate for Efficient Products</v>
      </c>
      <c r="K233" s="275" t="str">
        <f>IF(ISBLANK(INDEX('Policy Characteristics'!E:E,MATCH($C233,'Policy Characteristics'!$C:$C,0))),"",INDEX('Policy Characteristics'!E:E,MATCH($C233,'Policy Characteristics'!$C:$C,0)))</f>
        <v>bldgs rebate</v>
      </c>
      <c r="L233" s="275">
        <f>IF(ISBLANK(INDEX('Policy Characteristics'!F:F,MATCH($C233,'Policy Characteristics'!$C:$C,0))),"",INDEX('Policy Characteristics'!F:F,MATCH($C233,'Policy Characteristics'!$C:$C,0)))</f>
        <v>0</v>
      </c>
      <c r="M233" s="275">
        <f>IF(ISBLANK(INDEX('Policy Characteristics'!G:G,MATCH($C233,'Policy Characteristics'!$C:$C,0))),"",INDEX('Policy Characteristics'!G:G,MATCH($C233,'Policy Characteristics'!$C:$C,0)))</f>
        <v>1</v>
      </c>
      <c r="N233" s="275">
        <f>IF(ISBLANK(INDEX('Policy Characteristics'!H:H,MATCH($C233,'Policy Characteristics'!$C:$C,0))),"",INDEX('Policy Characteristics'!H:H,MATCH($C233,'Policy Characteristics'!$C:$C,0)))</f>
        <v>1</v>
      </c>
      <c r="O233" s="275" t="str">
        <f>IF(ISBLANK(INDEX('Policy Characteristics'!I:I,MATCH($C233,'Policy Characteristics'!$C:$C,0))),"",INDEX('Policy Characteristics'!I:I,MATCH($C233,'Policy Characteristics'!$C:$C,0)))</f>
        <v>on/off</v>
      </c>
      <c r="P233" s="275" t="str">
        <f>IF(ISBLANK(INDEX('Policy Characteristics'!J:J,MATCH($C233,'Policy Characteristics'!$C:$C,0))),"",INDEX('Policy Characteristics'!J:J,MATCH($C233,'Policy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3" s="275" t="str">
        <f>IF(ISBLANK(INDEX('Policy Characteristics'!K:K,MATCH($C233,'Policy Characteristics'!$C:$C,0))),"",INDEX('Policy Characteristics'!K:K,MATCH($C233,'Policy Characteristics'!$C:$C,0)))</f>
        <v>buildings-sector-main.html#rebate</v>
      </c>
      <c r="R233" s="275" t="str">
        <f>IF(ISBLANK(INDEX('Policy Characteristics'!L:L,MATCH($C233,'Policy Characteristics'!$C:$C,0))),"",INDEX('Policy Characteristics'!L:L,MATCH($C233,'Policy Characteristics'!$C:$C,0)))</f>
        <v>rebate-for-efficient-products.html</v>
      </c>
    </row>
    <row r="234" spans="1:18" s="4" customFormat="1" x14ac:dyDescent="0.25">
      <c r="A234" s="275" t="str">
        <f>IF(ISBLANK(INDEX('Policy Characteristics'!A:A,MATCH($C234,'Policy Characteristics'!$C:$C,0))),"",INDEX('Policy Characteristics'!A:A,MATCH($C234,'Policy Characteristics'!$C:$C,0)))</f>
        <v>Buildings and Appliances</v>
      </c>
      <c r="B234" s="284" t="str">
        <f>IF(ISBLANK(INDEX('Policy Characteristics'!B:B,MATCH($C234,'Policy Characteristics'!$C:$C,0))),"",INDEX('Policy Characteristics'!B:B,MATCH($C234,'Policy Characteristics'!$C:$C,0)))</f>
        <v>Rebate for Efficient Products</v>
      </c>
      <c r="C234" s="275" t="str">
        <f t="shared" si="15"/>
        <v>Boolean Rebate Program for Efficient Components</v>
      </c>
      <c r="D234" s="47" t="s">
        <v>119</v>
      </c>
      <c r="E234" s="47"/>
      <c r="F234" s="47" t="s">
        <v>125</v>
      </c>
      <c r="G234" s="47"/>
      <c r="H234" s="44">
        <v>29</v>
      </c>
      <c r="I234" s="346" t="s">
        <v>43</v>
      </c>
      <c r="J234" s="276" t="str">
        <f>IF(ISBLANK(INDEX('Policy Characteristics'!D:D,MATCH($C234,'Policy Characteristics'!$C:$C,0))),"",INDEX('Policy Characteristics'!D:D,MATCH($C234,'Policy Characteristics'!$C:$C,0)))</f>
        <v>Rebate for Efficient Products</v>
      </c>
      <c r="K234" s="275" t="str">
        <f>IF(ISBLANK(INDEX('Policy Characteristics'!E:E,MATCH($C234,'Policy Characteristics'!$C:$C,0))),"",INDEX('Policy Characteristics'!E:E,MATCH($C234,'Policy Characteristics'!$C:$C,0)))</f>
        <v>bldgs rebate</v>
      </c>
      <c r="L234" s="275">
        <f>IF(ISBLANK(INDEX('Policy Characteristics'!F:F,MATCH($C234,'Policy Characteristics'!$C:$C,0))),"",INDEX('Policy Characteristics'!F:F,MATCH($C234,'Policy Characteristics'!$C:$C,0)))</f>
        <v>0</v>
      </c>
      <c r="M234" s="275">
        <f>IF(ISBLANK(INDEX('Policy Characteristics'!G:G,MATCH($C234,'Policy Characteristics'!$C:$C,0))),"",INDEX('Policy Characteristics'!G:G,MATCH($C234,'Policy Characteristics'!$C:$C,0)))</f>
        <v>1</v>
      </c>
      <c r="N234" s="275">
        <f>IF(ISBLANK(INDEX('Policy Characteristics'!H:H,MATCH($C234,'Policy Characteristics'!$C:$C,0))),"",INDEX('Policy Characteristics'!H:H,MATCH($C234,'Policy Characteristics'!$C:$C,0)))</f>
        <v>1</v>
      </c>
      <c r="O234" s="275" t="str">
        <f>IF(ISBLANK(INDEX('Policy Characteristics'!I:I,MATCH($C234,'Policy Characteristics'!$C:$C,0))),"",INDEX('Policy Characteristics'!I:I,MATCH($C234,'Policy Characteristics'!$C:$C,0)))</f>
        <v>on/off</v>
      </c>
      <c r="P234" s="275" t="str">
        <f>IF(ISBLANK(INDEX('Policy Characteristics'!J:J,MATCH($C234,'Policy Characteristics'!$C:$C,0))),"",INDEX('Policy Characteristics'!J:J,MATCH($C234,'Policy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4" s="275" t="str">
        <f>IF(ISBLANK(INDEX('Policy Characteristics'!K:K,MATCH($C234,'Policy Characteristics'!$C:$C,0))),"",INDEX('Policy Characteristics'!K:K,MATCH($C234,'Policy Characteristics'!$C:$C,0)))</f>
        <v>buildings-sector-main.html#rebate</v>
      </c>
      <c r="R234" s="275" t="str">
        <f>IF(ISBLANK(INDEX('Policy Characteristics'!L:L,MATCH($C234,'Policy Characteristics'!$C:$C,0))),"",INDEX('Policy Characteristics'!L:L,MATCH($C234,'Policy Characteristics'!$C:$C,0)))</f>
        <v>rebate-for-efficient-products.html</v>
      </c>
    </row>
    <row r="235" spans="1:18" s="4" customFormat="1" x14ac:dyDescent="0.25">
      <c r="A235" s="275" t="str">
        <f>IF(ISBLANK(INDEX('Policy Characteristics'!A:A,MATCH($C235,'Policy Characteristics'!$C:$C,0))),"",INDEX('Policy Characteristics'!A:A,MATCH($C235,'Policy Characteristics'!$C:$C,0)))</f>
        <v>Buildings and Appliances</v>
      </c>
      <c r="B235" s="284" t="str">
        <f>IF(ISBLANK(INDEX('Policy Characteristics'!B:B,MATCH($C235,'Policy Characteristics'!$C:$C,0))),"",INDEX('Policy Characteristics'!B:B,MATCH($C235,'Policy Characteristics'!$C:$C,0)))</f>
        <v>Rebate for Efficient Products</v>
      </c>
      <c r="C235" s="275" t="str">
        <f t="shared" si="15"/>
        <v>Boolean Rebate Program for Efficient Components</v>
      </c>
      <c r="D235" s="47" t="s">
        <v>120</v>
      </c>
      <c r="E235" s="47"/>
      <c r="F235" s="47" t="s">
        <v>126</v>
      </c>
      <c r="G235" s="47"/>
      <c r="H235" s="44">
        <v>607</v>
      </c>
      <c r="I235" s="346" t="s">
        <v>44</v>
      </c>
      <c r="J235" s="276" t="str">
        <f>IF(ISBLANK(INDEX('Policy Characteristics'!D:D,MATCH($C235,'Policy Characteristics'!$C:$C,0))),"",INDEX('Policy Characteristics'!D:D,MATCH($C235,'Policy Characteristics'!$C:$C,0)))</f>
        <v>Rebate for Efficient Products</v>
      </c>
      <c r="K235" s="275" t="str">
        <f>IF(ISBLANK(INDEX('Policy Characteristics'!E:E,MATCH($C235,'Policy Characteristics'!$C:$C,0))),"",INDEX('Policy Characteristics'!E:E,MATCH($C235,'Policy Characteristics'!$C:$C,0)))</f>
        <v>bldgs rebate</v>
      </c>
      <c r="L235" s="275">
        <f>IF(ISBLANK(INDEX('Policy Characteristics'!F:F,MATCH($C235,'Policy Characteristics'!$C:$C,0))),"",INDEX('Policy Characteristics'!F:F,MATCH($C235,'Policy Characteristics'!$C:$C,0)))</f>
        <v>0</v>
      </c>
      <c r="M235" s="275">
        <f>IF(ISBLANK(INDEX('Policy Characteristics'!G:G,MATCH($C235,'Policy Characteristics'!$C:$C,0))),"",INDEX('Policy Characteristics'!G:G,MATCH($C235,'Policy Characteristics'!$C:$C,0)))</f>
        <v>1</v>
      </c>
      <c r="N235" s="275">
        <f>IF(ISBLANK(INDEX('Policy Characteristics'!H:H,MATCH($C235,'Policy Characteristics'!$C:$C,0))),"",INDEX('Policy Characteristics'!H:H,MATCH($C235,'Policy Characteristics'!$C:$C,0)))</f>
        <v>1</v>
      </c>
      <c r="O235" s="275" t="str">
        <f>IF(ISBLANK(INDEX('Policy Characteristics'!I:I,MATCH($C235,'Policy Characteristics'!$C:$C,0))),"",INDEX('Policy Characteristics'!I:I,MATCH($C235,'Policy Characteristics'!$C:$C,0)))</f>
        <v>on/off</v>
      </c>
      <c r="P235" s="275" t="str">
        <f>IF(ISBLANK(INDEX('Policy Characteristics'!J:J,MATCH($C235,'Policy Characteristics'!$C:$C,0))),"",INDEX('Policy Characteristics'!J:J,MATCH($C235,'Policy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5" s="275" t="str">
        <f>IF(ISBLANK(INDEX('Policy Characteristics'!K:K,MATCH($C235,'Policy Characteristics'!$C:$C,0))),"",INDEX('Policy Characteristics'!K:K,MATCH($C235,'Policy Characteristics'!$C:$C,0)))</f>
        <v>buildings-sector-main.html#rebate</v>
      </c>
      <c r="R235" s="275" t="str">
        <f>IF(ISBLANK(INDEX('Policy Characteristics'!L:L,MATCH($C235,'Policy Characteristics'!$C:$C,0))),"",INDEX('Policy Characteristics'!L:L,MATCH($C235,'Policy Characteristics'!$C:$C,0)))</f>
        <v>rebate-for-efficient-products.html</v>
      </c>
    </row>
    <row r="236" spans="1:18" s="2" customFormat="1" x14ac:dyDescent="0.25">
      <c r="A236" s="275" t="str">
        <f>IF(ISBLANK(INDEX('Policy Characteristics'!A:A,MATCH($C236,'Policy Characteristics'!$C:$C,0))),"",INDEX('Policy Characteristics'!A:A,MATCH($C236,'Policy Characteristics'!$C:$C,0)))</f>
        <v>Electricity Supply</v>
      </c>
      <c r="B236" s="284" t="str">
        <f>IF(ISBLANK(INDEX('Policy Characteristics'!B:B,MATCH($C236,'Policy Characteristics'!$C:$C,0))),"",INDEX('Policy Characteristics'!B:B,MATCH($C236,'Policy Characteristics'!$C:$C,0)))</f>
        <v>Ban New Power Plants</v>
      </c>
      <c r="C236" s="339" t="s">
        <v>330</v>
      </c>
      <c r="D236" s="47" t="s">
        <v>448</v>
      </c>
      <c r="E236" s="47"/>
      <c r="F236" s="47" t="s">
        <v>447</v>
      </c>
      <c r="G236" s="6"/>
      <c r="H236" s="49">
        <v>167</v>
      </c>
      <c r="I236" s="347" t="s">
        <v>43</v>
      </c>
      <c r="J236" s="276" t="str">
        <f>IF(ISBLANK(INDEX('Policy Characteristics'!D:D,MATCH($C236,'Policy Characteristics'!$C:$C,0))),"",INDEX('Policy Characteristics'!D:D,MATCH($C236,'Policy Characteristics'!$C:$C,0)))</f>
        <v>Ban New Power Plants</v>
      </c>
      <c r="K236" s="275" t="str">
        <f>IF(ISBLANK(INDEX('Policy Characteristics'!E:E,MATCH($C236,'Policy Characteristics'!$C:$C,0))),"",INDEX('Policy Characteristics'!E:E,MATCH($C236,'Policy Characteristics'!$C:$C,0)))</f>
        <v>elec ban new power plants</v>
      </c>
      <c r="L236" s="275">
        <f>IF(ISBLANK(INDEX('Policy Characteristics'!F:F,MATCH($C236,'Policy Characteristics'!$C:$C,0))),"",INDEX('Policy Characteristics'!F:F,MATCH($C236,'Policy Characteristics'!$C:$C,0)))</f>
        <v>0</v>
      </c>
      <c r="M236" s="275">
        <f>IF(ISBLANK(INDEX('Policy Characteristics'!G:G,MATCH($C236,'Policy Characteristics'!$C:$C,0))),"",INDEX('Policy Characteristics'!G:G,MATCH($C236,'Policy Characteristics'!$C:$C,0)))</f>
        <v>1</v>
      </c>
      <c r="N236" s="275">
        <f>IF(ISBLANK(INDEX('Policy Characteristics'!H:H,MATCH($C236,'Policy Characteristics'!$C:$C,0))),"",INDEX('Policy Characteristics'!H:H,MATCH($C236,'Policy Characteristics'!$C:$C,0)))</f>
        <v>1</v>
      </c>
      <c r="O236" s="275" t="str">
        <f>IF(ISBLANK(INDEX('Policy Characteristics'!I:I,MATCH($C236,'Policy Characteristics'!$C:$C,0))),"",INDEX('Policy Characteristics'!I:I,MATCH($C236,'Policy Characteristics'!$C:$C,0)))</f>
        <v>on/off</v>
      </c>
      <c r="P236" s="275" t="str">
        <f>IF(ISBLANK(INDEX('Policy Characteristics'!J:J,MATCH($C236,'Policy Characteristics'!$C:$C,0))),"",INDEX('Policy Characteristics'!J:J,MATCH($C236,'Policy Characteristics'!$C:$C,0)))</f>
        <v>**Description:** This policy prevents new capacity of the selected type(s) from being built or deployed.</v>
      </c>
      <c r="Q236" s="275" t="str">
        <f>IF(ISBLANK(INDEX('Policy Characteristics'!K:K,MATCH($C236,'Policy Characteristics'!$C:$C,0))),"",INDEX('Policy Characteristics'!K:K,MATCH($C236,'Policy Characteristics'!$C:$C,0)))</f>
        <v>electricity-sector-main.html#ban</v>
      </c>
      <c r="R236" s="275" t="str">
        <f>IF(ISBLANK(INDEX('Policy Characteristics'!L:L,MATCH($C236,'Policy Characteristics'!$C:$C,0))),"",INDEX('Policy Characteristics'!L:L,MATCH($C236,'Policy Characteristics'!$C:$C,0)))</f>
        <v>ban-new-capacity.html</v>
      </c>
    </row>
    <row r="237" spans="1:18" s="4" customFormat="1" x14ac:dyDescent="0.25">
      <c r="A237" s="275" t="str">
        <f>IF(ISBLANK(INDEX('Policy Characteristics'!A:A,MATCH($C237,'Policy Characteristics'!$C:$C,0))),"",INDEX('Policy Characteristics'!A:A,MATCH($C237,'Policy Characteristics'!$C:$C,0)))</f>
        <v>Electricity Supply</v>
      </c>
      <c r="B237" s="284" t="str">
        <f>IF(ISBLANK(INDEX('Policy Characteristics'!B:B,MATCH($C237,'Policy Characteristics'!$C:$C,0))),"",INDEX('Policy Characteristics'!B:B,MATCH($C237,'Policy Characteristics'!$C:$C,0)))</f>
        <v>Ban New Power Plants</v>
      </c>
      <c r="C237" s="275" t="str">
        <f t="shared" ref="C237:C248" si="16">C$236</f>
        <v>Boolean Ban New Power Plants</v>
      </c>
      <c r="D237" s="6" t="s">
        <v>3520</v>
      </c>
      <c r="E237" s="47"/>
      <c r="F237" s="6" t="s">
        <v>3453</v>
      </c>
      <c r="G237" s="47"/>
      <c r="H237" s="44">
        <v>168</v>
      </c>
      <c r="I237" s="346" t="s">
        <v>43</v>
      </c>
      <c r="J237" s="276" t="str">
        <f>IF(ISBLANK(INDEX('Policy Characteristics'!D:D,MATCH($C237,'Policy Characteristics'!$C:$C,0))),"",INDEX('Policy Characteristics'!D:D,MATCH($C237,'Policy Characteristics'!$C:$C,0)))</f>
        <v>Ban New Power Plants</v>
      </c>
      <c r="K237" s="275" t="str">
        <f>IF(ISBLANK(INDEX('Policy Characteristics'!E:E,MATCH($C237,'Policy Characteristics'!$C:$C,0))),"",INDEX('Policy Characteristics'!E:E,MATCH($C237,'Policy Characteristics'!$C:$C,0)))</f>
        <v>elec ban new power plants</v>
      </c>
      <c r="L237" s="275">
        <f>IF(ISBLANK(INDEX('Policy Characteristics'!F:F,MATCH($C237,'Policy Characteristics'!$C:$C,0))),"",INDEX('Policy Characteristics'!F:F,MATCH($C237,'Policy Characteristics'!$C:$C,0)))</f>
        <v>0</v>
      </c>
      <c r="M237" s="275">
        <f>IF(ISBLANK(INDEX('Policy Characteristics'!G:G,MATCH($C237,'Policy Characteristics'!$C:$C,0))),"",INDEX('Policy Characteristics'!G:G,MATCH($C237,'Policy Characteristics'!$C:$C,0)))</f>
        <v>1</v>
      </c>
      <c r="N237" s="275">
        <f>IF(ISBLANK(INDEX('Policy Characteristics'!H:H,MATCH($C237,'Policy Characteristics'!$C:$C,0))),"",INDEX('Policy Characteristics'!H:H,MATCH($C237,'Policy Characteristics'!$C:$C,0)))</f>
        <v>1</v>
      </c>
      <c r="O237" s="275" t="str">
        <f>IF(ISBLANK(INDEX('Policy Characteristics'!I:I,MATCH($C237,'Policy Characteristics'!$C:$C,0))),"",INDEX('Policy Characteristics'!I:I,MATCH($C237,'Policy Characteristics'!$C:$C,0)))</f>
        <v>on/off</v>
      </c>
      <c r="P237" s="275" t="str">
        <f>IF(ISBLANK(INDEX('Policy Characteristics'!J:J,MATCH($C237,'Policy Characteristics'!$C:$C,0))),"",INDEX('Policy Characteristics'!J:J,MATCH($C237,'Policy Characteristics'!$C:$C,0)))</f>
        <v>**Description:** This policy prevents new capacity of the selected type(s) from being built or deployed.</v>
      </c>
      <c r="Q237" s="275" t="str">
        <f>IF(ISBLANK(INDEX('Policy Characteristics'!K:K,MATCH($C237,'Policy Characteristics'!$C:$C,0))),"",INDEX('Policy Characteristics'!K:K,MATCH($C237,'Policy Characteristics'!$C:$C,0)))</f>
        <v>electricity-sector-main.html#ban</v>
      </c>
      <c r="R237" s="275" t="str">
        <f>IF(ISBLANK(INDEX('Policy Characteristics'!L:L,MATCH($C237,'Policy Characteristics'!$C:$C,0))),"",INDEX('Policy Characteristics'!L:L,MATCH($C237,'Policy Characteristics'!$C:$C,0)))</f>
        <v>ban-new-capacity.html</v>
      </c>
    </row>
    <row r="238" spans="1:18" s="4" customFormat="1" x14ac:dyDescent="0.25">
      <c r="A238" s="275" t="str">
        <f>IF(ISBLANK(INDEX('Policy Characteristics'!A:A,MATCH($C238,'Policy Characteristics'!$C:$C,0))),"",INDEX('Policy Characteristics'!A:A,MATCH($C238,'Policy Characteristics'!$C:$C,0)))</f>
        <v>Electricity Supply</v>
      </c>
      <c r="B238" s="284" t="str">
        <f>IF(ISBLANK(INDEX('Policy Characteristics'!B:B,MATCH($C238,'Policy Characteristics'!$C:$C,0))),"",INDEX('Policy Characteristics'!B:B,MATCH($C238,'Policy Characteristics'!$C:$C,0)))</f>
        <v>Ban New Power Plants</v>
      </c>
      <c r="C238" s="275" t="str">
        <f t="shared" si="16"/>
        <v>Boolean Ban New Power Plants</v>
      </c>
      <c r="D238" s="6" t="s">
        <v>3521</v>
      </c>
      <c r="E238" s="47"/>
      <c r="F238" s="6" t="s">
        <v>3454</v>
      </c>
      <c r="G238" s="47"/>
      <c r="H238" s="44">
        <v>1746</v>
      </c>
      <c r="I238" s="346" t="s">
        <v>43</v>
      </c>
      <c r="J238" s="276" t="str">
        <f>IF(ISBLANK(INDEX('Policy Characteristics'!D:D,MATCH($C238,'Policy Characteristics'!$C:$C,0))),"",INDEX('Policy Characteristics'!D:D,MATCH($C238,'Policy Characteristics'!$C:$C,0)))</f>
        <v>Ban New Power Plants</v>
      </c>
      <c r="K238" s="275" t="str">
        <f>IF(ISBLANK(INDEX('Policy Characteristics'!E:E,MATCH($C238,'Policy Characteristics'!$C:$C,0))),"",INDEX('Policy Characteristics'!E:E,MATCH($C238,'Policy Characteristics'!$C:$C,0)))</f>
        <v>elec ban new power plants</v>
      </c>
      <c r="L238" s="275">
        <f>IF(ISBLANK(INDEX('Policy Characteristics'!F:F,MATCH($C238,'Policy Characteristics'!$C:$C,0))),"",INDEX('Policy Characteristics'!F:F,MATCH($C238,'Policy Characteristics'!$C:$C,0)))</f>
        <v>0</v>
      </c>
      <c r="M238" s="275">
        <f>IF(ISBLANK(INDEX('Policy Characteristics'!G:G,MATCH($C238,'Policy Characteristics'!$C:$C,0))),"",INDEX('Policy Characteristics'!G:G,MATCH($C238,'Policy Characteristics'!$C:$C,0)))</f>
        <v>1</v>
      </c>
      <c r="N238" s="275">
        <f>IF(ISBLANK(INDEX('Policy Characteristics'!H:H,MATCH($C238,'Policy Characteristics'!$C:$C,0))),"",INDEX('Policy Characteristics'!H:H,MATCH($C238,'Policy Characteristics'!$C:$C,0)))</f>
        <v>1</v>
      </c>
      <c r="O238" s="275" t="str">
        <f>IF(ISBLANK(INDEX('Policy Characteristics'!I:I,MATCH($C238,'Policy Characteristics'!$C:$C,0))),"",INDEX('Policy Characteristics'!I:I,MATCH($C238,'Policy Characteristics'!$C:$C,0)))</f>
        <v>on/off</v>
      </c>
      <c r="P238" s="275" t="str">
        <f>IF(ISBLANK(INDEX('Policy Characteristics'!J:J,MATCH($C238,'Policy Characteristics'!$C:$C,0))),"",INDEX('Policy Characteristics'!J:J,MATCH($C238,'Policy Characteristics'!$C:$C,0)))</f>
        <v>**Description:** This policy prevents new capacity of the selected type(s) from being built or deployed.</v>
      </c>
      <c r="Q238" s="275" t="str">
        <f>IF(ISBLANK(INDEX('Policy Characteristics'!K:K,MATCH($C238,'Policy Characteristics'!$C:$C,0))),"",INDEX('Policy Characteristics'!K:K,MATCH($C238,'Policy Characteristics'!$C:$C,0)))</f>
        <v>electricity-sector-main.html#ban</v>
      </c>
      <c r="R238" s="275" t="str">
        <f>IF(ISBLANK(INDEX('Policy Characteristics'!L:L,MATCH($C238,'Policy Characteristics'!$C:$C,0))),"",INDEX('Policy Characteristics'!L:L,MATCH($C238,'Policy Characteristics'!$C:$C,0)))</f>
        <v>ban-new-capacity.html</v>
      </c>
    </row>
    <row r="239" spans="1:18" s="4" customFormat="1" x14ac:dyDescent="0.25">
      <c r="A239" s="275" t="str">
        <f>IF(ISBLANK(INDEX('Policy Characteristics'!A:A,MATCH($C239,'Policy Characteristics'!$C:$C,0))),"",INDEX('Policy Characteristics'!A:A,MATCH($C239,'Policy Characteristics'!$C:$C,0)))</f>
        <v>Electricity Supply</v>
      </c>
      <c r="B239" s="284" t="str">
        <f>IF(ISBLANK(INDEX('Policy Characteristics'!B:B,MATCH($C239,'Policy Characteristics'!$C:$C,0))),"",INDEX('Policy Characteristics'!B:B,MATCH($C239,'Policy Characteristics'!$C:$C,0)))</f>
        <v>Ban New Power Plants</v>
      </c>
      <c r="C239" s="275" t="str">
        <f t="shared" si="16"/>
        <v>Boolean Ban New Power Plants</v>
      </c>
      <c r="D239" s="6" t="s">
        <v>76</v>
      </c>
      <c r="E239" s="47"/>
      <c r="F239" s="6" t="s">
        <v>3531</v>
      </c>
      <c r="G239" s="47"/>
      <c r="H239" s="49">
        <v>169</v>
      </c>
      <c r="I239" s="346" t="s">
        <v>43</v>
      </c>
      <c r="J239" s="276" t="str">
        <f>IF(ISBLANK(INDEX('Policy Characteristics'!D:D,MATCH($C239,'Policy Characteristics'!$C:$C,0))),"",INDEX('Policy Characteristics'!D:D,MATCH($C239,'Policy Characteristics'!$C:$C,0)))</f>
        <v>Ban New Power Plants</v>
      </c>
      <c r="K239" s="275" t="str">
        <f>IF(ISBLANK(INDEX('Policy Characteristics'!E:E,MATCH($C239,'Policy Characteristics'!$C:$C,0))),"",INDEX('Policy Characteristics'!E:E,MATCH($C239,'Policy Characteristics'!$C:$C,0)))</f>
        <v>elec ban new power plants</v>
      </c>
      <c r="L239" s="275">
        <f>IF(ISBLANK(INDEX('Policy Characteristics'!F:F,MATCH($C239,'Policy Characteristics'!$C:$C,0))),"",INDEX('Policy Characteristics'!F:F,MATCH($C239,'Policy Characteristics'!$C:$C,0)))</f>
        <v>0</v>
      </c>
      <c r="M239" s="275">
        <f>IF(ISBLANK(INDEX('Policy Characteristics'!G:G,MATCH($C239,'Policy Characteristics'!$C:$C,0))),"",INDEX('Policy Characteristics'!G:G,MATCH($C239,'Policy Characteristics'!$C:$C,0)))</f>
        <v>1</v>
      </c>
      <c r="N239" s="275">
        <f>IF(ISBLANK(INDEX('Policy Characteristics'!H:H,MATCH($C239,'Policy Characteristics'!$C:$C,0))),"",INDEX('Policy Characteristics'!H:H,MATCH($C239,'Policy Characteristics'!$C:$C,0)))</f>
        <v>1</v>
      </c>
      <c r="O239" s="275" t="str">
        <f>IF(ISBLANK(INDEX('Policy Characteristics'!I:I,MATCH($C239,'Policy Characteristics'!$C:$C,0))),"",INDEX('Policy Characteristics'!I:I,MATCH($C239,'Policy Characteristics'!$C:$C,0)))</f>
        <v>on/off</v>
      </c>
      <c r="P239" s="275" t="str">
        <f>IF(ISBLANK(INDEX('Policy Characteristics'!J:J,MATCH($C239,'Policy Characteristics'!$C:$C,0))),"",INDEX('Policy Characteristics'!J:J,MATCH($C239,'Policy Characteristics'!$C:$C,0)))</f>
        <v>**Description:** This policy prevents new capacity of the selected type(s) from being built or deployed.</v>
      </c>
      <c r="Q239" s="275" t="str">
        <f>IF(ISBLANK(INDEX('Policy Characteristics'!K:K,MATCH($C239,'Policy Characteristics'!$C:$C,0))),"",INDEX('Policy Characteristics'!K:K,MATCH($C239,'Policy Characteristics'!$C:$C,0)))</f>
        <v>electricity-sector-main.html#ban</v>
      </c>
      <c r="R239" s="275" t="str">
        <f>IF(ISBLANK(INDEX('Policy Characteristics'!L:L,MATCH($C239,'Policy Characteristics'!$C:$C,0))),"",INDEX('Policy Characteristics'!L:L,MATCH($C239,'Policy Characteristics'!$C:$C,0)))</f>
        <v>ban-new-capacity.html</v>
      </c>
    </row>
    <row r="240" spans="1:18" s="4" customFormat="1" x14ac:dyDescent="0.25">
      <c r="A240" s="275" t="str">
        <f>IF(ISBLANK(INDEX('Policy Characteristics'!A:A,MATCH($C240,'Policy Characteristics'!$C:$C,0))),"",INDEX('Policy Characteristics'!A:A,MATCH($C240,'Policy Characteristics'!$C:$C,0)))</f>
        <v>Electricity Supply</v>
      </c>
      <c r="B240" s="284" t="str">
        <f>IF(ISBLANK(INDEX('Policy Characteristics'!B:B,MATCH($C240,'Policy Characteristics'!$C:$C,0))),"",INDEX('Policy Characteristics'!B:B,MATCH($C240,'Policy Characteristics'!$C:$C,0)))</f>
        <v>Ban New Power Plants</v>
      </c>
      <c r="C240" s="275" t="str">
        <f t="shared" si="16"/>
        <v>Boolean Ban New Power Plants</v>
      </c>
      <c r="D240" s="6" t="s">
        <v>77</v>
      </c>
      <c r="E240" s="47"/>
      <c r="F240" s="6" t="s">
        <v>89</v>
      </c>
      <c r="G240" s="47"/>
      <c r="H240" s="44">
        <v>170</v>
      </c>
      <c r="I240" s="346" t="s">
        <v>43</v>
      </c>
      <c r="J240" s="276" t="str">
        <f>IF(ISBLANK(INDEX('Policy Characteristics'!D:D,MATCH($C240,'Policy Characteristics'!$C:$C,0))),"",INDEX('Policy Characteristics'!D:D,MATCH($C240,'Policy Characteristics'!$C:$C,0)))</f>
        <v>Ban New Power Plants</v>
      </c>
      <c r="K240" s="275" t="str">
        <f>IF(ISBLANK(INDEX('Policy Characteristics'!E:E,MATCH($C240,'Policy Characteristics'!$C:$C,0))),"",INDEX('Policy Characteristics'!E:E,MATCH($C240,'Policy Characteristics'!$C:$C,0)))</f>
        <v>elec ban new power plants</v>
      </c>
      <c r="L240" s="275">
        <f>IF(ISBLANK(INDEX('Policy Characteristics'!F:F,MATCH($C240,'Policy Characteristics'!$C:$C,0))),"",INDEX('Policy Characteristics'!F:F,MATCH($C240,'Policy Characteristics'!$C:$C,0)))</f>
        <v>0</v>
      </c>
      <c r="M240" s="275">
        <f>IF(ISBLANK(INDEX('Policy Characteristics'!G:G,MATCH($C240,'Policy Characteristics'!$C:$C,0))),"",INDEX('Policy Characteristics'!G:G,MATCH($C240,'Policy Characteristics'!$C:$C,0)))</f>
        <v>1</v>
      </c>
      <c r="N240" s="275">
        <f>IF(ISBLANK(INDEX('Policy Characteristics'!H:H,MATCH($C240,'Policy Characteristics'!$C:$C,0))),"",INDEX('Policy Characteristics'!H:H,MATCH($C240,'Policy Characteristics'!$C:$C,0)))</f>
        <v>1</v>
      </c>
      <c r="O240" s="275" t="str">
        <f>IF(ISBLANK(INDEX('Policy Characteristics'!I:I,MATCH($C240,'Policy Characteristics'!$C:$C,0))),"",INDEX('Policy Characteristics'!I:I,MATCH($C240,'Policy Characteristics'!$C:$C,0)))</f>
        <v>on/off</v>
      </c>
      <c r="P240" s="275" t="str">
        <f>IF(ISBLANK(INDEX('Policy Characteristics'!J:J,MATCH($C240,'Policy Characteristics'!$C:$C,0))),"",INDEX('Policy Characteristics'!J:J,MATCH($C240,'Policy Characteristics'!$C:$C,0)))</f>
        <v>**Description:** This policy prevents new capacity of the selected type(s) from being built or deployed.</v>
      </c>
      <c r="Q240" s="275" t="str">
        <f>IF(ISBLANK(INDEX('Policy Characteristics'!K:K,MATCH($C240,'Policy Characteristics'!$C:$C,0))),"",INDEX('Policy Characteristics'!K:K,MATCH($C240,'Policy Characteristics'!$C:$C,0)))</f>
        <v>electricity-sector-main.html#ban</v>
      </c>
      <c r="R240" s="275" t="str">
        <f>IF(ISBLANK(INDEX('Policy Characteristics'!L:L,MATCH($C240,'Policy Characteristics'!$C:$C,0))),"",INDEX('Policy Characteristics'!L:L,MATCH($C240,'Policy Characteristics'!$C:$C,0)))</f>
        <v>ban-new-capacity.html</v>
      </c>
    </row>
    <row r="241" spans="1:18" s="4" customFormat="1" x14ac:dyDescent="0.25">
      <c r="A241" s="275" t="str">
        <f>IF(ISBLANK(INDEX('Policy Characteristics'!A:A,MATCH($C241,'Policy Characteristics'!$C:$C,0))),"",INDEX('Policy Characteristics'!A:A,MATCH($C241,'Policy Characteristics'!$C:$C,0)))</f>
        <v>Electricity Supply</v>
      </c>
      <c r="B241" s="284" t="str">
        <f>IF(ISBLANK(INDEX('Policy Characteristics'!B:B,MATCH($C241,'Policy Characteristics'!$C:$C,0))),"",INDEX('Policy Characteristics'!B:B,MATCH($C241,'Policy Characteristics'!$C:$C,0)))</f>
        <v>Ban New Power Plants</v>
      </c>
      <c r="C241" s="275" t="str">
        <f t="shared" si="16"/>
        <v>Boolean Ban New Power Plants</v>
      </c>
      <c r="D241" s="6" t="s">
        <v>449</v>
      </c>
      <c r="E241" s="47"/>
      <c r="F241" s="6" t="s">
        <v>452</v>
      </c>
      <c r="G241" s="47"/>
      <c r="H241" s="44">
        <v>608</v>
      </c>
      <c r="I241" s="346" t="s">
        <v>44</v>
      </c>
      <c r="J241" s="276" t="str">
        <f>IF(ISBLANK(INDEX('Policy Characteristics'!D:D,MATCH($C241,'Policy Characteristics'!$C:$C,0))),"",INDEX('Policy Characteristics'!D:D,MATCH($C241,'Policy Characteristics'!$C:$C,0)))</f>
        <v>Ban New Power Plants</v>
      </c>
      <c r="K241" s="275" t="str">
        <f>IF(ISBLANK(INDEX('Policy Characteristics'!E:E,MATCH($C241,'Policy Characteristics'!$C:$C,0))),"",INDEX('Policy Characteristics'!E:E,MATCH($C241,'Policy Characteristics'!$C:$C,0)))</f>
        <v>elec ban new power plants</v>
      </c>
      <c r="L241" s="275">
        <f>IF(ISBLANK(INDEX('Policy Characteristics'!F:F,MATCH($C241,'Policy Characteristics'!$C:$C,0))),"",INDEX('Policy Characteristics'!F:F,MATCH($C241,'Policy Characteristics'!$C:$C,0)))</f>
        <v>0</v>
      </c>
      <c r="M241" s="275">
        <f>IF(ISBLANK(INDEX('Policy Characteristics'!G:G,MATCH($C241,'Policy Characteristics'!$C:$C,0))),"",INDEX('Policy Characteristics'!G:G,MATCH($C241,'Policy Characteristics'!$C:$C,0)))</f>
        <v>1</v>
      </c>
      <c r="N241" s="275">
        <f>IF(ISBLANK(INDEX('Policy Characteristics'!H:H,MATCH($C241,'Policy Characteristics'!$C:$C,0))),"",INDEX('Policy Characteristics'!H:H,MATCH($C241,'Policy Characteristics'!$C:$C,0)))</f>
        <v>1</v>
      </c>
      <c r="O241" s="275" t="str">
        <f>IF(ISBLANK(INDEX('Policy Characteristics'!I:I,MATCH($C241,'Policy Characteristics'!$C:$C,0))),"",INDEX('Policy Characteristics'!I:I,MATCH($C241,'Policy Characteristics'!$C:$C,0)))</f>
        <v>on/off</v>
      </c>
      <c r="P241" s="275" t="str">
        <f>IF(ISBLANK(INDEX('Policy Characteristics'!J:J,MATCH($C241,'Policy Characteristics'!$C:$C,0))),"",INDEX('Policy Characteristics'!J:J,MATCH($C241,'Policy Characteristics'!$C:$C,0)))</f>
        <v>**Description:** This policy prevents new capacity of the selected type(s) from being built or deployed.</v>
      </c>
      <c r="Q241" s="275" t="str">
        <f>IF(ISBLANK(INDEX('Policy Characteristics'!K:K,MATCH($C241,'Policy Characteristics'!$C:$C,0))),"",INDEX('Policy Characteristics'!K:K,MATCH($C241,'Policy Characteristics'!$C:$C,0)))</f>
        <v>electricity-sector-main.html#ban</v>
      </c>
      <c r="R241" s="275" t="str">
        <f>IF(ISBLANK(INDEX('Policy Characteristics'!L:L,MATCH($C241,'Policy Characteristics'!$C:$C,0))),"",INDEX('Policy Characteristics'!L:L,MATCH($C241,'Policy Characteristics'!$C:$C,0)))</f>
        <v>ban-new-capacity.html</v>
      </c>
    </row>
    <row r="242" spans="1:18" s="4" customFormat="1" x14ac:dyDescent="0.25">
      <c r="A242" s="275" t="str">
        <f>IF(ISBLANK(INDEX('Policy Characteristics'!A:A,MATCH($C242,'Policy Characteristics'!$C:$C,0))),"",INDEX('Policy Characteristics'!A:A,MATCH($C242,'Policy Characteristics'!$C:$C,0)))</f>
        <v>Electricity Supply</v>
      </c>
      <c r="B242" s="284" t="str">
        <f>IF(ISBLANK(INDEX('Policy Characteristics'!B:B,MATCH($C242,'Policy Characteristics'!$C:$C,0))),"",INDEX('Policy Characteristics'!B:B,MATCH($C242,'Policy Characteristics'!$C:$C,0)))</f>
        <v>Ban New Power Plants</v>
      </c>
      <c r="C242" s="275" t="str">
        <f t="shared" si="16"/>
        <v>Boolean Ban New Power Plants</v>
      </c>
      <c r="D242" s="6" t="s">
        <v>78</v>
      </c>
      <c r="E242" s="47"/>
      <c r="F242" s="6" t="s">
        <v>90</v>
      </c>
      <c r="G242" s="47"/>
      <c r="H242" s="44">
        <v>609</v>
      </c>
      <c r="I242" s="346" t="s">
        <v>44</v>
      </c>
      <c r="J242" s="276" t="str">
        <f>IF(ISBLANK(INDEX('Policy Characteristics'!D:D,MATCH($C242,'Policy Characteristics'!$C:$C,0))),"",INDEX('Policy Characteristics'!D:D,MATCH($C242,'Policy Characteristics'!$C:$C,0)))</f>
        <v>Ban New Power Plants</v>
      </c>
      <c r="K242" s="275" t="str">
        <f>IF(ISBLANK(INDEX('Policy Characteristics'!E:E,MATCH($C242,'Policy Characteristics'!$C:$C,0))),"",INDEX('Policy Characteristics'!E:E,MATCH($C242,'Policy Characteristics'!$C:$C,0)))</f>
        <v>elec ban new power plants</v>
      </c>
      <c r="L242" s="275">
        <f>IF(ISBLANK(INDEX('Policy Characteristics'!F:F,MATCH($C242,'Policy Characteristics'!$C:$C,0))),"",INDEX('Policy Characteristics'!F:F,MATCH($C242,'Policy Characteristics'!$C:$C,0)))</f>
        <v>0</v>
      </c>
      <c r="M242" s="275">
        <f>IF(ISBLANK(INDEX('Policy Characteristics'!G:G,MATCH($C242,'Policy Characteristics'!$C:$C,0))),"",INDEX('Policy Characteristics'!G:G,MATCH($C242,'Policy Characteristics'!$C:$C,0)))</f>
        <v>1</v>
      </c>
      <c r="N242" s="275">
        <f>IF(ISBLANK(INDEX('Policy Characteristics'!H:H,MATCH($C242,'Policy Characteristics'!$C:$C,0))),"",INDEX('Policy Characteristics'!H:H,MATCH($C242,'Policy Characteristics'!$C:$C,0)))</f>
        <v>1</v>
      </c>
      <c r="O242" s="275" t="str">
        <f>IF(ISBLANK(INDEX('Policy Characteristics'!I:I,MATCH($C242,'Policy Characteristics'!$C:$C,0))),"",INDEX('Policy Characteristics'!I:I,MATCH($C242,'Policy Characteristics'!$C:$C,0)))</f>
        <v>on/off</v>
      </c>
      <c r="P242" s="275" t="str">
        <f>IF(ISBLANK(INDEX('Policy Characteristics'!J:J,MATCH($C242,'Policy Characteristics'!$C:$C,0))),"",INDEX('Policy Characteristics'!J:J,MATCH($C242,'Policy Characteristics'!$C:$C,0)))</f>
        <v>**Description:** This policy prevents new capacity of the selected type(s) from being built or deployed.</v>
      </c>
      <c r="Q242" s="275" t="str">
        <f>IF(ISBLANK(INDEX('Policy Characteristics'!K:K,MATCH($C242,'Policy Characteristics'!$C:$C,0))),"",INDEX('Policy Characteristics'!K:K,MATCH($C242,'Policy Characteristics'!$C:$C,0)))</f>
        <v>electricity-sector-main.html#ban</v>
      </c>
      <c r="R242" s="275" t="str">
        <f>IF(ISBLANK(INDEX('Policy Characteristics'!L:L,MATCH($C242,'Policy Characteristics'!$C:$C,0))),"",INDEX('Policy Characteristics'!L:L,MATCH($C242,'Policy Characteristics'!$C:$C,0)))</f>
        <v>ban-new-capacity.html</v>
      </c>
    </row>
    <row r="243" spans="1:18" s="4" customFormat="1" x14ac:dyDescent="0.25">
      <c r="A243" s="275" t="str">
        <f>IF(ISBLANK(INDEX('Policy Characteristics'!A:A,MATCH($C243,'Policy Characteristics'!$C:$C,0))),"",INDEX('Policy Characteristics'!A:A,MATCH($C243,'Policy Characteristics'!$C:$C,0)))</f>
        <v>Electricity Supply</v>
      </c>
      <c r="B243" s="284" t="str">
        <f>IF(ISBLANK(INDEX('Policy Characteristics'!B:B,MATCH($C243,'Policy Characteristics'!$C:$C,0))),"",INDEX('Policy Characteristics'!B:B,MATCH($C243,'Policy Characteristics'!$C:$C,0)))</f>
        <v>Ban New Power Plants</v>
      </c>
      <c r="C243" s="275" t="str">
        <f t="shared" si="16"/>
        <v>Boolean Ban New Power Plants</v>
      </c>
      <c r="D243" s="6" t="s">
        <v>79</v>
      </c>
      <c r="E243" s="47"/>
      <c r="F243" s="6" t="s">
        <v>91</v>
      </c>
      <c r="G243" s="47"/>
      <c r="H243" s="44">
        <v>610</v>
      </c>
      <c r="I243" s="346" t="s">
        <v>44</v>
      </c>
      <c r="J243" s="276" t="str">
        <f>IF(ISBLANK(INDEX('Policy Characteristics'!D:D,MATCH($C243,'Policy Characteristics'!$C:$C,0))),"",INDEX('Policy Characteristics'!D:D,MATCH($C243,'Policy Characteristics'!$C:$C,0)))</f>
        <v>Ban New Power Plants</v>
      </c>
      <c r="K243" s="275" t="str">
        <f>IF(ISBLANK(INDEX('Policy Characteristics'!E:E,MATCH($C243,'Policy Characteristics'!$C:$C,0))),"",INDEX('Policy Characteristics'!E:E,MATCH($C243,'Policy Characteristics'!$C:$C,0)))</f>
        <v>elec ban new power plants</v>
      </c>
      <c r="L243" s="275">
        <f>IF(ISBLANK(INDEX('Policy Characteristics'!F:F,MATCH($C243,'Policy Characteristics'!$C:$C,0))),"",INDEX('Policy Characteristics'!F:F,MATCH($C243,'Policy Characteristics'!$C:$C,0)))</f>
        <v>0</v>
      </c>
      <c r="M243" s="275">
        <f>IF(ISBLANK(INDEX('Policy Characteristics'!G:G,MATCH($C243,'Policy Characteristics'!$C:$C,0))),"",INDEX('Policy Characteristics'!G:G,MATCH($C243,'Policy Characteristics'!$C:$C,0)))</f>
        <v>1</v>
      </c>
      <c r="N243" s="275">
        <f>IF(ISBLANK(INDEX('Policy Characteristics'!H:H,MATCH($C243,'Policy Characteristics'!$C:$C,0))),"",INDEX('Policy Characteristics'!H:H,MATCH($C243,'Policy Characteristics'!$C:$C,0)))</f>
        <v>1</v>
      </c>
      <c r="O243" s="275" t="str">
        <f>IF(ISBLANK(INDEX('Policy Characteristics'!I:I,MATCH($C243,'Policy Characteristics'!$C:$C,0))),"",INDEX('Policy Characteristics'!I:I,MATCH($C243,'Policy Characteristics'!$C:$C,0)))</f>
        <v>on/off</v>
      </c>
      <c r="P243" s="275" t="str">
        <f>IF(ISBLANK(INDEX('Policy Characteristics'!J:J,MATCH($C243,'Policy Characteristics'!$C:$C,0))),"",INDEX('Policy Characteristics'!J:J,MATCH($C243,'Policy Characteristics'!$C:$C,0)))</f>
        <v>**Description:** This policy prevents new capacity of the selected type(s) from being built or deployed.</v>
      </c>
      <c r="Q243" s="275" t="str">
        <f>IF(ISBLANK(INDEX('Policy Characteristics'!K:K,MATCH($C243,'Policy Characteristics'!$C:$C,0))),"",INDEX('Policy Characteristics'!K:K,MATCH($C243,'Policy Characteristics'!$C:$C,0)))</f>
        <v>electricity-sector-main.html#ban</v>
      </c>
      <c r="R243" s="275" t="str">
        <f>IF(ISBLANK(INDEX('Policy Characteristics'!L:L,MATCH($C243,'Policy Characteristics'!$C:$C,0))),"",INDEX('Policy Characteristics'!L:L,MATCH($C243,'Policy Characteristics'!$C:$C,0)))</f>
        <v>ban-new-capacity.html</v>
      </c>
    </row>
    <row r="244" spans="1:18" s="4" customFormat="1" x14ac:dyDescent="0.25">
      <c r="A244" s="275" t="str">
        <f>IF(ISBLANK(INDEX('Policy Characteristics'!A:A,MATCH($C244,'Policy Characteristics'!$C:$C,0))),"",INDEX('Policy Characteristics'!A:A,MATCH($C244,'Policy Characteristics'!$C:$C,0)))</f>
        <v>Electricity Supply</v>
      </c>
      <c r="B244" s="284" t="str">
        <f>IF(ISBLANK(INDEX('Policy Characteristics'!B:B,MATCH($C244,'Policy Characteristics'!$C:$C,0))),"",INDEX('Policy Characteristics'!B:B,MATCH($C244,'Policy Characteristics'!$C:$C,0)))</f>
        <v>Ban New Power Plants</v>
      </c>
      <c r="C244" s="275" t="str">
        <f t="shared" si="16"/>
        <v>Boolean Ban New Power Plants</v>
      </c>
      <c r="D244" s="6" t="s">
        <v>80</v>
      </c>
      <c r="E244" s="47"/>
      <c r="F244" s="6" t="s">
        <v>92</v>
      </c>
      <c r="G244" s="47"/>
      <c r="H244" s="44">
        <v>611</v>
      </c>
      <c r="I244" s="346" t="s">
        <v>44</v>
      </c>
      <c r="J244" s="276" t="str">
        <f>IF(ISBLANK(INDEX('Policy Characteristics'!D:D,MATCH($C244,'Policy Characteristics'!$C:$C,0))),"",INDEX('Policy Characteristics'!D:D,MATCH($C244,'Policy Characteristics'!$C:$C,0)))</f>
        <v>Ban New Power Plants</v>
      </c>
      <c r="K244" s="275" t="str">
        <f>IF(ISBLANK(INDEX('Policy Characteristics'!E:E,MATCH($C244,'Policy Characteristics'!$C:$C,0))),"",INDEX('Policy Characteristics'!E:E,MATCH($C244,'Policy Characteristics'!$C:$C,0)))</f>
        <v>elec ban new power plants</v>
      </c>
      <c r="L244" s="275">
        <f>IF(ISBLANK(INDEX('Policy Characteristics'!F:F,MATCH($C244,'Policy Characteristics'!$C:$C,0))),"",INDEX('Policy Characteristics'!F:F,MATCH($C244,'Policy Characteristics'!$C:$C,0)))</f>
        <v>0</v>
      </c>
      <c r="M244" s="275">
        <f>IF(ISBLANK(INDEX('Policy Characteristics'!G:G,MATCH($C244,'Policy Characteristics'!$C:$C,0))),"",INDEX('Policy Characteristics'!G:G,MATCH($C244,'Policy Characteristics'!$C:$C,0)))</f>
        <v>1</v>
      </c>
      <c r="N244" s="275">
        <f>IF(ISBLANK(INDEX('Policy Characteristics'!H:H,MATCH($C244,'Policy Characteristics'!$C:$C,0))),"",INDEX('Policy Characteristics'!H:H,MATCH($C244,'Policy Characteristics'!$C:$C,0)))</f>
        <v>1</v>
      </c>
      <c r="O244" s="275" t="str">
        <f>IF(ISBLANK(INDEX('Policy Characteristics'!I:I,MATCH($C244,'Policy Characteristics'!$C:$C,0))),"",INDEX('Policy Characteristics'!I:I,MATCH($C244,'Policy Characteristics'!$C:$C,0)))</f>
        <v>on/off</v>
      </c>
      <c r="P244" s="275" t="str">
        <f>IF(ISBLANK(INDEX('Policy Characteristics'!J:J,MATCH($C244,'Policy Characteristics'!$C:$C,0))),"",INDEX('Policy Characteristics'!J:J,MATCH($C244,'Policy Characteristics'!$C:$C,0)))</f>
        <v>**Description:** This policy prevents new capacity of the selected type(s) from being built or deployed.</v>
      </c>
      <c r="Q244" s="275" t="str">
        <f>IF(ISBLANK(INDEX('Policy Characteristics'!K:K,MATCH($C244,'Policy Characteristics'!$C:$C,0))),"",INDEX('Policy Characteristics'!K:K,MATCH($C244,'Policy Characteristics'!$C:$C,0)))</f>
        <v>electricity-sector-main.html#ban</v>
      </c>
      <c r="R244" s="275" t="str">
        <f>IF(ISBLANK(INDEX('Policy Characteristics'!L:L,MATCH($C244,'Policy Characteristics'!$C:$C,0))),"",INDEX('Policy Characteristics'!L:L,MATCH($C244,'Policy Characteristics'!$C:$C,0)))</f>
        <v>ban-new-capacity.html</v>
      </c>
    </row>
    <row r="245" spans="1:18" s="4" customFormat="1" x14ac:dyDescent="0.25">
      <c r="A245" s="275" t="str">
        <f>IF(ISBLANK(INDEX('Policy Characteristics'!A:A,MATCH($C245,'Policy Characteristics'!$C:$C,0))),"",INDEX('Policy Characteristics'!A:A,MATCH($C245,'Policy Characteristics'!$C:$C,0)))</f>
        <v>Electricity Supply</v>
      </c>
      <c r="B245" s="284" t="str">
        <f>IF(ISBLANK(INDEX('Policy Characteristics'!B:B,MATCH($C245,'Policy Characteristics'!$C:$C,0))),"",INDEX('Policy Characteristics'!B:B,MATCH($C245,'Policy Characteristics'!$C:$C,0)))</f>
        <v>Ban New Power Plants</v>
      </c>
      <c r="C245" s="275" t="str">
        <f t="shared" ref="C245:C259" si="17">C$236</f>
        <v>Boolean Ban New Power Plants</v>
      </c>
      <c r="D245" s="6" t="s">
        <v>2427</v>
      </c>
      <c r="E245" s="47"/>
      <c r="F245" s="6" t="s">
        <v>437</v>
      </c>
      <c r="G245" s="47"/>
      <c r="H245" s="44">
        <v>612</v>
      </c>
      <c r="I245" s="346" t="s">
        <v>44</v>
      </c>
      <c r="J245" s="276" t="str">
        <f>IF(ISBLANK(INDEX('Policy Characteristics'!D:D,MATCH($C245,'Policy Characteristics'!$C:$C,0))),"",INDEX('Policy Characteristics'!D:D,MATCH($C245,'Policy Characteristics'!$C:$C,0)))</f>
        <v>Ban New Power Plants</v>
      </c>
      <c r="K245" s="275" t="str">
        <f>IF(ISBLANK(INDEX('Policy Characteristics'!E:E,MATCH($C245,'Policy Characteristics'!$C:$C,0))),"",INDEX('Policy Characteristics'!E:E,MATCH($C245,'Policy Characteristics'!$C:$C,0)))</f>
        <v>elec ban new power plants</v>
      </c>
      <c r="L245" s="275">
        <f>IF(ISBLANK(INDEX('Policy Characteristics'!F:F,MATCH($C245,'Policy Characteristics'!$C:$C,0))),"",INDEX('Policy Characteristics'!F:F,MATCH($C245,'Policy Characteristics'!$C:$C,0)))</f>
        <v>0</v>
      </c>
      <c r="M245" s="275">
        <f>IF(ISBLANK(INDEX('Policy Characteristics'!G:G,MATCH($C245,'Policy Characteristics'!$C:$C,0))),"",INDEX('Policy Characteristics'!G:G,MATCH($C245,'Policy Characteristics'!$C:$C,0)))</f>
        <v>1</v>
      </c>
      <c r="N245" s="275">
        <f>IF(ISBLANK(INDEX('Policy Characteristics'!H:H,MATCH($C245,'Policy Characteristics'!$C:$C,0))),"",INDEX('Policy Characteristics'!H:H,MATCH($C245,'Policy Characteristics'!$C:$C,0)))</f>
        <v>1</v>
      </c>
      <c r="O245" s="275" t="str">
        <f>IF(ISBLANK(INDEX('Policy Characteristics'!I:I,MATCH($C245,'Policy Characteristics'!$C:$C,0))),"",INDEX('Policy Characteristics'!I:I,MATCH($C245,'Policy Characteristics'!$C:$C,0)))</f>
        <v>on/off</v>
      </c>
      <c r="P245" s="275" t="str">
        <f>IF(ISBLANK(INDEX('Policy Characteristics'!J:J,MATCH($C245,'Policy Characteristics'!$C:$C,0))),"",INDEX('Policy Characteristics'!J:J,MATCH($C245,'Policy Characteristics'!$C:$C,0)))</f>
        <v>**Description:** This policy prevents new capacity of the selected type(s) from being built or deployed.</v>
      </c>
      <c r="Q245" s="275" t="str">
        <f>IF(ISBLANK(INDEX('Policy Characteristics'!K:K,MATCH($C245,'Policy Characteristics'!$C:$C,0))),"",INDEX('Policy Characteristics'!K:K,MATCH($C245,'Policy Characteristics'!$C:$C,0)))</f>
        <v>electricity-sector-main.html#ban</v>
      </c>
      <c r="R245" s="275" t="str">
        <f>IF(ISBLANK(INDEX('Policy Characteristics'!L:L,MATCH($C245,'Policy Characteristics'!$C:$C,0))),"",INDEX('Policy Characteristics'!L:L,MATCH($C245,'Policy Characteristics'!$C:$C,0)))</f>
        <v>ban-new-capacity.html</v>
      </c>
    </row>
    <row r="246" spans="1:18" s="4" customFormat="1" x14ac:dyDescent="0.25">
      <c r="A246" s="275" t="str">
        <f>IF(ISBLANK(INDEX('Policy Characteristics'!A:A,MATCH($C246,'Policy Characteristics'!$C:$C,0))),"",INDEX('Policy Characteristics'!A:A,MATCH($C246,'Policy Characteristics'!$C:$C,0)))</f>
        <v>Electricity Supply</v>
      </c>
      <c r="B246" s="284" t="str">
        <f>IF(ISBLANK(INDEX('Policy Characteristics'!B:B,MATCH($C246,'Policy Characteristics'!$C:$C,0))),"",INDEX('Policy Characteristics'!B:B,MATCH($C246,'Policy Characteristics'!$C:$C,0)))</f>
        <v>Ban New Power Plants</v>
      </c>
      <c r="C246" s="275" t="str">
        <f t="shared" si="16"/>
        <v>Boolean Ban New Power Plants</v>
      </c>
      <c r="D246" s="6" t="s">
        <v>309</v>
      </c>
      <c r="E246" s="47"/>
      <c r="F246" s="6" t="s">
        <v>311</v>
      </c>
      <c r="G246" s="47"/>
      <c r="H246" s="44">
        <v>613</v>
      </c>
      <c r="I246" s="346" t="s">
        <v>44</v>
      </c>
      <c r="J246" s="276" t="str">
        <f>IF(ISBLANK(INDEX('Policy Characteristics'!D:D,MATCH($C246,'Policy Characteristics'!$C:$C,0))),"",INDEX('Policy Characteristics'!D:D,MATCH($C246,'Policy Characteristics'!$C:$C,0)))</f>
        <v>Ban New Power Plants</v>
      </c>
      <c r="K246" s="275" t="str">
        <f>IF(ISBLANK(INDEX('Policy Characteristics'!E:E,MATCH($C246,'Policy Characteristics'!$C:$C,0))),"",INDEX('Policy Characteristics'!E:E,MATCH($C246,'Policy Characteristics'!$C:$C,0)))</f>
        <v>elec ban new power plants</v>
      </c>
      <c r="L246" s="275">
        <f>IF(ISBLANK(INDEX('Policy Characteristics'!F:F,MATCH($C246,'Policy Characteristics'!$C:$C,0))),"",INDEX('Policy Characteristics'!F:F,MATCH($C246,'Policy Characteristics'!$C:$C,0)))</f>
        <v>0</v>
      </c>
      <c r="M246" s="275">
        <f>IF(ISBLANK(INDEX('Policy Characteristics'!G:G,MATCH($C246,'Policy Characteristics'!$C:$C,0))),"",INDEX('Policy Characteristics'!G:G,MATCH($C246,'Policy Characteristics'!$C:$C,0)))</f>
        <v>1</v>
      </c>
      <c r="N246" s="275">
        <f>IF(ISBLANK(INDEX('Policy Characteristics'!H:H,MATCH($C246,'Policy Characteristics'!$C:$C,0))),"",INDEX('Policy Characteristics'!H:H,MATCH($C246,'Policy Characteristics'!$C:$C,0)))</f>
        <v>1</v>
      </c>
      <c r="O246" s="275" t="str">
        <f>IF(ISBLANK(INDEX('Policy Characteristics'!I:I,MATCH($C246,'Policy Characteristics'!$C:$C,0))),"",INDEX('Policy Characteristics'!I:I,MATCH($C246,'Policy Characteristics'!$C:$C,0)))</f>
        <v>on/off</v>
      </c>
      <c r="P246" s="275" t="str">
        <f>IF(ISBLANK(INDEX('Policy Characteristics'!J:J,MATCH($C246,'Policy Characteristics'!$C:$C,0))),"",INDEX('Policy Characteristics'!J:J,MATCH($C246,'Policy Characteristics'!$C:$C,0)))</f>
        <v>**Description:** This policy prevents new capacity of the selected type(s) from being built or deployed.</v>
      </c>
      <c r="Q246" s="275" t="str">
        <f>IF(ISBLANK(INDEX('Policy Characteristics'!K:K,MATCH($C246,'Policy Characteristics'!$C:$C,0))),"",INDEX('Policy Characteristics'!K:K,MATCH($C246,'Policy Characteristics'!$C:$C,0)))</f>
        <v>electricity-sector-main.html#ban</v>
      </c>
      <c r="R246" s="275" t="str">
        <f>IF(ISBLANK(INDEX('Policy Characteristics'!L:L,MATCH($C246,'Policy Characteristics'!$C:$C,0))),"",INDEX('Policy Characteristics'!L:L,MATCH($C246,'Policy Characteristics'!$C:$C,0)))</f>
        <v>ban-new-capacity.html</v>
      </c>
    </row>
    <row r="247" spans="1:18" s="4" customFormat="1" x14ac:dyDescent="0.25">
      <c r="A247" s="275" t="str">
        <f>IF(ISBLANK(INDEX('Policy Characteristics'!A:A,MATCH($C247,'Policy Characteristics'!$C:$C,0))),"",INDEX('Policy Characteristics'!A:A,MATCH($C247,'Policy Characteristics'!$C:$C,0)))</f>
        <v>Electricity Supply</v>
      </c>
      <c r="B247" s="284" t="str">
        <f>IF(ISBLANK(INDEX('Policy Characteristics'!B:B,MATCH($C247,'Policy Characteristics'!$C:$C,0))),"",INDEX('Policy Characteristics'!B:B,MATCH($C247,'Policy Characteristics'!$C:$C,0)))</f>
        <v>Ban New Power Plants</v>
      </c>
      <c r="C247" s="275" t="str">
        <f t="shared" si="16"/>
        <v>Boolean Ban New Power Plants</v>
      </c>
      <c r="D247" s="6" t="s">
        <v>310</v>
      </c>
      <c r="E247" s="47"/>
      <c r="F247" s="6" t="s">
        <v>312</v>
      </c>
      <c r="G247" s="47"/>
      <c r="H247" s="44">
        <v>614</v>
      </c>
      <c r="I247" s="346" t="s">
        <v>44</v>
      </c>
      <c r="J247" s="276" t="str">
        <f>IF(ISBLANK(INDEX('Policy Characteristics'!D:D,MATCH($C247,'Policy Characteristics'!$C:$C,0))),"",INDEX('Policy Characteristics'!D:D,MATCH($C247,'Policy Characteristics'!$C:$C,0)))</f>
        <v>Ban New Power Plants</v>
      </c>
      <c r="K247" s="275" t="str">
        <f>IF(ISBLANK(INDEX('Policy Characteristics'!E:E,MATCH($C247,'Policy Characteristics'!$C:$C,0))),"",INDEX('Policy Characteristics'!E:E,MATCH($C247,'Policy Characteristics'!$C:$C,0)))</f>
        <v>elec ban new power plants</v>
      </c>
      <c r="L247" s="275">
        <f>IF(ISBLANK(INDEX('Policy Characteristics'!F:F,MATCH($C247,'Policy Characteristics'!$C:$C,0))),"",INDEX('Policy Characteristics'!F:F,MATCH($C247,'Policy Characteristics'!$C:$C,0)))</f>
        <v>0</v>
      </c>
      <c r="M247" s="275">
        <f>IF(ISBLANK(INDEX('Policy Characteristics'!G:G,MATCH($C247,'Policy Characteristics'!$C:$C,0))),"",INDEX('Policy Characteristics'!G:G,MATCH($C247,'Policy Characteristics'!$C:$C,0)))</f>
        <v>1</v>
      </c>
      <c r="N247" s="275">
        <f>IF(ISBLANK(INDEX('Policy Characteristics'!H:H,MATCH($C247,'Policy Characteristics'!$C:$C,0))),"",INDEX('Policy Characteristics'!H:H,MATCH($C247,'Policy Characteristics'!$C:$C,0)))</f>
        <v>1</v>
      </c>
      <c r="O247" s="275" t="str">
        <f>IF(ISBLANK(INDEX('Policy Characteristics'!I:I,MATCH($C247,'Policy Characteristics'!$C:$C,0))),"",INDEX('Policy Characteristics'!I:I,MATCH($C247,'Policy Characteristics'!$C:$C,0)))</f>
        <v>on/off</v>
      </c>
      <c r="P247" s="275" t="str">
        <f>IF(ISBLANK(INDEX('Policy Characteristics'!J:J,MATCH($C247,'Policy Characteristics'!$C:$C,0))),"",INDEX('Policy Characteristics'!J:J,MATCH($C247,'Policy Characteristics'!$C:$C,0)))</f>
        <v>**Description:** This policy prevents new capacity of the selected type(s) from being built or deployed.</v>
      </c>
      <c r="Q247" s="275" t="str">
        <f>IF(ISBLANK(INDEX('Policy Characteristics'!K:K,MATCH($C247,'Policy Characteristics'!$C:$C,0))),"",INDEX('Policy Characteristics'!K:K,MATCH($C247,'Policy Characteristics'!$C:$C,0)))</f>
        <v>electricity-sector-main.html#ban</v>
      </c>
      <c r="R247" s="275" t="str">
        <f>IF(ISBLANK(INDEX('Policy Characteristics'!L:L,MATCH($C247,'Policy Characteristics'!$C:$C,0))),"",INDEX('Policy Characteristics'!L:L,MATCH($C247,'Policy Characteristics'!$C:$C,0)))</f>
        <v>ban-new-capacity.html</v>
      </c>
    </row>
    <row r="248" spans="1:18" s="4" customFormat="1" x14ac:dyDescent="0.25">
      <c r="A248" s="275" t="str">
        <f>IF(ISBLANK(INDEX('Policy Characteristics'!A:A,MATCH($C248,'Policy Characteristics'!$C:$C,0))),"",INDEX('Policy Characteristics'!A:A,MATCH($C248,'Policy Characteristics'!$C:$C,0)))</f>
        <v>Electricity Supply</v>
      </c>
      <c r="B248" s="284" t="str">
        <f>IF(ISBLANK(INDEX('Policy Characteristics'!B:B,MATCH($C248,'Policy Characteristics'!$C:$C,0))),"",INDEX('Policy Characteristics'!B:B,MATCH($C248,'Policy Characteristics'!$C:$C,0)))</f>
        <v>Ban New Power Plants</v>
      </c>
      <c r="C248" s="275" t="str">
        <f t="shared" si="16"/>
        <v>Boolean Ban New Power Plants</v>
      </c>
      <c r="D248" s="6" t="s">
        <v>445</v>
      </c>
      <c r="E248" s="47"/>
      <c r="F248" s="6" t="s">
        <v>444</v>
      </c>
      <c r="G248" s="47"/>
      <c r="H248" s="44">
        <v>116</v>
      </c>
      <c r="I248" s="346" t="s">
        <v>43</v>
      </c>
      <c r="J248" s="276" t="str">
        <f>IF(ISBLANK(INDEX('Policy Characteristics'!D:D,MATCH($C248,'Policy Characteristics'!$C:$C,0))),"",INDEX('Policy Characteristics'!D:D,MATCH($C248,'Policy Characteristics'!$C:$C,0)))</f>
        <v>Ban New Power Plants</v>
      </c>
      <c r="K248" s="275" t="str">
        <f>IF(ISBLANK(INDEX('Policy Characteristics'!E:E,MATCH($C248,'Policy Characteristics'!$C:$C,0))),"",INDEX('Policy Characteristics'!E:E,MATCH($C248,'Policy Characteristics'!$C:$C,0)))</f>
        <v>elec ban new power plants</v>
      </c>
      <c r="L248" s="275">
        <f>IF(ISBLANK(INDEX('Policy Characteristics'!F:F,MATCH($C248,'Policy Characteristics'!$C:$C,0))),"",INDEX('Policy Characteristics'!F:F,MATCH($C248,'Policy Characteristics'!$C:$C,0)))</f>
        <v>0</v>
      </c>
      <c r="M248" s="275">
        <f>IF(ISBLANK(INDEX('Policy Characteristics'!G:G,MATCH($C248,'Policy Characteristics'!$C:$C,0))),"",INDEX('Policy Characteristics'!G:G,MATCH($C248,'Policy Characteristics'!$C:$C,0)))</f>
        <v>1</v>
      </c>
      <c r="N248" s="275">
        <f>IF(ISBLANK(INDEX('Policy Characteristics'!H:H,MATCH($C248,'Policy Characteristics'!$C:$C,0))),"",INDEX('Policy Characteristics'!H:H,MATCH($C248,'Policy Characteristics'!$C:$C,0)))</f>
        <v>1</v>
      </c>
      <c r="O248" s="275" t="str">
        <f>IF(ISBLANK(INDEX('Policy Characteristics'!I:I,MATCH($C248,'Policy Characteristics'!$C:$C,0))),"",INDEX('Policy Characteristics'!I:I,MATCH($C248,'Policy Characteristics'!$C:$C,0)))</f>
        <v>on/off</v>
      </c>
      <c r="P248" s="275" t="str">
        <f>IF(ISBLANK(INDEX('Policy Characteristics'!J:J,MATCH($C248,'Policy Characteristics'!$C:$C,0))),"",INDEX('Policy Characteristics'!J:J,MATCH($C248,'Policy Characteristics'!$C:$C,0)))</f>
        <v>**Description:** This policy prevents new capacity of the selected type(s) from being built or deployed.</v>
      </c>
      <c r="Q248" s="275" t="str">
        <f>IF(ISBLANK(INDEX('Policy Characteristics'!K:K,MATCH($C248,'Policy Characteristics'!$C:$C,0))),"",INDEX('Policy Characteristics'!K:K,MATCH($C248,'Policy Characteristics'!$C:$C,0)))</f>
        <v>electricity-sector-main.html#ban</v>
      </c>
      <c r="R248" s="275" t="str">
        <f>IF(ISBLANK(INDEX('Policy Characteristics'!L:L,MATCH($C248,'Policy Characteristics'!$C:$C,0))),"",INDEX('Policy Characteristics'!L:L,MATCH($C248,'Policy Characteristics'!$C:$C,0)))</f>
        <v>ban-new-capacity.html</v>
      </c>
    </row>
    <row r="249" spans="1:18" s="4" customFormat="1" x14ac:dyDescent="0.25">
      <c r="A249" s="275" t="str">
        <f>IF(ISBLANK(INDEX('Policy Characteristics'!A:A,MATCH($C249,'Policy Characteristics'!$C:$C,0))),"",INDEX('Policy Characteristics'!A:A,MATCH($C249,'Policy Characteristics'!$C:$C,0)))</f>
        <v>Electricity Supply</v>
      </c>
      <c r="B249" s="284" t="str">
        <f>IF(ISBLANK(INDEX('Policy Characteristics'!B:B,MATCH($C249,'Policy Characteristics'!$C:$C,0))),"",INDEX('Policy Characteristics'!B:B,MATCH($C249,'Policy Characteristics'!$C:$C,0)))</f>
        <v>Ban New Power Plants</v>
      </c>
      <c r="C249" s="275" t="str">
        <f t="shared" si="17"/>
        <v>Boolean Ban New Power Plants</v>
      </c>
      <c r="D249" s="6" t="s">
        <v>454</v>
      </c>
      <c r="E249" s="47"/>
      <c r="F249" s="6" t="s">
        <v>455</v>
      </c>
      <c r="G249" s="47"/>
      <c r="H249" s="44">
        <v>615</v>
      </c>
      <c r="I249" s="346" t="s">
        <v>44</v>
      </c>
      <c r="J249" s="276" t="str">
        <f>IF(ISBLANK(INDEX('Policy Characteristics'!D:D,MATCH($C249,'Policy Characteristics'!$C:$C,0))),"",INDEX('Policy Characteristics'!D:D,MATCH($C249,'Policy Characteristics'!$C:$C,0)))</f>
        <v>Ban New Power Plants</v>
      </c>
      <c r="K249" s="275" t="str">
        <f>IF(ISBLANK(INDEX('Policy Characteristics'!E:E,MATCH($C249,'Policy Characteristics'!$C:$C,0))),"",INDEX('Policy Characteristics'!E:E,MATCH($C249,'Policy Characteristics'!$C:$C,0)))</f>
        <v>elec ban new power plants</v>
      </c>
      <c r="L249" s="275">
        <f>IF(ISBLANK(INDEX('Policy Characteristics'!F:F,MATCH($C249,'Policy Characteristics'!$C:$C,0))),"",INDEX('Policy Characteristics'!F:F,MATCH($C249,'Policy Characteristics'!$C:$C,0)))</f>
        <v>0</v>
      </c>
      <c r="M249" s="275">
        <f>IF(ISBLANK(INDEX('Policy Characteristics'!G:G,MATCH($C249,'Policy Characteristics'!$C:$C,0))),"",INDEX('Policy Characteristics'!G:G,MATCH($C249,'Policy Characteristics'!$C:$C,0)))</f>
        <v>1</v>
      </c>
      <c r="N249" s="275">
        <f>IF(ISBLANK(INDEX('Policy Characteristics'!H:H,MATCH($C249,'Policy Characteristics'!$C:$C,0))),"",INDEX('Policy Characteristics'!H:H,MATCH($C249,'Policy Characteristics'!$C:$C,0)))</f>
        <v>1</v>
      </c>
      <c r="O249" s="275" t="str">
        <f>IF(ISBLANK(INDEX('Policy Characteristics'!I:I,MATCH($C249,'Policy Characteristics'!$C:$C,0))),"",INDEX('Policy Characteristics'!I:I,MATCH($C249,'Policy Characteristics'!$C:$C,0)))</f>
        <v>on/off</v>
      </c>
      <c r="P249" s="275" t="str">
        <f>IF(ISBLANK(INDEX('Policy Characteristics'!J:J,MATCH($C249,'Policy Characteristics'!$C:$C,0))),"",INDEX('Policy Characteristics'!J:J,MATCH($C249,'Policy Characteristics'!$C:$C,0)))</f>
        <v>**Description:** This policy prevents new capacity of the selected type(s) from being built or deployed.</v>
      </c>
      <c r="Q249" s="275" t="str">
        <f>IF(ISBLANK(INDEX('Policy Characteristics'!K:K,MATCH($C249,'Policy Characteristics'!$C:$C,0))),"",INDEX('Policy Characteristics'!K:K,MATCH($C249,'Policy Characteristics'!$C:$C,0)))</f>
        <v>electricity-sector-main.html#ban</v>
      </c>
      <c r="R249" s="275" t="str">
        <f>IF(ISBLANK(INDEX('Policy Characteristics'!L:L,MATCH($C249,'Policy Characteristics'!$C:$C,0))),"",INDEX('Policy Characteristics'!L:L,MATCH($C249,'Policy Characteristics'!$C:$C,0)))</f>
        <v>ban-new-capacity.html</v>
      </c>
    </row>
    <row r="250" spans="1:18" s="4" customFormat="1" x14ac:dyDescent="0.25">
      <c r="A250" s="275" t="str">
        <f>IF(ISBLANK(INDEX('Policy Characteristics'!A:A,MATCH($C250,'Policy Characteristics'!$C:$C,0))),"",INDEX('Policy Characteristics'!A:A,MATCH($C250,'Policy Characteristics'!$C:$C,0)))</f>
        <v>Electricity Supply</v>
      </c>
      <c r="B250" s="284" t="str">
        <f>IF(ISBLANK(INDEX('Policy Characteristics'!B:B,MATCH($C250,'Policy Characteristics'!$C:$C,0))),"",INDEX('Policy Characteristics'!B:B,MATCH($C250,'Policy Characteristics'!$C:$C,0)))</f>
        <v>Ban New Power Plants</v>
      </c>
      <c r="C250" s="275" t="str">
        <f t="shared" si="17"/>
        <v>Boolean Ban New Power Plants</v>
      </c>
      <c r="D250" s="6" t="s">
        <v>2752</v>
      </c>
      <c r="E250" s="47"/>
      <c r="F250" s="6" t="s">
        <v>2471</v>
      </c>
      <c r="G250" s="47"/>
      <c r="H250" s="44">
        <v>616</v>
      </c>
      <c r="I250" s="346" t="s">
        <v>44</v>
      </c>
      <c r="J250" s="276" t="str">
        <f>IF(ISBLANK(INDEX('Policy Characteristics'!D:D,MATCH($C250,'Policy Characteristics'!$C:$C,0))),"",INDEX('Policy Characteristics'!D:D,MATCH($C250,'Policy Characteristics'!$C:$C,0)))</f>
        <v>Ban New Power Plants</v>
      </c>
      <c r="K250" s="275" t="str">
        <f>IF(ISBLANK(INDEX('Policy Characteristics'!E:E,MATCH($C250,'Policy Characteristics'!$C:$C,0))),"",INDEX('Policy Characteristics'!E:E,MATCH($C250,'Policy Characteristics'!$C:$C,0)))</f>
        <v>elec ban new power plants</v>
      </c>
      <c r="L250" s="275">
        <f>IF(ISBLANK(INDEX('Policy Characteristics'!F:F,MATCH($C250,'Policy Characteristics'!$C:$C,0))),"",INDEX('Policy Characteristics'!F:F,MATCH($C250,'Policy Characteristics'!$C:$C,0)))</f>
        <v>0</v>
      </c>
      <c r="M250" s="275">
        <f>IF(ISBLANK(INDEX('Policy Characteristics'!G:G,MATCH($C250,'Policy Characteristics'!$C:$C,0))),"",INDEX('Policy Characteristics'!G:G,MATCH($C250,'Policy Characteristics'!$C:$C,0)))</f>
        <v>1</v>
      </c>
      <c r="N250" s="275">
        <f>IF(ISBLANK(INDEX('Policy Characteristics'!H:H,MATCH($C250,'Policy Characteristics'!$C:$C,0))),"",INDEX('Policy Characteristics'!H:H,MATCH($C250,'Policy Characteristics'!$C:$C,0)))</f>
        <v>1</v>
      </c>
      <c r="O250" s="275" t="str">
        <f>IF(ISBLANK(INDEX('Policy Characteristics'!I:I,MATCH($C250,'Policy Characteristics'!$C:$C,0))),"",INDEX('Policy Characteristics'!I:I,MATCH($C250,'Policy Characteristics'!$C:$C,0)))</f>
        <v>on/off</v>
      </c>
      <c r="P250" s="275" t="str">
        <f>IF(ISBLANK(INDEX('Policy Characteristics'!J:J,MATCH($C250,'Policy Characteristics'!$C:$C,0))),"",INDEX('Policy Characteristics'!J:J,MATCH($C250,'Policy Characteristics'!$C:$C,0)))</f>
        <v>**Description:** This policy prevents new capacity of the selected type(s) from being built or deployed.</v>
      </c>
      <c r="Q250" s="275" t="str">
        <f>IF(ISBLANK(INDEX('Policy Characteristics'!K:K,MATCH($C250,'Policy Characteristics'!$C:$C,0))),"",INDEX('Policy Characteristics'!K:K,MATCH($C250,'Policy Characteristics'!$C:$C,0)))</f>
        <v>electricity-sector-main.html#ban</v>
      </c>
      <c r="R250" s="275" t="str">
        <f>IF(ISBLANK(INDEX('Policy Characteristics'!L:L,MATCH($C250,'Policy Characteristics'!$C:$C,0))),"",INDEX('Policy Characteristics'!L:L,MATCH($C250,'Policy Characteristics'!$C:$C,0)))</f>
        <v>ban-new-capacity.html</v>
      </c>
    </row>
    <row r="251" spans="1:18" s="4" customFormat="1" x14ac:dyDescent="0.25">
      <c r="A251" s="275" t="str">
        <f>IF(ISBLANK(INDEX('Policy Characteristics'!A:A,MATCH($C251,'Policy Characteristics'!$C:$C,0))),"",INDEX('Policy Characteristics'!A:A,MATCH($C251,'Policy Characteristics'!$C:$C,0)))</f>
        <v>Electricity Supply</v>
      </c>
      <c r="B251" s="284" t="str">
        <f>IF(ISBLANK(INDEX('Policy Characteristics'!B:B,MATCH($C251,'Policy Characteristics'!$C:$C,0))),"",INDEX('Policy Characteristics'!B:B,MATCH($C251,'Policy Characteristics'!$C:$C,0)))</f>
        <v>Ban New Power Plants</v>
      </c>
      <c r="C251" s="275" t="str">
        <f t="shared" si="17"/>
        <v>Boolean Ban New Power Plants</v>
      </c>
      <c r="D251" s="6" t="s">
        <v>2753</v>
      </c>
      <c r="E251" s="47"/>
      <c r="F251" s="6" t="s">
        <v>2595</v>
      </c>
      <c r="G251" s="47"/>
      <c r="H251" s="44">
        <v>617</v>
      </c>
      <c r="I251" s="346" t="s">
        <v>44</v>
      </c>
      <c r="J251" s="276" t="str">
        <f>IF(ISBLANK(INDEX('Policy Characteristics'!D:D,MATCH($C251,'Policy Characteristics'!$C:$C,0))),"",INDEX('Policy Characteristics'!D:D,MATCH($C251,'Policy Characteristics'!$C:$C,0)))</f>
        <v>Ban New Power Plants</v>
      </c>
      <c r="K251" s="275" t="str">
        <f>IF(ISBLANK(INDEX('Policy Characteristics'!E:E,MATCH($C251,'Policy Characteristics'!$C:$C,0))),"",INDEX('Policy Characteristics'!E:E,MATCH($C251,'Policy Characteristics'!$C:$C,0)))</f>
        <v>elec ban new power plants</v>
      </c>
      <c r="L251" s="275">
        <f>IF(ISBLANK(INDEX('Policy Characteristics'!F:F,MATCH($C251,'Policy Characteristics'!$C:$C,0))),"",INDEX('Policy Characteristics'!F:F,MATCH($C251,'Policy Characteristics'!$C:$C,0)))</f>
        <v>0</v>
      </c>
      <c r="M251" s="275">
        <f>IF(ISBLANK(INDEX('Policy Characteristics'!G:G,MATCH($C251,'Policy Characteristics'!$C:$C,0))),"",INDEX('Policy Characteristics'!G:G,MATCH($C251,'Policy Characteristics'!$C:$C,0)))</f>
        <v>1</v>
      </c>
      <c r="N251" s="275">
        <f>IF(ISBLANK(INDEX('Policy Characteristics'!H:H,MATCH($C251,'Policy Characteristics'!$C:$C,0))),"",INDEX('Policy Characteristics'!H:H,MATCH($C251,'Policy Characteristics'!$C:$C,0)))</f>
        <v>1</v>
      </c>
      <c r="O251" s="275" t="str">
        <f>IF(ISBLANK(INDEX('Policy Characteristics'!I:I,MATCH($C251,'Policy Characteristics'!$C:$C,0))),"",INDEX('Policy Characteristics'!I:I,MATCH($C251,'Policy Characteristics'!$C:$C,0)))</f>
        <v>on/off</v>
      </c>
      <c r="P251" s="275" t="str">
        <f>IF(ISBLANK(INDEX('Policy Characteristics'!J:J,MATCH($C251,'Policy Characteristics'!$C:$C,0))),"",INDEX('Policy Characteristics'!J:J,MATCH($C251,'Policy Characteristics'!$C:$C,0)))</f>
        <v>**Description:** This policy prevents new capacity of the selected type(s) from being built or deployed.</v>
      </c>
      <c r="Q251" s="275" t="str">
        <f>IF(ISBLANK(INDEX('Policy Characteristics'!K:K,MATCH($C251,'Policy Characteristics'!$C:$C,0))),"",INDEX('Policy Characteristics'!K:K,MATCH($C251,'Policy Characteristics'!$C:$C,0)))</f>
        <v>electricity-sector-main.html#ban</v>
      </c>
      <c r="R251" s="275" t="str">
        <f>IF(ISBLANK(INDEX('Policy Characteristics'!L:L,MATCH($C251,'Policy Characteristics'!$C:$C,0))),"",INDEX('Policy Characteristics'!L:L,MATCH($C251,'Policy Characteristics'!$C:$C,0)))</f>
        <v>ban-new-capacity.html</v>
      </c>
    </row>
    <row r="252" spans="1:18" s="4" customFormat="1" x14ac:dyDescent="0.25">
      <c r="A252" s="275" t="str">
        <f>IF(ISBLANK(INDEX('Policy Characteristics'!A:A,MATCH($C252,'Policy Characteristics'!$C:$C,0))),"",INDEX('Policy Characteristics'!A:A,MATCH($C252,'Policy Characteristics'!$C:$C,0)))</f>
        <v>Electricity Supply</v>
      </c>
      <c r="B252" s="284" t="str">
        <f>IF(ISBLANK(INDEX('Policy Characteristics'!B:B,MATCH($C252,'Policy Characteristics'!$C:$C,0))),"",INDEX('Policy Characteristics'!B:B,MATCH($C252,'Policy Characteristics'!$C:$C,0)))</f>
        <v>Ban New Power Plants</v>
      </c>
      <c r="C252" s="275" t="str">
        <f t="shared" si="17"/>
        <v>Boolean Ban New Power Plants</v>
      </c>
      <c r="D252" s="6" t="s">
        <v>2754</v>
      </c>
      <c r="E252" s="47"/>
      <c r="F252" s="6" t="s">
        <v>2473</v>
      </c>
      <c r="G252" s="47"/>
      <c r="H252" s="44">
        <v>618</v>
      </c>
      <c r="I252" s="346" t="s">
        <v>44</v>
      </c>
      <c r="J252" s="276" t="str">
        <f>IF(ISBLANK(INDEX('Policy Characteristics'!D:D,MATCH($C252,'Policy Characteristics'!$C:$C,0))),"",INDEX('Policy Characteristics'!D:D,MATCH($C252,'Policy Characteristics'!$C:$C,0)))</f>
        <v>Ban New Power Plants</v>
      </c>
      <c r="K252" s="275" t="str">
        <f>IF(ISBLANK(INDEX('Policy Characteristics'!E:E,MATCH($C252,'Policy Characteristics'!$C:$C,0))),"",INDEX('Policy Characteristics'!E:E,MATCH($C252,'Policy Characteristics'!$C:$C,0)))</f>
        <v>elec ban new power plants</v>
      </c>
      <c r="L252" s="275">
        <f>IF(ISBLANK(INDEX('Policy Characteristics'!F:F,MATCH($C252,'Policy Characteristics'!$C:$C,0))),"",INDEX('Policy Characteristics'!F:F,MATCH($C252,'Policy Characteristics'!$C:$C,0)))</f>
        <v>0</v>
      </c>
      <c r="M252" s="275">
        <f>IF(ISBLANK(INDEX('Policy Characteristics'!G:G,MATCH($C252,'Policy Characteristics'!$C:$C,0))),"",INDEX('Policy Characteristics'!G:G,MATCH($C252,'Policy Characteristics'!$C:$C,0)))</f>
        <v>1</v>
      </c>
      <c r="N252" s="275">
        <f>IF(ISBLANK(INDEX('Policy Characteristics'!H:H,MATCH($C252,'Policy Characteristics'!$C:$C,0))),"",INDEX('Policy Characteristics'!H:H,MATCH($C252,'Policy Characteristics'!$C:$C,0)))</f>
        <v>1</v>
      </c>
      <c r="O252" s="275" t="str">
        <f>IF(ISBLANK(INDEX('Policy Characteristics'!I:I,MATCH($C252,'Policy Characteristics'!$C:$C,0))),"",INDEX('Policy Characteristics'!I:I,MATCH($C252,'Policy Characteristics'!$C:$C,0)))</f>
        <v>on/off</v>
      </c>
      <c r="P252" s="275" t="str">
        <f>IF(ISBLANK(INDEX('Policy Characteristics'!J:J,MATCH($C252,'Policy Characteristics'!$C:$C,0))),"",INDEX('Policy Characteristics'!J:J,MATCH($C252,'Policy Characteristics'!$C:$C,0)))</f>
        <v>**Description:** This policy prevents new capacity of the selected type(s) from being built or deployed.</v>
      </c>
      <c r="Q252" s="275" t="str">
        <f>IF(ISBLANK(INDEX('Policy Characteristics'!K:K,MATCH($C252,'Policy Characteristics'!$C:$C,0))),"",INDEX('Policy Characteristics'!K:K,MATCH($C252,'Policy Characteristics'!$C:$C,0)))</f>
        <v>electricity-sector-main.html#ban</v>
      </c>
      <c r="R252" s="275" t="str">
        <f>IF(ISBLANK(INDEX('Policy Characteristics'!L:L,MATCH($C252,'Policy Characteristics'!$C:$C,0))),"",INDEX('Policy Characteristics'!L:L,MATCH($C252,'Policy Characteristics'!$C:$C,0)))</f>
        <v>ban-new-capacity.html</v>
      </c>
    </row>
    <row r="253" spans="1:18" s="4" customFormat="1" x14ac:dyDescent="0.25">
      <c r="A253" s="275" t="str">
        <f>IF(ISBLANK(INDEX('Policy Characteristics'!A:A,MATCH($C253,'Policy Characteristics'!$C:$C,0))),"",INDEX('Policy Characteristics'!A:A,MATCH($C253,'Policy Characteristics'!$C:$C,0)))</f>
        <v>Electricity Supply</v>
      </c>
      <c r="B253" s="284" t="str">
        <f>IF(ISBLANK(INDEX('Policy Characteristics'!B:B,MATCH($C253,'Policy Characteristics'!$C:$C,0))),"",INDEX('Policy Characteristics'!B:B,MATCH($C253,'Policy Characteristics'!$C:$C,0)))</f>
        <v>Ban New Power Plants</v>
      </c>
      <c r="C253" s="275" t="str">
        <f t="shared" si="17"/>
        <v>Boolean Ban New Power Plants</v>
      </c>
      <c r="D253" s="6" t="s">
        <v>3519</v>
      </c>
      <c r="E253" s="47"/>
      <c r="F253" s="6" t="s">
        <v>3526</v>
      </c>
      <c r="G253" s="47"/>
      <c r="H253" s="44">
        <v>1747</v>
      </c>
      <c r="I253" s="346" t="s">
        <v>43</v>
      </c>
      <c r="J253" s="276" t="str">
        <f>IF(ISBLANK(INDEX('Policy Characteristics'!D:D,MATCH($C253,'Policy Characteristics'!$C:$C,0))),"",INDEX('Policy Characteristics'!D:D,MATCH($C253,'Policy Characteristics'!$C:$C,0)))</f>
        <v>Ban New Power Plants</v>
      </c>
      <c r="K253" s="275" t="str">
        <f>IF(ISBLANK(INDEX('Policy Characteristics'!E:E,MATCH($C253,'Policy Characteristics'!$C:$C,0))),"",INDEX('Policy Characteristics'!E:E,MATCH($C253,'Policy Characteristics'!$C:$C,0)))</f>
        <v>elec ban new power plants</v>
      </c>
      <c r="L253" s="275">
        <f>IF(ISBLANK(INDEX('Policy Characteristics'!F:F,MATCH($C253,'Policy Characteristics'!$C:$C,0))),"",INDEX('Policy Characteristics'!F:F,MATCH($C253,'Policy Characteristics'!$C:$C,0)))</f>
        <v>0</v>
      </c>
      <c r="M253" s="275">
        <f>IF(ISBLANK(INDEX('Policy Characteristics'!G:G,MATCH($C253,'Policy Characteristics'!$C:$C,0))),"",INDEX('Policy Characteristics'!G:G,MATCH($C253,'Policy Characteristics'!$C:$C,0)))</f>
        <v>1</v>
      </c>
      <c r="N253" s="275">
        <f>IF(ISBLANK(INDEX('Policy Characteristics'!H:H,MATCH($C253,'Policy Characteristics'!$C:$C,0))),"",INDEX('Policy Characteristics'!H:H,MATCH($C253,'Policy Characteristics'!$C:$C,0)))</f>
        <v>1</v>
      </c>
      <c r="O253" s="275" t="str">
        <f>IF(ISBLANK(INDEX('Policy Characteristics'!I:I,MATCH($C253,'Policy Characteristics'!$C:$C,0))),"",INDEX('Policy Characteristics'!I:I,MATCH($C253,'Policy Characteristics'!$C:$C,0)))</f>
        <v>on/off</v>
      </c>
      <c r="P253" s="275" t="str">
        <f>IF(ISBLANK(INDEX('Policy Characteristics'!J:J,MATCH($C253,'Policy Characteristics'!$C:$C,0))),"",INDEX('Policy Characteristics'!J:J,MATCH($C253,'Policy Characteristics'!$C:$C,0)))</f>
        <v>**Description:** This policy prevents new capacity of the selected type(s) from being built or deployed.</v>
      </c>
      <c r="Q253" s="275" t="str">
        <f>IF(ISBLANK(INDEX('Policy Characteristics'!K:K,MATCH($C253,'Policy Characteristics'!$C:$C,0))),"",INDEX('Policy Characteristics'!K:K,MATCH($C253,'Policy Characteristics'!$C:$C,0)))</f>
        <v>electricity-sector-main.html#ban</v>
      </c>
      <c r="R253" s="275" t="str">
        <f>IF(ISBLANK(INDEX('Policy Characteristics'!L:L,MATCH($C253,'Policy Characteristics'!$C:$C,0))),"",INDEX('Policy Characteristics'!L:L,MATCH($C253,'Policy Characteristics'!$C:$C,0)))</f>
        <v>ban-new-capacity.html</v>
      </c>
    </row>
    <row r="254" spans="1:18" s="4" customFormat="1" x14ac:dyDescent="0.25">
      <c r="A254" s="275" t="str">
        <f>IF(ISBLANK(INDEX('Policy Characteristics'!A:A,MATCH($C254,'Policy Characteristics'!$C:$C,0))),"",INDEX('Policy Characteristics'!A:A,MATCH($C254,'Policy Characteristics'!$C:$C,0)))</f>
        <v>Electricity Supply</v>
      </c>
      <c r="B254" s="284" t="str">
        <f>IF(ISBLANK(INDEX('Policy Characteristics'!B:B,MATCH($C254,'Policy Characteristics'!$C:$C,0))),"",INDEX('Policy Characteristics'!B:B,MATCH($C254,'Policy Characteristics'!$C:$C,0)))</f>
        <v>Ban New Power Plants</v>
      </c>
      <c r="C254" s="275" t="str">
        <f t="shared" si="17"/>
        <v>Boolean Ban New Power Plants</v>
      </c>
      <c r="D254" s="6" t="s">
        <v>3522</v>
      </c>
      <c r="E254" s="47"/>
      <c r="F254" s="6" t="s">
        <v>3527</v>
      </c>
      <c r="G254" s="47"/>
      <c r="H254" s="44">
        <v>1748</v>
      </c>
      <c r="I254" s="346" t="s">
        <v>43</v>
      </c>
      <c r="J254" s="276" t="str">
        <f>IF(ISBLANK(INDEX('Policy Characteristics'!D:D,MATCH($C254,'Policy Characteristics'!$C:$C,0))),"",INDEX('Policy Characteristics'!D:D,MATCH($C254,'Policy Characteristics'!$C:$C,0)))</f>
        <v>Ban New Power Plants</v>
      </c>
      <c r="K254" s="275" t="str">
        <f>IF(ISBLANK(INDEX('Policy Characteristics'!E:E,MATCH($C254,'Policy Characteristics'!$C:$C,0))),"",INDEX('Policy Characteristics'!E:E,MATCH($C254,'Policy Characteristics'!$C:$C,0)))</f>
        <v>elec ban new power plants</v>
      </c>
      <c r="L254" s="275">
        <f>IF(ISBLANK(INDEX('Policy Characteristics'!F:F,MATCH($C254,'Policy Characteristics'!$C:$C,0))),"",INDEX('Policy Characteristics'!F:F,MATCH($C254,'Policy Characteristics'!$C:$C,0)))</f>
        <v>0</v>
      </c>
      <c r="M254" s="275">
        <f>IF(ISBLANK(INDEX('Policy Characteristics'!G:G,MATCH($C254,'Policy Characteristics'!$C:$C,0))),"",INDEX('Policy Characteristics'!G:G,MATCH($C254,'Policy Characteristics'!$C:$C,0)))</f>
        <v>1</v>
      </c>
      <c r="N254" s="275">
        <f>IF(ISBLANK(INDEX('Policy Characteristics'!H:H,MATCH($C254,'Policy Characteristics'!$C:$C,0))),"",INDEX('Policy Characteristics'!H:H,MATCH($C254,'Policy Characteristics'!$C:$C,0)))</f>
        <v>1</v>
      </c>
      <c r="O254" s="275" t="str">
        <f>IF(ISBLANK(INDEX('Policy Characteristics'!I:I,MATCH($C254,'Policy Characteristics'!$C:$C,0))),"",INDEX('Policy Characteristics'!I:I,MATCH($C254,'Policy Characteristics'!$C:$C,0)))</f>
        <v>on/off</v>
      </c>
      <c r="P254" s="275" t="str">
        <f>IF(ISBLANK(INDEX('Policy Characteristics'!J:J,MATCH($C254,'Policy Characteristics'!$C:$C,0))),"",INDEX('Policy Characteristics'!J:J,MATCH($C254,'Policy Characteristics'!$C:$C,0)))</f>
        <v>**Description:** This policy prevents new capacity of the selected type(s) from being built or deployed.</v>
      </c>
      <c r="Q254" s="275" t="str">
        <f>IF(ISBLANK(INDEX('Policy Characteristics'!K:K,MATCH($C254,'Policy Characteristics'!$C:$C,0))),"",INDEX('Policy Characteristics'!K:K,MATCH($C254,'Policy Characteristics'!$C:$C,0)))</f>
        <v>electricity-sector-main.html#ban</v>
      </c>
      <c r="R254" s="275" t="str">
        <f>IF(ISBLANK(INDEX('Policy Characteristics'!L:L,MATCH($C254,'Policy Characteristics'!$C:$C,0))),"",INDEX('Policy Characteristics'!L:L,MATCH($C254,'Policy Characteristics'!$C:$C,0)))</f>
        <v>ban-new-capacity.html</v>
      </c>
    </row>
    <row r="255" spans="1:18" s="4" customFormat="1" x14ac:dyDescent="0.25">
      <c r="A255" s="275" t="str">
        <f>IF(ISBLANK(INDEX('Policy Characteristics'!A:A,MATCH($C255,'Policy Characteristics'!$C:$C,0))),"",INDEX('Policy Characteristics'!A:A,MATCH($C255,'Policy Characteristics'!$C:$C,0)))</f>
        <v>Electricity Supply</v>
      </c>
      <c r="B255" s="284" t="str">
        <f>IF(ISBLANK(INDEX('Policy Characteristics'!B:B,MATCH($C255,'Policy Characteristics'!$C:$C,0))),"",INDEX('Policy Characteristics'!B:B,MATCH($C255,'Policy Characteristics'!$C:$C,0)))</f>
        <v>Ban New Power Plants</v>
      </c>
      <c r="C255" s="275" t="str">
        <f t="shared" si="17"/>
        <v>Boolean Ban New Power Plants</v>
      </c>
      <c r="D255" s="6" t="s">
        <v>3523</v>
      </c>
      <c r="E255" s="47"/>
      <c r="F255" s="6" t="s">
        <v>3528</v>
      </c>
      <c r="G255" s="47"/>
      <c r="H255" s="44">
        <v>1749</v>
      </c>
      <c r="I255" s="346" t="s">
        <v>43</v>
      </c>
      <c r="J255" s="276" t="str">
        <f>IF(ISBLANK(INDEX('Policy Characteristics'!D:D,MATCH($C255,'Policy Characteristics'!$C:$C,0))),"",INDEX('Policy Characteristics'!D:D,MATCH($C255,'Policy Characteristics'!$C:$C,0)))</f>
        <v>Ban New Power Plants</v>
      </c>
      <c r="K255" s="275" t="str">
        <f>IF(ISBLANK(INDEX('Policy Characteristics'!E:E,MATCH($C255,'Policy Characteristics'!$C:$C,0))),"",INDEX('Policy Characteristics'!E:E,MATCH($C255,'Policy Characteristics'!$C:$C,0)))</f>
        <v>elec ban new power plants</v>
      </c>
      <c r="L255" s="275">
        <f>IF(ISBLANK(INDEX('Policy Characteristics'!F:F,MATCH($C255,'Policy Characteristics'!$C:$C,0))),"",INDEX('Policy Characteristics'!F:F,MATCH($C255,'Policy Characteristics'!$C:$C,0)))</f>
        <v>0</v>
      </c>
      <c r="M255" s="275">
        <f>IF(ISBLANK(INDEX('Policy Characteristics'!G:G,MATCH($C255,'Policy Characteristics'!$C:$C,0))),"",INDEX('Policy Characteristics'!G:G,MATCH($C255,'Policy Characteristics'!$C:$C,0)))</f>
        <v>1</v>
      </c>
      <c r="N255" s="275">
        <f>IF(ISBLANK(INDEX('Policy Characteristics'!H:H,MATCH($C255,'Policy Characteristics'!$C:$C,0))),"",INDEX('Policy Characteristics'!H:H,MATCH($C255,'Policy Characteristics'!$C:$C,0)))</f>
        <v>1</v>
      </c>
      <c r="O255" s="275" t="str">
        <f>IF(ISBLANK(INDEX('Policy Characteristics'!I:I,MATCH($C255,'Policy Characteristics'!$C:$C,0))),"",INDEX('Policy Characteristics'!I:I,MATCH($C255,'Policy Characteristics'!$C:$C,0)))</f>
        <v>on/off</v>
      </c>
      <c r="P255" s="275" t="str">
        <f>IF(ISBLANK(INDEX('Policy Characteristics'!J:J,MATCH($C255,'Policy Characteristics'!$C:$C,0))),"",INDEX('Policy Characteristics'!J:J,MATCH($C255,'Policy Characteristics'!$C:$C,0)))</f>
        <v>**Description:** This policy prevents new capacity of the selected type(s) from being built or deployed.</v>
      </c>
      <c r="Q255" s="275" t="str">
        <f>IF(ISBLANK(INDEX('Policy Characteristics'!K:K,MATCH($C255,'Policy Characteristics'!$C:$C,0))),"",INDEX('Policy Characteristics'!K:K,MATCH($C255,'Policy Characteristics'!$C:$C,0)))</f>
        <v>electricity-sector-main.html#ban</v>
      </c>
      <c r="R255" s="275" t="str">
        <f>IF(ISBLANK(INDEX('Policy Characteristics'!L:L,MATCH($C255,'Policy Characteristics'!$C:$C,0))),"",INDEX('Policy Characteristics'!L:L,MATCH($C255,'Policy Characteristics'!$C:$C,0)))</f>
        <v>ban-new-capacity.html</v>
      </c>
    </row>
    <row r="256" spans="1:18" s="4" customFormat="1" x14ac:dyDescent="0.25">
      <c r="A256" s="275" t="str">
        <f>IF(ISBLANK(INDEX('Policy Characteristics'!A:A,MATCH($C256,'Policy Characteristics'!$C:$C,0))),"",INDEX('Policy Characteristics'!A:A,MATCH($C256,'Policy Characteristics'!$C:$C,0)))</f>
        <v>Electricity Supply</v>
      </c>
      <c r="B256" s="284" t="str">
        <f>IF(ISBLANK(INDEX('Policy Characteristics'!B:B,MATCH($C256,'Policy Characteristics'!$C:$C,0))),"",INDEX('Policy Characteristics'!B:B,MATCH($C256,'Policy Characteristics'!$C:$C,0)))</f>
        <v>Ban New Power Plants</v>
      </c>
      <c r="C256" s="275" t="str">
        <f t="shared" si="17"/>
        <v>Boolean Ban New Power Plants</v>
      </c>
      <c r="D256" s="6" t="s">
        <v>3524</v>
      </c>
      <c r="E256" s="47"/>
      <c r="F256" s="6" t="s">
        <v>3529</v>
      </c>
      <c r="G256" s="47"/>
      <c r="H256" s="44">
        <v>1750</v>
      </c>
      <c r="I256" s="346" t="s">
        <v>43</v>
      </c>
      <c r="J256" s="276" t="str">
        <f>IF(ISBLANK(INDEX('Policy Characteristics'!D:D,MATCH($C256,'Policy Characteristics'!$C:$C,0))),"",INDEX('Policy Characteristics'!D:D,MATCH($C256,'Policy Characteristics'!$C:$C,0)))</f>
        <v>Ban New Power Plants</v>
      </c>
      <c r="K256" s="275" t="str">
        <f>IF(ISBLANK(INDEX('Policy Characteristics'!E:E,MATCH($C256,'Policy Characteristics'!$C:$C,0))),"",INDEX('Policy Characteristics'!E:E,MATCH($C256,'Policy Characteristics'!$C:$C,0)))</f>
        <v>elec ban new power plants</v>
      </c>
      <c r="L256" s="275">
        <f>IF(ISBLANK(INDEX('Policy Characteristics'!F:F,MATCH($C256,'Policy Characteristics'!$C:$C,0))),"",INDEX('Policy Characteristics'!F:F,MATCH($C256,'Policy Characteristics'!$C:$C,0)))</f>
        <v>0</v>
      </c>
      <c r="M256" s="275">
        <f>IF(ISBLANK(INDEX('Policy Characteristics'!G:G,MATCH($C256,'Policy Characteristics'!$C:$C,0))),"",INDEX('Policy Characteristics'!G:G,MATCH($C256,'Policy Characteristics'!$C:$C,0)))</f>
        <v>1</v>
      </c>
      <c r="N256" s="275">
        <f>IF(ISBLANK(INDEX('Policy Characteristics'!H:H,MATCH($C256,'Policy Characteristics'!$C:$C,0))),"",INDEX('Policy Characteristics'!H:H,MATCH($C256,'Policy Characteristics'!$C:$C,0)))</f>
        <v>1</v>
      </c>
      <c r="O256" s="275" t="str">
        <f>IF(ISBLANK(INDEX('Policy Characteristics'!I:I,MATCH($C256,'Policy Characteristics'!$C:$C,0))),"",INDEX('Policy Characteristics'!I:I,MATCH($C256,'Policy Characteristics'!$C:$C,0)))</f>
        <v>on/off</v>
      </c>
      <c r="P256" s="275" t="str">
        <f>IF(ISBLANK(INDEX('Policy Characteristics'!J:J,MATCH($C256,'Policy Characteristics'!$C:$C,0))),"",INDEX('Policy Characteristics'!J:J,MATCH($C256,'Policy Characteristics'!$C:$C,0)))</f>
        <v>**Description:** This policy prevents new capacity of the selected type(s) from being built or deployed.</v>
      </c>
      <c r="Q256" s="275" t="str">
        <f>IF(ISBLANK(INDEX('Policy Characteristics'!K:K,MATCH($C256,'Policy Characteristics'!$C:$C,0))),"",INDEX('Policy Characteristics'!K:K,MATCH($C256,'Policy Characteristics'!$C:$C,0)))</f>
        <v>electricity-sector-main.html#ban</v>
      </c>
      <c r="R256" s="275" t="str">
        <f>IF(ISBLANK(INDEX('Policy Characteristics'!L:L,MATCH($C256,'Policy Characteristics'!$C:$C,0))),"",INDEX('Policy Characteristics'!L:L,MATCH($C256,'Policy Characteristics'!$C:$C,0)))</f>
        <v>ban-new-capacity.html</v>
      </c>
    </row>
    <row r="257" spans="1:18" s="4" customFormat="1" x14ac:dyDescent="0.25">
      <c r="A257" s="275" t="str">
        <f>IF(ISBLANK(INDEX('Policy Characteristics'!A:A,MATCH($C257,'Policy Characteristics'!$C:$C,0))),"",INDEX('Policy Characteristics'!A:A,MATCH($C257,'Policy Characteristics'!$C:$C,0)))</f>
        <v>Electricity Supply</v>
      </c>
      <c r="B257" s="284" t="str">
        <f>IF(ISBLANK(INDEX('Policy Characteristics'!B:B,MATCH($C257,'Policy Characteristics'!$C:$C,0))),"",INDEX('Policy Characteristics'!B:B,MATCH($C257,'Policy Characteristics'!$C:$C,0)))</f>
        <v>Ban New Power Plants</v>
      </c>
      <c r="C257" s="275" t="str">
        <f t="shared" si="17"/>
        <v>Boolean Ban New Power Plants</v>
      </c>
      <c r="D257" s="6" t="s">
        <v>3525</v>
      </c>
      <c r="E257" s="47"/>
      <c r="F257" s="6" t="s">
        <v>3530</v>
      </c>
      <c r="G257" s="47"/>
      <c r="H257" s="44">
        <v>1751</v>
      </c>
      <c r="I257" s="346" t="s">
        <v>43</v>
      </c>
      <c r="J257" s="276" t="str">
        <f>IF(ISBLANK(INDEX('Policy Characteristics'!D:D,MATCH($C257,'Policy Characteristics'!$C:$C,0))),"",INDEX('Policy Characteristics'!D:D,MATCH($C257,'Policy Characteristics'!$C:$C,0)))</f>
        <v>Ban New Power Plants</v>
      </c>
      <c r="K257" s="275" t="str">
        <f>IF(ISBLANK(INDEX('Policy Characteristics'!E:E,MATCH($C257,'Policy Characteristics'!$C:$C,0))),"",INDEX('Policy Characteristics'!E:E,MATCH($C257,'Policy Characteristics'!$C:$C,0)))</f>
        <v>elec ban new power plants</v>
      </c>
      <c r="L257" s="275">
        <f>IF(ISBLANK(INDEX('Policy Characteristics'!F:F,MATCH($C257,'Policy Characteristics'!$C:$C,0))),"",INDEX('Policy Characteristics'!F:F,MATCH($C257,'Policy Characteristics'!$C:$C,0)))</f>
        <v>0</v>
      </c>
      <c r="M257" s="275">
        <f>IF(ISBLANK(INDEX('Policy Characteristics'!G:G,MATCH($C257,'Policy Characteristics'!$C:$C,0))),"",INDEX('Policy Characteristics'!G:G,MATCH($C257,'Policy Characteristics'!$C:$C,0)))</f>
        <v>1</v>
      </c>
      <c r="N257" s="275">
        <f>IF(ISBLANK(INDEX('Policy Characteristics'!H:H,MATCH($C257,'Policy Characteristics'!$C:$C,0))),"",INDEX('Policy Characteristics'!H:H,MATCH($C257,'Policy Characteristics'!$C:$C,0)))</f>
        <v>1</v>
      </c>
      <c r="O257" s="275" t="str">
        <f>IF(ISBLANK(INDEX('Policy Characteristics'!I:I,MATCH($C257,'Policy Characteristics'!$C:$C,0))),"",INDEX('Policy Characteristics'!I:I,MATCH($C257,'Policy Characteristics'!$C:$C,0)))</f>
        <v>on/off</v>
      </c>
      <c r="P257" s="275" t="str">
        <f>IF(ISBLANK(INDEX('Policy Characteristics'!J:J,MATCH($C257,'Policy Characteristics'!$C:$C,0))),"",INDEX('Policy Characteristics'!J:J,MATCH($C257,'Policy Characteristics'!$C:$C,0)))</f>
        <v>**Description:** This policy prevents new capacity of the selected type(s) from being built or deployed.</v>
      </c>
      <c r="Q257" s="275" t="str">
        <f>IF(ISBLANK(INDEX('Policy Characteristics'!K:K,MATCH($C257,'Policy Characteristics'!$C:$C,0))),"",INDEX('Policy Characteristics'!K:K,MATCH($C257,'Policy Characteristics'!$C:$C,0)))</f>
        <v>electricity-sector-main.html#ban</v>
      </c>
      <c r="R257" s="275" t="str">
        <f>IF(ISBLANK(INDEX('Policy Characteristics'!L:L,MATCH($C257,'Policy Characteristics'!$C:$C,0))),"",INDEX('Policy Characteristics'!L:L,MATCH($C257,'Policy Characteristics'!$C:$C,0)))</f>
        <v>ban-new-capacity.html</v>
      </c>
    </row>
    <row r="258" spans="1:18" s="4" customFormat="1" x14ac:dyDescent="0.25">
      <c r="A258" s="275" t="str">
        <f>IF(ISBLANK(INDEX('Policy Characteristics'!A:A,MATCH($C258,'Policy Characteristics'!$C:$C,0))),"",INDEX('Policy Characteristics'!A:A,MATCH($C258,'Policy Characteristics'!$C:$C,0)))</f>
        <v>Electricity Supply</v>
      </c>
      <c r="B258" s="284" t="str">
        <f>IF(ISBLANK(INDEX('Policy Characteristics'!B:B,MATCH($C258,'Policy Characteristics'!$C:$C,0))),"",INDEX('Policy Characteristics'!B:B,MATCH($C258,'Policy Characteristics'!$C:$C,0)))</f>
        <v>Ban New Power Plants</v>
      </c>
      <c r="C258" s="275" t="str">
        <f t="shared" si="17"/>
        <v>Boolean Ban New Power Plants</v>
      </c>
      <c r="D258" s="6" t="s">
        <v>3616</v>
      </c>
      <c r="E258" s="47"/>
      <c r="F258" s="6" t="s">
        <v>3614</v>
      </c>
      <c r="G258" s="47"/>
      <c r="H258" s="44">
        <v>1752</v>
      </c>
      <c r="I258" s="346" t="s">
        <v>43</v>
      </c>
      <c r="J258" s="276" t="str">
        <f>IF(ISBLANK(INDEX('Policy Characteristics'!D:D,MATCH($C258,'Policy Characteristics'!$C:$C,0))),"",INDEX('Policy Characteristics'!D:D,MATCH($C258,'Policy Characteristics'!$C:$C,0)))</f>
        <v>Ban New Power Plants</v>
      </c>
      <c r="K258" s="275" t="str">
        <f>IF(ISBLANK(INDEX('Policy Characteristics'!E:E,MATCH($C258,'Policy Characteristics'!$C:$C,0))),"",INDEX('Policy Characteristics'!E:E,MATCH($C258,'Policy Characteristics'!$C:$C,0)))</f>
        <v>elec ban new power plants</v>
      </c>
      <c r="L258" s="275">
        <f>IF(ISBLANK(INDEX('Policy Characteristics'!F:F,MATCH($C258,'Policy Characteristics'!$C:$C,0))),"",INDEX('Policy Characteristics'!F:F,MATCH($C258,'Policy Characteristics'!$C:$C,0)))</f>
        <v>0</v>
      </c>
      <c r="M258" s="275">
        <f>IF(ISBLANK(INDEX('Policy Characteristics'!G:G,MATCH($C258,'Policy Characteristics'!$C:$C,0))),"",INDEX('Policy Characteristics'!G:G,MATCH($C258,'Policy Characteristics'!$C:$C,0)))</f>
        <v>1</v>
      </c>
      <c r="N258" s="275">
        <f>IF(ISBLANK(INDEX('Policy Characteristics'!H:H,MATCH($C258,'Policy Characteristics'!$C:$C,0))),"",INDEX('Policy Characteristics'!H:H,MATCH($C258,'Policy Characteristics'!$C:$C,0)))</f>
        <v>1</v>
      </c>
      <c r="O258" s="275" t="str">
        <f>IF(ISBLANK(INDEX('Policy Characteristics'!I:I,MATCH($C258,'Policy Characteristics'!$C:$C,0))),"",INDEX('Policy Characteristics'!I:I,MATCH($C258,'Policy Characteristics'!$C:$C,0)))</f>
        <v>on/off</v>
      </c>
      <c r="P258" s="275" t="str">
        <f>IF(ISBLANK(INDEX('Policy Characteristics'!J:J,MATCH($C258,'Policy Characteristics'!$C:$C,0))),"",INDEX('Policy Characteristics'!J:J,MATCH($C258,'Policy Characteristics'!$C:$C,0)))</f>
        <v>**Description:** This policy prevents new capacity of the selected type(s) from being built or deployed.</v>
      </c>
      <c r="Q258" s="275" t="str">
        <f>IF(ISBLANK(INDEX('Policy Characteristics'!K:K,MATCH($C258,'Policy Characteristics'!$C:$C,0))),"",INDEX('Policy Characteristics'!K:K,MATCH($C258,'Policy Characteristics'!$C:$C,0)))</f>
        <v>electricity-sector-main.html#ban</v>
      </c>
      <c r="R258" s="275" t="str">
        <f>IF(ISBLANK(INDEX('Policy Characteristics'!L:L,MATCH($C258,'Policy Characteristics'!$C:$C,0))),"",INDEX('Policy Characteristics'!L:L,MATCH($C258,'Policy Characteristics'!$C:$C,0)))</f>
        <v>ban-new-capacity.html</v>
      </c>
    </row>
    <row r="259" spans="1:18" s="4" customFormat="1" x14ac:dyDescent="0.25">
      <c r="A259" s="275" t="str">
        <f>IF(ISBLANK(INDEX('Policy Characteristics'!A:A,MATCH($C259,'Policy Characteristics'!$C:$C,0))),"",INDEX('Policy Characteristics'!A:A,MATCH($C259,'Policy Characteristics'!$C:$C,0)))</f>
        <v>Electricity Supply</v>
      </c>
      <c r="B259" s="284" t="str">
        <f>IF(ISBLANK(INDEX('Policy Characteristics'!B:B,MATCH($C259,'Policy Characteristics'!$C:$C,0))),"",INDEX('Policy Characteristics'!B:B,MATCH($C259,'Policy Characteristics'!$C:$C,0)))</f>
        <v>Ban New Power Plants</v>
      </c>
      <c r="C259" s="275" t="str">
        <f t="shared" si="17"/>
        <v>Boolean Ban New Power Plants</v>
      </c>
      <c r="D259" s="6" t="s">
        <v>3617</v>
      </c>
      <c r="E259" s="47"/>
      <c r="F259" s="6" t="s">
        <v>3615</v>
      </c>
      <c r="G259" s="47"/>
      <c r="H259" s="44">
        <v>2236</v>
      </c>
      <c r="I259" s="346" t="s">
        <v>43</v>
      </c>
      <c r="J259" s="276" t="str">
        <f>IF(ISBLANK(INDEX('Policy Characteristics'!D:D,MATCH($C259,'Policy Characteristics'!$C:$C,0))),"",INDEX('Policy Characteristics'!D:D,MATCH($C259,'Policy Characteristics'!$C:$C,0)))</f>
        <v>Ban New Power Plants</v>
      </c>
      <c r="K259" s="275" t="str">
        <f>IF(ISBLANK(INDEX('Policy Characteristics'!E:E,MATCH($C259,'Policy Characteristics'!$C:$C,0))),"",INDEX('Policy Characteristics'!E:E,MATCH($C259,'Policy Characteristics'!$C:$C,0)))</f>
        <v>elec ban new power plants</v>
      </c>
      <c r="L259" s="275">
        <f>IF(ISBLANK(INDEX('Policy Characteristics'!F:F,MATCH($C259,'Policy Characteristics'!$C:$C,0))),"",INDEX('Policy Characteristics'!F:F,MATCH($C259,'Policy Characteristics'!$C:$C,0)))</f>
        <v>0</v>
      </c>
      <c r="M259" s="275">
        <f>IF(ISBLANK(INDEX('Policy Characteristics'!G:G,MATCH($C259,'Policy Characteristics'!$C:$C,0))),"",INDEX('Policy Characteristics'!G:G,MATCH($C259,'Policy Characteristics'!$C:$C,0)))</f>
        <v>1</v>
      </c>
      <c r="N259" s="275">
        <f>IF(ISBLANK(INDEX('Policy Characteristics'!H:H,MATCH($C259,'Policy Characteristics'!$C:$C,0))),"",INDEX('Policy Characteristics'!H:H,MATCH($C259,'Policy Characteristics'!$C:$C,0)))</f>
        <v>1</v>
      </c>
      <c r="O259" s="275" t="str">
        <f>IF(ISBLANK(INDEX('Policy Characteristics'!I:I,MATCH($C259,'Policy Characteristics'!$C:$C,0))),"",INDEX('Policy Characteristics'!I:I,MATCH($C259,'Policy Characteristics'!$C:$C,0)))</f>
        <v>on/off</v>
      </c>
      <c r="P259" s="275" t="str">
        <f>IF(ISBLANK(INDEX('Policy Characteristics'!J:J,MATCH($C259,'Policy Characteristics'!$C:$C,0))),"",INDEX('Policy Characteristics'!J:J,MATCH($C259,'Policy Characteristics'!$C:$C,0)))</f>
        <v>**Description:** This policy prevents new capacity of the selected type(s) from being built or deployed.</v>
      </c>
      <c r="Q259" s="275" t="str">
        <f>IF(ISBLANK(INDEX('Policy Characteristics'!K:K,MATCH($C259,'Policy Characteristics'!$C:$C,0))),"",INDEX('Policy Characteristics'!K:K,MATCH($C259,'Policy Characteristics'!$C:$C,0)))</f>
        <v>electricity-sector-main.html#ban</v>
      </c>
      <c r="R259" s="275" t="str">
        <f>IF(ISBLANK(INDEX('Policy Characteristics'!L:L,MATCH($C259,'Policy Characteristics'!$C:$C,0))),"",INDEX('Policy Characteristics'!L:L,MATCH($C259,'Policy Characteristics'!$C:$C,0)))</f>
        <v>ban-new-capacity.html</v>
      </c>
    </row>
    <row r="260" spans="1:18" s="4" customFormat="1" x14ac:dyDescent="0.25">
      <c r="A260" s="275" t="str">
        <f>IF(ISBLANK(INDEX('Policy Characteristics'!A:A,MATCH($C260,'Policy Characteristics'!$C:$C,0))),"",INDEX('Policy Characteristics'!A:A,MATCH($C260,'Policy Characteristics'!$C:$C,0)))</f>
        <v>Electricity Supply</v>
      </c>
      <c r="B260" s="284" t="str">
        <f>IF(ISBLANK(INDEX('Policy Characteristics'!B:B,MATCH($C260,'Policy Characteristics'!$C:$C,0))),"",INDEX('Policy Characteristics'!B:B,MATCH($C260,'Policy Characteristics'!$C:$C,0)))</f>
        <v>Clean Electricity Standard</v>
      </c>
      <c r="C260" t="s">
        <v>2744</v>
      </c>
      <c r="D260" s="47"/>
      <c r="E260" s="47"/>
      <c r="F260" s="47"/>
      <c r="G260" s="47"/>
      <c r="H260" s="44">
        <v>508</v>
      </c>
      <c r="I260" s="346" t="s">
        <v>43</v>
      </c>
      <c r="J260" s="276" t="str">
        <f>IF(ISBLANK(INDEX('Policy Characteristics'!D:D,MATCH($C260,'Policy Characteristics'!$C:$C,0))),"",INDEX('Policy Characteristics'!D:D,MATCH($C260,'Policy Characteristics'!$C:$C,0)))</f>
        <v>Clean Electricity Standard</v>
      </c>
      <c r="K260" s="275" t="str">
        <f>IF(ISBLANK(INDEX('Policy Characteristics'!E:E,MATCH($C260,'Policy Characteristics'!$C:$C,0))),"",INDEX('Policy Characteristics'!E:E,MATCH($C260,'Policy Characteristics'!$C:$C,0)))</f>
        <v>elec renewable portfolio standards</v>
      </c>
      <c r="L260" s="283">
        <f>IF(ISBLANK(INDEX('Policy Characteristics'!F:F,MATCH($C260,'Policy Characteristics'!$C:$C,0))),"",INDEX('Policy Characteristics'!F:F,MATCH($C260,'Policy Characteristics'!$C:$C,0)))</f>
        <v>0</v>
      </c>
      <c r="M260" s="283">
        <f>IF(ISBLANK(INDEX('Policy Characteristics'!G:G,MATCH($C260,'Policy Characteristics'!$C:$C,0))),"",INDEX('Policy Characteristics'!G:G,MATCH($C260,'Policy Characteristics'!$C:$C,0)))</f>
        <v>1</v>
      </c>
      <c r="N260" s="283">
        <f>IF(ISBLANK(INDEX('Policy Characteristics'!H:H,MATCH($C260,'Policy Characteristics'!$C:$C,0))),"",INDEX('Policy Characteristics'!H:H,MATCH($C260,'Policy Characteristics'!$C:$C,0)))</f>
        <v>0.01</v>
      </c>
      <c r="O260" s="275" t="str">
        <f>IF(ISBLANK(INDEX('Policy Characteristics'!I:I,MATCH($C260,'Policy Characteristics'!$C:$C,0))),"",INDEX('Policy Characteristics'!I:I,MATCH($C260,'Policy Characteristics'!$C:$C,0)))</f>
        <v>% of electricity generation</v>
      </c>
      <c r="P260" s="275" t="str">
        <f>IF(ISBLANK(INDEX('Policy Characteristics'!J:J,MATCH($C260,'Policy Characteristics'!$C:$C,0))),"",INDEX('Policy Characteristics'!J:J,MATCH($C260,'Policy Characteristics'!$C:$C,0)))</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60" s="275" t="str">
        <f>IF(ISBLANK(INDEX('Policy Characteristics'!K:K,MATCH($C260,'Policy Characteristics'!$C:$C,0))),"",INDEX('Policy Characteristics'!K:K,MATCH($C260,'Policy Characteristics'!$C:$C,0)))</f>
        <v>electricity-sector-main.html#ces</v>
      </c>
      <c r="R260" s="275" t="str">
        <f>IF(ISBLANK(INDEX('Policy Characteristics'!L:L,MATCH($C260,'Policy Characteristics'!$C:$C,0))),"",INDEX('Policy Characteristics'!L:L,MATCH($C260,'Policy Characteristics'!$C:$C,0)))</f>
        <v>clean-energy-standard.html</v>
      </c>
    </row>
    <row r="261" spans="1:18" s="4" customFormat="1" ht="30" x14ac:dyDescent="0.25">
      <c r="A261" s="275" t="str">
        <f>IF(ISBLANK(INDEX('Policy Characteristics'!A:A,MATCH($C261,'Policy Characteristics'!$C:$C,0))),"",INDEX('Policy Characteristics'!A:A,MATCH($C261,'Policy Characteristics'!$C:$C,0)))</f>
        <v>Electricity Supply</v>
      </c>
      <c r="B261" s="284" t="str">
        <f>IF(ISBLANK(INDEX('Policy Characteristics'!B:B,MATCH($C261,'Policy Characteristics'!$C:$C,0))),"",INDEX('Policy Characteristics'!B:B,MATCH($C261,'Policy Characteristics'!$C:$C,0)))</f>
        <v>Clean Electricity Standard Foresight</v>
      </c>
      <c r="C261" s="1" t="s">
        <v>3579</v>
      </c>
      <c r="D261" s="47"/>
      <c r="E261" s="47"/>
      <c r="F261" s="47"/>
      <c r="G261" s="47"/>
      <c r="H261" s="44">
        <v>2234</v>
      </c>
      <c r="I261" s="346" t="s">
        <v>43</v>
      </c>
      <c r="J261" s="276" t="str">
        <f>IF(ISBLANK(INDEX('Policy Characteristics'!D:D,MATCH($C261,'Policy Characteristics'!$C:$C,0))),"",INDEX('Policy Characteristics'!D:D,MATCH($C261,'Policy Characteristics'!$C:$C,0)))</f>
        <v/>
      </c>
      <c r="K261" s="275" t="str">
        <f>IF(ISBLANK(INDEX('Policy Characteristics'!E:E,MATCH($C261,'Policy Characteristics'!$C:$C,0))),"",INDEX('Policy Characteristics'!E:E,MATCH($C261,'Policy Characteristics'!$C:$C,0)))</f>
        <v/>
      </c>
      <c r="L261" s="381">
        <f>IF(ISBLANK(INDEX('Policy Characteristics'!F:F,MATCH($C261,'Policy Characteristics'!$C:$C,0))),"",INDEX('Policy Characteristics'!F:F,MATCH($C261,'Policy Characteristics'!$C:$C,0)))</f>
        <v>0</v>
      </c>
      <c r="M261" s="381">
        <f>IF(ISBLANK(INDEX('Policy Characteristics'!G:G,MATCH($C261,'Policy Characteristics'!$C:$C,0))),"",INDEX('Policy Characteristics'!G:G,MATCH($C261,'Policy Characteristics'!$C:$C,0)))</f>
        <v>1</v>
      </c>
      <c r="N261" s="381">
        <f>IF(ISBLANK(INDEX('Policy Characteristics'!H:H,MATCH($C261,'Policy Characteristics'!$C:$C,0))),"",INDEX('Policy Characteristics'!H:H,MATCH($C261,'Policy Characteristics'!$C:$C,0)))</f>
        <v>1</v>
      </c>
      <c r="O261" s="275" t="str">
        <f>IF(ISBLANK(INDEX('Policy Characteristics'!I:I,MATCH($C261,'Policy Characteristics'!$C:$C,0))),"",INDEX('Policy Characteristics'!I:I,MATCH($C261,'Policy Characteristics'!$C:$C,0)))</f>
        <v>on/off</v>
      </c>
      <c r="P261" s="275" t="str">
        <f>IF(ISBLANK(INDEX('Policy Characteristics'!J:J,MATCH($C261,'Policy Characteristics'!$C:$C,0))),"",INDEX('Policy Characteristics'!J:J,MATCH($C261,'Policy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261" s="275" t="str">
        <f>IF(ISBLANK(INDEX('Policy Characteristics'!K:K,MATCH($C261,'Policy Characteristics'!$C:$C,0))),"",INDEX('Policy Characteristics'!K:K,MATCH($C261,'Policy Characteristics'!$C:$C,0)))</f>
        <v/>
      </c>
      <c r="R261" s="275" t="str">
        <f>IF(ISBLANK(INDEX('Policy Characteristics'!L:L,MATCH($C261,'Policy Characteristics'!$C:$C,0))),"",INDEX('Policy Characteristics'!L:L,MATCH($C261,'Policy Characteristics'!$C:$C,0)))</f>
        <v/>
      </c>
    </row>
    <row r="262" spans="1:18" s="2" customFormat="1" x14ac:dyDescent="0.25">
      <c r="A262" s="275" t="str">
        <f>IF(ISBLANK(INDEX('Policy Characteristics'!A:A,MATCH($C262,'Policy Characteristics'!$C:$C,0))),"",INDEX('Policy Characteristics'!A:A,MATCH($C262,'Policy Characteristics'!$C:$C,0)))</f>
        <v>Electricity Supply</v>
      </c>
      <c r="B262" s="284" t="str">
        <f>IF(ISBLANK(INDEX('Policy Characteristics'!B:B,MATCH($C262,'Policy Characteristics'!$C:$C,0))),"",INDEX('Policy Characteristics'!B:B,MATCH($C262,'Policy Characteristics'!$C:$C,0)))</f>
        <v>Change Electricity Exports</v>
      </c>
      <c r="C262" s="339" t="s">
        <v>271</v>
      </c>
      <c r="D262" s="6"/>
      <c r="E262" s="6"/>
      <c r="F262" s="6"/>
      <c r="G262" s="6"/>
      <c r="H262" s="49">
        <v>148</v>
      </c>
      <c r="I262" s="346" t="s">
        <v>43</v>
      </c>
      <c r="J262" s="276" t="str">
        <f>IF(ISBLANK(INDEX('Policy Characteristics'!D:D,MATCH($C262,'Policy Characteristics'!$C:$C,0))),"",INDEX('Policy Characteristics'!D:D,MATCH($C262,'Policy Characteristics'!$C:$C,0)))</f>
        <v>Electricity Imports and Exports</v>
      </c>
      <c r="K262" s="275" t="str">
        <f>IF(ISBLANK(INDEX('Policy Characteristics'!E:E,MATCH($C262,'Policy Characteristics'!$C:$C,0))),"",INDEX('Policy Characteristics'!E:E,MATCH($C262,'Policy Characteristics'!$C:$C,0)))</f>
        <v>elec change exports</v>
      </c>
      <c r="L262" s="283">
        <f>IF(ISBLANK(INDEX('Policy Characteristics'!F:F,MATCH($C262,'Policy Characteristics'!$C:$C,0))),"",INDEX('Policy Characteristics'!F:F,MATCH($C262,'Policy Characteristics'!$C:$C,0)))</f>
        <v>-0.5</v>
      </c>
      <c r="M262" s="283">
        <f>IF(ISBLANK(INDEX('Policy Characteristics'!G:G,MATCH($C262,'Policy Characteristics'!$C:$C,0))),"",INDEX('Policy Characteristics'!G:G,MATCH($C262,'Policy Characteristics'!$C:$C,0)))</f>
        <v>1</v>
      </c>
      <c r="N262" s="283">
        <f>IF(ISBLANK(INDEX('Policy Characteristics'!H:H,MATCH($C262,'Policy Characteristics'!$C:$C,0))),"",INDEX('Policy Characteristics'!H:H,MATCH($C262,'Policy Characteristics'!$C:$C,0)))</f>
        <v>0.02</v>
      </c>
      <c r="O262" s="275" t="str">
        <f>IF(ISBLANK(INDEX('Policy Characteristics'!I:I,MATCH($C262,'Policy Characteristics'!$C:$C,0))),"",INDEX('Policy Characteristics'!I:I,MATCH($C262,'Policy Characteristics'!$C:$C,0)))</f>
        <v>% change in exports</v>
      </c>
      <c r="P262" s="275" t="str">
        <f>IF(ISBLANK(INDEX('Policy Characteristics'!J:J,MATCH($C262,'Policy Characteristics'!$C:$C,0))),"",INDEX('Policy Characteristics'!J:J,MATCH($C262,'Policy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262" s="275" t="str">
        <f>IF(ISBLANK(INDEX('Policy Characteristics'!K:K,MATCH($C262,'Policy Characteristics'!$C:$C,0))),"",INDEX('Policy Characteristics'!K:K,MATCH($C262,'Policy Characteristics'!$C:$C,0)))</f>
        <v>electricity-sector-main.html#elec-exports</v>
      </c>
      <c r="R262" s="275" t="str">
        <f>IF(ISBLANK(INDEX('Policy Characteristics'!L:L,MATCH($C262,'Policy Characteristics'!$C:$C,0))),"",INDEX('Policy Characteristics'!L:L,MATCH($C262,'Policy Characteristics'!$C:$C,0)))</f>
        <v>electricity-imports-exports.html</v>
      </c>
    </row>
    <row r="263" spans="1:18" s="2" customFormat="1" x14ac:dyDescent="0.25">
      <c r="A263" s="275" t="str">
        <f>IF(ISBLANK(INDEX('Policy Characteristics'!A:A,MATCH($C263,'Policy Characteristics'!$C:$C,0))),"",INDEX('Policy Characteristics'!A:A,MATCH($C263,'Policy Characteristics'!$C:$C,0)))</f>
        <v>Electricity Supply</v>
      </c>
      <c r="B263" s="284" t="str">
        <f>IF(ISBLANK(INDEX('Policy Characteristics'!B:B,MATCH($C263,'Policy Characteristics'!$C:$C,0))),"",INDEX('Policy Characteristics'!B:B,MATCH($C263,'Policy Characteristics'!$C:$C,0)))</f>
        <v>Change Electricity Imports</v>
      </c>
      <c r="C263" s="339" t="s">
        <v>270</v>
      </c>
      <c r="D263" s="47" t="s">
        <v>448</v>
      </c>
      <c r="E263" s="47"/>
      <c r="F263" s="47" t="s">
        <v>447</v>
      </c>
      <c r="G263" s="6"/>
      <c r="H263" s="49">
        <v>149</v>
      </c>
      <c r="I263" s="346" t="s">
        <v>43</v>
      </c>
      <c r="J263" s="276" t="str">
        <f>IF(ISBLANK(INDEX('Policy Characteristics'!D:D,MATCH($C263,'Policy Characteristics'!$C:$C,0))),"",INDEX('Policy Characteristics'!D:D,MATCH($C263,'Policy Characteristics'!$C:$C,0)))</f>
        <v>Electricity Imports and Exports</v>
      </c>
      <c r="K263" s="275" t="str">
        <f>IF(ISBLANK(INDEX('Policy Characteristics'!E:E,MATCH($C263,'Policy Characteristics'!$C:$C,0))),"",INDEX('Policy Characteristics'!E:E,MATCH($C263,'Policy Characteristics'!$C:$C,0)))</f>
        <v>elec change imports</v>
      </c>
      <c r="L263" s="283">
        <f>IF(ISBLANK(INDEX('Policy Characteristics'!F:F,MATCH($C263,'Policy Characteristics'!$C:$C,0))),"",INDEX('Policy Characteristics'!F:F,MATCH($C263,'Policy Characteristics'!$C:$C,0)))</f>
        <v>-0.5</v>
      </c>
      <c r="M263" s="283">
        <f>IF(ISBLANK(INDEX('Policy Characteristics'!G:G,MATCH($C263,'Policy Characteristics'!$C:$C,0))),"",INDEX('Policy Characteristics'!G:G,MATCH($C263,'Policy Characteristics'!$C:$C,0)))</f>
        <v>1</v>
      </c>
      <c r="N263" s="283">
        <f>IF(ISBLANK(INDEX('Policy Characteristics'!H:H,MATCH($C263,'Policy Characteristics'!$C:$C,0))),"",INDEX('Policy Characteristics'!H:H,MATCH($C263,'Policy Characteristics'!$C:$C,0)))</f>
        <v>0.02</v>
      </c>
      <c r="O263" s="275" t="str">
        <f>IF(ISBLANK(INDEX('Policy Characteristics'!I:I,MATCH($C263,'Policy Characteristics'!$C:$C,0))),"",INDEX('Policy Characteristics'!I:I,MATCH($C263,'Policy Characteristics'!$C:$C,0)))</f>
        <v>% change in imports</v>
      </c>
      <c r="P263" s="275" t="str">
        <f>IF(ISBLANK(INDEX('Policy Characteristics'!J:J,MATCH($C263,'Policy Characteristics'!$C:$C,0))),"",INDEX('Policy Characteristics'!J:J,MATCH($C263,'Policy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3" s="275" t="str">
        <f>IF(ISBLANK(INDEX('Policy Characteristics'!K:K,MATCH($C263,'Policy Characteristics'!$C:$C,0))),"",INDEX('Policy Characteristics'!K:K,MATCH($C263,'Policy Characteristics'!$C:$C,0)))</f>
        <v>electricity-sector-main.html#elec-imports</v>
      </c>
      <c r="R263" s="275" t="str">
        <f>IF(ISBLANK(INDEX('Policy Characteristics'!L:L,MATCH($C263,'Policy Characteristics'!$C:$C,0))),"",INDEX('Policy Characteristics'!L:L,MATCH($C263,'Policy Characteristics'!$C:$C,0)))</f>
        <v>electricity-imports-exports.html</v>
      </c>
    </row>
    <row r="264" spans="1:18" s="2" customFormat="1" x14ac:dyDescent="0.25">
      <c r="A264" s="275" t="str">
        <f>IF(ISBLANK(INDEX('Policy Characteristics'!A:A,MATCH($C264,'Policy Characteristics'!$C:$C,0))),"",INDEX('Policy Characteristics'!A:A,MATCH($C264,'Policy Characteristics'!$C:$C,0)))</f>
        <v>Electricity Supply</v>
      </c>
      <c r="B264" s="284" t="str">
        <f>IF(ISBLANK(INDEX('Policy Characteristics'!B:B,MATCH($C264,'Policy Characteristics'!$C:$C,0))),"",INDEX('Policy Characteristics'!B:B,MATCH($C264,'Policy Characteristics'!$C:$C,0)))</f>
        <v>Change Electricity Imports</v>
      </c>
      <c r="C264" s="275" t="str">
        <f t="shared" ref="C264:C286" si="18">C$263</f>
        <v>Percent Change in Electricity Imports</v>
      </c>
      <c r="D264" s="6" t="s">
        <v>3520</v>
      </c>
      <c r="E264" s="47"/>
      <c r="F264" s="6" t="s">
        <v>3453</v>
      </c>
      <c r="G264" s="6"/>
      <c r="H264" s="49">
        <v>526</v>
      </c>
      <c r="I264" s="346" t="s">
        <v>43</v>
      </c>
      <c r="J264" s="276" t="str">
        <f>IF(ISBLANK(INDEX('Policy Characteristics'!D:D,MATCH($C264,'Policy Characteristics'!$C:$C,0))),"",INDEX('Policy Characteristics'!D:D,MATCH($C264,'Policy Characteristics'!$C:$C,0)))</f>
        <v>Electricity Imports and Exports</v>
      </c>
      <c r="K264" s="275" t="str">
        <f>IF(ISBLANK(INDEX('Policy Characteristics'!E:E,MATCH($C264,'Policy Characteristics'!$C:$C,0))),"",INDEX('Policy Characteristics'!E:E,MATCH($C264,'Policy Characteristics'!$C:$C,0)))</f>
        <v>elec change imports</v>
      </c>
      <c r="L264" s="283">
        <f>IF(ISBLANK(INDEX('Policy Characteristics'!F:F,MATCH($C264,'Policy Characteristics'!$C:$C,0))),"",INDEX('Policy Characteristics'!F:F,MATCH($C264,'Policy Characteristics'!$C:$C,0)))</f>
        <v>-0.5</v>
      </c>
      <c r="M264" s="283">
        <f>IF(ISBLANK(INDEX('Policy Characteristics'!G:G,MATCH($C264,'Policy Characteristics'!$C:$C,0))),"",INDEX('Policy Characteristics'!G:G,MATCH($C264,'Policy Characteristics'!$C:$C,0)))</f>
        <v>1</v>
      </c>
      <c r="N264" s="283">
        <f>IF(ISBLANK(INDEX('Policy Characteristics'!H:H,MATCH($C264,'Policy Characteristics'!$C:$C,0))),"",INDEX('Policy Characteristics'!H:H,MATCH($C264,'Policy Characteristics'!$C:$C,0)))</f>
        <v>0.02</v>
      </c>
      <c r="O264" s="275" t="str">
        <f>IF(ISBLANK(INDEX('Policy Characteristics'!I:I,MATCH($C264,'Policy Characteristics'!$C:$C,0))),"",INDEX('Policy Characteristics'!I:I,MATCH($C264,'Policy Characteristics'!$C:$C,0)))</f>
        <v>% change in imports</v>
      </c>
      <c r="P264" s="275" t="str">
        <f>IF(ISBLANK(INDEX('Policy Characteristics'!J:J,MATCH($C264,'Policy Characteristics'!$C:$C,0))),"",INDEX('Policy Characteristics'!J:J,MATCH($C264,'Policy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4" s="275" t="str">
        <f>IF(ISBLANK(INDEX('Policy Characteristics'!K:K,MATCH($C264,'Policy Characteristics'!$C:$C,0))),"",INDEX('Policy Characteristics'!K:K,MATCH($C264,'Policy Characteristics'!$C:$C,0)))</f>
        <v>electricity-sector-main.html#elec-imports</v>
      </c>
      <c r="R264" s="275" t="str">
        <f>IF(ISBLANK(INDEX('Policy Characteristics'!L:L,MATCH($C264,'Policy Characteristics'!$C:$C,0))),"",INDEX('Policy Characteristics'!L:L,MATCH($C264,'Policy Characteristics'!$C:$C,0)))</f>
        <v>electricity-imports-exports.html</v>
      </c>
    </row>
    <row r="265" spans="1:18" s="2" customFormat="1" x14ac:dyDescent="0.25">
      <c r="A265" s="275" t="str">
        <f>IF(ISBLANK(INDEX('Policy Characteristics'!A:A,MATCH($C265,'Policy Characteristics'!$C:$C,0))),"",INDEX('Policy Characteristics'!A:A,MATCH($C265,'Policy Characteristics'!$C:$C,0)))</f>
        <v>Electricity Supply</v>
      </c>
      <c r="B265" s="284" t="str">
        <f>IF(ISBLANK(INDEX('Policy Characteristics'!B:B,MATCH($C265,'Policy Characteristics'!$C:$C,0))),"",INDEX('Policy Characteristics'!B:B,MATCH($C265,'Policy Characteristics'!$C:$C,0)))</f>
        <v>Change Electricity Imports</v>
      </c>
      <c r="C265" s="275" t="str">
        <f t="shared" si="18"/>
        <v>Percent Change in Electricity Imports</v>
      </c>
      <c r="D265" s="6" t="s">
        <v>3521</v>
      </c>
      <c r="E265" s="47"/>
      <c r="F265" s="6" t="s">
        <v>3454</v>
      </c>
      <c r="G265" s="6"/>
      <c r="H265" s="49">
        <v>1753</v>
      </c>
      <c r="I265" s="346" t="s">
        <v>43</v>
      </c>
      <c r="J265" s="276" t="str">
        <f>IF(ISBLANK(INDEX('Policy Characteristics'!D:D,MATCH($C265,'Policy Characteristics'!$C:$C,0))),"",INDEX('Policy Characteristics'!D:D,MATCH($C265,'Policy Characteristics'!$C:$C,0)))</f>
        <v>Electricity Imports and Exports</v>
      </c>
      <c r="K265" s="275" t="str">
        <f>IF(ISBLANK(INDEX('Policy Characteristics'!E:E,MATCH($C265,'Policy Characteristics'!$C:$C,0))),"",INDEX('Policy Characteristics'!E:E,MATCH($C265,'Policy Characteristics'!$C:$C,0)))</f>
        <v>elec change imports</v>
      </c>
      <c r="L265" s="283">
        <f>IF(ISBLANK(INDEX('Policy Characteristics'!F:F,MATCH($C265,'Policy Characteristics'!$C:$C,0))),"",INDEX('Policy Characteristics'!F:F,MATCH($C265,'Policy Characteristics'!$C:$C,0)))</f>
        <v>-0.5</v>
      </c>
      <c r="M265" s="283">
        <f>IF(ISBLANK(INDEX('Policy Characteristics'!G:G,MATCH($C265,'Policy Characteristics'!$C:$C,0))),"",INDEX('Policy Characteristics'!G:G,MATCH($C265,'Policy Characteristics'!$C:$C,0)))</f>
        <v>1</v>
      </c>
      <c r="N265" s="283">
        <f>IF(ISBLANK(INDEX('Policy Characteristics'!H:H,MATCH($C265,'Policy Characteristics'!$C:$C,0))),"",INDEX('Policy Characteristics'!H:H,MATCH($C265,'Policy Characteristics'!$C:$C,0)))</f>
        <v>0.02</v>
      </c>
      <c r="O265" s="275" t="str">
        <f>IF(ISBLANK(INDEX('Policy Characteristics'!I:I,MATCH($C265,'Policy Characteristics'!$C:$C,0))),"",INDEX('Policy Characteristics'!I:I,MATCH($C265,'Policy Characteristics'!$C:$C,0)))</f>
        <v>% change in imports</v>
      </c>
      <c r="P265" s="275" t="str">
        <f>IF(ISBLANK(INDEX('Policy Characteristics'!J:J,MATCH($C265,'Policy Characteristics'!$C:$C,0))),"",INDEX('Policy Characteristics'!J:J,MATCH($C265,'Policy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5" s="275" t="str">
        <f>IF(ISBLANK(INDEX('Policy Characteristics'!K:K,MATCH($C265,'Policy Characteristics'!$C:$C,0))),"",INDEX('Policy Characteristics'!K:K,MATCH($C265,'Policy Characteristics'!$C:$C,0)))</f>
        <v>electricity-sector-main.html#elec-imports</v>
      </c>
      <c r="R265" s="275" t="str">
        <f>IF(ISBLANK(INDEX('Policy Characteristics'!L:L,MATCH($C265,'Policy Characteristics'!$C:$C,0))),"",INDEX('Policy Characteristics'!L:L,MATCH($C265,'Policy Characteristics'!$C:$C,0)))</f>
        <v>electricity-imports-exports.html</v>
      </c>
    </row>
    <row r="266" spans="1:18" s="2" customFormat="1" x14ac:dyDescent="0.25">
      <c r="A266" s="275" t="str">
        <f>IF(ISBLANK(INDEX('Policy Characteristics'!A:A,MATCH($C266,'Policy Characteristics'!$C:$C,0))),"",INDEX('Policy Characteristics'!A:A,MATCH($C266,'Policy Characteristics'!$C:$C,0)))</f>
        <v>Electricity Supply</v>
      </c>
      <c r="B266" s="284" t="str">
        <f>IF(ISBLANK(INDEX('Policy Characteristics'!B:B,MATCH($C266,'Policy Characteristics'!$C:$C,0))),"",INDEX('Policy Characteristics'!B:B,MATCH($C266,'Policy Characteristics'!$C:$C,0)))</f>
        <v>Change Electricity Imports</v>
      </c>
      <c r="C266" s="275" t="str">
        <f t="shared" si="18"/>
        <v>Percent Change in Electricity Imports</v>
      </c>
      <c r="D266" s="6" t="s">
        <v>76</v>
      </c>
      <c r="E266" s="47"/>
      <c r="F266" s="6" t="s">
        <v>3531</v>
      </c>
      <c r="G266" s="6"/>
      <c r="H266" s="49">
        <v>527</v>
      </c>
      <c r="I266" s="346" t="s">
        <v>43</v>
      </c>
      <c r="J266" s="276" t="str">
        <f>IF(ISBLANK(INDEX('Policy Characteristics'!D:D,MATCH($C266,'Policy Characteristics'!$C:$C,0))),"",INDEX('Policy Characteristics'!D:D,MATCH($C266,'Policy Characteristics'!$C:$C,0)))</f>
        <v>Electricity Imports and Exports</v>
      </c>
      <c r="K266" s="275" t="str">
        <f>IF(ISBLANK(INDEX('Policy Characteristics'!E:E,MATCH($C266,'Policy Characteristics'!$C:$C,0))),"",INDEX('Policy Characteristics'!E:E,MATCH($C266,'Policy Characteristics'!$C:$C,0)))</f>
        <v>elec change imports</v>
      </c>
      <c r="L266" s="283">
        <f>IF(ISBLANK(INDEX('Policy Characteristics'!F:F,MATCH($C266,'Policy Characteristics'!$C:$C,0))),"",INDEX('Policy Characteristics'!F:F,MATCH($C266,'Policy Characteristics'!$C:$C,0)))</f>
        <v>-0.5</v>
      </c>
      <c r="M266" s="283">
        <f>IF(ISBLANK(INDEX('Policy Characteristics'!G:G,MATCH($C266,'Policy Characteristics'!$C:$C,0))),"",INDEX('Policy Characteristics'!G:G,MATCH($C266,'Policy Characteristics'!$C:$C,0)))</f>
        <v>1</v>
      </c>
      <c r="N266" s="283">
        <f>IF(ISBLANK(INDEX('Policy Characteristics'!H:H,MATCH($C266,'Policy Characteristics'!$C:$C,0))),"",INDEX('Policy Characteristics'!H:H,MATCH($C266,'Policy Characteristics'!$C:$C,0)))</f>
        <v>0.02</v>
      </c>
      <c r="O266" s="275" t="str">
        <f>IF(ISBLANK(INDEX('Policy Characteristics'!I:I,MATCH($C266,'Policy Characteristics'!$C:$C,0))),"",INDEX('Policy Characteristics'!I:I,MATCH($C266,'Policy Characteristics'!$C:$C,0)))</f>
        <v>% change in imports</v>
      </c>
      <c r="P266" s="275" t="str">
        <f>IF(ISBLANK(INDEX('Policy Characteristics'!J:J,MATCH($C266,'Policy Characteristics'!$C:$C,0))),"",INDEX('Policy Characteristics'!J:J,MATCH($C266,'Policy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6" s="275" t="str">
        <f>IF(ISBLANK(INDEX('Policy Characteristics'!K:K,MATCH($C266,'Policy Characteristics'!$C:$C,0))),"",INDEX('Policy Characteristics'!K:K,MATCH($C266,'Policy Characteristics'!$C:$C,0)))</f>
        <v>electricity-sector-main.html#elec-imports</v>
      </c>
      <c r="R266" s="275" t="str">
        <f>IF(ISBLANK(INDEX('Policy Characteristics'!L:L,MATCH($C266,'Policy Characteristics'!$C:$C,0))),"",INDEX('Policy Characteristics'!L:L,MATCH($C266,'Policy Characteristics'!$C:$C,0)))</f>
        <v>electricity-imports-exports.html</v>
      </c>
    </row>
    <row r="267" spans="1:18" s="2" customFormat="1" x14ac:dyDescent="0.25">
      <c r="A267" s="275" t="str">
        <f>IF(ISBLANK(INDEX('Policy Characteristics'!A:A,MATCH($C267,'Policy Characteristics'!$C:$C,0))),"",INDEX('Policy Characteristics'!A:A,MATCH($C267,'Policy Characteristics'!$C:$C,0)))</f>
        <v>Electricity Supply</v>
      </c>
      <c r="B267" s="284" t="str">
        <f>IF(ISBLANK(INDEX('Policy Characteristics'!B:B,MATCH($C267,'Policy Characteristics'!$C:$C,0))),"",INDEX('Policy Characteristics'!B:B,MATCH($C267,'Policy Characteristics'!$C:$C,0)))</f>
        <v>Change Electricity Imports</v>
      </c>
      <c r="C267" s="275" t="str">
        <f t="shared" si="18"/>
        <v>Percent Change in Electricity Imports</v>
      </c>
      <c r="D267" s="6" t="s">
        <v>77</v>
      </c>
      <c r="E267" s="47"/>
      <c r="F267" s="6" t="s">
        <v>89</v>
      </c>
      <c r="G267" s="6"/>
      <c r="H267" s="49">
        <v>528</v>
      </c>
      <c r="I267" s="346" t="s">
        <v>43</v>
      </c>
      <c r="J267" s="276" t="str">
        <f>IF(ISBLANK(INDEX('Policy Characteristics'!D:D,MATCH($C267,'Policy Characteristics'!$C:$C,0))),"",INDEX('Policy Characteristics'!D:D,MATCH($C267,'Policy Characteristics'!$C:$C,0)))</f>
        <v>Electricity Imports and Exports</v>
      </c>
      <c r="K267" s="275" t="str">
        <f>IF(ISBLANK(INDEX('Policy Characteristics'!E:E,MATCH($C267,'Policy Characteristics'!$C:$C,0))),"",INDEX('Policy Characteristics'!E:E,MATCH($C267,'Policy Characteristics'!$C:$C,0)))</f>
        <v>elec change imports</v>
      </c>
      <c r="L267" s="283">
        <f>IF(ISBLANK(INDEX('Policy Characteristics'!F:F,MATCH($C267,'Policy Characteristics'!$C:$C,0))),"",INDEX('Policy Characteristics'!F:F,MATCH($C267,'Policy Characteristics'!$C:$C,0)))</f>
        <v>-0.5</v>
      </c>
      <c r="M267" s="283">
        <f>IF(ISBLANK(INDEX('Policy Characteristics'!G:G,MATCH($C267,'Policy Characteristics'!$C:$C,0))),"",INDEX('Policy Characteristics'!G:G,MATCH($C267,'Policy Characteristics'!$C:$C,0)))</f>
        <v>1</v>
      </c>
      <c r="N267" s="283">
        <f>IF(ISBLANK(INDEX('Policy Characteristics'!H:H,MATCH($C267,'Policy Characteristics'!$C:$C,0))),"",INDEX('Policy Characteristics'!H:H,MATCH($C267,'Policy Characteristics'!$C:$C,0)))</f>
        <v>0.02</v>
      </c>
      <c r="O267" s="275" t="str">
        <f>IF(ISBLANK(INDEX('Policy Characteristics'!I:I,MATCH($C267,'Policy Characteristics'!$C:$C,0))),"",INDEX('Policy Characteristics'!I:I,MATCH($C267,'Policy Characteristics'!$C:$C,0)))</f>
        <v>% change in imports</v>
      </c>
      <c r="P267" s="275" t="str">
        <f>IF(ISBLANK(INDEX('Policy Characteristics'!J:J,MATCH($C267,'Policy Characteristics'!$C:$C,0))),"",INDEX('Policy Characteristics'!J:J,MATCH($C267,'Policy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7" s="275" t="str">
        <f>IF(ISBLANK(INDEX('Policy Characteristics'!K:K,MATCH($C267,'Policy Characteristics'!$C:$C,0))),"",INDEX('Policy Characteristics'!K:K,MATCH($C267,'Policy Characteristics'!$C:$C,0)))</f>
        <v>electricity-sector-main.html#elec-imports</v>
      </c>
      <c r="R267" s="275" t="str">
        <f>IF(ISBLANK(INDEX('Policy Characteristics'!L:L,MATCH($C267,'Policy Characteristics'!$C:$C,0))),"",INDEX('Policy Characteristics'!L:L,MATCH($C267,'Policy Characteristics'!$C:$C,0)))</f>
        <v>electricity-imports-exports.html</v>
      </c>
    </row>
    <row r="268" spans="1:18" s="2" customFormat="1" x14ac:dyDescent="0.25">
      <c r="A268" s="275" t="str">
        <f>IF(ISBLANK(INDEX('Policy Characteristics'!A:A,MATCH($C268,'Policy Characteristics'!$C:$C,0))),"",INDEX('Policy Characteristics'!A:A,MATCH($C268,'Policy Characteristics'!$C:$C,0)))</f>
        <v>Electricity Supply</v>
      </c>
      <c r="B268" s="284" t="str">
        <f>IF(ISBLANK(INDEX('Policy Characteristics'!B:B,MATCH($C268,'Policy Characteristics'!$C:$C,0))),"",INDEX('Policy Characteristics'!B:B,MATCH($C268,'Policy Characteristics'!$C:$C,0)))</f>
        <v>Change Electricity Imports</v>
      </c>
      <c r="C268" s="275" t="str">
        <f t="shared" si="18"/>
        <v>Percent Change in Electricity Imports</v>
      </c>
      <c r="D268" s="6" t="s">
        <v>449</v>
      </c>
      <c r="E268" s="47"/>
      <c r="F268" s="6" t="s">
        <v>452</v>
      </c>
      <c r="G268" s="6"/>
      <c r="H268" s="49">
        <v>529</v>
      </c>
      <c r="I268" s="346" t="s">
        <v>43</v>
      </c>
      <c r="J268" s="276" t="str">
        <f>IF(ISBLANK(INDEX('Policy Characteristics'!D:D,MATCH($C268,'Policy Characteristics'!$C:$C,0))),"",INDEX('Policy Characteristics'!D:D,MATCH($C268,'Policy Characteristics'!$C:$C,0)))</f>
        <v>Electricity Imports and Exports</v>
      </c>
      <c r="K268" s="275" t="str">
        <f>IF(ISBLANK(INDEX('Policy Characteristics'!E:E,MATCH($C268,'Policy Characteristics'!$C:$C,0))),"",INDEX('Policy Characteristics'!E:E,MATCH($C268,'Policy Characteristics'!$C:$C,0)))</f>
        <v>elec change imports</v>
      </c>
      <c r="L268" s="283">
        <f>IF(ISBLANK(INDEX('Policy Characteristics'!F:F,MATCH($C268,'Policy Characteristics'!$C:$C,0))),"",INDEX('Policy Characteristics'!F:F,MATCH($C268,'Policy Characteristics'!$C:$C,0)))</f>
        <v>-0.5</v>
      </c>
      <c r="M268" s="283">
        <f>IF(ISBLANK(INDEX('Policy Characteristics'!G:G,MATCH($C268,'Policy Characteristics'!$C:$C,0))),"",INDEX('Policy Characteristics'!G:G,MATCH($C268,'Policy Characteristics'!$C:$C,0)))</f>
        <v>1</v>
      </c>
      <c r="N268" s="283">
        <f>IF(ISBLANK(INDEX('Policy Characteristics'!H:H,MATCH($C268,'Policy Characteristics'!$C:$C,0))),"",INDEX('Policy Characteristics'!H:H,MATCH($C268,'Policy Characteristics'!$C:$C,0)))</f>
        <v>0.02</v>
      </c>
      <c r="O268" s="275" t="str">
        <f>IF(ISBLANK(INDEX('Policy Characteristics'!I:I,MATCH($C268,'Policy Characteristics'!$C:$C,0))),"",INDEX('Policy Characteristics'!I:I,MATCH($C268,'Policy Characteristics'!$C:$C,0)))</f>
        <v>% change in imports</v>
      </c>
      <c r="P268" s="275" t="str">
        <f>IF(ISBLANK(INDEX('Policy Characteristics'!J:J,MATCH($C268,'Policy Characteristics'!$C:$C,0))),"",INDEX('Policy Characteristics'!J:J,MATCH($C268,'Policy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8" s="275" t="str">
        <f>IF(ISBLANK(INDEX('Policy Characteristics'!K:K,MATCH($C268,'Policy Characteristics'!$C:$C,0))),"",INDEX('Policy Characteristics'!K:K,MATCH($C268,'Policy Characteristics'!$C:$C,0)))</f>
        <v>electricity-sector-main.html#elec-imports</v>
      </c>
      <c r="R268" s="275" t="str">
        <f>IF(ISBLANK(INDEX('Policy Characteristics'!L:L,MATCH($C268,'Policy Characteristics'!$C:$C,0))),"",INDEX('Policy Characteristics'!L:L,MATCH($C268,'Policy Characteristics'!$C:$C,0)))</f>
        <v>electricity-imports-exports.html</v>
      </c>
    </row>
    <row r="269" spans="1:18" s="2" customFormat="1" x14ac:dyDescent="0.25">
      <c r="A269" s="275" t="str">
        <f>IF(ISBLANK(INDEX('Policy Characteristics'!A:A,MATCH($C269,'Policy Characteristics'!$C:$C,0))),"",INDEX('Policy Characteristics'!A:A,MATCH($C269,'Policy Characteristics'!$C:$C,0)))</f>
        <v>Electricity Supply</v>
      </c>
      <c r="B269" s="284" t="str">
        <f>IF(ISBLANK(INDEX('Policy Characteristics'!B:B,MATCH($C269,'Policy Characteristics'!$C:$C,0))),"",INDEX('Policy Characteristics'!B:B,MATCH($C269,'Policy Characteristics'!$C:$C,0)))</f>
        <v>Change Electricity Imports</v>
      </c>
      <c r="C269" s="275" t="str">
        <f t="shared" si="18"/>
        <v>Percent Change in Electricity Imports</v>
      </c>
      <c r="D269" s="6" t="s">
        <v>78</v>
      </c>
      <c r="E269" s="47"/>
      <c r="F269" s="6" t="s">
        <v>90</v>
      </c>
      <c r="G269" s="6"/>
      <c r="H269" s="49">
        <v>530</v>
      </c>
      <c r="I269" s="346" t="s">
        <v>43</v>
      </c>
      <c r="J269" s="276" t="str">
        <f>IF(ISBLANK(INDEX('Policy Characteristics'!D:D,MATCH($C269,'Policy Characteristics'!$C:$C,0))),"",INDEX('Policy Characteristics'!D:D,MATCH($C269,'Policy Characteristics'!$C:$C,0)))</f>
        <v>Electricity Imports and Exports</v>
      </c>
      <c r="K269" s="275" t="str">
        <f>IF(ISBLANK(INDEX('Policy Characteristics'!E:E,MATCH($C269,'Policy Characteristics'!$C:$C,0))),"",INDEX('Policy Characteristics'!E:E,MATCH($C269,'Policy Characteristics'!$C:$C,0)))</f>
        <v>elec change imports</v>
      </c>
      <c r="L269" s="283">
        <f>IF(ISBLANK(INDEX('Policy Characteristics'!F:F,MATCH($C269,'Policy Characteristics'!$C:$C,0))),"",INDEX('Policy Characteristics'!F:F,MATCH($C269,'Policy Characteristics'!$C:$C,0)))</f>
        <v>-0.5</v>
      </c>
      <c r="M269" s="283">
        <f>IF(ISBLANK(INDEX('Policy Characteristics'!G:G,MATCH($C269,'Policy Characteristics'!$C:$C,0))),"",INDEX('Policy Characteristics'!G:G,MATCH($C269,'Policy Characteristics'!$C:$C,0)))</f>
        <v>1</v>
      </c>
      <c r="N269" s="283">
        <f>IF(ISBLANK(INDEX('Policy Characteristics'!H:H,MATCH($C269,'Policy Characteristics'!$C:$C,0))),"",INDEX('Policy Characteristics'!H:H,MATCH($C269,'Policy Characteristics'!$C:$C,0)))</f>
        <v>0.02</v>
      </c>
      <c r="O269" s="275" t="str">
        <f>IF(ISBLANK(INDEX('Policy Characteristics'!I:I,MATCH($C269,'Policy Characteristics'!$C:$C,0))),"",INDEX('Policy Characteristics'!I:I,MATCH($C269,'Policy Characteristics'!$C:$C,0)))</f>
        <v>% change in imports</v>
      </c>
      <c r="P269" s="275" t="str">
        <f>IF(ISBLANK(INDEX('Policy Characteristics'!J:J,MATCH($C269,'Policy Characteristics'!$C:$C,0))),"",INDEX('Policy Characteristics'!J:J,MATCH($C269,'Policy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9" s="275" t="str">
        <f>IF(ISBLANK(INDEX('Policy Characteristics'!K:K,MATCH($C269,'Policy Characteristics'!$C:$C,0))),"",INDEX('Policy Characteristics'!K:K,MATCH($C269,'Policy Characteristics'!$C:$C,0)))</f>
        <v>electricity-sector-main.html#elec-imports</v>
      </c>
      <c r="R269" s="275" t="str">
        <f>IF(ISBLANK(INDEX('Policy Characteristics'!L:L,MATCH($C269,'Policy Characteristics'!$C:$C,0))),"",INDEX('Policy Characteristics'!L:L,MATCH($C269,'Policy Characteristics'!$C:$C,0)))</f>
        <v>electricity-imports-exports.html</v>
      </c>
    </row>
    <row r="270" spans="1:18" s="2" customFormat="1" x14ac:dyDescent="0.25">
      <c r="A270" s="275" t="str">
        <f>IF(ISBLANK(INDEX('Policy Characteristics'!A:A,MATCH($C270,'Policy Characteristics'!$C:$C,0))),"",INDEX('Policy Characteristics'!A:A,MATCH($C270,'Policy Characteristics'!$C:$C,0)))</f>
        <v>Electricity Supply</v>
      </c>
      <c r="B270" s="284" t="str">
        <f>IF(ISBLANK(INDEX('Policy Characteristics'!B:B,MATCH($C270,'Policy Characteristics'!$C:$C,0))),"",INDEX('Policy Characteristics'!B:B,MATCH($C270,'Policy Characteristics'!$C:$C,0)))</f>
        <v>Change Electricity Imports</v>
      </c>
      <c r="C270" s="275" t="str">
        <f t="shared" si="18"/>
        <v>Percent Change in Electricity Imports</v>
      </c>
      <c r="D270" s="6" t="s">
        <v>79</v>
      </c>
      <c r="E270" s="47"/>
      <c r="F270" s="6" t="s">
        <v>91</v>
      </c>
      <c r="G270" s="6"/>
      <c r="H270" s="49">
        <v>531</v>
      </c>
      <c r="I270" s="346" t="s">
        <v>44</v>
      </c>
      <c r="J270" s="276" t="str">
        <f>IF(ISBLANK(INDEX('Policy Characteristics'!D:D,MATCH($C270,'Policy Characteristics'!$C:$C,0))),"",INDEX('Policy Characteristics'!D:D,MATCH($C270,'Policy Characteristics'!$C:$C,0)))</f>
        <v>Electricity Imports and Exports</v>
      </c>
      <c r="K270" s="275" t="str">
        <f>IF(ISBLANK(INDEX('Policy Characteristics'!E:E,MATCH($C270,'Policy Characteristics'!$C:$C,0))),"",INDEX('Policy Characteristics'!E:E,MATCH($C270,'Policy Characteristics'!$C:$C,0)))</f>
        <v>elec change imports</v>
      </c>
      <c r="L270" s="283">
        <f>IF(ISBLANK(INDEX('Policy Characteristics'!F:F,MATCH($C270,'Policy Characteristics'!$C:$C,0))),"",INDEX('Policy Characteristics'!F:F,MATCH($C270,'Policy Characteristics'!$C:$C,0)))</f>
        <v>-0.5</v>
      </c>
      <c r="M270" s="283">
        <f>IF(ISBLANK(INDEX('Policy Characteristics'!G:G,MATCH($C270,'Policy Characteristics'!$C:$C,0))),"",INDEX('Policy Characteristics'!G:G,MATCH($C270,'Policy Characteristics'!$C:$C,0)))</f>
        <v>1</v>
      </c>
      <c r="N270" s="283">
        <f>IF(ISBLANK(INDEX('Policy Characteristics'!H:H,MATCH($C270,'Policy Characteristics'!$C:$C,0))),"",INDEX('Policy Characteristics'!H:H,MATCH($C270,'Policy Characteristics'!$C:$C,0)))</f>
        <v>0.02</v>
      </c>
      <c r="O270" s="275" t="str">
        <f>IF(ISBLANK(INDEX('Policy Characteristics'!I:I,MATCH($C270,'Policy Characteristics'!$C:$C,0))),"",INDEX('Policy Characteristics'!I:I,MATCH($C270,'Policy Characteristics'!$C:$C,0)))</f>
        <v>% change in imports</v>
      </c>
      <c r="P270" s="275" t="str">
        <f>IF(ISBLANK(INDEX('Policy Characteristics'!J:J,MATCH($C270,'Policy Characteristics'!$C:$C,0))),"",INDEX('Policy Characteristics'!J:J,MATCH($C270,'Policy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0" s="275" t="str">
        <f>IF(ISBLANK(INDEX('Policy Characteristics'!K:K,MATCH($C270,'Policy Characteristics'!$C:$C,0))),"",INDEX('Policy Characteristics'!K:K,MATCH($C270,'Policy Characteristics'!$C:$C,0)))</f>
        <v>electricity-sector-main.html#elec-imports</v>
      </c>
      <c r="R270" s="275" t="str">
        <f>IF(ISBLANK(INDEX('Policy Characteristics'!L:L,MATCH($C270,'Policy Characteristics'!$C:$C,0))),"",INDEX('Policy Characteristics'!L:L,MATCH($C270,'Policy Characteristics'!$C:$C,0)))</f>
        <v>electricity-imports-exports.html</v>
      </c>
    </row>
    <row r="271" spans="1:18" s="2" customFormat="1" x14ac:dyDescent="0.25">
      <c r="A271" s="275" t="str">
        <f>IF(ISBLANK(INDEX('Policy Characteristics'!A:A,MATCH($C271,'Policy Characteristics'!$C:$C,0))),"",INDEX('Policy Characteristics'!A:A,MATCH($C271,'Policy Characteristics'!$C:$C,0)))</f>
        <v>Electricity Supply</v>
      </c>
      <c r="B271" s="284" t="str">
        <f>IF(ISBLANK(INDEX('Policy Characteristics'!B:B,MATCH($C271,'Policy Characteristics'!$C:$C,0))),"",INDEX('Policy Characteristics'!B:B,MATCH($C271,'Policy Characteristics'!$C:$C,0)))</f>
        <v>Change Electricity Imports</v>
      </c>
      <c r="C271" s="275" t="str">
        <f t="shared" si="18"/>
        <v>Percent Change in Electricity Imports</v>
      </c>
      <c r="D271" s="6" t="s">
        <v>80</v>
      </c>
      <c r="E271" s="47"/>
      <c r="F271" s="6" t="s">
        <v>92</v>
      </c>
      <c r="G271" s="6"/>
      <c r="H271" s="49">
        <v>532</v>
      </c>
      <c r="I271" s="346" t="s">
        <v>43</v>
      </c>
      <c r="J271" s="276" t="str">
        <f>IF(ISBLANK(INDEX('Policy Characteristics'!D:D,MATCH($C271,'Policy Characteristics'!$C:$C,0))),"",INDEX('Policy Characteristics'!D:D,MATCH($C271,'Policy Characteristics'!$C:$C,0)))</f>
        <v>Electricity Imports and Exports</v>
      </c>
      <c r="K271" s="275" t="str">
        <f>IF(ISBLANK(INDEX('Policy Characteristics'!E:E,MATCH($C271,'Policy Characteristics'!$C:$C,0))),"",INDEX('Policy Characteristics'!E:E,MATCH($C271,'Policy Characteristics'!$C:$C,0)))</f>
        <v>elec change imports</v>
      </c>
      <c r="L271" s="283">
        <f>IF(ISBLANK(INDEX('Policy Characteristics'!F:F,MATCH($C271,'Policy Characteristics'!$C:$C,0))),"",INDEX('Policy Characteristics'!F:F,MATCH($C271,'Policy Characteristics'!$C:$C,0)))</f>
        <v>-0.5</v>
      </c>
      <c r="M271" s="283">
        <f>IF(ISBLANK(INDEX('Policy Characteristics'!G:G,MATCH($C271,'Policy Characteristics'!$C:$C,0))),"",INDEX('Policy Characteristics'!G:G,MATCH($C271,'Policy Characteristics'!$C:$C,0)))</f>
        <v>1</v>
      </c>
      <c r="N271" s="283">
        <f>IF(ISBLANK(INDEX('Policy Characteristics'!H:H,MATCH($C271,'Policy Characteristics'!$C:$C,0))),"",INDEX('Policy Characteristics'!H:H,MATCH($C271,'Policy Characteristics'!$C:$C,0)))</f>
        <v>0.02</v>
      </c>
      <c r="O271" s="275" t="str">
        <f>IF(ISBLANK(INDEX('Policy Characteristics'!I:I,MATCH($C271,'Policy Characteristics'!$C:$C,0))),"",INDEX('Policy Characteristics'!I:I,MATCH($C271,'Policy Characteristics'!$C:$C,0)))</f>
        <v>% change in imports</v>
      </c>
      <c r="P271" s="275" t="str">
        <f>IF(ISBLANK(INDEX('Policy Characteristics'!J:J,MATCH($C271,'Policy Characteristics'!$C:$C,0))),"",INDEX('Policy Characteristics'!J:J,MATCH($C271,'Policy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1" s="275" t="str">
        <f>IF(ISBLANK(INDEX('Policy Characteristics'!K:K,MATCH($C271,'Policy Characteristics'!$C:$C,0))),"",INDEX('Policy Characteristics'!K:K,MATCH($C271,'Policy Characteristics'!$C:$C,0)))</f>
        <v>electricity-sector-main.html#elec-imports</v>
      </c>
      <c r="R271" s="275" t="str">
        <f>IF(ISBLANK(INDEX('Policy Characteristics'!L:L,MATCH($C271,'Policy Characteristics'!$C:$C,0))),"",INDEX('Policy Characteristics'!L:L,MATCH($C271,'Policy Characteristics'!$C:$C,0)))</f>
        <v>electricity-imports-exports.html</v>
      </c>
    </row>
    <row r="272" spans="1:18" s="2" customFormat="1" x14ac:dyDescent="0.25">
      <c r="A272" s="275" t="str">
        <f>IF(ISBLANK(INDEX('Policy Characteristics'!A:A,MATCH($C272,'Policy Characteristics'!$C:$C,0))),"",INDEX('Policy Characteristics'!A:A,MATCH($C272,'Policy Characteristics'!$C:$C,0)))</f>
        <v>Electricity Supply</v>
      </c>
      <c r="B272" s="284" t="str">
        <f>IF(ISBLANK(INDEX('Policy Characteristics'!B:B,MATCH($C272,'Policy Characteristics'!$C:$C,0))),"",INDEX('Policy Characteristics'!B:B,MATCH($C272,'Policy Characteristics'!$C:$C,0)))</f>
        <v>Change Electricity Imports</v>
      </c>
      <c r="C272" s="275" t="str">
        <f t="shared" si="18"/>
        <v>Percent Change in Electricity Imports</v>
      </c>
      <c r="D272" s="6" t="s">
        <v>2427</v>
      </c>
      <c r="E272" s="47"/>
      <c r="F272" s="6" t="s">
        <v>437</v>
      </c>
      <c r="G272" s="6"/>
      <c r="H272" s="49">
        <v>533</v>
      </c>
      <c r="I272" s="346" t="s">
        <v>44</v>
      </c>
      <c r="J272" s="276" t="str">
        <f>IF(ISBLANK(INDEX('Policy Characteristics'!D:D,MATCH($C272,'Policy Characteristics'!$C:$C,0))),"",INDEX('Policy Characteristics'!D:D,MATCH($C272,'Policy Characteristics'!$C:$C,0)))</f>
        <v>Electricity Imports and Exports</v>
      </c>
      <c r="K272" s="275" t="str">
        <f>IF(ISBLANK(INDEX('Policy Characteristics'!E:E,MATCH($C272,'Policy Characteristics'!$C:$C,0))),"",INDEX('Policy Characteristics'!E:E,MATCH($C272,'Policy Characteristics'!$C:$C,0)))</f>
        <v>elec change imports</v>
      </c>
      <c r="L272" s="283">
        <f>IF(ISBLANK(INDEX('Policy Characteristics'!F:F,MATCH($C272,'Policy Characteristics'!$C:$C,0))),"",INDEX('Policy Characteristics'!F:F,MATCH($C272,'Policy Characteristics'!$C:$C,0)))</f>
        <v>-0.5</v>
      </c>
      <c r="M272" s="283">
        <f>IF(ISBLANK(INDEX('Policy Characteristics'!G:G,MATCH($C272,'Policy Characteristics'!$C:$C,0))),"",INDEX('Policy Characteristics'!G:G,MATCH($C272,'Policy Characteristics'!$C:$C,0)))</f>
        <v>1</v>
      </c>
      <c r="N272" s="283">
        <f>IF(ISBLANK(INDEX('Policy Characteristics'!H:H,MATCH($C272,'Policy Characteristics'!$C:$C,0))),"",INDEX('Policy Characteristics'!H:H,MATCH($C272,'Policy Characteristics'!$C:$C,0)))</f>
        <v>0.02</v>
      </c>
      <c r="O272" s="275" t="str">
        <f>IF(ISBLANK(INDEX('Policy Characteristics'!I:I,MATCH($C272,'Policy Characteristics'!$C:$C,0))),"",INDEX('Policy Characteristics'!I:I,MATCH($C272,'Policy Characteristics'!$C:$C,0)))</f>
        <v>% change in imports</v>
      </c>
      <c r="P272" s="275" t="str">
        <f>IF(ISBLANK(INDEX('Policy Characteristics'!J:J,MATCH($C272,'Policy Characteristics'!$C:$C,0))),"",INDEX('Policy Characteristics'!J:J,MATCH($C272,'Policy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2" s="275" t="str">
        <f>IF(ISBLANK(INDEX('Policy Characteristics'!K:K,MATCH($C272,'Policy Characteristics'!$C:$C,0))),"",INDEX('Policy Characteristics'!K:K,MATCH($C272,'Policy Characteristics'!$C:$C,0)))</f>
        <v>electricity-sector-main.html#elec-imports</v>
      </c>
      <c r="R272" s="275" t="str">
        <f>IF(ISBLANK(INDEX('Policy Characteristics'!L:L,MATCH($C272,'Policy Characteristics'!$C:$C,0))),"",INDEX('Policy Characteristics'!L:L,MATCH($C272,'Policy Characteristics'!$C:$C,0)))</f>
        <v>electricity-imports-exports.html</v>
      </c>
    </row>
    <row r="273" spans="1:19" s="2" customFormat="1" x14ac:dyDescent="0.25">
      <c r="A273" s="275" t="str">
        <f>IF(ISBLANK(INDEX('Policy Characteristics'!A:A,MATCH($C273,'Policy Characteristics'!$C:$C,0))),"",INDEX('Policy Characteristics'!A:A,MATCH($C273,'Policy Characteristics'!$C:$C,0)))</f>
        <v>Electricity Supply</v>
      </c>
      <c r="B273" s="284" t="str">
        <f>IF(ISBLANK(INDEX('Policy Characteristics'!B:B,MATCH($C273,'Policy Characteristics'!$C:$C,0))),"",INDEX('Policy Characteristics'!B:B,MATCH($C273,'Policy Characteristics'!$C:$C,0)))</f>
        <v>Change Electricity Imports</v>
      </c>
      <c r="C273" s="275" t="str">
        <f t="shared" si="18"/>
        <v>Percent Change in Electricity Imports</v>
      </c>
      <c r="D273" s="6" t="s">
        <v>309</v>
      </c>
      <c r="E273" s="47"/>
      <c r="F273" s="6" t="s">
        <v>311</v>
      </c>
      <c r="G273" s="6"/>
      <c r="H273" s="49">
        <v>534</v>
      </c>
      <c r="I273" s="346" t="s">
        <v>43</v>
      </c>
      <c r="J273" s="276" t="str">
        <f>IF(ISBLANK(INDEX('Policy Characteristics'!D:D,MATCH($C273,'Policy Characteristics'!$C:$C,0))),"",INDEX('Policy Characteristics'!D:D,MATCH($C273,'Policy Characteristics'!$C:$C,0)))</f>
        <v>Electricity Imports and Exports</v>
      </c>
      <c r="K273" s="275" t="str">
        <f>IF(ISBLANK(INDEX('Policy Characteristics'!E:E,MATCH($C273,'Policy Characteristics'!$C:$C,0))),"",INDEX('Policy Characteristics'!E:E,MATCH($C273,'Policy Characteristics'!$C:$C,0)))</f>
        <v>elec change imports</v>
      </c>
      <c r="L273" s="283">
        <f>IF(ISBLANK(INDEX('Policy Characteristics'!F:F,MATCH($C273,'Policy Characteristics'!$C:$C,0))),"",INDEX('Policy Characteristics'!F:F,MATCH($C273,'Policy Characteristics'!$C:$C,0)))</f>
        <v>-0.5</v>
      </c>
      <c r="M273" s="283">
        <f>IF(ISBLANK(INDEX('Policy Characteristics'!G:G,MATCH($C273,'Policy Characteristics'!$C:$C,0))),"",INDEX('Policy Characteristics'!G:G,MATCH($C273,'Policy Characteristics'!$C:$C,0)))</f>
        <v>1</v>
      </c>
      <c r="N273" s="283">
        <f>IF(ISBLANK(INDEX('Policy Characteristics'!H:H,MATCH($C273,'Policy Characteristics'!$C:$C,0))),"",INDEX('Policy Characteristics'!H:H,MATCH($C273,'Policy Characteristics'!$C:$C,0)))</f>
        <v>0.02</v>
      </c>
      <c r="O273" s="275" t="str">
        <f>IF(ISBLANK(INDEX('Policy Characteristics'!I:I,MATCH($C273,'Policy Characteristics'!$C:$C,0))),"",INDEX('Policy Characteristics'!I:I,MATCH($C273,'Policy Characteristics'!$C:$C,0)))</f>
        <v>% change in imports</v>
      </c>
      <c r="P273" s="275" t="str">
        <f>IF(ISBLANK(INDEX('Policy Characteristics'!J:J,MATCH($C273,'Policy Characteristics'!$C:$C,0))),"",INDEX('Policy Characteristics'!J:J,MATCH($C273,'Policy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3" s="275" t="str">
        <f>IF(ISBLANK(INDEX('Policy Characteristics'!K:K,MATCH($C273,'Policy Characteristics'!$C:$C,0))),"",INDEX('Policy Characteristics'!K:K,MATCH($C273,'Policy Characteristics'!$C:$C,0)))</f>
        <v>electricity-sector-main.html#elec-imports</v>
      </c>
      <c r="R273" s="275" t="str">
        <f>IF(ISBLANK(INDEX('Policy Characteristics'!L:L,MATCH($C273,'Policy Characteristics'!$C:$C,0))),"",INDEX('Policy Characteristics'!L:L,MATCH($C273,'Policy Characteristics'!$C:$C,0)))</f>
        <v>electricity-imports-exports.html</v>
      </c>
    </row>
    <row r="274" spans="1:19" s="2" customFormat="1" x14ac:dyDescent="0.25">
      <c r="A274" s="275" t="str">
        <f>IF(ISBLANK(INDEX('Policy Characteristics'!A:A,MATCH($C274,'Policy Characteristics'!$C:$C,0))),"",INDEX('Policy Characteristics'!A:A,MATCH($C274,'Policy Characteristics'!$C:$C,0)))</f>
        <v>Electricity Supply</v>
      </c>
      <c r="B274" s="284" t="str">
        <f>IF(ISBLANK(INDEX('Policy Characteristics'!B:B,MATCH($C274,'Policy Characteristics'!$C:$C,0))),"",INDEX('Policy Characteristics'!B:B,MATCH($C274,'Policy Characteristics'!$C:$C,0)))</f>
        <v>Change Electricity Imports</v>
      </c>
      <c r="C274" s="275" t="str">
        <f t="shared" si="18"/>
        <v>Percent Change in Electricity Imports</v>
      </c>
      <c r="D274" s="6" t="s">
        <v>310</v>
      </c>
      <c r="E274" s="47"/>
      <c r="F274" s="6" t="s">
        <v>312</v>
      </c>
      <c r="G274" s="6"/>
      <c r="H274" s="49">
        <v>535</v>
      </c>
      <c r="I274" s="346" t="s">
        <v>44</v>
      </c>
      <c r="J274" s="276" t="str">
        <f>IF(ISBLANK(INDEX('Policy Characteristics'!D:D,MATCH($C274,'Policy Characteristics'!$C:$C,0))),"",INDEX('Policy Characteristics'!D:D,MATCH($C274,'Policy Characteristics'!$C:$C,0)))</f>
        <v>Electricity Imports and Exports</v>
      </c>
      <c r="K274" s="275" t="str">
        <f>IF(ISBLANK(INDEX('Policy Characteristics'!E:E,MATCH($C274,'Policy Characteristics'!$C:$C,0))),"",INDEX('Policy Characteristics'!E:E,MATCH($C274,'Policy Characteristics'!$C:$C,0)))</f>
        <v>elec change imports</v>
      </c>
      <c r="L274" s="283">
        <f>IF(ISBLANK(INDEX('Policy Characteristics'!F:F,MATCH($C274,'Policy Characteristics'!$C:$C,0))),"",INDEX('Policy Characteristics'!F:F,MATCH($C274,'Policy Characteristics'!$C:$C,0)))</f>
        <v>-0.5</v>
      </c>
      <c r="M274" s="283">
        <f>IF(ISBLANK(INDEX('Policy Characteristics'!G:G,MATCH($C274,'Policy Characteristics'!$C:$C,0))),"",INDEX('Policy Characteristics'!G:G,MATCH($C274,'Policy Characteristics'!$C:$C,0)))</f>
        <v>1</v>
      </c>
      <c r="N274" s="283">
        <f>IF(ISBLANK(INDEX('Policy Characteristics'!H:H,MATCH($C274,'Policy Characteristics'!$C:$C,0))),"",INDEX('Policy Characteristics'!H:H,MATCH($C274,'Policy Characteristics'!$C:$C,0)))</f>
        <v>0.02</v>
      </c>
      <c r="O274" s="275" t="str">
        <f>IF(ISBLANK(INDEX('Policy Characteristics'!I:I,MATCH($C274,'Policy Characteristics'!$C:$C,0))),"",INDEX('Policy Characteristics'!I:I,MATCH($C274,'Policy Characteristics'!$C:$C,0)))</f>
        <v>% change in imports</v>
      </c>
      <c r="P274" s="275" t="str">
        <f>IF(ISBLANK(INDEX('Policy Characteristics'!J:J,MATCH($C274,'Policy Characteristics'!$C:$C,0))),"",INDEX('Policy Characteristics'!J:J,MATCH($C274,'Policy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4" s="275" t="str">
        <f>IF(ISBLANK(INDEX('Policy Characteristics'!K:K,MATCH($C274,'Policy Characteristics'!$C:$C,0))),"",INDEX('Policy Characteristics'!K:K,MATCH($C274,'Policy Characteristics'!$C:$C,0)))</f>
        <v>electricity-sector-main.html#elec-imports</v>
      </c>
      <c r="R274" s="275" t="str">
        <f>IF(ISBLANK(INDEX('Policy Characteristics'!L:L,MATCH($C274,'Policy Characteristics'!$C:$C,0))),"",INDEX('Policy Characteristics'!L:L,MATCH($C274,'Policy Characteristics'!$C:$C,0)))</f>
        <v>electricity-imports-exports.html</v>
      </c>
    </row>
    <row r="275" spans="1:19" s="2" customFormat="1" x14ac:dyDescent="0.25">
      <c r="A275" s="275" t="str">
        <f>IF(ISBLANK(INDEX('Policy Characteristics'!A:A,MATCH($C275,'Policy Characteristics'!$C:$C,0))),"",INDEX('Policy Characteristics'!A:A,MATCH($C275,'Policy Characteristics'!$C:$C,0)))</f>
        <v>Electricity Supply</v>
      </c>
      <c r="B275" s="284" t="str">
        <f>IF(ISBLANK(INDEX('Policy Characteristics'!B:B,MATCH($C275,'Policy Characteristics'!$C:$C,0))),"",INDEX('Policy Characteristics'!B:B,MATCH($C275,'Policy Characteristics'!$C:$C,0)))</f>
        <v>Change Electricity Imports</v>
      </c>
      <c r="C275" s="275" t="str">
        <f t="shared" si="18"/>
        <v>Percent Change in Electricity Imports</v>
      </c>
      <c r="D275" s="6" t="s">
        <v>445</v>
      </c>
      <c r="E275" s="47"/>
      <c r="F275" s="6" t="s">
        <v>444</v>
      </c>
      <c r="G275" s="6"/>
      <c r="H275" s="49">
        <v>536</v>
      </c>
      <c r="I275" s="346" t="s">
        <v>44</v>
      </c>
      <c r="J275" s="276" t="str">
        <f>IF(ISBLANK(INDEX('Policy Characteristics'!D:D,MATCH($C275,'Policy Characteristics'!$C:$C,0))),"",INDEX('Policy Characteristics'!D:D,MATCH($C275,'Policy Characteristics'!$C:$C,0)))</f>
        <v>Electricity Imports and Exports</v>
      </c>
      <c r="K275" s="275" t="str">
        <f>IF(ISBLANK(INDEX('Policy Characteristics'!E:E,MATCH($C275,'Policy Characteristics'!$C:$C,0))),"",INDEX('Policy Characteristics'!E:E,MATCH($C275,'Policy Characteristics'!$C:$C,0)))</f>
        <v>elec change imports</v>
      </c>
      <c r="L275" s="283">
        <f>IF(ISBLANK(INDEX('Policy Characteristics'!F:F,MATCH($C275,'Policy Characteristics'!$C:$C,0))),"",INDEX('Policy Characteristics'!F:F,MATCH($C275,'Policy Characteristics'!$C:$C,0)))</f>
        <v>-0.5</v>
      </c>
      <c r="M275" s="283">
        <f>IF(ISBLANK(INDEX('Policy Characteristics'!G:G,MATCH($C275,'Policy Characteristics'!$C:$C,0))),"",INDEX('Policy Characteristics'!G:G,MATCH($C275,'Policy Characteristics'!$C:$C,0)))</f>
        <v>1</v>
      </c>
      <c r="N275" s="283">
        <f>IF(ISBLANK(INDEX('Policy Characteristics'!H:H,MATCH($C275,'Policy Characteristics'!$C:$C,0))),"",INDEX('Policy Characteristics'!H:H,MATCH($C275,'Policy Characteristics'!$C:$C,0)))</f>
        <v>0.02</v>
      </c>
      <c r="O275" s="275" t="str">
        <f>IF(ISBLANK(INDEX('Policy Characteristics'!I:I,MATCH($C275,'Policy Characteristics'!$C:$C,0))),"",INDEX('Policy Characteristics'!I:I,MATCH($C275,'Policy Characteristics'!$C:$C,0)))</f>
        <v>% change in imports</v>
      </c>
      <c r="P275" s="275" t="str">
        <f>IF(ISBLANK(INDEX('Policy Characteristics'!J:J,MATCH($C275,'Policy Characteristics'!$C:$C,0))),"",INDEX('Policy Characteristics'!J:J,MATCH($C275,'Policy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5" s="275" t="str">
        <f>IF(ISBLANK(INDEX('Policy Characteristics'!K:K,MATCH($C275,'Policy Characteristics'!$C:$C,0))),"",INDEX('Policy Characteristics'!K:K,MATCH($C275,'Policy Characteristics'!$C:$C,0)))</f>
        <v>electricity-sector-main.html#elec-imports</v>
      </c>
      <c r="R275" s="275" t="str">
        <f>IF(ISBLANK(INDEX('Policy Characteristics'!L:L,MATCH($C275,'Policy Characteristics'!$C:$C,0))),"",INDEX('Policy Characteristics'!L:L,MATCH($C275,'Policy Characteristics'!$C:$C,0)))</f>
        <v>electricity-imports-exports.html</v>
      </c>
    </row>
    <row r="276" spans="1:19" s="2" customFormat="1" x14ac:dyDescent="0.25">
      <c r="A276" s="275" t="str">
        <f>IF(ISBLANK(INDEX('Policy Characteristics'!A:A,MATCH($C276,'Policy Characteristics'!$C:$C,0))),"",INDEX('Policy Characteristics'!A:A,MATCH($C276,'Policy Characteristics'!$C:$C,0)))</f>
        <v>Electricity Supply</v>
      </c>
      <c r="B276" s="284" t="str">
        <f>IF(ISBLANK(INDEX('Policy Characteristics'!B:B,MATCH($C276,'Policy Characteristics'!$C:$C,0))),"",INDEX('Policy Characteristics'!B:B,MATCH($C276,'Policy Characteristics'!$C:$C,0)))</f>
        <v>Change Electricity Imports</v>
      </c>
      <c r="C276" s="275" t="str">
        <f t="shared" si="18"/>
        <v>Percent Change in Electricity Imports</v>
      </c>
      <c r="D276" s="6" t="s">
        <v>454</v>
      </c>
      <c r="E276" s="47"/>
      <c r="F276" s="6" t="s">
        <v>455</v>
      </c>
      <c r="G276" s="6"/>
      <c r="H276" s="49">
        <v>537</v>
      </c>
      <c r="I276" s="346" t="s">
        <v>44</v>
      </c>
      <c r="J276" s="276" t="str">
        <f>IF(ISBLANK(INDEX('Policy Characteristics'!D:D,MATCH($C276,'Policy Characteristics'!$C:$C,0))),"",INDEX('Policy Characteristics'!D:D,MATCH($C276,'Policy Characteristics'!$C:$C,0)))</f>
        <v>Electricity Imports and Exports</v>
      </c>
      <c r="K276" s="275" t="str">
        <f>IF(ISBLANK(INDEX('Policy Characteristics'!E:E,MATCH($C276,'Policy Characteristics'!$C:$C,0))),"",INDEX('Policy Characteristics'!E:E,MATCH($C276,'Policy Characteristics'!$C:$C,0)))</f>
        <v>elec change imports</v>
      </c>
      <c r="L276" s="283">
        <f>IF(ISBLANK(INDEX('Policy Characteristics'!F:F,MATCH($C276,'Policy Characteristics'!$C:$C,0))),"",INDEX('Policy Characteristics'!F:F,MATCH($C276,'Policy Characteristics'!$C:$C,0)))</f>
        <v>-0.5</v>
      </c>
      <c r="M276" s="283">
        <f>IF(ISBLANK(INDEX('Policy Characteristics'!G:G,MATCH($C276,'Policy Characteristics'!$C:$C,0))),"",INDEX('Policy Characteristics'!G:G,MATCH($C276,'Policy Characteristics'!$C:$C,0)))</f>
        <v>1</v>
      </c>
      <c r="N276" s="283">
        <f>IF(ISBLANK(INDEX('Policy Characteristics'!H:H,MATCH($C276,'Policy Characteristics'!$C:$C,0))),"",INDEX('Policy Characteristics'!H:H,MATCH($C276,'Policy Characteristics'!$C:$C,0)))</f>
        <v>0.02</v>
      </c>
      <c r="O276" s="275" t="str">
        <f>IF(ISBLANK(INDEX('Policy Characteristics'!I:I,MATCH($C276,'Policy Characteristics'!$C:$C,0))),"",INDEX('Policy Characteristics'!I:I,MATCH($C276,'Policy Characteristics'!$C:$C,0)))</f>
        <v>% change in imports</v>
      </c>
      <c r="P276" s="275" t="str">
        <f>IF(ISBLANK(INDEX('Policy Characteristics'!J:J,MATCH($C276,'Policy Characteristics'!$C:$C,0))),"",INDEX('Policy Characteristics'!J:J,MATCH($C276,'Policy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6" s="275" t="str">
        <f>IF(ISBLANK(INDEX('Policy Characteristics'!K:K,MATCH($C276,'Policy Characteristics'!$C:$C,0))),"",INDEX('Policy Characteristics'!K:K,MATCH($C276,'Policy Characteristics'!$C:$C,0)))</f>
        <v>electricity-sector-main.html#elec-imports</v>
      </c>
      <c r="R276" s="275" t="str">
        <f>IF(ISBLANK(INDEX('Policy Characteristics'!L:L,MATCH($C276,'Policy Characteristics'!$C:$C,0))),"",INDEX('Policy Characteristics'!L:L,MATCH($C276,'Policy Characteristics'!$C:$C,0)))</f>
        <v>electricity-imports-exports.html</v>
      </c>
    </row>
    <row r="277" spans="1:19" s="2" customFormat="1" x14ac:dyDescent="0.25">
      <c r="A277" s="275" t="str">
        <f>IF(ISBLANK(INDEX('Policy Characteristics'!A:A,MATCH($C277,'Policy Characteristics'!$C:$C,0))),"",INDEX('Policy Characteristics'!A:A,MATCH($C277,'Policy Characteristics'!$C:$C,0)))</f>
        <v>Electricity Supply</v>
      </c>
      <c r="B277" s="284" t="str">
        <f>IF(ISBLANK(INDEX('Policy Characteristics'!B:B,MATCH($C277,'Policy Characteristics'!$C:$C,0))),"",INDEX('Policy Characteristics'!B:B,MATCH($C277,'Policy Characteristics'!$C:$C,0)))</f>
        <v>Change Electricity Imports</v>
      </c>
      <c r="C277" s="275" t="str">
        <f t="shared" si="18"/>
        <v>Percent Change in Electricity Imports</v>
      </c>
      <c r="D277" s="6" t="s">
        <v>2752</v>
      </c>
      <c r="E277" s="47"/>
      <c r="F277" s="6" t="s">
        <v>2471</v>
      </c>
      <c r="G277" s="6"/>
      <c r="H277" s="49">
        <v>538</v>
      </c>
      <c r="I277" s="346" t="s">
        <v>44</v>
      </c>
      <c r="J277" s="276" t="str">
        <f>IF(ISBLANK(INDEX('Policy Characteristics'!D:D,MATCH($C277,'Policy Characteristics'!$C:$C,0))),"",INDEX('Policy Characteristics'!D:D,MATCH($C277,'Policy Characteristics'!$C:$C,0)))</f>
        <v>Electricity Imports and Exports</v>
      </c>
      <c r="K277" s="275" t="str">
        <f>IF(ISBLANK(INDEX('Policy Characteristics'!E:E,MATCH($C277,'Policy Characteristics'!$C:$C,0))),"",INDEX('Policy Characteristics'!E:E,MATCH($C277,'Policy Characteristics'!$C:$C,0)))</f>
        <v>elec change imports</v>
      </c>
      <c r="L277" s="283">
        <f>IF(ISBLANK(INDEX('Policy Characteristics'!F:F,MATCH($C277,'Policy Characteristics'!$C:$C,0))),"",INDEX('Policy Characteristics'!F:F,MATCH($C277,'Policy Characteristics'!$C:$C,0)))</f>
        <v>-0.5</v>
      </c>
      <c r="M277" s="283">
        <f>IF(ISBLANK(INDEX('Policy Characteristics'!G:G,MATCH($C277,'Policy Characteristics'!$C:$C,0))),"",INDEX('Policy Characteristics'!G:G,MATCH($C277,'Policy Characteristics'!$C:$C,0)))</f>
        <v>1</v>
      </c>
      <c r="N277" s="283">
        <f>IF(ISBLANK(INDEX('Policy Characteristics'!H:H,MATCH($C277,'Policy Characteristics'!$C:$C,0))),"",INDEX('Policy Characteristics'!H:H,MATCH($C277,'Policy Characteristics'!$C:$C,0)))</f>
        <v>0.02</v>
      </c>
      <c r="O277" s="275" t="str">
        <f>IF(ISBLANK(INDEX('Policy Characteristics'!I:I,MATCH($C277,'Policy Characteristics'!$C:$C,0))),"",INDEX('Policy Characteristics'!I:I,MATCH($C277,'Policy Characteristics'!$C:$C,0)))</f>
        <v>% change in imports</v>
      </c>
      <c r="P277" s="275" t="str">
        <f>IF(ISBLANK(INDEX('Policy Characteristics'!J:J,MATCH($C277,'Policy Characteristics'!$C:$C,0))),"",INDEX('Policy Characteristics'!J:J,MATCH($C277,'Policy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7" s="275" t="str">
        <f>IF(ISBLANK(INDEX('Policy Characteristics'!K:K,MATCH($C277,'Policy Characteristics'!$C:$C,0))),"",INDEX('Policy Characteristics'!K:K,MATCH($C277,'Policy Characteristics'!$C:$C,0)))</f>
        <v>electricity-sector-main.html#elec-imports</v>
      </c>
      <c r="R277" s="275" t="str">
        <f>IF(ISBLANK(INDEX('Policy Characteristics'!L:L,MATCH($C277,'Policy Characteristics'!$C:$C,0))),"",INDEX('Policy Characteristics'!L:L,MATCH($C277,'Policy Characteristics'!$C:$C,0)))</f>
        <v>electricity-imports-exports.html</v>
      </c>
    </row>
    <row r="278" spans="1:19" s="2" customFormat="1" x14ac:dyDescent="0.25">
      <c r="A278" s="275" t="str">
        <f>IF(ISBLANK(INDEX('Policy Characteristics'!A:A,MATCH($C278,'Policy Characteristics'!$C:$C,0))),"",INDEX('Policy Characteristics'!A:A,MATCH($C278,'Policy Characteristics'!$C:$C,0)))</f>
        <v>Electricity Supply</v>
      </c>
      <c r="B278" s="284" t="str">
        <f>IF(ISBLANK(INDEX('Policy Characteristics'!B:B,MATCH($C278,'Policy Characteristics'!$C:$C,0))),"",INDEX('Policy Characteristics'!B:B,MATCH($C278,'Policy Characteristics'!$C:$C,0)))</f>
        <v>Change Electricity Imports</v>
      </c>
      <c r="C278" s="275" t="str">
        <f t="shared" si="18"/>
        <v>Percent Change in Electricity Imports</v>
      </c>
      <c r="D278" s="6" t="s">
        <v>2753</v>
      </c>
      <c r="E278" s="47"/>
      <c r="F278" s="6" t="s">
        <v>2595</v>
      </c>
      <c r="G278" s="6"/>
      <c r="H278" s="49">
        <v>539</v>
      </c>
      <c r="I278" s="346" t="s">
        <v>44</v>
      </c>
      <c r="J278" s="276" t="str">
        <f>IF(ISBLANK(INDEX('Policy Characteristics'!D:D,MATCH($C278,'Policy Characteristics'!$C:$C,0))),"",INDEX('Policy Characteristics'!D:D,MATCH($C278,'Policy Characteristics'!$C:$C,0)))</f>
        <v>Electricity Imports and Exports</v>
      </c>
      <c r="K278" s="275" t="str">
        <f>IF(ISBLANK(INDEX('Policy Characteristics'!E:E,MATCH($C278,'Policy Characteristics'!$C:$C,0))),"",INDEX('Policy Characteristics'!E:E,MATCH($C278,'Policy Characteristics'!$C:$C,0)))</f>
        <v>elec change imports</v>
      </c>
      <c r="L278" s="283">
        <f>IF(ISBLANK(INDEX('Policy Characteristics'!F:F,MATCH($C278,'Policy Characteristics'!$C:$C,0))),"",INDEX('Policy Characteristics'!F:F,MATCH($C278,'Policy Characteristics'!$C:$C,0)))</f>
        <v>-0.5</v>
      </c>
      <c r="M278" s="283">
        <f>IF(ISBLANK(INDEX('Policy Characteristics'!G:G,MATCH($C278,'Policy Characteristics'!$C:$C,0))),"",INDEX('Policy Characteristics'!G:G,MATCH($C278,'Policy Characteristics'!$C:$C,0)))</f>
        <v>1</v>
      </c>
      <c r="N278" s="283">
        <f>IF(ISBLANK(INDEX('Policy Characteristics'!H:H,MATCH($C278,'Policy Characteristics'!$C:$C,0))),"",INDEX('Policy Characteristics'!H:H,MATCH($C278,'Policy Characteristics'!$C:$C,0)))</f>
        <v>0.02</v>
      </c>
      <c r="O278" s="275" t="str">
        <f>IF(ISBLANK(INDEX('Policy Characteristics'!I:I,MATCH($C278,'Policy Characteristics'!$C:$C,0))),"",INDEX('Policy Characteristics'!I:I,MATCH($C278,'Policy Characteristics'!$C:$C,0)))</f>
        <v>% change in imports</v>
      </c>
      <c r="P278" s="275" t="str">
        <f>IF(ISBLANK(INDEX('Policy Characteristics'!J:J,MATCH($C278,'Policy Characteristics'!$C:$C,0))),"",INDEX('Policy Characteristics'!J:J,MATCH($C278,'Policy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8" s="275" t="str">
        <f>IF(ISBLANK(INDEX('Policy Characteristics'!K:K,MATCH($C278,'Policy Characteristics'!$C:$C,0))),"",INDEX('Policy Characteristics'!K:K,MATCH($C278,'Policy Characteristics'!$C:$C,0)))</f>
        <v>electricity-sector-main.html#elec-imports</v>
      </c>
      <c r="R278" s="275" t="str">
        <f>IF(ISBLANK(INDEX('Policy Characteristics'!L:L,MATCH($C278,'Policy Characteristics'!$C:$C,0))),"",INDEX('Policy Characteristics'!L:L,MATCH($C278,'Policy Characteristics'!$C:$C,0)))</f>
        <v>electricity-imports-exports.html</v>
      </c>
    </row>
    <row r="279" spans="1:19" s="2" customFormat="1" x14ac:dyDescent="0.25">
      <c r="A279" s="275" t="str">
        <f>IF(ISBLANK(INDEX('Policy Characteristics'!A:A,MATCH($C279,'Policy Characteristics'!$C:$C,0))),"",INDEX('Policy Characteristics'!A:A,MATCH($C279,'Policy Characteristics'!$C:$C,0)))</f>
        <v>Electricity Supply</v>
      </c>
      <c r="B279" s="284" t="str">
        <f>IF(ISBLANK(INDEX('Policy Characteristics'!B:B,MATCH($C279,'Policy Characteristics'!$C:$C,0))),"",INDEX('Policy Characteristics'!B:B,MATCH($C279,'Policy Characteristics'!$C:$C,0)))</f>
        <v>Change Electricity Imports</v>
      </c>
      <c r="C279" s="275" t="str">
        <f t="shared" si="18"/>
        <v>Percent Change in Electricity Imports</v>
      </c>
      <c r="D279" s="6" t="s">
        <v>2754</v>
      </c>
      <c r="E279" s="47"/>
      <c r="F279" s="6" t="s">
        <v>2473</v>
      </c>
      <c r="G279" s="6"/>
      <c r="H279" s="49">
        <v>540</v>
      </c>
      <c r="I279" s="346" t="s">
        <v>44</v>
      </c>
      <c r="J279" s="276" t="str">
        <f>IF(ISBLANK(INDEX('Policy Characteristics'!D:D,MATCH($C279,'Policy Characteristics'!$C:$C,0))),"",INDEX('Policy Characteristics'!D:D,MATCH($C279,'Policy Characteristics'!$C:$C,0)))</f>
        <v>Electricity Imports and Exports</v>
      </c>
      <c r="K279" s="275" t="str">
        <f>IF(ISBLANK(INDEX('Policy Characteristics'!E:E,MATCH($C279,'Policy Characteristics'!$C:$C,0))),"",INDEX('Policy Characteristics'!E:E,MATCH($C279,'Policy Characteristics'!$C:$C,0)))</f>
        <v>elec change imports</v>
      </c>
      <c r="L279" s="283">
        <f>IF(ISBLANK(INDEX('Policy Characteristics'!F:F,MATCH($C279,'Policy Characteristics'!$C:$C,0))),"",INDEX('Policy Characteristics'!F:F,MATCH($C279,'Policy Characteristics'!$C:$C,0)))</f>
        <v>-0.5</v>
      </c>
      <c r="M279" s="283">
        <f>IF(ISBLANK(INDEX('Policy Characteristics'!G:G,MATCH($C279,'Policy Characteristics'!$C:$C,0))),"",INDEX('Policy Characteristics'!G:G,MATCH($C279,'Policy Characteristics'!$C:$C,0)))</f>
        <v>1</v>
      </c>
      <c r="N279" s="283">
        <f>IF(ISBLANK(INDEX('Policy Characteristics'!H:H,MATCH($C279,'Policy Characteristics'!$C:$C,0))),"",INDEX('Policy Characteristics'!H:H,MATCH($C279,'Policy Characteristics'!$C:$C,0)))</f>
        <v>0.02</v>
      </c>
      <c r="O279" s="275" t="str">
        <f>IF(ISBLANK(INDEX('Policy Characteristics'!I:I,MATCH($C279,'Policy Characteristics'!$C:$C,0))),"",INDEX('Policy Characteristics'!I:I,MATCH($C279,'Policy Characteristics'!$C:$C,0)))</f>
        <v>% change in imports</v>
      </c>
      <c r="P279" s="275" t="str">
        <f>IF(ISBLANK(INDEX('Policy Characteristics'!J:J,MATCH($C279,'Policy Characteristics'!$C:$C,0))),"",INDEX('Policy Characteristics'!J:J,MATCH($C279,'Policy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9" s="275" t="str">
        <f>IF(ISBLANK(INDEX('Policy Characteristics'!K:K,MATCH($C279,'Policy Characteristics'!$C:$C,0))),"",INDEX('Policy Characteristics'!K:K,MATCH($C279,'Policy Characteristics'!$C:$C,0)))</f>
        <v>electricity-sector-main.html#elec-imports</v>
      </c>
      <c r="R279" s="275" t="str">
        <f>IF(ISBLANK(INDEX('Policy Characteristics'!L:L,MATCH($C279,'Policy Characteristics'!$C:$C,0))),"",INDEX('Policy Characteristics'!L:L,MATCH($C279,'Policy Characteristics'!$C:$C,0)))</f>
        <v>electricity-imports-exports.html</v>
      </c>
    </row>
    <row r="280" spans="1:19" s="2" customFormat="1" x14ac:dyDescent="0.25">
      <c r="A280" s="275" t="str">
        <f>IF(ISBLANK(INDEX('Policy Characteristics'!A:A,MATCH($C280,'Policy Characteristics'!$C:$C,0))),"",INDEX('Policy Characteristics'!A:A,MATCH($C280,'Policy Characteristics'!$C:$C,0)))</f>
        <v>Electricity Supply</v>
      </c>
      <c r="B280" s="284" t="str">
        <f>IF(ISBLANK(INDEX('Policy Characteristics'!B:B,MATCH($C280,'Policy Characteristics'!$C:$C,0))),"",INDEX('Policy Characteristics'!B:B,MATCH($C280,'Policy Characteristics'!$C:$C,0)))</f>
        <v>Change Electricity Imports</v>
      </c>
      <c r="C280" s="275" t="str">
        <f t="shared" si="18"/>
        <v>Percent Change in Electricity Imports</v>
      </c>
      <c r="D280" s="6" t="s">
        <v>3519</v>
      </c>
      <c r="E280" s="47"/>
      <c r="F280" s="6" t="s">
        <v>3526</v>
      </c>
      <c r="G280" s="6"/>
      <c r="H280" s="49">
        <v>1754</v>
      </c>
      <c r="I280" s="346" t="s">
        <v>44</v>
      </c>
      <c r="J280" s="276" t="str">
        <f>IF(ISBLANK(INDEX('Policy Characteristics'!D:D,MATCH($C280,'Policy Characteristics'!$C:$C,0))),"",INDEX('Policy Characteristics'!D:D,MATCH($C280,'Policy Characteristics'!$C:$C,0)))</f>
        <v>Electricity Imports and Exports</v>
      </c>
      <c r="K280" s="275" t="str">
        <f>IF(ISBLANK(INDEX('Policy Characteristics'!E:E,MATCH($C280,'Policy Characteristics'!$C:$C,0))),"",INDEX('Policy Characteristics'!E:E,MATCH($C280,'Policy Characteristics'!$C:$C,0)))</f>
        <v>elec change imports</v>
      </c>
      <c r="L280" s="283">
        <f>IF(ISBLANK(INDEX('Policy Characteristics'!F:F,MATCH($C280,'Policy Characteristics'!$C:$C,0))),"",INDEX('Policy Characteristics'!F:F,MATCH($C280,'Policy Characteristics'!$C:$C,0)))</f>
        <v>-0.5</v>
      </c>
      <c r="M280" s="283">
        <f>IF(ISBLANK(INDEX('Policy Characteristics'!G:G,MATCH($C280,'Policy Characteristics'!$C:$C,0))),"",INDEX('Policy Characteristics'!G:G,MATCH($C280,'Policy Characteristics'!$C:$C,0)))</f>
        <v>1</v>
      </c>
      <c r="N280" s="283">
        <f>IF(ISBLANK(INDEX('Policy Characteristics'!H:H,MATCH($C280,'Policy Characteristics'!$C:$C,0))),"",INDEX('Policy Characteristics'!H:H,MATCH($C280,'Policy Characteristics'!$C:$C,0)))</f>
        <v>0.02</v>
      </c>
      <c r="O280" s="275" t="str">
        <f>IF(ISBLANK(INDEX('Policy Characteristics'!I:I,MATCH($C280,'Policy Characteristics'!$C:$C,0))),"",INDEX('Policy Characteristics'!I:I,MATCH($C280,'Policy Characteristics'!$C:$C,0)))</f>
        <v>% change in imports</v>
      </c>
      <c r="P280" s="275" t="str">
        <f>IF(ISBLANK(INDEX('Policy Characteristics'!J:J,MATCH($C280,'Policy Characteristics'!$C:$C,0))),"",INDEX('Policy Characteristics'!J:J,MATCH($C280,'Policy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0" s="275" t="str">
        <f>IF(ISBLANK(INDEX('Policy Characteristics'!K:K,MATCH($C280,'Policy Characteristics'!$C:$C,0))),"",INDEX('Policy Characteristics'!K:K,MATCH($C280,'Policy Characteristics'!$C:$C,0)))</f>
        <v>electricity-sector-main.html#elec-imports</v>
      </c>
      <c r="R280" s="275" t="str">
        <f>IF(ISBLANK(INDEX('Policy Characteristics'!L:L,MATCH($C280,'Policy Characteristics'!$C:$C,0))),"",INDEX('Policy Characteristics'!L:L,MATCH($C280,'Policy Characteristics'!$C:$C,0)))</f>
        <v>electricity-imports-exports.html</v>
      </c>
    </row>
    <row r="281" spans="1:19" s="2" customFormat="1" x14ac:dyDescent="0.25">
      <c r="A281" s="275" t="str">
        <f>IF(ISBLANK(INDEX('Policy Characteristics'!A:A,MATCH($C281,'Policy Characteristics'!$C:$C,0))),"",INDEX('Policy Characteristics'!A:A,MATCH($C281,'Policy Characteristics'!$C:$C,0)))</f>
        <v>Electricity Supply</v>
      </c>
      <c r="B281" s="284" t="str">
        <f>IF(ISBLANK(INDEX('Policy Characteristics'!B:B,MATCH($C281,'Policy Characteristics'!$C:$C,0))),"",INDEX('Policy Characteristics'!B:B,MATCH($C281,'Policy Characteristics'!$C:$C,0)))</f>
        <v>Change Electricity Imports</v>
      </c>
      <c r="C281" s="275" t="str">
        <f t="shared" si="18"/>
        <v>Percent Change in Electricity Imports</v>
      </c>
      <c r="D281" s="6" t="s">
        <v>3522</v>
      </c>
      <c r="E281" s="47"/>
      <c r="F281" s="6" t="s">
        <v>3527</v>
      </c>
      <c r="G281" s="6"/>
      <c r="H281" s="49">
        <v>1755</v>
      </c>
      <c r="I281" s="346" t="s">
        <v>44</v>
      </c>
      <c r="J281" s="276" t="str">
        <f>IF(ISBLANK(INDEX('Policy Characteristics'!D:D,MATCH($C281,'Policy Characteristics'!$C:$C,0))),"",INDEX('Policy Characteristics'!D:D,MATCH($C281,'Policy Characteristics'!$C:$C,0)))</f>
        <v>Electricity Imports and Exports</v>
      </c>
      <c r="K281" s="275" t="str">
        <f>IF(ISBLANK(INDEX('Policy Characteristics'!E:E,MATCH($C281,'Policy Characteristics'!$C:$C,0))),"",INDEX('Policy Characteristics'!E:E,MATCH($C281,'Policy Characteristics'!$C:$C,0)))</f>
        <v>elec change imports</v>
      </c>
      <c r="L281" s="283">
        <f>IF(ISBLANK(INDEX('Policy Characteristics'!F:F,MATCH($C281,'Policy Characteristics'!$C:$C,0))),"",INDEX('Policy Characteristics'!F:F,MATCH($C281,'Policy Characteristics'!$C:$C,0)))</f>
        <v>-0.5</v>
      </c>
      <c r="M281" s="283">
        <f>IF(ISBLANK(INDEX('Policy Characteristics'!G:G,MATCH($C281,'Policy Characteristics'!$C:$C,0))),"",INDEX('Policy Characteristics'!G:G,MATCH($C281,'Policy Characteristics'!$C:$C,0)))</f>
        <v>1</v>
      </c>
      <c r="N281" s="283">
        <f>IF(ISBLANK(INDEX('Policy Characteristics'!H:H,MATCH($C281,'Policy Characteristics'!$C:$C,0))),"",INDEX('Policy Characteristics'!H:H,MATCH($C281,'Policy Characteristics'!$C:$C,0)))</f>
        <v>0.02</v>
      </c>
      <c r="O281" s="275" t="str">
        <f>IF(ISBLANK(INDEX('Policy Characteristics'!I:I,MATCH($C281,'Policy Characteristics'!$C:$C,0))),"",INDEX('Policy Characteristics'!I:I,MATCH($C281,'Policy Characteristics'!$C:$C,0)))</f>
        <v>% change in imports</v>
      </c>
      <c r="P281" s="275" t="str">
        <f>IF(ISBLANK(INDEX('Policy Characteristics'!J:J,MATCH($C281,'Policy Characteristics'!$C:$C,0))),"",INDEX('Policy Characteristics'!J:J,MATCH($C281,'Policy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1" s="275" t="str">
        <f>IF(ISBLANK(INDEX('Policy Characteristics'!K:K,MATCH($C281,'Policy Characteristics'!$C:$C,0))),"",INDEX('Policy Characteristics'!K:K,MATCH($C281,'Policy Characteristics'!$C:$C,0)))</f>
        <v>electricity-sector-main.html#elec-imports</v>
      </c>
      <c r="R281" s="275" t="str">
        <f>IF(ISBLANK(INDEX('Policy Characteristics'!L:L,MATCH($C281,'Policy Characteristics'!$C:$C,0))),"",INDEX('Policy Characteristics'!L:L,MATCH($C281,'Policy Characteristics'!$C:$C,0)))</f>
        <v>electricity-imports-exports.html</v>
      </c>
    </row>
    <row r="282" spans="1:19" s="2" customFormat="1" x14ac:dyDescent="0.25">
      <c r="A282" s="275" t="str">
        <f>IF(ISBLANK(INDEX('Policy Characteristics'!A:A,MATCH($C282,'Policy Characteristics'!$C:$C,0))),"",INDEX('Policy Characteristics'!A:A,MATCH($C282,'Policy Characteristics'!$C:$C,0)))</f>
        <v>Electricity Supply</v>
      </c>
      <c r="B282" s="284" t="str">
        <f>IF(ISBLANK(INDEX('Policy Characteristics'!B:B,MATCH($C282,'Policy Characteristics'!$C:$C,0))),"",INDEX('Policy Characteristics'!B:B,MATCH($C282,'Policy Characteristics'!$C:$C,0)))</f>
        <v>Change Electricity Imports</v>
      </c>
      <c r="C282" s="275" t="str">
        <f t="shared" si="18"/>
        <v>Percent Change in Electricity Imports</v>
      </c>
      <c r="D282" s="6" t="s">
        <v>3523</v>
      </c>
      <c r="E282" s="47"/>
      <c r="F282" s="6" t="s">
        <v>3528</v>
      </c>
      <c r="G282" s="6"/>
      <c r="H282" s="49">
        <v>1756</v>
      </c>
      <c r="I282" s="346" t="s">
        <v>44</v>
      </c>
      <c r="J282" s="276" t="str">
        <f>IF(ISBLANK(INDEX('Policy Characteristics'!D:D,MATCH($C282,'Policy Characteristics'!$C:$C,0))),"",INDEX('Policy Characteristics'!D:D,MATCH($C282,'Policy Characteristics'!$C:$C,0)))</f>
        <v>Electricity Imports and Exports</v>
      </c>
      <c r="K282" s="275" t="str">
        <f>IF(ISBLANK(INDEX('Policy Characteristics'!E:E,MATCH($C282,'Policy Characteristics'!$C:$C,0))),"",INDEX('Policy Characteristics'!E:E,MATCH($C282,'Policy Characteristics'!$C:$C,0)))</f>
        <v>elec change imports</v>
      </c>
      <c r="L282" s="283">
        <f>IF(ISBLANK(INDEX('Policy Characteristics'!F:F,MATCH($C282,'Policy Characteristics'!$C:$C,0))),"",INDEX('Policy Characteristics'!F:F,MATCH($C282,'Policy Characteristics'!$C:$C,0)))</f>
        <v>-0.5</v>
      </c>
      <c r="M282" s="283">
        <f>IF(ISBLANK(INDEX('Policy Characteristics'!G:G,MATCH($C282,'Policy Characteristics'!$C:$C,0))),"",INDEX('Policy Characteristics'!G:G,MATCH($C282,'Policy Characteristics'!$C:$C,0)))</f>
        <v>1</v>
      </c>
      <c r="N282" s="283">
        <f>IF(ISBLANK(INDEX('Policy Characteristics'!H:H,MATCH($C282,'Policy Characteristics'!$C:$C,0))),"",INDEX('Policy Characteristics'!H:H,MATCH($C282,'Policy Characteristics'!$C:$C,0)))</f>
        <v>0.02</v>
      </c>
      <c r="O282" s="275" t="str">
        <f>IF(ISBLANK(INDEX('Policy Characteristics'!I:I,MATCH($C282,'Policy Characteristics'!$C:$C,0))),"",INDEX('Policy Characteristics'!I:I,MATCH($C282,'Policy Characteristics'!$C:$C,0)))</f>
        <v>% change in imports</v>
      </c>
      <c r="P282" s="275" t="str">
        <f>IF(ISBLANK(INDEX('Policy Characteristics'!J:J,MATCH($C282,'Policy Characteristics'!$C:$C,0))),"",INDEX('Policy Characteristics'!J:J,MATCH($C282,'Policy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2" s="275" t="str">
        <f>IF(ISBLANK(INDEX('Policy Characteristics'!K:K,MATCH($C282,'Policy Characteristics'!$C:$C,0))),"",INDEX('Policy Characteristics'!K:K,MATCH($C282,'Policy Characteristics'!$C:$C,0)))</f>
        <v>electricity-sector-main.html#elec-imports</v>
      </c>
      <c r="R282" s="275" t="str">
        <f>IF(ISBLANK(INDEX('Policy Characteristics'!L:L,MATCH($C282,'Policy Characteristics'!$C:$C,0))),"",INDEX('Policy Characteristics'!L:L,MATCH($C282,'Policy Characteristics'!$C:$C,0)))</f>
        <v>electricity-imports-exports.html</v>
      </c>
    </row>
    <row r="283" spans="1:19" s="2" customFormat="1" x14ac:dyDescent="0.25">
      <c r="A283" s="275" t="str">
        <f>IF(ISBLANK(INDEX('Policy Characteristics'!A:A,MATCH($C283,'Policy Characteristics'!$C:$C,0))),"",INDEX('Policy Characteristics'!A:A,MATCH($C283,'Policy Characteristics'!$C:$C,0)))</f>
        <v>Electricity Supply</v>
      </c>
      <c r="B283" s="284" t="str">
        <f>IF(ISBLANK(INDEX('Policy Characteristics'!B:B,MATCH($C283,'Policy Characteristics'!$C:$C,0))),"",INDEX('Policy Characteristics'!B:B,MATCH($C283,'Policy Characteristics'!$C:$C,0)))</f>
        <v>Change Electricity Imports</v>
      </c>
      <c r="C283" s="275" t="str">
        <f t="shared" si="18"/>
        <v>Percent Change in Electricity Imports</v>
      </c>
      <c r="D283" s="6" t="s">
        <v>3524</v>
      </c>
      <c r="E283" s="47"/>
      <c r="F283" s="6" t="s">
        <v>3529</v>
      </c>
      <c r="G283" s="6"/>
      <c r="H283" s="49">
        <v>1757</v>
      </c>
      <c r="I283" s="346" t="s">
        <v>44</v>
      </c>
      <c r="J283" s="276" t="str">
        <f>IF(ISBLANK(INDEX('Policy Characteristics'!D:D,MATCH($C283,'Policy Characteristics'!$C:$C,0))),"",INDEX('Policy Characteristics'!D:D,MATCH($C283,'Policy Characteristics'!$C:$C,0)))</f>
        <v>Electricity Imports and Exports</v>
      </c>
      <c r="K283" s="275" t="str">
        <f>IF(ISBLANK(INDEX('Policy Characteristics'!E:E,MATCH($C283,'Policy Characteristics'!$C:$C,0))),"",INDEX('Policy Characteristics'!E:E,MATCH($C283,'Policy Characteristics'!$C:$C,0)))</f>
        <v>elec change imports</v>
      </c>
      <c r="L283" s="283">
        <f>IF(ISBLANK(INDEX('Policy Characteristics'!F:F,MATCH($C283,'Policy Characteristics'!$C:$C,0))),"",INDEX('Policy Characteristics'!F:F,MATCH($C283,'Policy Characteristics'!$C:$C,0)))</f>
        <v>-0.5</v>
      </c>
      <c r="M283" s="283">
        <f>IF(ISBLANK(INDEX('Policy Characteristics'!G:G,MATCH($C283,'Policy Characteristics'!$C:$C,0))),"",INDEX('Policy Characteristics'!G:G,MATCH($C283,'Policy Characteristics'!$C:$C,0)))</f>
        <v>1</v>
      </c>
      <c r="N283" s="283">
        <f>IF(ISBLANK(INDEX('Policy Characteristics'!H:H,MATCH($C283,'Policy Characteristics'!$C:$C,0))),"",INDEX('Policy Characteristics'!H:H,MATCH($C283,'Policy Characteristics'!$C:$C,0)))</f>
        <v>0.02</v>
      </c>
      <c r="O283" s="275" t="str">
        <f>IF(ISBLANK(INDEX('Policy Characteristics'!I:I,MATCH($C283,'Policy Characteristics'!$C:$C,0))),"",INDEX('Policy Characteristics'!I:I,MATCH($C283,'Policy Characteristics'!$C:$C,0)))</f>
        <v>% change in imports</v>
      </c>
      <c r="P283" s="275" t="str">
        <f>IF(ISBLANK(INDEX('Policy Characteristics'!J:J,MATCH($C283,'Policy Characteristics'!$C:$C,0))),"",INDEX('Policy Characteristics'!J:J,MATCH($C283,'Policy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3" s="275" t="str">
        <f>IF(ISBLANK(INDEX('Policy Characteristics'!K:K,MATCH($C283,'Policy Characteristics'!$C:$C,0))),"",INDEX('Policy Characteristics'!K:K,MATCH($C283,'Policy Characteristics'!$C:$C,0)))</f>
        <v>electricity-sector-main.html#elec-imports</v>
      </c>
      <c r="R283" s="275" t="str">
        <f>IF(ISBLANK(INDEX('Policy Characteristics'!L:L,MATCH($C283,'Policy Characteristics'!$C:$C,0))),"",INDEX('Policy Characteristics'!L:L,MATCH($C283,'Policy Characteristics'!$C:$C,0)))</f>
        <v>electricity-imports-exports.html</v>
      </c>
    </row>
    <row r="284" spans="1:19" s="2" customFormat="1" x14ac:dyDescent="0.25">
      <c r="A284" s="275" t="str">
        <f>IF(ISBLANK(INDEX('Policy Characteristics'!A:A,MATCH($C284,'Policy Characteristics'!$C:$C,0))),"",INDEX('Policy Characteristics'!A:A,MATCH($C284,'Policy Characteristics'!$C:$C,0)))</f>
        <v>Electricity Supply</v>
      </c>
      <c r="B284" s="284" t="str">
        <f>IF(ISBLANK(INDEX('Policy Characteristics'!B:B,MATCH($C284,'Policy Characteristics'!$C:$C,0))),"",INDEX('Policy Characteristics'!B:B,MATCH($C284,'Policy Characteristics'!$C:$C,0)))</f>
        <v>Change Electricity Imports</v>
      </c>
      <c r="C284" s="275" t="str">
        <f t="shared" si="18"/>
        <v>Percent Change in Electricity Imports</v>
      </c>
      <c r="D284" s="6" t="s">
        <v>3525</v>
      </c>
      <c r="E284" s="47"/>
      <c r="F284" s="6" t="s">
        <v>3530</v>
      </c>
      <c r="G284" s="6"/>
      <c r="H284" s="49">
        <v>1758</v>
      </c>
      <c r="I284" s="346" t="s">
        <v>44</v>
      </c>
      <c r="J284" s="276" t="str">
        <f>IF(ISBLANK(INDEX('Policy Characteristics'!D:D,MATCH($C284,'Policy Characteristics'!$C:$C,0))),"",INDEX('Policy Characteristics'!D:D,MATCH($C284,'Policy Characteristics'!$C:$C,0)))</f>
        <v>Electricity Imports and Exports</v>
      </c>
      <c r="K284" s="275" t="str">
        <f>IF(ISBLANK(INDEX('Policy Characteristics'!E:E,MATCH($C284,'Policy Characteristics'!$C:$C,0))),"",INDEX('Policy Characteristics'!E:E,MATCH($C284,'Policy Characteristics'!$C:$C,0)))</f>
        <v>elec change imports</v>
      </c>
      <c r="L284" s="283">
        <f>IF(ISBLANK(INDEX('Policy Characteristics'!F:F,MATCH($C284,'Policy Characteristics'!$C:$C,0))),"",INDEX('Policy Characteristics'!F:F,MATCH($C284,'Policy Characteristics'!$C:$C,0)))</f>
        <v>-0.5</v>
      </c>
      <c r="M284" s="283">
        <f>IF(ISBLANK(INDEX('Policy Characteristics'!G:G,MATCH($C284,'Policy Characteristics'!$C:$C,0))),"",INDEX('Policy Characteristics'!G:G,MATCH($C284,'Policy Characteristics'!$C:$C,0)))</f>
        <v>1</v>
      </c>
      <c r="N284" s="283">
        <f>IF(ISBLANK(INDEX('Policy Characteristics'!H:H,MATCH($C284,'Policy Characteristics'!$C:$C,0))),"",INDEX('Policy Characteristics'!H:H,MATCH($C284,'Policy Characteristics'!$C:$C,0)))</f>
        <v>0.02</v>
      </c>
      <c r="O284" s="275" t="str">
        <f>IF(ISBLANK(INDEX('Policy Characteristics'!I:I,MATCH($C284,'Policy Characteristics'!$C:$C,0))),"",INDEX('Policy Characteristics'!I:I,MATCH($C284,'Policy Characteristics'!$C:$C,0)))</f>
        <v>% change in imports</v>
      </c>
      <c r="P284" s="275" t="str">
        <f>IF(ISBLANK(INDEX('Policy Characteristics'!J:J,MATCH($C284,'Policy Characteristics'!$C:$C,0))),"",INDEX('Policy Characteristics'!J:J,MATCH($C284,'Policy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4" s="275" t="str">
        <f>IF(ISBLANK(INDEX('Policy Characteristics'!K:K,MATCH($C284,'Policy Characteristics'!$C:$C,0))),"",INDEX('Policy Characteristics'!K:K,MATCH($C284,'Policy Characteristics'!$C:$C,0)))</f>
        <v>electricity-sector-main.html#elec-imports</v>
      </c>
      <c r="R284" s="275" t="str">
        <f>IF(ISBLANK(INDEX('Policy Characteristics'!L:L,MATCH($C284,'Policy Characteristics'!$C:$C,0))),"",INDEX('Policy Characteristics'!L:L,MATCH($C284,'Policy Characteristics'!$C:$C,0)))</f>
        <v>electricity-imports-exports.html</v>
      </c>
    </row>
    <row r="285" spans="1:19" s="2" customFormat="1" x14ac:dyDescent="0.25">
      <c r="A285" s="275" t="str">
        <f>IF(ISBLANK(INDEX('Policy Characteristics'!A:A,MATCH($C285,'Policy Characteristics'!$C:$C,0))),"",INDEX('Policy Characteristics'!A:A,MATCH($C285,'Policy Characteristics'!$C:$C,0)))</f>
        <v>Electricity Supply</v>
      </c>
      <c r="B285" s="284" t="str">
        <f>IF(ISBLANK(INDEX('Policy Characteristics'!B:B,MATCH($C285,'Policy Characteristics'!$C:$C,0))),"",INDEX('Policy Characteristics'!B:B,MATCH($C285,'Policy Characteristics'!$C:$C,0)))</f>
        <v>Change Electricity Imports</v>
      </c>
      <c r="C285" s="275" t="str">
        <f t="shared" si="18"/>
        <v>Percent Change in Electricity Imports</v>
      </c>
      <c r="D285" s="6" t="s">
        <v>3616</v>
      </c>
      <c r="E285" s="47"/>
      <c r="F285" s="6" t="s">
        <v>3614</v>
      </c>
      <c r="G285" s="6"/>
      <c r="H285" s="49">
        <v>1759</v>
      </c>
      <c r="I285" s="346" t="s">
        <v>44</v>
      </c>
      <c r="J285" s="276" t="str">
        <f>IF(ISBLANK(INDEX('Policy Characteristics'!D:D,MATCH($C285,'Policy Characteristics'!$C:$C,0))),"",INDEX('Policy Characteristics'!D:D,MATCH($C285,'Policy Characteristics'!$C:$C,0)))</f>
        <v>Electricity Imports and Exports</v>
      </c>
      <c r="K285" s="275" t="str">
        <f>IF(ISBLANK(INDEX('Policy Characteristics'!E:E,MATCH($C285,'Policy Characteristics'!$C:$C,0))),"",INDEX('Policy Characteristics'!E:E,MATCH($C285,'Policy Characteristics'!$C:$C,0)))</f>
        <v>elec change imports</v>
      </c>
      <c r="L285" s="283">
        <f>IF(ISBLANK(INDEX('Policy Characteristics'!F:F,MATCH($C285,'Policy Characteristics'!$C:$C,0))),"",INDEX('Policy Characteristics'!F:F,MATCH($C285,'Policy Characteristics'!$C:$C,0)))</f>
        <v>-0.5</v>
      </c>
      <c r="M285" s="283">
        <f>IF(ISBLANK(INDEX('Policy Characteristics'!G:G,MATCH($C285,'Policy Characteristics'!$C:$C,0))),"",INDEX('Policy Characteristics'!G:G,MATCH($C285,'Policy Characteristics'!$C:$C,0)))</f>
        <v>1</v>
      </c>
      <c r="N285" s="283">
        <f>IF(ISBLANK(INDEX('Policy Characteristics'!H:H,MATCH($C285,'Policy Characteristics'!$C:$C,0))),"",INDEX('Policy Characteristics'!H:H,MATCH($C285,'Policy Characteristics'!$C:$C,0)))</f>
        <v>0.02</v>
      </c>
      <c r="O285" s="275" t="str">
        <f>IF(ISBLANK(INDEX('Policy Characteristics'!I:I,MATCH($C285,'Policy Characteristics'!$C:$C,0))),"",INDEX('Policy Characteristics'!I:I,MATCH($C285,'Policy Characteristics'!$C:$C,0)))</f>
        <v>% change in imports</v>
      </c>
      <c r="P285" s="275" t="str">
        <f>IF(ISBLANK(INDEX('Policy Characteristics'!J:J,MATCH($C285,'Policy Characteristics'!$C:$C,0))),"",INDEX('Policy Characteristics'!J:J,MATCH($C285,'Policy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5" s="275" t="str">
        <f>IF(ISBLANK(INDEX('Policy Characteristics'!K:K,MATCH($C285,'Policy Characteristics'!$C:$C,0))),"",INDEX('Policy Characteristics'!K:K,MATCH($C285,'Policy Characteristics'!$C:$C,0)))</f>
        <v>electricity-sector-main.html#elec-imports</v>
      </c>
      <c r="R285" s="275" t="str">
        <f>IF(ISBLANK(INDEX('Policy Characteristics'!L:L,MATCH($C285,'Policy Characteristics'!$C:$C,0))),"",INDEX('Policy Characteristics'!L:L,MATCH($C285,'Policy Characteristics'!$C:$C,0)))</f>
        <v>electricity-imports-exports.html</v>
      </c>
    </row>
    <row r="286" spans="1:19" s="2" customFormat="1" x14ac:dyDescent="0.25">
      <c r="A286" s="275" t="str">
        <f>IF(ISBLANK(INDEX('Policy Characteristics'!A:A,MATCH($C286,'Policy Characteristics'!$C:$C,0))),"",INDEX('Policy Characteristics'!A:A,MATCH($C286,'Policy Characteristics'!$C:$C,0)))</f>
        <v>Electricity Supply</v>
      </c>
      <c r="B286" s="284" t="str">
        <f>IF(ISBLANK(INDEX('Policy Characteristics'!B:B,MATCH($C286,'Policy Characteristics'!$C:$C,0))),"",INDEX('Policy Characteristics'!B:B,MATCH($C286,'Policy Characteristics'!$C:$C,0)))</f>
        <v>Change Electricity Imports</v>
      </c>
      <c r="C286" s="275" t="str">
        <f t="shared" si="18"/>
        <v>Percent Change in Electricity Imports</v>
      </c>
      <c r="D286" s="6" t="s">
        <v>3617</v>
      </c>
      <c r="E286" s="47"/>
      <c r="F286" s="6" t="s">
        <v>3615</v>
      </c>
      <c r="G286" s="6"/>
      <c r="H286" s="49">
        <v>2237</v>
      </c>
      <c r="I286" s="346" t="s">
        <v>44</v>
      </c>
      <c r="J286" s="276" t="str">
        <f>IF(ISBLANK(INDEX('Policy Characteristics'!D:D,MATCH($C286,'Policy Characteristics'!$C:$C,0))),"",INDEX('Policy Characteristics'!D:D,MATCH($C286,'Policy Characteristics'!$C:$C,0)))</f>
        <v>Electricity Imports and Exports</v>
      </c>
      <c r="K286" s="275" t="str">
        <f>IF(ISBLANK(INDEX('Policy Characteristics'!E:E,MATCH($C286,'Policy Characteristics'!$C:$C,0))),"",INDEX('Policy Characteristics'!E:E,MATCH($C286,'Policy Characteristics'!$C:$C,0)))</f>
        <v>elec change imports</v>
      </c>
      <c r="L286" s="283">
        <f>IF(ISBLANK(INDEX('Policy Characteristics'!F:F,MATCH($C286,'Policy Characteristics'!$C:$C,0))),"",INDEX('Policy Characteristics'!F:F,MATCH($C286,'Policy Characteristics'!$C:$C,0)))</f>
        <v>-0.5</v>
      </c>
      <c r="M286" s="283">
        <f>IF(ISBLANK(INDEX('Policy Characteristics'!G:G,MATCH($C286,'Policy Characteristics'!$C:$C,0))),"",INDEX('Policy Characteristics'!G:G,MATCH($C286,'Policy Characteristics'!$C:$C,0)))</f>
        <v>1</v>
      </c>
      <c r="N286" s="283">
        <f>IF(ISBLANK(INDEX('Policy Characteristics'!H:H,MATCH($C286,'Policy Characteristics'!$C:$C,0))),"",INDEX('Policy Characteristics'!H:H,MATCH($C286,'Policy Characteristics'!$C:$C,0)))</f>
        <v>0.02</v>
      </c>
      <c r="O286" s="275" t="str">
        <f>IF(ISBLANK(INDEX('Policy Characteristics'!I:I,MATCH($C286,'Policy Characteristics'!$C:$C,0))),"",INDEX('Policy Characteristics'!I:I,MATCH($C286,'Policy Characteristics'!$C:$C,0)))</f>
        <v>% change in imports</v>
      </c>
      <c r="P286" s="275" t="str">
        <f>IF(ISBLANK(INDEX('Policy Characteristics'!J:J,MATCH($C286,'Policy Characteristics'!$C:$C,0))),"",INDEX('Policy Characteristics'!J:J,MATCH($C286,'Policy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6" s="275" t="str">
        <f>IF(ISBLANK(INDEX('Policy Characteristics'!K:K,MATCH($C286,'Policy Characteristics'!$C:$C,0))),"",INDEX('Policy Characteristics'!K:K,MATCH($C286,'Policy Characteristics'!$C:$C,0)))</f>
        <v>electricity-sector-main.html#elec-imports</v>
      </c>
      <c r="R286" s="275" t="str">
        <f>IF(ISBLANK(INDEX('Policy Characteristics'!L:L,MATCH($C286,'Policy Characteristics'!$C:$C,0))),"",INDEX('Policy Characteristics'!L:L,MATCH($C286,'Policy Characteristics'!$C:$C,0)))</f>
        <v>electricity-imports-exports.html</v>
      </c>
    </row>
    <row r="287" spans="1:19" x14ac:dyDescent="0.25">
      <c r="A287" s="275" t="str">
        <f>IF(ISBLANK(INDEX('Policy Characteristics'!A:A,MATCH($C287,'Policy Characteristics'!$C:$C,0))),"",INDEX('Policy Characteristics'!A:A,MATCH($C287,'Policy Characteristics'!$C:$C,0)))</f>
        <v>Electricity Supply</v>
      </c>
      <c r="B287" s="284" t="str">
        <f>IF(ISBLANK(INDEX('Policy Characteristics'!B:B,MATCH($C287,'Policy Characteristics'!$C:$C,0))),"",INDEX('Policy Characteristics'!B:B,MATCH($C287,'Policy Characteristics'!$C:$C,0)))</f>
        <v>Non BAU Guaranteed Dispatch</v>
      </c>
      <c r="C287" t="s">
        <v>302</v>
      </c>
      <c r="D287" s="47"/>
      <c r="E287" s="47"/>
      <c r="F287" s="47"/>
      <c r="G287" s="47"/>
      <c r="H287" s="44">
        <v>619</v>
      </c>
      <c r="I287" s="346" t="s">
        <v>44</v>
      </c>
      <c r="J287" s="276" t="str">
        <f>IF(ISBLANK(INDEX('Policy Characteristics'!D:D,MATCH($C287,'Policy Characteristics'!$C:$C,0))),"",INDEX('Policy Characteristics'!D:D,MATCH($C287,'Policy Characteristics'!$C:$C,0)))</f>
        <v>Non BAU Guaranteed Dispatch</v>
      </c>
      <c r="K287" s="275" t="str">
        <f>IF(ISBLANK(INDEX('Policy Characteristics'!E:E,MATCH($C287,'Policy Characteristics'!$C:$C,0))),"",INDEX('Policy Characteristics'!E:E,MATCH($C287,'Policy Characteristics'!$C:$C,0)))</f>
        <v>elec non BAU guaranteed dispatch</v>
      </c>
      <c r="L287" s="283">
        <f>IF(ISBLANK(INDEX('Policy Characteristics'!F:F,MATCH($C287,'Policy Characteristics'!$C:$C,0))),"",INDEX('Policy Characteristics'!F:F,MATCH($C287,'Policy Characteristics'!$C:$C,0)))</f>
        <v>0</v>
      </c>
      <c r="M287" s="283">
        <f>IF(ISBLANK(INDEX('Policy Characteristics'!G:G,MATCH($C287,'Policy Characteristics'!$C:$C,0))),"",INDEX('Policy Characteristics'!G:G,MATCH($C287,'Policy Characteristics'!$C:$C,0)))</f>
        <v>1</v>
      </c>
      <c r="N287" s="283">
        <f>IF(ISBLANK(INDEX('Policy Characteristics'!H:H,MATCH($C287,'Policy Characteristics'!$C:$C,0))),"",INDEX('Policy Characteristics'!H:H,MATCH($C287,'Policy Characteristics'!$C:$C,0)))</f>
        <v>1</v>
      </c>
      <c r="O287" s="275" t="str">
        <f>IF(ISBLANK(INDEX('Policy Characteristics'!I:I,MATCH($C287,'Policy Characteristics'!$C:$C,0))),"",INDEX('Policy Characteristics'!I:I,MATCH($C287,'Policy Characteristics'!$C:$C,0)))</f>
        <v>on/off</v>
      </c>
      <c r="P287" s="275" t="str">
        <f>IF(ISBLANK(INDEX('Policy Characteristics'!J:J,MATCH($C287,'Policy Characteristics'!$C:$C,0))),"",INDEX('Policy Characteristics'!J:J,MATCH($C287,'Policy Characteristics'!$C:$C,0)))</f>
        <v/>
      </c>
      <c r="Q287" s="275" t="str">
        <f>IF(ISBLANK(INDEX('Policy Characteristics'!K:K,MATCH($C287,'Policy Characteristics'!$C:$C,0))),"",INDEX('Policy Characteristics'!K:K,MATCH($C287,'Policy Characteristics'!$C:$C,0)))</f>
        <v/>
      </c>
      <c r="R287" s="275" t="str">
        <f>IF(ISBLANK(INDEX('Policy Characteristics'!L:L,MATCH($C287,'Policy Characteristics'!$C:$C,0))),"",INDEX('Policy Characteristics'!L:L,MATCH($C287,'Policy Characteristics'!$C:$C,0)))</f>
        <v/>
      </c>
    </row>
    <row r="288" spans="1:19" x14ac:dyDescent="0.25">
      <c r="A288" s="275" t="str">
        <f>IF(ISBLANK(INDEX('Policy Characteristics'!A:A,MATCH($C288,'Policy Characteristics'!$C:$C,0))),"",INDEX('Policy Characteristics'!A:A,MATCH($C288,'Policy Characteristics'!$C:$C,0)))</f>
        <v>Electricity Supply</v>
      </c>
      <c r="B288" s="284" t="str">
        <f>IF(ISBLANK(INDEX('Policy Characteristics'!B:B,MATCH($C288,'Policy Characteristics'!$C:$C,0))),"",INDEX('Policy Characteristics'!B:B,MATCH($C288,'Policy Characteristics'!$C:$C,0)))</f>
        <v>Decrease Cost of Capital</v>
      </c>
      <c r="C288" s="1" t="s">
        <v>3514</v>
      </c>
      <c r="D288" s="47" t="s">
        <v>448</v>
      </c>
      <c r="E288" s="47"/>
      <c r="F288" s="47" t="s">
        <v>447</v>
      </c>
      <c r="G288" s="6"/>
      <c r="H288" s="44">
        <v>1730</v>
      </c>
      <c r="I288" s="347" t="s">
        <v>44</v>
      </c>
      <c r="J288" s="276" t="str">
        <f>IF(ISBLANK(INDEX('Policy Characteristics'!D:D,MATCH($C288,'Policy Characteristics'!$C:$C,0))),"",INDEX('Policy Characteristics'!D:D,MATCH($C288,'Policy Characteristics'!$C:$C,0)))</f>
        <v>Decrease Electricity Sector Cost of Capital</v>
      </c>
      <c r="K288" s="275" t="str">
        <f>IF(ISBLANK(INDEX('Policy Characteristics'!E:E,MATCH($C288,'Policy Characteristics'!$C:$C,0))),"",INDEX('Policy Characteristics'!E:E,MATCH($C288,'Policy Characteristics'!$C:$C,0)))</f>
        <v>elec power plant cost of capital</v>
      </c>
      <c r="L288" s="275">
        <f>IF(ISBLANK(INDEX('Policy Characteristics'!F:F,MATCH($C288,'Policy Characteristics'!$C:$C,0))),"",INDEX('Policy Characteristics'!F:F,MATCH($C288,'Policy Characteristics'!$C:$C,0)))</f>
        <v>0</v>
      </c>
      <c r="M288" s="275">
        <f>IF(ISBLANK(INDEX('Policy Characteristics'!G:G,MATCH($C288,'Policy Characteristics'!$C:$C,0))),"",INDEX('Policy Characteristics'!G:G,MATCH($C288,'Policy Characteristics'!$C:$C,0)))</f>
        <v>100</v>
      </c>
      <c r="N288" s="275">
        <f>IF(ISBLANK(INDEX('Policy Characteristics'!H:H,MATCH($C288,'Policy Characteristics'!$C:$C,0))),"",INDEX('Policy Characteristics'!H:H,MATCH($C288,'Policy Characteristics'!$C:$C,0)))</f>
        <v>1</v>
      </c>
      <c r="O288" s="275" t="str">
        <f>IF(ISBLANK(INDEX('Policy Characteristics'!I:I,MATCH($C288,'Policy Characteristics'!$C:$C,0))),"",INDEX('Policy Characteristics'!I:I,MATCH($C288,'Policy Characteristics'!$C:$C,0)))</f>
        <v>% decrease</v>
      </c>
      <c r="P288" s="275" t="str">
        <f>IF(ISBLANK(INDEX('Policy Characteristics'!J:J,MATCH($C288,'Policy Characteristics'!$C:$C,0))),"",INDEX('Policy Characteristics'!J:J,MATCH($C288,'Policy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88" s="275" t="str">
        <f>IF(ISBLANK(INDEX('Policy Characteristics'!K:K,MATCH($C288,'Policy Characteristics'!$C:$C,0))),"",INDEX('Policy Characteristics'!K:K,MATCH($C288,'Policy Characteristics'!$C:$C,0)))</f>
        <v/>
      </c>
      <c r="R288" s="275" t="str">
        <f>IF(ISBLANK(INDEX('Policy Characteristics'!L:L,MATCH($C288,'Policy Characteristics'!$C:$C,0))),"",INDEX('Policy Characteristics'!L:L,MATCH($C288,'Policy Characteristics'!$C:$C,0)))</f>
        <v/>
      </c>
      <c r="S288" s="336"/>
    </row>
    <row r="289" spans="1:19" x14ac:dyDescent="0.25">
      <c r="A289" s="275" t="str">
        <f>IF(ISBLANK(INDEX('Policy Characteristics'!A:A,MATCH($C289,'Policy Characteristics'!$C:$C,0))),"",INDEX('Policy Characteristics'!A:A,MATCH($C289,'Policy Characteristics'!$C:$C,0)))</f>
        <v>Electricity Supply</v>
      </c>
      <c r="B289" s="284" t="str">
        <f>IF(ISBLANK(INDEX('Policy Characteristics'!B:B,MATCH($C289,'Policy Characteristics'!$C:$C,0))),"",INDEX('Policy Characteristics'!B:B,MATCH($C289,'Policy Characteristics'!$C:$C,0)))</f>
        <v>Decrease Cost of Capital</v>
      </c>
      <c r="C289" s="275" t="str">
        <f t="shared" ref="C289:C311" si="19">$C$288</f>
        <v>Percentage Decrease in Cost of Capital for Power Plants</v>
      </c>
      <c r="D289" s="6" t="s">
        <v>3520</v>
      </c>
      <c r="E289" s="47"/>
      <c r="F289" s="6" t="s">
        <v>3453</v>
      </c>
      <c r="G289" s="6"/>
      <c r="H289" s="44">
        <v>1731</v>
      </c>
      <c r="I289" s="347" t="s">
        <v>44</v>
      </c>
      <c r="J289" s="276" t="str">
        <f>IF(ISBLANK(INDEX('Policy Characteristics'!D:D,MATCH($C289,'Policy Characteristics'!$C:$C,0))),"",INDEX('Policy Characteristics'!D:D,MATCH($C289,'Policy Characteristics'!$C:$C,0)))</f>
        <v>Decrease Electricity Sector Cost of Capital</v>
      </c>
      <c r="K289" s="275" t="str">
        <f>IF(ISBLANK(INDEX('Policy Characteristics'!E:E,MATCH($C289,'Policy Characteristics'!$C:$C,0))),"",INDEX('Policy Characteristics'!E:E,MATCH($C289,'Policy Characteristics'!$C:$C,0)))</f>
        <v>elec power plant cost of capital</v>
      </c>
      <c r="L289" s="275">
        <f>IF(ISBLANK(INDEX('Policy Characteristics'!F:F,MATCH($C289,'Policy Characteristics'!$C:$C,0))),"",INDEX('Policy Characteristics'!F:F,MATCH($C289,'Policy Characteristics'!$C:$C,0)))</f>
        <v>0</v>
      </c>
      <c r="M289" s="275">
        <f>IF(ISBLANK(INDEX('Policy Characteristics'!G:G,MATCH($C289,'Policy Characteristics'!$C:$C,0))),"",INDEX('Policy Characteristics'!G:G,MATCH($C289,'Policy Characteristics'!$C:$C,0)))</f>
        <v>100</v>
      </c>
      <c r="N289" s="275">
        <f>IF(ISBLANK(INDEX('Policy Characteristics'!H:H,MATCH($C289,'Policy Characteristics'!$C:$C,0))),"",INDEX('Policy Characteristics'!H:H,MATCH($C289,'Policy Characteristics'!$C:$C,0)))</f>
        <v>1</v>
      </c>
      <c r="O289" s="275" t="str">
        <f>IF(ISBLANK(INDEX('Policy Characteristics'!I:I,MATCH($C289,'Policy Characteristics'!$C:$C,0))),"",INDEX('Policy Characteristics'!I:I,MATCH($C289,'Policy Characteristics'!$C:$C,0)))</f>
        <v>% decrease</v>
      </c>
      <c r="P289" s="275" t="str">
        <f>IF(ISBLANK(INDEX('Policy Characteristics'!J:J,MATCH($C289,'Policy Characteristics'!$C:$C,0))),"",INDEX('Policy Characteristics'!J:J,MATCH($C289,'Policy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89" s="275" t="str">
        <f>IF(ISBLANK(INDEX('Policy Characteristics'!K:K,MATCH($C289,'Policy Characteristics'!$C:$C,0))),"",INDEX('Policy Characteristics'!K:K,MATCH($C289,'Policy Characteristics'!$C:$C,0)))</f>
        <v/>
      </c>
      <c r="R289" s="275" t="str">
        <f>IF(ISBLANK(INDEX('Policy Characteristics'!L:L,MATCH($C289,'Policy Characteristics'!$C:$C,0))),"",INDEX('Policy Characteristics'!L:L,MATCH($C289,'Policy Characteristics'!$C:$C,0)))</f>
        <v/>
      </c>
      <c r="S289" s="336"/>
    </row>
    <row r="290" spans="1:19" x14ac:dyDescent="0.25">
      <c r="A290" s="275" t="str">
        <f>IF(ISBLANK(INDEX('Policy Characteristics'!A:A,MATCH($C290,'Policy Characteristics'!$C:$C,0))),"",INDEX('Policy Characteristics'!A:A,MATCH($C290,'Policy Characteristics'!$C:$C,0)))</f>
        <v>Electricity Supply</v>
      </c>
      <c r="B290" s="284" t="str">
        <f>IF(ISBLANK(INDEX('Policy Characteristics'!B:B,MATCH($C290,'Policy Characteristics'!$C:$C,0))),"",INDEX('Policy Characteristics'!B:B,MATCH($C290,'Policy Characteristics'!$C:$C,0)))</f>
        <v>Decrease Cost of Capital</v>
      </c>
      <c r="C290" s="275" t="str">
        <f t="shared" si="19"/>
        <v>Percentage Decrease in Cost of Capital for Power Plants</v>
      </c>
      <c r="D290" s="6" t="s">
        <v>3521</v>
      </c>
      <c r="E290" s="47"/>
      <c r="F290" s="6" t="s">
        <v>3454</v>
      </c>
      <c r="G290" s="6"/>
      <c r="H290" s="44">
        <v>1803</v>
      </c>
      <c r="I290" s="347" t="s">
        <v>44</v>
      </c>
      <c r="J290" s="276" t="str">
        <f>IF(ISBLANK(INDEX('Policy Characteristics'!D:D,MATCH($C290,'Policy Characteristics'!$C:$C,0))),"",INDEX('Policy Characteristics'!D:D,MATCH($C290,'Policy Characteristics'!$C:$C,0)))</f>
        <v>Decrease Electricity Sector Cost of Capital</v>
      </c>
      <c r="K290" s="275" t="str">
        <f>IF(ISBLANK(INDEX('Policy Characteristics'!E:E,MATCH($C290,'Policy Characteristics'!$C:$C,0))),"",INDEX('Policy Characteristics'!E:E,MATCH($C290,'Policy Characteristics'!$C:$C,0)))</f>
        <v>elec power plant cost of capital</v>
      </c>
      <c r="L290" s="275">
        <f>IF(ISBLANK(INDEX('Policy Characteristics'!F:F,MATCH($C290,'Policy Characteristics'!$C:$C,0))),"",INDEX('Policy Characteristics'!F:F,MATCH($C290,'Policy Characteristics'!$C:$C,0)))</f>
        <v>0</v>
      </c>
      <c r="M290" s="275">
        <f>IF(ISBLANK(INDEX('Policy Characteristics'!G:G,MATCH($C290,'Policy Characteristics'!$C:$C,0))),"",INDEX('Policy Characteristics'!G:G,MATCH($C290,'Policy Characteristics'!$C:$C,0)))</f>
        <v>100</v>
      </c>
      <c r="N290" s="275">
        <f>IF(ISBLANK(INDEX('Policy Characteristics'!H:H,MATCH($C290,'Policy Characteristics'!$C:$C,0))),"",INDEX('Policy Characteristics'!H:H,MATCH($C290,'Policy Characteristics'!$C:$C,0)))</f>
        <v>1</v>
      </c>
      <c r="O290" s="275" t="str">
        <f>IF(ISBLANK(INDEX('Policy Characteristics'!I:I,MATCH($C290,'Policy Characteristics'!$C:$C,0))),"",INDEX('Policy Characteristics'!I:I,MATCH($C290,'Policy Characteristics'!$C:$C,0)))</f>
        <v>% decrease</v>
      </c>
      <c r="P290" s="275" t="str">
        <f>IF(ISBLANK(INDEX('Policy Characteristics'!J:J,MATCH($C290,'Policy Characteristics'!$C:$C,0))),"",INDEX('Policy Characteristics'!J:J,MATCH($C290,'Policy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0" s="275" t="str">
        <f>IF(ISBLANK(INDEX('Policy Characteristics'!K:K,MATCH($C290,'Policy Characteristics'!$C:$C,0))),"",INDEX('Policy Characteristics'!K:K,MATCH($C290,'Policy Characteristics'!$C:$C,0)))</f>
        <v/>
      </c>
      <c r="R290" s="275" t="str">
        <f>IF(ISBLANK(INDEX('Policy Characteristics'!L:L,MATCH($C290,'Policy Characteristics'!$C:$C,0))),"",INDEX('Policy Characteristics'!L:L,MATCH($C290,'Policy Characteristics'!$C:$C,0)))</f>
        <v/>
      </c>
      <c r="S290" s="336"/>
    </row>
    <row r="291" spans="1:19" x14ac:dyDescent="0.25">
      <c r="A291" s="275" t="str">
        <f>IF(ISBLANK(INDEX('Policy Characteristics'!A:A,MATCH($C291,'Policy Characteristics'!$C:$C,0))),"",INDEX('Policy Characteristics'!A:A,MATCH($C291,'Policy Characteristics'!$C:$C,0)))</f>
        <v>Electricity Supply</v>
      </c>
      <c r="B291" s="284" t="str">
        <f>IF(ISBLANK(INDEX('Policy Characteristics'!B:B,MATCH($C291,'Policy Characteristics'!$C:$C,0))),"",INDEX('Policy Characteristics'!B:B,MATCH($C291,'Policy Characteristics'!$C:$C,0)))</f>
        <v>Decrease Cost of Capital</v>
      </c>
      <c r="C291" s="275" t="str">
        <f t="shared" si="19"/>
        <v>Percentage Decrease in Cost of Capital for Power Plants</v>
      </c>
      <c r="D291" s="6" t="s">
        <v>76</v>
      </c>
      <c r="E291" s="47"/>
      <c r="F291" s="6" t="s">
        <v>3531</v>
      </c>
      <c r="G291" s="6"/>
      <c r="H291" s="44">
        <v>1732</v>
      </c>
      <c r="I291" s="347" t="s">
        <v>44</v>
      </c>
      <c r="J291" s="276" t="str">
        <f>IF(ISBLANK(INDEX('Policy Characteristics'!D:D,MATCH($C291,'Policy Characteristics'!$C:$C,0))),"",INDEX('Policy Characteristics'!D:D,MATCH($C291,'Policy Characteristics'!$C:$C,0)))</f>
        <v>Decrease Electricity Sector Cost of Capital</v>
      </c>
      <c r="K291" s="275" t="str">
        <f>IF(ISBLANK(INDEX('Policy Characteristics'!E:E,MATCH($C291,'Policy Characteristics'!$C:$C,0))),"",INDEX('Policy Characteristics'!E:E,MATCH($C291,'Policy Characteristics'!$C:$C,0)))</f>
        <v>elec power plant cost of capital</v>
      </c>
      <c r="L291" s="275">
        <f>IF(ISBLANK(INDEX('Policy Characteristics'!F:F,MATCH($C291,'Policy Characteristics'!$C:$C,0))),"",INDEX('Policy Characteristics'!F:F,MATCH($C291,'Policy Characteristics'!$C:$C,0)))</f>
        <v>0</v>
      </c>
      <c r="M291" s="275">
        <f>IF(ISBLANK(INDEX('Policy Characteristics'!G:G,MATCH($C291,'Policy Characteristics'!$C:$C,0))),"",INDEX('Policy Characteristics'!G:G,MATCH($C291,'Policy Characteristics'!$C:$C,0)))</f>
        <v>100</v>
      </c>
      <c r="N291" s="275">
        <f>IF(ISBLANK(INDEX('Policy Characteristics'!H:H,MATCH($C291,'Policy Characteristics'!$C:$C,0))),"",INDEX('Policy Characteristics'!H:H,MATCH($C291,'Policy Characteristics'!$C:$C,0)))</f>
        <v>1</v>
      </c>
      <c r="O291" s="275" t="str">
        <f>IF(ISBLANK(INDEX('Policy Characteristics'!I:I,MATCH($C291,'Policy Characteristics'!$C:$C,0))),"",INDEX('Policy Characteristics'!I:I,MATCH($C291,'Policy Characteristics'!$C:$C,0)))</f>
        <v>% decrease</v>
      </c>
      <c r="P291" s="275" t="str">
        <f>IF(ISBLANK(INDEX('Policy Characteristics'!J:J,MATCH($C291,'Policy Characteristics'!$C:$C,0))),"",INDEX('Policy Characteristics'!J:J,MATCH($C291,'Policy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1" s="275" t="str">
        <f>IF(ISBLANK(INDEX('Policy Characteristics'!K:K,MATCH($C291,'Policy Characteristics'!$C:$C,0))),"",INDEX('Policy Characteristics'!K:K,MATCH($C291,'Policy Characteristics'!$C:$C,0)))</f>
        <v/>
      </c>
      <c r="R291" s="275" t="str">
        <f>IF(ISBLANK(INDEX('Policy Characteristics'!L:L,MATCH($C291,'Policy Characteristics'!$C:$C,0))),"",INDEX('Policy Characteristics'!L:L,MATCH($C291,'Policy Characteristics'!$C:$C,0)))</f>
        <v/>
      </c>
      <c r="S291" s="336"/>
    </row>
    <row r="292" spans="1:19" x14ac:dyDescent="0.25">
      <c r="A292" s="275" t="str">
        <f>IF(ISBLANK(INDEX('Policy Characteristics'!A:A,MATCH($C292,'Policy Characteristics'!$C:$C,0))),"",INDEX('Policy Characteristics'!A:A,MATCH($C292,'Policy Characteristics'!$C:$C,0)))</f>
        <v>Electricity Supply</v>
      </c>
      <c r="B292" s="284" t="str">
        <f>IF(ISBLANK(INDEX('Policy Characteristics'!B:B,MATCH($C292,'Policy Characteristics'!$C:$C,0))),"",INDEX('Policy Characteristics'!B:B,MATCH($C292,'Policy Characteristics'!$C:$C,0)))</f>
        <v>Decrease Cost of Capital</v>
      </c>
      <c r="C292" s="275" t="str">
        <f t="shared" si="19"/>
        <v>Percentage Decrease in Cost of Capital for Power Plants</v>
      </c>
      <c r="D292" s="6" t="s">
        <v>77</v>
      </c>
      <c r="E292" s="47"/>
      <c r="F292" s="6" t="s">
        <v>89</v>
      </c>
      <c r="G292" s="6"/>
      <c r="H292" s="44">
        <v>1733</v>
      </c>
      <c r="I292" s="347" t="s">
        <v>43</v>
      </c>
      <c r="J292" s="276" t="str">
        <f>IF(ISBLANK(INDEX('Policy Characteristics'!D:D,MATCH($C292,'Policy Characteristics'!$C:$C,0))),"",INDEX('Policy Characteristics'!D:D,MATCH($C292,'Policy Characteristics'!$C:$C,0)))</f>
        <v>Decrease Electricity Sector Cost of Capital</v>
      </c>
      <c r="K292" s="275" t="str">
        <f>IF(ISBLANK(INDEX('Policy Characteristics'!E:E,MATCH($C292,'Policy Characteristics'!$C:$C,0))),"",INDEX('Policy Characteristics'!E:E,MATCH($C292,'Policy Characteristics'!$C:$C,0)))</f>
        <v>elec power plant cost of capital</v>
      </c>
      <c r="L292" s="275">
        <f>IF(ISBLANK(INDEX('Policy Characteristics'!F:F,MATCH($C292,'Policy Characteristics'!$C:$C,0))),"",INDEX('Policy Characteristics'!F:F,MATCH($C292,'Policy Characteristics'!$C:$C,0)))</f>
        <v>0</v>
      </c>
      <c r="M292" s="275">
        <f>IF(ISBLANK(INDEX('Policy Characteristics'!G:G,MATCH($C292,'Policy Characteristics'!$C:$C,0))),"",INDEX('Policy Characteristics'!G:G,MATCH($C292,'Policy Characteristics'!$C:$C,0)))</f>
        <v>100</v>
      </c>
      <c r="N292" s="275">
        <f>IF(ISBLANK(INDEX('Policy Characteristics'!H:H,MATCH($C292,'Policy Characteristics'!$C:$C,0))),"",INDEX('Policy Characteristics'!H:H,MATCH($C292,'Policy Characteristics'!$C:$C,0)))</f>
        <v>1</v>
      </c>
      <c r="O292" s="275" t="str">
        <f>IF(ISBLANK(INDEX('Policy Characteristics'!I:I,MATCH($C292,'Policy Characteristics'!$C:$C,0))),"",INDEX('Policy Characteristics'!I:I,MATCH($C292,'Policy Characteristics'!$C:$C,0)))</f>
        <v>% decrease</v>
      </c>
      <c r="P292" s="275" t="str">
        <f>IF(ISBLANK(INDEX('Policy Characteristics'!J:J,MATCH($C292,'Policy Characteristics'!$C:$C,0))),"",INDEX('Policy Characteristics'!J:J,MATCH($C292,'Policy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2" s="275" t="str">
        <f>IF(ISBLANK(INDEX('Policy Characteristics'!K:K,MATCH($C292,'Policy Characteristics'!$C:$C,0))),"",INDEX('Policy Characteristics'!K:K,MATCH($C292,'Policy Characteristics'!$C:$C,0)))</f>
        <v/>
      </c>
      <c r="R292" s="275" t="str">
        <f>IF(ISBLANK(INDEX('Policy Characteristics'!L:L,MATCH($C292,'Policy Characteristics'!$C:$C,0))),"",INDEX('Policy Characteristics'!L:L,MATCH($C292,'Policy Characteristics'!$C:$C,0)))</f>
        <v/>
      </c>
      <c r="S292" s="336"/>
    </row>
    <row r="293" spans="1:19" x14ac:dyDescent="0.25">
      <c r="A293" s="275" t="str">
        <f>IF(ISBLANK(INDEX('Policy Characteristics'!A:A,MATCH($C293,'Policy Characteristics'!$C:$C,0))),"",INDEX('Policy Characteristics'!A:A,MATCH($C293,'Policy Characteristics'!$C:$C,0)))</f>
        <v>Electricity Supply</v>
      </c>
      <c r="B293" s="284" t="str">
        <f>IF(ISBLANK(INDEX('Policy Characteristics'!B:B,MATCH($C293,'Policy Characteristics'!$C:$C,0))),"",INDEX('Policy Characteristics'!B:B,MATCH($C293,'Policy Characteristics'!$C:$C,0)))</f>
        <v>Decrease Cost of Capital</v>
      </c>
      <c r="C293" s="275" t="str">
        <f t="shared" si="19"/>
        <v>Percentage Decrease in Cost of Capital for Power Plants</v>
      </c>
      <c r="D293" s="6" t="s">
        <v>449</v>
      </c>
      <c r="E293" s="47"/>
      <c r="F293" s="6" t="s">
        <v>452</v>
      </c>
      <c r="G293" s="6"/>
      <c r="H293" s="44">
        <v>1734</v>
      </c>
      <c r="I293" s="347" t="s">
        <v>43</v>
      </c>
      <c r="J293" s="276" t="str">
        <f>IF(ISBLANK(INDEX('Policy Characteristics'!D:D,MATCH($C293,'Policy Characteristics'!$C:$C,0))),"",INDEX('Policy Characteristics'!D:D,MATCH($C293,'Policy Characteristics'!$C:$C,0)))</f>
        <v>Decrease Electricity Sector Cost of Capital</v>
      </c>
      <c r="K293" s="275" t="str">
        <f>IF(ISBLANK(INDEX('Policy Characteristics'!E:E,MATCH($C293,'Policy Characteristics'!$C:$C,0))),"",INDEX('Policy Characteristics'!E:E,MATCH($C293,'Policy Characteristics'!$C:$C,0)))</f>
        <v>elec power plant cost of capital</v>
      </c>
      <c r="L293" s="275">
        <f>IF(ISBLANK(INDEX('Policy Characteristics'!F:F,MATCH($C293,'Policy Characteristics'!$C:$C,0))),"",INDEX('Policy Characteristics'!F:F,MATCH($C293,'Policy Characteristics'!$C:$C,0)))</f>
        <v>0</v>
      </c>
      <c r="M293" s="275">
        <f>IF(ISBLANK(INDEX('Policy Characteristics'!G:G,MATCH($C293,'Policy Characteristics'!$C:$C,0))),"",INDEX('Policy Characteristics'!G:G,MATCH($C293,'Policy Characteristics'!$C:$C,0)))</f>
        <v>100</v>
      </c>
      <c r="N293" s="275">
        <f>IF(ISBLANK(INDEX('Policy Characteristics'!H:H,MATCH($C293,'Policy Characteristics'!$C:$C,0))),"",INDEX('Policy Characteristics'!H:H,MATCH($C293,'Policy Characteristics'!$C:$C,0)))</f>
        <v>1</v>
      </c>
      <c r="O293" s="275" t="str">
        <f>IF(ISBLANK(INDEX('Policy Characteristics'!I:I,MATCH($C293,'Policy Characteristics'!$C:$C,0))),"",INDEX('Policy Characteristics'!I:I,MATCH($C293,'Policy Characteristics'!$C:$C,0)))</f>
        <v>% decrease</v>
      </c>
      <c r="P293" s="275" t="str">
        <f>IF(ISBLANK(INDEX('Policy Characteristics'!J:J,MATCH($C293,'Policy Characteristics'!$C:$C,0))),"",INDEX('Policy Characteristics'!J:J,MATCH($C293,'Policy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3" s="275" t="str">
        <f>IF(ISBLANK(INDEX('Policy Characteristics'!K:K,MATCH($C293,'Policy Characteristics'!$C:$C,0))),"",INDEX('Policy Characteristics'!K:K,MATCH($C293,'Policy Characteristics'!$C:$C,0)))</f>
        <v/>
      </c>
      <c r="R293" s="275" t="str">
        <f>IF(ISBLANK(INDEX('Policy Characteristics'!L:L,MATCH($C293,'Policy Characteristics'!$C:$C,0))),"",INDEX('Policy Characteristics'!L:L,MATCH($C293,'Policy Characteristics'!$C:$C,0)))</f>
        <v/>
      </c>
      <c r="S293" s="336"/>
    </row>
    <row r="294" spans="1:19" x14ac:dyDescent="0.25">
      <c r="A294" s="275" t="str">
        <f>IF(ISBLANK(INDEX('Policy Characteristics'!A:A,MATCH($C294,'Policy Characteristics'!$C:$C,0))),"",INDEX('Policy Characteristics'!A:A,MATCH($C294,'Policy Characteristics'!$C:$C,0)))</f>
        <v>Electricity Supply</v>
      </c>
      <c r="B294" s="284" t="str">
        <f>IF(ISBLANK(INDEX('Policy Characteristics'!B:B,MATCH($C294,'Policy Characteristics'!$C:$C,0))),"",INDEX('Policy Characteristics'!B:B,MATCH($C294,'Policy Characteristics'!$C:$C,0)))</f>
        <v>Decrease Cost of Capital</v>
      </c>
      <c r="C294" s="275" t="str">
        <f t="shared" si="19"/>
        <v>Percentage Decrease in Cost of Capital for Power Plants</v>
      </c>
      <c r="D294" s="6" t="s">
        <v>78</v>
      </c>
      <c r="E294" s="47"/>
      <c r="F294" s="6" t="s">
        <v>90</v>
      </c>
      <c r="G294" s="6"/>
      <c r="H294" s="44">
        <v>1735</v>
      </c>
      <c r="I294" s="347" t="s">
        <v>43</v>
      </c>
      <c r="J294" s="276" t="str">
        <f>IF(ISBLANK(INDEX('Policy Characteristics'!D:D,MATCH($C294,'Policy Characteristics'!$C:$C,0))),"",INDEX('Policy Characteristics'!D:D,MATCH($C294,'Policy Characteristics'!$C:$C,0)))</f>
        <v>Decrease Electricity Sector Cost of Capital</v>
      </c>
      <c r="K294" s="275" t="str">
        <f>IF(ISBLANK(INDEX('Policy Characteristics'!E:E,MATCH($C294,'Policy Characteristics'!$C:$C,0))),"",INDEX('Policy Characteristics'!E:E,MATCH($C294,'Policy Characteristics'!$C:$C,0)))</f>
        <v>elec power plant cost of capital</v>
      </c>
      <c r="L294" s="275">
        <f>IF(ISBLANK(INDEX('Policy Characteristics'!F:F,MATCH($C294,'Policy Characteristics'!$C:$C,0))),"",INDEX('Policy Characteristics'!F:F,MATCH($C294,'Policy Characteristics'!$C:$C,0)))</f>
        <v>0</v>
      </c>
      <c r="M294" s="275">
        <f>IF(ISBLANK(INDEX('Policy Characteristics'!G:G,MATCH($C294,'Policy Characteristics'!$C:$C,0))),"",INDEX('Policy Characteristics'!G:G,MATCH($C294,'Policy Characteristics'!$C:$C,0)))</f>
        <v>100</v>
      </c>
      <c r="N294" s="275">
        <f>IF(ISBLANK(INDEX('Policy Characteristics'!H:H,MATCH($C294,'Policy Characteristics'!$C:$C,0))),"",INDEX('Policy Characteristics'!H:H,MATCH($C294,'Policy Characteristics'!$C:$C,0)))</f>
        <v>1</v>
      </c>
      <c r="O294" s="275" t="str">
        <f>IF(ISBLANK(INDEX('Policy Characteristics'!I:I,MATCH($C294,'Policy Characteristics'!$C:$C,0))),"",INDEX('Policy Characteristics'!I:I,MATCH($C294,'Policy Characteristics'!$C:$C,0)))</f>
        <v>% decrease</v>
      </c>
      <c r="P294" s="275" t="str">
        <f>IF(ISBLANK(INDEX('Policy Characteristics'!J:J,MATCH($C294,'Policy Characteristics'!$C:$C,0))),"",INDEX('Policy Characteristics'!J:J,MATCH($C294,'Policy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4" s="275" t="str">
        <f>IF(ISBLANK(INDEX('Policy Characteristics'!K:K,MATCH($C294,'Policy Characteristics'!$C:$C,0))),"",INDEX('Policy Characteristics'!K:K,MATCH($C294,'Policy Characteristics'!$C:$C,0)))</f>
        <v/>
      </c>
      <c r="R294" s="275" t="str">
        <f>IF(ISBLANK(INDEX('Policy Characteristics'!L:L,MATCH($C294,'Policy Characteristics'!$C:$C,0))),"",INDEX('Policy Characteristics'!L:L,MATCH($C294,'Policy Characteristics'!$C:$C,0)))</f>
        <v/>
      </c>
      <c r="S294" s="336"/>
    </row>
    <row r="295" spans="1:19" x14ac:dyDescent="0.25">
      <c r="A295" s="275" t="str">
        <f>IF(ISBLANK(INDEX('Policy Characteristics'!A:A,MATCH($C295,'Policy Characteristics'!$C:$C,0))),"",INDEX('Policy Characteristics'!A:A,MATCH($C295,'Policy Characteristics'!$C:$C,0)))</f>
        <v>Electricity Supply</v>
      </c>
      <c r="B295" s="284" t="str">
        <f>IF(ISBLANK(INDEX('Policy Characteristics'!B:B,MATCH($C295,'Policy Characteristics'!$C:$C,0))),"",INDEX('Policy Characteristics'!B:B,MATCH($C295,'Policy Characteristics'!$C:$C,0)))</f>
        <v>Decrease Cost of Capital</v>
      </c>
      <c r="C295" s="275" t="str">
        <f t="shared" si="19"/>
        <v>Percentage Decrease in Cost of Capital for Power Plants</v>
      </c>
      <c r="D295" s="6" t="s">
        <v>79</v>
      </c>
      <c r="E295" s="47"/>
      <c r="F295" s="6" t="s">
        <v>91</v>
      </c>
      <c r="G295" s="6"/>
      <c r="H295" s="44">
        <v>1736</v>
      </c>
      <c r="I295" s="347" t="s">
        <v>43</v>
      </c>
      <c r="J295" s="276" t="str">
        <f>IF(ISBLANK(INDEX('Policy Characteristics'!D:D,MATCH($C295,'Policy Characteristics'!$C:$C,0))),"",INDEX('Policy Characteristics'!D:D,MATCH($C295,'Policy Characteristics'!$C:$C,0)))</f>
        <v>Decrease Electricity Sector Cost of Capital</v>
      </c>
      <c r="K295" s="275" t="str">
        <f>IF(ISBLANK(INDEX('Policy Characteristics'!E:E,MATCH($C295,'Policy Characteristics'!$C:$C,0))),"",INDEX('Policy Characteristics'!E:E,MATCH($C295,'Policy Characteristics'!$C:$C,0)))</f>
        <v>elec power plant cost of capital</v>
      </c>
      <c r="L295" s="275">
        <f>IF(ISBLANK(INDEX('Policy Characteristics'!F:F,MATCH($C295,'Policy Characteristics'!$C:$C,0))),"",INDEX('Policy Characteristics'!F:F,MATCH($C295,'Policy Characteristics'!$C:$C,0)))</f>
        <v>0</v>
      </c>
      <c r="M295" s="275">
        <f>IF(ISBLANK(INDEX('Policy Characteristics'!G:G,MATCH($C295,'Policy Characteristics'!$C:$C,0))),"",INDEX('Policy Characteristics'!G:G,MATCH($C295,'Policy Characteristics'!$C:$C,0)))</f>
        <v>100</v>
      </c>
      <c r="N295" s="275">
        <f>IF(ISBLANK(INDEX('Policy Characteristics'!H:H,MATCH($C295,'Policy Characteristics'!$C:$C,0))),"",INDEX('Policy Characteristics'!H:H,MATCH($C295,'Policy Characteristics'!$C:$C,0)))</f>
        <v>1</v>
      </c>
      <c r="O295" s="275" t="str">
        <f>IF(ISBLANK(INDEX('Policy Characteristics'!I:I,MATCH($C295,'Policy Characteristics'!$C:$C,0))),"",INDEX('Policy Characteristics'!I:I,MATCH($C295,'Policy Characteristics'!$C:$C,0)))</f>
        <v>% decrease</v>
      </c>
      <c r="P295" s="275" t="str">
        <f>IF(ISBLANK(INDEX('Policy Characteristics'!J:J,MATCH($C295,'Policy Characteristics'!$C:$C,0))),"",INDEX('Policy Characteristics'!J:J,MATCH($C295,'Policy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5" s="275" t="str">
        <f>IF(ISBLANK(INDEX('Policy Characteristics'!K:K,MATCH($C295,'Policy Characteristics'!$C:$C,0))),"",INDEX('Policy Characteristics'!K:K,MATCH($C295,'Policy Characteristics'!$C:$C,0)))</f>
        <v/>
      </c>
      <c r="R295" s="275" t="str">
        <f>IF(ISBLANK(INDEX('Policy Characteristics'!L:L,MATCH($C295,'Policy Characteristics'!$C:$C,0))),"",INDEX('Policy Characteristics'!L:L,MATCH($C295,'Policy Characteristics'!$C:$C,0)))</f>
        <v/>
      </c>
      <c r="S295" s="336"/>
    </row>
    <row r="296" spans="1:19" x14ac:dyDescent="0.25">
      <c r="A296" s="275" t="str">
        <f>IF(ISBLANK(INDEX('Policy Characteristics'!A:A,MATCH($C296,'Policy Characteristics'!$C:$C,0))),"",INDEX('Policy Characteristics'!A:A,MATCH($C296,'Policy Characteristics'!$C:$C,0)))</f>
        <v>Electricity Supply</v>
      </c>
      <c r="B296" s="284" t="str">
        <f>IF(ISBLANK(INDEX('Policy Characteristics'!B:B,MATCH($C296,'Policy Characteristics'!$C:$C,0))),"",INDEX('Policy Characteristics'!B:B,MATCH($C296,'Policy Characteristics'!$C:$C,0)))</f>
        <v>Decrease Cost of Capital</v>
      </c>
      <c r="C296" s="275" t="str">
        <f t="shared" si="19"/>
        <v>Percentage Decrease in Cost of Capital for Power Plants</v>
      </c>
      <c r="D296" s="6" t="s">
        <v>80</v>
      </c>
      <c r="E296" s="47"/>
      <c r="F296" s="6" t="s">
        <v>92</v>
      </c>
      <c r="G296" s="6"/>
      <c r="H296" s="44">
        <v>1737</v>
      </c>
      <c r="I296" s="347" t="s">
        <v>43</v>
      </c>
      <c r="J296" s="276" t="str">
        <f>IF(ISBLANK(INDEX('Policy Characteristics'!D:D,MATCH($C296,'Policy Characteristics'!$C:$C,0))),"",INDEX('Policy Characteristics'!D:D,MATCH($C296,'Policy Characteristics'!$C:$C,0)))</f>
        <v>Decrease Electricity Sector Cost of Capital</v>
      </c>
      <c r="K296" s="275" t="str">
        <f>IF(ISBLANK(INDEX('Policy Characteristics'!E:E,MATCH($C296,'Policy Characteristics'!$C:$C,0))),"",INDEX('Policy Characteristics'!E:E,MATCH($C296,'Policy Characteristics'!$C:$C,0)))</f>
        <v>elec power plant cost of capital</v>
      </c>
      <c r="L296" s="275">
        <f>IF(ISBLANK(INDEX('Policy Characteristics'!F:F,MATCH($C296,'Policy Characteristics'!$C:$C,0))),"",INDEX('Policy Characteristics'!F:F,MATCH($C296,'Policy Characteristics'!$C:$C,0)))</f>
        <v>0</v>
      </c>
      <c r="M296" s="275">
        <f>IF(ISBLANK(INDEX('Policy Characteristics'!G:G,MATCH($C296,'Policy Characteristics'!$C:$C,0))),"",INDEX('Policy Characteristics'!G:G,MATCH($C296,'Policy Characteristics'!$C:$C,0)))</f>
        <v>100</v>
      </c>
      <c r="N296" s="275">
        <f>IF(ISBLANK(INDEX('Policy Characteristics'!H:H,MATCH($C296,'Policy Characteristics'!$C:$C,0))),"",INDEX('Policy Characteristics'!H:H,MATCH($C296,'Policy Characteristics'!$C:$C,0)))</f>
        <v>1</v>
      </c>
      <c r="O296" s="275" t="str">
        <f>IF(ISBLANK(INDEX('Policy Characteristics'!I:I,MATCH($C296,'Policy Characteristics'!$C:$C,0))),"",INDEX('Policy Characteristics'!I:I,MATCH($C296,'Policy Characteristics'!$C:$C,0)))</f>
        <v>% decrease</v>
      </c>
      <c r="P296" s="275" t="str">
        <f>IF(ISBLANK(INDEX('Policy Characteristics'!J:J,MATCH($C296,'Policy Characteristics'!$C:$C,0))),"",INDEX('Policy Characteristics'!J:J,MATCH($C296,'Policy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6" s="275" t="str">
        <f>IF(ISBLANK(INDEX('Policy Characteristics'!K:K,MATCH($C296,'Policy Characteristics'!$C:$C,0))),"",INDEX('Policy Characteristics'!K:K,MATCH($C296,'Policy Characteristics'!$C:$C,0)))</f>
        <v/>
      </c>
      <c r="R296" s="275" t="str">
        <f>IF(ISBLANK(INDEX('Policy Characteristics'!L:L,MATCH($C296,'Policy Characteristics'!$C:$C,0))),"",INDEX('Policy Characteristics'!L:L,MATCH($C296,'Policy Characteristics'!$C:$C,0)))</f>
        <v/>
      </c>
      <c r="S296" s="336"/>
    </row>
    <row r="297" spans="1:19" x14ac:dyDescent="0.25">
      <c r="A297" s="275" t="str">
        <f>IF(ISBLANK(INDEX('Policy Characteristics'!A:A,MATCH($C297,'Policy Characteristics'!$C:$C,0))),"",INDEX('Policy Characteristics'!A:A,MATCH($C297,'Policy Characteristics'!$C:$C,0)))</f>
        <v>Electricity Supply</v>
      </c>
      <c r="B297" s="284" t="str">
        <f>IF(ISBLANK(INDEX('Policy Characteristics'!B:B,MATCH($C297,'Policy Characteristics'!$C:$C,0))),"",INDEX('Policy Characteristics'!B:B,MATCH($C297,'Policy Characteristics'!$C:$C,0)))</f>
        <v>Decrease Cost of Capital</v>
      </c>
      <c r="C297" s="275" t="str">
        <f t="shared" si="19"/>
        <v>Percentage Decrease in Cost of Capital for Power Plants</v>
      </c>
      <c r="D297" s="6" t="s">
        <v>2427</v>
      </c>
      <c r="E297" s="47"/>
      <c r="F297" s="6" t="s">
        <v>437</v>
      </c>
      <c r="G297" s="6"/>
      <c r="H297" s="44">
        <v>1738</v>
      </c>
      <c r="I297" s="347" t="s">
        <v>43</v>
      </c>
      <c r="J297" s="276" t="str">
        <f>IF(ISBLANK(INDEX('Policy Characteristics'!D:D,MATCH($C297,'Policy Characteristics'!$C:$C,0))),"",INDEX('Policy Characteristics'!D:D,MATCH($C297,'Policy Characteristics'!$C:$C,0)))</f>
        <v>Decrease Electricity Sector Cost of Capital</v>
      </c>
      <c r="K297" s="275" t="str">
        <f>IF(ISBLANK(INDEX('Policy Characteristics'!E:E,MATCH($C297,'Policy Characteristics'!$C:$C,0))),"",INDEX('Policy Characteristics'!E:E,MATCH($C297,'Policy Characteristics'!$C:$C,0)))</f>
        <v>elec power plant cost of capital</v>
      </c>
      <c r="L297" s="275">
        <f>IF(ISBLANK(INDEX('Policy Characteristics'!F:F,MATCH($C297,'Policy Characteristics'!$C:$C,0))),"",INDEX('Policy Characteristics'!F:F,MATCH($C297,'Policy Characteristics'!$C:$C,0)))</f>
        <v>0</v>
      </c>
      <c r="M297" s="275">
        <f>IF(ISBLANK(INDEX('Policy Characteristics'!G:G,MATCH($C297,'Policy Characteristics'!$C:$C,0))),"",INDEX('Policy Characteristics'!G:G,MATCH($C297,'Policy Characteristics'!$C:$C,0)))</f>
        <v>100</v>
      </c>
      <c r="N297" s="275">
        <f>IF(ISBLANK(INDEX('Policy Characteristics'!H:H,MATCH($C297,'Policy Characteristics'!$C:$C,0))),"",INDEX('Policy Characteristics'!H:H,MATCH($C297,'Policy Characteristics'!$C:$C,0)))</f>
        <v>1</v>
      </c>
      <c r="O297" s="275" t="str">
        <f>IF(ISBLANK(INDEX('Policy Characteristics'!I:I,MATCH($C297,'Policy Characteristics'!$C:$C,0))),"",INDEX('Policy Characteristics'!I:I,MATCH($C297,'Policy Characteristics'!$C:$C,0)))</f>
        <v>% decrease</v>
      </c>
      <c r="P297" s="275" t="str">
        <f>IF(ISBLANK(INDEX('Policy Characteristics'!J:J,MATCH($C297,'Policy Characteristics'!$C:$C,0))),"",INDEX('Policy Characteristics'!J:J,MATCH($C297,'Policy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7" s="275" t="str">
        <f>IF(ISBLANK(INDEX('Policy Characteristics'!K:K,MATCH($C297,'Policy Characteristics'!$C:$C,0))),"",INDEX('Policy Characteristics'!K:K,MATCH($C297,'Policy Characteristics'!$C:$C,0)))</f>
        <v/>
      </c>
      <c r="R297" s="275" t="str">
        <f>IF(ISBLANK(INDEX('Policy Characteristics'!L:L,MATCH($C297,'Policy Characteristics'!$C:$C,0))),"",INDEX('Policy Characteristics'!L:L,MATCH($C297,'Policy Characteristics'!$C:$C,0)))</f>
        <v/>
      </c>
      <c r="S297" s="336"/>
    </row>
    <row r="298" spans="1:19" x14ac:dyDescent="0.25">
      <c r="A298" s="275" t="str">
        <f>IF(ISBLANK(INDEX('Policy Characteristics'!A:A,MATCH($C298,'Policy Characteristics'!$C:$C,0))),"",INDEX('Policy Characteristics'!A:A,MATCH($C298,'Policy Characteristics'!$C:$C,0)))</f>
        <v>Electricity Supply</v>
      </c>
      <c r="B298" s="284" t="str">
        <f>IF(ISBLANK(INDEX('Policy Characteristics'!B:B,MATCH($C298,'Policy Characteristics'!$C:$C,0))),"",INDEX('Policy Characteristics'!B:B,MATCH($C298,'Policy Characteristics'!$C:$C,0)))</f>
        <v>Decrease Cost of Capital</v>
      </c>
      <c r="C298" s="275" t="str">
        <f t="shared" si="19"/>
        <v>Percentage Decrease in Cost of Capital for Power Plants</v>
      </c>
      <c r="D298" s="6" t="s">
        <v>309</v>
      </c>
      <c r="E298" s="47"/>
      <c r="F298" s="6" t="s">
        <v>311</v>
      </c>
      <c r="G298" s="6"/>
      <c r="H298" s="44">
        <v>1739</v>
      </c>
      <c r="I298" s="347" t="s">
        <v>44</v>
      </c>
      <c r="J298" s="276" t="str">
        <f>IF(ISBLANK(INDEX('Policy Characteristics'!D:D,MATCH($C298,'Policy Characteristics'!$C:$C,0))),"",INDEX('Policy Characteristics'!D:D,MATCH($C298,'Policy Characteristics'!$C:$C,0)))</f>
        <v>Decrease Electricity Sector Cost of Capital</v>
      </c>
      <c r="K298" s="275" t="str">
        <f>IF(ISBLANK(INDEX('Policy Characteristics'!E:E,MATCH($C298,'Policy Characteristics'!$C:$C,0))),"",INDEX('Policy Characteristics'!E:E,MATCH($C298,'Policy Characteristics'!$C:$C,0)))</f>
        <v>elec power plant cost of capital</v>
      </c>
      <c r="L298" s="275">
        <f>IF(ISBLANK(INDEX('Policy Characteristics'!F:F,MATCH($C298,'Policy Characteristics'!$C:$C,0))),"",INDEX('Policy Characteristics'!F:F,MATCH($C298,'Policy Characteristics'!$C:$C,0)))</f>
        <v>0</v>
      </c>
      <c r="M298" s="275">
        <f>IF(ISBLANK(INDEX('Policy Characteristics'!G:G,MATCH($C298,'Policy Characteristics'!$C:$C,0))),"",INDEX('Policy Characteristics'!G:G,MATCH($C298,'Policy Characteristics'!$C:$C,0)))</f>
        <v>100</v>
      </c>
      <c r="N298" s="275">
        <f>IF(ISBLANK(INDEX('Policy Characteristics'!H:H,MATCH($C298,'Policy Characteristics'!$C:$C,0))),"",INDEX('Policy Characteristics'!H:H,MATCH($C298,'Policy Characteristics'!$C:$C,0)))</f>
        <v>1</v>
      </c>
      <c r="O298" s="275" t="str">
        <f>IF(ISBLANK(INDEX('Policy Characteristics'!I:I,MATCH($C298,'Policy Characteristics'!$C:$C,0))),"",INDEX('Policy Characteristics'!I:I,MATCH($C298,'Policy Characteristics'!$C:$C,0)))</f>
        <v>% decrease</v>
      </c>
      <c r="P298" s="275" t="str">
        <f>IF(ISBLANK(INDEX('Policy Characteristics'!J:J,MATCH($C298,'Policy Characteristics'!$C:$C,0))),"",INDEX('Policy Characteristics'!J:J,MATCH($C298,'Policy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8" s="275" t="str">
        <f>IF(ISBLANK(INDEX('Policy Characteristics'!K:K,MATCH($C298,'Policy Characteristics'!$C:$C,0))),"",INDEX('Policy Characteristics'!K:K,MATCH($C298,'Policy Characteristics'!$C:$C,0)))</f>
        <v/>
      </c>
      <c r="R298" s="275" t="str">
        <f>IF(ISBLANK(INDEX('Policy Characteristics'!L:L,MATCH($C298,'Policy Characteristics'!$C:$C,0))),"",INDEX('Policy Characteristics'!L:L,MATCH($C298,'Policy Characteristics'!$C:$C,0)))</f>
        <v/>
      </c>
      <c r="S298" s="336"/>
    </row>
    <row r="299" spans="1:19" x14ac:dyDescent="0.25">
      <c r="A299" s="275" t="str">
        <f>IF(ISBLANK(INDEX('Policy Characteristics'!A:A,MATCH($C299,'Policy Characteristics'!$C:$C,0))),"",INDEX('Policy Characteristics'!A:A,MATCH($C299,'Policy Characteristics'!$C:$C,0)))</f>
        <v>Electricity Supply</v>
      </c>
      <c r="B299" s="284" t="str">
        <f>IF(ISBLANK(INDEX('Policy Characteristics'!B:B,MATCH($C299,'Policy Characteristics'!$C:$C,0))),"",INDEX('Policy Characteristics'!B:B,MATCH($C299,'Policy Characteristics'!$C:$C,0)))</f>
        <v>Decrease Cost of Capital</v>
      </c>
      <c r="C299" s="275" t="str">
        <f t="shared" si="19"/>
        <v>Percentage Decrease in Cost of Capital for Power Plants</v>
      </c>
      <c r="D299" s="6" t="s">
        <v>310</v>
      </c>
      <c r="E299" s="47"/>
      <c r="F299" s="6" t="s">
        <v>312</v>
      </c>
      <c r="G299" s="6"/>
      <c r="H299" s="44">
        <v>1740</v>
      </c>
      <c r="I299" s="347" t="s">
        <v>44</v>
      </c>
      <c r="J299" s="276" t="str">
        <f>IF(ISBLANK(INDEX('Policy Characteristics'!D:D,MATCH($C299,'Policy Characteristics'!$C:$C,0))),"",INDEX('Policy Characteristics'!D:D,MATCH($C299,'Policy Characteristics'!$C:$C,0)))</f>
        <v>Decrease Electricity Sector Cost of Capital</v>
      </c>
      <c r="K299" s="275" t="str">
        <f>IF(ISBLANK(INDEX('Policy Characteristics'!E:E,MATCH($C299,'Policy Characteristics'!$C:$C,0))),"",INDEX('Policy Characteristics'!E:E,MATCH($C299,'Policy Characteristics'!$C:$C,0)))</f>
        <v>elec power plant cost of capital</v>
      </c>
      <c r="L299" s="275">
        <f>IF(ISBLANK(INDEX('Policy Characteristics'!F:F,MATCH($C299,'Policy Characteristics'!$C:$C,0))),"",INDEX('Policy Characteristics'!F:F,MATCH($C299,'Policy Characteristics'!$C:$C,0)))</f>
        <v>0</v>
      </c>
      <c r="M299" s="275">
        <f>IF(ISBLANK(INDEX('Policy Characteristics'!G:G,MATCH($C299,'Policy Characteristics'!$C:$C,0))),"",INDEX('Policy Characteristics'!G:G,MATCH($C299,'Policy Characteristics'!$C:$C,0)))</f>
        <v>100</v>
      </c>
      <c r="N299" s="275">
        <f>IF(ISBLANK(INDEX('Policy Characteristics'!H:H,MATCH($C299,'Policy Characteristics'!$C:$C,0))),"",INDEX('Policy Characteristics'!H:H,MATCH($C299,'Policy Characteristics'!$C:$C,0)))</f>
        <v>1</v>
      </c>
      <c r="O299" s="275" t="str">
        <f>IF(ISBLANK(INDEX('Policy Characteristics'!I:I,MATCH($C299,'Policy Characteristics'!$C:$C,0))),"",INDEX('Policy Characteristics'!I:I,MATCH($C299,'Policy Characteristics'!$C:$C,0)))</f>
        <v>% decrease</v>
      </c>
      <c r="P299" s="275" t="str">
        <f>IF(ISBLANK(INDEX('Policy Characteristics'!J:J,MATCH($C299,'Policy Characteristics'!$C:$C,0))),"",INDEX('Policy Characteristics'!J:J,MATCH($C299,'Policy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9" s="275" t="str">
        <f>IF(ISBLANK(INDEX('Policy Characteristics'!K:K,MATCH($C299,'Policy Characteristics'!$C:$C,0))),"",INDEX('Policy Characteristics'!K:K,MATCH($C299,'Policy Characteristics'!$C:$C,0)))</f>
        <v/>
      </c>
      <c r="R299" s="275" t="str">
        <f>IF(ISBLANK(INDEX('Policy Characteristics'!L:L,MATCH($C299,'Policy Characteristics'!$C:$C,0))),"",INDEX('Policy Characteristics'!L:L,MATCH($C299,'Policy Characteristics'!$C:$C,0)))</f>
        <v/>
      </c>
      <c r="S299" s="336"/>
    </row>
    <row r="300" spans="1:19" x14ac:dyDescent="0.25">
      <c r="A300" s="275" t="str">
        <f>IF(ISBLANK(INDEX('Policy Characteristics'!A:A,MATCH($C300,'Policy Characteristics'!$C:$C,0))),"",INDEX('Policy Characteristics'!A:A,MATCH($C300,'Policy Characteristics'!$C:$C,0)))</f>
        <v>Electricity Supply</v>
      </c>
      <c r="B300" s="284" t="str">
        <f>IF(ISBLANK(INDEX('Policy Characteristics'!B:B,MATCH($C300,'Policy Characteristics'!$C:$C,0))),"",INDEX('Policy Characteristics'!B:B,MATCH($C300,'Policy Characteristics'!$C:$C,0)))</f>
        <v>Decrease Cost of Capital</v>
      </c>
      <c r="C300" s="275" t="str">
        <f t="shared" si="19"/>
        <v>Percentage Decrease in Cost of Capital for Power Plants</v>
      </c>
      <c r="D300" s="6" t="s">
        <v>445</v>
      </c>
      <c r="E300" s="47"/>
      <c r="F300" s="6" t="s">
        <v>444</v>
      </c>
      <c r="G300" s="6"/>
      <c r="H300" s="44">
        <v>1741</v>
      </c>
      <c r="I300" s="347" t="s">
        <v>44</v>
      </c>
      <c r="J300" s="276" t="str">
        <f>IF(ISBLANK(INDEX('Policy Characteristics'!D:D,MATCH($C300,'Policy Characteristics'!$C:$C,0))),"",INDEX('Policy Characteristics'!D:D,MATCH($C300,'Policy Characteristics'!$C:$C,0)))</f>
        <v>Decrease Electricity Sector Cost of Capital</v>
      </c>
      <c r="K300" s="275" t="str">
        <f>IF(ISBLANK(INDEX('Policy Characteristics'!E:E,MATCH($C300,'Policy Characteristics'!$C:$C,0))),"",INDEX('Policy Characteristics'!E:E,MATCH($C300,'Policy Characteristics'!$C:$C,0)))</f>
        <v>elec power plant cost of capital</v>
      </c>
      <c r="L300" s="275">
        <f>IF(ISBLANK(INDEX('Policy Characteristics'!F:F,MATCH($C300,'Policy Characteristics'!$C:$C,0))),"",INDEX('Policy Characteristics'!F:F,MATCH($C300,'Policy Characteristics'!$C:$C,0)))</f>
        <v>0</v>
      </c>
      <c r="M300" s="275">
        <f>IF(ISBLANK(INDEX('Policy Characteristics'!G:G,MATCH($C300,'Policy Characteristics'!$C:$C,0))),"",INDEX('Policy Characteristics'!G:G,MATCH($C300,'Policy Characteristics'!$C:$C,0)))</f>
        <v>100</v>
      </c>
      <c r="N300" s="275">
        <f>IF(ISBLANK(INDEX('Policy Characteristics'!H:H,MATCH($C300,'Policy Characteristics'!$C:$C,0))),"",INDEX('Policy Characteristics'!H:H,MATCH($C300,'Policy Characteristics'!$C:$C,0)))</f>
        <v>1</v>
      </c>
      <c r="O300" s="275" t="str">
        <f>IF(ISBLANK(INDEX('Policy Characteristics'!I:I,MATCH($C300,'Policy Characteristics'!$C:$C,0))),"",INDEX('Policy Characteristics'!I:I,MATCH($C300,'Policy Characteristics'!$C:$C,0)))</f>
        <v>% decrease</v>
      </c>
      <c r="P300" s="275" t="str">
        <f>IF(ISBLANK(INDEX('Policy Characteristics'!J:J,MATCH($C300,'Policy Characteristics'!$C:$C,0))),"",INDEX('Policy Characteristics'!J:J,MATCH($C300,'Policy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0" s="275" t="str">
        <f>IF(ISBLANK(INDEX('Policy Characteristics'!K:K,MATCH($C300,'Policy Characteristics'!$C:$C,0))),"",INDEX('Policy Characteristics'!K:K,MATCH($C300,'Policy Characteristics'!$C:$C,0)))</f>
        <v/>
      </c>
      <c r="R300" s="275" t="str">
        <f>IF(ISBLANK(INDEX('Policy Characteristics'!L:L,MATCH($C300,'Policy Characteristics'!$C:$C,0))),"",INDEX('Policy Characteristics'!L:L,MATCH($C300,'Policy Characteristics'!$C:$C,0)))</f>
        <v/>
      </c>
      <c r="S300" s="336"/>
    </row>
    <row r="301" spans="1:19" x14ac:dyDescent="0.25">
      <c r="A301" s="275" t="str">
        <f>IF(ISBLANK(INDEX('Policy Characteristics'!A:A,MATCH($C301,'Policy Characteristics'!$C:$C,0))),"",INDEX('Policy Characteristics'!A:A,MATCH($C301,'Policy Characteristics'!$C:$C,0)))</f>
        <v>Electricity Supply</v>
      </c>
      <c r="B301" s="284" t="str">
        <f>IF(ISBLANK(INDEX('Policy Characteristics'!B:B,MATCH($C301,'Policy Characteristics'!$C:$C,0))),"",INDEX('Policy Characteristics'!B:B,MATCH($C301,'Policy Characteristics'!$C:$C,0)))</f>
        <v>Decrease Cost of Capital</v>
      </c>
      <c r="C301" s="275" t="str">
        <f t="shared" si="19"/>
        <v>Percentage Decrease in Cost of Capital for Power Plants</v>
      </c>
      <c r="D301" s="6" t="s">
        <v>454</v>
      </c>
      <c r="E301" s="47"/>
      <c r="F301" s="6" t="s">
        <v>455</v>
      </c>
      <c r="G301" s="6"/>
      <c r="H301" s="44">
        <v>1742</v>
      </c>
      <c r="I301" s="347" t="s">
        <v>43</v>
      </c>
      <c r="J301" s="276" t="str">
        <f>IF(ISBLANK(INDEX('Policy Characteristics'!D:D,MATCH($C301,'Policy Characteristics'!$C:$C,0))),"",INDEX('Policy Characteristics'!D:D,MATCH($C301,'Policy Characteristics'!$C:$C,0)))</f>
        <v>Decrease Electricity Sector Cost of Capital</v>
      </c>
      <c r="K301" s="275" t="str">
        <f>IF(ISBLANK(INDEX('Policy Characteristics'!E:E,MATCH($C301,'Policy Characteristics'!$C:$C,0))),"",INDEX('Policy Characteristics'!E:E,MATCH($C301,'Policy Characteristics'!$C:$C,0)))</f>
        <v>elec power plant cost of capital</v>
      </c>
      <c r="L301" s="275">
        <f>IF(ISBLANK(INDEX('Policy Characteristics'!F:F,MATCH($C301,'Policy Characteristics'!$C:$C,0))),"",INDEX('Policy Characteristics'!F:F,MATCH($C301,'Policy Characteristics'!$C:$C,0)))</f>
        <v>0</v>
      </c>
      <c r="M301" s="275">
        <f>IF(ISBLANK(INDEX('Policy Characteristics'!G:G,MATCH($C301,'Policy Characteristics'!$C:$C,0))),"",INDEX('Policy Characteristics'!G:G,MATCH($C301,'Policy Characteristics'!$C:$C,0)))</f>
        <v>100</v>
      </c>
      <c r="N301" s="275">
        <f>IF(ISBLANK(INDEX('Policy Characteristics'!H:H,MATCH($C301,'Policy Characteristics'!$C:$C,0))),"",INDEX('Policy Characteristics'!H:H,MATCH($C301,'Policy Characteristics'!$C:$C,0)))</f>
        <v>1</v>
      </c>
      <c r="O301" s="275" t="str">
        <f>IF(ISBLANK(INDEX('Policy Characteristics'!I:I,MATCH($C301,'Policy Characteristics'!$C:$C,0))),"",INDEX('Policy Characteristics'!I:I,MATCH($C301,'Policy Characteristics'!$C:$C,0)))</f>
        <v>% decrease</v>
      </c>
      <c r="P301" s="275" t="str">
        <f>IF(ISBLANK(INDEX('Policy Characteristics'!J:J,MATCH($C301,'Policy Characteristics'!$C:$C,0))),"",INDEX('Policy Characteristics'!J:J,MATCH($C301,'Policy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1" s="275" t="str">
        <f>IF(ISBLANK(INDEX('Policy Characteristics'!K:K,MATCH($C301,'Policy Characteristics'!$C:$C,0))),"",INDEX('Policy Characteristics'!K:K,MATCH($C301,'Policy Characteristics'!$C:$C,0)))</f>
        <v/>
      </c>
      <c r="R301" s="275" t="str">
        <f>IF(ISBLANK(INDEX('Policy Characteristics'!L:L,MATCH($C301,'Policy Characteristics'!$C:$C,0))),"",INDEX('Policy Characteristics'!L:L,MATCH($C301,'Policy Characteristics'!$C:$C,0)))</f>
        <v/>
      </c>
      <c r="S301" s="336"/>
    </row>
    <row r="302" spans="1:19" x14ac:dyDescent="0.25">
      <c r="A302" s="275" t="str">
        <f>IF(ISBLANK(INDEX('Policy Characteristics'!A:A,MATCH($C302,'Policy Characteristics'!$C:$C,0))),"",INDEX('Policy Characteristics'!A:A,MATCH($C302,'Policy Characteristics'!$C:$C,0)))</f>
        <v>Electricity Supply</v>
      </c>
      <c r="B302" s="284" t="str">
        <f>IF(ISBLANK(INDEX('Policy Characteristics'!B:B,MATCH($C302,'Policy Characteristics'!$C:$C,0))),"",INDEX('Policy Characteristics'!B:B,MATCH($C302,'Policy Characteristics'!$C:$C,0)))</f>
        <v>Decrease Cost of Capital</v>
      </c>
      <c r="C302" s="275" t="str">
        <f t="shared" si="19"/>
        <v>Percentage Decrease in Cost of Capital for Power Plants</v>
      </c>
      <c r="D302" s="6" t="s">
        <v>2752</v>
      </c>
      <c r="E302" s="47"/>
      <c r="F302" s="6" t="s">
        <v>2471</v>
      </c>
      <c r="G302" s="6"/>
      <c r="H302" s="44">
        <v>1743</v>
      </c>
      <c r="I302" s="347" t="s">
        <v>44</v>
      </c>
      <c r="J302" s="276" t="str">
        <f>IF(ISBLANK(INDEX('Policy Characteristics'!D:D,MATCH($C302,'Policy Characteristics'!$C:$C,0))),"",INDEX('Policy Characteristics'!D:D,MATCH($C302,'Policy Characteristics'!$C:$C,0)))</f>
        <v>Decrease Electricity Sector Cost of Capital</v>
      </c>
      <c r="K302" s="275" t="str">
        <f>IF(ISBLANK(INDEX('Policy Characteristics'!E:E,MATCH($C302,'Policy Characteristics'!$C:$C,0))),"",INDEX('Policy Characteristics'!E:E,MATCH($C302,'Policy Characteristics'!$C:$C,0)))</f>
        <v>elec power plant cost of capital</v>
      </c>
      <c r="L302" s="275">
        <f>IF(ISBLANK(INDEX('Policy Characteristics'!F:F,MATCH($C302,'Policy Characteristics'!$C:$C,0))),"",INDEX('Policy Characteristics'!F:F,MATCH($C302,'Policy Characteristics'!$C:$C,0)))</f>
        <v>0</v>
      </c>
      <c r="M302" s="275">
        <f>IF(ISBLANK(INDEX('Policy Characteristics'!G:G,MATCH($C302,'Policy Characteristics'!$C:$C,0))),"",INDEX('Policy Characteristics'!G:G,MATCH($C302,'Policy Characteristics'!$C:$C,0)))</f>
        <v>100</v>
      </c>
      <c r="N302" s="275">
        <f>IF(ISBLANK(INDEX('Policy Characteristics'!H:H,MATCH($C302,'Policy Characteristics'!$C:$C,0))),"",INDEX('Policy Characteristics'!H:H,MATCH($C302,'Policy Characteristics'!$C:$C,0)))</f>
        <v>1</v>
      </c>
      <c r="O302" s="275" t="str">
        <f>IF(ISBLANK(INDEX('Policy Characteristics'!I:I,MATCH($C302,'Policy Characteristics'!$C:$C,0))),"",INDEX('Policy Characteristics'!I:I,MATCH($C302,'Policy Characteristics'!$C:$C,0)))</f>
        <v>% decrease</v>
      </c>
      <c r="P302" s="275" t="str">
        <f>IF(ISBLANK(INDEX('Policy Characteristics'!J:J,MATCH($C302,'Policy Characteristics'!$C:$C,0))),"",INDEX('Policy Characteristics'!J:J,MATCH($C302,'Policy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2" s="275" t="str">
        <f>IF(ISBLANK(INDEX('Policy Characteristics'!K:K,MATCH($C302,'Policy Characteristics'!$C:$C,0))),"",INDEX('Policy Characteristics'!K:K,MATCH($C302,'Policy Characteristics'!$C:$C,0)))</f>
        <v/>
      </c>
      <c r="R302" s="275" t="str">
        <f>IF(ISBLANK(INDEX('Policy Characteristics'!L:L,MATCH($C302,'Policy Characteristics'!$C:$C,0))),"",INDEX('Policy Characteristics'!L:L,MATCH($C302,'Policy Characteristics'!$C:$C,0)))</f>
        <v/>
      </c>
      <c r="S302" s="336"/>
    </row>
    <row r="303" spans="1:19" x14ac:dyDescent="0.25">
      <c r="A303" s="275" t="str">
        <f>IF(ISBLANK(INDEX('Policy Characteristics'!A:A,MATCH($C303,'Policy Characteristics'!$C:$C,0))),"",INDEX('Policy Characteristics'!A:A,MATCH($C303,'Policy Characteristics'!$C:$C,0)))</f>
        <v>Electricity Supply</v>
      </c>
      <c r="B303" s="284" t="str">
        <f>IF(ISBLANK(INDEX('Policy Characteristics'!B:B,MATCH($C303,'Policy Characteristics'!$C:$C,0))),"",INDEX('Policy Characteristics'!B:B,MATCH($C303,'Policy Characteristics'!$C:$C,0)))</f>
        <v>Decrease Cost of Capital</v>
      </c>
      <c r="C303" s="275" t="str">
        <f t="shared" si="19"/>
        <v>Percentage Decrease in Cost of Capital for Power Plants</v>
      </c>
      <c r="D303" s="6" t="s">
        <v>2753</v>
      </c>
      <c r="E303" s="47"/>
      <c r="F303" s="6" t="s">
        <v>2595</v>
      </c>
      <c r="G303" s="6"/>
      <c r="H303" s="44">
        <v>1744</v>
      </c>
      <c r="I303" s="347" t="s">
        <v>44</v>
      </c>
      <c r="J303" s="276" t="str">
        <f>IF(ISBLANK(INDEX('Policy Characteristics'!D:D,MATCH($C303,'Policy Characteristics'!$C:$C,0))),"",INDEX('Policy Characteristics'!D:D,MATCH($C303,'Policy Characteristics'!$C:$C,0)))</f>
        <v>Decrease Electricity Sector Cost of Capital</v>
      </c>
      <c r="K303" s="275" t="str">
        <f>IF(ISBLANK(INDEX('Policy Characteristics'!E:E,MATCH($C303,'Policy Characteristics'!$C:$C,0))),"",INDEX('Policy Characteristics'!E:E,MATCH($C303,'Policy Characteristics'!$C:$C,0)))</f>
        <v>elec power plant cost of capital</v>
      </c>
      <c r="L303" s="275">
        <f>IF(ISBLANK(INDEX('Policy Characteristics'!F:F,MATCH($C303,'Policy Characteristics'!$C:$C,0))),"",INDEX('Policy Characteristics'!F:F,MATCH($C303,'Policy Characteristics'!$C:$C,0)))</f>
        <v>0</v>
      </c>
      <c r="M303" s="275">
        <f>IF(ISBLANK(INDEX('Policy Characteristics'!G:G,MATCH($C303,'Policy Characteristics'!$C:$C,0))),"",INDEX('Policy Characteristics'!G:G,MATCH($C303,'Policy Characteristics'!$C:$C,0)))</f>
        <v>100</v>
      </c>
      <c r="N303" s="275">
        <f>IF(ISBLANK(INDEX('Policy Characteristics'!H:H,MATCH($C303,'Policy Characteristics'!$C:$C,0))),"",INDEX('Policy Characteristics'!H:H,MATCH($C303,'Policy Characteristics'!$C:$C,0)))</f>
        <v>1</v>
      </c>
      <c r="O303" s="275" t="str">
        <f>IF(ISBLANK(INDEX('Policy Characteristics'!I:I,MATCH($C303,'Policy Characteristics'!$C:$C,0))),"",INDEX('Policy Characteristics'!I:I,MATCH($C303,'Policy Characteristics'!$C:$C,0)))</f>
        <v>% decrease</v>
      </c>
      <c r="P303" s="275" t="str">
        <f>IF(ISBLANK(INDEX('Policy Characteristics'!J:J,MATCH($C303,'Policy Characteristics'!$C:$C,0))),"",INDEX('Policy Characteristics'!J:J,MATCH($C303,'Policy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3" s="275" t="str">
        <f>IF(ISBLANK(INDEX('Policy Characteristics'!K:K,MATCH($C303,'Policy Characteristics'!$C:$C,0))),"",INDEX('Policy Characteristics'!K:K,MATCH($C303,'Policy Characteristics'!$C:$C,0)))</f>
        <v/>
      </c>
      <c r="R303" s="275" t="str">
        <f>IF(ISBLANK(INDEX('Policy Characteristics'!L:L,MATCH($C303,'Policy Characteristics'!$C:$C,0))),"",INDEX('Policy Characteristics'!L:L,MATCH($C303,'Policy Characteristics'!$C:$C,0)))</f>
        <v/>
      </c>
      <c r="S303" s="336"/>
    </row>
    <row r="304" spans="1:19" x14ac:dyDescent="0.25">
      <c r="A304" s="275" t="str">
        <f>IF(ISBLANK(INDEX('Policy Characteristics'!A:A,MATCH($C304,'Policy Characteristics'!$C:$C,0))),"",INDEX('Policy Characteristics'!A:A,MATCH($C304,'Policy Characteristics'!$C:$C,0)))</f>
        <v>Electricity Supply</v>
      </c>
      <c r="B304" s="284" t="str">
        <f>IF(ISBLANK(INDEX('Policy Characteristics'!B:B,MATCH($C304,'Policy Characteristics'!$C:$C,0))),"",INDEX('Policy Characteristics'!B:B,MATCH($C304,'Policy Characteristics'!$C:$C,0)))</f>
        <v>Decrease Cost of Capital</v>
      </c>
      <c r="C304" s="275" t="str">
        <f t="shared" si="19"/>
        <v>Percentage Decrease in Cost of Capital for Power Plants</v>
      </c>
      <c r="D304" s="6" t="s">
        <v>2754</v>
      </c>
      <c r="E304" s="47"/>
      <c r="F304" s="6" t="s">
        <v>2473</v>
      </c>
      <c r="G304" s="6"/>
      <c r="H304" s="44">
        <v>1745</v>
      </c>
      <c r="I304" s="347" t="s">
        <v>44</v>
      </c>
      <c r="J304" s="276" t="str">
        <f>IF(ISBLANK(INDEX('Policy Characteristics'!D:D,MATCH($C304,'Policy Characteristics'!$C:$C,0))),"",INDEX('Policy Characteristics'!D:D,MATCH($C304,'Policy Characteristics'!$C:$C,0)))</f>
        <v>Decrease Electricity Sector Cost of Capital</v>
      </c>
      <c r="K304" s="275" t="str">
        <f>IF(ISBLANK(INDEX('Policy Characteristics'!E:E,MATCH($C304,'Policy Characteristics'!$C:$C,0))),"",INDEX('Policy Characteristics'!E:E,MATCH($C304,'Policy Characteristics'!$C:$C,0)))</f>
        <v>elec power plant cost of capital</v>
      </c>
      <c r="L304" s="275">
        <f>IF(ISBLANK(INDEX('Policy Characteristics'!F:F,MATCH($C304,'Policy Characteristics'!$C:$C,0))),"",INDEX('Policy Characteristics'!F:F,MATCH($C304,'Policy Characteristics'!$C:$C,0)))</f>
        <v>0</v>
      </c>
      <c r="M304" s="275">
        <f>IF(ISBLANK(INDEX('Policy Characteristics'!G:G,MATCH($C304,'Policy Characteristics'!$C:$C,0))),"",INDEX('Policy Characteristics'!G:G,MATCH($C304,'Policy Characteristics'!$C:$C,0)))</f>
        <v>100</v>
      </c>
      <c r="N304" s="275">
        <f>IF(ISBLANK(INDEX('Policy Characteristics'!H:H,MATCH($C304,'Policy Characteristics'!$C:$C,0))),"",INDEX('Policy Characteristics'!H:H,MATCH($C304,'Policy Characteristics'!$C:$C,0)))</f>
        <v>1</v>
      </c>
      <c r="O304" s="275" t="str">
        <f>IF(ISBLANK(INDEX('Policy Characteristics'!I:I,MATCH($C304,'Policy Characteristics'!$C:$C,0))),"",INDEX('Policy Characteristics'!I:I,MATCH($C304,'Policy Characteristics'!$C:$C,0)))</f>
        <v>% decrease</v>
      </c>
      <c r="P304" s="275" t="str">
        <f>IF(ISBLANK(INDEX('Policy Characteristics'!J:J,MATCH($C304,'Policy Characteristics'!$C:$C,0))),"",INDEX('Policy Characteristics'!J:J,MATCH($C304,'Policy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4" s="275" t="str">
        <f>IF(ISBLANK(INDEX('Policy Characteristics'!K:K,MATCH($C304,'Policy Characteristics'!$C:$C,0))),"",INDEX('Policy Characteristics'!K:K,MATCH($C304,'Policy Characteristics'!$C:$C,0)))</f>
        <v/>
      </c>
      <c r="R304" s="275" t="str">
        <f>IF(ISBLANK(INDEX('Policy Characteristics'!L:L,MATCH($C304,'Policy Characteristics'!$C:$C,0))),"",INDEX('Policy Characteristics'!L:L,MATCH($C304,'Policy Characteristics'!$C:$C,0)))</f>
        <v/>
      </c>
      <c r="S304" s="336"/>
    </row>
    <row r="305" spans="1:19" x14ac:dyDescent="0.25">
      <c r="A305" s="275" t="str">
        <f>IF(ISBLANK(INDEX('Policy Characteristics'!A:A,MATCH($C305,'Policy Characteristics'!$C:$C,0))),"",INDEX('Policy Characteristics'!A:A,MATCH($C305,'Policy Characteristics'!$C:$C,0)))</f>
        <v>Electricity Supply</v>
      </c>
      <c r="B305" s="284" t="str">
        <f>IF(ISBLANK(INDEX('Policy Characteristics'!B:B,MATCH($C305,'Policy Characteristics'!$C:$C,0))),"",INDEX('Policy Characteristics'!B:B,MATCH($C305,'Policy Characteristics'!$C:$C,0)))</f>
        <v>Decrease Cost of Capital</v>
      </c>
      <c r="C305" s="275" t="str">
        <f t="shared" si="19"/>
        <v>Percentage Decrease in Cost of Capital for Power Plants</v>
      </c>
      <c r="D305" s="6" t="s">
        <v>3519</v>
      </c>
      <c r="E305" s="47"/>
      <c r="F305" s="6" t="s">
        <v>3526</v>
      </c>
      <c r="G305" s="6"/>
      <c r="H305" s="44">
        <v>1804</v>
      </c>
      <c r="I305" s="347" t="s">
        <v>43</v>
      </c>
      <c r="J305" s="276" t="str">
        <f>IF(ISBLANK(INDEX('Policy Characteristics'!D:D,MATCH($C305,'Policy Characteristics'!$C:$C,0))),"",INDEX('Policy Characteristics'!D:D,MATCH($C305,'Policy Characteristics'!$C:$C,0)))</f>
        <v>Decrease Electricity Sector Cost of Capital</v>
      </c>
      <c r="K305" s="275" t="str">
        <f>IF(ISBLANK(INDEX('Policy Characteristics'!E:E,MATCH($C305,'Policy Characteristics'!$C:$C,0))),"",INDEX('Policy Characteristics'!E:E,MATCH($C305,'Policy Characteristics'!$C:$C,0)))</f>
        <v>elec power plant cost of capital</v>
      </c>
      <c r="L305" s="275">
        <f>IF(ISBLANK(INDEX('Policy Characteristics'!F:F,MATCH($C305,'Policy Characteristics'!$C:$C,0))),"",INDEX('Policy Characteristics'!F:F,MATCH($C305,'Policy Characteristics'!$C:$C,0)))</f>
        <v>0</v>
      </c>
      <c r="M305" s="275">
        <f>IF(ISBLANK(INDEX('Policy Characteristics'!G:G,MATCH($C305,'Policy Characteristics'!$C:$C,0))),"",INDEX('Policy Characteristics'!G:G,MATCH($C305,'Policy Characteristics'!$C:$C,0)))</f>
        <v>100</v>
      </c>
      <c r="N305" s="275">
        <f>IF(ISBLANK(INDEX('Policy Characteristics'!H:H,MATCH($C305,'Policy Characteristics'!$C:$C,0))),"",INDEX('Policy Characteristics'!H:H,MATCH($C305,'Policy Characteristics'!$C:$C,0)))</f>
        <v>1</v>
      </c>
      <c r="O305" s="275" t="str">
        <f>IF(ISBLANK(INDEX('Policy Characteristics'!I:I,MATCH($C305,'Policy Characteristics'!$C:$C,0))),"",INDEX('Policy Characteristics'!I:I,MATCH($C305,'Policy Characteristics'!$C:$C,0)))</f>
        <v>% decrease</v>
      </c>
      <c r="P305" s="275" t="str">
        <f>IF(ISBLANK(INDEX('Policy Characteristics'!J:J,MATCH($C305,'Policy Characteristics'!$C:$C,0))),"",INDEX('Policy Characteristics'!J:J,MATCH($C305,'Policy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5" s="275" t="str">
        <f>IF(ISBLANK(INDEX('Policy Characteristics'!K:K,MATCH($C305,'Policy Characteristics'!$C:$C,0))),"",INDEX('Policy Characteristics'!K:K,MATCH($C305,'Policy Characteristics'!$C:$C,0)))</f>
        <v/>
      </c>
      <c r="R305" s="275" t="str">
        <f>IF(ISBLANK(INDEX('Policy Characteristics'!L:L,MATCH($C305,'Policy Characteristics'!$C:$C,0))),"",INDEX('Policy Characteristics'!L:L,MATCH($C305,'Policy Characteristics'!$C:$C,0)))</f>
        <v/>
      </c>
      <c r="S305" s="336"/>
    </row>
    <row r="306" spans="1:19" x14ac:dyDescent="0.25">
      <c r="A306" s="275" t="str">
        <f>IF(ISBLANK(INDEX('Policy Characteristics'!A:A,MATCH($C306,'Policy Characteristics'!$C:$C,0))),"",INDEX('Policy Characteristics'!A:A,MATCH($C306,'Policy Characteristics'!$C:$C,0)))</f>
        <v>Electricity Supply</v>
      </c>
      <c r="B306" s="284" t="str">
        <f>IF(ISBLANK(INDEX('Policy Characteristics'!B:B,MATCH($C306,'Policy Characteristics'!$C:$C,0))),"",INDEX('Policy Characteristics'!B:B,MATCH($C306,'Policy Characteristics'!$C:$C,0)))</f>
        <v>Decrease Cost of Capital</v>
      </c>
      <c r="C306" s="275" t="str">
        <f t="shared" si="19"/>
        <v>Percentage Decrease in Cost of Capital for Power Plants</v>
      </c>
      <c r="D306" s="6" t="s">
        <v>3522</v>
      </c>
      <c r="E306" s="47"/>
      <c r="F306" s="6" t="s">
        <v>3527</v>
      </c>
      <c r="G306" s="6"/>
      <c r="H306" s="44">
        <v>1805</v>
      </c>
      <c r="I306" s="347" t="s">
        <v>43</v>
      </c>
      <c r="J306" s="276" t="str">
        <f>IF(ISBLANK(INDEX('Policy Characteristics'!D:D,MATCH($C306,'Policy Characteristics'!$C:$C,0))),"",INDEX('Policy Characteristics'!D:D,MATCH($C306,'Policy Characteristics'!$C:$C,0)))</f>
        <v>Decrease Electricity Sector Cost of Capital</v>
      </c>
      <c r="K306" s="275" t="str">
        <f>IF(ISBLANK(INDEX('Policy Characteristics'!E:E,MATCH($C306,'Policy Characteristics'!$C:$C,0))),"",INDEX('Policy Characteristics'!E:E,MATCH($C306,'Policy Characteristics'!$C:$C,0)))</f>
        <v>elec power plant cost of capital</v>
      </c>
      <c r="L306" s="275">
        <f>IF(ISBLANK(INDEX('Policy Characteristics'!F:F,MATCH($C306,'Policy Characteristics'!$C:$C,0))),"",INDEX('Policy Characteristics'!F:F,MATCH($C306,'Policy Characteristics'!$C:$C,0)))</f>
        <v>0</v>
      </c>
      <c r="M306" s="275">
        <f>IF(ISBLANK(INDEX('Policy Characteristics'!G:G,MATCH($C306,'Policy Characteristics'!$C:$C,0))),"",INDEX('Policy Characteristics'!G:G,MATCH($C306,'Policy Characteristics'!$C:$C,0)))</f>
        <v>100</v>
      </c>
      <c r="N306" s="275">
        <f>IF(ISBLANK(INDEX('Policy Characteristics'!H:H,MATCH($C306,'Policy Characteristics'!$C:$C,0))),"",INDEX('Policy Characteristics'!H:H,MATCH($C306,'Policy Characteristics'!$C:$C,0)))</f>
        <v>1</v>
      </c>
      <c r="O306" s="275" t="str">
        <f>IF(ISBLANK(INDEX('Policy Characteristics'!I:I,MATCH($C306,'Policy Characteristics'!$C:$C,0))),"",INDEX('Policy Characteristics'!I:I,MATCH($C306,'Policy Characteristics'!$C:$C,0)))</f>
        <v>% decrease</v>
      </c>
      <c r="P306" s="275" t="str">
        <f>IF(ISBLANK(INDEX('Policy Characteristics'!J:J,MATCH($C306,'Policy Characteristics'!$C:$C,0))),"",INDEX('Policy Characteristics'!J:J,MATCH($C306,'Policy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6" s="275" t="str">
        <f>IF(ISBLANK(INDEX('Policy Characteristics'!K:K,MATCH($C306,'Policy Characteristics'!$C:$C,0))),"",INDEX('Policy Characteristics'!K:K,MATCH($C306,'Policy Characteristics'!$C:$C,0)))</f>
        <v/>
      </c>
      <c r="R306" s="275" t="str">
        <f>IF(ISBLANK(INDEX('Policy Characteristics'!L:L,MATCH($C306,'Policy Characteristics'!$C:$C,0))),"",INDEX('Policy Characteristics'!L:L,MATCH($C306,'Policy Characteristics'!$C:$C,0)))</f>
        <v/>
      </c>
      <c r="S306" s="336"/>
    </row>
    <row r="307" spans="1:19" x14ac:dyDescent="0.25">
      <c r="A307" s="275" t="str">
        <f>IF(ISBLANK(INDEX('Policy Characteristics'!A:A,MATCH($C307,'Policy Characteristics'!$C:$C,0))),"",INDEX('Policy Characteristics'!A:A,MATCH($C307,'Policy Characteristics'!$C:$C,0)))</f>
        <v>Electricity Supply</v>
      </c>
      <c r="B307" s="284" t="str">
        <f>IF(ISBLANK(INDEX('Policy Characteristics'!B:B,MATCH($C307,'Policy Characteristics'!$C:$C,0))),"",INDEX('Policy Characteristics'!B:B,MATCH($C307,'Policy Characteristics'!$C:$C,0)))</f>
        <v>Decrease Cost of Capital</v>
      </c>
      <c r="C307" s="275" t="str">
        <f t="shared" si="19"/>
        <v>Percentage Decrease in Cost of Capital for Power Plants</v>
      </c>
      <c r="D307" s="6" t="s">
        <v>3523</v>
      </c>
      <c r="E307" s="47"/>
      <c r="F307" s="6" t="s">
        <v>3528</v>
      </c>
      <c r="G307" s="6"/>
      <c r="H307" s="44">
        <v>1806</v>
      </c>
      <c r="I307" s="347" t="s">
        <v>43</v>
      </c>
      <c r="J307" s="276" t="str">
        <f>IF(ISBLANK(INDEX('Policy Characteristics'!D:D,MATCH($C307,'Policy Characteristics'!$C:$C,0))),"",INDEX('Policy Characteristics'!D:D,MATCH($C307,'Policy Characteristics'!$C:$C,0)))</f>
        <v>Decrease Electricity Sector Cost of Capital</v>
      </c>
      <c r="K307" s="275" t="str">
        <f>IF(ISBLANK(INDEX('Policy Characteristics'!E:E,MATCH($C307,'Policy Characteristics'!$C:$C,0))),"",INDEX('Policy Characteristics'!E:E,MATCH($C307,'Policy Characteristics'!$C:$C,0)))</f>
        <v>elec power plant cost of capital</v>
      </c>
      <c r="L307" s="275">
        <f>IF(ISBLANK(INDEX('Policy Characteristics'!F:F,MATCH($C307,'Policy Characteristics'!$C:$C,0))),"",INDEX('Policy Characteristics'!F:F,MATCH($C307,'Policy Characteristics'!$C:$C,0)))</f>
        <v>0</v>
      </c>
      <c r="M307" s="275">
        <f>IF(ISBLANK(INDEX('Policy Characteristics'!G:G,MATCH($C307,'Policy Characteristics'!$C:$C,0))),"",INDEX('Policy Characteristics'!G:G,MATCH($C307,'Policy Characteristics'!$C:$C,0)))</f>
        <v>100</v>
      </c>
      <c r="N307" s="275">
        <f>IF(ISBLANK(INDEX('Policy Characteristics'!H:H,MATCH($C307,'Policy Characteristics'!$C:$C,0))),"",INDEX('Policy Characteristics'!H:H,MATCH($C307,'Policy Characteristics'!$C:$C,0)))</f>
        <v>1</v>
      </c>
      <c r="O307" s="275" t="str">
        <f>IF(ISBLANK(INDEX('Policy Characteristics'!I:I,MATCH($C307,'Policy Characteristics'!$C:$C,0))),"",INDEX('Policy Characteristics'!I:I,MATCH($C307,'Policy Characteristics'!$C:$C,0)))</f>
        <v>% decrease</v>
      </c>
      <c r="P307" s="275" t="str">
        <f>IF(ISBLANK(INDEX('Policy Characteristics'!J:J,MATCH($C307,'Policy Characteristics'!$C:$C,0))),"",INDEX('Policy Characteristics'!J:J,MATCH($C307,'Policy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7" s="275" t="str">
        <f>IF(ISBLANK(INDEX('Policy Characteristics'!K:K,MATCH($C307,'Policy Characteristics'!$C:$C,0))),"",INDEX('Policy Characteristics'!K:K,MATCH($C307,'Policy Characteristics'!$C:$C,0)))</f>
        <v/>
      </c>
      <c r="R307" s="275" t="str">
        <f>IF(ISBLANK(INDEX('Policy Characteristics'!L:L,MATCH($C307,'Policy Characteristics'!$C:$C,0))),"",INDEX('Policy Characteristics'!L:L,MATCH($C307,'Policy Characteristics'!$C:$C,0)))</f>
        <v/>
      </c>
      <c r="S307" s="336"/>
    </row>
    <row r="308" spans="1:19" x14ac:dyDescent="0.25">
      <c r="A308" s="275" t="str">
        <f>IF(ISBLANK(INDEX('Policy Characteristics'!A:A,MATCH($C308,'Policy Characteristics'!$C:$C,0))),"",INDEX('Policy Characteristics'!A:A,MATCH($C308,'Policy Characteristics'!$C:$C,0)))</f>
        <v>Electricity Supply</v>
      </c>
      <c r="B308" s="284" t="str">
        <f>IF(ISBLANK(INDEX('Policy Characteristics'!B:B,MATCH($C308,'Policy Characteristics'!$C:$C,0))),"",INDEX('Policy Characteristics'!B:B,MATCH($C308,'Policy Characteristics'!$C:$C,0)))</f>
        <v>Decrease Cost of Capital</v>
      </c>
      <c r="C308" s="275" t="str">
        <f t="shared" si="19"/>
        <v>Percentage Decrease in Cost of Capital for Power Plants</v>
      </c>
      <c r="D308" s="6" t="s">
        <v>3524</v>
      </c>
      <c r="E308" s="47"/>
      <c r="F308" s="6" t="s">
        <v>3529</v>
      </c>
      <c r="G308" s="6"/>
      <c r="H308" s="44">
        <v>1807</v>
      </c>
      <c r="I308" s="347" t="s">
        <v>43</v>
      </c>
      <c r="J308" s="276" t="str">
        <f>IF(ISBLANK(INDEX('Policy Characteristics'!D:D,MATCH($C308,'Policy Characteristics'!$C:$C,0))),"",INDEX('Policy Characteristics'!D:D,MATCH($C308,'Policy Characteristics'!$C:$C,0)))</f>
        <v>Decrease Electricity Sector Cost of Capital</v>
      </c>
      <c r="K308" s="275" t="str">
        <f>IF(ISBLANK(INDEX('Policy Characteristics'!E:E,MATCH($C308,'Policy Characteristics'!$C:$C,0))),"",INDEX('Policy Characteristics'!E:E,MATCH($C308,'Policy Characteristics'!$C:$C,0)))</f>
        <v>elec power plant cost of capital</v>
      </c>
      <c r="L308" s="275">
        <f>IF(ISBLANK(INDEX('Policy Characteristics'!F:F,MATCH($C308,'Policy Characteristics'!$C:$C,0))),"",INDEX('Policy Characteristics'!F:F,MATCH($C308,'Policy Characteristics'!$C:$C,0)))</f>
        <v>0</v>
      </c>
      <c r="M308" s="275">
        <f>IF(ISBLANK(INDEX('Policy Characteristics'!G:G,MATCH($C308,'Policy Characteristics'!$C:$C,0))),"",INDEX('Policy Characteristics'!G:G,MATCH($C308,'Policy Characteristics'!$C:$C,0)))</f>
        <v>100</v>
      </c>
      <c r="N308" s="275">
        <f>IF(ISBLANK(INDEX('Policy Characteristics'!H:H,MATCH($C308,'Policy Characteristics'!$C:$C,0))),"",INDEX('Policy Characteristics'!H:H,MATCH($C308,'Policy Characteristics'!$C:$C,0)))</f>
        <v>1</v>
      </c>
      <c r="O308" s="275" t="str">
        <f>IF(ISBLANK(INDEX('Policy Characteristics'!I:I,MATCH($C308,'Policy Characteristics'!$C:$C,0))),"",INDEX('Policy Characteristics'!I:I,MATCH($C308,'Policy Characteristics'!$C:$C,0)))</f>
        <v>% decrease</v>
      </c>
      <c r="P308" s="275" t="str">
        <f>IF(ISBLANK(INDEX('Policy Characteristics'!J:J,MATCH($C308,'Policy Characteristics'!$C:$C,0))),"",INDEX('Policy Characteristics'!J:J,MATCH($C308,'Policy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8" s="275" t="str">
        <f>IF(ISBLANK(INDEX('Policy Characteristics'!K:K,MATCH($C308,'Policy Characteristics'!$C:$C,0))),"",INDEX('Policy Characteristics'!K:K,MATCH($C308,'Policy Characteristics'!$C:$C,0)))</f>
        <v/>
      </c>
      <c r="R308" s="275" t="str">
        <f>IF(ISBLANK(INDEX('Policy Characteristics'!L:L,MATCH($C308,'Policy Characteristics'!$C:$C,0))),"",INDEX('Policy Characteristics'!L:L,MATCH($C308,'Policy Characteristics'!$C:$C,0)))</f>
        <v/>
      </c>
      <c r="S308" s="336"/>
    </row>
    <row r="309" spans="1:19" x14ac:dyDescent="0.25">
      <c r="A309" s="275" t="str">
        <f>IF(ISBLANK(INDEX('Policy Characteristics'!A:A,MATCH($C309,'Policy Characteristics'!$C:$C,0))),"",INDEX('Policy Characteristics'!A:A,MATCH($C309,'Policy Characteristics'!$C:$C,0)))</f>
        <v>Electricity Supply</v>
      </c>
      <c r="B309" s="284" t="str">
        <f>IF(ISBLANK(INDEX('Policy Characteristics'!B:B,MATCH($C309,'Policy Characteristics'!$C:$C,0))),"",INDEX('Policy Characteristics'!B:B,MATCH($C309,'Policy Characteristics'!$C:$C,0)))</f>
        <v>Decrease Cost of Capital</v>
      </c>
      <c r="C309" s="275" t="str">
        <f t="shared" si="19"/>
        <v>Percentage Decrease in Cost of Capital for Power Plants</v>
      </c>
      <c r="D309" s="6" t="s">
        <v>3525</v>
      </c>
      <c r="E309" s="47"/>
      <c r="F309" s="6" t="s">
        <v>3530</v>
      </c>
      <c r="G309" s="6"/>
      <c r="H309" s="44">
        <v>1808</v>
      </c>
      <c r="I309" s="347" t="s">
        <v>43</v>
      </c>
      <c r="J309" s="276" t="str">
        <f>IF(ISBLANK(INDEX('Policy Characteristics'!D:D,MATCH($C309,'Policy Characteristics'!$C:$C,0))),"",INDEX('Policy Characteristics'!D:D,MATCH($C309,'Policy Characteristics'!$C:$C,0)))</f>
        <v>Decrease Electricity Sector Cost of Capital</v>
      </c>
      <c r="K309" s="275" t="str">
        <f>IF(ISBLANK(INDEX('Policy Characteristics'!E:E,MATCH($C309,'Policy Characteristics'!$C:$C,0))),"",INDEX('Policy Characteristics'!E:E,MATCH($C309,'Policy Characteristics'!$C:$C,0)))</f>
        <v>elec power plant cost of capital</v>
      </c>
      <c r="L309" s="275">
        <f>IF(ISBLANK(INDEX('Policy Characteristics'!F:F,MATCH($C309,'Policy Characteristics'!$C:$C,0))),"",INDEX('Policy Characteristics'!F:F,MATCH($C309,'Policy Characteristics'!$C:$C,0)))</f>
        <v>0</v>
      </c>
      <c r="M309" s="275">
        <f>IF(ISBLANK(INDEX('Policy Characteristics'!G:G,MATCH($C309,'Policy Characteristics'!$C:$C,0))),"",INDEX('Policy Characteristics'!G:G,MATCH($C309,'Policy Characteristics'!$C:$C,0)))</f>
        <v>100</v>
      </c>
      <c r="N309" s="275">
        <f>IF(ISBLANK(INDEX('Policy Characteristics'!H:H,MATCH($C309,'Policy Characteristics'!$C:$C,0))),"",INDEX('Policy Characteristics'!H:H,MATCH($C309,'Policy Characteristics'!$C:$C,0)))</f>
        <v>1</v>
      </c>
      <c r="O309" s="275" t="str">
        <f>IF(ISBLANK(INDEX('Policy Characteristics'!I:I,MATCH($C309,'Policy Characteristics'!$C:$C,0))),"",INDEX('Policy Characteristics'!I:I,MATCH($C309,'Policy Characteristics'!$C:$C,0)))</f>
        <v>% decrease</v>
      </c>
      <c r="P309" s="275" t="str">
        <f>IF(ISBLANK(INDEX('Policy Characteristics'!J:J,MATCH($C309,'Policy Characteristics'!$C:$C,0))),"",INDEX('Policy Characteristics'!J:J,MATCH($C309,'Policy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9" s="275" t="str">
        <f>IF(ISBLANK(INDEX('Policy Characteristics'!K:K,MATCH($C309,'Policy Characteristics'!$C:$C,0))),"",INDEX('Policy Characteristics'!K:K,MATCH($C309,'Policy Characteristics'!$C:$C,0)))</f>
        <v/>
      </c>
      <c r="R309" s="275" t="str">
        <f>IF(ISBLANK(INDEX('Policy Characteristics'!L:L,MATCH($C309,'Policy Characteristics'!$C:$C,0))),"",INDEX('Policy Characteristics'!L:L,MATCH($C309,'Policy Characteristics'!$C:$C,0)))</f>
        <v/>
      </c>
      <c r="S309" s="336"/>
    </row>
    <row r="310" spans="1:19" x14ac:dyDescent="0.25">
      <c r="A310" s="275" t="str">
        <f>IF(ISBLANK(INDEX('Policy Characteristics'!A:A,MATCH($C310,'Policy Characteristics'!$C:$C,0))),"",INDEX('Policy Characteristics'!A:A,MATCH($C310,'Policy Characteristics'!$C:$C,0)))</f>
        <v>Electricity Supply</v>
      </c>
      <c r="B310" s="284" t="str">
        <f>IF(ISBLANK(INDEX('Policy Characteristics'!B:B,MATCH($C310,'Policy Characteristics'!$C:$C,0))),"",INDEX('Policy Characteristics'!B:B,MATCH($C310,'Policy Characteristics'!$C:$C,0)))</f>
        <v>Decrease Cost of Capital</v>
      </c>
      <c r="C310" s="275" t="str">
        <f t="shared" si="19"/>
        <v>Percentage Decrease in Cost of Capital for Power Plants</v>
      </c>
      <c r="D310" s="6" t="s">
        <v>3616</v>
      </c>
      <c r="E310" s="47"/>
      <c r="F310" s="6" t="s">
        <v>3614</v>
      </c>
      <c r="G310" s="6"/>
      <c r="H310" s="44">
        <v>1809</v>
      </c>
      <c r="I310" s="347" t="s">
        <v>43</v>
      </c>
      <c r="J310" s="276" t="str">
        <f>IF(ISBLANK(INDEX('Policy Characteristics'!D:D,MATCH($C310,'Policy Characteristics'!$C:$C,0))),"",INDEX('Policy Characteristics'!D:D,MATCH($C310,'Policy Characteristics'!$C:$C,0)))</f>
        <v>Decrease Electricity Sector Cost of Capital</v>
      </c>
      <c r="K310" s="275" t="str">
        <f>IF(ISBLANK(INDEX('Policy Characteristics'!E:E,MATCH($C310,'Policy Characteristics'!$C:$C,0))),"",INDEX('Policy Characteristics'!E:E,MATCH($C310,'Policy Characteristics'!$C:$C,0)))</f>
        <v>elec power plant cost of capital</v>
      </c>
      <c r="L310" s="275">
        <f>IF(ISBLANK(INDEX('Policy Characteristics'!F:F,MATCH($C310,'Policy Characteristics'!$C:$C,0))),"",INDEX('Policy Characteristics'!F:F,MATCH($C310,'Policy Characteristics'!$C:$C,0)))</f>
        <v>0</v>
      </c>
      <c r="M310" s="275">
        <f>IF(ISBLANK(INDEX('Policy Characteristics'!G:G,MATCH($C310,'Policy Characteristics'!$C:$C,0))),"",INDEX('Policy Characteristics'!G:G,MATCH($C310,'Policy Characteristics'!$C:$C,0)))</f>
        <v>100</v>
      </c>
      <c r="N310" s="275">
        <f>IF(ISBLANK(INDEX('Policy Characteristics'!H:H,MATCH($C310,'Policy Characteristics'!$C:$C,0))),"",INDEX('Policy Characteristics'!H:H,MATCH($C310,'Policy Characteristics'!$C:$C,0)))</f>
        <v>1</v>
      </c>
      <c r="O310" s="275" t="str">
        <f>IF(ISBLANK(INDEX('Policy Characteristics'!I:I,MATCH($C310,'Policy Characteristics'!$C:$C,0))),"",INDEX('Policy Characteristics'!I:I,MATCH($C310,'Policy Characteristics'!$C:$C,0)))</f>
        <v>% decrease</v>
      </c>
      <c r="P310" s="275" t="str">
        <f>IF(ISBLANK(INDEX('Policy Characteristics'!J:J,MATCH($C310,'Policy Characteristics'!$C:$C,0))),"",INDEX('Policy Characteristics'!J:J,MATCH($C310,'Policy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0" s="275" t="str">
        <f>IF(ISBLANK(INDEX('Policy Characteristics'!K:K,MATCH($C310,'Policy Characteristics'!$C:$C,0))),"",INDEX('Policy Characteristics'!K:K,MATCH($C310,'Policy Characteristics'!$C:$C,0)))</f>
        <v/>
      </c>
      <c r="R310" s="275" t="str">
        <f>IF(ISBLANK(INDEX('Policy Characteristics'!L:L,MATCH($C310,'Policy Characteristics'!$C:$C,0))),"",INDEX('Policy Characteristics'!L:L,MATCH($C310,'Policy Characteristics'!$C:$C,0)))</f>
        <v/>
      </c>
      <c r="S310" s="336"/>
    </row>
    <row r="311" spans="1:19" x14ac:dyDescent="0.25">
      <c r="A311" s="275" t="str">
        <f>IF(ISBLANK(INDEX('Policy Characteristics'!A:A,MATCH($C311,'Policy Characteristics'!$C:$C,0))),"",INDEX('Policy Characteristics'!A:A,MATCH($C311,'Policy Characteristics'!$C:$C,0)))</f>
        <v>Electricity Supply</v>
      </c>
      <c r="B311" s="284" t="str">
        <f>IF(ISBLANK(INDEX('Policy Characteristics'!B:B,MATCH($C311,'Policy Characteristics'!$C:$C,0))),"",INDEX('Policy Characteristics'!B:B,MATCH($C311,'Policy Characteristics'!$C:$C,0)))</f>
        <v>Decrease Cost of Capital</v>
      </c>
      <c r="C311" s="275" t="str">
        <f t="shared" si="19"/>
        <v>Percentage Decrease in Cost of Capital for Power Plants</v>
      </c>
      <c r="D311" s="6" t="s">
        <v>3617</v>
      </c>
      <c r="E311" s="47"/>
      <c r="F311" s="6" t="s">
        <v>3615</v>
      </c>
      <c r="G311" s="6"/>
      <c r="H311" s="44">
        <v>2238</v>
      </c>
      <c r="I311" s="347" t="s">
        <v>43</v>
      </c>
      <c r="J311" s="276" t="str">
        <f>IF(ISBLANK(INDEX('Policy Characteristics'!D:D,MATCH($C311,'Policy Characteristics'!$C:$C,0))),"",INDEX('Policy Characteristics'!D:D,MATCH($C311,'Policy Characteristics'!$C:$C,0)))</f>
        <v>Decrease Electricity Sector Cost of Capital</v>
      </c>
      <c r="K311" s="275" t="str">
        <f>IF(ISBLANK(INDEX('Policy Characteristics'!E:E,MATCH($C311,'Policy Characteristics'!$C:$C,0))),"",INDEX('Policy Characteristics'!E:E,MATCH($C311,'Policy Characteristics'!$C:$C,0)))</f>
        <v>elec power plant cost of capital</v>
      </c>
      <c r="L311" s="275">
        <f>IF(ISBLANK(INDEX('Policy Characteristics'!F:F,MATCH($C311,'Policy Characteristics'!$C:$C,0))),"",INDEX('Policy Characteristics'!F:F,MATCH($C311,'Policy Characteristics'!$C:$C,0)))</f>
        <v>0</v>
      </c>
      <c r="M311" s="275">
        <f>IF(ISBLANK(INDEX('Policy Characteristics'!G:G,MATCH($C311,'Policy Characteristics'!$C:$C,0))),"",INDEX('Policy Characteristics'!G:G,MATCH($C311,'Policy Characteristics'!$C:$C,0)))</f>
        <v>100</v>
      </c>
      <c r="N311" s="275">
        <f>IF(ISBLANK(INDEX('Policy Characteristics'!H:H,MATCH($C311,'Policy Characteristics'!$C:$C,0))),"",INDEX('Policy Characteristics'!H:H,MATCH($C311,'Policy Characteristics'!$C:$C,0)))</f>
        <v>1</v>
      </c>
      <c r="O311" s="275" t="str">
        <f>IF(ISBLANK(INDEX('Policy Characteristics'!I:I,MATCH($C311,'Policy Characteristics'!$C:$C,0))),"",INDEX('Policy Characteristics'!I:I,MATCH($C311,'Policy Characteristics'!$C:$C,0)))</f>
        <v>% decrease</v>
      </c>
      <c r="P311" s="275" t="str">
        <f>IF(ISBLANK(INDEX('Policy Characteristics'!J:J,MATCH($C311,'Policy Characteristics'!$C:$C,0))),"",INDEX('Policy Characteristics'!J:J,MATCH($C311,'Policy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1" s="275"/>
      <c r="R311" s="275"/>
      <c r="S311" s="336"/>
    </row>
    <row r="312" spans="1:19" x14ac:dyDescent="0.25">
      <c r="A312" s="275" t="str">
        <f>IF(ISBLANK(INDEX('Policy Characteristics'!A:A,MATCH($C312,'Policy Characteristics'!$C:$C,0))),"",INDEX('Policy Characteristics'!A:A,MATCH($C312,'Policy Characteristics'!$C:$C,0)))</f>
        <v>Electricity Supply</v>
      </c>
      <c r="B312" s="284" t="str">
        <f>IF(ISBLANK(INDEX('Policy Characteristics'!B:B,MATCH($C312,'Policy Characteristics'!$C:$C,0))),"",INDEX('Policy Characteristics'!B:B,MATCH($C312,'Policy Characteristics'!$C:$C,0)))</f>
        <v>Demand Response</v>
      </c>
      <c r="C312" t="s">
        <v>27</v>
      </c>
      <c r="D312" s="47"/>
      <c r="E312" s="47"/>
      <c r="F312" s="47"/>
      <c r="G312" s="47"/>
      <c r="H312" s="44">
        <v>30</v>
      </c>
      <c r="I312" s="346" t="s">
        <v>43</v>
      </c>
      <c r="J312" s="276" t="str">
        <f>IF(ISBLANK(INDEX('Policy Characteristics'!D:D,MATCH($C312,'Policy Characteristics'!$C:$C,0))),"",INDEX('Policy Characteristics'!D:D,MATCH($C312,'Policy Characteristics'!$C:$C,0)))</f>
        <v>Demand Response</v>
      </c>
      <c r="K312" s="275" t="str">
        <f>IF(ISBLANK(INDEX('Policy Characteristics'!E:E,MATCH($C312,'Policy Characteristics'!$C:$C,0))),"",INDEX('Policy Characteristics'!E:E,MATCH($C312,'Policy Characteristics'!$C:$C,0)))</f>
        <v>elec demand response</v>
      </c>
      <c r="L312" s="283">
        <f>IF(ISBLANK(INDEX('Policy Characteristics'!F:F,MATCH($C312,'Policy Characteristics'!$C:$C,0))),"",INDEX('Policy Characteristics'!F:F,MATCH($C312,'Policy Characteristics'!$C:$C,0)))</f>
        <v>0</v>
      </c>
      <c r="M312" s="283">
        <f>IF(ISBLANK(INDEX('Policy Characteristics'!G:G,MATCH($C312,'Policy Characteristics'!$C:$C,0))),"",INDEX('Policy Characteristics'!G:G,MATCH($C312,'Policy Characteristics'!$C:$C,0)))</f>
        <v>1</v>
      </c>
      <c r="N312" s="283">
        <f>IF(ISBLANK(INDEX('Policy Characteristics'!H:H,MATCH($C312,'Policy Characteristics'!$C:$C,0))),"",INDEX('Policy Characteristics'!H:H,MATCH($C312,'Policy Characteristics'!$C:$C,0)))</f>
        <v>0.01</v>
      </c>
      <c r="O312" s="275" t="str">
        <f>IF(ISBLANK(INDEX('Policy Characteristics'!I:I,MATCH($C312,'Policy Characteristics'!$C:$C,0))),"",INDEX('Policy Characteristics'!I:I,MATCH($C312,'Policy Characteristics'!$C:$C,0)))</f>
        <v>% of potential achieved</v>
      </c>
      <c r="P312" s="275" t="str">
        <f>IF(ISBLANK(INDEX('Policy Characteristics'!J:J,MATCH($C312,'Policy Characteristics'!$C:$C,0))),"",INDEX('Policy Characteristics'!J:J,MATCH($C312,'Policy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350 GW of demand response capacity in 2050 (on top of a BAU quantity of 41 GW).</v>
      </c>
      <c r="Q312" s="275" t="str">
        <f>IF(ISBLANK(INDEX('Policy Characteristics'!K:K,MATCH($C312,'Policy Characteristics'!$C:$C,0))),"",INDEX('Policy Characteristics'!K:K,MATCH($C312,'Policy Characteristics'!$C:$C,0)))</f>
        <v>electricity-sector-main.html#dr</v>
      </c>
      <c r="R312" s="275" t="str">
        <f>IF(ISBLANK(INDEX('Policy Characteristics'!L:L,MATCH($C312,'Policy Characteristics'!$C:$C,0))),"",INDEX('Policy Characteristics'!L:L,MATCH($C312,'Policy Characteristics'!$C:$C,0)))</f>
        <v>demand-response.html</v>
      </c>
    </row>
    <row r="313" spans="1:19" x14ac:dyDescent="0.25">
      <c r="A313" s="275" t="str">
        <f>IF(ISBLANK(INDEX('Policy Characteristics'!A:A,MATCH($C313,'Policy Characteristics'!$C:$C,0))),"",INDEX('Policy Characteristics'!A:A,MATCH($C313,'Policy Characteristics'!$C:$C,0)))</f>
        <v>Electricity Supply</v>
      </c>
      <c r="B313" s="284" t="str">
        <f>IF(ISBLANK(INDEX('Policy Characteristics'!B:B,MATCH($C313,'Policy Characteristics'!$C:$C,0))),"",INDEX('Policy Characteristics'!B:B,MATCH($C313,'Policy Characteristics'!$C:$C,0)))</f>
        <v>Early Retirement of Power Plants</v>
      </c>
      <c r="C313" t="s">
        <v>128</v>
      </c>
      <c r="D313" s="47" t="s">
        <v>448</v>
      </c>
      <c r="E313" s="47"/>
      <c r="F313" s="47" t="s">
        <v>447</v>
      </c>
      <c r="G313" s="47"/>
      <c r="H313" s="44">
        <v>31</v>
      </c>
      <c r="I313" s="346" t="s">
        <v>43</v>
      </c>
      <c r="J313" s="276" t="str">
        <f>IF(ISBLANK(INDEX('Policy Characteristics'!D:D,MATCH($C313,'Policy Characteristics'!$C:$C,0))),"",INDEX('Policy Characteristics'!D:D,MATCH($C313,'Policy Characteristics'!$C:$C,0)))</f>
        <v>Early Retirement of Power Plants</v>
      </c>
      <c r="K313" s="275" t="str">
        <f>IF(ISBLANK(INDEX('Policy Characteristics'!E:E,MATCH($C313,'Policy Characteristics'!$C:$C,0))),"",INDEX('Policy Characteristics'!E:E,MATCH($C313,'Policy Characteristics'!$C:$C,0)))</f>
        <v>elec early retirement</v>
      </c>
      <c r="L313" s="275">
        <f>IF(ISBLANK(INDEX('Policy Characteristics'!F:F,MATCH($C313,'Policy Characteristics'!$C:$C,0))),"",INDEX('Policy Characteristics'!F:F,MATCH($C313,'Policy Characteristics'!$C:$C,0)))</f>
        <v>0</v>
      </c>
      <c r="M313" s="275">
        <f>IF(ISBLANK(INDEX('Policy Characteristics'!G:G,MATCH($C313,'Policy Characteristics'!$C:$C,0))),"",INDEX('Policy Characteristics'!G:G,MATCH($C313,'Policy Characteristics'!$C:$C,0)))</f>
        <v>25000</v>
      </c>
      <c r="N313" s="275">
        <f>IF(ISBLANK(INDEX('Policy Characteristics'!H:H,MATCH($C313,'Policy Characteristics'!$C:$C,0))),"",INDEX('Policy Characteristics'!H:H,MATCH($C313,'Policy Characteristics'!$C:$C,0)))</f>
        <v>500</v>
      </c>
      <c r="O313" s="275" t="str">
        <f>IF(ISBLANK(INDEX('Policy Characteristics'!I:I,MATCH($C313,'Policy Characteristics'!$C:$C,0))),"",INDEX('Policy Characteristics'!I:I,MATCH($C313,'Policy Characteristics'!$C:$C,0)))</f>
        <v>MW/year</v>
      </c>
      <c r="P313" s="275" t="str">
        <f>IF(ISBLANK(INDEX('Policy Characteristics'!J:J,MATCH($C313,'Policy Characteristics'!$C:$C,0))),"",INDEX('Policy Characteristics'!J:J,MATCH($C313,'Policy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3" s="275" t="str">
        <f>IF(ISBLANK(INDEX('Policy Characteristics'!K:K,MATCH($C313,'Policy Characteristics'!$C:$C,0))),"",INDEX('Policy Characteristics'!K:K,MATCH($C313,'Policy Characteristics'!$C:$C,0)))</f>
        <v>electricity-sector-main.html#early-ret</v>
      </c>
      <c r="R313" s="275" t="str">
        <f>IF(ISBLANK(INDEX('Policy Characteristics'!L:L,MATCH($C313,'Policy Characteristics'!$C:$C,0))),"",INDEX('Policy Characteristics'!L:L,MATCH($C313,'Policy Characteristics'!$C:$C,0)))</f>
        <v>early-retirement-of-power-plants.html</v>
      </c>
    </row>
    <row r="314" spans="1:19" x14ac:dyDescent="0.25">
      <c r="A314" s="275" t="str">
        <f>IF(ISBLANK(INDEX('Policy Characteristics'!A:A,MATCH($C314,'Policy Characteristics'!$C:$C,0))),"",INDEX('Policy Characteristics'!A:A,MATCH($C314,'Policy Characteristics'!$C:$C,0)))</f>
        <v>Electricity Supply</v>
      </c>
      <c r="B314" s="284" t="str">
        <f>IF(ISBLANK(INDEX('Policy Characteristics'!B:B,MATCH($C314,'Policy Characteristics'!$C:$C,0))),"",INDEX('Policy Characteristics'!B:B,MATCH($C314,'Policy Characteristics'!$C:$C,0)))</f>
        <v>Early Retirement of Power Plants</v>
      </c>
      <c r="C314" t="s">
        <v>128</v>
      </c>
      <c r="D314" s="6" t="s">
        <v>3520</v>
      </c>
      <c r="E314" s="47"/>
      <c r="F314" s="6" t="s">
        <v>3453</v>
      </c>
      <c r="G314" s="47"/>
      <c r="H314" s="44">
        <v>1760</v>
      </c>
      <c r="I314" s="346" t="s">
        <v>43</v>
      </c>
      <c r="J314" s="276" t="str">
        <f>IF(ISBLANK(INDEX('Policy Characteristics'!D:D,MATCH($C314,'Policy Characteristics'!$C:$C,0))),"",INDEX('Policy Characteristics'!D:D,MATCH($C314,'Policy Characteristics'!$C:$C,0)))</f>
        <v>Early Retirement of Power Plants</v>
      </c>
      <c r="K314" s="275" t="str">
        <f>IF(ISBLANK(INDEX('Policy Characteristics'!E:E,MATCH($C314,'Policy Characteristics'!$C:$C,0))),"",INDEX('Policy Characteristics'!E:E,MATCH($C314,'Policy Characteristics'!$C:$C,0)))</f>
        <v>elec early retirement</v>
      </c>
      <c r="L314" s="275">
        <f>IF(ISBLANK(INDEX('Policy Characteristics'!F:F,MATCH($C314,'Policy Characteristics'!$C:$C,0))),"",INDEX('Policy Characteristics'!F:F,MATCH($C314,'Policy Characteristics'!$C:$C,0)))</f>
        <v>0</v>
      </c>
      <c r="M314" s="275">
        <f>IF(ISBLANK(INDEX('Policy Characteristics'!G:G,MATCH($C314,'Policy Characteristics'!$C:$C,0))),"",INDEX('Policy Characteristics'!G:G,MATCH($C314,'Policy Characteristics'!$C:$C,0)))</f>
        <v>25000</v>
      </c>
      <c r="N314" s="275">
        <f>IF(ISBLANK(INDEX('Policy Characteristics'!H:H,MATCH($C314,'Policy Characteristics'!$C:$C,0))),"",INDEX('Policy Characteristics'!H:H,MATCH($C314,'Policy Characteristics'!$C:$C,0)))</f>
        <v>500</v>
      </c>
      <c r="O314" s="275" t="str">
        <f>IF(ISBLANK(INDEX('Policy Characteristics'!I:I,MATCH($C314,'Policy Characteristics'!$C:$C,0))),"",INDEX('Policy Characteristics'!I:I,MATCH($C314,'Policy Characteristics'!$C:$C,0)))</f>
        <v>MW/year</v>
      </c>
      <c r="P314" s="275" t="str">
        <f>IF(ISBLANK(INDEX('Policy Characteristics'!J:J,MATCH($C314,'Policy Characteristics'!$C:$C,0))),"",INDEX('Policy Characteristics'!J:J,MATCH($C314,'Policy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4" s="275" t="str">
        <f>IF(ISBLANK(INDEX('Policy Characteristics'!K:K,MATCH($C314,'Policy Characteristics'!$C:$C,0))),"",INDEX('Policy Characteristics'!K:K,MATCH($C314,'Policy Characteristics'!$C:$C,0)))</f>
        <v>electricity-sector-main.html#early-ret</v>
      </c>
      <c r="R314" s="275" t="str">
        <f>IF(ISBLANK(INDEX('Policy Characteristics'!L:L,MATCH($C314,'Policy Characteristics'!$C:$C,0))),"",INDEX('Policy Characteristics'!L:L,MATCH($C314,'Policy Characteristics'!$C:$C,0)))</f>
        <v>early-retirement-of-power-plants.html</v>
      </c>
    </row>
    <row r="315" spans="1:19" x14ac:dyDescent="0.25">
      <c r="A315" s="275" t="str">
        <f>IF(ISBLANK(INDEX('Policy Characteristics'!A:A,MATCH($C315,'Policy Characteristics'!$C:$C,0))),"",INDEX('Policy Characteristics'!A:A,MATCH($C315,'Policy Characteristics'!$C:$C,0)))</f>
        <v>Electricity Supply</v>
      </c>
      <c r="B315" s="284" t="str">
        <f>IF(ISBLANK(INDEX('Policy Characteristics'!B:B,MATCH($C315,'Policy Characteristics'!$C:$C,0))),"",INDEX('Policy Characteristics'!B:B,MATCH($C315,'Policy Characteristics'!$C:$C,0)))</f>
        <v>Early Retirement of Power Plants</v>
      </c>
      <c r="C315" s="275" t="str">
        <f t="shared" ref="C315:C336" si="20">C$313</f>
        <v>Annual Additional Capacity Retired due to Early Retirement Policy</v>
      </c>
      <c r="D315" s="6" t="s">
        <v>3521</v>
      </c>
      <c r="E315" s="47"/>
      <c r="F315" s="6" t="s">
        <v>3454</v>
      </c>
      <c r="G315" s="47"/>
      <c r="H315" s="44">
        <v>620</v>
      </c>
      <c r="I315" s="346" t="s">
        <v>43</v>
      </c>
      <c r="J315" s="276" t="str">
        <f>IF(ISBLANK(INDEX('Policy Characteristics'!D:D,MATCH($C315,'Policy Characteristics'!$C:$C,0))),"",INDEX('Policy Characteristics'!D:D,MATCH($C315,'Policy Characteristics'!$C:$C,0)))</f>
        <v>Early Retirement of Power Plants</v>
      </c>
      <c r="K315" s="275" t="str">
        <f>IF(ISBLANK(INDEX('Policy Characteristics'!E:E,MATCH($C315,'Policy Characteristics'!$C:$C,0))),"",INDEX('Policy Characteristics'!E:E,MATCH($C315,'Policy Characteristics'!$C:$C,0)))</f>
        <v>elec early retirement</v>
      </c>
      <c r="L315" s="275">
        <f>IF(ISBLANK(INDEX('Policy Characteristics'!F:F,MATCH($C315,'Policy Characteristics'!$C:$C,0))),"",INDEX('Policy Characteristics'!F:F,MATCH($C315,'Policy Characteristics'!$C:$C,0)))</f>
        <v>0</v>
      </c>
      <c r="M315" s="275">
        <f>IF(ISBLANK(INDEX('Policy Characteristics'!G:G,MATCH($C315,'Policy Characteristics'!$C:$C,0))),"",INDEX('Policy Characteristics'!G:G,MATCH($C315,'Policy Characteristics'!$C:$C,0)))</f>
        <v>25000</v>
      </c>
      <c r="N315" s="275">
        <f>IF(ISBLANK(INDEX('Policy Characteristics'!H:H,MATCH($C315,'Policy Characteristics'!$C:$C,0))),"",INDEX('Policy Characteristics'!H:H,MATCH($C315,'Policy Characteristics'!$C:$C,0)))</f>
        <v>500</v>
      </c>
      <c r="O315" s="275" t="str">
        <f>IF(ISBLANK(INDEX('Policy Characteristics'!I:I,MATCH($C315,'Policy Characteristics'!$C:$C,0))),"",INDEX('Policy Characteristics'!I:I,MATCH($C315,'Policy Characteristics'!$C:$C,0)))</f>
        <v>MW/year</v>
      </c>
      <c r="P315" s="275" t="str">
        <f>IF(ISBLANK(INDEX('Policy Characteristics'!J:J,MATCH($C315,'Policy Characteristics'!$C:$C,0))),"",INDEX('Policy Characteristics'!J:J,MATCH($C315,'Policy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5" s="275" t="str">
        <f>IF(ISBLANK(INDEX('Policy Characteristics'!K:K,MATCH($C315,'Policy Characteristics'!$C:$C,0))),"",INDEX('Policy Characteristics'!K:K,MATCH($C315,'Policy Characteristics'!$C:$C,0)))</f>
        <v>electricity-sector-main.html#early-ret</v>
      </c>
      <c r="R315" s="275" t="str">
        <f>IF(ISBLANK(INDEX('Policy Characteristics'!L:L,MATCH($C315,'Policy Characteristics'!$C:$C,0))),"",INDEX('Policy Characteristics'!L:L,MATCH($C315,'Policy Characteristics'!$C:$C,0)))</f>
        <v>early-retirement-of-power-plants.html</v>
      </c>
    </row>
    <row r="316" spans="1:19" x14ac:dyDescent="0.25">
      <c r="A316" s="275" t="str">
        <f>IF(ISBLANK(INDEX('Policy Characteristics'!A:A,MATCH($C316,'Policy Characteristics'!$C:$C,0))),"",INDEX('Policy Characteristics'!A:A,MATCH($C316,'Policy Characteristics'!$C:$C,0)))</f>
        <v>Electricity Supply</v>
      </c>
      <c r="B316" s="284" t="str">
        <f>IF(ISBLANK(INDEX('Policy Characteristics'!B:B,MATCH($C316,'Policy Characteristics'!$C:$C,0))),"",INDEX('Policy Characteristics'!B:B,MATCH($C316,'Policy Characteristics'!$C:$C,0)))</f>
        <v>Early Retirement of Power Plants</v>
      </c>
      <c r="C316" s="275" t="str">
        <f t="shared" si="20"/>
        <v>Annual Additional Capacity Retired due to Early Retirement Policy</v>
      </c>
      <c r="D316" s="6" t="s">
        <v>76</v>
      </c>
      <c r="E316" s="47"/>
      <c r="F316" s="6" t="s">
        <v>3531</v>
      </c>
      <c r="G316" s="47"/>
      <c r="H316" s="44">
        <v>32</v>
      </c>
      <c r="I316" s="346" t="s">
        <v>43</v>
      </c>
      <c r="J316" s="276" t="str">
        <f>IF(ISBLANK(INDEX('Policy Characteristics'!D:D,MATCH($C316,'Policy Characteristics'!$C:$C,0))),"",INDEX('Policy Characteristics'!D:D,MATCH($C316,'Policy Characteristics'!$C:$C,0)))</f>
        <v>Early Retirement of Power Plants</v>
      </c>
      <c r="K316" s="275" t="str">
        <f>IF(ISBLANK(INDEX('Policy Characteristics'!E:E,MATCH($C316,'Policy Characteristics'!$C:$C,0))),"",INDEX('Policy Characteristics'!E:E,MATCH($C316,'Policy Characteristics'!$C:$C,0)))</f>
        <v>elec early retirement</v>
      </c>
      <c r="L316" s="275">
        <f>IF(ISBLANK(INDEX('Policy Characteristics'!F:F,MATCH($C316,'Policy Characteristics'!$C:$C,0))),"",INDEX('Policy Characteristics'!F:F,MATCH($C316,'Policy Characteristics'!$C:$C,0)))</f>
        <v>0</v>
      </c>
      <c r="M316" s="275">
        <f>IF(ISBLANK(INDEX('Policy Characteristics'!G:G,MATCH($C316,'Policy Characteristics'!$C:$C,0))),"",INDEX('Policy Characteristics'!G:G,MATCH($C316,'Policy Characteristics'!$C:$C,0)))</f>
        <v>25000</v>
      </c>
      <c r="N316" s="275">
        <f>IF(ISBLANK(INDEX('Policy Characteristics'!H:H,MATCH($C316,'Policy Characteristics'!$C:$C,0))),"",INDEX('Policy Characteristics'!H:H,MATCH($C316,'Policy Characteristics'!$C:$C,0)))</f>
        <v>500</v>
      </c>
      <c r="O316" s="275" t="str">
        <f>IF(ISBLANK(INDEX('Policy Characteristics'!I:I,MATCH($C316,'Policy Characteristics'!$C:$C,0))),"",INDEX('Policy Characteristics'!I:I,MATCH($C316,'Policy Characteristics'!$C:$C,0)))</f>
        <v>MW/year</v>
      </c>
      <c r="P316" s="275" t="str">
        <f>IF(ISBLANK(INDEX('Policy Characteristics'!J:J,MATCH($C316,'Policy Characteristics'!$C:$C,0))),"",INDEX('Policy Characteristics'!J:J,MATCH($C316,'Policy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6" s="275" t="str">
        <f>IF(ISBLANK(INDEX('Policy Characteristics'!K:K,MATCH($C316,'Policy Characteristics'!$C:$C,0))),"",INDEX('Policy Characteristics'!K:K,MATCH($C316,'Policy Characteristics'!$C:$C,0)))</f>
        <v>electricity-sector-main.html#early-ret</v>
      </c>
      <c r="R316" s="275" t="str">
        <f>IF(ISBLANK(INDEX('Policy Characteristics'!L:L,MATCH($C316,'Policy Characteristics'!$C:$C,0))),"",INDEX('Policy Characteristics'!L:L,MATCH($C316,'Policy Characteristics'!$C:$C,0)))</f>
        <v>early-retirement-of-power-plants.html</v>
      </c>
    </row>
    <row r="317" spans="1:19" x14ac:dyDescent="0.25">
      <c r="A317" s="275" t="str">
        <f>IF(ISBLANK(INDEX('Policy Characteristics'!A:A,MATCH($C317,'Policy Characteristics'!$C:$C,0))),"",INDEX('Policy Characteristics'!A:A,MATCH($C317,'Policy Characteristics'!$C:$C,0)))</f>
        <v>Electricity Supply</v>
      </c>
      <c r="B317" s="284" t="str">
        <f>IF(ISBLANK(INDEX('Policy Characteristics'!B:B,MATCH($C317,'Policy Characteristics'!$C:$C,0))),"",INDEX('Policy Characteristics'!B:B,MATCH($C317,'Policy Characteristics'!$C:$C,0)))</f>
        <v>Early Retirement of Power Plants</v>
      </c>
      <c r="C317" s="275" t="str">
        <f t="shared" si="20"/>
        <v>Annual Additional Capacity Retired due to Early Retirement Policy</v>
      </c>
      <c r="D317" s="6" t="s">
        <v>77</v>
      </c>
      <c r="E317" s="47"/>
      <c r="F317" s="6" t="s">
        <v>89</v>
      </c>
      <c r="G317" s="47"/>
      <c r="H317" s="44">
        <v>621</v>
      </c>
      <c r="I317" s="346" t="s">
        <v>44</v>
      </c>
      <c r="J317" s="276" t="str">
        <f>IF(ISBLANK(INDEX('Policy Characteristics'!D:D,MATCH($C317,'Policy Characteristics'!$C:$C,0))),"",INDEX('Policy Characteristics'!D:D,MATCH($C317,'Policy Characteristics'!$C:$C,0)))</f>
        <v>Early Retirement of Power Plants</v>
      </c>
      <c r="K317" s="275" t="str">
        <f>IF(ISBLANK(INDEX('Policy Characteristics'!E:E,MATCH($C317,'Policy Characteristics'!$C:$C,0))),"",INDEX('Policy Characteristics'!E:E,MATCH($C317,'Policy Characteristics'!$C:$C,0)))</f>
        <v>elec early retirement</v>
      </c>
      <c r="L317" s="275">
        <f>IF(ISBLANK(INDEX('Policy Characteristics'!F:F,MATCH($C317,'Policy Characteristics'!$C:$C,0))),"",INDEX('Policy Characteristics'!F:F,MATCH($C317,'Policy Characteristics'!$C:$C,0)))</f>
        <v>0</v>
      </c>
      <c r="M317" s="275">
        <f>IF(ISBLANK(INDEX('Policy Characteristics'!G:G,MATCH($C317,'Policy Characteristics'!$C:$C,0))),"",INDEX('Policy Characteristics'!G:G,MATCH($C317,'Policy Characteristics'!$C:$C,0)))</f>
        <v>25000</v>
      </c>
      <c r="N317" s="275">
        <f>IF(ISBLANK(INDEX('Policy Characteristics'!H:H,MATCH($C317,'Policy Characteristics'!$C:$C,0))),"",INDEX('Policy Characteristics'!H:H,MATCH($C317,'Policy Characteristics'!$C:$C,0)))</f>
        <v>500</v>
      </c>
      <c r="O317" s="275" t="str">
        <f>IF(ISBLANK(INDEX('Policy Characteristics'!I:I,MATCH($C317,'Policy Characteristics'!$C:$C,0))),"",INDEX('Policy Characteristics'!I:I,MATCH($C317,'Policy Characteristics'!$C:$C,0)))</f>
        <v>MW/year</v>
      </c>
      <c r="P317" s="275" t="str">
        <f>IF(ISBLANK(INDEX('Policy Characteristics'!J:J,MATCH($C317,'Policy Characteristics'!$C:$C,0))),"",INDEX('Policy Characteristics'!J:J,MATCH($C317,'Policy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7" s="275" t="str">
        <f>IF(ISBLANK(INDEX('Policy Characteristics'!K:K,MATCH($C317,'Policy Characteristics'!$C:$C,0))),"",INDEX('Policy Characteristics'!K:K,MATCH($C317,'Policy Characteristics'!$C:$C,0)))</f>
        <v>electricity-sector-main.html#early-ret</v>
      </c>
      <c r="R317" s="275" t="str">
        <f>IF(ISBLANK(INDEX('Policy Characteristics'!L:L,MATCH($C317,'Policy Characteristics'!$C:$C,0))),"",INDEX('Policy Characteristics'!L:L,MATCH($C317,'Policy Characteristics'!$C:$C,0)))</f>
        <v>early-retirement-of-power-plants.html</v>
      </c>
    </row>
    <row r="318" spans="1:19" x14ac:dyDescent="0.25">
      <c r="A318" s="275" t="str">
        <f>IF(ISBLANK(INDEX('Policy Characteristics'!A:A,MATCH($C318,'Policy Characteristics'!$C:$C,0))),"",INDEX('Policy Characteristics'!A:A,MATCH($C318,'Policy Characteristics'!$C:$C,0)))</f>
        <v>Electricity Supply</v>
      </c>
      <c r="B318" s="284" t="str">
        <f>IF(ISBLANK(INDEX('Policy Characteristics'!B:B,MATCH($C318,'Policy Characteristics'!$C:$C,0))),"",INDEX('Policy Characteristics'!B:B,MATCH($C318,'Policy Characteristics'!$C:$C,0)))</f>
        <v>Early Retirement of Power Plants</v>
      </c>
      <c r="C318" s="275" t="str">
        <f t="shared" si="20"/>
        <v>Annual Additional Capacity Retired due to Early Retirement Policy</v>
      </c>
      <c r="D318" s="6" t="s">
        <v>449</v>
      </c>
      <c r="E318" s="47"/>
      <c r="F318" s="6" t="s">
        <v>452</v>
      </c>
      <c r="G318" s="47"/>
      <c r="H318" s="44">
        <v>622</v>
      </c>
      <c r="I318" s="346" t="s">
        <v>44</v>
      </c>
      <c r="J318" s="276" t="str">
        <f>IF(ISBLANK(INDEX('Policy Characteristics'!D:D,MATCH($C318,'Policy Characteristics'!$C:$C,0))),"",INDEX('Policy Characteristics'!D:D,MATCH($C318,'Policy Characteristics'!$C:$C,0)))</f>
        <v>Early Retirement of Power Plants</v>
      </c>
      <c r="K318" s="275" t="str">
        <f>IF(ISBLANK(INDEX('Policy Characteristics'!E:E,MATCH($C318,'Policy Characteristics'!$C:$C,0))),"",INDEX('Policy Characteristics'!E:E,MATCH($C318,'Policy Characteristics'!$C:$C,0)))</f>
        <v>elec early retirement</v>
      </c>
      <c r="L318" s="275">
        <f>IF(ISBLANK(INDEX('Policy Characteristics'!F:F,MATCH($C318,'Policy Characteristics'!$C:$C,0))),"",INDEX('Policy Characteristics'!F:F,MATCH($C318,'Policy Characteristics'!$C:$C,0)))</f>
        <v>0</v>
      </c>
      <c r="M318" s="275">
        <f>IF(ISBLANK(INDEX('Policy Characteristics'!G:G,MATCH($C318,'Policy Characteristics'!$C:$C,0))),"",INDEX('Policy Characteristics'!G:G,MATCH($C318,'Policy Characteristics'!$C:$C,0)))</f>
        <v>25000</v>
      </c>
      <c r="N318" s="275">
        <f>IF(ISBLANK(INDEX('Policy Characteristics'!H:H,MATCH($C318,'Policy Characteristics'!$C:$C,0))),"",INDEX('Policy Characteristics'!H:H,MATCH($C318,'Policy Characteristics'!$C:$C,0)))</f>
        <v>500</v>
      </c>
      <c r="O318" s="275" t="str">
        <f>IF(ISBLANK(INDEX('Policy Characteristics'!I:I,MATCH($C318,'Policy Characteristics'!$C:$C,0))),"",INDEX('Policy Characteristics'!I:I,MATCH($C318,'Policy Characteristics'!$C:$C,0)))</f>
        <v>MW/year</v>
      </c>
      <c r="P318" s="275" t="str">
        <f>IF(ISBLANK(INDEX('Policy Characteristics'!J:J,MATCH($C318,'Policy Characteristics'!$C:$C,0))),"",INDEX('Policy Characteristics'!J:J,MATCH($C318,'Policy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8" s="275" t="str">
        <f>IF(ISBLANK(INDEX('Policy Characteristics'!K:K,MATCH($C318,'Policy Characteristics'!$C:$C,0))),"",INDEX('Policy Characteristics'!K:K,MATCH($C318,'Policy Characteristics'!$C:$C,0)))</f>
        <v>electricity-sector-main.html#early-ret</v>
      </c>
      <c r="R318" s="275" t="str">
        <f>IF(ISBLANK(INDEX('Policy Characteristics'!L:L,MATCH($C318,'Policy Characteristics'!$C:$C,0))),"",INDEX('Policy Characteristics'!L:L,MATCH($C318,'Policy Characteristics'!$C:$C,0)))</f>
        <v>early-retirement-of-power-plants.html</v>
      </c>
    </row>
    <row r="319" spans="1:19" x14ac:dyDescent="0.25">
      <c r="A319" s="275" t="str">
        <f>IF(ISBLANK(INDEX('Policy Characteristics'!A:A,MATCH($C319,'Policy Characteristics'!$C:$C,0))),"",INDEX('Policy Characteristics'!A:A,MATCH($C319,'Policy Characteristics'!$C:$C,0)))</f>
        <v>Electricity Supply</v>
      </c>
      <c r="B319" s="284" t="str">
        <f>IF(ISBLANK(INDEX('Policy Characteristics'!B:B,MATCH($C319,'Policy Characteristics'!$C:$C,0))),"",INDEX('Policy Characteristics'!B:B,MATCH($C319,'Policy Characteristics'!$C:$C,0)))</f>
        <v>Early Retirement of Power Plants</v>
      </c>
      <c r="C319" s="275" t="str">
        <f t="shared" si="20"/>
        <v>Annual Additional Capacity Retired due to Early Retirement Policy</v>
      </c>
      <c r="D319" s="6" t="s">
        <v>78</v>
      </c>
      <c r="E319" s="47"/>
      <c r="F319" s="6" t="s">
        <v>90</v>
      </c>
      <c r="G319" s="47"/>
      <c r="H319" s="44">
        <v>623</v>
      </c>
      <c r="I319" s="346" t="s">
        <v>44</v>
      </c>
      <c r="J319" s="276" t="str">
        <f>IF(ISBLANK(INDEX('Policy Characteristics'!D:D,MATCH($C319,'Policy Characteristics'!$C:$C,0))),"",INDEX('Policy Characteristics'!D:D,MATCH($C319,'Policy Characteristics'!$C:$C,0)))</f>
        <v>Early Retirement of Power Plants</v>
      </c>
      <c r="K319" s="275" t="str">
        <f>IF(ISBLANK(INDEX('Policy Characteristics'!E:E,MATCH($C319,'Policy Characteristics'!$C:$C,0))),"",INDEX('Policy Characteristics'!E:E,MATCH($C319,'Policy Characteristics'!$C:$C,0)))</f>
        <v>elec early retirement</v>
      </c>
      <c r="L319" s="275">
        <f>IF(ISBLANK(INDEX('Policy Characteristics'!F:F,MATCH($C319,'Policy Characteristics'!$C:$C,0))),"",INDEX('Policy Characteristics'!F:F,MATCH($C319,'Policy Characteristics'!$C:$C,0)))</f>
        <v>0</v>
      </c>
      <c r="M319" s="275">
        <f>IF(ISBLANK(INDEX('Policy Characteristics'!G:G,MATCH($C319,'Policy Characteristics'!$C:$C,0))),"",INDEX('Policy Characteristics'!G:G,MATCH($C319,'Policy Characteristics'!$C:$C,0)))</f>
        <v>25000</v>
      </c>
      <c r="N319" s="275">
        <f>IF(ISBLANK(INDEX('Policy Characteristics'!H:H,MATCH($C319,'Policy Characteristics'!$C:$C,0))),"",INDEX('Policy Characteristics'!H:H,MATCH($C319,'Policy Characteristics'!$C:$C,0)))</f>
        <v>500</v>
      </c>
      <c r="O319" s="275" t="str">
        <f>IF(ISBLANK(INDEX('Policy Characteristics'!I:I,MATCH($C319,'Policy Characteristics'!$C:$C,0))),"",INDEX('Policy Characteristics'!I:I,MATCH($C319,'Policy Characteristics'!$C:$C,0)))</f>
        <v>MW/year</v>
      </c>
      <c r="P319" s="275" t="str">
        <f>IF(ISBLANK(INDEX('Policy Characteristics'!J:J,MATCH($C319,'Policy Characteristics'!$C:$C,0))),"",INDEX('Policy Characteristics'!J:J,MATCH($C319,'Policy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9" s="275" t="str">
        <f>IF(ISBLANK(INDEX('Policy Characteristics'!K:K,MATCH($C319,'Policy Characteristics'!$C:$C,0))),"",INDEX('Policy Characteristics'!K:K,MATCH($C319,'Policy Characteristics'!$C:$C,0)))</f>
        <v>electricity-sector-main.html#early-ret</v>
      </c>
      <c r="R319" s="275" t="str">
        <f>IF(ISBLANK(INDEX('Policy Characteristics'!L:L,MATCH($C319,'Policy Characteristics'!$C:$C,0))),"",INDEX('Policy Characteristics'!L:L,MATCH($C319,'Policy Characteristics'!$C:$C,0)))</f>
        <v>early-retirement-of-power-plants.html</v>
      </c>
    </row>
    <row r="320" spans="1:19" x14ac:dyDescent="0.25">
      <c r="A320" s="275" t="str">
        <f>IF(ISBLANK(INDEX('Policy Characteristics'!A:A,MATCH($C320,'Policy Characteristics'!$C:$C,0))),"",INDEX('Policy Characteristics'!A:A,MATCH($C320,'Policy Characteristics'!$C:$C,0)))</f>
        <v>Electricity Supply</v>
      </c>
      <c r="B320" s="284" t="str">
        <f>IF(ISBLANK(INDEX('Policy Characteristics'!B:B,MATCH($C320,'Policy Characteristics'!$C:$C,0))),"",INDEX('Policy Characteristics'!B:B,MATCH($C320,'Policy Characteristics'!$C:$C,0)))</f>
        <v>Early Retirement of Power Plants</v>
      </c>
      <c r="C320" s="275" t="str">
        <f t="shared" si="20"/>
        <v>Annual Additional Capacity Retired due to Early Retirement Policy</v>
      </c>
      <c r="D320" s="6" t="s">
        <v>79</v>
      </c>
      <c r="E320" s="47"/>
      <c r="F320" s="6" t="s">
        <v>91</v>
      </c>
      <c r="G320" s="47"/>
      <c r="H320" s="44">
        <v>624</v>
      </c>
      <c r="I320" s="346" t="s">
        <v>44</v>
      </c>
      <c r="J320" s="276" t="str">
        <f>IF(ISBLANK(INDEX('Policy Characteristics'!D:D,MATCH($C320,'Policy Characteristics'!$C:$C,0))),"",INDEX('Policy Characteristics'!D:D,MATCH($C320,'Policy Characteristics'!$C:$C,0)))</f>
        <v>Early Retirement of Power Plants</v>
      </c>
      <c r="K320" s="275" t="str">
        <f>IF(ISBLANK(INDEX('Policy Characteristics'!E:E,MATCH($C320,'Policy Characteristics'!$C:$C,0))),"",INDEX('Policy Characteristics'!E:E,MATCH($C320,'Policy Characteristics'!$C:$C,0)))</f>
        <v>elec early retirement</v>
      </c>
      <c r="L320" s="275">
        <f>IF(ISBLANK(INDEX('Policy Characteristics'!F:F,MATCH($C320,'Policy Characteristics'!$C:$C,0))),"",INDEX('Policy Characteristics'!F:F,MATCH($C320,'Policy Characteristics'!$C:$C,0)))</f>
        <v>0</v>
      </c>
      <c r="M320" s="275">
        <f>IF(ISBLANK(INDEX('Policy Characteristics'!G:G,MATCH($C320,'Policy Characteristics'!$C:$C,0))),"",INDEX('Policy Characteristics'!G:G,MATCH($C320,'Policy Characteristics'!$C:$C,0)))</f>
        <v>25000</v>
      </c>
      <c r="N320" s="275">
        <f>IF(ISBLANK(INDEX('Policy Characteristics'!H:H,MATCH($C320,'Policy Characteristics'!$C:$C,0))),"",INDEX('Policy Characteristics'!H:H,MATCH($C320,'Policy Characteristics'!$C:$C,0)))</f>
        <v>500</v>
      </c>
      <c r="O320" s="275" t="str">
        <f>IF(ISBLANK(INDEX('Policy Characteristics'!I:I,MATCH($C320,'Policy Characteristics'!$C:$C,0))),"",INDEX('Policy Characteristics'!I:I,MATCH($C320,'Policy Characteristics'!$C:$C,0)))</f>
        <v>MW/year</v>
      </c>
      <c r="P320" s="275" t="str">
        <f>IF(ISBLANK(INDEX('Policy Characteristics'!J:J,MATCH($C320,'Policy Characteristics'!$C:$C,0))),"",INDEX('Policy Characteristics'!J:J,MATCH($C320,'Policy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0" s="275" t="str">
        <f>IF(ISBLANK(INDEX('Policy Characteristics'!K:K,MATCH($C320,'Policy Characteristics'!$C:$C,0))),"",INDEX('Policy Characteristics'!K:K,MATCH($C320,'Policy Characteristics'!$C:$C,0)))</f>
        <v>electricity-sector-main.html#early-ret</v>
      </c>
      <c r="R320" s="275" t="str">
        <f>IF(ISBLANK(INDEX('Policy Characteristics'!L:L,MATCH($C320,'Policy Characteristics'!$C:$C,0))),"",INDEX('Policy Characteristics'!L:L,MATCH($C320,'Policy Characteristics'!$C:$C,0)))</f>
        <v>early-retirement-of-power-plants.html</v>
      </c>
    </row>
    <row r="321" spans="1:18" x14ac:dyDescent="0.25">
      <c r="A321" s="275" t="str">
        <f>IF(ISBLANK(INDEX('Policy Characteristics'!A:A,MATCH($C321,'Policy Characteristics'!$C:$C,0))),"",INDEX('Policy Characteristics'!A:A,MATCH($C321,'Policy Characteristics'!$C:$C,0)))</f>
        <v>Electricity Supply</v>
      </c>
      <c r="B321" s="284" t="str">
        <f>IF(ISBLANK(INDEX('Policy Characteristics'!B:B,MATCH($C321,'Policy Characteristics'!$C:$C,0))),"",INDEX('Policy Characteristics'!B:B,MATCH($C321,'Policy Characteristics'!$C:$C,0)))</f>
        <v>Early Retirement of Power Plants</v>
      </c>
      <c r="C321" s="275" t="str">
        <f t="shared" si="20"/>
        <v>Annual Additional Capacity Retired due to Early Retirement Policy</v>
      </c>
      <c r="D321" s="6" t="s">
        <v>80</v>
      </c>
      <c r="E321" s="47"/>
      <c r="F321" s="6" t="s">
        <v>92</v>
      </c>
      <c r="G321" s="47"/>
      <c r="H321" s="44">
        <v>625</v>
      </c>
      <c r="I321" s="346" t="s">
        <v>44</v>
      </c>
      <c r="J321" s="276" t="str">
        <f>IF(ISBLANK(INDEX('Policy Characteristics'!D:D,MATCH($C321,'Policy Characteristics'!$C:$C,0))),"",INDEX('Policy Characteristics'!D:D,MATCH($C321,'Policy Characteristics'!$C:$C,0)))</f>
        <v>Early Retirement of Power Plants</v>
      </c>
      <c r="K321" s="275" t="str">
        <f>IF(ISBLANK(INDEX('Policy Characteristics'!E:E,MATCH($C321,'Policy Characteristics'!$C:$C,0))),"",INDEX('Policy Characteristics'!E:E,MATCH($C321,'Policy Characteristics'!$C:$C,0)))</f>
        <v>elec early retirement</v>
      </c>
      <c r="L321" s="275">
        <f>IF(ISBLANK(INDEX('Policy Characteristics'!F:F,MATCH($C321,'Policy Characteristics'!$C:$C,0))),"",INDEX('Policy Characteristics'!F:F,MATCH($C321,'Policy Characteristics'!$C:$C,0)))</f>
        <v>0</v>
      </c>
      <c r="M321" s="275">
        <f>IF(ISBLANK(INDEX('Policy Characteristics'!G:G,MATCH($C321,'Policy Characteristics'!$C:$C,0))),"",INDEX('Policy Characteristics'!G:G,MATCH($C321,'Policy Characteristics'!$C:$C,0)))</f>
        <v>25000</v>
      </c>
      <c r="N321" s="275">
        <f>IF(ISBLANK(INDEX('Policy Characteristics'!H:H,MATCH($C321,'Policy Characteristics'!$C:$C,0))),"",INDEX('Policy Characteristics'!H:H,MATCH($C321,'Policy Characteristics'!$C:$C,0)))</f>
        <v>500</v>
      </c>
      <c r="O321" s="275" t="str">
        <f>IF(ISBLANK(INDEX('Policy Characteristics'!I:I,MATCH($C321,'Policy Characteristics'!$C:$C,0))),"",INDEX('Policy Characteristics'!I:I,MATCH($C321,'Policy Characteristics'!$C:$C,0)))</f>
        <v>MW/year</v>
      </c>
      <c r="P321" s="275" t="str">
        <f>IF(ISBLANK(INDEX('Policy Characteristics'!J:J,MATCH($C321,'Policy Characteristics'!$C:$C,0))),"",INDEX('Policy Characteristics'!J:J,MATCH($C321,'Policy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1" s="275" t="str">
        <f>IF(ISBLANK(INDEX('Policy Characteristics'!K:K,MATCH($C321,'Policy Characteristics'!$C:$C,0))),"",INDEX('Policy Characteristics'!K:K,MATCH($C321,'Policy Characteristics'!$C:$C,0)))</f>
        <v>electricity-sector-main.html#early-ret</v>
      </c>
      <c r="R321" s="275" t="str">
        <f>IF(ISBLANK(INDEX('Policy Characteristics'!L:L,MATCH($C321,'Policy Characteristics'!$C:$C,0))),"",INDEX('Policy Characteristics'!L:L,MATCH($C321,'Policy Characteristics'!$C:$C,0)))</f>
        <v>early-retirement-of-power-plants.html</v>
      </c>
    </row>
    <row r="322" spans="1:18" x14ac:dyDescent="0.25">
      <c r="A322" s="275" t="str">
        <f>IF(ISBLANK(INDEX('Policy Characteristics'!A:A,MATCH($C322,'Policy Characteristics'!$C:$C,0))),"",INDEX('Policy Characteristics'!A:A,MATCH($C322,'Policy Characteristics'!$C:$C,0)))</f>
        <v>Electricity Supply</v>
      </c>
      <c r="B322" s="284" t="str">
        <f>IF(ISBLANK(INDEX('Policy Characteristics'!B:B,MATCH($C322,'Policy Characteristics'!$C:$C,0))),"",INDEX('Policy Characteristics'!B:B,MATCH($C322,'Policy Characteristics'!$C:$C,0)))</f>
        <v>Early Retirement of Power Plants</v>
      </c>
      <c r="C322" s="275" t="str">
        <f t="shared" si="20"/>
        <v>Annual Additional Capacity Retired due to Early Retirement Policy</v>
      </c>
      <c r="D322" s="6" t="s">
        <v>2427</v>
      </c>
      <c r="E322" s="47"/>
      <c r="F322" s="6" t="s">
        <v>437</v>
      </c>
      <c r="G322" s="47"/>
      <c r="H322" s="44">
        <v>626</v>
      </c>
      <c r="I322" s="346" t="s">
        <v>44</v>
      </c>
      <c r="J322" s="276" t="str">
        <f>IF(ISBLANK(INDEX('Policy Characteristics'!D:D,MATCH($C322,'Policy Characteristics'!$C:$C,0))),"",INDEX('Policy Characteristics'!D:D,MATCH($C322,'Policy Characteristics'!$C:$C,0)))</f>
        <v>Early Retirement of Power Plants</v>
      </c>
      <c r="K322" s="275" t="str">
        <f>IF(ISBLANK(INDEX('Policy Characteristics'!E:E,MATCH($C322,'Policy Characteristics'!$C:$C,0))),"",INDEX('Policy Characteristics'!E:E,MATCH($C322,'Policy Characteristics'!$C:$C,0)))</f>
        <v>elec early retirement</v>
      </c>
      <c r="L322" s="275">
        <f>IF(ISBLANK(INDEX('Policy Characteristics'!F:F,MATCH($C322,'Policy Characteristics'!$C:$C,0))),"",INDEX('Policy Characteristics'!F:F,MATCH($C322,'Policy Characteristics'!$C:$C,0)))</f>
        <v>0</v>
      </c>
      <c r="M322" s="275">
        <f>IF(ISBLANK(INDEX('Policy Characteristics'!G:G,MATCH($C322,'Policy Characteristics'!$C:$C,0))),"",INDEX('Policy Characteristics'!G:G,MATCH($C322,'Policy Characteristics'!$C:$C,0)))</f>
        <v>25000</v>
      </c>
      <c r="N322" s="275">
        <f>IF(ISBLANK(INDEX('Policy Characteristics'!H:H,MATCH($C322,'Policy Characteristics'!$C:$C,0))),"",INDEX('Policy Characteristics'!H:H,MATCH($C322,'Policy Characteristics'!$C:$C,0)))</f>
        <v>500</v>
      </c>
      <c r="O322" s="275" t="str">
        <f>IF(ISBLANK(INDEX('Policy Characteristics'!I:I,MATCH($C322,'Policy Characteristics'!$C:$C,0))),"",INDEX('Policy Characteristics'!I:I,MATCH($C322,'Policy Characteristics'!$C:$C,0)))</f>
        <v>MW/year</v>
      </c>
      <c r="P322" s="275" t="str">
        <f>IF(ISBLANK(INDEX('Policy Characteristics'!J:J,MATCH($C322,'Policy Characteristics'!$C:$C,0))),"",INDEX('Policy Characteristics'!J:J,MATCH($C322,'Policy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2" s="275" t="str">
        <f>IF(ISBLANK(INDEX('Policy Characteristics'!K:K,MATCH($C322,'Policy Characteristics'!$C:$C,0))),"",INDEX('Policy Characteristics'!K:K,MATCH($C322,'Policy Characteristics'!$C:$C,0)))</f>
        <v>electricity-sector-main.html#early-ret</v>
      </c>
      <c r="R322" s="275" t="str">
        <f>IF(ISBLANK(INDEX('Policy Characteristics'!L:L,MATCH($C322,'Policy Characteristics'!$C:$C,0))),"",INDEX('Policy Characteristics'!L:L,MATCH($C322,'Policy Characteristics'!$C:$C,0)))</f>
        <v>early-retirement-of-power-plants.html</v>
      </c>
    </row>
    <row r="323" spans="1:18" x14ac:dyDescent="0.25">
      <c r="A323" s="275" t="str">
        <f>IF(ISBLANK(INDEX('Policy Characteristics'!A:A,MATCH($C323,'Policy Characteristics'!$C:$C,0))),"",INDEX('Policy Characteristics'!A:A,MATCH($C323,'Policy Characteristics'!$C:$C,0)))</f>
        <v>Electricity Supply</v>
      </c>
      <c r="B323" s="284" t="str">
        <f>IF(ISBLANK(INDEX('Policy Characteristics'!B:B,MATCH($C323,'Policy Characteristics'!$C:$C,0))),"",INDEX('Policy Characteristics'!B:B,MATCH($C323,'Policy Characteristics'!$C:$C,0)))</f>
        <v>Early Retirement of Power Plants</v>
      </c>
      <c r="C323" s="275" t="str">
        <f t="shared" si="20"/>
        <v>Annual Additional Capacity Retired due to Early Retirement Policy</v>
      </c>
      <c r="D323" s="6" t="s">
        <v>309</v>
      </c>
      <c r="E323" s="47"/>
      <c r="F323" s="6" t="s">
        <v>311</v>
      </c>
      <c r="G323" s="47"/>
      <c r="H323" s="44">
        <v>627</v>
      </c>
      <c r="I323" s="346" t="s">
        <v>44</v>
      </c>
      <c r="J323" s="276" t="str">
        <f>IF(ISBLANK(INDEX('Policy Characteristics'!D:D,MATCH($C323,'Policy Characteristics'!$C:$C,0))),"",INDEX('Policy Characteristics'!D:D,MATCH($C323,'Policy Characteristics'!$C:$C,0)))</f>
        <v>Early Retirement of Power Plants</v>
      </c>
      <c r="K323" s="275" t="str">
        <f>IF(ISBLANK(INDEX('Policy Characteristics'!E:E,MATCH($C323,'Policy Characteristics'!$C:$C,0))),"",INDEX('Policy Characteristics'!E:E,MATCH($C323,'Policy Characteristics'!$C:$C,0)))</f>
        <v>elec early retirement</v>
      </c>
      <c r="L323" s="275">
        <f>IF(ISBLANK(INDEX('Policy Characteristics'!F:F,MATCH($C323,'Policy Characteristics'!$C:$C,0))),"",INDEX('Policy Characteristics'!F:F,MATCH($C323,'Policy Characteristics'!$C:$C,0)))</f>
        <v>0</v>
      </c>
      <c r="M323" s="275">
        <f>IF(ISBLANK(INDEX('Policy Characteristics'!G:G,MATCH($C323,'Policy Characteristics'!$C:$C,0))),"",INDEX('Policy Characteristics'!G:G,MATCH($C323,'Policy Characteristics'!$C:$C,0)))</f>
        <v>25000</v>
      </c>
      <c r="N323" s="275">
        <f>IF(ISBLANK(INDEX('Policy Characteristics'!H:H,MATCH($C323,'Policy Characteristics'!$C:$C,0))),"",INDEX('Policy Characteristics'!H:H,MATCH($C323,'Policy Characteristics'!$C:$C,0)))</f>
        <v>500</v>
      </c>
      <c r="O323" s="275" t="str">
        <f>IF(ISBLANK(INDEX('Policy Characteristics'!I:I,MATCH($C323,'Policy Characteristics'!$C:$C,0))),"",INDEX('Policy Characteristics'!I:I,MATCH($C323,'Policy Characteristics'!$C:$C,0)))</f>
        <v>MW/year</v>
      </c>
      <c r="P323" s="275" t="str">
        <f>IF(ISBLANK(INDEX('Policy Characteristics'!J:J,MATCH($C323,'Policy Characteristics'!$C:$C,0))),"",INDEX('Policy Characteristics'!J:J,MATCH($C323,'Policy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3" s="275" t="str">
        <f>IF(ISBLANK(INDEX('Policy Characteristics'!K:K,MATCH($C323,'Policy Characteristics'!$C:$C,0))),"",INDEX('Policy Characteristics'!K:K,MATCH($C323,'Policy Characteristics'!$C:$C,0)))</f>
        <v>electricity-sector-main.html#early-ret</v>
      </c>
      <c r="R323" s="275" t="str">
        <f>IF(ISBLANK(INDEX('Policy Characteristics'!L:L,MATCH($C323,'Policy Characteristics'!$C:$C,0))),"",INDEX('Policy Characteristics'!L:L,MATCH($C323,'Policy Characteristics'!$C:$C,0)))</f>
        <v>early-retirement-of-power-plants.html</v>
      </c>
    </row>
    <row r="324" spans="1:18" x14ac:dyDescent="0.25">
      <c r="A324" s="275" t="str">
        <f>IF(ISBLANK(INDEX('Policy Characteristics'!A:A,MATCH($C324,'Policy Characteristics'!$C:$C,0))),"",INDEX('Policy Characteristics'!A:A,MATCH($C324,'Policy Characteristics'!$C:$C,0)))</f>
        <v>Electricity Supply</v>
      </c>
      <c r="B324" s="284" t="str">
        <f>IF(ISBLANK(INDEX('Policy Characteristics'!B:B,MATCH($C324,'Policy Characteristics'!$C:$C,0))),"",INDEX('Policy Characteristics'!B:B,MATCH($C324,'Policy Characteristics'!$C:$C,0)))</f>
        <v>Early Retirement of Power Plants</v>
      </c>
      <c r="C324" s="275" t="str">
        <f t="shared" si="20"/>
        <v>Annual Additional Capacity Retired due to Early Retirement Policy</v>
      </c>
      <c r="D324" s="6" t="s">
        <v>310</v>
      </c>
      <c r="E324" s="47"/>
      <c r="F324" s="6" t="s">
        <v>312</v>
      </c>
      <c r="G324" s="47"/>
      <c r="H324" s="44">
        <v>628</v>
      </c>
      <c r="I324" s="346" t="s">
        <v>43</v>
      </c>
      <c r="J324" s="276" t="str">
        <f>IF(ISBLANK(INDEX('Policy Characteristics'!D:D,MATCH($C324,'Policy Characteristics'!$C:$C,0))),"",INDEX('Policy Characteristics'!D:D,MATCH($C324,'Policy Characteristics'!$C:$C,0)))</f>
        <v>Early Retirement of Power Plants</v>
      </c>
      <c r="K324" s="275" t="str">
        <f>IF(ISBLANK(INDEX('Policy Characteristics'!E:E,MATCH($C324,'Policy Characteristics'!$C:$C,0))),"",INDEX('Policy Characteristics'!E:E,MATCH($C324,'Policy Characteristics'!$C:$C,0)))</f>
        <v>elec early retirement</v>
      </c>
      <c r="L324" s="275">
        <f>IF(ISBLANK(INDEX('Policy Characteristics'!F:F,MATCH($C324,'Policy Characteristics'!$C:$C,0))),"",INDEX('Policy Characteristics'!F:F,MATCH($C324,'Policy Characteristics'!$C:$C,0)))</f>
        <v>0</v>
      </c>
      <c r="M324" s="275">
        <f>IF(ISBLANK(INDEX('Policy Characteristics'!G:G,MATCH($C324,'Policy Characteristics'!$C:$C,0))),"",INDEX('Policy Characteristics'!G:G,MATCH($C324,'Policy Characteristics'!$C:$C,0)))</f>
        <v>25000</v>
      </c>
      <c r="N324" s="275">
        <f>IF(ISBLANK(INDEX('Policy Characteristics'!H:H,MATCH($C324,'Policy Characteristics'!$C:$C,0))),"",INDEX('Policy Characteristics'!H:H,MATCH($C324,'Policy Characteristics'!$C:$C,0)))</f>
        <v>500</v>
      </c>
      <c r="O324" s="275" t="str">
        <f>IF(ISBLANK(INDEX('Policy Characteristics'!I:I,MATCH($C324,'Policy Characteristics'!$C:$C,0))),"",INDEX('Policy Characteristics'!I:I,MATCH($C324,'Policy Characteristics'!$C:$C,0)))</f>
        <v>MW/year</v>
      </c>
      <c r="P324" s="275" t="str">
        <f>IF(ISBLANK(INDEX('Policy Characteristics'!J:J,MATCH($C324,'Policy Characteristics'!$C:$C,0))),"",INDEX('Policy Characteristics'!J:J,MATCH($C324,'Policy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4" s="275" t="str">
        <f>IF(ISBLANK(INDEX('Policy Characteristics'!K:K,MATCH($C324,'Policy Characteristics'!$C:$C,0))),"",INDEX('Policy Characteristics'!K:K,MATCH($C324,'Policy Characteristics'!$C:$C,0)))</f>
        <v>electricity-sector-main.html#early-ret</v>
      </c>
      <c r="R324" s="275" t="str">
        <f>IF(ISBLANK(INDEX('Policy Characteristics'!L:L,MATCH($C324,'Policy Characteristics'!$C:$C,0))),"",INDEX('Policy Characteristics'!L:L,MATCH($C324,'Policy Characteristics'!$C:$C,0)))</f>
        <v>early-retirement-of-power-plants.html</v>
      </c>
    </row>
    <row r="325" spans="1:18" x14ac:dyDescent="0.25">
      <c r="A325" s="275" t="str">
        <f>IF(ISBLANK(INDEX('Policy Characteristics'!A:A,MATCH($C325,'Policy Characteristics'!$C:$C,0))),"",INDEX('Policy Characteristics'!A:A,MATCH($C325,'Policy Characteristics'!$C:$C,0)))</f>
        <v>Electricity Supply</v>
      </c>
      <c r="B325" s="284" t="str">
        <f>IF(ISBLANK(INDEX('Policy Characteristics'!B:B,MATCH($C325,'Policy Characteristics'!$C:$C,0))),"",INDEX('Policy Characteristics'!B:B,MATCH($C325,'Policy Characteristics'!$C:$C,0)))</f>
        <v>Early Retirement of Power Plants</v>
      </c>
      <c r="C325" s="275" t="str">
        <f t="shared" si="20"/>
        <v>Annual Additional Capacity Retired due to Early Retirement Policy</v>
      </c>
      <c r="D325" s="6" t="s">
        <v>445</v>
      </c>
      <c r="E325" s="47"/>
      <c r="F325" s="6" t="s">
        <v>444</v>
      </c>
      <c r="G325" s="47"/>
      <c r="H325" s="44">
        <v>590</v>
      </c>
      <c r="I325" s="346" t="s">
        <v>43</v>
      </c>
      <c r="J325" s="276" t="str">
        <f>IF(ISBLANK(INDEX('Policy Characteristics'!D:D,MATCH($C325,'Policy Characteristics'!$C:$C,0))),"",INDEX('Policy Characteristics'!D:D,MATCH($C325,'Policy Characteristics'!$C:$C,0)))</f>
        <v>Early Retirement of Power Plants</v>
      </c>
      <c r="K325" s="275" t="str">
        <f>IF(ISBLANK(INDEX('Policy Characteristics'!E:E,MATCH($C325,'Policy Characteristics'!$C:$C,0))),"",INDEX('Policy Characteristics'!E:E,MATCH($C325,'Policy Characteristics'!$C:$C,0)))</f>
        <v>elec early retirement</v>
      </c>
      <c r="L325" s="275">
        <f>IF(ISBLANK(INDEX('Policy Characteristics'!F:F,MATCH($C325,'Policy Characteristics'!$C:$C,0))),"",INDEX('Policy Characteristics'!F:F,MATCH($C325,'Policy Characteristics'!$C:$C,0)))</f>
        <v>0</v>
      </c>
      <c r="M325" s="275">
        <f>IF(ISBLANK(INDEX('Policy Characteristics'!G:G,MATCH($C325,'Policy Characteristics'!$C:$C,0))),"",INDEX('Policy Characteristics'!G:G,MATCH($C325,'Policy Characteristics'!$C:$C,0)))</f>
        <v>25000</v>
      </c>
      <c r="N325" s="275">
        <f>IF(ISBLANK(INDEX('Policy Characteristics'!H:H,MATCH($C325,'Policy Characteristics'!$C:$C,0))),"",INDEX('Policy Characteristics'!H:H,MATCH($C325,'Policy Characteristics'!$C:$C,0)))</f>
        <v>500</v>
      </c>
      <c r="O325" s="275" t="str">
        <f>IF(ISBLANK(INDEX('Policy Characteristics'!I:I,MATCH($C325,'Policy Characteristics'!$C:$C,0))),"",INDEX('Policy Characteristics'!I:I,MATCH($C325,'Policy Characteristics'!$C:$C,0)))</f>
        <v>MW/year</v>
      </c>
      <c r="P325" s="275" t="str">
        <f>IF(ISBLANK(INDEX('Policy Characteristics'!J:J,MATCH($C325,'Policy Characteristics'!$C:$C,0))),"",INDEX('Policy Characteristics'!J:J,MATCH($C325,'Policy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5" s="275" t="str">
        <f>IF(ISBLANK(INDEX('Policy Characteristics'!K:K,MATCH($C325,'Policy Characteristics'!$C:$C,0))),"",INDEX('Policy Characteristics'!K:K,MATCH($C325,'Policy Characteristics'!$C:$C,0)))</f>
        <v>electricity-sector-main.html#early-ret</v>
      </c>
      <c r="R325" s="275" t="str">
        <f>IF(ISBLANK(INDEX('Policy Characteristics'!L:L,MATCH($C325,'Policy Characteristics'!$C:$C,0))),"",INDEX('Policy Characteristics'!L:L,MATCH($C325,'Policy Characteristics'!$C:$C,0)))</f>
        <v>early-retirement-of-power-plants.html</v>
      </c>
    </row>
    <row r="326" spans="1:18" x14ac:dyDescent="0.25">
      <c r="A326" s="275" t="str">
        <f>IF(ISBLANK(INDEX('Policy Characteristics'!A:A,MATCH($C326,'Policy Characteristics'!$C:$C,0))),"",INDEX('Policy Characteristics'!A:A,MATCH($C326,'Policy Characteristics'!$C:$C,0)))</f>
        <v>Electricity Supply</v>
      </c>
      <c r="B326" s="284" t="str">
        <f>IF(ISBLANK(INDEX('Policy Characteristics'!B:B,MATCH($C326,'Policy Characteristics'!$C:$C,0))),"",INDEX('Policy Characteristics'!B:B,MATCH($C326,'Policy Characteristics'!$C:$C,0)))</f>
        <v>Early Retirement of Power Plants</v>
      </c>
      <c r="C326" s="275" t="str">
        <f t="shared" si="20"/>
        <v>Annual Additional Capacity Retired due to Early Retirement Policy</v>
      </c>
      <c r="D326" s="6" t="s">
        <v>454</v>
      </c>
      <c r="E326" s="47"/>
      <c r="F326" s="6" t="s">
        <v>455</v>
      </c>
      <c r="G326" s="47"/>
      <c r="H326" s="44">
        <v>629</v>
      </c>
      <c r="I326" s="346" t="s">
        <v>44</v>
      </c>
      <c r="J326" s="276" t="str">
        <f>IF(ISBLANK(INDEX('Policy Characteristics'!D:D,MATCH($C326,'Policy Characteristics'!$C:$C,0))),"",INDEX('Policy Characteristics'!D:D,MATCH($C326,'Policy Characteristics'!$C:$C,0)))</f>
        <v>Early Retirement of Power Plants</v>
      </c>
      <c r="K326" s="275" t="str">
        <f>IF(ISBLANK(INDEX('Policy Characteristics'!E:E,MATCH($C326,'Policy Characteristics'!$C:$C,0))),"",INDEX('Policy Characteristics'!E:E,MATCH($C326,'Policy Characteristics'!$C:$C,0)))</f>
        <v>elec early retirement</v>
      </c>
      <c r="L326" s="275">
        <f>IF(ISBLANK(INDEX('Policy Characteristics'!F:F,MATCH($C326,'Policy Characteristics'!$C:$C,0))),"",INDEX('Policy Characteristics'!F:F,MATCH($C326,'Policy Characteristics'!$C:$C,0)))</f>
        <v>0</v>
      </c>
      <c r="M326" s="275">
        <f>IF(ISBLANK(INDEX('Policy Characteristics'!G:G,MATCH($C326,'Policy Characteristics'!$C:$C,0))),"",INDEX('Policy Characteristics'!G:G,MATCH($C326,'Policy Characteristics'!$C:$C,0)))</f>
        <v>25000</v>
      </c>
      <c r="N326" s="275">
        <f>IF(ISBLANK(INDEX('Policy Characteristics'!H:H,MATCH($C326,'Policy Characteristics'!$C:$C,0))),"",INDEX('Policy Characteristics'!H:H,MATCH($C326,'Policy Characteristics'!$C:$C,0)))</f>
        <v>500</v>
      </c>
      <c r="O326" s="275" t="str">
        <f>IF(ISBLANK(INDEX('Policy Characteristics'!I:I,MATCH($C326,'Policy Characteristics'!$C:$C,0))),"",INDEX('Policy Characteristics'!I:I,MATCH($C326,'Policy Characteristics'!$C:$C,0)))</f>
        <v>MW/year</v>
      </c>
      <c r="P326" s="275" t="str">
        <f>IF(ISBLANK(INDEX('Policy Characteristics'!J:J,MATCH($C326,'Policy Characteristics'!$C:$C,0))),"",INDEX('Policy Characteristics'!J:J,MATCH($C326,'Policy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6" s="275" t="str">
        <f>IF(ISBLANK(INDEX('Policy Characteristics'!K:K,MATCH($C326,'Policy Characteristics'!$C:$C,0))),"",INDEX('Policy Characteristics'!K:K,MATCH($C326,'Policy Characteristics'!$C:$C,0)))</f>
        <v>electricity-sector-main.html#early-ret</v>
      </c>
      <c r="R326" s="275" t="str">
        <f>IF(ISBLANK(INDEX('Policy Characteristics'!L:L,MATCH($C326,'Policy Characteristics'!$C:$C,0))),"",INDEX('Policy Characteristics'!L:L,MATCH($C326,'Policy Characteristics'!$C:$C,0)))</f>
        <v>early-retirement-of-power-plants.html</v>
      </c>
    </row>
    <row r="327" spans="1:18" x14ac:dyDescent="0.25">
      <c r="A327" s="275" t="str">
        <f>IF(ISBLANK(INDEX('Policy Characteristics'!A:A,MATCH($C327,'Policy Characteristics'!$C:$C,0))),"",INDEX('Policy Characteristics'!A:A,MATCH($C327,'Policy Characteristics'!$C:$C,0)))</f>
        <v>Electricity Supply</v>
      </c>
      <c r="B327" s="284" t="str">
        <f>IF(ISBLANK(INDEX('Policy Characteristics'!B:B,MATCH($C327,'Policy Characteristics'!$C:$C,0))),"",INDEX('Policy Characteristics'!B:B,MATCH($C327,'Policy Characteristics'!$C:$C,0)))</f>
        <v>Early Retirement of Power Plants</v>
      </c>
      <c r="C327" s="275" t="str">
        <f t="shared" si="20"/>
        <v>Annual Additional Capacity Retired due to Early Retirement Policy</v>
      </c>
      <c r="D327" s="6" t="s">
        <v>2752</v>
      </c>
      <c r="E327" s="47"/>
      <c r="F327" s="6" t="s">
        <v>2471</v>
      </c>
      <c r="G327" s="47"/>
      <c r="H327" s="44">
        <v>630</v>
      </c>
      <c r="I327" s="346" t="s">
        <v>44</v>
      </c>
      <c r="J327" s="276" t="str">
        <f>IF(ISBLANK(INDEX('Policy Characteristics'!D:D,MATCH($C327,'Policy Characteristics'!$C:$C,0))),"",INDEX('Policy Characteristics'!D:D,MATCH($C327,'Policy Characteristics'!$C:$C,0)))</f>
        <v>Early Retirement of Power Plants</v>
      </c>
      <c r="K327" s="275" t="str">
        <f>IF(ISBLANK(INDEX('Policy Characteristics'!E:E,MATCH($C327,'Policy Characteristics'!$C:$C,0))),"",INDEX('Policy Characteristics'!E:E,MATCH($C327,'Policy Characteristics'!$C:$C,0)))</f>
        <v>elec early retirement</v>
      </c>
      <c r="L327" s="275">
        <f>IF(ISBLANK(INDEX('Policy Characteristics'!F:F,MATCH($C327,'Policy Characteristics'!$C:$C,0))),"",INDEX('Policy Characteristics'!F:F,MATCH($C327,'Policy Characteristics'!$C:$C,0)))</f>
        <v>0</v>
      </c>
      <c r="M327" s="275">
        <f>IF(ISBLANK(INDEX('Policy Characteristics'!G:G,MATCH($C327,'Policy Characteristics'!$C:$C,0))),"",INDEX('Policy Characteristics'!G:G,MATCH($C327,'Policy Characteristics'!$C:$C,0)))</f>
        <v>25000</v>
      </c>
      <c r="N327" s="275">
        <f>IF(ISBLANK(INDEX('Policy Characteristics'!H:H,MATCH($C327,'Policy Characteristics'!$C:$C,0))),"",INDEX('Policy Characteristics'!H:H,MATCH($C327,'Policy Characteristics'!$C:$C,0)))</f>
        <v>500</v>
      </c>
      <c r="O327" s="275" t="str">
        <f>IF(ISBLANK(INDEX('Policy Characteristics'!I:I,MATCH($C327,'Policy Characteristics'!$C:$C,0))),"",INDEX('Policy Characteristics'!I:I,MATCH($C327,'Policy Characteristics'!$C:$C,0)))</f>
        <v>MW/year</v>
      </c>
      <c r="P327" s="275" t="str">
        <f>IF(ISBLANK(INDEX('Policy Characteristics'!J:J,MATCH($C327,'Policy Characteristics'!$C:$C,0))),"",INDEX('Policy Characteristics'!J:J,MATCH($C327,'Policy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7" s="275" t="str">
        <f>IF(ISBLANK(INDEX('Policy Characteristics'!K:K,MATCH($C327,'Policy Characteristics'!$C:$C,0))),"",INDEX('Policy Characteristics'!K:K,MATCH($C327,'Policy Characteristics'!$C:$C,0)))</f>
        <v>electricity-sector-main.html#early-ret</v>
      </c>
      <c r="R327" s="275" t="str">
        <f>IF(ISBLANK(INDEX('Policy Characteristics'!L:L,MATCH($C327,'Policy Characteristics'!$C:$C,0))),"",INDEX('Policy Characteristics'!L:L,MATCH($C327,'Policy Characteristics'!$C:$C,0)))</f>
        <v>early-retirement-of-power-plants.html</v>
      </c>
    </row>
    <row r="328" spans="1:18" x14ac:dyDescent="0.25">
      <c r="A328" s="275" t="str">
        <f>IF(ISBLANK(INDEX('Policy Characteristics'!A:A,MATCH($C328,'Policy Characteristics'!$C:$C,0))),"",INDEX('Policy Characteristics'!A:A,MATCH($C328,'Policy Characteristics'!$C:$C,0)))</f>
        <v>Electricity Supply</v>
      </c>
      <c r="B328" s="284" t="str">
        <f>IF(ISBLANK(INDEX('Policy Characteristics'!B:B,MATCH($C328,'Policy Characteristics'!$C:$C,0))),"",INDEX('Policy Characteristics'!B:B,MATCH($C328,'Policy Characteristics'!$C:$C,0)))</f>
        <v>Early Retirement of Power Plants</v>
      </c>
      <c r="C328" s="275" t="str">
        <f t="shared" si="20"/>
        <v>Annual Additional Capacity Retired due to Early Retirement Policy</v>
      </c>
      <c r="D328" s="6" t="s">
        <v>2753</v>
      </c>
      <c r="E328" s="47"/>
      <c r="F328" s="6" t="s">
        <v>2595</v>
      </c>
      <c r="G328" s="47"/>
      <c r="H328" s="44">
        <v>631</v>
      </c>
      <c r="I328" s="346" t="s">
        <v>44</v>
      </c>
      <c r="J328" s="276" t="str">
        <f>IF(ISBLANK(INDEX('Policy Characteristics'!D:D,MATCH($C328,'Policy Characteristics'!$C:$C,0))),"",INDEX('Policy Characteristics'!D:D,MATCH($C328,'Policy Characteristics'!$C:$C,0)))</f>
        <v>Early Retirement of Power Plants</v>
      </c>
      <c r="K328" s="275" t="str">
        <f>IF(ISBLANK(INDEX('Policy Characteristics'!E:E,MATCH($C328,'Policy Characteristics'!$C:$C,0))),"",INDEX('Policy Characteristics'!E:E,MATCH($C328,'Policy Characteristics'!$C:$C,0)))</f>
        <v>elec early retirement</v>
      </c>
      <c r="L328" s="275">
        <f>IF(ISBLANK(INDEX('Policy Characteristics'!F:F,MATCH($C328,'Policy Characteristics'!$C:$C,0))),"",INDEX('Policy Characteristics'!F:F,MATCH($C328,'Policy Characteristics'!$C:$C,0)))</f>
        <v>0</v>
      </c>
      <c r="M328" s="275">
        <f>IF(ISBLANK(INDEX('Policy Characteristics'!G:G,MATCH($C328,'Policy Characteristics'!$C:$C,0))),"",INDEX('Policy Characteristics'!G:G,MATCH($C328,'Policy Characteristics'!$C:$C,0)))</f>
        <v>25000</v>
      </c>
      <c r="N328" s="275">
        <f>IF(ISBLANK(INDEX('Policy Characteristics'!H:H,MATCH($C328,'Policy Characteristics'!$C:$C,0))),"",INDEX('Policy Characteristics'!H:H,MATCH($C328,'Policy Characteristics'!$C:$C,0)))</f>
        <v>500</v>
      </c>
      <c r="O328" s="275" t="str">
        <f>IF(ISBLANK(INDEX('Policy Characteristics'!I:I,MATCH($C328,'Policy Characteristics'!$C:$C,0))),"",INDEX('Policy Characteristics'!I:I,MATCH($C328,'Policy Characteristics'!$C:$C,0)))</f>
        <v>MW/year</v>
      </c>
      <c r="P328" s="275" t="str">
        <f>IF(ISBLANK(INDEX('Policy Characteristics'!J:J,MATCH($C328,'Policy Characteristics'!$C:$C,0))),"",INDEX('Policy Characteristics'!J:J,MATCH($C328,'Policy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8" s="275" t="str">
        <f>IF(ISBLANK(INDEX('Policy Characteristics'!K:K,MATCH($C328,'Policy Characteristics'!$C:$C,0))),"",INDEX('Policy Characteristics'!K:K,MATCH($C328,'Policy Characteristics'!$C:$C,0)))</f>
        <v>electricity-sector-main.html#early-ret</v>
      </c>
      <c r="R328" s="275" t="str">
        <f>IF(ISBLANK(INDEX('Policy Characteristics'!L:L,MATCH($C328,'Policy Characteristics'!$C:$C,0))),"",INDEX('Policy Characteristics'!L:L,MATCH($C328,'Policy Characteristics'!$C:$C,0)))</f>
        <v>early-retirement-of-power-plants.html</v>
      </c>
    </row>
    <row r="329" spans="1:18" x14ac:dyDescent="0.25">
      <c r="A329" s="275" t="str">
        <f>IF(ISBLANK(INDEX('Policy Characteristics'!A:A,MATCH($C329,'Policy Characteristics'!$C:$C,0))),"",INDEX('Policy Characteristics'!A:A,MATCH($C329,'Policy Characteristics'!$C:$C,0)))</f>
        <v>Electricity Supply</v>
      </c>
      <c r="B329" s="284" t="str">
        <f>IF(ISBLANK(INDEX('Policy Characteristics'!B:B,MATCH($C329,'Policy Characteristics'!$C:$C,0))),"",INDEX('Policy Characteristics'!B:B,MATCH($C329,'Policy Characteristics'!$C:$C,0)))</f>
        <v>Early Retirement of Power Plants</v>
      </c>
      <c r="C329" s="275" t="str">
        <f t="shared" si="20"/>
        <v>Annual Additional Capacity Retired due to Early Retirement Policy</v>
      </c>
      <c r="D329" s="6" t="s">
        <v>2754</v>
      </c>
      <c r="E329" s="47"/>
      <c r="F329" s="6" t="s">
        <v>2473</v>
      </c>
      <c r="G329" s="47"/>
      <c r="H329" s="44">
        <v>632</v>
      </c>
      <c r="I329" s="346" t="s">
        <v>44</v>
      </c>
      <c r="J329" s="276" t="str">
        <f>IF(ISBLANK(INDEX('Policy Characteristics'!D:D,MATCH($C329,'Policy Characteristics'!$C:$C,0))),"",INDEX('Policy Characteristics'!D:D,MATCH($C329,'Policy Characteristics'!$C:$C,0)))</f>
        <v>Early Retirement of Power Plants</v>
      </c>
      <c r="K329" s="275" t="str">
        <f>IF(ISBLANK(INDEX('Policy Characteristics'!E:E,MATCH($C329,'Policy Characteristics'!$C:$C,0))),"",INDEX('Policy Characteristics'!E:E,MATCH($C329,'Policy Characteristics'!$C:$C,0)))</f>
        <v>elec early retirement</v>
      </c>
      <c r="L329" s="275">
        <f>IF(ISBLANK(INDEX('Policy Characteristics'!F:F,MATCH($C329,'Policy Characteristics'!$C:$C,0))),"",INDEX('Policy Characteristics'!F:F,MATCH($C329,'Policy Characteristics'!$C:$C,0)))</f>
        <v>0</v>
      </c>
      <c r="M329" s="275">
        <f>IF(ISBLANK(INDEX('Policy Characteristics'!G:G,MATCH($C329,'Policy Characteristics'!$C:$C,0))),"",INDEX('Policy Characteristics'!G:G,MATCH($C329,'Policy Characteristics'!$C:$C,0)))</f>
        <v>25000</v>
      </c>
      <c r="N329" s="275">
        <f>IF(ISBLANK(INDEX('Policy Characteristics'!H:H,MATCH($C329,'Policy Characteristics'!$C:$C,0))),"",INDEX('Policy Characteristics'!H:H,MATCH($C329,'Policy Characteristics'!$C:$C,0)))</f>
        <v>500</v>
      </c>
      <c r="O329" s="275" t="str">
        <f>IF(ISBLANK(INDEX('Policy Characteristics'!I:I,MATCH($C329,'Policy Characteristics'!$C:$C,0))),"",INDEX('Policy Characteristics'!I:I,MATCH($C329,'Policy Characteristics'!$C:$C,0)))</f>
        <v>MW/year</v>
      </c>
      <c r="P329" s="275" t="str">
        <f>IF(ISBLANK(INDEX('Policy Characteristics'!J:J,MATCH($C329,'Policy Characteristics'!$C:$C,0))),"",INDEX('Policy Characteristics'!J:J,MATCH($C329,'Policy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9" s="275" t="str">
        <f>IF(ISBLANK(INDEX('Policy Characteristics'!K:K,MATCH($C329,'Policy Characteristics'!$C:$C,0))),"",INDEX('Policy Characteristics'!K:K,MATCH($C329,'Policy Characteristics'!$C:$C,0)))</f>
        <v>electricity-sector-main.html#early-ret</v>
      </c>
      <c r="R329" s="275" t="str">
        <f>IF(ISBLANK(INDEX('Policy Characteristics'!L:L,MATCH($C329,'Policy Characteristics'!$C:$C,0))),"",INDEX('Policy Characteristics'!L:L,MATCH($C329,'Policy Characteristics'!$C:$C,0)))</f>
        <v>early-retirement-of-power-plants.html</v>
      </c>
    </row>
    <row r="330" spans="1:18" x14ac:dyDescent="0.25">
      <c r="A330" s="275" t="str">
        <f>IF(ISBLANK(INDEX('Policy Characteristics'!A:A,MATCH($C330,'Policy Characteristics'!$C:$C,0))),"",INDEX('Policy Characteristics'!A:A,MATCH($C330,'Policy Characteristics'!$C:$C,0)))</f>
        <v>Electricity Supply</v>
      </c>
      <c r="B330" s="284" t="str">
        <f>IF(ISBLANK(INDEX('Policy Characteristics'!B:B,MATCH($C330,'Policy Characteristics'!$C:$C,0))),"",INDEX('Policy Characteristics'!B:B,MATCH($C330,'Policy Characteristics'!$C:$C,0)))</f>
        <v>Early Retirement of Power Plants</v>
      </c>
      <c r="C330" s="275" t="str">
        <f t="shared" si="20"/>
        <v>Annual Additional Capacity Retired due to Early Retirement Policy</v>
      </c>
      <c r="D330" s="6" t="s">
        <v>3519</v>
      </c>
      <c r="E330" s="47"/>
      <c r="F330" s="6" t="s">
        <v>3526</v>
      </c>
      <c r="G330" s="47"/>
      <c r="H330" s="44">
        <v>1761</v>
      </c>
      <c r="I330" s="346" t="s">
        <v>44</v>
      </c>
      <c r="J330" s="276" t="str">
        <f>IF(ISBLANK(INDEX('Policy Characteristics'!D:D,MATCH($C330,'Policy Characteristics'!$C:$C,0))),"",INDEX('Policy Characteristics'!D:D,MATCH($C330,'Policy Characteristics'!$C:$C,0)))</f>
        <v>Early Retirement of Power Plants</v>
      </c>
      <c r="K330" s="275" t="str">
        <f>IF(ISBLANK(INDEX('Policy Characteristics'!E:E,MATCH($C330,'Policy Characteristics'!$C:$C,0))),"",INDEX('Policy Characteristics'!E:E,MATCH($C330,'Policy Characteristics'!$C:$C,0)))</f>
        <v>elec early retirement</v>
      </c>
      <c r="L330" s="275">
        <f>IF(ISBLANK(INDEX('Policy Characteristics'!F:F,MATCH($C330,'Policy Characteristics'!$C:$C,0))),"",INDEX('Policy Characteristics'!F:F,MATCH($C330,'Policy Characteristics'!$C:$C,0)))</f>
        <v>0</v>
      </c>
      <c r="M330" s="275">
        <f>IF(ISBLANK(INDEX('Policy Characteristics'!G:G,MATCH($C330,'Policy Characteristics'!$C:$C,0))),"",INDEX('Policy Characteristics'!G:G,MATCH($C330,'Policy Characteristics'!$C:$C,0)))</f>
        <v>25000</v>
      </c>
      <c r="N330" s="275">
        <f>IF(ISBLANK(INDEX('Policy Characteristics'!H:H,MATCH($C330,'Policy Characteristics'!$C:$C,0))),"",INDEX('Policy Characteristics'!H:H,MATCH($C330,'Policy Characteristics'!$C:$C,0)))</f>
        <v>500</v>
      </c>
      <c r="O330" s="275" t="str">
        <f>IF(ISBLANK(INDEX('Policy Characteristics'!I:I,MATCH($C330,'Policy Characteristics'!$C:$C,0))),"",INDEX('Policy Characteristics'!I:I,MATCH($C330,'Policy Characteristics'!$C:$C,0)))</f>
        <v>MW/year</v>
      </c>
      <c r="P330" s="275" t="str">
        <f>IF(ISBLANK(INDEX('Policy Characteristics'!J:J,MATCH($C330,'Policy Characteristics'!$C:$C,0))),"",INDEX('Policy Characteristics'!J:J,MATCH($C330,'Policy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0" s="275" t="str">
        <f>IF(ISBLANK(INDEX('Policy Characteristics'!K:K,MATCH($C330,'Policy Characteristics'!$C:$C,0))),"",INDEX('Policy Characteristics'!K:K,MATCH($C330,'Policy Characteristics'!$C:$C,0)))</f>
        <v>electricity-sector-main.html#early-ret</v>
      </c>
      <c r="R330" s="275" t="str">
        <f>IF(ISBLANK(INDEX('Policy Characteristics'!L:L,MATCH($C330,'Policy Characteristics'!$C:$C,0))),"",INDEX('Policy Characteristics'!L:L,MATCH($C330,'Policy Characteristics'!$C:$C,0)))</f>
        <v>early-retirement-of-power-plants.html</v>
      </c>
    </row>
    <row r="331" spans="1:18" x14ac:dyDescent="0.25">
      <c r="A331" s="275" t="str">
        <f>IF(ISBLANK(INDEX('Policy Characteristics'!A:A,MATCH($C331,'Policy Characteristics'!$C:$C,0))),"",INDEX('Policy Characteristics'!A:A,MATCH($C331,'Policy Characteristics'!$C:$C,0)))</f>
        <v>Electricity Supply</v>
      </c>
      <c r="B331" s="284" t="str">
        <f>IF(ISBLANK(INDEX('Policy Characteristics'!B:B,MATCH($C331,'Policy Characteristics'!$C:$C,0))),"",INDEX('Policy Characteristics'!B:B,MATCH($C331,'Policy Characteristics'!$C:$C,0)))</f>
        <v>Early Retirement of Power Plants</v>
      </c>
      <c r="C331" s="275" t="str">
        <f t="shared" si="20"/>
        <v>Annual Additional Capacity Retired due to Early Retirement Policy</v>
      </c>
      <c r="D331" s="6" t="s">
        <v>3522</v>
      </c>
      <c r="E331" s="47"/>
      <c r="F331" s="6" t="s">
        <v>3527</v>
      </c>
      <c r="G331" s="47"/>
      <c r="H331" s="44">
        <v>1762</v>
      </c>
      <c r="I331" s="346" t="s">
        <v>44</v>
      </c>
      <c r="J331" s="276" t="str">
        <f>IF(ISBLANK(INDEX('Policy Characteristics'!D:D,MATCH($C331,'Policy Characteristics'!$C:$C,0))),"",INDEX('Policy Characteristics'!D:D,MATCH($C331,'Policy Characteristics'!$C:$C,0)))</f>
        <v>Early Retirement of Power Plants</v>
      </c>
      <c r="K331" s="275" t="str">
        <f>IF(ISBLANK(INDEX('Policy Characteristics'!E:E,MATCH($C331,'Policy Characteristics'!$C:$C,0))),"",INDEX('Policy Characteristics'!E:E,MATCH($C331,'Policy Characteristics'!$C:$C,0)))</f>
        <v>elec early retirement</v>
      </c>
      <c r="L331" s="275">
        <f>IF(ISBLANK(INDEX('Policy Characteristics'!F:F,MATCH($C331,'Policy Characteristics'!$C:$C,0))),"",INDEX('Policy Characteristics'!F:F,MATCH($C331,'Policy Characteristics'!$C:$C,0)))</f>
        <v>0</v>
      </c>
      <c r="M331" s="275">
        <f>IF(ISBLANK(INDEX('Policy Characteristics'!G:G,MATCH($C331,'Policy Characteristics'!$C:$C,0))),"",INDEX('Policy Characteristics'!G:G,MATCH($C331,'Policy Characteristics'!$C:$C,0)))</f>
        <v>25000</v>
      </c>
      <c r="N331" s="275">
        <f>IF(ISBLANK(INDEX('Policy Characteristics'!H:H,MATCH($C331,'Policy Characteristics'!$C:$C,0))),"",INDEX('Policy Characteristics'!H:H,MATCH($C331,'Policy Characteristics'!$C:$C,0)))</f>
        <v>500</v>
      </c>
      <c r="O331" s="275" t="str">
        <f>IF(ISBLANK(INDEX('Policy Characteristics'!I:I,MATCH($C331,'Policy Characteristics'!$C:$C,0))),"",INDEX('Policy Characteristics'!I:I,MATCH($C331,'Policy Characteristics'!$C:$C,0)))</f>
        <v>MW/year</v>
      </c>
      <c r="P331" s="275" t="str">
        <f>IF(ISBLANK(INDEX('Policy Characteristics'!J:J,MATCH($C331,'Policy Characteristics'!$C:$C,0))),"",INDEX('Policy Characteristics'!J:J,MATCH($C331,'Policy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1" s="275" t="str">
        <f>IF(ISBLANK(INDEX('Policy Characteristics'!K:K,MATCH($C331,'Policy Characteristics'!$C:$C,0))),"",INDEX('Policy Characteristics'!K:K,MATCH($C331,'Policy Characteristics'!$C:$C,0)))</f>
        <v>electricity-sector-main.html#early-ret</v>
      </c>
      <c r="R331" s="275" t="str">
        <f>IF(ISBLANK(INDEX('Policy Characteristics'!L:L,MATCH($C331,'Policy Characteristics'!$C:$C,0))),"",INDEX('Policy Characteristics'!L:L,MATCH($C331,'Policy Characteristics'!$C:$C,0)))</f>
        <v>early-retirement-of-power-plants.html</v>
      </c>
    </row>
    <row r="332" spans="1:18" x14ac:dyDescent="0.25">
      <c r="A332" s="275" t="str">
        <f>IF(ISBLANK(INDEX('Policy Characteristics'!A:A,MATCH($C332,'Policy Characteristics'!$C:$C,0))),"",INDEX('Policy Characteristics'!A:A,MATCH($C332,'Policy Characteristics'!$C:$C,0)))</f>
        <v>Electricity Supply</v>
      </c>
      <c r="B332" s="284" t="str">
        <f>IF(ISBLANK(INDEX('Policy Characteristics'!B:B,MATCH($C332,'Policy Characteristics'!$C:$C,0))),"",INDEX('Policy Characteristics'!B:B,MATCH($C332,'Policy Characteristics'!$C:$C,0)))</f>
        <v>Early Retirement of Power Plants</v>
      </c>
      <c r="C332" s="275" t="str">
        <f t="shared" si="20"/>
        <v>Annual Additional Capacity Retired due to Early Retirement Policy</v>
      </c>
      <c r="D332" s="6" t="s">
        <v>3523</v>
      </c>
      <c r="E332" s="47"/>
      <c r="F332" s="6" t="s">
        <v>3528</v>
      </c>
      <c r="G332" s="47"/>
      <c r="H332" s="44">
        <v>1763</v>
      </c>
      <c r="I332" s="346" t="s">
        <v>44</v>
      </c>
      <c r="J332" s="276" t="str">
        <f>IF(ISBLANK(INDEX('Policy Characteristics'!D:D,MATCH($C332,'Policy Characteristics'!$C:$C,0))),"",INDEX('Policy Characteristics'!D:D,MATCH($C332,'Policy Characteristics'!$C:$C,0)))</f>
        <v>Early Retirement of Power Plants</v>
      </c>
      <c r="K332" s="275" t="str">
        <f>IF(ISBLANK(INDEX('Policy Characteristics'!E:E,MATCH($C332,'Policy Characteristics'!$C:$C,0))),"",INDEX('Policy Characteristics'!E:E,MATCH($C332,'Policy Characteristics'!$C:$C,0)))</f>
        <v>elec early retirement</v>
      </c>
      <c r="L332" s="275">
        <f>IF(ISBLANK(INDEX('Policy Characteristics'!F:F,MATCH($C332,'Policy Characteristics'!$C:$C,0))),"",INDEX('Policy Characteristics'!F:F,MATCH($C332,'Policy Characteristics'!$C:$C,0)))</f>
        <v>0</v>
      </c>
      <c r="M332" s="275">
        <f>IF(ISBLANK(INDEX('Policy Characteristics'!G:G,MATCH($C332,'Policy Characteristics'!$C:$C,0))),"",INDEX('Policy Characteristics'!G:G,MATCH($C332,'Policy Characteristics'!$C:$C,0)))</f>
        <v>25000</v>
      </c>
      <c r="N332" s="275">
        <f>IF(ISBLANK(INDEX('Policy Characteristics'!H:H,MATCH($C332,'Policy Characteristics'!$C:$C,0))),"",INDEX('Policy Characteristics'!H:H,MATCH($C332,'Policy Characteristics'!$C:$C,0)))</f>
        <v>500</v>
      </c>
      <c r="O332" s="275" t="str">
        <f>IF(ISBLANK(INDEX('Policy Characteristics'!I:I,MATCH($C332,'Policy Characteristics'!$C:$C,0))),"",INDEX('Policy Characteristics'!I:I,MATCH($C332,'Policy Characteristics'!$C:$C,0)))</f>
        <v>MW/year</v>
      </c>
      <c r="P332" s="275" t="str">
        <f>IF(ISBLANK(INDEX('Policy Characteristics'!J:J,MATCH($C332,'Policy Characteristics'!$C:$C,0))),"",INDEX('Policy Characteristics'!J:J,MATCH($C332,'Policy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2" s="275" t="str">
        <f>IF(ISBLANK(INDEX('Policy Characteristics'!K:K,MATCH($C332,'Policy Characteristics'!$C:$C,0))),"",INDEX('Policy Characteristics'!K:K,MATCH($C332,'Policy Characteristics'!$C:$C,0)))</f>
        <v>electricity-sector-main.html#early-ret</v>
      </c>
      <c r="R332" s="275" t="str">
        <f>IF(ISBLANK(INDEX('Policy Characteristics'!L:L,MATCH($C332,'Policy Characteristics'!$C:$C,0))),"",INDEX('Policy Characteristics'!L:L,MATCH($C332,'Policy Characteristics'!$C:$C,0)))</f>
        <v>early-retirement-of-power-plants.html</v>
      </c>
    </row>
    <row r="333" spans="1:18" x14ac:dyDescent="0.25">
      <c r="A333" s="275" t="str">
        <f>IF(ISBLANK(INDEX('Policy Characteristics'!A:A,MATCH($C333,'Policy Characteristics'!$C:$C,0))),"",INDEX('Policy Characteristics'!A:A,MATCH($C333,'Policy Characteristics'!$C:$C,0)))</f>
        <v>Electricity Supply</v>
      </c>
      <c r="B333" s="284" t="str">
        <f>IF(ISBLANK(INDEX('Policy Characteristics'!B:B,MATCH($C333,'Policy Characteristics'!$C:$C,0))),"",INDEX('Policy Characteristics'!B:B,MATCH($C333,'Policy Characteristics'!$C:$C,0)))</f>
        <v>Early Retirement of Power Plants</v>
      </c>
      <c r="C333" s="275" t="str">
        <f t="shared" si="20"/>
        <v>Annual Additional Capacity Retired due to Early Retirement Policy</v>
      </c>
      <c r="D333" s="6" t="s">
        <v>3524</v>
      </c>
      <c r="E333" s="47"/>
      <c r="F333" s="6" t="s">
        <v>3529</v>
      </c>
      <c r="G333" s="47"/>
      <c r="H333" s="44">
        <v>1764</v>
      </c>
      <c r="I333" s="346" t="s">
        <v>44</v>
      </c>
      <c r="J333" s="276" t="str">
        <f>IF(ISBLANK(INDEX('Policy Characteristics'!D:D,MATCH($C333,'Policy Characteristics'!$C:$C,0))),"",INDEX('Policy Characteristics'!D:D,MATCH($C333,'Policy Characteristics'!$C:$C,0)))</f>
        <v>Early Retirement of Power Plants</v>
      </c>
      <c r="K333" s="275" t="str">
        <f>IF(ISBLANK(INDEX('Policy Characteristics'!E:E,MATCH($C333,'Policy Characteristics'!$C:$C,0))),"",INDEX('Policy Characteristics'!E:E,MATCH($C333,'Policy Characteristics'!$C:$C,0)))</f>
        <v>elec early retirement</v>
      </c>
      <c r="L333" s="275">
        <f>IF(ISBLANK(INDEX('Policy Characteristics'!F:F,MATCH($C333,'Policy Characteristics'!$C:$C,0))),"",INDEX('Policy Characteristics'!F:F,MATCH($C333,'Policy Characteristics'!$C:$C,0)))</f>
        <v>0</v>
      </c>
      <c r="M333" s="275">
        <f>IF(ISBLANK(INDEX('Policy Characteristics'!G:G,MATCH($C333,'Policy Characteristics'!$C:$C,0))),"",INDEX('Policy Characteristics'!G:G,MATCH($C333,'Policy Characteristics'!$C:$C,0)))</f>
        <v>25000</v>
      </c>
      <c r="N333" s="275">
        <f>IF(ISBLANK(INDEX('Policy Characteristics'!H:H,MATCH($C333,'Policy Characteristics'!$C:$C,0))),"",INDEX('Policy Characteristics'!H:H,MATCH($C333,'Policy Characteristics'!$C:$C,0)))</f>
        <v>500</v>
      </c>
      <c r="O333" s="275" t="str">
        <f>IF(ISBLANK(INDEX('Policy Characteristics'!I:I,MATCH($C333,'Policy Characteristics'!$C:$C,0))),"",INDEX('Policy Characteristics'!I:I,MATCH($C333,'Policy Characteristics'!$C:$C,0)))</f>
        <v>MW/year</v>
      </c>
      <c r="P333" s="275" t="str">
        <f>IF(ISBLANK(INDEX('Policy Characteristics'!J:J,MATCH($C333,'Policy Characteristics'!$C:$C,0))),"",INDEX('Policy Characteristics'!J:J,MATCH($C333,'Policy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3" s="275" t="str">
        <f>IF(ISBLANK(INDEX('Policy Characteristics'!K:K,MATCH($C333,'Policy Characteristics'!$C:$C,0))),"",INDEX('Policy Characteristics'!K:K,MATCH($C333,'Policy Characteristics'!$C:$C,0)))</f>
        <v>electricity-sector-main.html#early-ret</v>
      </c>
      <c r="R333" s="275" t="str">
        <f>IF(ISBLANK(INDEX('Policy Characteristics'!L:L,MATCH($C333,'Policy Characteristics'!$C:$C,0))),"",INDEX('Policy Characteristics'!L:L,MATCH($C333,'Policy Characteristics'!$C:$C,0)))</f>
        <v>early-retirement-of-power-plants.html</v>
      </c>
    </row>
    <row r="334" spans="1:18" x14ac:dyDescent="0.25">
      <c r="A334" s="275" t="str">
        <f>IF(ISBLANK(INDEX('Policy Characteristics'!A:A,MATCH($C334,'Policy Characteristics'!$C:$C,0))),"",INDEX('Policy Characteristics'!A:A,MATCH($C334,'Policy Characteristics'!$C:$C,0)))</f>
        <v>Electricity Supply</v>
      </c>
      <c r="B334" s="284" t="str">
        <f>IF(ISBLANK(INDEX('Policy Characteristics'!B:B,MATCH($C334,'Policy Characteristics'!$C:$C,0))),"",INDEX('Policy Characteristics'!B:B,MATCH($C334,'Policy Characteristics'!$C:$C,0)))</f>
        <v>Early Retirement of Power Plants</v>
      </c>
      <c r="C334" s="275" t="str">
        <f t="shared" si="20"/>
        <v>Annual Additional Capacity Retired due to Early Retirement Policy</v>
      </c>
      <c r="D334" s="6" t="s">
        <v>3525</v>
      </c>
      <c r="E334" s="47"/>
      <c r="F334" s="6" t="s">
        <v>3530</v>
      </c>
      <c r="G334" s="47"/>
      <c r="H334" s="44">
        <v>1765</v>
      </c>
      <c r="I334" s="346" t="s">
        <v>44</v>
      </c>
      <c r="J334" s="276" t="str">
        <f>IF(ISBLANK(INDEX('Policy Characteristics'!D:D,MATCH($C334,'Policy Characteristics'!$C:$C,0))),"",INDEX('Policy Characteristics'!D:D,MATCH($C334,'Policy Characteristics'!$C:$C,0)))</f>
        <v>Early Retirement of Power Plants</v>
      </c>
      <c r="K334" s="275" t="str">
        <f>IF(ISBLANK(INDEX('Policy Characteristics'!E:E,MATCH($C334,'Policy Characteristics'!$C:$C,0))),"",INDEX('Policy Characteristics'!E:E,MATCH($C334,'Policy Characteristics'!$C:$C,0)))</f>
        <v>elec early retirement</v>
      </c>
      <c r="L334" s="275">
        <f>IF(ISBLANK(INDEX('Policy Characteristics'!F:F,MATCH($C334,'Policy Characteristics'!$C:$C,0))),"",INDEX('Policy Characteristics'!F:F,MATCH($C334,'Policy Characteristics'!$C:$C,0)))</f>
        <v>0</v>
      </c>
      <c r="M334" s="275">
        <f>IF(ISBLANK(INDEX('Policy Characteristics'!G:G,MATCH($C334,'Policy Characteristics'!$C:$C,0))),"",INDEX('Policy Characteristics'!G:G,MATCH($C334,'Policy Characteristics'!$C:$C,0)))</f>
        <v>25000</v>
      </c>
      <c r="N334" s="275">
        <f>IF(ISBLANK(INDEX('Policy Characteristics'!H:H,MATCH($C334,'Policy Characteristics'!$C:$C,0))),"",INDEX('Policy Characteristics'!H:H,MATCH($C334,'Policy Characteristics'!$C:$C,0)))</f>
        <v>500</v>
      </c>
      <c r="O334" s="275" t="str">
        <f>IF(ISBLANK(INDEX('Policy Characteristics'!I:I,MATCH($C334,'Policy Characteristics'!$C:$C,0))),"",INDEX('Policy Characteristics'!I:I,MATCH($C334,'Policy Characteristics'!$C:$C,0)))</f>
        <v>MW/year</v>
      </c>
      <c r="P334" s="275" t="str">
        <f>IF(ISBLANK(INDEX('Policy Characteristics'!J:J,MATCH($C334,'Policy Characteristics'!$C:$C,0))),"",INDEX('Policy Characteristics'!J:J,MATCH($C334,'Policy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4" s="275" t="str">
        <f>IF(ISBLANK(INDEX('Policy Characteristics'!K:K,MATCH($C334,'Policy Characteristics'!$C:$C,0))),"",INDEX('Policy Characteristics'!K:K,MATCH($C334,'Policy Characteristics'!$C:$C,0)))</f>
        <v>electricity-sector-main.html#early-ret</v>
      </c>
      <c r="R334" s="275" t="str">
        <f>IF(ISBLANK(INDEX('Policy Characteristics'!L:L,MATCH($C334,'Policy Characteristics'!$C:$C,0))),"",INDEX('Policy Characteristics'!L:L,MATCH($C334,'Policy Characteristics'!$C:$C,0)))</f>
        <v>early-retirement-of-power-plants.html</v>
      </c>
    </row>
    <row r="335" spans="1:18" x14ac:dyDescent="0.25">
      <c r="A335" s="275" t="str">
        <f>IF(ISBLANK(INDEX('Policy Characteristics'!A:A,MATCH($C335,'Policy Characteristics'!$C:$C,0))),"",INDEX('Policy Characteristics'!A:A,MATCH($C335,'Policy Characteristics'!$C:$C,0)))</f>
        <v>Electricity Supply</v>
      </c>
      <c r="B335" s="284" t="str">
        <f>IF(ISBLANK(INDEX('Policy Characteristics'!B:B,MATCH($C335,'Policy Characteristics'!$C:$C,0))),"",INDEX('Policy Characteristics'!B:B,MATCH($C335,'Policy Characteristics'!$C:$C,0)))</f>
        <v>Early Retirement of Power Plants</v>
      </c>
      <c r="C335" s="275" t="str">
        <f t="shared" si="20"/>
        <v>Annual Additional Capacity Retired due to Early Retirement Policy</v>
      </c>
      <c r="D335" s="6" t="s">
        <v>3616</v>
      </c>
      <c r="E335" s="47"/>
      <c r="F335" s="6" t="s">
        <v>3614</v>
      </c>
      <c r="G335" s="47"/>
      <c r="H335" s="44">
        <v>1766</v>
      </c>
      <c r="I335" s="346" t="s">
        <v>44</v>
      </c>
      <c r="J335" s="276" t="str">
        <f>IF(ISBLANK(INDEX('Policy Characteristics'!D:D,MATCH($C335,'Policy Characteristics'!$C:$C,0))),"",INDEX('Policy Characteristics'!D:D,MATCH($C335,'Policy Characteristics'!$C:$C,0)))</f>
        <v>Early Retirement of Power Plants</v>
      </c>
      <c r="K335" s="275" t="str">
        <f>IF(ISBLANK(INDEX('Policy Characteristics'!E:E,MATCH($C335,'Policy Characteristics'!$C:$C,0))),"",INDEX('Policy Characteristics'!E:E,MATCH($C335,'Policy Characteristics'!$C:$C,0)))</f>
        <v>elec early retirement</v>
      </c>
      <c r="L335" s="275">
        <f>IF(ISBLANK(INDEX('Policy Characteristics'!F:F,MATCH($C335,'Policy Characteristics'!$C:$C,0))),"",INDEX('Policy Characteristics'!F:F,MATCH($C335,'Policy Characteristics'!$C:$C,0)))</f>
        <v>0</v>
      </c>
      <c r="M335" s="275">
        <f>IF(ISBLANK(INDEX('Policy Characteristics'!G:G,MATCH($C335,'Policy Characteristics'!$C:$C,0))),"",INDEX('Policy Characteristics'!G:G,MATCH($C335,'Policy Characteristics'!$C:$C,0)))</f>
        <v>25000</v>
      </c>
      <c r="N335" s="275">
        <f>IF(ISBLANK(INDEX('Policy Characteristics'!H:H,MATCH($C335,'Policy Characteristics'!$C:$C,0))),"",INDEX('Policy Characteristics'!H:H,MATCH($C335,'Policy Characteristics'!$C:$C,0)))</f>
        <v>500</v>
      </c>
      <c r="O335" s="275" t="str">
        <f>IF(ISBLANK(INDEX('Policy Characteristics'!I:I,MATCH($C335,'Policy Characteristics'!$C:$C,0))),"",INDEX('Policy Characteristics'!I:I,MATCH($C335,'Policy Characteristics'!$C:$C,0)))</f>
        <v>MW/year</v>
      </c>
      <c r="P335" s="275" t="str">
        <f>IF(ISBLANK(INDEX('Policy Characteristics'!J:J,MATCH($C335,'Policy Characteristics'!$C:$C,0))),"",INDEX('Policy Characteristics'!J:J,MATCH($C335,'Policy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5" s="275" t="str">
        <f>IF(ISBLANK(INDEX('Policy Characteristics'!K:K,MATCH($C335,'Policy Characteristics'!$C:$C,0))),"",INDEX('Policy Characteristics'!K:K,MATCH($C335,'Policy Characteristics'!$C:$C,0)))</f>
        <v>electricity-sector-main.html#early-ret</v>
      </c>
      <c r="R335" s="275" t="str">
        <f>IF(ISBLANK(INDEX('Policy Characteristics'!L:L,MATCH($C335,'Policy Characteristics'!$C:$C,0))),"",INDEX('Policy Characteristics'!L:L,MATCH($C335,'Policy Characteristics'!$C:$C,0)))</f>
        <v>early-retirement-of-power-plants.html</v>
      </c>
    </row>
    <row r="336" spans="1:18" x14ac:dyDescent="0.25">
      <c r="A336" s="275" t="str">
        <f>IF(ISBLANK(INDEX('Policy Characteristics'!A:A,MATCH($C336,'Policy Characteristics'!$C:$C,0))),"",INDEX('Policy Characteristics'!A:A,MATCH($C336,'Policy Characteristics'!$C:$C,0)))</f>
        <v>Electricity Supply</v>
      </c>
      <c r="B336" s="284" t="str">
        <f>IF(ISBLANK(INDEX('Policy Characteristics'!B:B,MATCH($C336,'Policy Characteristics'!$C:$C,0))),"",INDEX('Policy Characteristics'!B:B,MATCH($C336,'Policy Characteristics'!$C:$C,0)))</f>
        <v>Early Retirement of Power Plants</v>
      </c>
      <c r="C336" s="275" t="str">
        <f t="shared" si="20"/>
        <v>Annual Additional Capacity Retired due to Early Retirement Policy</v>
      </c>
      <c r="D336" s="6" t="s">
        <v>3617</v>
      </c>
      <c r="E336" s="47"/>
      <c r="F336" s="6" t="s">
        <v>3615</v>
      </c>
      <c r="G336" s="47"/>
      <c r="H336" s="44">
        <v>2239</v>
      </c>
      <c r="I336" s="346" t="s">
        <v>44</v>
      </c>
      <c r="J336" s="276" t="str">
        <f>IF(ISBLANK(INDEX('Policy Characteristics'!D:D,MATCH($C336,'Policy Characteristics'!$C:$C,0))),"",INDEX('Policy Characteristics'!D:D,MATCH($C336,'Policy Characteristics'!$C:$C,0)))</f>
        <v>Early Retirement of Power Plants</v>
      </c>
      <c r="K336" s="275" t="str">
        <f>IF(ISBLANK(INDEX('Policy Characteristics'!E:E,MATCH($C336,'Policy Characteristics'!$C:$C,0))),"",INDEX('Policy Characteristics'!E:E,MATCH($C336,'Policy Characteristics'!$C:$C,0)))</f>
        <v>elec early retirement</v>
      </c>
      <c r="L336" s="275">
        <f>IF(ISBLANK(INDEX('Policy Characteristics'!F:F,MATCH($C336,'Policy Characteristics'!$C:$C,0))),"",INDEX('Policy Characteristics'!F:F,MATCH($C336,'Policy Characteristics'!$C:$C,0)))</f>
        <v>0</v>
      </c>
      <c r="M336" s="275">
        <f>IF(ISBLANK(INDEX('Policy Characteristics'!G:G,MATCH($C336,'Policy Characteristics'!$C:$C,0))),"",INDEX('Policy Characteristics'!G:G,MATCH($C336,'Policy Characteristics'!$C:$C,0)))</f>
        <v>25000</v>
      </c>
      <c r="N336" s="275">
        <f>IF(ISBLANK(INDEX('Policy Characteristics'!H:H,MATCH($C336,'Policy Characteristics'!$C:$C,0))),"",INDEX('Policy Characteristics'!H:H,MATCH($C336,'Policy Characteristics'!$C:$C,0)))</f>
        <v>500</v>
      </c>
      <c r="O336" s="275" t="str">
        <f>IF(ISBLANK(INDEX('Policy Characteristics'!I:I,MATCH($C336,'Policy Characteristics'!$C:$C,0))),"",INDEX('Policy Characteristics'!I:I,MATCH($C336,'Policy Characteristics'!$C:$C,0)))</f>
        <v>MW/year</v>
      </c>
      <c r="P336" s="275" t="str">
        <f>IF(ISBLANK(INDEX('Policy Characteristics'!J:J,MATCH($C336,'Policy Characteristics'!$C:$C,0))),"",INDEX('Policy Characteristics'!J:J,MATCH($C336,'Policy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6" s="275" t="str">
        <f>IF(ISBLANK(INDEX('Policy Characteristics'!K:K,MATCH($C336,'Policy Characteristics'!$C:$C,0))),"",INDEX('Policy Characteristics'!K:K,MATCH($C336,'Policy Characteristics'!$C:$C,0)))</f>
        <v>electricity-sector-main.html#early-ret</v>
      </c>
      <c r="R336" s="275" t="str">
        <f>IF(ISBLANK(INDEX('Policy Characteristics'!L:L,MATCH($C336,'Policy Characteristics'!$C:$C,0))),"",INDEX('Policy Characteristics'!L:L,MATCH($C336,'Policy Characteristics'!$C:$C,0)))</f>
        <v>early-retirement-of-power-plants.html</v>
      </c>
    </row>
    <row r="337" spans="1:18" x14ac:dyDescent="0.25">
      <c r="A337" s="275" t="str">
        <f>IF(ISBLANK(INDEX('Policy Characteristics'!A:A,MATCH($C337,'Policy Characteristics'!$C:$C,0))),"",INDEX('Policy Characteristics'!A:A,MATCH($C337,'Policy Characteristics'!$C:$C,0)))</f>
        <v>Electricity Supply</v>
      </c>
      <c r="B337" s="284" t="str">
        <f>IF(ISBLANK(INDEX('Policy Characteristics'!B:B,MATCH($C337,'Policy Characteristics'!$C:$C,0))),"",INDEX('Policy Characteristics'!B:B,MATCH($C337,'Policy Characteristics'!$C:$C,0)))</f>
        <v>Non BAU Capacity Retirement Schedule</v>
      </c>
      <c r="C337" t="s">
        <v>3027</v>
      </c>
      <c r="D337" s="47" t="s">
        <v>448</v>
      </c>
      <c r="E337" s="47"/>
      <c r="F337" s="47" t="s">
        <v>447</v>
      </c>
      <c r="G337" s="47"/>
      <c r="H337" s="44">
        <v>860</v>
      </c>
      <c r="I337" s="346" t="s">
        <v>44</v>
      </c>
      <c r="J337" s="276" t="str">
        <f>IF(ISBLANK(INDEX('Policy Characteristics'!D:D,MATCH($C337,'Policy Characteristics'!$C:$C,0))),"",INDEX('Policy Characteristics'!D:D,MATCH($C337,'Policy Characteristics'!$C:$C,0)))</f>
        <v>Non BAU Capacity Retirement Schedule</v>
      </c>
      <c r="K337" s="275" t="str">
        <f>IF(ISBLANK(INDEX('Policy Characteristics'!E:E,MATCH($C337,'Policy Characteristics'!$C:$C,0))),"",INDEX('Policy Characteristics'!E:E,MATCH($C337,'Policy Characteristics'!$C:$C,0)))</f>
        <v/>
      </c>
      <c r="L337" s="275">
        <f>IF(ISBLANK(INDEX('Policy Characteristics'!F:F,MATCH($C337,'Policy Characteristics'!$C:$C,0))),"",INDEX('Policy Characteristics'!F:F,MATCH($C337,'Policy Characteristics'!$C:$C,0)))</f>
        <v>0</v>
      </c>
      <c r="M337" s="275">
        <f>IF(ISBLANK(INDEX('Policy Characteristics'!G:G,MATCH($C337,'Policy Characteristics'!$C:$C,0))),"",INDEX('Policy Characteristics'!G:G,MATCH($C337,'Policy Characteristics'!$C:$C,0)))</f>
        <v>1</v>
      </c>
      <c r="N337" s="275">
        <f>IF(ISBLANK(INDEX('Policy Characteristics'!H:H,MATCH($C337,'Policy Characteristics'!$C:$C,0))),"",INDEX('Policy Characteristics'!H:H,MATCH($C337,'Policy Characteristics'!$C:$C,0)))</f>
        <v>1</v>
      </c>
      <c r="O337" s="275" t="str">
        <f>IF(ISBLANK(INDEX('Policy Characteristics'!I:I,MATCH($C337,'Policy Characteristics'!$C:$C,0))),"",INDEX('Policy Characteristics'!I:I,MATCH($C337,'Policy Characteristics'!$C:$C,0)))</f>
        <v>on/off</v>
      </c>
      <c r="P337" s="275" t="str">
        <f>IF(ISBLANK(INDEX('Policy Characteristics'!J:J,MATCH($C337,'Policy Characteristics'!$C:$C,0))),"",INDEX('Policy Characteristics'!J:J,MATCH($C337,'Policy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7" s="275" t="str">
        <f>IF(ISBLANK(INDEX('Policy Characteristics'!K:K,MATCH($C337,'Policy Characteristics'!$C:$C,0))),"",INDEX('Policy Characteristics'!K:K,MATCH($C337,'Policy Characteristics'!$C:$C,0)))</f>
        <v/>
      </c>
      <c r="R337" s="275" t="str">
        <f>IF(ISBLANK(INDEX('Policy Characteristics'!L:L,MATCH($C337,'Policy Characteristics'!$C:$C,0))),"",INDEX('Policy Characteristics'!L:L,MATCH($C337,'Policy Characteristics'!$C:$C,0)))</f>
        <v/>
      </c>
    </row>
    <row r="338" spans="1:18" x14ac:dyDescent="0.25">
      <c r="A338" s="275" t="str">
        <f>IF(ISBLANK(INDEX('Policy Characteristics'!A:A,MATCH($C338,'Policy Characteristics'!$C:$C,0))),"",INDEX('Policy Characteristics'!A:A,MATCH($C338,'Policy Characteristics'!$C:$C,0)))</f>
        <v>Electricity Supply</v>
      </c>
      <c r="B338" s="284" t="str">
        <f>IF(ISBLANK(INDEX('Policy Characteristics'!B:B,MATCH($C338,'Policy Characteristics'!$C:$C,0))),"",INDEX('Policy Characteristics'!B:B,MATCH($C338,'Policy Characteristics'!$C:$C,0)))</f>
        <v>Non BAU Capacity Retirement Schedule</v>
      </c>
      <c r="C338" s="275" t="str">
        <f t="shared" ref="C338:C360" si="21">C$337</f>
        <v>Boolean Use Non BAU Capacity Retirement Schedule</v>
      </c>
      <c r="D338" s="6" t="s">
        <v>3520</v>
      </c>
      <c r="E338" s="47"/>
      <c r="F338" s="6" t="s">
        <v>3453</v>
      </c>
      <c r="G338" s="47"/>
      <c r="H338" s="44">
        <v>861</v>
      </c>
      <c r="I338" s="346" t="s">
        <v>44</v>
      </c>
      <c r="J338" s="276" t="str">
        <f>IF(ISBLANK(INDEX('Policy Characteristics'!D:D,MATCH($C338,'Policy Characteristics'!$C:$C,0))),"",INDEX('Policy Characteristics'!D:D,MATCH($C338,'Policy Characteristics'!$C:$C,0)))</f>
        <v>Non BAU Capacity Retirement Schedule</v>
      </c>
      <c r="K338" s="275" t="str">
        <f>IF(ISBLANK(INDEX('Policy Characteristics'!E:E,MATCH($C338,'Policy Characteristics'!$C:$C,0))),"",INDEX('Policy Characteristics'!E:E,MATCH($C338,'Policy Characteristics'!$C:$C,0)))</f>
        <v/>
      </c>
      <c r="L338" s="275">
        <f>IF(ISBLANK(INDEX('Policy Characteristics'!F:F,MATCH($C338,'Policy Characteristics'!$C:$C,0))),"",INDEX('Policy Characteristics'!F:F,MATCH($C338,'Policy Characteristics'!$C:$C,0)))</f>
        <v>0</v>
      </c>
      <c r="M338" s="275">
        <f>IF(ISBLANK(INDEX('Policy Characteristics'!G:G,MATCH($C338,'Policy Characteristics'!$C:$C,0))),"",INDEX('Policy Characteristics'!G:G,MATCH($C338,'Policy Characteristics'!$C:$C,0)))</f>
        <v>1</v>
      </c>
      <c r="N338" s="275">
        <f>IF(ISBLANK(INDEX('Policy Characteristics'!H:H,MATCH($C338,'Policy Characteristics'!$C:$C,0))),"",INDEX('Policy Characteristics'!H:H,MATCH($C338,'Policy Characteristics'!$C:$C,0)))</f>
        <v>1</v>
      </c>
      <c r="O338" s="275" t="str">
        <f>IF(ISBLANK(INDEX('Policy Characteristics'!I:I,MATCH($C338,'Policy Characteristics'!$C:$C,0))),"",INDEX('Policy Characteristics'!I:I,MATCH($C338,'Policy Characteristics'!$C:$C,0)))</f>
        <v>on/off</v>
      </c>
      <c r="P338" s="275" t="str">
        <f>IF(ISBLANK(INDEX('Policy Characteristics'!J:J,MATCH($C338,'Policy Characteristics'!$C:$C,0))),"",INDEX('Policy Characteristics'!J:J,MATCH($C338,'Policy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8" s="275" t="str">
        <f>IF(ISBLANK(INDEX('Policy Characteristics'!K:K,MATCH($C338,'Policy Characteristics'!$C:$C,0))),"",INDEX('Policy Characteristics'!K:K,MATCH($C338,'Policy Characteristics'!$C:$C,0)))</f>
        <v/>
      </c>
      <c r="R338" s="275" t="str">
        <f>IF(ISBLANK(INDEX('Policy Characteristics'!L:L,MATCH($C338,'Policy Characteristics'!$C:$C,0))),"",INDEX('Policy Characteristics'!L:L,MATCH($C338,'Policy Characteristics'!$C:$C,0)))</f>
        <v/>
      </c>
    </row>
    <row r="339" spans="1:18" x14ac:dyDescent="0.25">
      <c r="A339" s="275" t="str">
        <f>IF(ISBLANK(INDEX('Policy Characteristics'!A:A,MATCH($C339,'Policy Characteristics'!$C:$C,0))),"",INDEX('Policy Characteristics'!A:A,MATCH($C339,'Policy Characteristics'!$C:$C,0)))</f>
        <v>Electricity Supply</v>
      </c>
      <c r="B339" s="284" t="str">
        <f>IF(ISBLANK(INDEX('Policy Characteristics'!B:B,MATCH($C339,'Policy Characteristics'!$C:$C,0))),"",INDEX('Policy Characteristics'!B:B,MATCH($C339,'Policy Characteristics'!$C:$C,0)))</f>
        <v>Non BAU Capacity Retirement Schedule</v>
      </c>
      <c r="C339" s="275" t="str">
        <f t="shared" si="21"/>
        <v>Boolean Use Non BAU Capacity Retirement Schedule</v>
      </c>
      <c r="D339" s="6" t="s">
        <v>3521</v>
      </c>
      <c r="E339" s="47"/>
      <c r="F339" s="6" t="s">
        <v>3454</v>
      </c>
      <c r="G339" s="47"/>
      <c r="H339" s="44">
        <v>1767</v>
      </c>
      <c r="I339" s="346" t="s">
        <v>43</v>
      </c>
      <c r="J339" s="276" t="str">
        <f>IF(ISBLANK(INDEX('Policy Characteristics'!D:D,MATCH($C339,'Policy Characteristics'!$C:$C,0))),"",INDEX('Policy Characteristics'!D:D,MATCH($C339,'Policy Characteristics'!$C:$C,0)))</f>
        <v>Non BAU Capacity Retirement Schedule</v>
      </c>
      <c r="K339" s="275" t="str">
        <f>IF(ISBLANK(INDEX('Policy Characteristics'!E:E,MATCH($C339,'Policy Characteristics'!$C:$C,0))),"",INDEX('Policy Characteristics'!E:E,MATCH($C339,'Policy Characteristics'!$C:$C,0)))</f>
        <v/>
      </c>
      <c r="L339" s="275">
        <f>IF(ISBLANK(INDEX('Policy Characteristics'!F:F,MATCH($C339,'Policy Characteristics'!$C:$C,0))),"",INDEX('Policy Characteristics'!F:F,MATCH($C339,'Policy Characteristics'!$C:$C,0)))</f>
        <v>0</v>
      </c>
      <c r="M339" s="275">
        <f>IF(ISBLANK(INDEX('Policy Characteristics'!G:G,MATCH($C339,'Policy Characteristics'!$C:$C,0))),"",INDEX('Policy Characteristics'!G:G,MATCH($C339,'Policy Characteristics'!$C:$C,0)))</f>
        <v>1</v>
      </c>
      <c r="N339" s="275">
        <f>IF(ISBLANK(INDEX('Policy Characteristics'!H:H,MATCH($C339,'Policy Characteristics'!$C:$C,0))),"",INDEX('Policy Characteristics'!H:H,MATCH($C339,'Policy Characteristics'!$C:$C,0)))</f>
        <v>1</v>
      </c>
      <c r="O339" s="275" t="str">
        <f>IF(ISBLANK(INDEX('Policy Characteristics'!I:I,MATCH($C339,'Policy Characteristics'!$C:$C,0))),"",INDEX('Policy Characteristics'!I:I,MATCH($C339,'Policy Characteristics'!$C:$C,0)))</f>
        <v>on/off</v>
      </c>
      <c r="P339" s="275" t="str">
        <f>IF(ISBLANK(INDEX('Policy Characteristics'!J:J,MATCH($C339,'Policy Characteristics'!$C:$C,0))),"",INDEX('Policy Characteristics'!J:J,MATCH($C339,'Policy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9" s="275" t="str">
        <f>IF(ISBLANK(INDEX('Policy Characteristics'!K:K,MATCH($C339,'Policy Characteristics'!$C:$C,0))),"",INDEX('Policy Characteristics'!K:K,MATCH($C339,'Policy Characteristics'!$C:$C,0)))</f>
        <v/>
      </c>
      <c r="R339" s="275" t="str">
        <f>IF(ISBLANK(INDEX('Policy Characteristics'!L:L,MATCH($C339,'Policy Characteristics'!$C:$C,0))),"",INDEX('Policy Characteristics'!L:L,MATCH($C339,'Policy Characteristics'!$C:$C,0)))</f>
        <v/>
      </c>
    </row>
    <row r="340" spans="1:18" x14ac:dyDescent="0.25">
      <c r="A340" s="275" t="str">
        <f>IF(ISBLANK(INDEX('Policy Characteristics'!A:A,MATCH($C340,'Policy Characteristics'!$C:$C,0))),"",INDEX('Policy Characteristics'!A:A,MATCH($C340,'Policy Characteristics'!$C:$C,0)))</f>
        <v>Electricity Supply</v>
      </c>
      <c r="B340" s="284" t="str">
        <f>IF(ISBLANK(INDEX('Policy Characteristics'!B:B,MATCH($C340,'Policy Characteristics'!$C:$C,0))),"",INDEX('Policy Characteristics'!B:B,MATCH($C340,'Policy Characteristics'!$C:$C,0)))</f>
        <v>Non BAU Capacity Retirement Schedule</v>
      </c>
      <c r="C340" s="275" t="str">
        <f t="shared" si="21"/>
        <v>Boolean Use Non BAU Capacity Retirement Schedule</v>
      </c>
      <c r="D340" s="6" t="s">
        <v>76</v>
      </c>
      <c r="E340" s="47"/>
      <c r="F340" s="6" t="s">
        <v>3531</v>
      </c>
      <c r="G340" s="47"/>
      <c r="H340" s="44">
        <v>862</v>
      </c>
      <c r="I340" s="346" t="s">
        <v>44</v>
      </c>
      <c r="J340" s="276" t="str">
        <f>IF(ISBLANK(INDEX('Policy Characteristics'!D:D,MATCH($C340,'Policy Characteristics'!$C:$C,0))),"",INDEX('Policy Characteristics'!D:D,MATCH($C340,'Policy Characteristics'!$C:$C,0)))</f>
        <v>Non BAU Capacity Retirement Schedule</v>
      </c>
      <c r="K340" s="275" t="str">
        <f>IF(ISBLANK(INDEX('Policy Characteristics'!E:E,MATCH($C340,'Policy Characteristics'!$C:$C,0))),"",INDEX('Policy Characteristics'!E:E,MATCH($C340,'Policy Characteristics'!$C:$C,0)))</f>
        <v/>
      </c>
      <c r="L340" s="275">
        <f>IF(ISBLANK(INDEX('Policy Characteristics'!F:F,MATCH($C340,'Policy Characteristics'!$C:$C,0))),"",INDEX('Policy Characteristics'!F:F,MATCH($C340,'Policy Characteristics'!$C:$C,0)))</f>
        <v>0</v>
      </c>
      <c r="M340" s="275">
        <f>IF(ISBLANK(INDEX('Policy Characteristics'!G:G,MATCH($C340,'Policy Characteristics'!$C:$C,0))),"",INDEX('Policy Characteristics'!G:G,MATCH($C340,'Policy Characteristics'!$C:$C,0)))</f>
        <v>1</v>
      </c>
      <c r="N340" s="275">
        <f>IF(ISBLANK(INDEX('Policy Characteristics'!H:H,MATCH($C340,'Policy Characteristics'!$C:$C,0))),"",INDEX('Policy Characteristics'!H:H,MATCH($C340,'Policy Characteristics'!$C:$C,0)))</f>
        <v>1</v>
      </c>
      <c r="O340" s="275" t="str">
        <f>IF(ISBLANK(INDEX('Policy Characteristics'!I:I,MATCH($C340,'Policy Characteristics'!$C:$C,0))),"",INDEX('Policy Characteristics'!I:I,MATCH($C340,'Policy Characteristics'!$C:$C,0)))</f>
        <v>on/off</v>
      </c>
      <c r="P340" s="275" t="str">
        <f>IF(ISBLANK(INDEX('Policy Characteristics'!J:J,MATCH($C340,'Policy Characteristics'!$C:$C,0))),"",INDEX('Policy Characteristics'!J:J,MATCH($C340,'Policy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0" s="275" t="str">
        <f>IF(ISBLANK(INDEX('Policy Characteristics'!K:K,MATCH($C340,'Policy Characteristics'!$C:$C,0))),"",INDEX('Policy Characteristics'!K:K,MATCH($C340,'Policy Characteristics'!$C:$C,0)))</f>
        <v/>
      </c>
      <c r="R340" s="275" t="str">
        <f>IF(ISBLANK(INDEX('Policy Characteristics'!L:L,MATCH($C340,'Policy Characteristics'!$C:$C,0))),"",INDEX('Policy Characteristics'!L:L,MATCH($C340,'Policy Characteristics'!$C:$C,0)))</f>
        <v/>
      </c>
    </row>
    <row r="341" spans="1:18" x14ac:dyDescent="0.25">
      <c r="A341" s="275" t="str">
        <f>IF(ISBLANK(INDEX('Policy Characteristics'!A:A,MATCH($C341,'Policy Characteristics'!$C:$C,0))),"",INDEX('Policy Characteristics'!A:A,MATCH($C341,'Policy Characteristics'!$C:$C,0)))</f>
        <v>Electricity Supply</v>
      </c>
      <c r="B341" s="284" t="str">
        <f>IF(ISBLANK(INDEX('Policy Characteristics'!B:B,MATCH($C341,'Policy Characteristics'!$C:$C,0))),"",INDEX('Policy Characteristics'!B:B,MATCH($C341,'Policy Characteristics'!$C:$C,0)))</f>
        <v>Non BAU Capacity Retirement Schedule</v>
      </c>
      <c r="C341" s="275" t="str">
        <f t="shared" si="21"/>
        <v>Boolean Use Non BAU Capacity Retirement Schedule</v>
      </c>
      <c r="D341" s="6" t="s">
        <v>77</v>
      </c>
      <c r="E341" s="47"/>
      <c r="F341" s="6" t="s">
        <v>89</v>
      </c>
      <c r="G341" s="47"/>
      <c r="H341" s="44">
        <v>863</v>
      </c>
      <c r="I341" s="346" t="s">
        <v>44</v>
      </c>
      <c r="J341" s="276" t="str">
        <f>IF(ISBLANK(INDEX('Policy Characteristics'!D:D,MATCH($C341,'Policy Characteristics'!$C:$C,0))),"",INDEX('Policy Characteristics'!D:D,MATCH($C341,'Policy Characteristics'!$C:$C,0)))</f>
        <v>Non BAU Capacity Retirement Schedule</v>
      </c>
      <c r="K341" s="275" t="str">
        <f>IF(ISBLANK(INDEX('Policy Characteristics'!E:E,MATCH($C341,'Policy Characteristics'!$C:$C,0))),"",INDEX('Policy Characteristics'!E:E,MATCH($C341,'Policy Characteristics'!$C:$C,0)))</f>
        <v/>
      </c>
      <c r="L341" s="275">
        <f>IF(ISBLANK(INDEX('Policy Characteristics'!F:F,MATCH($C341,'Policy Characteristics'!$C:$C,0))),"",INDEX('Policy Characteristics'!F:F,MATCH($C341,'Policy Characteristics'!$C:$C,0)))</f>
        <v>0</v>
      </c>
      <c r="M341" s="275">
        <f>IF(ISBLANK(INDEX('Policy Characteristics'!G:G,MATCH($C341,'Policy Characteristics'!$C:$C,0))),"",INDEX('Policy Characteristics'!G:G,MATCH($C341,'Policy Characteristics'!$C:$C,0)))</f>
        <v>1</v>
      </c>
      <c r="N341" s="275">
        <f>IF(ISBLANK(INDEX('Policy Characteristics'!H:H,MATCH($C341,'Policy Characteristics'!$C:$C,0))),"",INDEX('Policy Characteristics'!H:H,MATCH($C341,'Policy Characteristics'!$C:$C,0)))</f>
        <v>1</v>
      </c>
      <c r="O341" s="275" t="str">
        <f>IF(ISBLANK(INDEX('Policy Characteristics'!I:I,MATCH($C341,'Policy Characteristics'!$C:$C,0))),"",INDEX('Policy Characteristics'!I:I,MATCH($C341,'Policy Characteristics'!$C:$C,0)))</f>
        <v>on/off</v>
      </c>
      <c r="P341" s="275" t="str">
        <f>IF(ISBLANK(INDEX('Policy Characteristics'!J:J,MATCH($C341,'Policy Characteristics'!$C:$C,0))),"",INDEX('Policy Characteristics'!J:J,MATCH($C341,'Policy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1" s="275" t="str">
        <f>IF(ISBLANK(INDEX('Policy Characteristics'!K:K,MATCH($C341,'Policy Characteristics'!$C:$C,0))),"",INDEX('Policy Characteristics'!K:K,MATCH($C341,'Policy Characteristics'!$C:$C,0)))</f>
        <v/>
      </c>
      <c r="R341" s="275" t="str">
        <f>IF(ISBLANK(INDEX('Policy Characteristics'!L:L,MATCH($C341,'Policy Characteristics'!$C:$C,0))),"",INDEX('Policy Characteristics'!L:L,MATCH($C341,'Policy Characteristics'!$C:$C,0)))</f>
        <v/>
      </c>
    </row>
    <row r="342" spans="1:18" x14ac:dyDescent="0.25">
      <c r="A342" s="275" t="str">
        <f>IF(ISBLANK(INDEX('Policy Characteristics'!A:A,MATCH($C342,'Policy Characteristics'!$C:$C,0))),"",INDEX('Policy Characteristics'!A:A,MATCH($C342,'Policy Characteristics'!$C:$C,0)))</f>
        <v>Electricity Supply</v>
      </c>
      <c r="B342" s="284" t="str">
        <f>IF(ISBLANK(INDEX('Policy Characteristics'!B:B,MATCH($C342,'Policy Characteristics'!$C:$C,0))),"",INDEX('Policy Characteristics'!B:B,MATCH($C342,'Policy Characteristics'!$C:$C,0)))</f>
        <v>Non BAU Capacity Retirement Schedule</v>
      </c>
      <c r="C342" s="275" t="str">
        <f t="shared" si="21"/>
        <v>Boolean Use Non BAU Capacity Retirement Schedule</v>
      </c>
      <c r="D342" s="6" t="s">
        <v>449</v>
      </c>
      <c r="E342" s="47"/>
      <c r="F342" s="6" t="s">
        <v>452</v>
      </c>
      <c r="G342" s="47"/>
      <c r="H342" s="44">
        <v>864</v>
      </c>
      <c r="I342" s="346" t="s">
        <v>44</v>
      </c>
      <c r="J342" s="276" t="str">
        <f>IF(ISBLANK(INDEX('Policy Characteristics'!D:D,MATCH($C342,'Policy Characteristics'!$C:$C,0))),"",INDEX('Policy Characteristics'!D:D,MATCH($C342,'Policy Characteristics'!$C:$C,0)))</f>
        <v>Non BAU Capacity Retirement Schedule</v>
      </c>
      <c r="K342" s="275" t="str">
        <f>IF(ISBLANK(INDEX('Policy Characteristics'!E:E,MATCH($C342,'Policy Characteristics'!$C:$C,0))),"",INDEX('Policy Characteristics'!E:E,MATCH($C342,'Policy Characteristics'!$C:$C,0)))</f>
        <v/>
      </c>
      <c r="L342" s="275">
        <f>IF(ISBLANK(INDEX('Policy Characteristics'!F:F,MATCH($C342,'Policy Characteristics'!$C:$C,0))),"",INDEX('Policy Characteristics'!F:F,MATCH($C342,'Policy Characteristics'!$C:$C,0)))</f>
        <v>0</v>
      </c>
      <c r="M342" s="275">
        <f>IF(ISBLANK(INDEX('Policy Characteristics'!G:G,MATCH($C342,'Policy Characteristics'!$C:$C,0))),"",INDEX('Policy Characteristics'!G:G,MATCH($C342,'Policy Characteristics'!$C:$C,0)))</f>
        <v>1</v>
      </c>
      <c r="N342" s="275">
        <f>IF(ISBLANK(INDEX('Policy Characteristics'!H:H,MATCH($C342,'Policy Characteristics'!$C:$C,0))),"",INDEX('Policy Characteristics'!H:H,MATCH($C342,'Policy Characteristics'!$C:$C,0)))</f>
        <v>1</v>
      </c>
      <c r="O342" s="275" t="str">
        <f>IF(ISBLANK(INDEX('Policy Characteristics'!I:I,MATCH($C342,'Policy Characteristics'!$C:$C,0))),"",INDEX('Policy Characteristics'!I:I,MATCH($C342,'Policy Characteristics'!$C:$C,0)))</f>
        <v>on/off</v>
      </c>
      <c r="P342" s="275" t="str">
        <f>IF(ISBLANK(INDEX('Policy Characteristics'!J:J,MATCH($C342,'Policy Characteristics'!$C:$C,0))),"",INDEX('Policy Characteristics'!J:J,MATCH($C342,'Policy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2" s="275" t="str">
        <f>IF(ISBLANK(INDEX('Policy Characteristics'!K:K,MATCH($C342,'Policy Characteristics'!$C:$C,0))),"",INDEX('Policy Characteristics'!K:K,MATCH($C342,'Policy Characteristics'!$C:$C,0)))</f>
        <v/>
      </c>
      <c r="R342" s="275" t="str">
        <f>IF(ISBLANK(INDEX('Policy Characteristics'!L:L,MATCH($C342,'Policy Characteristics'!$C:$C,0))),"",INDEX('Policy Characteristics'!L:L,MATCH($C342,'Policy Characteristics'!$C:$C,0)))</f>
        <v/>
      </c>
    </row>
    <row r="343" spans="1:18" x14ac:dyDescent="0.25">
      <c r="A343" s="275" t="str">
        <f>IF(ISBLANK(INDEX('Policy Characteristics'!A:A,MATCH($C343,'Policy Characteristics'!$C:$C,0))),"",INDEX('Policy Characteristics'!A:A,MATCH($C343,'Policy Characteristics'!$C:$C,0)))</f>
        <v>Electricity Supply</v>
      </c>
      <c r="B343" s="284" t="str">
        <f>IF(ISBLANK(INDEX('Policy Characteristics'!B:B,MATCH($C343,'Policy Characteristics'!$C:$C,0))),"",INDEX('Policy Characteristics'!B:B,MATCH($C343,'Policy Characteristics'!$C:$C,0)))</f>
        <v>Non BAU Capacity Retirement Schedule</v>
      </c>
      <c r="C343" s="275" t="str">
        <f t="shared" si="21"/>
        <v>Boolean Use Non BAU Capacity Retirement Schedule</v>
      </c>
      <c r="D343" s="6" t="s">
        <v>78</v>
      </c>
      <c r="E343" s="47"/>
      <c r="F343" s="6" t="s">
        <v>90</v>
      </c>
      <c r="G343" s="47"/>
      <c r="H343" s="44">
        <v>865</v>
      </c>
      <c r="I343" s="346" t="s">
        <v>44</v>
      </c>
      <c r="J343" s="276" t="str">
        <f>IF(ISBLANK(INDEX('Policy Characteristics'!D:D,MATCH($C343,'Policy Characteristics'!$C:$C,0))),"",INDEX('Policy Characteristics'!D:D,MATCH($C343,'Policy Characteristics'!$C:$C,0)))</f>
        <v>Non BAU Capacity Retirement Schedule</v>
      </c>
      <c r="K343" s="275" t="str">
        <f>IF(ISBLANK(INDEX('Policy Characteristics'!E:E,MATCH($C343,'Policy Characteristics'!$C:$C,0))),"",INDEX('Policy Characteristics'!E:E,MATCH($C343,'Policy Characteristics'!$C:$C,0)))</f>
        <v/>
      </c>
      <c r="L343" s="275">
        <f>IF(ISBLANK(INDEX('Policy Characteristics'!F:F,MATCH($C343,'Policy Characteristics'!$C:$C,0))),"",INDEX('Policy Characteristics'!F:F,MATCH($C343,'Policy Characteristics'!$C:$C,0)))</f>
        <v>0</v>
      </c>
      <c r="M343" s="275">
        <f>IF(ISBLANK(INDEX('Policy Characteristics'!G:G,MATCH($C343,'Policy Characteristics'!$C:$C,0))),"",INDEX('Policy Characteristics'!G:G,MATCH($C343,'Policy Characteristics'!$C:$C,0)))</f>
        <v>1</v>
      </c>
      <c r="N343" s="275">
        <f>IF(ISBLANK(INDEX('Policy Characteristics'!H:H,MATCH($C343,'Policy Characteristics'!$C:$C,0))),"",INDEX('Policy Characteristics'!H:H,MATCH($C343,'Policy Characteristics'!$C:$C,0)))</f>
        <v>1</v>
      </c>
      <c r="O343" s="275" t="str">
        <f>IF(ISBLANK(INDEX('Policy Characteristics'!I:I,MATCH($C343,'Policy Characteristics'!$C:$C,0))),"",INDEX('Policy Characteristics'!I:I,MATCH($C343,'Policy Characteristics'!$C:$C,0)))</f>
        <v>on/off</v>
      </c>
      <c r="P343" s="275" t="str">
        <f>IF(ISBLANK(INDEX('Policy Characteristics'!J:J,MATCH($C343,'Policy Characteristics'!$C:$C,0))),"",INDEX('Policy Characteristics'!J:J,MATCH($C343,'Policy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3" s="275" t="str">
        <f>IF(ISBLANK(INDEX('Policy Characteristics'!K:K,MATCH($C343,'Policy Characteristics'!$C:$C,0))),"",INDEX('Policy Characteristics'!K:K,MATCH($C343,'Policy Characteristics'!$C:$C,0)))</f>
        <v/>
      </c>
      <c r="R343" s="275" t="str">
        <f>IF(ISBLANK(INDEX('Policy Characteristics'!L:L,MATCH($C343,'Policy Characteristics'!$C:$C,0))),"",INDEX('Policy Characteristics'!L:L,MATCH($C343,'Policy Characteristics'!$C:$C,0)))</f>
        <v/>
      </c>
    </row>
    <row r="344" spans="1:18" x14ac:dyDescent="0.25">
      <c r="A344" s="275" t="str">
        <f>IF(ISBLANK(INDEX('Policy Characteristics'!A:A,MATCH($C344,'Policy Characteristics'!$C:$C,0))),"",INDEX('Policy Characteristics'!A:A,MATCH($C344,'Policy Characteristics'!$C:$C,0)))</f>
        <v>Electricity Supply</v>
      </c>
      <c r="B344" s="284" t="str">
        <f>IF(ISBLANK(INDEX('Policy Characteristics'!B:B,MATCH($C344,'Policy Characteristics'!$C:$C,0))),"",INDEX('Policy Characteristics'!B:B,MATCH($C344,'Policy Characteristics'!$C:$C,0)))</f>
        <v>Non BAU Capacity Retirement Schedule</v>
      </c>
      <c r="C344" s="275" t="str">
        <f t="shared" si="21"/>
        <v>Boolean Use Non BAU Capacity Retirement Schedule</v>
      </c>
      <c r="D344" s="6" t="s">
        <v>79</v>
      </c>
      <c r="E344" s="47"/>
      <c r="F344" s="6" t="s">
        <v>91</v>
      </c>
      <c r="G344" s="47"/>
      <c r="H344" s="44">
        <v>866</v>
      </c>
      <c r="I344" s="346" t="s">
        <v>44</v>
      </c>
      <c r="J344" s="276" t="str">
        <f>IF(ISBLANK(INDEX('Policy Characteristics'!D:D,MATCH($C344,'Policy Characteristics'!$C:$C,0))),"",INDEX('Policy Characteristics'!D:D,MATCH($C344,'Policy Characteristics'!$C:$C,0)))</f>
        <v>Non BAU Capacity Retirement Schedule</v>
      </c>
      <c r="K344" s="275" t="str">
        <f>IF(ISBLANK(INDEX('Policy Characteristics'!E:E,MATCH($C344,'Policy Characteristics'!$C:$C,0))),"",INDEX('Policy Characteristics'!E:E,MATCH($C344,'Policy Characteristics'!$C:$C,0)))</f>
        <v/>
      </c>
      <c r="L344" s="275">
        <f>IF(ISBLANK(INDEX('Policy Characteristics'!F:F,MATCH($C344,'Policy Characteristics'!$C:$C,0))),"",INDEX('Policy Characteristics'!F:F,MATCH($C344,'Policy Characteristics'!$C:$C,0)))</f>
        <v>0</v>
      </c>
      <c r="M344" s="275">
        <f>IF(ISBLANK(INDEX('Policy Characteristics'!G:G,MATCH($C344,'Policy Characteristics'!$C:$C,0))),"",INDEX('Policy Characteristics'!G:G,MATCH($C344,'Policy Characteristics'!$C:$C,0)))</f>
        <v>1</v>
      </c>
      <c r="N344" s="275">
        <f>IF(ISBLANK(INDEX('Policy Characteristics'!H:H,MATCH($C344,'Policy Characteristics'!$C:$C,0))),"",INDEX('Policy Characteristics'!H:H,MATCH($C344,'Policy Characteristics'!$C:$C,0)))</f>
        <v>1</v>
      </c>
      <c r="O344" s="275" t="str">
        <f>IF(ISBLANK(INDEX('Policy Characteristics'!I:I,MATCH($C344,'Policy Characteristics'!$C:$C,0))),"",INDEX('Policy Characteristics'!I:I,MATCH($C344,'Policy Characteristics'!$C:$C,0)))</f>
        <v>on/off</v>
      </c>
      <c r="P344" s="275" t="str">
        <f>IF(ISBLANK(INDEX('Policy Characteristics'!J:J,MATCH($C344,'Policy Characteristics'!$C:$C,0))),"",INDEX('Policy Characteristics'!J:J,MATCH($C344,'Policy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4" s="275" t="str">
        <f>IF(ISBLANK(INDEX('Policy Characteristics'!K:K,MATCH($C344,'Policy Characteristics'!$C:$C,0))),"",INDEX('Policy Characteristics'!K:K,MATCH($C344,'Policy Characteristics'!$C:$C,0)))</f>
        <v/>
      </c>
      <c r="R344" s="275" t="str">
        <f>IF(ISBLANK(INDEX('Policy Characteristics'!L:L,MATCH($C344,'Policy Characteristics'!$C:$C,0))),"",INDEX('Policy Characteristics'!L:L,MATCH($C344,'Policy Characteristics'!$C:$C,0)))</f>
        <v/>
      </c>
    </row>
    <row r="345" spans="1:18" x14ac:dyDescent="0.25">
      <c r="A345" s="275" t="str">
        <f>IF(ISBLANK(INDEX('Policy Characteristics'!A:A,MATCH($C345,'Policy Characteristics'!$C:$C,0))),"",INDEX('Policy Characteristics'!A:A,MATCH($C345,'Policy Characteristics'!$C:$C,0)))</f>
        <v>Electricity Supply</v>
      </c>
      <c r="B345" s="284" t="str">
        <f>IF(ISBLANK(INDEX('Policy Characteristics'!B:B,MATCH($C345,'Policy Characteristics'!$C:$C,0))),"",INDEX('Policy Characteristics'!B:B,MATCH($C345,'Policy Characteristics'!$C:$C,0)))</f>
        <v>Non BAU Capacity Retirement Schedule</v>
      </c>
      <c r="C345" s="275" t="str">
        <f t="shared" si="21"/>
        <v>Boolean Use Non BAU Capacity Retirement Schedule</v>
      </c>
      <c r="D345" s="6" t="s">
        <v>80</v>
      </c>
      <c r="E345" s="47"/>
      <c r="F345" s="6" t="s">
        <v>92</v>
      </c>
      <c r="G345" s="47"/>
      <c r="H345" s="44">
        <v>867</v>
      </c>
      <c r="I345" s="346" t="s">
        <v>44</v>
      </c>
      <c r="J345" s="276" t="str">
        <f>IF(ISBLANK(INDEX('Policy Characteristics'!D:D,MATCH($C345,'Policy Characteristics'!$C:$C,0))),"",INDEX('Policy Characteristics'!D:D,MATCH($C345,'Policy Characteristics'!$C:$C,0)))</f>
        <v>Non BAU Capacity Retirement Schedule</v>
      </c>
      <c r="K345" s="275" t="str">
        <f>IF(ISBLANK(INDEX('Policy Characteristics'!E:E,MATCH($C345,'Policy Characteristics'!$C:$C,0))),"",INDEX('Policy Characteristics'!E:E,MATCH($C345,'Policy Characteristics'!$C:$C,0)))</f>
        <v/>
      </c>
      <c r="L345" s="275">
        <f>IF(ISBLANK(INDEX('Policy Characteristics'!F:F,MATCH($C345,'Policy Characteristics'!$C:$C,0))),"",INDEX('Policy Characteristics'!F:F,MATCH($C345,'Policy Characteristics'!$C:$C,0)))</f>
        <v>0</v>
      </c>
      <c r="M345" s="275">
        <f>IF(ISBLANK(INDEX('Policy Characteristics'!G:G,MATCH($C345,'Policy Characteristics'!$C:$C,0))),"",INDEX('Policy Characteristics'!G:G,MATCH($C345,'Policy Characteristics'!$C:$C,0)))</f>
        <v>1</v>
      </c>
      <c r="N345" s="275">
        <f>IF(ISBLANK(INDEX('Policy Characteristics'!H:H,MATCH($C345,'Policy Characteristics'!$C:$C,0))),"",INDEX('Policy Characteristics'!H:H,MATCH($C345,'Policy Characteristics'!$C:$C,0)))</f>
        <v>1</v>
      </c>
      <c r="O345" s="275" t="str">
        <f>IF(ISBLANK(INDEX('Policy Characteristics'!I:I,MATCH($C345,'Policy Characteristics'!$C:$C,0))),"",INDEX('Policy Characteristics'!I:I,MATCH($C345,'Policy Characteristics'!$C:$C,0)))</f>
        <v>on/off</v>
      </c>
      <c r="P345" s="275" t="str">
        <f>IF(ISBLANK(INDEX('Policy Characteristics'!J:J,MATCH($C345,'Policy Characteristics'!$C:$C,0))),"",INDEX('Policy Characteristics'!J:J,MATCH($C345,'Policy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5" s="275" t="str">
        <f>IF(ISBLANK(INDEX('Policy Characteristics'!K:K,MATCH($C345,'Policy Characteristics'!$C:$C,0))),"",INDEX('Policy Characteristics'!K:K,MATCH($C345,'Policy Characteristics'!$C:$C,0)))</f>
        <v/>
      </c>
      <c r="R345" s="275" t="str">
        <f>IF(ISBLANK(INDEX('Policy Characteristics'!L:L,MATCH($C345,'Policy Characteristics'!$C:$C,0))),"",INDEX('Policy Characteristics'!L:L,MATCH($C345,'Policy Characteristics'!$C:$C,0)))</f>
        <v/>
      </c>
    </row>
    <row r="346" spans="1:18" x14ac:dyDescent="0.25">
      <c r="A346" s="275" t="str">
        <f>IF(ISBLANK(INDEX('Policy Characteristics'!A:A,MATCH($C346,'Policy Characteristics'!$C:$C,0))),"",INDEX('Policy Characteristics'!A:A,MATCH($C346,'Policy Characteristics'!$C:$C,0)))</f>
        <v>Electricity Supply</v>
      </c>
      <c r="B346" s="284" t="str">
        <f>IF(ISBLANK(INDEX('Policy Characteristics'!B:B,MATCH($C346,'Policy Characteristics'!$C:$C,0))),"",INDEX('Policy Characteristics'!B:B,MATCH($C346,'Policy Characteristics'!$C:$C,0)))</f>
        <v>Non BAU Capacity Retirement Schedule</v>
      </c>
      <c r="C346" s="275" t="str">
        <f t="shared" si="21"/>
        <v>Boolean Use Non BAU Capacity Retirement Schedule</v>
      </c>
      <c r="D346" s="6" t="s">
        <v>2427</v>
      </c>
      <c r="E346" s="47"/>
      <c r="F346" s="6" t="s">
        <v>437</v>
      </c>
      <c r="G346" s="47"/>
      <c r="H346" s="44">
        <v>868</v>
      </c>
      <c r="I346" s="346" t="s">
        <v>44</v>
      </c>
      <c r="J346" s="276" t="str">
        <f>IF(ISBLANK(INDEX('Policy Characteristics'!D:D,MATCH($C346,'Policy Characteristics'!$C:$C,0))),"",INDEX('Policy Characteristics'!D:D,MATCH($C346,'Policy Characteristics'!$C:$C,0)))</f>
        <v>Non BAU Capacity Retirement Schedule</v>
      </c>
      <c r="K346" s="275" t="str">
        <f>IF(ISBLANK(INDEX('Policy Characteristics'!E:E,MATCH($C346,'Policy Characteristics'!$C:$C,0))),"",INDEX('Policy Characteristics'!E:E,MATCH($C346,'Policy Characteristics'!$C:$C,0)))</f>
        <v/>
      </c>
      <c r="L346" s="275">
        <f>IF(ISBLANK(INDEX('Policy Characteristics'!F:F,MATCH($C346,'Policy Characteristics'!$C:$C,0))),"",INDEX('Policy Characteristics'!F:F,MATCH($C346,'Policy Characteristics'!$C:$C,0)))</f>
        <v>0</v>
      </c>
      <c r="M346" s="275">
        <f>IF(ISBLANK(INDEX('Policy Characteristics'!G:G,MATCH($C346,'Policy Characteristics'!$C:$C,0))),"",INDEX('Policy Characteristics'!G:G,MATCH($C346,'Policy Characteristics'!$C:$C,0)))</f>
        <v>1</v>
      </c>
      <c r="N346" s="275">
        <f>IF(ISBLANK(INDEX('Policy Characteristics'!H:H,MATCH($C346,'Policy Characteristics'!$C:$C,0))),"",INDEX('Policy Characteristics'!H:H,MATCH($C346,'Policy Characteristics'!$C:$C,0)))</f>
        <v>1</v>
      </c>
      <c r="O346" s="275" t="str">
        <f>IF(ISBLANK(INDEX('Policy Characteristics'!I:I,MATCH($C346,'Policy Characteristics'!$C:$C,0))),"",INDEX('Policy Characteristics'!I:I,MATCH($C346,'Policy Characteristics'!$C:$C,0)))</f>
        <v>on/off</v>
      </c>
      <c r="P346" s="275" t="str">
        <f>IF(ISBLANK(INDEX('Policy Characteristics'!J:J,MATCH($C346,'Policy Characteristics'!$C:$C,0))),"",INDEX('Policy Characteristics'!J:J,MATCH($C346,'Policy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6" s="275" t="str">
        <f>IF(ISBLANK(INDEX('Policy Characteristics'!K:K,MATCH($C346,'Policy Characteristics'!$C:$C,0))),"",INDEX('Policy Characteristics'!K:K,MATCH($C346,'Policy Characteristics'!$C:$C,0)))</f>
        <v/>
      </c>
      <c r="R346" s="275" t="str">
        <f>IF(ISBLANK(INDEX('Policy Characteristics'!L:L,MATCH($C346,'Policy Characteristics'!$C:$C,0))),"",INDEX('Policy Characteristics'!L:L,MATCH($C346,'Policy Characteristics'!$C:$C,0)))</f>
        <v/>
      </c>
    </row>
    <row r="347" spans="1:18" x14ac:dyDescent="0.25">
      <c r="A347" s="275" t="str">
        <f>IF(ISBLANK(INDEX('Policy Characteristics'!A:A,MATCH($C347,'Policy Characteristics'!$C:$C,0))),"",INDEX('Policy Characteristics'!A:A,MATCH($C347,'Policy Characteristics'!$C:$C,0)))</f>
        <v>Electricity Supply</v>
      </c>
      <c r="B347" s="284" t="str">
        <f>IF(ISBLANK(INDEX('Policy Characteristics'!B:B,MATCH($C347,'Policy Characteristics'!$C:$C,0))),"",INDEX('Policy Characteristics'!B:B,MATCH($C347,'Policy Characteristics'!$C:$C,0)))</f>
        <v>Non BAU Capacity Retirement Schedule</v>
      </c>
      <c r="C347" s="275" t="str">
        <f t="shared" si="21"/>
        <v>Boolean Use Non BAU Capacity Retirement Schedule</v>
      </c>
      <c r="D347" s="6" t="s">
        <v>309</v>
      </c>
      <c r="E347" s="47"/>
      <c r="F347" s="6" t="s">
        <v>311</v>
      </c>
      <c r="G347" s="47"/>
      <c r="H347" s="44">
        <v>869</v>
      </c>
      <c r="I347" s="346" t="s">
        <v>44</v>
      </c>
      <c r="J347" s="276" t="str">
        <f>IF(ISBLANK(INDEX('Policy Characteristics'!D:D,MATCH($C347,'Policy Characteristics'!$C:$C,0))),"",INDEX('Policy Characteristics'!D:D,MATCH($C347,'Policy Characteristics'!$C:$C,0)))</f>
        <v>Non BAU Capacity Retirement Schedule</v>
      </c>
      <c r="K347" s="275" t="str">
        <f>IF(ISBLANK(INDEX('Policy Characteristics'!E:E,MATCH($C347,'Policy Characteristics'!$C:$C,0))),"",INDEX('Policy Characteristics'!E:E,MATCH($C347,'Policy Characteristics'!$C:$C,0)))</f>
        <v/>
      </c>
      <c r="L347" s="275">
        <f>IF(ISBLANK(INDEX('Policy Characteristics'!F:F,MATCH($C347,'Policy Characteristics'!$C:$C,0))),"",INDEX('Policy Characteristics'!F:F,MATCH($C347,'Policy Characteristics'!$C:$C,0)))</f>
        <v>0</v>
      </c>
      <c r="M347" s="275">
        <f>IF(ISBLANK(INDEX('Policy Characteristics'!G:G,MATCH($C347,'Policy Characteristics'!$C:$C,0))),"",INDEX('Policy Characteristics'!G:G,MATCH($C347,'Policy Characteristics'!$C:$C,0)))</f>
        <v>1</v>
      </c>
      <c r="N347" s="275">
        <f>IF(ISBLANK(INDEX('Policy Characteristics'!H:H,MATCH($C347,'Policy Characteristics'!$C:$C,0))),"",INDEX('Policy Characteristics'!H:H,MATCH($C347,'Policy Characteristics'!$C:$C,0)))</f>
        <v>1</v>
      </c>
      <c r="O347" s="275" t="str">
        <f>IF(ISBLANK(INDEX('Policy Characteristics'!I:I,MATCH($C347,'Policy Characteristics'!$C:$C,0))),"",INDEX('Policy Characteristics'!I:I,MATCH($C347,'Policy Characteristics'!$C:$C,0)))</f>
        <v>on/off</v>
      </c>
      <c r="P347" s="275" t="str">
        <f>IF(ISBLANK(INDEX('Policy Characteristics'!J:J,MATCH($C347,'Policy Characteristics'!$C:$C,0))),"",INDEX('Policy Characteristics'!J:J,MATCH($C347,'Policy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7" s="275" t="str">
        <f>IF(ISBLANK(INDEX('Policy Characteristics'!K:K,MATCH($C347,'Policy Characteristics'!$C:$C,0))),"",INDEX('Policy Characteristics'!K:K,MATCH($C347,'Policy Characteristics'!$C:$C,0)))</f>
        <v/>
      </c>
      <c r="R347" s="275" t="str">
        <f>IF(ISBLANK(INDEX('Policy Characteristics'!L:L,MATCH($C347,'Policy Characteristics'!$C:$C,0))),"",INDEX('Policy Characteristics'!L:L,MATCH($C347,'Policy Characteristics'!$C:$C,0)))</f>
        <v/>
      </c>
    </row>
    <row r="348" spans="1:18" x14ac:dyDescent="0.25">
      <c r="A348" s="275" t="str">
        <f>IF(ISBLANK(INDEX('Policy Characteristics'!A:A,MATCH($C348,'Policy Characteristics'!$C:$C,0))),"",INDEX('Policy Characteristics'!A:A,MATCH($C348,'Policy Characteristics'!$C:$C,0)))</f>
        <v>Electricity Supply</v>
      </c>
      <c r="B348" s="284" t="str">
        <f>IF(ISBLANK(INDEX('Policy Characteristics'!B:B,MATCH($C348,'Policy Characteristics'!$C:$C,0))),"",INDEX('Policy Characteristics'!B:B,MATCH($C348,'Policy Characteristics'!$C:$C,0)))</f>
        <v>Non BAU Capacity Retirement Schedule</v>
      </c>
      <c r="C348" s="275" t="str">
        <f t="shared" si="21"/>
        <v>Boolean Use Non BAU Capacity Retirement Schedule</v>
      </c>
      <c r="D348" s="6" t="s">
        <v>310</v>
      </c>
      <c r="E348" s="47"/>
      <c r="F348" s="6" t="s">
        <v>312</v>
      </c>
      <c r="G348" s="47"/>
      <c r="H348" s="44">
        <v>870</v>
      </c>
      <c r="I348" s="346" t="s">
        <v>44</v>
      </c>
      <c r="J348" s="276" t="str">
        <f>IF(ISBLANK(INDEX('Policy Characteristics'!D:D,MATCH($C348,'Policy Characteristics'!$C:$C,0))),"",INDEX('Policy Characteristics'!D:D,MATCH($C348,'Policy Characteristics'!$C:$C,0)))</f>
        <v>Non BAU Capacity Retirement Schedule</v>
      </c>
      <c r="K348" s="275" t="str">
        <f>IF(ISBLANK(INDEX('Policy Characteristics'!E:E,MATCH($C348,'Policy Characteristics'!$C:$C,0))),"",INDEX('Policy Characteristics'!E:E,MATCH($C348,'Policy Characteristics'!$C:$C,0)))</f>
        <v/>
      </c>
      <c r="L348" s="275">
        <f>IF(ISBLANK(INDEX('Policy Characteristics'!F:F,MATCH($C348,'Policy Characteristics'!$C:$C,0))),"",INDEX('Policy Characteristics'!F:F,MATCH($C348,'Policy Characteristics'!$C:$C,0)))</f>
        <v>0</v>
      </c>
      <c r="M348" s="275">
        <f>IF(ISBLANK(INDEX('Policy Characteristics'!G:G,MATCH($C348,'Policy Characteristics'!$C:$C,0))),"",INDEX('Policy Characteristics'!G:G,MATCH($C348,'Policy Characteristics'!$C:$C,0)))</f>
        <v>1</v>
      </c>
      <c r="N348" s="275">
        <f>IF(ISBLANK(INDEX('Policy Characteristics'!H:H,MATCH($C348,'Policy Characteristics'!$C:$C,0))),"",INDEX('Policy Characteristics'!H:H,MATCH($C348,'Policy Characteristics'!$C:$C,0)))</f>
        <v>1</v>
      </c>
      <c r="O348" s="275" t="str">
        <f>IF(ISBLANK(INDEX('Policy Characteristics'!I:I,MATCH($C348,'Policy Characteristics'!$C:$C,0))),"",INDEX('Policy Characteristics'!I:I,MATCH($C348,'Policy Characteristics'!$C:$C,0)))</f>
        <v>on/off</v>
      </c>
      <c r="P348" s="275" t="str">
        <f>IF(ISBLANK(INDEX('Policy Characteristics'!J:J,MATCH($C348,'Policy Characteristics'!$C:$C,0))),"",INDEX('Policy Characteristics'!J:J,MATCH($C348,'Policy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8" s="275" t="str">
        <f>IF(ISBLANK(INDEX('Policy Characteristics'!K:K,MATCH($C348,'Policy Characteristics'!$C:$C,0))),"",INDEX('Policy Characteristics'!K:K,MATCH($C348,'Policy Characteristics'!$C:$C,0)))</f>
        <v/>
      </c>
      <c r="R348" s="275" t="str">
        <f>IF(ISBLANK(INDEX('Policy Characteristics'!L:L,MATCH($C348,'Policy Characteristics'!$C:$C,0))),"",INDEX('Policy Characteristics'!L:L,MATCH($C348,'Policy Characteristics'!$C:$C,0)))</f>
        <v/>
      </c>
    </row>
    <row r="349" spans="1:18" x14ac:dyDescent="0.25">
      <c r="A349" s="275" t="str">
        <f>IF(ISBLANK(INDEX('Policy Characteristics'!A:A,MATCH($C349,'Policy Characteristics'!$C:$C,0))),"",INDEX('Policy Characteristics'!A:A,MATCH($C349,'Policy Characteristics'!$C:$C,0)))</f>
        <v>Electricity Supply</v>
      </c>
      <c r="B349" s="284" t="str">
        <f>IF(ISBLANK(INDEX('Policy Characteristics'!B:B,MATCH($C349,'Policy Characteristics'!$C:$C,0))),"",INDEX('Policy Characteristics'!B:B,MATCH($C349,'Policy Characteristics'!$C:$C,0)))</f>
        <v>Non BAU Capacity Retirement Schedule</v>
      </c>
      <c r="C349" s="275" t="str">
        <f t="shared" si="21"/>
        <v>Boolean Use Non BAU Capacity Retirement Schedule</v>
      </c>
      <c r="D349" s="6" t="s">
        <v>445</v>
      </c>
      <c r="E349" s="47"/>
      <c r="F349" s="6" t="s">
        <v>444</v>
      </c>
      <c r="G349" s="47"/>
      <c r="H349" s="44">
        <v>871</v>
      </c>
      <c r="I349" s="346" t="s">
        <v>44</v>
      </c>
      <c r="J349" s="276" t="str">
        <f>IF(ISBLANK(INDEX('Policy Characteristics'!D:D,MATCH($C349,'Policy Characteristics'!$C:$C,0))),"",INDEX('Policy Characteristics'!D:D,MATCH($C349,'Policy Characteristics'!$C:$C,0)))</f>
        <v>Non BAU Capacity Retirement Schedule</v>
      </c>
      <c r="K349" s="275" t="str">
        <f>IF(ISBLANK(INDEX('Policy Characteristics'!E:E,MATCH($C349,'Policy Characteristics'!$C:$C,0))),"",INDEX('Policy Characteristics'!E:E,MATCH($C349,'Policy Characteristics'!$C:$C,0)))</f>
        <v/>
      </c>
      <c r="L349" s="275">
        <f>IF(ISBLANK(INDEX('Policy Characteristics'!F:F,MATCH($C349,'Policy Characteristics'!$C:$C,0))),"",INDEX('Policy Characteristics'!F:F,MATCH($C349,'Policy Characteristics'!$C:$C,0)))</f>
        <v>0</v>
      </c>
      <c r="M349" s="275">
        <f>IF(ISBLANK(INDEX('Policy Characteristics'!G:G,MATCH($C349,'Policy Characteristics'!$C:$C,0))),"",INDEX('Policy Characteristics'!G:G,MATCH($C349,'Policy Characteristics'!$C:$C,0)))</f>
        <v>1</v>
      </c>
      <c r="N349" s="275">
        <f>IF(ISBLANK(INDEX('Policy Characteristics'!H:H,MATCH($C349,'Policy Characteristics'!$C:$C,0))),"",INDEX('Policy Characteristics'!H:H,MATCH($C349,'Policy Characteristics'!$C:$C,0)))</f>
        <v>1</v>
      </c>
      <c r="O349" s="275" t="str">
        <f>IF(ISBLANK(INDEX('Policy Characteristics'!I:I,MATCH($C349,'Policy Characteristics'!$C:$C,0))),"",INDEX('Policy Characteristics'!I:I,MATCH($C349,'Policy Characteristics'!$C:$C,0)))</f>
        <v>on/off</v>
      </c>
      <c r="P349" s="275" t="str">
        <f>IF(ISBLANK(INDEX('Policy Characteristics'!J:J,MATCH($C349,'Policy Characteristics'!$C:$C,0))),"",INDEX('Policy Characteristics'!J:J,MATCH($C349,'Policy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9" s="275" t="str">
        <f>IF(ISBLANK(INDEX('Policy Characteristics'!K:K,MATCH($C349,'Policy Characteristics'!$C:$C,0))),"",INDEX('Policy Characteristics'!K:K,MATCH($C349,'Policy Characteristics'!$C:$C,0)))</f>
        <v/>
      </c>
      <c r="R349" s="275" t="str">
        <f>IF(ISBLANK(INDEX('Policy Characteristics'!L:L,MATCH($C349,'Policy Characteristics'!$C:$C,0))),"",INDEX('Policy Characteristics'!L:L,MATCH($C349,'Policy Characteristics'!$C:$C,0)))</f>
        <v/>
      </c>
    </row>
    <row r="350" spans="1:18" x14ac:dyDescent="0.25">
      <c r="A350" s="275" t="str">
        <f>IF(ISBLANK(INDEX('Policy Characteristics'!A:A,MATCH($C350,'Policy Characteristics'!$C:$C,0))),"",INDEX('Policy Characteristics'!A:A,MATCH($C350,'Policy Characteristics'!$C:$C,0)))</f>
        <v>Electricity Supply</v>
      </c>
      <c r="B350" s="284" t="str">
        <f>IF(ISBLANK(INDEX('Policy Characteristics'!B:B,MATCH($C350,'Policy Characteristics'!$C:$C,0))),"",INDEX('Policy Characteristics'!B:B,MATCH($C350,'Policy Characteristics'!$C:$C,0)))</f>
        <v>Non BAU Capacity Retirement Schedule</v>
      </c>
      <c r="C350" s="275" t="str">
        <f t="shared" si="21"/>
        <v>Boolean Use Non BAU Capacity Retirement Schedule</v>
      </c>
      <c r="D350" s="6" t="s">
        <v>454</v>
      </c>
      <c r="E350" s="47"/>
      <c r="F350" s="6" t="s">
        <v>455</v>
      </c>
      <c r="G350" s="47"/>
      <c r="H350" s="44">
        <v>872</v>
      </c>
      <c r="I350" s="346" t="s">
        <v>44</v>
      </c>
      <c r="J350" s="276" t="str">
        <f>IF(ISBLANK(INDEX('Policy Characteristics'!D:D,MATCH($C350,'Policy Characteristics'!$C:$C,0))),"",INDEX('Policy Characteristics'!D:D,MATCH($C350,'Policy Characteristics'!$C:$C,0)))</f>
        <v>Non BAU Capacity Retirement Schedule</v>
      </c>
      <c r="K350" s="275" t="str">
        <f>IF(ISBLANK(INDEX('Policy Characteristics'!E:E,MATCH($C350,'Policy Characteristics'!$C:$C,0))),"",INDEX('Policy Characteristics'!E:E,MATCH($C350,'Policy Characteristics'!$C:$C,0)))</f>
        <v/>
      </c>
      <c r="L350" s="275">
        <f>IF(ISBLANK(INDEX('Policy Characteristics'!F:F,MATCH($C350,'Policy Characteristics'!$C:$C,0))),"",INDEX('Policy Characteristics'!F:F,MATCH($C350,'Policy Characteristics'!$C:$C,0)))</f>
        <v>0</v>
      </c>
      <c r="M350" s="275">
        <f>IF(ISBLANK(INDEX('Policy Characteristics'!G:G,MATCH($C350,'Policy Characteristics'!$C:$C,0))),"",INDEX('Policy Characteristics'!G:G,MATCH($C350,'Policy Characteristics'!$C:$C,0)))</f>
        <v>1</v>
      </c>
      <c r="N350" s="275">
        <f>IF(ISBLANK(INDEX('Policy Characteristics'!H:H,MATCH($C350,'Policy Characteristics'!$C:$C,0))),"",INDEX('Policy Characteristics'!H:H,MATCH($C350,'Policy Characteristics'!$C:$C,0)))</f>
        <v>1</v>
      </c>
      <c r="O350" s="275" t="str">
        <f>IF(ISBLANK(INDEX('Policy Characteristics'!I:I,MATCH($C350,'Policy Characteristics'!$C:$C,0))),"",INDEX('Policy Characteristics'!I:I,MATCH($C350,'Policy Characteristics'!$C:$C,0)))</f>
        <v>on/off</v>
      </c>
      <c r="P350" s="275" t="str">
        <f>IF(ISBLANK(INDEX('Policy Characteristics'!J:J,MATCH($C350,'Policy Characteristics'!$C:$C,0))),"",INDEX('Policy Characteristics'!J:J,MATCH($C350,'Policy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0" s="275" t="str">
        <f>IF(ISBLANK(INDEX('Policy Characteristics'!K:K,MATCH($C350,'Policy Characteristics'!$C:$C,0))),"",INDEX('Policy Characteristics'!K:K,MATCH($C350,'Policy Characteristics'!$C:$C,0)))</f>
        <v/>
      </c>
      <c r="R350" s="275" t="str">
        <f>IF(ISBLANK(INDEX('Policy Characteristics'!L:L,MATCH($C350,'Policy Characteristics'!$C:$C,0))),"",INDEX('Policy Characteristics'!L:L,MATCH($C350,'Policy Characteristics'!$C:$C,0)))</f>
        <v/>
      </c>
    </row>
    <row r="351" spans="1:18" x14ac:dyDescent="0.25">
      <c r="A351" s="275" t="str">
        <f>IF(ISBLANK(INDEX('Policy Characteristics'!A:A,MATCH($C351,'Policy Characteristics'!$C:$C,0))),"",INDEX('Policy Characteristics'!A:A,MATCH($C351,'Policy Characteristics'!$C:$C,0)))</f>
        <v>Electricity Supply</v>
      </c>
      <c r="B351" s="284" t="str">
        <f>IF(ISBLANK(INDEX('Policy Characteristics'!B:B,MATCH($C351,'Policy Characteristics'!$C:$C,0))),"",INDEX('Policy Characteristics'!B:B,MATCH($C351,'Policy Characteristics'!$C:$C,0)))</f>
        <v>Non BAU Capacity Retirement Schedule</v>
      </c>
      <c r="C351" s="275" t="str">
        <f t="shared" si="21"/>
        <v>Boolean Use Non BAU Capacity Retirement Schedule</v>
      </c>
      <c r="D351" s="6" t="s">
        <v>2752</v>
      </c>
      <c r="E351" s="47"/>
      <c r="F351" s="6" t="s">
        <v>2471</v>
      </c>
      <c r="G351" s="47"/>
      <c r="H351" s="44">
        <v>873</v>
      </c>
      <c r="I351" s="346" t="s">
        <v>44</v>
      </c>
      <c r="J351" s="276" t="str">
        <f>IF(ISBLANK(INDEX('Policy Characteristics'!D:D,MATCH($C351,'Policy Characteristics'!$C:$C,0))),"",INDEX('Policy Characteristics'!D:D,MATCH($C351,'Policy Characteristics'!$C:$C,0)))</f>
        <v>Non BAU Capacity Retirement Schedule</v>
      </c>
      <c r="K351" s="275" t="str">
        <f>IF(ISBLANK(INDEX('Policy Characteristics'!E:E,MATCH($C351,'Policy Characteristics'!$C:$C,0))),"",INDEX('Policy Characteristics'!E:E,MATCH($C351,'Policy Characteristics'!$C:$C,0)))</f>
        <v/>
      </c>
      <c r="L351" s="275">
        <f>IF(ISBLANK(INDEX('Policy Characteristics'!F:F,MATCH($C351,'Policy Characteristics'!$C:$C,0))),"",INDEX('Policy Characteristics'!F:F,MATCH($C351,'Policy Characteristics'!$C:$C,0)))</f>
        <v>0</v>
      </c>
      <c r="M351" s="275">
        <f>IF(ISBLANK(INDEX('Policy Characteristics'!G:G,MATCH($C351,'Policy Characteristics'!$C:$C,0))),"",INDEX('Policy Characteristics'!G:G,MATCH($C351,'Policy Characteristics'!$C:$C,0)))</f>
        <v>1</v>
      </c>
      <c r="N351" s="275">
        <f>IF(ISBLANK(INDEX('Policy Characteristics'!H:H,MATCH($C351,'Policy Characteristics'!$C:$C,0))),"",INDEX('Policy Characteristics'!H:H,MATCH($C351,'Policy Characteristics'!$C:$C,0)))</f>
        <v>1</v>
      </c>
      <c r="O351" s="275" t="str">
        <f>IF(ISBLANK(INDEX('Policy Characteristics'!I:I,MATCH($C351,'Policy Characteristics'!$C:$C,0))),"",INDEX('Policy Characteristics'!I:I,MATCH($C351,'Policy Characteristics'!$C:$C,0)))</f>
        <v>on/off</v>
      </c>
      <c r="P351" s="275" t="str">
        <f>IF(ISBLANK(INDEX('Policy Characteristics'!J:J,MATCH($C351,'Policy Characteristics'!$C:$C,0))),"",INDEX('Policy Characteristics'!J:J,MATCH($C351,'Policy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1" s="275" t="str">
        <f>IF(ISBLANK(INDEX('Policy Characteristics'!K:K,MATCH($C351,'Policy Characteristics'!$C:$C,0))),"",INDEX('Policy Characteristics'!K:K,MATCH($C351,'Policy Characteristics'!$C:$C,0)))</f>
        <v/>
      </c>
      <c r="R351" s="275" t="str">
        <f>IF(ISBLANK(INDEX('Policy Characteristics'!L:L,MATCH($C351,'Policy Characteristics'!$C:$C,0))),"",INDEX('Policy Characteristics'!L:L,MATCH($C351,'Policy Characteristics'!$C:$C,0)))</f>
        <v/>
      </c>
    </row>
    <row r="352" spans="1:18" x14ac:dyDescent="0.25">
      <c r="A352" s="275" t="str">
        <f>IF(ISBLANK(INDEX('Policy Characteristics'!A:A,MATCH($C352,'Policy Characteristics'!$C:$C,0))),"",INDEX('Policy Characteristics'!A:A,MATCH($C352,'Policy Characteristics'!$C:$C,0)))</f>
        <v>Electricity Supply</v>
      </c>
      <c r="B352" s="284" t="str">
        <f>IF(ISBLANK(INDEX('Policy Characteristics'!B:B,MATCH($C352,'Policy Characteristics'!$C:$C,0))),"",INDEX('Policy Characteristics'!B:B,MATCH($C352,'Policy Characteristics'!$C:$C,0)))</f>
        <v>Non BAU Capacity Retirement Schedule</v>
      </c>
      <c r="C352" s="275" t="str">
        <f t="shared" si="21"/>
        <v>Boolean Use Non BAU Capacity Retirement Schedule</v>
      </c>
      <c r="D352" s="6" t="s">
        <v>2753</v>
      </c>
      <c r="E352" s="47"/>
      <c r="F352" s="6" t="s">
        <v>2595</v>
      </c>
      <c r="G352" s="47"/>
      <c r="H352" s="44">
        <v>874</v>
      </c>
      <c r="I352" s="346" t="s">
        <v>44</v>
      </c>
      <c r="J352" s="276" t="str">
        <f>IF(ISBLANK(INDEX('Policy Characteristics'!D:D,MATCH($C352,'Policy Characteristics'!$C:$C,0))),"",INDEX('Policy Characteristics'!D:D,MATCH($C352,'Policy Characteristics'!$C:$C,0)))</f>
        <v>Non BAU Capacity Retirement Schedule</v>
      </c>
      <c r="K352" s="275" t="str">
        <f>IF(ISBLANK(INDEX('Policy Characteristics'!E:E,MATCH($C352,'Policy Characteristics'!$C:$C,0))),"",INDEX('Policy Characteristics'!E:E,MATCH($C352,'Policy Characteristics'!$C:$C,0)))</f>
        <v/>
      </c>
      <c r="L352" s="275">
        <f>IF(ISBLANK(INDEX('Policy Characteristics'!F:F,MATCH($C352,'Policy Characteristics'!$C:$C,0))),"",INDEX('Policy Characteristics'!F:F,MATCH($C352,'Policy Characteristics'!$C:$C,0)))</f>
        <v>0</v>
      </c>
      <c r="M352" s="275">
        <f>IF(ISBLANK(INDEX('Policy Characteristics'!G:G,MATCH($C352,'Policy Characteristics'!$C:$C,0))),"",INDEX('Policy Characteristics'!G:G,MATCH($C352,'Policy Characteristics'!$C:$C,0)))</f>
        <v>1</v>
      </c>
      <c r="N352" s="275">
        <f>IF(ISBLANK(INDEX('Policy Characteristics'!H:H,MATCH($C352,'Policy Characteristics'!$C:$C,0))),"",INDEX('Policy Characteristics'!H:H,MATCH($C352,'Policy Characteristics'!$C:$C,0)))</f>
        <v>1</v>
      </c>
      <c r="O352" s="275" t="str">
        <f>IF(ISBLANK(INDEX('Policy Characteristics'!I:I,MATCH($C352,'Policy Characteristics'!$C:$C,0))),"",INDEX('Policy Characteristics'!I:I,MATCH($C352,'Policy Characteristics'!$C:$C,0)))</f>
        <v>on/off</v>
      </c>
      <c r="P352" s="275" t="str">
        <f>IF(ISBLANK(INDEX('Policy Characteristics'!J:J,MATCH($C352,'Policy Characteristics'!$C:$C,0))),"",INDEX('Policy Characteristics'!J:J,MATCH($C352,'Policy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2" s="275" t="str">
        <f>IF(ISBLANK(INDEX('Policy Characteristics'!K:K,MATCH($C352,'Policy Characteristics'!$C:$C,0))),"",INDEX('Policy Characteristics'!K:K,MATCH($C352,'Policy Characteristics'!$C:$C,0)))</f>
        <v/>
      </c>
      <c r="R352" s="275" t="str">
        <f>IF(ISBLANK(INDEX('Policy Characteristics'!L:L,MATCH($C352,'Policy Characteristics'!$C:$C,0))),"",INDEX('Policy Characteristics'!L:L,MATCH($C352,'Policy Characteristics'!$C:$C,0)))</f>
        <v/>
      </c>
    </row>
    <row r="353" spans="1:18" x14ac:dyDescent="0.25">
      <c r="A353" s="275" t="str">
        <f>IF(ISBLANK(INDEX('Policy Characteristics'!A:A,MATCH($C353,'Policy Characteristics'!$C:$C,0))),"",INDEX('Policy Characteristics'!A:A,MATCH($C353,'Policy Characteristics'!$C:$C,0)))</f>
        <v>Electricity Supply</v>
      </c>
      <c r="B353" s="284" t="str">
        <f>IF(ISBLANK(INDEX('Policy Characteristics'!B:B,MATCH($C353,'Policy Characteristics'!$C:$C,0))),"",INDEX('Policy Characteristics'!B:B,MATCH($C353,'Policy Characteristics'!$C:$C,0)))</f>
        <v>Non BAU Capacity Retirement Schedule</v>
      </c>
      <c r="C353" s="275" t="str">
        <f t="shared" si="21"/>
        <v>Boolean Use Non BAU Capacity Retirement Schedule</v>
      </c>
      <c r="D353" s="6" t="s">
        <v>2754</v>
      </c>
      <c r="E353" s="47"/>
      <c r="F353" s="6" t="s">
        <v>2473</v>
      </c>
      <c r="G353" s="47"/>
      <c r="H353" s="44">
        <v>875</v>
      </c>
      <c r="I353" s="346" t="s">
        <v>44</v>
      </c>
      <c r="J353" s="276" t="str">
        <f>IF(ISBLANK(INDEX('Policy Characteristics'!D:D,MATCH($C353,'Policy Characteristics'!$C:$C,0))),"",INDEX('Policy Characteristics'!D:D,MATCH($C353,'Policy Characteristics'!$C:$C,0)))</f>
        <v>Non BAU Capacity Retirement Schedule</v>
      </c>
      <c r="K353" s="275" t="str">
        <f>IF(ISBLANK(INDEX('Policy Characteristics'!E:E,MATCH($C353,'Policy Characteristics'!$C:$C,0))),"",INDEX('Policy Characteristics'!E:E,MATCH($C353,'Policy Characteristics'!$C:$C,0)))</f>
        <v/>
      </c>
      <c r="L353" s="275">
        <f>IF(ISBLANK(INDEX('Policy Characteristics'!F:F,MATCH($C353,'Policy Characteristics'!$C:$C,0))),"",INDEX('Policy Characteristics'!F:F,MATCH($C353,'Policy Characteristics'!$C:$C,0)))</f>
        <v>0</v>
      </c>
      <c r="M353" s="275">
        <f>IF(ISBLANK(INDEX('Policy Characteristics'!G:G,MATCH($C353,'Policy Characteristics'!$C:$C,0))),"",INDEX('Policy Characteristics'!G:G,MATCH($C353,'Policy Characteristics'!$C:$C,0)))</f>
        <v>1</v>
      </c>
      <c r="N353" s="275">
        <f>IF(ISBLANK(INDEX('Policy Characteristics'!H:H,MATCH($C353,'Policy Characteristics'!$C:$C,0))),"",INDEX('Policy Characteristics'!H:H,MATCH($C353,'Policy Characteristics'!$C:$C,0)))</f>
        <v>1</v>
      </c>
      <c r="O353" s="275" t="str">
        <f>IF(ISBLANK(INDEX('Policy Characteristics'!I:I,MATCH($C353,'Policy Characteristics'!$C:$C,0))),"",INDEX('Policy Characteristics'!I:I,MATCH($C353,'Policy Characteristics'!$C:$C,0)))</f>
        <v>on/off</v>
      </c>
      <c r="P353" s="275" t="str">
        <f>IF(ISBLANK(INDEX('Policy Characteristics'!J:J,MATCH($C353,'Policy Characteristics'!$C:$C,0))),"",INDEX('Policy Characteristics'!J:J,MATCH($C353,'Policy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3" s="275" t="str">
        <f>IF(ISBLANK(INDEX('Policy Characteristics'!K:K,MATCH($C353,'Policy Characteristics'!$C:$C,0))),"",INDEX('Policy Characteristics'!K:K,MATCH($C353,'Policy Characteristics'!$C:$C,0)))</f>
        <v/>
      </c>
      <c r="R353" s="275" t="str">
        <f>IF(ISBLANK(INDEX('Policy Characteristics'!L:L,MATCH($C353,'Policy Characteristics'!$C:$C,0))),"",INDEX('Policy Characteristics'!L:L,MATCH($C353,'Policy Characteristics'!$C:$C,0)))</f>
        <v/>
      </c>
    </row>
    <row r="354" spans="1:18" x14ac:dyDescent="0.25">
      <c r="A354" s="275" t="str">
        <f>IF(ISBLANK(INDEX('Policy Characteristics'!A:A,MATCH($C354,'Policy Characteristics'!$C:$C,0))),"",INDEX('Policy Characteristics'!A:A,MATCH($C354,'Policy Characteristics'!$C:$C,0)))</f>
        <v>Electricity Supply</v>
      </c>
      <c r="B354" s="284" t="str">
        <f>IF(ISBLANK(INDEX('Policy Characteristics'!B:B,MATCH($C354,'Policy Characteristics'!$C:$C,0))),"",INDEX('Policy Characteristics'!B:B,MATCH($C354,'Policy Characteristics'!$C:$C,0)))</f>
        <v>Non BAU Capacity Retirement Schedule</v>
      </c>
      <c r="C354" s="275" t="str">
        <f t="shared" si="21"/>
        <v>Boolean Use Non BAU Capacity Retirement Schedule</v>
      </c>
      <c r="D354" s="6" t="s">
        <v>3519</v>
      </c>
      <c r="E354" s="47"/>
      <c r="F354" s="6" t="s">
        <v>3526</v>
      </c>
      <c r="G354" s="47"/>
      <c r="H354" s="44">
        <v>1768</v>
      </c>
      <c r="I354" s="346" t="s">
        <v>44</v>
      </c>
      <c r="J354" s="276" t="str">
        <f>IF(ISBLANK(INDEX('Policy Characteristics'!D:D,MATCH($C354,'Policy Characteristics'!$C:$C,0))),"",INDEX('Policy Characteristics'!D:D,MATCH($C354,'Policy Characteristics'!$C:$C,0)))</f>
        <v>Non BAU Capacity Retirement Schedule</v>
      </c>
      <c r="K354" s="275" t="str">
        <f>IF(ISBLANK(INDEX('Policy Characteristics'!E:E,MATCH($C354,'Policy Characteristics'!$C:$C,0))),"",INDEX('Policy Characteristics'!E:E,MATCH($C354,'Policy Characteristics'!$C:$C,0)))</f>
        <v/>
      </c>
      <c r="L354" s="275">
        <f>IF(ISBLANK(INDEX('Policy Characteristics'!F:F,MATCH($C354,'Policy Characteristics'!$C:$C,0))),"",INDEX('Policy Characteristics'!F:F,MATCH($C354,'Policy Characteristics'!$C:$C,0)))</f>
        <v>0</v>
      </c>
      <c r="M354" s="275">
        <f>IF(ISBLANK(INDEX('Policy Characteristics'!G:G,MATCH($C354,'Policy Characteristics'!$C:$C,0))),"",INDEX('Policy Characteristics'!G:G,MATCH($C354,'Policy Characteristics'!$C:$C,0)))</f>
        <v>1</v>
      </c>
      <c r="N354" s="275">
        <f>IF(ISBLANK(INDEX('Policy Characteristics'!H:H,MATCH($C354,'Policy Characteristics'!$C:$C,0))),"",INDEX('Policy Characteristics'!H:H,MATCH($C354,'Policy Characteristics'!$C:$C,0)))</f>
        <v>1</v>
      </c>
      <c r="O354" s="275" t="str">
        <f>IF(ISBLANK(INDEX('Policy Characteristics'!I:I,MATCH($C354,'Policy Characteristics'!$C:$C,0))),"",INDEX('Policy Characteristics'!I:I,MATCH($C354,'Policy Characteristics'!$C:$C,0)))</f>
        <v>on/off</v>
      </c>
      <c r="P354" s="275" t="str">
        <f>IF(ISBLANK(INDEX('Policy Characteristics'!J:J,MATCH($C354,'Policy Characteristics'!$C:$C,0))),"",INDEX('Policy Characteristics'!J:J,MATCH($C354,'Policy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4" s="275" t="str">
        <f>IF(ISBLANK(INDEX('Policy Characteristics'!K:K,MATCH($C354,'Policy Characteristics'!$C:$C,0))),"",INDEX('Policy Characteristics'!K:K,MATCH($C354,'Policy Characteristics'!$C:$C,0)))</f>
        <v/>
      </c>
      <c r="R354" s="275" t="str">
        <f>IF(ISBLANK(INDEX('Policy Characteristics'!L:L,MATCH($C354,'Policy Characteristics'!$C:$C,0))),"",INDEX('Policy Characteristics'!L:L,MATCH($C354,'Policy Characteristics'!$C:$C,0)))</f>
        <v/>
      </c>
    </row>
    <row r="355" spans="1:18" x14ac:dyDescent="0.25">
      <c r="A355" s="275" t="str">
        <f>IF(ISBLANK(INDEX('Policy Characteristics'!A:A,MATCH($C355,'Policy Characteristics'!$C:$C,0))),"",INDEX('Policy Characteristics'!A:A,MATCH($C355,'Policy Characteristics'!$C:$C,0)))</f>
        <v>Electricity Supply</v>
      </c>
      <c r="B355" s="284" t="str">
        <f>IF(ISBLANK(INDEX('Policy Characteristics'!B:B,MATCH($C355,'Policy Characteristics'!$C:$C,0))),"",INDEX('Policy Characteristics'!B:B,MATCH($C355,'Policy Characteristics'!$C:$C,0)))</f>
        <v>Non BAU Capacity Retirement Schedule</v>
      </c>
      <c r="C355" s="275" t="str">
        <f t="shared" si="21"/>
        <v>Boolean Use Non BAU Capacity Retirement Schedule</v>
      </c>
      <c r="D355" s="6" t="s">
        <v>3522</v>
      </c>
      <c r="E355" s="47"/>
      <c r="F355" s="6" t="s">
        <v>3527</v>
      </c>
      <c r="G355" s="47"/>
      <c r="H355" s="44">
        <v>1769</v>
      </c>
      <c r="I355" s="346" t="s">
        <v>44</v>
      </c>
      <c r="J355" s="276" t="str">
        <f>IF(ISBLANK(INDEX('Policy Characteristics'!D:D,MATCH($C355,'Policy Characteristics'!$C:$C,0))),"",INDEX('Policy Characteristics'!D:D,MATCH($C355,'Policy Characteristics'!$C:$C,0)))</f>
        <v>Non BAU Capacity Retirement Schedule</v>
      </c>
      <c r="K355" s="275" t="str">
        <f>IF(ISBLANK(INDEX('Policy Characteristics'!E:E,MATCH($C355,'Policy Characteristics'!$C:$C,0))),"",INDEX('Policy Characteristics'!E:E,MATCH($C355,'Policy Characteristics'!$C:$C,0)))</f>
        <v/>
      </c>
      <c r="L355" s="275">
        <f>IF(ISBLANK(INDEX('Policy Characteristics'!F:F,MATCH($C355,'Policy Characteristics'!$C:$C,0))),"",INDEX('Policy Characteristics'!F:F,MATCH($C355,'Policy Characteristics'!$C:$C,0)))</f>
        <v>0</v>
      </c>
      <c r="M355" s="275">
        <f>IF(ISBLANK(INDEX('Policy Characteristics'!G:G,MATCH($C355,'Policy Characteristics'!$C:$C,0))),"",INDEX('Policy Characteristics'!G:G,MATCH($C355,'Policy Characteristics'!$C:$C,0)))</f>
        <v>1</v>
      </c>
      <c r="N355" s="275">
        <f>IF(ISBLANK(INDEX('Policy Characteristics'!H:H,MATCH($C355,'Policy Characteristics'!$C:$C,0))),"",INDEX('Policy Characteristics'!H:H,MATCH($C355,'Policy Characteristics'!$C:$C,0)))</f>
        <v>1</v>
      </c>
      <c r="O355" s="275" t="str">
        <f>IF(ISBLANK(INDEX('Policy Characteristics'!I:I,MATCH($C355,'Policy Characteristics'!$C:$C,0))),"",INDEX('Policy Characteristics'!I:I,MATCH($C355,'Policy Characteristics'!$C:$C,0)))</f>
        <v>on/off</v>
      </c>
      <c r="P355" s="275" t="str">
        <f>IF(ISBLANK(INDEX('Policy Characteristics'!J:J,MATCH($C355,'Policy Characteristics'!$C:$C,0))),"",INDEX('Policy Characteristics'!J:J,MATCH($C355,'Policy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5" s="275" t="str">
        <f>IF(ISBLANK(INDEX('Policy Characteristics'!K:K,MATCH($C355,'Policy Characteristics'!$C:$C,0))),"",INDEX('Policy Characteristics'!K:K,MATCH($C355,'Policy Characteristics'!$C:$C,0)))</f>
        <v/>
      </c>
      <c r="R355" s="275" t="str">
        <f>IF(ISBLANK(INDEX('Policy Characteristics'!L:L,MATCH($C355,'Policy Characteristics'!$C:$C,0))),"",INDEX('Policy Characteristics'!L:L,MATCH($C355,'Policy Characteristics'!$C:$C,0)))</f>
        <v/>
      </c>
    </row>
    <row r="356" spans="1:18" x14ac:dyDescent="0.25">
      <c r="A356" s="275" t="str">
        <f>IF(ISBLANK(INDEX('Policy Characteristics'!A:A,MATCH($C356,'Policy Characteristics'!$C:$C,0))),"",INDEX('Policy Characteristics'!A:A,MATCH($C356,'Policy Characteristics'!$C:$C,0)))</f>
        <v>Electricity Supply</v>
      </c>
      <c r="B356" s="284" t="str">
        <f>IF(ISBLANK(INDEX('Policy Characteristics'!B:B,MATCH($C356,'Policy Characteristics'!$C:$C,0))),"",INDEX('Policy Characteristics'!B:B,MATCH($C356,'Policy Characteristics'!$C:$C,0)))</f>
        <v>Non BAU Capacity Retirement Schedule</v>
      </c>
      <c r="C356" s="275" t="str">
        <f t="shared" si="21"/>
        <v>Boolean Use Non BAU Capacity Retirement Schedule</v>
      </c>
      <c r="D356" s="6" t="s">
        <v>3523</v>
      </c>
      <c r="E356" s="47"/>
      <c r="F356" s="6" t="s">
        <v>3528</v>
      </c>
      <c r="G356" s="47"/>
      <c r="H356" s="44">
        <v>1770</v>
      </c>
      <c r="I356" s="346" t="s">
        <v>44</v>
      </c>
      <c r="J356" s="276" t="str">
        <f>IF(ISBLANK(INDEX('Policy Characteristics'!D:D,MATCH($C356,'Policy Characteristics'!$C:$C,0))),"",INDEX('Policy Characteristics'!D:D,MATCH($C356,'Policy Characteristics'!$C:$C,0)))</f>
        <v>Non BAU Capacity Retirement Schedule</v>
      </c>
      <c r="K356" s="275" t="str">
        <f>IF(ISBLANK(INDEX('Policy Characteristics'!E:E,MATCH($C356,'Policy Characteristics'!$C:$C,0))),"",INDEX('Policy Characteristics'!E:E,MATCH($C356,'Policy Characteristics'!$C:$C,0)))</f>
        <v/>
      </c>
      <c r="L356" s="275">
        <f>IF(ISBLANK(INDEX('Policy Characteristics'!F:F,MATCH($C356,'Policy Characteristics'!$C:$C,0))),"",INDEX('Policy Characteristics'!F:F,MATCH($C356,'Policy Characteristics'!$C:$C,0)))</f>
        <v>0</v>
      </c>
      <c r="M356" s="275">
        <f>IF(ISBLANK(INDEX('Policy Characteristics'!G:G,MATCH($C356,'Policy Characteristics'!$C:$C,0))),"",INDEX('Policy Characteristics'!G:G,MATCH($C356,'Policy Characteristics'!$C:$C,0)))</f>
        <v>1</v>
      </c>
      <c r="N356" s="275">
        <f>IF(ISBLANK(INDEX('Policy Characteristics'!H:H,MATCH($C356,'Policy Characteristics'!$C:$C,0))),"",INDEX('Policy Characteristics'!H:H,MATCH($C356,'Policy Characteristics'!$C:$C,0)))</f>
        <v>1</v>
      </c>
      <c r="O356" s="275" t="str">
        <f>IF(ISBLANK(INDEX('Policy Characteristics'!I:I,MATCH($C356,'Policy Characteristics'!$C:$C,0))),"",INDEX('Policy Characteristics'!I:I,MATCH($C356,'Policy Characteristics'!$C:$C,0)))</f>
        <v>on/off</v>
      </c>
      <c r="P356" s="275" t="str">
        <f>IF(ISBLANK(INDEX('Policy Characteristics'!J:J,MATCH($C356,'Policy Characteristics'!$C:$C,0))),"",INDEX('Policy Characteristics'!J:J,MATCH($C356,'Policy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6" s="275" t="str">
        <f>IF(ISBLANK(INDEX('Policy Characteristics'!K:K,MATCH($C356,'Policy Characteristics'!$C:$C,0))),"",INDEX('Policy Characteristics'!K:K,MATCH($C356,'Policy Characteristics'!$C:$C,0)))</f>
        <v/>
      </c>
      <c r="R356" s="275" t="str">
        <f>IF(ISBLANK(INDEX('Policy Characteristics'!L:L,MATCH($C356,'Policy Characteristics'!$C:$C,0))),"",INDEX('Policy Characteristics'!L:L,MATCH($C356,'Policy Characteristics'!$C:$C,0)))</f>
        <v/>
      </c>
    </row>
    <row r="357" spans="1:18" x14ac:dyDescent="0.25">
      <c r="A357" s="275" t="str">
        <f>IF(ISBLANK(INDEX('Policy Characteristics'!A:A,MATCH($C357,'Policy Characteristics'!$C:$C,0))),"",INDEX('Policy Characteristics'!A:A,MATCH($C357,'Policy Characteristics'!$C:$C,0)))</f>
        <v>Electricity Supply</v>
      </c>
      <c r="B357" s="284" t="str">
        <f>IF(ISBLANK(INDEX('Policy Characteristics'!B:B,MATCH($C357,'Policy Characteristics'!$C:$C,0))),"",INDEX('Policy Characteristics'!B:B,MATCH($C357,'Policy Characteristics'!$C:$C,0)))</f>
        <v>Non BAU Capacity Retirement Schedule</v>
      </c>
      <c r="C357" s="275" t="str">
        <f t="shared" si="21"/>
        <v>Boolean Use Non BAU Capacity Retirement Schedule</v>
      </c>
      <c r="D357" s="6" t="s">
        <v>3524</v>
      </c>
      <c r="E357" s="47"/>
      <c r="F357" s="6" t="s">
        <v>3529</v>
      </c>
      <c r="G357" s="47"/>
      <c r="H357" s="44">
        <v>1771</v>
      </c>
      <c r="I357" s="346" t="s">
        <v>44</v>
      </c>
      <c r="J357" s="276" t="str">
        <f>IF(ISBLANK(INDEX('Policy Characteristics'!D:D,MATCH($C357,'Policy Characteristics'!$C:$C,0))),"",INDEX('Policy Characteristics'!D:D,MATCH($C357,'Policy Characteristics'!$C:$C,0)))</f>
        <v>Non BAU Capacity Retirement Schedule</v>
      </c>
      <c r="K357" s="275" t="str">
        <f>IF(ISBLANK(INDEX('Policy Characteristics'!E:E,MATCH($C357,'Policy Characteristics'!$C:$C,0))),"",INDEX('Policy Characteristics'!E:E,MATCH($C357,'Policy Characteristics'!$C:$C,0)))</f>
        <v/>
      </c>
      <c r="L357" s="275">
        <f>IF(ISBLANK(INDEX('Policy Characteristics'!F:F,MATCH($C357,'Policy Characteristics'!$C:$C,0))),"",INDEX('Policy Characteristics'!F:F,MATCH($C357,'Policy Characteristics'!$C:$C,0)))</f>
        <v>0</v>
      </c>
      <c r="M357" s="275">
        <f>IF(ISBLANK(INDEX('Policy Characteristics'!G:G,MATCH($C357,'Policy Characteristics'!$C:$C,0))),"",INDEX('Policy Characteristics'!G:G,MATCH($C357,'Policy Characteristics'!$C:$C,0)))</f>
        <v>1</v>
      </c>
      <c r="N357" s="275">
        <f>IF(ISBLANK(INDEX('Policy Characteristics'!H:H,MATCH($C357,'Policy Characteristics'!$C:$C,0))),"",INDEX('Policy Characteristics'!H:H,MATCH($C357,'Policy Characteristics'!$C:$C,0)))</f>
        <v>1</v>
      </c>
      <c r="O357" s="275" t="str">
        <f>IF(ISBLANK(INDEX('Policy Characteristics'!I:I,MATCH($C357,'Policy Characteristics'!$C:$C,0))),"",INDEX('Policy Characteristics'!I:I,MATCH($C357,'Policy Characteristics'!$C:$C,0)))</f>
        <v>on/off</v>
      </c>
      <c r="P357" s="275" t="str">
        <f>IF(ISBLANK(INDEX('Policy Characteristics'!J:J,MATCH($C357,'Policy Characteristics'!$C:$C,0))),"",INDEX('Policy Characteristics'!J:J,MATCH($C357,'Policy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7" s="275" t="str">
        <f>IF(ISBLANK(INDEX('Policy Characteristics'!K:K,MATCH($C357,'Policy Characteristics'!$C:$C,0))),"",INDEX('Policy Characteristics'!K:K,MATCH($C357,'Policy Characteristics'!$C:$C,0)))</f>
        <v/>
      </c>
      <c r="R357" s="275" t="str">
        <f>IF(ISBLANK(INDEX('Policy Characteristics'!L:L,MATCH($C357,'Policy Characteristics'!$C:$C,0))),"",INDEX('Policy Characteristics'!L:L,MATCH($C357,'Policy Characteristics'!$C:$C,0)))</f>
        <v/>
      </c>
    </row>
    <row r="358" spans="1:18" x14ac:dyDescent="0.25">
      <c r="A358" s="275" t="str">
        <f>IF(ISBLANK(INDEX('Policy Characteristics'!A:A,MATCH($C358,'Policy Characteristics'!$C:$C,0))),"",INDEX('Policy Characteristics'!A:A,MATCH($C358,'Policy Characteristics'!$C:$C,0)))</f>
        <v>Electricity Supply</v>
      </c>
      <c r="B358" s="284" t="str">
        <f>IF(ISBLANK(INDEX('Policy Characteristics'!B:B,MATCH($C358,'Policy Characteristics'!$C:$C,0))),"",INDEX('Policy Characteristics'!B:B,MATCH($C358,'Policy Characteristics'!$C:$C,0)))</f>
        <v>Non BAU Capacity Retirement Schedule</v>
      </c>
      <c r="C358" s="275" t="str">
        <f t="shared" si="21"/>
        <v>Boolean Use Non BAU Capacity Retirement Schedule</v>
      </c>
      <c r="D358" s="6" t="s">
        <v>3525</v>
      </c>
      <c r="E358" s="47"/>
      <c r="F358" s="6" t="s">
        <v>3530</v>
      </c>
      <c r="G358" s="47"/>
      <c r="H358" s="44">
        <v>1772</v>
      </c>
      <c r="I358" s="346" t="s">
        <v>44</v>
      </c>
      <c r="J358" s="276" t="str">
        <f>IF(ISBLANK(INDEX('Policy Characteristics'!D:D,MATCH($C358,'Policy Characteristics'!$C:$C,0))),"",INDEX('Policy Characteristics'!D:D,MATCH($C358,'Policy Characteristics'!$C:$C,0)))</f>
        <v>Non BAU Capacity Retirement Schedule</v>
      </c>
      <c r="K358" s="275" t="str">
        <f>IF(ISBLANK(INDEX('Policy Characteristics'!E:E,MATCH($C358,'Policy Characteristics'!$C:$C,0))),"",INDEX('Policy Characteristics'!E:E,MATCH($C358,'Policy Characteristics'!$C:$C,0)))</f>
        <v/>
      </c>
      <c r="L358" s="275">
        <f>IF(ISBLANK(INDEX('Policy Characteristics'!F:F,MATCH($C358,'Policy Characteristics'!$C:$C,0))),"",INDEX('Policy Characteristics'!F:F,MATCH($C358,'Policy Characteristics'!$C:$C,0)))</f>
        <v>0</v>
      </c>
      <c r="M358" s="275">
        <f>IF(ISBLANK(INDEX('Policy Characteristics'!G:G,MATCH($C358,'Policy Characteristics'!$C:$C,0))),"",INDEX('Policy Characteristics'!G:G,MATCH($C358,'Policy Characteristics'!$C:$C,0)))</f>
        <v>1</v>
      </c>
      <c r="N358" s="275">
        <f>IF(ISBLANK(INDEX('Policy Characteristics'!H:H,MATCH($C358,'Policy Characteristics'!$C:$C,0))),"",INDEX('Policy Characteristics'!H:H,MATCH($C358,'Policy Characteristics'!$C:$C,0)))</f>
        <v>1</v>
      </c>
      <c r="O358" s="275" t="str">
        <f>IF(ISBLANK(INDEX('Policy Characteristics'!I:I,MATCH($C358,'Policy Characteristics'!$C:$C,0))),"",INDEX('Policy Characteristics'!I:I,MATCH($C358,'Policy Characteristics'!$C:$C,0)))</f>
        <v>on/off</v>
      </c>
      <c r="P358" s="275" t="str">
        <f>IF(ISBLANK(INDEX('Policy Characteristics'!J:J,MATCH($C358,'Policy Characteristics'!$C:$C,0))),"",INDEX('Policy Characteristics'!J:J,MATCH($C358,'Policy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8" s="275" t="str">
        <f>IF(ISBLANK(INDEX('Policy Characteristics'!K:K,MATCH($C358,'Policy Characteristics'!$C:$C,0))),"",INDEX('Policy Characteristics'!K:K,MATCH($C358,'Policy Characteristics'!$C:$C,0)))</f>
        <v/>
      </c>
      <c r="R358" s="275" t="str">
        <f>IF(ISBLANK(INDEX('Policy Characteristics'!L:L,MATCH($C358,'Policy Characteristics'!$C:$C,0))),"",INDEX('Policy Characteristics'!L:L,MATCH($C358,'Policy Characteristics'!$C:$C,0)))</f>
        <v/>
      </c>
    </row>
    <row r="359" spans="1:18" x14ac:dyDescent="0.25">
      <c r="A359" s="275" t="str">
        <f>IF(ISBLANK(INDEX('Policy Characteristics'!A:A,MATCH($C359,'Policy Characteristics'!$C:$C,0))),"",INDEX('Policy Characteristics'!A:A,MATCH($C359,'Policy Characteristics'!$C:$C,0)))</f>
        <v>Electricity Supply</v>
      </c>
      <c r="B359" s="284" t="str">
        <f>IF(ISBLANK(INDEX('Policy Characteristics'!B:B,MATCH($C359,'Policy Characteristics'!$C:$C,0))),"",INDEX('Policy Characteristics'!B:B,MATCH($C359,'Policy Characteristics'!$C:$C,0)))</f>
        <v>Non BAU Capacity Retirement Schedule</v>
      </c>
      <c r="C359" s="275" t="str">
        <f t="shared" si="21"/>
        <v>Boolean Use Non BAU Capacity Retirement Schedule</v>
      </c>
      <c r="D359" s="6" t="s">
        <v>3616</v>
      </c>
      <c r="E359" s="47"/>
      <c r="F359" s="6" t="s">
        <v>3614</v>
      </c>
      <c r="G359" s="47"/>
      <c r="H359" s="44">
        <v>1773</v>
      </c>
      <c r="I359" s="346" t="s">
        <v>44</v>
      </c>
      <c r="J359" s="276" t="str">
        <f>IF(ISBLANK(INDEX('Policy Characteristics'!D:D,MATCH($C359,'Policy Characteristics'!$C:$C,0))),"",INDEX('Policy Characteristics'!D:D,MATCH($C359,'Policy Characteristics'!$C:$C,0)))</f>
        <v>Non BAU Capacity Retirement Schedule</v>
      </c>
      <c r="K359" s="275" t="str">
        <f>IF(ISBLANK(INDEX('Policy Characteristics'!E:E,MATCH($C359,'Policy Characteristics'!$C:$C,0))),"",INDEX('Policy Characteristics'!E:E,MATCH($C359,'Policy Characteristics'!$C:$C,0)))</f>
        <v/>
      </c>
      <c r="L359" s="275">
        <f>IF(ISBLANK(INDEX('Policy Characteristics'!F:F,MATCH($C359,'Policy Characteristics'!$C:$C,0))),"",INDEX('Policy Characteristics'!F:F,MATCH($C359,'Policy Characteristics'!$C:$C,0)))</f>
        <v>0</v>
      </c>
      <c r="M359" s="275">
        <f>IF(ISBLANK(INDEX('Policy Characteristics'!G:G,MATCH($C359,'Policy Characteristics'!$C:$C,0))),"",INDEX('Policy Characteristics'!G:G,MATCH($C359,'Policy Characteristics'!$C:$C,0)))</f>
        <v>1</v>
      </c>
      <c r="N359" s="275">
        <f>IF(ISBLANK(INDEX('Policy Characteristics'!H:H,MATCH($C359,'Policy Characteristics'!$C:$C,0))),"",INDEX('Policy Characteristics'!H:H,MATCH($C359,'Policy Characteristics'!$C:$C,0)))</f>
        <v>1</v>
      </c>
      <c r="O359" s="275" t="str">
        <f>IF(ISBLANK(INDEX('Policy Characteristics'!I:I,MATCH($C359,'Policy Characteristics'!$C:$C,0))),"",INDEX('Policy Characteristics'!I:I,MATCH($C359,'Policy Characteristics'!$C:$C,0)))</f>
        <v>on/off</v>
      </c>
      <c r="P359" s="275" t="str">
        <f>IF(ISBLANK(INDEX('Policy Characteristics'!J:J,MATCH($C359,'Policy Characteristics'!$C:$C,0))),"",INDEX('Policy Characteristics'!J:J,MATCH($C359,'Policy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9" s="275" t="str">
        <f>IF(ISBLANK(INDEX('Policy Characteristics'!K:K,MATCH($C359,'Policy Characteristics'!$C:$C,0))),"",INDEX('Policy Characteristics'!K:K,MATCH($C359,'Policy Characteristics'!$C:$C,0)))</f>
        <v/>
      </c>
      <c r="R359" s="275" t="str">
        <f>IF(ISBLANK(INDEX('Policy Characteristics'!L:L,MATCH($C359,'Policy Characteristics'!$C:$C,0))),"",INDEX('Policy Characteristics'!L:L,MATCH($C359,'Policy Characteristics'!$C:$C,0)))</f>
        <v/>
      </c>
    </row>
    <row r="360" spans="1:18" x14ac:dyDescent="0.25">
      <c r="A360" s="275" t="str">
        <f>IF(ISBLANK(INDEX('Policy Characteristics'!A:A,MATCH($C360,'Policy Characteristics'!$C:$C,0))),"",INDEX('Policy Characteristics'!A:A,MATCH($C360,'Policy Characteristics'!$C:$C,0)))</f>
        <v>Electricity Supply</v>
      </c>
      <c r="B360" s="284" t="str">
        <f>IF(ISBLANK(INDEX('Policy Characteristics'!B:B,MATCH($C360,'Policy Characteristics'!$C:$C,0))),"",INDEX('Policy Characteristics'!B:B,MATCH($C360,'Policy Characteristics'!$C:$C,0)))</f>
        <v>Non BAU Capacity Retirement Schedule</v>
      </c>
      <c r="C360" s="275" t="str">
        <f t="shared" si="21"/>
        <v>Boolean Use Non BAU Capacity Retirement Schedule</v>
      </c>
      <c r="D360" s="6" t="s">
        <v>3617</v>
      </c>
      <c r="E360" s="47"/>
      <c r="F360" s="6" t="s">
        <v>3615</v>
      </c>
      <c r="G360" s="47"/>
      <c r="H360" s="44">
        <v>2240</v>
      </c>
      <c r="I360" s="346" t="s">
        <v>44</v>
      </c>
      <c r="J360" s="276" t="str">
        <f>IF(ISBLANK(INDEX('Policy Characteristics'!D:D,MATCH($C360,'Policy Characteristics'!$C:$C,0))),"",INDEX('Policy Characteristics'!D:D,MATCH($C360,'Policy Characteristics'!$C:$C,0)))</f>
        <v>Non BAU Capacity Retirement Schedule</v>
      </c>
      <c r="K360" s="275" t="str">
        <f>IF(ISBLANK(INDEX('Policy Characteristics'!E:E,MATCH($C360,'Policy Characteristics'!$C:$C,0))),"",INDEX('Policy Characteristics'!E:E,MATCH($C360,'Policy Characteristics'!$C:$C,0)))</f>
        <v/>
      </c>
      <c r="L360" s="275">
        <f>IF(ISBLANK(INDEX('Policy Characteristics'!F:F,MATCH($C360,'Policy Characteristics'!$C:$C,0))),"",INDEX('Policy Characteristics'!F:F,MATCH($C360,'Policy Characteristics'!$C:$C,0)))</f>
        <v>0</v>
      </c>
      <c r="M360" s="275">
        <f>IF(ISBLANK(INDEX('Policy Characteristics'!G:G,MATCH($C360,'Policy Characteristics'!$C:$C,0))),"",INDEX('Policy Characteristics'!G:G,MATCH($C360,'Policy Characteristics'!$C:$C,0)))</f>
        <v>1</v>
      </c>
      <c r="N360" s="275">
        <f>IF(ISBLANK(INDEX('Policy Characteristics'!H:H,MATCH($C360,'Policy Characteristics'!$C:$C,0))),"",INDEX('Policy Characteristics'!H:H,MATCH($C360,'Policy Characteristics'!$C:$C,0)))</f>
        <v>1</v>
      </c>
      <c r="O360" s="275" t="str">
        <f>IF(ISBLANK(INDEX('Policy Characteristics'!I:I,MATCH($C360,'Policy Characteristics'!$C:$C,0))),"",INDEX('Policy Characteristics'!I:I,MATCH($C360,'Policy Characteristics'!$C:$C,0)))</f>
        <v>on/off</v>
      </c>
      <c r="P360" s="275" t="str">
        <f>IF(ISBLANK(INDEX('Policy Characteristics'!J:J,MATCH($C360,'Policy Characteristics'!$C:$C,0))),"",INDEX('Policy Characteristics'!J:J,MATCH($C360,'Policy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0" s="275"/>
      <c r="R360" s="275"/>
    </row>
    <row r="361" spans="1:18" s="4" customFormat="1" x14ac:dyDescent="0.25">
      <c r="A361" s="275" t="str">
        <f>IF(ISBLANK(INDEX('Policy Characteristics'!A:A,MATCH($C361,'Policy Characteristics'!$C:$C,0))),"",INDEX('Policy Characteristics'!A:A,MATCH($C361,'Policy Characteristics'!$C:$C,0)))</f>
        <v>Electricity Supply</v>
      </c>
      <c r="B361" s="284" t="str">
        <f>IF(ISBLANK(INDEX('Policy Characteristics'!B:B,MATCH($C361,'Policy Characteristics'!$C:$C,0))),"",INDEX('Policy Characteristics'!B:B,MATCH($C361,'Policy Characteristics'!$C:$C,0)))</f>
        <v>Non BAU Mandated Capacity Construction</v>
      </c>
      <c r="C361" t="s">
        <v>130</v>
      </c>
      <c r="D361" s="47" t="s">
        <v>448</v>
      </c>
      <c r="E361" s="47"/>
      <c r="F361" s="47" t="s">
        <v>447</v>
      </c>
      <c r="G361" s="47"/>
      <c r="H361" s="44">
        <v>633</v>
      </c>
      <c r="I361" s="346" t="s">
        <v>44</v>
      </c>
      <c r="J361" s="276" t="str">
        <f>IF(ISBLANK(INDEX('Policy Characteristics'!D:D,MATCH($C361,'Policy Characteristics'!$C:$C,0))),"",INDEX('Policy Characteristics'!D:D,MATCH($C361,'Policy Characteristics'!$C:$C,0)))</f>
        <v>Non BAU Mandated Capacity Construction</v>
      </c>
      <c r="K361" s="275" t="str">
        <f>IF(ISBLANK(INDEX('Policy Characteristics'!E:E,MATCH($C361,'Policy Characteristics'!$C:$C,0))),"",INDEX('Policy Characteristics'!E:E,MATCH($C361,'Policy Characteristics'!$C:$C,0)))</f>
        <v/>
      </c>
      <c r="L361" s="275">
        <f>IF(ISBLANK(INDEX('Policy Characteristics'!F:F,MATCH($C361,'Policy Characteristics'!$C:$C,0))),"",INDEX('Policy Characteristics'!F:F,MATCH($C361,'Policy Characteristics'!$C:$C,0)))</f>
        <v>0</v>
      </c>
      <c r="M361" s="275">
        <f>IF(ISBLANK(INDEX('Policy Characteristics'!G:G,MATCH($C361,'Policy Characteristics'!$C:$C,0))),"",INDEX('Policy Characteristics'!G:G,MATCH($C361,'Policy Characteristics'!$C:$C,0)))</f>
        <v>1</v>
      </c>
      <c r="N361" s="275">
        <f>IF(ISBLANK(INDEX('Policy Characteristics'!H:H,MATCH($C361,'Policy Characteristics'!$C:$C,0))),"",INDEX('Policy Characteristics'!H:H,MATCH($C361,'Policy Characteristics'!$C:$C,0)))</f>
        <v>1</v>
      </c>
      <c r="O361" s="275" t="str">
        <f>IF(ISBLANK(INDEX('Policy Characteristics'!I:I,MATCH($C361,'Policy Characteristics'!$C:$C,0))),"",INDEX('Policy Characteristics'!I:I,MATCH($C361,'Policy Characteristics'!$C:$C,0)))</f>
        <v>on/off</v>
      </c>
      <c r="P361" s="275" t="str">
        <f>IF(ISBLANK(INDEX('Policy Characteristics'!J:J,MATCH($C361,'Policy Characteristics'!$C:$C,0))),"",INDEX('Policy Characteristics'!J:J,MATCH($C361,'Policy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1" s="275" t="str">
        <f>IF(ISBLANK(INDEX('Policy Characteristics'!K:K,MATCH($C361,'Policy Characteristics'!$C:$C,0))),"",INDEX('Policy Characteristics'!K:K,MATCH($C361,'Policy Characteristics'!$C:$C,0)))</f>
        <v/>
      </c>
      <c r="R361" s="275" t="str">
        <f>IF(ISBLANK(INDEX('Policy Characteristics'!L:L,MATCH($C361,'Policy Characteristics'!$C:$C,0))),"",INDEX('Policy Characteristics'!L:L,MATCH($C361,'Policy Characteristics'!$C:$C,0)))</f>
        <v/>
      </c>
    </row>
    <row r="362" spans="1:18" s="4" customFormat="1" x14ac:dyDescent="0.25">
      <c r="A362" s="275" t="str">
        <f>IF(ISBLANK(INDEX('Policy Characteristics'!A:A,MATCH($C362,'Policy Characteristics'!$C:$C,0))),"",INDEX('Policy Characteristics'!A:A,MATCH($C362,'Policy Characteristics'!$C:$C,0)))</f>
        <v>Electricity Supply</v>
      </c>
      <c r="B362" s="284" t="str">
        <f>IF(ISBLANK(INDEX('Policy Characteristics'!B:B,MATCH($C362,'Policy Characteristics'!$C:$C,0))),"",INDEX('Policy Characteristics'!B:B,MATCH($C362,'Policy Characteristics'!$C:$C,0)))</f>
        <v>Non BAU Mandated Capacity Construction</v>
      </c>
      <c r="C362" s="275" t="str">
        <f t="shared" ref="C362:C384" si="22">C$361</f>
        <v>Boolean Use Non BAU Mandated Capacity Construction Schedule</v>
      </c>
      <c r="D362" s="6" t="s">
        <v>3520</v>
      </c>
      <c r="E362" s="47"/>
      <c r="F362" s="6" t="s">
        <v>3453</v>
      </c>
      <c r="G362" s="47"/>
      <c r="H362" s="44">
        <v>634</v>
      </c>
      <c r="I362" s="346" t="s">
        <v>44</v>
      </c>
      <c r="J362" s="276" t="str">
        <f>IF(ISBLANK(INDEX('Policy Characteristics'!D:D,MATCH($C362,'Policy Characteristics'!$C:$C,0))),"",INDEX('Policy Characteristics'!D:D,MATCH($C362,'Policy Characteristics'!$C:$C,0)))</f>
        <v>Non BAU Mandated Capacity Construction</v>
      </c>
      <c r="K362" s="275" t="str">
        <f>IF(ISBLANK(INDEX('Policy Characteristics'!E:E,MATCH($C362,'Policy Characteristics'!$C:$C,0))),"",INDEX('Policy Characteristics'!E:E,MATCH($C362,'Policy Characteristics'!$C:$C,0)))</f>
        <v/>
      </c>
      <c r="L362" s="275">
        <f>IF(ISBLANK(INDEX('Policy Characteristics'!F:F,MATCH($C362,'Policy Characteristics'!$C:$C,0))),"",INDEX('Policy Characteristics'!F:F,MATCH($C362,'Policy Characteristics'!$C:$C,0)))</f>
        <v>0</v>
      </c>
      <c r="M362" s="275">
        <f>IF(ISBLANK(INDEX('Policy Characteristics'!G:G,MATCH($C362,'Policy Characteristics'!$C:$C,0))),"",INDEX('Policy Characteristics'!G:G,MATCH($C362,'Policy Characteristics'!$C:$C,0)))</f>
        <v>1</v>
      </c>
      <c r="N362" s="275">
        <f>IF(ISBLANK(INDEX('Policy Characteristics'!H:H,MATCH($C362,'Policy Characteristics'!$C:$C,0))),"",INDEX('Policy Characteristics'!H:H,MATCH($C362,'Policy Characteristics'!$C:$C,0)))</f>
        <v>1</v>
      </c>
      <c r="O362" s="275" t="str">
        <f>IF(ISBLANK(INDEX('Policy Characteristics'!I:I,MATCH($C362,'Policy Characteristics'!$C:$C,0))),"",INDEX('Policy Characteristics'!I:I,MATCH($C362,'Policy Characteristics'!$C:$C,0)))</f>
        <v>on/off</v>
      </c>
      <c r="P362" s="275" t="str">
        <f>IF(ISBLANK(INDEX('Policy Characteristics'!J:J,MATCH($C362,'Policy Characteristics'!$C:$C,0))),"",INDEX('Policy Characteristics'!J:J,MATCH($C362,'Policy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2" s="275" t="str">
        <f>IF(ISBLANK(INDEX('Policy Characteristics'!K:K,MATCH($C362,'Policy Characteristics'!$C:$C,0))),"",INDEX('Policy Characteristics'!K:K,MATCH($C362,'Policy Characteristics'!$C:$C,0)))</f>
        <v/>
      </c>
      <c r="R362" s="275" t="str">
        <f>IF(ISBLANK(INDEX('Policy Characteristics'!L:L,MATCH($C362,'Policy Characteristics'!$C:$C,0))),"",INDEX('Policy Characteristics'!L:L,MATCH($C362,'Policy Characteristics'!$C:$C,0)))</f>
        <v/>
      </c>
    </row>
    <row r="363" spans="1:18" s="4" customFormat="1" x14ac:dyDescent="0.25">
      <c r="A363" s="275" t="str">
        <f>IF(ISBLANK(INDEX('Policy Characteristics'!A:A,MATCH($C363,'Policy Characteristics'!$C:$C,0))),"",INDEX('Policy Characteristics'!A:A,MATCH($C363,'Policy Characteristics'!$C:$C,0)))</f>
        <v>Electricity Supply</v>
      </c>
      <c r="B363" s="284" t="str">
        <f>IF(ISBLANK(INDEX('Policy Characteristics'!B:B,MATCH($C363,'Policy Characteristics'!$C:$C,0))),"",INDEX('Policy Characteristics'!B:B,MATCH($C363,'Policy Characteristics'!$C:$C,0)))</f>
        <v>Non BAU Mandated Capacity Construction</v>
      </c>
      <c r="C363" s="275" t="str">
        <f t="shared" si="22"/>
        <v>Boolean Use Non BAU Mandated Capacity Construction Schedule</v>
      </c>
      <c r="D363" s="6" t="s">
        <v>3521</v>
      </c>
      <c r="E363" s="47"/>
      <c r="F363" s="6" t="s">
        <v>3454</v>
      </c>
      <c r="G363" s="47"/>
      <c r="H363" s="44">
        <v>1774</v>
      </c>
      <c r="I363" s="346" t="s">
        <v>43</v>
      </c>
      <c r="J363" s="276" t="str">
        <f>IF(ISBLANK(INDEX('Policy Characteristics'!D:D,MATCH($C363,'Policy Characteristics'!$C:$C,0))),"",INDEX('Policy Characteristics'!D:D,MATCH($C363,'Policy Characteristics'!$C:$C,0)))</f>
        <v>Non BAU Mandated Capacity Construction</v>
      </c>
      <c r="K363" s="275" t="str">
        <f>IF(ISBLANK(INDEX('Policy Characteristics'!E:E,MATCH($C363,'Policy Characteristics'!$C:$C,0))),"",INDEX('Policy Characteristics'!E:E,MATCH($C363,'Policy Characteristics'!$C:$C,0)))</f>
        <v/>
      </c>
      <c r="L363" s="275">
        <f>IF(ISBLANK(INDEX('Policy Characteristics'!F:F,MATCH($C363,'Policy Characteristics'!$C:$C,0))),"",INDEX('Policy Characteristics'!F:F,MATCH($C363,'Policy Characteristics'!$C:$C,0)))</f>
        <v>0</v>
      </c>
      <c r="M363" s="275">
        <f>IF(ISBLANK(INDEX('Policy Characteristics'!G:G,MATCH($C363,'Policy Characteristics'!$C:$C,0))),"",INDEX('Policy Characteristics'!G:G,MATCH($C363,'Policy Characteristics'!$C:$C,0)))</f>
        <v>1</v>
      </c>
      <c r="N363" s="275">
        <f>IF(ISBLANK(INDEX('Policy Characteristics'!H:H,MATCH($C363,'Policy Characteristics'!$C:$C,0))),"",INDEX('Policy Characteristics'!H:H,MATCH($C363,'Policy Characteristics'!$C:$C,0)))</f>
        <v>1</v>
      </c>
      <c r="O363" s="275" t="str">
        <f>IF(ISBLANK(INDEX('Policy Characteristics'!I:I,MATCH($C363,'Policy Characteristics'!$C:$C,0))),"",INDEX('Policy Characteristics'!I:I,MATCH($C363,'Policy Characteristics'!$C:$C,0)))</f>
        <v>on/off</v>
      </c>
      <c r="P363" s="275" t="str">
        <f>IF(ISBLANK(INDEX('Policy Characteristics'!J:J,MATCH($C363,'Policy Characteristics'!$C:$C,0))),"",INDEX('Policy Characteristics'!J:J,MATCH($C363,'Policy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3" s="275" t="str">
        <f>IF(ISBLANK(INDEX('Policy Characteristics'!K:K,MATCH($C363,'Policy Characteristics'!$C:$C,0))),"",INDEX('Policy Characteristics'!K:K,MATCH($C363,'Policy Characteristics'!$C:$C,0)))</f>
        <v/>
      </c>
      <c r="R363" s="275" t="str">
        <f>IF(ISBLANK(INDEX('Policy Characteristics'!L:L,MATCH($C363,'Policy Characteristics'!$C:$C,0))),"",INDEX('Policy Characteristics'!L:L,MATCH($C363,'Policy Characteristics'!$C:$C,0)))</f>
        <v/>
      </c>
    </row>
    <row r="364" spans="1:18" s="4" customFormat="1" x14ac:dyDescent="0.25">
      <c r="A364" s="275" t="str">
        <f>IF(ISBLANK(INDEX('Policy Characteristics'!A:A,MATCH($C364,'Policy Characteristics'!$C:$C,0))),"",INDEX('Policy Characteristics'!A:A,MATCH($C364,'Policy Characteristics'!$C:$C,0)))</f>
        <v>Electricity Supply</v>
      </c>
      <c r="B364" s="284" t="str">
        <f>IF(ISBLANK(INDEX('Policy Characteristics'!B:B,MATCH($C364,'Policy Characteristics'!$C:$C,0))),"",INDEX('Policy Characteristics'!B:B,MATCH($C364,'Policy Characteristics'!$C:$C,0)))</f>
        <v>Non BAU Mandated Capacity Construction</v>
      </c>
      <c r="C364" s="275" t="str">
        <f t="shared" si="22"/>
        <v>Boolean Use Non BAU Mandated Capacity Construction Schedule</v>
      </c>
      <c r="D364" s="6" t="s">
        <v>76</v>
      </c>
      <c r="E364" s="47"/>
      <c r="F364" s="6" t="s">
        <v>3531</v>
      </c>
      <c r="G364" s="47"/>
      <c r="H364" s="44">
        <v>635</v>
      </c>
      <c r="I364" s="346" t="s">
        <v>44</v>
      </c>
      <c r="J364" s="276" t="str">
        <f>IF(ISBLANK(INDEX('Policy Characteristics'!D:D,MATCH($C364,'Policy Characteristics'!$C:$C,0))),"",INDEX('Policy Characteristics'!D:D,MATCH($C364,'Policy Characteristics'!$C:$C,0)))</f>
        <v>Non BAU Mandated Capacity Construction</v>
      </c>
      <c r="K364" s="275" t="str">
        <f>IF(ISBLANK(INDEX('Policy Characteristics'!E:E,MATCH($C364,'Policy Characteristics'!$C:$C,0))),"",INDEX('Policy Characteristics'!E:E,MATCH($C364,'Policy Characteristics'!$C:$C,0)))</f>
        <v/>
      </c>
      <c r="L364" s="275">
        <f>IF(ISBLANK(INDEX('Policy Characteristics'!F:F,MATCH($C364,'Policy Characteristics'!$C:$C,0))),"",INDEX('Policy Characteristics'!F:F,MATCH($C364,'Policy Characteristics'!$C:$C,0)))</f>
        <v>0</v>
      </c>
      <c r="M364" s="275">
        <f>IF(ISBLANK(INDEX('Policy Characteristics'!G:G,MATCH($C364,'Policy Characteristics'!$C:$C,0))),"",INDEX('Policy Characteristics'!G:G,MATCH($C364,'Policy Characteristics'!$C:$C,0)))</f>
        <v>1</v>
      </c>
      <c r="N364" s="275">
        <f>IF(ISBLANK(INDEX('Policy Characteristics'!H:H,MATCH($C364,'Policy Characteristics'!$C:$C,0))),"",INDEX('Policy Characteristics'!H:H,MATCH($C364,'Policy Characteristics'!$C:$C,0)))</f>
        <v>1</v>
      </c>
      <c r="O364" s="275" t="str">
        <f>IF(ISBLANK(INDEX('Policy Characteristics'!I:I,MATCH($C364,'Policy Characteristics'!$C:$C,0))),"",INDEX('Policy Characteristics'!I:I,MATCH($C364,'Policy Characteristics'!$C:$C,0)))</f>
        <v>on/off</v>
      </c>
      <c r="P364" s="275" t="str">
        <f>IF(ISBLANK(INDEX('Policy Characteristics'!J:J,MATCH($C364,'Policy Characteristics'!$C:$C,0))),"",INDEX('Policy Characteristics'!J:J,MATCH($C364,'Policy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4" s="275" t="str">
        <f>IF(ISBLANK(INDEX('Policy Characteristics'!K:K,MATCH($C364,'Policy Characteristics'!$C:$C,0))),"",INDEX('Policy Characteristics'!K:K,MATCH($C364,'Policy Characteristics'!$C:$C,0)))</f>
        <v/>
      </c>
      <c r="R364" s="275" t="str">
        <f>IF(ISBLANK(INDEX('Policy Characteristics'!L:L,MATCH($C364,'Policy Characteristics'!$C:$C,0))),"",INDEX('Policy Characteristics'!L:L,MATCH($C364,'Policy Characteristics'!$C:$C,0)))</f>
        <v/>
      </c>
    </row>
    <row r="365" spans="1:18" s="4" customFormat="1" x14ac:dyDescent="0.25">
      <c r="A365" s="275" t="str">
        <f>IF(ISBLANK(INDEX('Policy Characteristics'!A:A,MATCH($C365,'Policy Characteristics'!$C:$C,0))),"",INDEX('Policy Characteristics'!A:A,MATCH($C365,'Policy Characteristics'!$C:$C,0)))</f>
        <v>Electricity Supply</v>
      </c>
      <c r="B365" s="284" t="str">
        <f>IF(ISBLANK(INDEX('Policy Characteristics'!B:B,MATCH($C365,'Policy Characteristics'!$C:$C,0))),"",INDEX('Policy Characteristics'!B:B,MATCH($C365,'Policy Characteristics'!$C:$C,0)))</f>
        <v>Non BAU Mandated Capacity Construction</v>
      </c>
      <c r="C365" s="275" t="str">
        <f t="shared" si="22"/>
        <v>Boolean Use Non BAU Mandated Capacity Construction Schedule</v>
      </c>
      <c r="D365" s="6" t="s">
        <v>77</v>
      </c>
      <c r="E365" s="47"/>
      <c r="F365" s="6" t="s">
        <v>89</v>
      </c>
      <c r="G365" s="47"/>
      <c r="H365" s="44">
        <v>636</v>
      </c>
      <c r="I365" s="346" t="s">
        <v>44</v>
      </c>
      <c r="J365" s="276" t="str">
        <f>IF(ISBLANK(INDEX('Policy Characteristics'!D:D,MATCH($C365,'Policy Characteristics'!$C:$C,0))),"",INDEX('Policy Characteristics'!D:D,MATCH($C365,'Policy Characteristics'!$C:$C,0)))</f>
        <v>Non BAU Mandated Capacity Construction</v>
      </c>
      <c r="K365" s="275" t="str">
        <f>IF(ISBLANK(INDEX('Policy Characteristics'!E:E,MATCH($C365,'Policy Characteristics'!$C:$C,0))),"",INDEX('Policy Characteristics'!E:E,MATCH($C365,'Policy Characteristics'!$C:$C,0)))</f>
        <v/>
      </c>
      <c r="L365" s="275">
        <f>IF(ISBLANK(INDEX('Policy Characteristics'!F:F,MATCH($C365,'Policy Characteristics'!$C:$C,0))),"",INDEX('Policy Characteristics'!F:F,MATCH($C365,'Policy Characteristics'!$C:$C,0)))</f>
        <v>0</v>
      </c>
      <c r="M365" s="275">
        <f>IF(ISBLANK(INDEX('Policy Characteristics'!G:G,MATCH($C365,'Policy Characteristics'!$C:$C,0))),"",INDEX('Policy Characteristics'!G:G,MATCH($C365,'Policy Characteristics'!$C:$C,0)))</f>
        <v>1</v>
      </c>
      <c r="N365" s="275">
        <f>IF(ISBLANK(INDEX('Policy Characteristics'!H:H,MATCH($C365,'Policy Characteristics'!$C:$C,0))),"",INDEX('Policy Characteristics'!H:H,MATCH($C365,'Policy Characteristics'!$C:$C,0)))</f>
        <v>1</v>
      </c>
      <c r="O365" s="275" t="str">
        <f>IF(ISBLANK(INDEX('Policy Characteristics'!I:I,MATCH($C365,'Policy Characteristics'!$C:$C,0))),"",INDEX('Policy Characteristics'!I:I,MATCH($C365,'Policy Characteristics'!$C:$C,0)))</f>
        <v>on/off</v>
      </c>
      <c r="P365" s="275" t="str">
        <f>IF(ISBLANK(INDEX('Policy Characteristics'!J:J,MATCH($C365,'Policy Characteristics'!$C:$C,0))),"",INDEX('Policy Characteristics'!J:J,MATCH($C365,'Policy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5" s="275" t="str">
        <f>IF(ISBLANK(INDEX('Policy Characteristics'!K:K,MATCH($C365,'Policy Characteristics'!$C:$C,0))),"",INDEX('Policy Characteristics'!K:K,MATCH($C365,'Policy Characteristics'!$C:$C,0)))</f>
        <v/>
      </c>
      <c r="R365" s="275" t="str">
        <f>IF(ISBLANK(INDEX('Policy Characteristics'!L:L,MATCH($C365,'Policy Characteristics'!$C:$C,0))),"",INDEX('Policy Characteristics'!L:L,MATCH($C365,'Policy Characteristics'!$C:$C,0)))</f>
        <v/>
      </c>
    </row>
    <row r="366" spans="1:18" s="4" customFormat="1" x14ac:dyDescent="0.25">
      <c r="A366" s="275" t="str">
        <f>IF(ISBLANK(INDEX('Policy Characteristics'!A:A,MATCH($C366,'Policy Characteristics'!$C:$C,0))),"",INDEX('Policy Characteristics'!A:A,MATCH($C366,'Policy Characteristics'!$C:$C,0)))</f>
        <v>Electricity Supply</v>
      </c>
      <c r="B366" s="284" t="str">
        <f>IF(ISBLANK(INDEX('Policy Characteristics'!B:B,MATCH($C366,'Policy Characteristics'!$C:$C,0))),"",INDEX('Policy Characteristics'!B:B,MATCH($C366,'Policy Characteristics'!$C:$C,0)))</f>
        <v>Non BAU Mandated Capacity Construction</v>
      </c>
      <c r="C366" s="275" t="str">
        <f t="shared" si="22"/>
        <v>Boolean Use Non BAU Mandated Capacity Construction Schedule</v>
      </c>
      <c r="D366" s="6" t="s">
        <v>449</v>
      </c>
      <c r="E366" s="47"/>
      <c r="F366" s="6" t="s">
        <v>452</v>
      </c>
      <c r="G366" s="47"/>
      <c r="H366" s="44">
        <v>637</v>
      </c>
      <c r="I366" s="346" t="s">
        <v>44</v>
      </c>
      <c r="J366" s="276" t="str">
        <f>IF(ISBLANK(INDEX('Policy Characteristics'!D:D,MATCH($C366,'Policy Characteristics'!$C:$C,0))),"",INDEX('Policy Characteristics'!D:D,MATCH($C366,'Policy Characteristics'!$C:$C,0)))</f>
        <v>Non BAU Mandated Capacity Construction</v>
      </c>
      <c r="K366" s="275" t="str">
        <f>IF(ISBLANK(INDEX('Policy Characteristics'!E:E,MATCH($C366,'Policy Characteristics'!$C:$C,0))),"",INDEX('Policy Characteristics'!E:E,MATCH($C366,'Policy Characteristics'!$C:$C,0)))</f>
        <v/>
      </c>
      <c r="L366" s="275">
        <f>IF(ISBLANK(INDEX('Policy Characteristics'!F:F,MATCH($C366,'Policy Characteristics'!$C:$C,0))),"",INDEX('Policy Characteristics'!F:F,MATCH($C366,'Policy Characteristics'!$C:$C,0)))</f>
        <v>0</v>
      </c>
      <c r="M366" s="275">
        <f>IF(ISBLANK(INDEX('Policy Characteristics'!G:G,MATCH($C366,'Policy Characteristics'!$C:$C,0))),"",INDEX('Policy Characteristics'!G:G,MATCH($C366,'Policy Characteristics'!$C:$C,0)))</f>
        <v>1</v>
      </c>
      <c r="N366" s="275">
        <f>IF(ISBLANK(INDEX('Policy Characteristics'!H:H,MATCH($C366,'Policy Characteristics'!$C:$C,0))),"",INDEX('Policy Characteristics'!H:H,MATCH($C366,'Policy Characteristics'!$C:$C,0)))</f>
        <v>1</v>
      </c>
      <c r="O366" s="275" t="str">
        <f>IF(ISBLANK(INDEX('Policy Characteristics'!I:I,MATCH($C366,'Policy Characteristics'!$C:$C,0))),"",INDEX('Policy Characteristics'!I:I,MATCH($C366,'Policy Characteristics'!$C:$C,0)))</f>
        <v>on/off</v>
      </c>
      <c r="P366" s="275" t="str">
        <f>IF(ISBLANK(INDEX('Policy Characteristics'!J:J,MATCH($C366,'Policy Characteristics'!$C:$C,0))),"",INDEX('Policy Characteristics'!J:J,MATCH($C366,'Policy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6" s="275" t="str">
        <f>IF(ISBLANK(INDEX('Policy Characteristics'!K:K,MATCH($C366,'Policy Characteristics'!$C:$C,0))),"",INDEX('Policy Characteristics'!K:K,MATCH($C366,'Policy Characteristics'!$C:$C,0)))</f>
        <v/>
      </c>
      <c r="R366" s="275" t="str">
        <f>IF(ISBLANK(INDEX('Policy Characteristics'!L:L,MATCH($C366,'Policy Characteristics'!$C:$C,0))),"",INDEX('Policy Characteristics'!L:L,MATCH($C366,'Policy Characteristics'!$C:$C,0)))</f>
        <v/>
      </c>
    </row>
    <row r="367" spans="1:18" s="4" customFormat="1" x14ac:dyDescent="0.25">
      <c r="A367" s="275" t="str">
        <f>IF(ISBLANK(INDEX('Policy Characteristics'!A:A,MATCH($C367,'Policy Characteristics'!$C:$C,0))),"",INDEX('Policy Characteristics'!A:A,MATCH($C367,'Policy Characteristics'!$C:$C,0)))</f>
        <v>Electricity Supply</v>
      </c>
      <c r="B367" s="284" t="str">
        <f>IF(ISBLANK(INDEX('Policy Characteristics'!B:B,MATCH($C367,'Policy Characteristics'!$C:$C,0))),"",INDEX('Policy Characteristics'!B:B,MATCH($C367,'Policy Characteristics'!$C:$C,0)))</f>
        <v>Non BAU Mandated Capacity Construction</v>
      </c>
      <c r="C367" s="275" t="str">
        <f t="shared" si="22"/>
        <v>Boolean Use Non BAU Mandated Capacity Construction Schedule</v>
      </c>
      <c r="D367" s="6" t="s">
        <v>78</v>
      </c>
      <c r="E367" s="47"/>
      <c r="F367" s="6" t="s">
        <v>90</v>
      </c>
      <c r="G367" s="47"/>
      <c r="H367" s="44">
        <v>638</v>
      </c>
      <c r="I367" s="346" t="s">
        <v>44</v>
      </c>
      <c r="J367" s="276" t="str">
        <f>IF(ISBLANK(INDEX('Policy Characteristics'!D:D,MATCH($C367,'Policy Characteristics'!$C:$C,0))),"",INDEX('Policy Characteristics'!D:D,MATCH($C367,'Policy Characteristics'!$C:$C,0)))</f>
        <v>Non BAU Mandated Capacity Construction</v>
      </c>
      <c r="K367" s="275" t="str">
        <f>IF(ISBLANK(INDEX('Policy Characteristics'!E:E,MATCH($C367,'Policy Characteristics'!$C:$C,0))),"",INDEX('Policy Characteristics'!E:E,MATCH($C367,'Policy Characteristics'!$C:$C,0)))</f>
        <v/>
      </c>
      <c r="L367" s="275">
        <f>IF(ISBLANK(INDEX('Policy Characteristics'!F:F,MATCH($C367,'Policy Characteristics'!$C:$C,0))),"",INDEX('Policy Characteristics'!F:F,MATCH($C367,'Policy Characteristics'!$C:$C,0)))</f>
        <v>0</v>
      </c>
      <c r="M367" s="275">
        <f>IF(ISBLANK(INDEX('Policy Characteristics'!G:G,MATCH($C367,'Policy Characteristics'!$C:$C,0))),"",INDEX('Policy Characteristics'!G:G,MATCH($C367,'Policy Characteristics'!$C:$C,0)))</f>
        <v>1</v>
      </c>
      <c r="N367" s="275">
        <f>IF(ISBLANK(INDEX('Policy Characteristics'!H:H,MATCH($C367,'Policy Characteristics'!$C:$C,0))),"",INDEX('Policy Characteristics'!H:H,MATCH($C367,'Policy Characteristics'!$C:$C,0)))</f>
        <v>1</v>
      </c>
      <c r="O367" s="275" t="str">
        <f>IF(ISBLANK(INDEX('Policy Characteristics'!I:I,MATCH($C367,'Policy Characteristics'!$C:$C,0))),"",INDEX('Policy Characteristics'!I:I,MATCH($C367,'Policy Characteristics'!$C:$C,0)))</f>
        <v>on/off</v>
      </c>
      <c r="P367" s="275" t="str">
        <f>IF(ISBLANK(INDEX('Policy Characteristics'!J:J,MATCH($C367,'Policy Characteristics'!$C:$C,0))),"",INDEX('Policy Characteristics'!J:J,MATCH($C367,'Policy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7" s="275" t="str">
        <f>IF(ISBLANK(INDEX('Policy Characteristics'!K:K,MATCH($C367,'Policy Characteristics'!$C:$C,0))),"",INDEX('Policy Characteristics'!K:K,MATCH($C367,'Policy Characteristics'!$C:$C,0)))</f>
        <v/>
      </c>
      <c r="R367" s="275" t="str">
        <f>IF(ISBLANK(INDEX('Policy Characteristics'!L:L,MATCH($C367,'Policy Characteristics'!$C:$C,0))),"",INDEX('Policy Characteristics'!L:L,MATCH($C367,'Policy Characteristics'!$C:$C,0)))</f>
        <v/>
      </c>
    </row>
    <row r="368" spans="1:18" s="4" customFormat="1" x14ac:dyDescent="0.25">
      <c r="A368" s="275" t="str">
        <f>IF(ISBLANK(INDEX('Policy Characteristics'!A:A,MATCH($C368,'Policy Characteristics'!$C:$C,0))),"",INDEX('Policy Characteristics'!A:A,MATCH($C368,'Policy Characteristics'!$C:$C,0)))</f>
        <v>Electricity Supply</v>
      </c>
      <c r="B368" s="284" t="str">
        <f>IF(ISBLANK(INDEX('Policy Characteristics'!B:B,MATCH($C368,'Policy Characteristics'!$C:$C,0))),"",INDEX('Policy Characteristics'!B:B,MATCH($C368,'Policy Characteristics'!$C:$C,0)))</f>
        <v>Non BAU Mandated Capacity Construction</v>
      </c>
      <c r="C368" s="275" t="str">
        <f t="shared" si="22"/>
        <v>Boolean Use Non BAU Mandated Capacity Construction Schedule</v>
      </c>
      <c r="D368" s="6" t="s">
        <v>79</v>
      </c>
      <c r="E368" s="47"/>
      <c r="F368" s="6" t="s">
        <v>91</v>
      </c>
      <c r="G368" s="47"/>
      <c r="H368" s="44">
        <v>639</v>
      </c>
      <c r="I368" s="346" t="s">
        <v>44</v>
      </c>
      <c r="J368" s="276" t="str">
        <f>IF(ISBLANK(INDEX('Policy Characteristics'!D:D,MATCH($C368,'Policy Characteristics'!$C:$C,0))),"",INDEX('Policy Characteristics'!D:D,MATCH($C368,'Policy Characteristics'!$C:$C,0)))</f>
        <v>Non BAU Mandated Capacity Construction</v>
      </c>
      <c r="K368" s="275" t="str">
        <f>IF(ISBLANK(INDEX('Policy Characteristics'!E:E,MATCH($C368,'Policy Characteristics'!$C:$C,0))),"",INDEX('Policy Characteristics'!E:E,MATCH($C368,'Policy Characteristics'!$C:$C,0)))</f>
        <v/>
      </c>
      <c r="L368" s="275">
        <f>IF(ISBLANK(INDEX('Policy Characteristics'!F:F,MATCH($C368,'Policy Characteristics'!$C:$C,0))),"",INDEX('Policy Characteristics'!F:F,MATCH($C368,'Policy Characteristics'!$C:$C,0)))</f>
        <v>0</v>
      </c>
      <c r="M368" s="275">
        <f>IF(ISBLANK(INDEX('Policy Characteristics'!G:G,MATCH($C368,'Policy Characteristics'!$C:$C,0))),"",INDEX('Policy Characteristics'!G:G,MATCH($C368,'Policy Characteristics'!$C:$C,0)))</f>
        <v>1</v>
      </c>
      <c r="N368" s="275">
        <f>IF(ISBLANK(INDEX('Policy Characteristics'!H:H,MATCH($C368,'Policy Characteristics'!$C:$C,0))),"",INDEX('Policy Characteristics'!H:H,MATCH($C368,'Policy Characteristics'!$C:$C,0)))</f>
        <v>1</v>
      </c>
      <c r="O368" s="275" t="str">
        <f>IF(ISBLANK(INDEX('Policy Characteristics'!I:I,MATCH($C368,'Policy Characteristics'!$C:$C,0))),"",INDEX('Policy Characteristics'!I:I,MATCH($C368,'Policy Characteristics'!$C:$C,0)))</f>
        <v>on/off</v>
      </c>
      <c r="P368" s="275" t="str">
        <f>IF(ISBLANK(INDEX('Policy Characteristics'!J:J,MATCH($C368,'Policy Characteristics'!$C:$C,0))),"",INDEX('Policy Characteristics'!J:J,MATCH($C368,'Policy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8" s="275" t="str">
        <f>IF(ISBLANK(INDEX('Policy Characteristics'!K:K,MATCH($C368,'Policy Characteristics'!$C:$C,0))),"",INDEX('Policy Characteristics'!K:K,MATCH($C368,'Policy Characteristics'!$C:$C,0)))</f>
        <v/>
      </c>
      <c r="R368" s="275" t="str">
        <f>IF(ISBLANK(INDEX('Policy Characteristics'!L:L,MATCH($C368,'Policy Characteristics'!$C:$C,0))),"",INDEX('Policy Characteristics'!L:L,MATCH($C368,'Policy Characteristics'!$C:$C,0)))</f>
        <v/>
      </c>
    </row>
    <row r="369" spans="1:18" s="4" customFormat="1" x14ac:dyDescent="0.25">
      <c r="A369" s="275" t="str">
        <f>IF(ISBLANK(INDEX('Policy Characteristics'!A:A,MATCH($C369,'Policy Characteristics'!$C:$C,0))),"",INDEX('Policy Characteristics'!A:A,MATCH($C369,'Policy Characteristics'!$C:$C,0)))</f>
        <v>Electricity Supply</v>
      </c>
      <c r="B369" s="284" t="str">
        <f>IF(ISBLANK(INDEX('Policy Characteristics'!B:B,MATCH($C369,'Policy Characteristics'!$C:$C,0))),"",INDEX('Policy Characteristics'!B:B,MATCH($C369,'Policy Characteristics'!$C:$C,0)))</f>
        <v>Non BAU Mandated Capacity Construction</v>
      </c>
      <c r="C369" s="275" t="str">
        <f t="shared" si="22"/>
        <v>Boolean Use Non BAU Mandated Capacity Construction Schedule</v>
      </c>
      <c r="D369" s="6" t="s">
        <v>80</v>
      </c>
      <c r="E369" s="47"/>
      <c r="F369" s="6" t="s">
        <v>92</v>
      </c>
      <c r="G369" s="47"/>
      <c r="H369" s="44">
        <v>640</v>
      </c>
      <c r="I369" s="346" t="s">
        <v>44</v>
      </c>
      <c r="J369" s="276" t="str">
        <f>IF(ISBLANK(INDEX('Policy Characteristics'!D:D,MATCH($C369,'Policy Characteristics'!$C:$C,0))),"",INDEX('Policy Characteristics'!D:D,MATCH($C369,'Policy Characteristics'!$C:$C,0)))</f>
        <v>Non BAU Mandated Capacity Construction</v>
      </c>
      <c r="K369" s="275" t="str">
        <f>IF(ISBLANK(INDEX('Policy Characteristics'!E:E,MATCH($C369,'Policy Characteristics'!$C:$C,0))),"",INDEX('Policy Characteristics'!E:E,MATCH($C369,'Policy Characteristics'!$C:$C,0)))</f>
        <v/>
      </c>
      <c r="L369" s="275">
        <f>IF(ISBLANK(INDEX('Policy Characteristics'!F:F,MATCH($C369,'Policy Characteristics'!$C:$C,0))),"",INDEX('Policy Characteristics'!F:F,MATCH($C369,'Policy Characteristics'!$C:$C,0)))</f>
        <v>0</v>
      </c>
      <c r="M369" s="275">
        <f>IF(ISBLANK(INDEX('Policy Characteristics'!G:G,MATCH($C369,'Policy Characteristics'!$C:$C,0))),"",INDEX('Policy Characteristics'!G:G,MATCH($C369,'Policy Characteristics'!$C:$C,0)))</f>
        <v>1</v>
      </c>
      <c r="N369" s="275">
        <f>IF(ISBLANK(INDEX('Policy Characteristics'!H:H,MATCH($C369,'Policy Characteristics'!$C:$C,0))),"",INDEX('Policy Characteristics'!H:H,MATCH($C369,'Policy Characteristics'!$C:$C,0)))</f>
        <v>1</v>
      </c>
      <c r="O369" s="275" t="str">
        <f>IF(ISBLANK(INDEX('Policy Characteristics'!I:I,MATCH($C369,'Policy Characteristics'!$C:$C,0))),"",INDEX('Policy Characteristics'!I:I,MATCH($C369,'Policy Characteristics'!$C:$C,0)))</f>
        <v>on/off</v>
      </c>
      <c r="P369" s="275" t="str">
        <f>IF(ISBLANK(INDEX('Policy Characteristics'!J:J,MATCH($C369,'Policy Characteristics'!$C:$C,0))),"",INDEX('Policy Characteristics'!J:J,MATCH($C369,'Policy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9" s="275" t="str">
        <f>IF(ISBLANK(INDEX('Policy Characteristics'!K:K,MATCH($C369,'Policy Characteristics'!$C:$C,0))),"",INDEX('Policy Characteristics'!K:K,MATCH($C369,'Policy Characteristics'!$C:$C,0)))</f>
        <v/>
      </c>
      <c r="R369" s="275" t="str">
        <f>IF(ISBLANK(INDEX('Policy Characteristics'!L:L,MATCH($C369,'Policy Characteristics'!$C:$C,0))),"",INDEX('Policy Characteristics'!L:L,MATCH($C369,'Policy Characteristics'!$C:$C,0)))</f>
        <v/>
      </c>
    </row>
    <row r="370" spans="1:18" s="4" customFormat="1" x14ac:dyDescent="0.25">
      <c r="A370" s="275" t="str">
        <f>IF(ISBLANK(INDEX('Policy Characteristics'!A:A,MATCH($C370,'Policy Characteristics'!$C:$C,0))),"",INDEX('Policy Characteristics'!A:A,MATCH($C370,'Policy Characteristics'!$C:$C,0)))</f>
        <v>Electricity Supply</v>
      </c>
      <c r="B370" s="284" t="str">
        <f>IF(ISBLANK(INDEX('Policy Characteristics'!B:B,MATCH($C370,'Policy Characteristics'!$C:$C,0))),"",INDEX('Policy Characteristics'!B:B,MATCH($C370,'Policy Characteristics'!$C:$C,0)))</f>
        <v>Non BAU Mandated Capacity Construction</v>
      </c>
      <c r="C370" s="275" t="str">
        <f t="shared" si="22"/>
        <v>Boolean Use Non BAU Mandated Capacity Construction Schedule</v>
      </c>
      <c r="D370" s="6" t="s">
        <v>2427</v>
      </c>
      <c r="E370" s="47"/>
      <c r="F370" s="6" t="s">
        <v>437</v>
      </c>
      <c r="G370" s="47"/>
      <c r="H370" s="44">
        <v>641</v>
      </c>
      <c r="I370" s="346" t="s">
        <v>44</v>
      </c>
      <c r="J370" s="276" t="str">
        <f>IF(ISBLANK(INDEX('Policy Characteristics'!D:D,MATCH($C370,'Policy Characteristics'!$C:$C,0))),"",INDEX('Policy Characteristics'!D:D,MATCH($C370,'Policy Characteristics'!$C:$C,0)))</f>
        <v>Non BAU Mandated Capacity Construction</v>
      </c>
      <c r="K370" s="275" t="str">
        <f>IF(ISBLANK(INDEX('Policy Characteristics'!E:E,MATCH($C370,'Policy Characteristics'!$C:$C,0))),"",INDEX('Policy Characteristics'!E:E,MATCH($C370,'Policy Characteristics'!$C:$C,0)))</f>
        <v/>
      </c>
      <c r="L370" s="275">
        <f>IF(ISBLANK(INDEX('Policy Characteristics'!F:F,MATCH($C370,'Policy Characteristics'!$C:$C,0))),"",INDEX('Policy Characteristics'!F:F,MATCH($C370,'Policy Characteristics'!$C:$C,0)))</f>
        <v>0</v>
      </c>
      <c r="M370" s="275">
        <f>IF(ISBLANK(INDEX('Policy Characteristics'!G:G,MATCH($C370,'Policy Characteristics'!$C:$C,0))),"",INDEX('Policy Characteristics'!G:G,MATCH($C370,'Policy Characteristics'!$C:$C,0)))</f>
        <v>1</v>
      </c>
      <c r="N370" s="275">
        <f>IF(ISBLANK(INDEX('Policy Characteristics'!H:H,MATCH($C370,'Policy Characteristics'!$C:$C,0))),"",INDEX('Policy Characteristics'!H:H,MATCH($C370,'Policy Characteristics'!$C:$C,0)))</f>
        <v>1</v>
      </c>
      <c r="O370" s="275" t="str">
        <f>IF(ISBLANK(INDEX('Policy Characteristics'!I:I,MATCH($C370,'Policy Characteristics'!$C:$C,0))),"",INDEX('Policy Characteristics'!I:I,MATCH($C370,'Policy Characteristics'!$C:$C,0)))</f>
        <v>on/off</v>
      </c>
      <c r="P370" s="275" t="str">
        <f>IF(ISBLANK(INDEX('Policy Characteristics'!J:J,MATCH($C370,'Policy Characteristics'!$C:$C,0))),"",INDEX('Policy Characteristics'!J:J,MATCH($C370,'Policy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0" s="275" t="str">
        <f>IF(ISBLANK(INDEX('Policy Characteristics'!K:K,MATCH($C370,'Policy Characteristics'!$C:$C,0))),"",INDEX('Policy Characteristics'!K:K,MATCH($C370,'Policy Characteristics'!$C:$C,0)))</f>
        <v/>
      </c>
      <c r="R370" s="275" t="str">
        <f>IF(ISBLANK(INDEX('Policy Characteristics'!L:L,MATCH($C370,'Policy Characteristics'!$C:$C,0))),"",INDEX('Policy Characteristics'!L:L,MATCH($C370,'Policy Characteristics'!$C:$C,0)))</f>
        <v/>
      </c>
    </row>
    <row r="371" spans="1:18" s="4" customFormat="1" x14ac:dyDescent="0.25">
      <c r="A371" s="275" t="str">
        <f>IF(ISBLANK(INDEX('Policy Characteristics'!A:A,MATCH($C371,'Policy Characteristics'!$C:$C,0))),"",INDEX('Policy Characteristics'!A:A,MATCH($C371,'Policy Characteristics'!$C:$C,0)))</f>
        <v>Electricity Supply</v>
      </c>
      <c r="B371" s="284" t="str">
        <f>IF(ISBLANK(INDEX('Policy Characteristics'!B:B,MATCH($C371,'Policy Characteristics'!$C:$C,0))),"",INDEX('Policy Characteristics'!B:B,MATCH($C371,'Policy Characteristics'!$C:$C,0)))</f>
        <v>Non BAU Mandated Capacity Construction</v>
      </c>
      <c r="C371" s="275" t="str">
        <f t="shared" si="22"/>
        <v>Boolean Use Non BAU Mandated Capacity Construction Schedule</v>
      </c>
      <c r="D371" s="6" t="s">
        <v>309</v>
      </c>
      <c r="E371" s="47"/>
      <c r="F371" s="6" t="s">
        <v>311</v>
      </c>
      <c r="G371" s="47"/>
      <c r="H371" s="44">
        <v>642</v>
      </c>
      <c r="I371" s="346" t="s">
        <v>44</v>
      </c>
      <c r="J371" s="276" t="str">
        <f>IF(ISBLANK(INDEX('Policy Characteristics'!D:D,MATCH($C371,'Policy Characteristics'!$C:$C,0))),"",INDEX('Policy Characteristics'!D:D,MATCH($C371,'Policy Characteristics'!$C:$C,0)))</f>
        <v>Non BAU Mandated Capacity Construction</v>
      </c>
      <c r="K371" s="275" t="str">
        <f>IF(ISBLANK(INDEX('Policy Characteristics'!E:E,MATCH($C371,'Policy Characteristics'!$C:$C,0))),"",INDEX('Policy Characteristics'!E:E,MATCH($C371,'Policy Characteristics'!$C:$C,0)))</f>
        <v/>
      </c>
      <c r="L371" s="275">
        <f>IF(ISBLANK(INDEX('Policy Characteristics'!F:F,MATCH($C371,'Policy Characteristics'!$C:$C,0))),"",INDEX('Policy Characteristics'!F:F,MATCH($C371,'Policy Characteristics'!$C:$C,0)))</f>
        <v>0</v>
      </c>
      <c r="M371" s="275">
        <f>IF(ISBLANK(INDEX('Policy Characteristics'!G:G,MATCH($C371,'Policy Characteristics'!$C:$C,0))),"",INDEX('Policy Characteristics'!G:G,MATCH($C371,'Policy Characteristics'!$C:$C,0)))</f>
        <v>1</v>
      </c>
      <c r="N371" s="275">
        <f>IF(ISBLANK(INDEX('Policy Characteristics'!H:H,MATCH($C371,'Policy Characteristics'!$C:$C,0))),"",INDEX('Policy Characteristics'!H:H,MATCH($C371,'Policy Characteristics'!$C:$C,0)))</f>
        <v>1</v>
      </c>
      <c r="O371" s="275" t="str">
        <f>IF(ISBLANK(INDEX('Policy Characteristics'!I:I,MATCH($C371,'Policy Characteristics'!$C:$C,0))),"",INDEX('Policy Characteristics'!I:I,MATCH($C371,'Policy Characteristics'!$C:$C,0)))</f>
        <v>on/off</v>
      </c>
      <c r="P371" s="275" t="str">
        <f>IF(ISBLANK(INDEX('Policy Characteristics'!J:J,MATCH($C371,'Policy Characteristics'!$C:$C,0))),"",INDEX('Policy Characteristics'!J:J,MATCH($C371,'Policy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1" s="275" t="str">
        <f>IF(ISBLANK(INDEX('Policy Characteristics'!K:K,MATCH($C371,'Policy Characteristics'!$C:$C,0))),"",INDEX('Policy Characteristics'!K:K,MATCH($C371,'Policy Characteristics'!$C:$C,0)))</f>
        <v/>
      </c>
      <c r="R371" s="275" t="str">
        <f>IF(ISBLANK(INDEX('Policy Characteristics'!L:L,MATCH($C371,'Policy Characteristics'!$C:$C,0))),"",INDEX('Policy Characteristics'!L:L,MATCH($C371,'Policy Characteristics'!$C:$C,0)))</f>
        <v/>
      </c>
    </row>
    <row r="372" spans="1:18" s="4" customFormat="1" x14ac:dyDescent="0.25">
      <c r="A372" s="275" t="str">
        <f>IF(ISBLANK(INDEX('Policy Characteristics'!A:A,MATCH($C372,'Policy Characteristics'!$C:$C,0))),"",INDEX('Policy Characteristics'!A:A,MATCH($C372,'Policy Characteristics'!$C:$C,0)))</f>
        <v>Electricity Supply</v>
      </c>
      <c r="B372" s="284" t="str">
        <f>IF(ISBLANK(INDEX('Policy Characteristics'!B:B,MATCH($C372,'Policy Characteristics'!$C:$C,0))),"",INDEX('Policy Characteristics'!B:B,MATCH($C372,'Policy Characteristics'!$C:$C,0)))</f>
        <v>Non BAU Mandated Capacity Construction</v>
      </c>
      <c r="C372" s="275" t="str">
        <f t="shared" si="22"/>
        <v>Boolean Use Non BAU Mandated Capacity Construction Schedule</v>
      </c>
      <c r="D372" s="6" t="s">
        <v>310</v>
      </c>
      <c r="E372" s="47"/>
      <c r="F372" s="6" t="s">
        <v>312</v>
      </c>
      <c r="G372" s="47"/>
      <c r="H372" s="44">
        <v>643</v>
      </c>
      <c r="I372" s="346" t="s">
        <v>44</v>
      </c>
      <c r="J372" s="276" t="str">
        <f>IF(ISBLANK(INDEX('Policy Characteristics'!D:D,MATCH($C372,'Policy Characteristics'!$C:$C,0))),"",INDEX('Policy Characteristics'!D:D,MATCH($C372,'Policy Characteristics'!$C:$C,0)))</f>
        <v>Non BAU Mandated Capacity Construction</v>
      </c>
      <c r="K372" s="275" t="str">
        <f>IF(ISBLANK(INDEX('Policy Characteristics'!E:E,MATCH($C372,'Policy Characteristics'!$C:$C,0))),"",INDEX('Policy Characteristics'!E:E,MATCH($C372,'Policy Characteristics'!$C:$C,0)))</f>
        <v/>
      </c>
      <c r="L372" s="275">
        <f>IF(ISBLANK(INDEX('Policy Characteristics'!F:F,MATCH($C372,'Policy Characteristics'!$C:$C,0))),"",INDEX('Policy Characteristics'!F:F,MATCH($C372,'Policy Characteristics'!$C:$C,0)))</f>
        <v>0</v>
      </c>
      <c r="M372" s="275">
        <f>IF(ISBLANK(INDEX('Policy Characteristics'!G:G,MATCH($C372,'Policy Characteristics'!$C:$C,0))),"",INDEX('Policy Characteristics'!G:G,MATCH($C372,'Policy Characteristics'!$C:$C,0)))</f>
        <v>1</v>
      </c>
      <c r="N372" s="275">
        <f>IF(ISBLANK(INDEX('Policy Characteristics'!H:H,MATCH($C372,'Policy Characteristics'!$C:$C,0))),"",INDEX('Policy Characteristics'!H:H,MATCH($C372,'Policy Characteristics'!$C:$C,0)))</f>
        <v>1</v>
      </c>
      <c r="O372" s="275" t="str">
        <f>IF(ISBLANK(INDEX('Policy Characteristics'!I:I,MATCH($C372,'Policy Characteristics'!$C:$C,0))),"",INDEX('Policy Characteristics'!I:I,MATCH($C372,'Policy Characteristics'!$C:$C,0)))</f>
        <v>on/off</v>
      </c>
      <c r="P372" s="275" t="str">
        <f>IF(ISBLANK(INDEX('Policy Characteristics'!J:J,MATCH($C372,'Policy Characteristics'!$C:$C,0))),"",INDEX('Policy Characteristics'!J:J,MATCH($C372,'Policy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2" s="275" t="str">
        <f>IF(ISBLANK(INDEX('Policy Characteristics'!K:K,MATCH($C372,'Policy Characteristics'!$C:$C,0))),"",INDEX('Policy Characteristics'!K:K,MATCH($C372,'Policy Characteristics'!$C:$C,0)))</f>
        <v/>
      </c>
      <c r="R372" s="275" t="str">
        <f>IF(ISBLANK(INDEX('Policy Characteristics'!L:L,MATCH($C372,'Policy Characteristics'!$C:$C,0))),"",INDEX('Policy Characteristics'!L:L,MATCH($C372,'Policy Characteristics'!$C:$C,0)))</f>
        <v/>
      </c>
    </row>
    <row r="373" spans="1:18" s="4" customFormat="1" x14ac:dyDescent="0.25">
      <c r="A373" s="275" t="str">
        <f>IF(ISBLANK(INDEX('Policy Characteristics'!A:A,MATCH($C373,'Policy Characteristics'!$C:$C,0))),"",INDEX('Policy Characteristics'!A:A,MATCH($C373,'Policy Characteristics'!$C:$C,0)))</f>
        <v>Electricity Supply</v>
      </c>
      <c r="B373" s="284" t="str">
        <f>IF(ISBLANK(INDEX('Policy Characteristics'!B:B,MATCH($C373,'Policy Characteristics'!$C:$C,0))),"",INDEX('Policy Characteristics'!B:B,MATCH($C373,'Policy Characteristics'!$C:$C,0)))</f>
        <v>Non BAU Mandated Capacity Construction</v>
      </c>
      <c r="C373" s="275" t="str">
        <f t="shared" si="22"/>
        <v>Boolean Use Non BAU Mandated Capacity Construction Schedule</v>
      </c>
      <c r="D373" s="6" t="s">
        <v>445</v>
      </c>
      <c r="E373" s="47"/>
      <c r="F373" s="6" t="s">
        <v>444</v>
      </c>
      <c r="G373" s="47"/>
      <c r="H373" s="44">
        <v>644</v>
      </c>
      <c r="I373" s="346" t="s">
        <v>44</v>
      </c>
      <c r="J373" s="276" t="str">
        <f>IF(ISBLANK(INDEX('Policy Characteristics'!D:D,MATCH($C373,'Policy Characteristics'!$C:$C,0))),"",INDEX('Policy Characteristics'!D:D,MATCH($C373,'Policy Characteristics'!$C:$C,0)))</f>
        <v>Non BAU Mandated Capacity Construction</v>
      </c>
      <c r="K373" s="275" t="str">
        <f>IF(ISBLANK(INDEX('Policy Characteristics'!E:E,MATCH($C373,'Policy Characteristics'!$C:$C,0))),"",INDEX('Policy Characteristics'!E:E,MATCH($C373,'Policy Characteristics'!$C:$C,0)))</f>
        <v/>
      </c>
      <c r="L373" s="275">
        <f>IF(ISBLANK(INDEX('Policy Characteristics'!F:F,MATCH($C373,'Policy Characteristics'!$C:$C,0))),"",INDEX('Policy Characteristics'!F:F,MATCH($C373,'Policy Characteristics'!$C:$C,0)))</f>
        <v>0</v>
      </c>
      <c r="M373" s="275">
        <f>IF(ISBLANK(INDEX('Policy Characteristics'!G:G,MATCH($C373,'Policy Characteristics'!$C:$C,0))),"",INDEX('Policy Characteristics'!G:G,MATCH($C373,'Policy Characteristics'!$C:$C,0)))</f>
        <v>1</v>
      </c>
      <c r="N373" s="275">
        <f>IF(ISBLANK(INDEX('Policy Characteristics'!H:H,MATCH($C373,'Policy Characteristics'!$C:$C,0))),"",INDEX('Policy Characteristics'!H:H,MATCH($C373,'Policy Characteristics'!$C:$C,0)))</f>
        <v>1</v>
      </c>
      <c r="O373" s="275" t="str">
        <f>IF(ISBLANK(INDEX('Policy Characteristics'!I:I,MATCH($C373,'Policy Characteristics'!$C:$C,0))),"",INDEX('Policy Characteristics'!I:I,MATCH($C373,'Policy Characteristics'!$C:$C,0)))</f>
        <v>on/off</v>
      </c>
      <c r="P373" s="275" t="str">
        <f>IF(ISBLANK(INDEX('Policy Characteristics'!J:J,MATCH($C373,'Policy Characteristics'!$C:$C,0))),"",INDEX('Policy Characteristics'!J:J,MATCH($C373,'Policy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3" s="275" t="str">
        <f>IF(ISBLANK(INDEX('Policy Characteristics'!K:K,MATCH($C373,'Policy Characteristics'!$C:$C,0))),"",INDEX('Policy Characteristics'!K:K,MATCH($C373,'Policy Characteristics'!$C:$C,0)))</f>
        <v/>
      </c>
      <c r="R373" s="275" t="str">
        <f>IF(ISBLANK(INDEX('Policy Characteristics'!L:L,MATCH($C373,'Policy Characteristics'!$C:$C,0))),"",INDEX('Policy Characteristics'!L:L,MATCH($C373,'Policy Characteristics'!$C:$C,0)))</f>
        <v/>
      </c>
    </row>
    <row r="374" spans="1:18" s="4" customFormat="1" x14ac:dyDescent="0.25">
      <c r="A374" s="275" t="str">
        <f>IF(ISBLANK(INDEX('Policy Characteristics'!A:A,MATCH($C374,'Policy Characteristics'!$C:$C,0))),"",INDEX('Policy Characteristics'!A:A,MATCH($C374,'Policy Characteristics'!$C:$C,0)))</f>
        <v>Electricity Supply</v>
      </c>
      <c r="B374" s="284" t="str">
        <f>IF(ISBLANK(INDEX('Policy Characteristics'!B:B,MATCH($C374,'Policy Characteristics'!$C:$C,0))),"",INDEX('Policy Characteristics'!B:B,MATCH($C374,'Policy Characteristics'!$C:$C,0)))</f>
        <v>Non BAU Mandated Capacity Construction</v>
      </c>
      <c r="C374" s="275" t="str">
        <f t="shared" si="22"/>
        <v>Boolean Use Non BAU Mandated Capacity Construction Schedule</v>
      </c>
      <c r="D374" s="6" t="s">
        <v>454</v>
      </c>
      <c r="E374" s="47"/>
      <c r="F374" s="6" t="s">
        <v>455</v>
      </c>
      <c r="G374" s="47"/>
      <c r="H374" s="44">
        <v>645</v>
      </c>
      <c r="I374" s="346" t="s">
        <v>43</v>
      </c>
      <c r="J374" s="276" t="str">
        <f>IF(ISBLANK(INDEX('Policy Characteristics'!D:D,MATCH($C374,'Policy Characteristics'!$C:$C,0))),"",INDEX('Policy Characteristics'!D:D,MATCH($C374,'Policy Characteristics'!$C:$C,0)))</f>
        <v>Non BAU Mandated Capacity Construction</v>
      </c>
      <c r="K374" s="275" t="str">
        <f>IF(ISBLANK(INDEX('Policy Characteristics'!E:E,MATCH($C374,'Policy Characteristics'!$C:$C,0))),"",INDEX('Policy Characteristics'!E:E,MATCH($C374,'Policy Characteristics'!$C:$C,0)))</f>
        <v/>
      </c>
      <c r="L374" s="275">
        <f>IF(ISBLANK(INDEX('Policy Characteristics'!F:F,MATCH($C374,'Policy Characteristics'!$C:$C,0))),"",INDEX('Policy Characteristics'!F:F,MATCH($C374,'Policy Characteristics'!$C:$C,0)))</f>
        <v>0</v>
      </c>
      <c r="M374" s="275">
        <f>IF(ISBLANK(INDEX('Policy Characteristics'!G:G,MATCH($C374,'Policy Characteristics'!$C:$C,0))),"",INDEX('Policy Characteristics'!G:G,MATCH($C374,'Policy Characteristics'!$C:$C,0)))</f>
        <v>1</v>
      </c>
      <c r="N374" s="275">
        <f>IF(ISBLANK(INDEX('Policy Characteristics'!H:H,MATCH($C374,'Policy Characteristics'!$C:$C,0))),"",INDEX('Policy Characteristics'!H:H,MATCH($C374,'Policy Characteristics'!$C:$C,0)))</f>
        <v>1</v>
      </c>
      <c r="O374" s="275" t="str">
        <f>IF(ISBLANK(INDEX('Policy Characteristics'!I:I,MATCH($C374,'Policy Characteristics'!$C:$C,0))),"",INDEX('Policy Characteristics'!I:I,MATCH($C374,'Policy Characteristics'!$C:$C,0)))</f>
        <v>on/off</v>
      </c>
      <c r="P374" s="275" t="str">
        <f>IF(ISBLANK(INDEX('Policy Characteristics'!J:J,MATCH($C374,'Policy Characteristics'!$C:$C,0))),"",INDEX('Policy Characteristics'!J:J,MATCH($C374,'Policy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4" s="275" t="str">
        <f>IF(ISBLANK(INDEX('Policy Characteristics'!K:K,MATCH($C374,'Policy Characteristics'!$C:$C,0))),"",INDEX('Policy Characteristics'!K:K,MATCH($C374,'Policy Characteristics'!$C:$C,0)))</f>
        <v/>
      </c>
      <c r="R374" s="275" t="str">
        <f>IF(ISBLANK(INDEX('Policy Characteristics'!L:L,MATCH($C374,'Policy Characteristics'!$C:$C,0))),"",INDEX('Policy Characteristics'!L:L,MATCH($C374,'Policy Characteristics'!$C:$C,0)))</f>
        <v/>
      </c>
    </row>
    <row r="375" spans="1:18" s="4" customFormat="1" x14ac:dyDescent="0.25">
      <c r="A375" s="275" t="str">
        <f>IF(ISBLANK(INDEX('Policy Characteristics'!A:A,MATCH($C375,'Policy Characteristics'!$C:$C,0))),"",INDEX('Policy Characteristics'!A:A,MATCH($C375,'Policy Characteristics'!$C:$C,0)))</f>
        <v>Electricity Supply</v>
      </c>
      <c r="B375" s="284" t="str">
        <f>IF(ISBLANK(INDEX('Policy Characteristics'!B:B,MATCH($C375,'Policy Characteristics'!$C:$C,0))),"",INDEX('Policy Characteristics'!B:B,MATCH($C375,'Policy Characteristics'!$C:$C,0)))</f>
        <v>Non BAU Mandated Capacity Construction</v>
      </c>
      <c r="C375" s="275" t="str">
        <f t="shared" si="22"/>
        <v>Boolean Use Non BAU Mandated Capacity Construction Schedule</v>
      </c>
      <c r="D375" s="6" t="s">
        <v>2752</v>
      </c>
      <c r="E375" s="47"/>
      <c r="F375" s="6" t="s">
        <v>2471</v>
      </c>
      <c r="G375" s="47"/>
      <c r="H375" s="44">
        <v>646</v>
      </c>
      <c r="I375" s="346" t="s">
        <v>44</v>
      </c>
      <c r="J375" s="276" t="str">
        <f>IF(ISBLANK(INDEX('Policy Characteristics'!D:D,MATCH($C375,'Policy Characteristics'!$C:$C,0))),"",INDEX('Policy Characteristics'!D:D,MATCH($C375,'Policy Characteristics'!$C:$C,0)))</f>
        <v>Non BAU Mandated Capacity Construction</v>
      </c>
      <c r="K375" s="275" t="str">
        <f>IF(ISBLANK(INDEX('Policy Characteristics'!E:E,MATCH($C375,'Policy Characteristics'!$C:$C,0))),"",INDEX('Policy Characteristics'!E:E,MATCH($C375,'Policy Characteristics'!$C:$C,0)))</f>
        <v/>
      </c>
      <c r="L375" s="275">
        <f>IF(ISBLANK(INDEX('Policy Characteristics'!F:F,MATCH($C375,'Policy Characteristics'!$C:$C,0))),"",INDEX('Policy Characteristics'!F:F,MATCH($C375,'Policy Characteristics'!$C:$C,0)))</f>
        <v>0</v>
      </c>
      <c r="M375" s="275">
        <f>IF(ISBLANK(INDEX('Policy Characteristics'!G:G,MATCH($C375,'Policy Characteristics'!$C:$C,0))),"",INDEX('Policy Characteristics'!G:G,MATCH($C375,'Policy Characteristics'!$C:$C,0)))</f>
        <v>1</v>
      </c>
      <c r="N375" s="275">
        <f>IF(ISBLANK(INDEX('Policy Characteristics'!H:H,MATCH($C375,'Policy Characteristics'!$C:$C,0))),"",INDEX('Policy Characteristics'!H:H,MATCH($C375,'Policy Characteristics'!$C:$C,0)))</f>
        <v>1</v>
      </c>
      <c r="O375" s="275" t="str">
        <f>IF(ISBLANK(INDEX('Policy Characteristics'!I:I,MATCH($C375,'Policy Characteristics'!$C:$C,0))),"",INDEX('Policy Characteristics'!I:I,MATCH($C375,'Policy Characteristics'!$C:$C,0)))</f>
        <v>on/off</v>
      </c>
      <c r="P375" s="275" t="str">
        <f>IF(ISBLANK(INDEX('Policy Characteristics'!J:J,MATCH($C375,'Policy Characteristics'!$C:$C,0))),"",INDEX('Policy Characteristics'!J:J,MATCH($C375,'Policy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5" s="275" t="str">
        <f>IF(ISBLANK(INDEX('Policy Characteristics'!K:K,MATCH($C375,'Policy Characteristics'!$C:$C,0))),"",INDEX('Policy Characteristics'!K:K,MATCH($C375,'Policy Characteristics'!$C:$C,0)))</f>
        <v/>
      </c>
      <c r="R375" s="275" t="str">
        <f>IF(ISBLANK(INDEX('Policy Characteristics'!L:L,MATCH($C375,'Policy Characteristics'!$C:$C,0))),"",INDEX('Policy Characteristics'!L:L,MATCH($C375,'Policy Characteristics'!$C:$C,0)))</f>
        <v/>
      </c>
    </row>
    <row r="376" spans="1:18" s="4" customFormat="1" x14ac:dyDescent="0.25">
      <c r="A376" s="275" t="str">
        <f>IF(ISBLANK(INDEX('Policy Characteristics'!A:A,MATCH($C376,'Policy Characteristics'!$C:$C,0))),"",INDEX('Policy Characteristics'!A:A,MATCH($C376,'Policy Characteristics'!$C:$C,0)))</f>
        <v>Electricity Supply</v>
      </c>
      <c r="B376" s="284" t="str">
        <f>IF(ISBLANK(INDEX('Policy Characteristics'!B:B,MATCH($C376,'Policy Characteristics'!$C:$C,0))),"",INDEX('Policy Characteristics'!B:B,MATCH($C376,'Policy Characteristics'!$C:$C,0)))</f>
        <v>Non BAU Mandated Capacity Construction</v>
      </c>
      <c r="C376" s="275" t="str">
        <f t="shared" si="22"/>
        <v>Boolean Use Non BAU Mandated Capacity Construction Schedule</v>
      </c>
      <c r="D376" s="6" t="s">
        <v>2753</v>
      </c>
      <c r="E376" s="47"/>
      <c r="F376" s="6" t="s">
        <v>2595</v>
      </c>
      <c r="G376" s="47"/>
      <c r="H376" s="44">
        <v>647</v>
      </c>
      <c r="I376" s="346" t="s">
        <v>44</v>
      </c>
      <c r="J376" s="276" t="str">
        <f>IF(ISBLANK(INDEX('Policy Characteristics'!D:D,MATCH($C376,'Policy Characteristics'!$C:$C,0))),"",INDEX('Policy Characteristics'!D:D,MATCH($C376,'Policy Characteristics'!$C:$C,0)))</f>
        <v>Non BAU Mandated Capacity Construction</v>
      </c>
      <c r="K376" s="275" t="str">
        <f>IF(ISBLANK(INDEX('Policy Characteristics'!E:E,MATCH($C376,'Policy Characteristics'!$C:$C,0))),"",INDEX('Policy Characteristics'!E:E,MATCH($C376,'Policy Characteristics'!$C:$C,0)))</f>
        <v/>
      </c>
      <c r="L376" s="275">
        <f>IF(ISBLANK(INDEX('Policy Characteristics'!F:F,MATCH($C376,'Policy Characteristics'!$C:$C,0))),"",INDEX('Policy Characteristics'!F:F,MATCH($C376,'Policy Characteristics'!$C:$C,0)))</f>
        <v>0</v>
      </c>
      <c r="M376" s="275">
        <f>IF(ISBLANK(INDEX('Policy Characteristics'!G:G,MATCH($C376,'Policy Characteristics'!$C:$C,0))),"",INDEX('Policy Characteristics'!G:G,MATCH($C376,'Policy Characteristics'!$C:$C,0)))</f>
        <v>1</v>
      </c>
      <c r="N376" s="275">
        <f>IF(ISBLANK(INDEX('Policy Characteristics'!H:H,MATCH($C376,'Policy Characteristics'!$C:$C,0))),"",INDEX('Policy Characteristics'!H:H,MATCH($C376,'Policy Characteristics'!$C:$C,0)))</f>
        <v>1</v>
      </c>
      <c r="O376" s="275" t="str">
        <f>IF(ISBLANK(INDEX('Policy Characteristics'!I:I,MATCH($C376,'Policy Characteristics'!$C:$C,0))),"",INDEX('Policy Characteristics'!I:I,MATCH($C376,'Policy Characteristics'!$C:$C,0)))</f>
        <v>on/off</v>
      </c>
      <c r="P376" s="275" t="str">
        <f>IF(ISBLANK(INDEX('Policy Characteristics'!J:J,MATCH($C376,'Policy Characteristics'!$C:$C,0))),"",INDEX('Policy Characteristics'!J:J,MATCH($C376,'Policy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6" s="275" t="str">
        <f>IF(ISBLANK(INDEX('Policy Characteristics'!K:K,MATCH($C376,'Policy Characteristics'!$C:$C,0))),"",INDEX('Policy Characteristics'!K:K,MATCH($C376,'Policy Characteristics'!$C:$C,0)))</f>
        <v/>
      </c>
      <c r="R376" s="275" t="str">
        <f>IF(ISBLANK(INDEX('Policy Characteristics'!L:L,MATCH($C376,'Policy Characteristics'!$C:$C,0))),"",INDEX('Policy Characteristics'!L:L,MATCH($C376,'Policy Characteristics'!$C:$C,0)))</f>
        <v/>
      </c>
    </row>
    <row r="377" spans="1:18" s="4" customFormat="1" x14ac:dyDescent="0.25">
      <c r="A377" s="275" t="str">
        <f>IF(ISBLANK(INDEX('Policy Characteristics'!A:A,MATCH($C377,'Policy Characteristics'!$C:$C,0))),"",INDEX('Policy Characteristics'!A:A,MATCH($C377,'Policy Characteristics'!$C:$C,0)))</f>
        <v>Electricity Supply</v>
      </c>
      <c r="B377" s="284" t="str">
        <f>IF(ISBLANK(INDEX('Policy Characteristics'!B:B,MATCH($C377,'Policy Characteristics'!$C:$C,0))),"",INDEX('Policy Characteristics'!B:B,MATCH($C377,'Policy Characteristics'!$C:$C,0)))</f>
        <v>Non BAU Mandated Capacity Construction</v>
      </c>
      <c r="C377" s="275" t="str">
        <f t="shared" si="22"/>
        <v>Boolean Use Non BAU Mandated Capacity Construction Schedule</v>
      </c>
      <c r="D377" s="6" t="s">
        <v>2754</v>
      </c>
      <c r="E377" s="47"/>
      <c r="F377" s="6" t="s">
        <v>2473</v>
      </c>
      <c r="G377" s="47"/>
      <c r="H377" s="44">
        <v>648</v>
      </c>
      <c r="I377" s="346" t="s">
        <v>44</v>
      </c>
      <c r="J377" s="276" t="str">
        <f>IF(ISBLANK(INDEX('Policy Characteristics'!D:D,MATCH($C377,'Policy Characteristics'!$C:$C,0))),"",INDEX('Policy Characteristics'!D:D,MATCH($C377,'Policy Characteristics'!$C:$C,0)))</f>
        <v>Non BAU Mandated Capacity Construction</v>
      </c>
      <c r="K377" s="275" t="str">
        <f>IF(ISBLANK(INDEX('Policy Characteristics'!E:E,MATCH($C377,'Policy Characteristics'!$C:$C,0))),"",INDEX('Policy Characteristics'!E:E,MATCH($C377,'Policy Characteristics'!$C:$C,0)))</f>
        <v/>
      </c>
      <c r="L377" s="275">
        <f>IF(ISBLANK(INDEX('Policy Characteristics'!F:F,MATCH($C377,'Policy Characteristics'!$C:$C,0))),"",INDEX('Policy Characteristics'!F:F,MATCH($C377,'Policy Characteristics'!$C:$C,0)))</f>
        <v>0</v>
      </c>
      <c r="M377" s="275">
        <f>IF(ISBLANK(INDEX('Policy Characteristics'!G:G,MATCH($C377,'Policy Characteristics'!$C:$C,0))),"",INDEX('Policy Characteristics'!G:G,MATCH($C377,'Policy Characteristics'!$C:$C,0)))</f>
        <v>1</v>
      </c>
      <c r="N377" s="275">
        <f>IF(ISBLANK(INDEX('Policy Characteristics'!H:H,MATCH($C377,'Policy Characteristics'!$C:$C,0))),"",INDEX('Policy Characteristics'!H:H,MATCH($C377,'Policy Characteristics'!$C:$C,0)))</f>
        <v>1</v>
      </c>
      <c r="O377" s="275" t="str">
        <f>IF(ISBLANK(INDEX('Policy Characteristics'!I:I,MATCH($C377,'Policy Characteristics'!$C:$C,0))),"",INDEX('Policy Characteristics'!I:I,MATCH($C377,'Policy Characteristics'!$C:$C,0)))</f>
        <v>on/off</v>
      </c>
      <c r="P377" s="275" t="str">
        <f>IF(ISBLANK(INDEX('Policy Characteristics'!J:J,MATCH($C377,'Policy Characteristics'!$C:$C,0))),"",INDEX('Policy Characteristics'!J:J,MATCH($C377,'Policy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7" s="275" t="str">
        <f>IF(ISBLANK(INDEX('Policy Characteristics'!K:K,MATCH($C377,'Policy Characteristics'!$C:$C,0))),"",INDEX('Policy Characteristics'!K:K,MATCH($C377,'Policy Characteristics'!$C:$C,0)))</f>
        <v/>
      </c>
      <c r="R377" s="275" t="str">
        <f>IF(ISBLANK(INDEX('Policy Characteristics'!L:L,MATCH($C377,'Policy Characteristics'!$C:$C,0))),"",INDEX('Policy Characteristics'!L:L,MATCH($C377,'Policy Characteristics'!$C:$C,0)))</f>
        <v/>
      </c>
    </row>
    <row r="378" spans="1:18" s="4" customFormat="1" x14ac:dyDescent="0.25">
      <c r="A378" s="275" t="str">
        <f>IF(ISBLANK(INDEX('Policy Characteristics'!A:A,MATCH($C378,'Policy Characteristics'!$C:$C,0))),"",INDEX('Policy Characteristics'!A:A,MATCH($C378,'Policy Characteristics'!$C:$C,0)))</f>
        <v>Electricity Supply</v>
      </c>
      <c r="B378" s="284" t="str">
        <f>IF(ISBLANK(INDEX('Policy Characteristics'!B:B,MATCH($C378,'Policy Characteristics'!$C:$C,0))),"",INDEX('Policy Characteristics'!B:B,MATCH($C378,'Policy Characteristics'!$C:$C,0)))</f>
        <v>Non BAU Mandated Capacity Construction</v>
      </c>
      <c r="C378" s="275" t="str">
        <f t="shared" si="22"/>
        <v>Boolean Use Non BAU Mandated Capacity Construction Schedule</v>
      </c>
      <c r="D378" s="6" t="s">
        <v>3519</v>
      </c>
      <c r="E378" s="47"/>
      <c r="F378" s="6" t="s">
        <v>3526</v>
      </c>
      <c r="G378" s="47"/>
      <c r="H378" s="44">
        <v>1775</v>
      </c>
      <c r="I378" s="346" t="s">
        <v>44</v>
      </c>
      <c r="J378" s="276" t="str">
        <f>IF(ISBLANK(INDEX('Policy Characteristics'!D:D,MATCH($C378,'Policy Characteristics'!$C:$C,0))),"",INDEX('Policy Characteristics'!D:D,MATCH($C378,'Policy Characteristics'!$C:$C,0)))</f>
        <v>Non BAU Mandated Capacity Construction</v>
      </c>
      <c r="K378" s="275" t="str">
        <f>IF(ISBLANK(INDEX('Policy Characteristics'!E:E,MATCH($C378,'Policy Characteristics'!$C:$C,0))),"",INDEX('Policy Characteristics'!E:E,MATCH($C378,'Policy Characteristics'!$C:$C,0)))</f>
        <v/>
      </c>
      <c r="L378" s="275">
        <f>IF(ISBLANK(INDEX('Policy Characteristics'!F:F,MATCH($C378,'Policy Characteristics'!$C:$C,0))),"",INDEX('Policy Characteristics'!F:F,MATCH($C378,'Policy Characteristics'!$C:$C,0)))</f>
        <v>0</v>
      </c>
      <c r="M378" s="275">
        <f>IF(ISBLANK(INDEX('Policy Characteristics'!G:G,MATCH($C378,'Policy Characteristics'!$C:$C,0))),"",INDEX('Policy Characteristics'!G:G,MATCH($C378,'Policy Characteristics'!$C:$C,0)))</f>
        <v>1</v>
      </c>
      <c r="N378" s="275">
        <f>IF(ISBLANK(INDEX('Policy Characteristics'!H:H,MATCH($C378,'Policy Characteristics'!$C:$C,0))),"",INDEX('Policy Characteristics'!H:H,MATCH($C378,'Policy Characteristics'!$C:$C,0)))</f>
        <v>1</v>
      </c>
      <c r="O378" s="275" t="str">
        <f>IF(ISBLANK(INDEX('Policy Characteristics'!I:I,MATCH($C378,'Policy Characteristics'!$C:$C,0))),"",INDEX('Policy Characteristics'!I:I,MATCH($C378,'Policy Characteristics'!$C:$C,0)))</f>
        <v>on/off</v>
      </c>
      <c r="P378" s="275" t="str">
        <f>IF(ISBLANK(INDEX('Policy Characteristics'!J:J,MATCH($C378,'Policy Characteristics'!$C:$C,0))),"",INDEX('Policy Characteristics'!J:J,MATCH($C378,'Policy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8" s="275" t="str">
        <f>IF(ISBLANK(INDEX('Policy Characteristics'!K:K,MATCH($C378,'Policy Characteristics'!$C:$C,0))),"",INDEX('Policy Characteristics'!K:K,MATCH($C378,'Policy Characteristics'!$C:$C,0)))</f>
        <v/>
      </c>
      <c r="R378" s="275" t="str">
        <f>IF(ISBLANK(INDEX('Policy Characteristics'!L:L,MATCH($C378,'Policy Characteristics'!$C:$C,0))),"",INDEX('Policy Characteristics'!L:L,MATCH($C378,'Policy Characteristics'!$C:$C,0)))</f>
        <v/>
      </c>
    </row>
    <row r="379" spans="1:18" s="4" customFormat="1" x14ac:dyDescent="0.25">
      <c r="A379" s="275" t="str">
        <f>IF(ISBLANK(INDEX('Policy Characteristics'!A:A,MATCH($C379,'Policy Characteristics'!$C:$C,0))),"",INDEX('Policy Characteristics'!A:A,MATCH($C379,'Policy Characteristics'!$C:$C,0)))</f>
        <v>Electricity Supply</v>
      </c>
      <c r="B379" s="284" t="str">
        <f>IF(ISBLANK(INDEX('Policy Characteristics'!B:B,MATCH($C379,'Policy Characteristics'!$C:$C,0))),"",INDEX('Policy Characteristics'!B:B,MATCH($C379,'Policy Characteristics'!$C:$C,0)))</f>
        <v>Non BAU Mandated Capacity Construction</v>
      </c>
      <c r="C379" s="275" t="str">
        <f t="shared" si="22"/>
        <v>Boolean Use Non BAU Mandated Capacity Construction Schedule</v>
      </c>
      <c r="D379" s="6" t="s">
        <v>3522</v>
      </c>
      <c r="E379" s="47"/>
      <c r="F379" s="6" t="s">
        <v>3527</v>
      </c>
      <c r="G379" s="47"/>
      <c r="H379" s="44">
        <v>1776</v>
      </c>
      <c r="I379" s="346" t="s">
        <v>44</v>
      </c>
      <c r="J379" s="276" t="str">
        <f>IF(ISBLANK(INDEX('Policy Characteristics'!D:D,MATCH($C379,'Policy Characteristics'!$C:$C,0))),"",INDEX('Policy Characteristics'!D:D,MATCH($C379,'Policy Characteristics'!$C:$C,0)))</f>
        <v>Non BAU Mandated Capacity Construction</v>
      </c>
      <c r="K379" s="275" t="str">
        <f>IF(ISBLANK(INDEX('Policy Characteristics'!E:E,MATCH($C379,'Policy Characteristics'!$C:$C,0))),"",INDEX('Policy Characteristics'!E:E,MATCH($C379,'Policy Characteristics'!$C:$C,0)))</f>
        <v/>
      </c>
      <c r="L379" s="275">
        <f>IF(ISBLANK(INDEX('Policy Characteristics'!F:F,MATCH($C379,'Policy Characteristics'!$C:$C,0))),"",INDEX('Policy Characteristics'!F:F,MATCH($C379,'Policy Characteristics'!$C:$C,0)))</f>
        <v>0</v>
      </c>
      <c r="M379" s="275">
        <f>IF(ISBLANK(INDEX('Policy Characteristics'!G:G,MATCH($C379,'Policy Characteristics'!$C:$C,0))),"",INDEX('Policy Characteristics'!G:G,MATCH($C379,'Policy Characteristics'!$C:$C,0)))</f>
        <v>1</v>
      </c>
      <c r="N379" s="275">
        <f>IF(ISBLANK(INDEX('Policy Characteristics'!H:H,MATCH($C379,'Policy Characteristics'!$C:$C,0))),"",INDEX('Policy Characteristics'!H:H,MATCH($C379,'Policy Characteristics'!$C:$C,0)))</f>
        <v>1</v>
      </c>
      <c r="O379" s="275" t="str">
        <f>IF(ISBLANK(INDEX('Policy Characteristics'!I:I,MATCH($C379,'Policy Characteristics'!$C:$C,0))),"",INDEX('Policy Characteristics'!I:I,MATCH($C379,'Policy Characteristics'!$C:$C,0)))</f>
        <v>on/off</v>
      </c>
      <c r="P379" s="275" t="str">
        <f>IF(ISBLANK(INDEX('Policy Characteristics'!J:J,MATCH($C379,'Policy Characteristics'!$C:$C,0))),"",INDEX('Policy Characteristics'!J:J,MATCH($C379,'Policy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9" s="275" t="str">
        <f>IF(ISBLANK(INDEX('Policy Characteristics'!K:K,MATCH($C379,'Policy Characteristics'!$C:$C,0))),"",INDEX('Policy Characteristics'!K:K,MATCH($C379,'Policy Characteristics'!$C:$C,0)))</f>
        <v/>
      </c>
      <c r="R379" s="275" t="str">
        <f>IF(ISBLANK(INDEX('Policy Characteristics'!L:L,MATCH($C379,'Policy Characteristics'!$C:$C,0))),"",INDEX('Policy Characteristics'!L:L,MATCH($C379,'Policy Characteristics'!$C:$C,0)))</f>
        <v/>
      </c>
    </row>
    <row r="380" spans="1:18" s="4" customFormat="1" x14ac:dyDescent="0.25">
      <c r="A380" s="275" t="str">
        <f>IF(ISBLANK(INDEX('Policy Characteristics'!A:A,MATCH($C380,'Policy Characteristics'!$C:$C,0))),"",INDEX('Policy Characteristics'!A:A,MATCH($C380,'Policy Characteristics'!$C:$C,0)))</f>
        <v>Electricity Supply</v>
      </c>
      <c r="B380" s="284" t="str">
        <f>IF(ISBLANK(INDEX('Policy Characteristics'!B:B,MATCH($C380,'Policy Characteristics'!$C:$C,0))),"",INDEX('Policy Characteristics'!B:B,MATCH($C380,'Policy Characteristics'!$C:$C,0)))</f>
        <v>Non BAU Mandated Capacity Construction</v>
      </c>
      <c r="C380" s="275" t="str">
        <f t="shared" si="22"/>
        <v>Boolean Use Non BAU Mandated Capacity Construction Schedule</v>
      </c>
      <c r="D380" s="6" t="s">
        <v>3523</v>
      </c>
      <c r="E380" s="47"/>
      <c r="F380" s="6" t="s">
        <v>3528</v>
      </c>
      <c r="G380" s="47"/>
      <c r="H380" s="44">
        <v>1777</v>
      </c>
      <c r="I380" s="346" t="s">
        <v>44</v>
      </c>
      <c r="J380" s="276" t="str">
        <f>IF(ISBLANK(INDEX('Policy Characteristics'!D:D,MATCH($C380,'Policy Characteristics'!$C:$C,0))),"",INDEX('Policy Characteristics'!D:D,MATCH($C380,'Policy Characteristics'!$C:$C,0)))</f>
        <v>Non BAU Mandated Capacity Construction</v>
      </c>
      <c r="K380" s="275" t="str">
        <f>IF(ISBLANK(INDEX('Policy Characteristics'!E:E,MATCH($C380,'Policy Characteristics'!$C:$C,0))),"",INDEX('Policy Characteristics'!E:E,MATCH($C380,'Policy Characteristics'!$C:$C,0)))</f>
        <v/>
      </c>
      <c r="L380" s="275">
        <f>IF(ISBLANK(INDEX('Policy Characteristics'!F:F,MATCH($C380,'Policy Characteristics'!$C:$C,0))),"",INDEX('Policy Characteristics'!F:F,MATCH($C380,'Policy Characteristics'!$C:$C,0)))</f>
        <v>0</v>
      </c>
      <c r="M380" s="275">
        <f>IF(ISBLANK(INDEX('Policy Characteristics'!G:G,MATCH($C380,'Policy Characteristics'!$C:$C,0))),"",INDEX('Policy Characteristics'!G:G,MATCH($C380,'Policy Characteristics'!$C:$C,0)))</f>
        <v>1</v>
      </c>
      <c r="N380" s="275">
        <f>IF(ISBLANK(INDEX('Policy Characteristics'!H:H,MATCH($C380,'Policy Characteristics'!$C:$C,0))),"",INDEX('Policy Characteristics'!H:H,MATCH($C380,'Policy Characteristics'!$C:$C,0)))</f>
        <v>1</v>
      </c>
      <c r="O380" s="275" t="str">
        <f>IF(ISBLANK(INDEX('Policy Characteristics'!I:I,MATCH($C380,'Policy Characteristics'!$C:$C,0))),"",INDEX('Policy Characteristics'!I:I,MATCH($C380,'Policy Characteristics'!$C:$C,0)))</f>
        <v>on/off</v>
      </c>
      <c r="P380" s="275" t="str">
        <f>IF(ISBLANK(INDEX('Policy Characteristics'!J:J,MATCH($C380,'Policy Characteristics'!$C:$C,0))),"",INDEX('Policy Characteristics'!J:J,MATCH($C380,'Policy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0" s="275" t="str">
        <f>IF(ISBLANK(INDEX('Policy Characteristics'!K:K,MATCH($C380,'Policy Characteristics'!$C:$C,0))),"",INDEX('Policy Characteristics'!K:K,MATCH($C380,'Policy Characteristics'!$C:$C,0)))</f>
        <v/>
      </c>
      <c r="R380" s="275" t="str">
        <f>IF(ISBLANK(INDEX('Policy Characteristics'!L:L,MATCH($C380,'Policy Characteristics'!$C:$C,0))),"",INDEX('Policy Characteristics'!L:L,MATCH($C380,'Policy Characteristics'!$C:$C,0)))</f>
        <v/>
      </c>
    </row>
    <row r="381" spans="1:18" s="4" customFormat="1" x14ac:dyDescent="0.25">
      <c r="A381" s="275" t="str">
        <f>IF(ISBLANK(INDEX('Policy Characteristics'!A:A,MATCH($C381,'Policy Characteristics'!$C:$C,0))),"",INDEX('Policy Characteristics'!A:A,MATCH($C381,'Policy Characteristics'!$C:$C,0)))</f>
        <v>Electricity Supply</v>
      </c>
      <c r="B381" s="284" t="str">
        <f>IF(ISBLANK(INDEX('Policy Characteristics'!B:B,MATCH($C381,'Policy Characteristics'!$C:$C,0))),"",INDEX('Policy Characteristics'!B:B,MATCH($C381,'Policy Characteristics'!$C:$C,0)))</f>
        <v>Non BAU Mandated Capacity Construction</v>
      </c>
      <c r="C381" s="275" t="str">
        <f t="shared" si="22"/>
        <v>Boolean Use Non BAU Mandated Capacity Construction Schedule</v>
      </c>
      <c r="D381" s="6" t="s">
        <v>3524</v>
      </c>
      <c r="E381" s="47"/>
      <c r="F381" s="6" t="s">
        <v>3529</v>
      </c>
      <c r="G381" s="47"/>
      <c r="H381" s="44">
        <v>1778</v>
      </c>
      <c r="I381" s="346" t="s">
        <v>44</v>
      </c>
      <c r="J381" s="276" t="str">
        <f>IF(ISBLANK(INDEX('Policy Characteristics'!D:D,MATCH($C381,'Policy Characteristics'!$C:$C,0))),"",INDEX('Policy Characteristics'!D:D,MATCH($C381,'Policy Characteristics'!$C:$C,0)))</f>
        <v>Non BAU Mandated Capacity Construction</v>
      </c>
      <c r="K381" s="275" t="str">
        <f>IF(ISBLANK(INDEX('Policy Characteristics'!E:E,MATCH($C381,'Policy Characteristics'!$C:$C,0))),"",INDEX('Policy Characteristics'!E:E,MATCH($C381,'Policy Characteristics'!$C:$C,0)))</f>
        <v/>
      </c>
      <c r="L381" s="275">
        <f>IF(ISBLANK(INDEX('Policy Characteristics'!F:F,MATCH($C381,'Policy Characteristics'!$C:$C,0))),"",INDEX('Policy Characteristics'!F:F,MATCH($C381,'Policy Characteristics'!$C:$C,0)))</f>
        <v>0</v>
      </c>
      <c r="M381" s="275">
        <f>IF(ISBLANK(INDEX('Policy Characteristics'!G:G,MATCH($C381,'Policy Characteristics'!$C:$C,0))),"",INDEX('Policy Characteristics'!G:G,MATCH($C381,'Policy Characteristics'!$C:$C,0)))</f>
        <v>1</v>
      </c>
      <c r="N381" s="275">
        <f>IF(ISBLANK(INDEX('Policy Characteristics'!H:H,MATCH($C381,'Policy Characteristics'!$C:$C,0))),"",INDEX('Policy Characteristics'!H:H,MATCH($C381,'Policy Characteristics'!$C:$C,0)))</f>
        <v>1</v>
      </c>
      <c r="O381" s="275" t="str">
        <f>IF(ISBLANK(INDEX('Policy Characteristics'!I:I,MATCH($C381,'Policy Characteristics'!$C:$C,0))),"",INDEX('Policy Characteristics'!I:I,MATCH($C381,'Policy Characteristics'!$C:$C,0)))</f>
        <v>on/off</v>
      </c>
      <c r="P381" s="275" t="str">
        <f>IF(ISBLANK(INDEX('Policy Characteristics'!J:J,MATCH($C381,'Policy Characteristics'!$C:$C,0))),"",INDEX('Policy Characteristics'!J:J,MATCH($C381,'Policy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1" s="275" t="str">
        <f>IF(ISBLANK(INDEX('Policy Characteristics'!K:K,MATCH($C381,'Policy Characteristics'!$C:$C,0))),"",INDEX('Policy Characteristics'!K:K,MATCH($C381,'Policy Characteristics'!$C:$C,0)))</f>
        <v/>
      </c>
      <c r="R381" s="275" t="str">
        <f>IF(ISBLANK(INDEX('Policy Characteristics'!L:L,MATCH($C381,'Policy Characteristics'!$C:$C,0))),"",INDEX('Policy Characteristics'!L:L,MATCH($C381,'Policy Characteristics'!$C:$C,0)))</f>
        <v/>
      </c>
    </row>
    <row r="382" spans="1:18" s="4" customFormat="1" x14ac:dyDescent="0.25">
      <c r="A382" s="275" t="str">
        <f>IF(ISBLANK(INDEX('Policy Characteristics'!A:A,MATCH($C382,'Policy Characteristics'!$C:$C,0))),"",INDEX('Policy Characteristics'!A:A,MATCH($C382,'Policy Characteristics'!$C:$C,0)))</f>
        <v>Electricity Supply</v>
      </c>
      <c r="B382" s="284" t="str">
        <f>IF(ISBLANK(INDEX('Policy Characteristics'!B:B,MATCH($C382,'Policy Characteristics'!$C:$C,0))),"",INDEX('Policy Characteristics'!B:B,MATCH($C382,'Policy Characteristics'!$C:$C,0)))</f>
        <v>Non BAU Mandated Capacity Construction</v>
      </c>
      <c r="C382" s="275" t="str">
        <f t="shared" si="22"/>
        <v>Boolean Use Non BAU Mandated Capacity Construction Schedule</v>
      </c>
      <c r="D382" s="6" t="s">
        <v>3525</v>
      </c>
      <c r="E382" s="47"/>
      <c r="F382" s="6" t="s">
        <v>3530</v>
      </c>
      <c r="G382" s="47"/>
      <c r="H382" s="44">
        <v>1779</v>
      </c>
      <c r="I382" s="346" t="s">
        <v>44</v>
      </c>
      <c r="J382" s="276" t="str">
        <f>IF(ISBLANK(INDEX('Policy Characteristics'!D:D,MATCH($C382,'Policy Characteristics'!$C:$C,0))),"",INDEX('Policy Characteristics'!D:D,MATCH($C382,'Policy Characteristics'!$C:$C,0)))</f>
        <v>Non BAU Mandated Capacity Construction</v>
      </c>
      <c r="K382" s="275" t="str">
        <f>IF(ISBLANK(INDEX('Policy Characteristics'!E:E,MATCH($C382,'Policy Characteristics'!$C:$C,0))),"",INDEX('Policy Characteristics'!E:E,MATCH($C382,'Policy Characteristics'!$C:$C,0)))</f>
        <v/>
      </c>
      <c r="L382" s="275">
        <f>IF(ISBLANK(INDEX('Policy Characteristics'!F:F,MATCH($C382,'Policy Characteristics'!$C:$C,0))),"",INDEX('Policy Characteristics'!F:F,MATCH($C382,'Policy Characteristics'!$C:$C,0)))</f>
        <v>0</v>
      </c>
      <c r="M382" s="275">
        <f>IF(ISBLANK(INDEX('Policy Characteristics'!G:G,MATCH($C382,'Policy Characteristics'!$C:$C,0))),"",INDEX('Policy Characteristics'!G:G,MATCH($C382,'Policy Characteristics'!$C:$C,0)))</f>
        <v>1</v>
      </c>
      <c r="N382" s="275">
        <f>IF(ISBLANK(INDEX('Policy Characteristics'!H:H,MATCH($C382,'Policy Characteristics'!$C:$C,0))),"",INDEX('Policy Characteristics'!H:H,MATCH($C382,'Policy Characteristics'!$C:$C,0)))</f>
        <v>1</v>
      </c>
      <c r="O382" s="275" t="str">
        <f>IF(ISBLANK(INDEX('Policy Characteristics'!I:I,MATCH($C382,'Policy Characteristics'!$C:$C,0))),"",INDEX('Policy Characteristics'!I:I,MATCH($C382,'Policy Characteristics'!$C:$C,0)))</f>
        <v>on/off</v>
      </c>
      <c r="P382" s="275" t="str">
        <f>IF(ISBLANK(INDEX('Policy Characteristics'!J:J,MATCH($C382,'Policy Characteristics'!$C:$C,0))),"",INDEX('Policy Characteristics'!J:J,MATCH($C382,'Policy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2" s="275" t="str">
        <f>IF(ISBLANK(INDEX('Policy Characteristics'!K:K,MATCH($C382,'Policy Characteristics'!$C:$C,0))),"",INDEX('Policy Characteristics'!K:K,MATCH($C382,'Policy Characteristics'!$C:$C,0)))</f>
        <v/>
      </c>
      <c r="R382" s="275" t="str">
        <f>IF(ISBLANK(INDEX('Policy Characteristics'!L:L,MATCH($C382,'Policy Characteristics'!$C:$C,0))),"",INDEX('Policy Characteristics'!L:L,MATCH($C382,'Policy Characteristics'!$C:$C,0)))</f>
        <v/>
      </c>
    </row>
    <row r="383" spans="1:18" s="4" customFormat="1" x14ac:dyDescent="0.25">
      <c r="A383" s="275" t="str">
        <f>IF(ISBLANK(INDEX('Policy Characteristics'!A:A,MATCH($C383,'Policy Characteristics'!$C:$C,0))),"",INDEX('Policy Characteristics'!A:A,MATCH($C383,'Policy Characteristics'!$C:$C,0)))</f>
        <v>Electricity Supply</v>
      </c>
      <c r="B383" s="284" t="str">
        <f>IF(ISBLANK(INDEX('Policy Characteristics'!B:B,MATCH($C383,'Policy Characteristics'!$C:$C,0))),"",INDEX('Policy Characteristics'!B:B,MATCH($C383,'Policy Characteristics'!$C:$C,0)))</f>
        <v>Non BAU Mandated Capacity Construction</v>
      </c>
      <c r="C383" s="275" t="str">
        <f t="shared" si="22"/>
        <v>Boolean Use Non BAU Mandated Capacity Construction Schedule</v>
      </c>
      <c r="D383" s="6" t="s">
        <v>3616</v>
      </c>
      <c r="E383" s="47"/>
      <c r="F383" s="6" t="s">
        <v>3614</v>
      </c>
      <c r="G383" s="47"/>
      <c r="H383" s="44">
        <v>1780</v>
      </c>
      <c r="I383" s="346" t="s">
        <v>44</v>
      </c>
      <c r="J383" s="276" t="str">
        <f>IF(ISBLANK(INDEX('Policy Characteristics'!D:D,MATCH($C383,'Policy Characteristics'!$C:$C,0))),"",INDEX('Policy Characteristics'!D:D,MATCH($C383,'Policy Characteristics'!$C:$C,0)))</f>
        <v>Non BAU Mandated Capacity Construction</v>
      </c>
      <c r="K383" s="275" t="str">
        <f>IF(ISBLANK(INDEX('Policy Characteristics'!E:E,MATCH($C383,'Policy Characteristics'!$C:$C,0))),"",INDEX('Policy Characteristics'!E:E,MATCH($C383,'Policy Characteristics'!$C:$C,0)))</f>
        <v/>
      </c>
      <c r="L383" s="275">
        <f>IF(ISBLANK(INDEX('Policy Characteristics'!F:F,MATCH($C383,'Policy Characteristics'!$C:$C,0))),"",INDEX('Policy Characteristics'!F:F,MATCH($C383,'Policy Characteristics'!$C:$C,0)))</f>
        <v>0</v>
      </c>
      <c r="M383" s="275">
        <f>IF(ISBLANK(INDEX('Policy Characteristics'!G:G,MATCH($C383,'Policy Characteristics'!$C:$C,0))),"",INDEX('Policy Characteristics'!G:G,MATCH($C383,'Policy Characteristics'!$C:$C,0)))</f>
        <v>1</v>
      </c>
      <c r="N383" s="275">
        <f>IF(ISBLANK(INDEX('Policy Characteristics'!H:H,MATCH($C383,'Policy Characteristics'!$C:$C,0))),"",INDEX('Policy Characteristics'!H:H,MATCH($C383,'Policy Characteristics'!$C:$C,0)))</f>
        <v>1</v>
      </c>
      <c r="O383" s="275" t="str">
        <f>IF(ISBLANK(INDEX('Policy Characteristics'!I:I,MATCH($C383,'Policy Characteristics'!$C:$C,0))),"",INDEX('Policy Characteristics'!I:I,MATCH($C383,'Policy Characteristics'!$C:$C,0)))</f>
        <v>on/off</v>
      </c>
      <c r="P383" s="275" t="str">
        <f>IF(ISBLANK(INDEX('Policy Characteristics'!J:J,MATCH($C383,'Policy Characteristics'!$C:$C,0))),"",INDEX('Policy Characteristics'!J:J,MATCH($C383,'Policy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3" s="275" t="str">
        <f>IF(ISBLANK(INDEX('Policy Characteristics'!K:K,MATCH($C383,'Policy Characteristics'!$C:$C,0))),"",INDEX('Policy Characteristics'!K:K,MATCH($C383,'Policy Characteristics'!$C:$C,0)))</f>
        <v/>
      </c>
      <c r="R383" s="275" t="str">
        <f>IF(ISBLANK(INDEX('Policy Characteristics'!L:L,MATCH($C383,'Policy Characteristics'!$C:$C,0))),"",INDEX('Policy Characteristics'!L:L,MATCH($C383,'Policy Characteristics'!$C:$C,0)))</f>
        <v/>
      </c>
    </row>
    <row r="384" spans="1:18" s="4" customFormat="1" x14ac:dyDescent="0.25">
      <c r="A384" s="275" t="str">
        <f>IF(ISBLANK(INDEX('Policy Characteristics'!A:A,MATCH($C384,'Policy Characteristics'!$C:$C,0))),"",INDEX('Policy Characteristics'!A:A,MATCH($C384,'Policy Characteristics'!$C:$C,0)))</f>
        <v>Electricity Supply</v>
      </c>
      <c r="B384" s="284" t="str">
        <f>IF(ISBLANK(INDEX('Policy Characteristics'!B:B,MATCH($C384,'Policy Characteristics'!$C:$C,0))),"",INDEX('Policy Characteristics'!B:B,MATCH($C384,'Policy Characteristics'!$C:$C,0)))</f>
        <v>Non BAU Mandated Capacity Construction</v>
      </c>
      <c r="C384" s="275" t="str">
        <f t="shared" si="22"/>
        <v>Boolean Use Non BAU Mandated Capacity Construction Schedule</v>
      </c>
      <c r="D384" s="6" t="s">
        <v>3617</v>
      </c>
      <c r="E384" s="47"/>
      <c r="F384" s="6" t="s">
        <v>3615</v>
      </c>
      <c r="G384" s="47"/>
      <c r="H384" s="44">
        <v>2241</v>
      </c>
      <c r="I384" s="346" t="s">
        <v>44</v>
      </c>
      <c r="J384" s="276" t="str">
        <f>IF(ISBLANK(INDEX('Policy Characteristics'!D:D,MATCH($C384,'Policy Characteristics'!$C:$C,0))),"",INDEX('Policy Characteristics'!D:D,MATCH($C384,'Policy Characteristics'!$C:$C,0)))</f>
        <v>Non BAU Mandated Capacity Construction</v>
      </c>
      <c r="K384" s="275" t="str">
        <f>IF(ISBLANK(INDEX('Policy Characteristics'!E:E,MATCH($C384,'Policy Characteristics'!$C:$C,0))),"",INDEX('Policy Characteristics'!E:E,MATCH($C384,'Policy Characteristics'!$C:$C,0)))</f>
        <v/>
      </c>
      <c r="L384" s="275">
        <f>IF(ISBLANK(INDEX('Policy Characteristics'!F:F,MATCH($C384,'Policy Characteristics'!$C:$C,0))),"",INDEX('Policy Characteristics'!F:F,MATCH($C384,'Policy Characteristics'!$C:$C,0)))</f>
        <v>0</v>
      </c>
      <c r="M384" s="275">
        <f>IF(ISBLANK(INDEX('Policy Characteristics'!G:G,MATCH($C384,'Policy Characteristics'!$C:$C,0))),"",INDEX('Policy Characteristics'!G:G,MATCH($C384,'Policy Characteristics'!$C:$C,0)))</f>
        <v>1</v>
      </c>
      <c r="N384" s="275">
        <f>IF(ISBLANK(INDEX('Policy Characteristics'!H:H,MATCH($C384,'Policy Characteristics'!$C:$C,0))),"",INDEX('Policy Characteristics'!H:H,MATCH($C384,'Policy Characteristics'!$C:$C,0)))</f>
        <v>1</v>
      </c>
      <c r="O384" s="275" t="str">
        <f>IF(ISBLANK(INDEX('Policy Characteristics'!I:I,MATCH($C384,'Policy Characteristics'!$C:$C,0))),"",INDEX('Policy Characteristics'!I:I,MATCH($C384,'Policy Characteristics'!$C:$C,0)))</f>
        <v>on/off</v>
      </c>
      <c r="P384" s="275" t="str">
        <f>IF(ISBLANK(INDEX('Policy Characteristics'!J:J,MATCH($C384,'Policy Characteristics'!$C:$C,0))),"",INDEX('Policy Characteristics'!J:J,MATCH($C384,'Policy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4" s="275"/>
      <c r="R384" s="275"/>
    </row>
    <row r="385" spans="1:18" s="4" customFormat="1" x14ac:dyDescent="0.25">
      <c r="A385" s="275" t="str">
        <f>IF(ISBLANK(INDEX('Policy Characteristics'!A:A,MATCH($C385,'Policy Characteristics'!$C:$C,0))),"",INDEX('Policy Characteristics'!A:A,MATCH($C385,'Policy Characteristics'!$C:$C,0)))</f>
        <v>Electricity Supply</v>
      </c>
      <c r="B385" s="284" t="str">
        <f>IF(ISBLANK(INDEX('Policy Characteristics'!B:B,MATCH($C385,'Policy Characteristics'!$C:$C,0))),"",INDEX('Policy Characteristics'!B:B,MATCH($C385,'Policy Characteristics'!$C:$C,0)))</f>
        <v>Non BAU RPS Qualifying Resources</v>
      </c>
      <c r="C385" t="s">
        <v>359</v>
      </c>
      <c r="D385" s="47"/>
      <c r="E385" s="47"/>
      <c r="F385" s="47"/>
      <c r="G385" s="47"/>
      <c r="H385" s="44">
        <v>649</v>
      </c>
      <c r="I385" s="346" t="s">
        <v>44</v>
      </c>
      <c r="J385" s="276" t="str">
        <f>IF(ISBLANK(INDEX('Policy Characteristics'!D:D,MATCH($C385,'Policy Characteristics'!$C:$C,0))),"",INDEX('Policy Characteristics'!D:D,MATCH($C385,'Policy Characteristics'!$C:$C,0)))</f>
        <v>Non BAU RPS Qualifying Resources</v>
      </c>
      <c r="K385" s="275" t="str">
        <f>IF(ISBLANK(INDEX('Policy Characteristics'!E:E,MATCH($C385,'Policy Characteristics'!$C:$C,0))),"",INDEX('Policy Characteristics'!E:E,MATCH($C385,'Policy Characteristics'!$C:$C,0)))</f>
        <v>elec non BAU RPS qualifying resources</v>
      </c>
      <c r="L385" s="275">
        <f>IF(ISBLANK(INDEX('Policy Characteristics'!F:F,MATCH($C385,'Policy Characteristics'!$C:$C,0))),"",INDEX('Policy Characteristics'!F:F,MATCH($C385,'Policy Characteristics'!$C:$C,0)))</f>
        <v>0</v>
      </c>
      <c r="M385" s="275">
        <f>IF(ISBLANK(INDEX('Policy Characteristics'!G:G,MATCH($C385,'Policy Characteristics'!$C:$C,0))),"",INDEX('Policy Characteristics'!G:G,MATCH($C385,'Policy Characteristics'!$C:$C,0)))</f>
        <v>1</v>
      </c>
      <c r="N385" s="275">
        <f>IF(ISBLANK(INDEX('Policy Characteristics'!H:H,MATCH($C385,'Policy Characteristics'!$C:$C,0))),"",INDEX('Policy Characteristics'!H:H,MATCH($C385,'Policy Characteristics'!$C:$C,0)))</f>
        <v>1</v>
      </c>
      <c r="O385" s="275" t="str">
        <f>IF(ISBLANK(INDEX('Policy Characteristics'!I:I,MATCH($C385,'Policy Characteristics'!$C:$C,0))),"",INDEX('Policy Characteristics'!I:I,MATCH($C385,'Policy Characteristics'!$C:$C,0)))</f>
        <v>on/off</v>
      </c>
      <c r="P385" s="275" t="str">
        <f>IF(ISBLANK(INDEX('Policy Characteristics'!J:J,MATCH($C385,'Policy Characteristics'!$C:$C,0))),"",INDEX('Policy Characteristics'!J:J,MATCH($C385,'Policy Characteristics'!$C:$C,0)))</f>
        <v/>
      </c>
      <c r="Q385" s="275" t="str">
        <f>IF(ISBLANK(INDEX('Policy Characteristics'!K:K,MATCH($C385,'Policy Characteristics'!$C:$C,0))),"",INDEX('Policy Characteristics'!K:K,MATCH($C385,'Policy Characteristics'!$C:$C,0)))</f>
        <v/>
      </c>
      <c r="R385" s="275" t="str">
        <f>IF(ISBLANK(INDEX('Policy Characteristics'!L:L,MATCH($C385,'Policy Characteristics'!$C:$C,0))),"",INDEX('Policy Characteristics'!L:L,MATCH($C385,'Policy Characteristics'!$C:$C,0)))</f>
        <v/>
      </c>
    </row>
    <row r="386" spans="1:18" s="2" customFormat="1" x14ac:dyDescent="0.25">
      <c r="A386" s="275" t="str">
        <f>IF(ISBLANK(INDEX('Policy Characteristics'!A:A,MATCH($C386,'Policy Characteristics'!$C:$C,0))),"",INDEX('Policy Characteristics'!A:A,MATCH($C386,'Policy Characteristics'!$C:$C,0)))</f>
        <v>Electricity Supply</v>
      </c>
      <c r="B386" s="284" t="str">
        <f>IF(ISBLANK(INDEX('Policy Characteristics'!B:B,MATCH($C386,'Policy Characteristics'!$C:$C,0))),"",INDEX('Policy Characteristics'!B:B,MATCH($C386,'Policy Characteristics'!$C:$C,0)))</f>
        <v>Reduce Plant Downtime</v>
      </c>
      <c r="C386" s="1" t="s">
        <v>256</v>
      </c>
      <c r="D386" s="47" t="s">
        <v>448</v>
      </c>
      <c r="E386" s="47"/>
      <c r="F386" s="47" t="s">
        <v>447</v>
      </c>
      <c r="G386" s="6"/>
      <c r="H386" s="49">
        <v>652</v>
      </c>
      <c r="I386" s="347" t="s">
        <v>44</v>
      </c>
      <c r="J386" s="276" t="str">
        <f>IF(ISBLANK(INDEX('Policy Characteristics'!D:D,MATCH($C386,'Policy Characteristics'!$C:$C,0))),"",INDEX('Policy Characteristics'!D:D,MATCH($C386,'Policy Characteristics'!$C:$C,0)))</f>
        <v>Reduce Plant Downtime</v>
      </c>
      <c r="K386" s="275" t="str">
        <f>IF(ISBLANK(INDEX('Policy Characteristics'!E:E,MATCH($C386,'Policy Characteristics'!$C:$C,0))),"",INDEX('Policy Characteristics'!E:E,MATCH($C386,'Policy Characteristics'!$C:$C,0)))</f>
        <v>elec reduce plant downtime</v>
      </c>
      <c r="L386" s="283">
        <f>IF(ISBLANK(INDEX('Policy Characteristics'!F:F,MATCH($C386,'Policy Characteristics'!$C:$C,0))),"",INDEX('Policy Characteristics'!F:F,MATCH($C386,'Policy Characteristics'!$C:$C,0)))</f>
        <v>0</v>
      </c>
      <c r="M386" s="283">
        <f>IF(ISBLANK(INDEX('Policy Characteristics'!G:G,MATCH($C386,'Policy Characteristics'!$C:$C,0))),"",INDEX('Policy Characteristics'!G:G,MATCH($C386,'Policy Characteristics'!$C:$C,0)))</f>
        <v>0.6</v>
      </c>
      <c r="N386" s="283">
        <f>IF(ISBLANK(INDEX('Policy Characteristics'!H:H,MATCH($C386,'Policy Characteristics'!$C:$C,0))),"",INDEX('Policy Characteristics'!H:H,MATCH($C386,'Policy Characteristics'!$C:$C,0)))</f>
        <v>0.01</v>
      </c>
      <c r="O386" s="275" t="str">
        <f>IF(ISBLANK(INDEX('Policy Characteristics'!I:I,MATCH($C386,'Policy Characteristics'!$C:$C,0))),"",INDEX('Policy Characteristics'!I:I,MATCH($C386,'Policy Characteristics'!$C:$C,0)))</f>
        <v>% reduction in downtime</v>
      </c>
      <c r="P386" s="275" t="str">
        <f>IF(ISBLANK(INDEX('Policy Characteristics'!J:J,MATCH($C386,'Policy Characteristics'!$C:$C,0))),"",INDEX('Policy Characteristics'!J:J,MATCH($C386,'Policy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6" s="275" t="str">
        <f>IF(ISBLANK(INDEX('Policy Characteristics'!K:K,MATCH($C386,'Policy Characteristics'!$C:$C,0))),"",INDEX('Policy Characteristics'!K:K,MATCH($C386,'Policy Characteristics'!$C:$C,0)))</f>
        <v>electricity-sector-main.html#red-downtime</v>
      </c>
      <c r="R386" s="275" t="str">
        <f>IF(ISBLANK(INDEX('Policy Characteristics'!L:L,MATCH($C386,'Policy Characteristics'!$C:$C,0))),"",INDEX('Policy Characteristics'!L:L,MATCH($C386,'Policy Characteristics'!$C:$C,0)))</f>
        <v>reduce-downtime.html</v>
      </c>
    </row>
    <row r="387" spans="1:18" s="2" customFormat="1" x14ac:dyDescent="0.25">
      <c r="A387" s="275" t="str">
        <f>IF(ISBLANK(INDEX('Policy Characteristics'!A:A,MATCH($C387,'Policy Characteristics'!$C:$C,0))),"",INDEX('Policy Characteristics'!A:A,MATCH($C387,'Policy Characteristics'!$C:$C,0)))</f>
        <v>Electricity Supply</v>
      </c>
      <c r="B387" s="284" t="str">
        <f>IF(ISBLANK(INDEX('Policy Characteristics'!B:B,MATCH($C387,'Policy Characteristics'!$C:$C,0))),"",INDEX('Policy Characteristics'!B:B,MATCH($C387,'Policy Characteristics'!$C:$C,0)))</f>
        <v>Reduce Plant Downtime</v>
      </c>
      <c r="C387" s="340" t="str">
        <f>$C$386</f>
        <v>Percentage Reduction in Plant Downtime</v>
      </c>
      <c r="D387" s="6" t="s">
        <v>3520</v>
      </c>
      <c r="E387" s="47"/>
      <c r="F387" s="6" t="s">
        <v>3453</v>
      </c>
      <c r="G387" s="6"/>
      <c r="H387" s="49">
        <v>654</v>
      </c>
      <c r="I387" s="347" t="s">
        <v>44</v>
      </c>
      <c r="J387" s="276" t="str">
        <f>IF(ISBLANK(INDEX('Policy Characteristics'!D:D,MATCH($C387,'Policy Characteristics'!$C:$C,0))),"",INDEX('Policy Characteristics'!D:D,MATCH($C387,'Policy Characteristics'!$C:$C,0)))</f>
        <v>Reduce Plant Downtime</v>
      </c>
      <c r="K387" s="275" t="str">
        <f>IF(ISBLANK(INDEX('Policy Characteristics'!E:E,MATCH($C387,'Policy Characteristics'!$C:$C,0))),"",INDEX('Policy Characteristics'!E:E,MATCH($C387,'Policy Characteristics'!$C:$C,0)))</f>
        <v>elec reduce plant downtime</v>
      </c>
      <c r="L387" s="283">
        <f>IF(ISBLANK(INDEX('Policy Characteristics'!F:F,MATCH($C387,'Policy Characteristics'!$C:$C,0))),"",INDEX('Policy Characteristics'!F:F,MATCH($C387,'Policy Characteristics'!$C:$C,0)))</f>
        <v>0</v>
      </c>
      <c r="M387" s="283">
        <f>IF(ISBLANK(INDEX('Policy Characteristics'!G:G,MATCH($C387,'Policy Characteristics'!$C:$C,0))),"",INDEX('Policy Characteristics'!G:G,MATCH($C387,'Policy Characteristics'!$C:$C,0)))</f>
        <v>0.6</v>
      </c>
      <c r="N387" s="283">
        <f>IF(ISBLANK(INDEX('Policy Characteristics'!H:H,MATCH($C387,'Policy Characteristics'!$C:$C,0))),"",INDEX('Policy Characteristics'!H:H,MATCH($C387,'Policy Characteristics'!$C:$C,0)))</f>
        <v>0.01</v>
      </c>
      <c r="O387" s="275" t="str">
        <f>IF(ISBLANK(INDEX('Policy Characteristics'!I:I,MATCH($C387,'Policy Characteristics'!$C:$C,0))),"",INDEX('Policy Characteristics'!I:I,MATCH($C387,'Policy Characteristics'!$C:$C,0)))</f>
        <v>% reduction in downtime</v>
      </c>
      <c r="P387" s="275" t="str">
        <f>IF(ISBLANK(INDEX('Policy Characteristics'!J:J,MATCH($C387,'Policy Characteristics'!$C:$C,0))),"",INDEX('Policy Characteristics'!J:J,MATCH($C387,'Policy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7" s="275" t="str">
        <f>IF(ISBLANK(INDEX('Policy Characteristics'!K:K,MATCH($C387,'Policy Characteristics'!$C:$C,0))),"",INDEX('Policy Characteristics'!K:K,MATCH($C387,'Policy Characteristics'!$C:$C,0)))</f>
        <v>electricity-sector-main.html#red-downtime</v>
      </c>
      <c r="R387" s="275" t="str">
        <f>IF(ISBLANK(INDEX('Policy Characteristics'!L:L,MATCH($C387,'Policy Characteristics'!$C:$C,0))),"",INDEX('Policy Characteristics'!L:L,MATCH($C387,'Policy Characteristics'!$C:$C,0)))</f>
        <v>reduce-downtime.html</v>
      </c>
    </row>
    <row r="388" spans="1:18" s="2" customFormat="1" x14ac:dyDescent="0.25">
      <c r="A388" s="275" t="str">
        <f>IF(ISBLANK(INDEX('Policy Characteristics'!A:A,MATCH($C388,'Policy Characteristics'!$C:$C,0))),"",INDEX('Policy Characteristics'!A:A,MATCH($C388,'Policy Characteristics'!$C:$C,0)))</f>
        <v>Electricity Supply</v>
      </c>
      <c r="B388" s="284" t="str">
        <f>IF(ISBLANK(INDEX('Policy Characteristics'!B:B,MATCH($C388,'Policy Characteristics'!$C:$C,0))),"",INDEX('Policy Characteristics'!B:B,MATCH($C388,'Policy Characteristics'!$C:$C,0)))</f>
        <v>Reduce Plant Downtime</v>
      </c>
      <c r="C388" s="340" t="str">
        <f t="shared" ref="C388:C409" si="23">$C$386</f>
        <v>Percentage Reduction in Plant Downtime</v>
      </c>
      <c r="D388" s="6" t="s">
        <v>3521</v>
      </c>
      <c r="E388" s="47"/>
      <c r="F388" s="6" t="s">
        <v>3454</v>
      </c>
      <c r="G388" s="6"/>
      <c r="H388" s="49">
        <v>1781</v>
      </c>
      <c r="I388" s="347"/>
      <c r="J388" s="276" t="str">
        <f>IF(ISBLANK(INDEX('Policy Characteristics'!D:D,MATCH($C388,'Policy Characteristics'!$C:$C,0))),"",INDEX('Policy Characteristics'!D:D,MATCH($C388,'Policy Characteristics'!$C:$C,0)))</f>
        <v>Reduce Plant Downtime</v>
      </c>
      <c r="K388" s="275" t="str">
        <f>IF(ISBLANK(INDEX('Policy Characteristics'!E:E,MATCH($C388,'Policy Characteristics'!$C:$C,0))),"",INDEX('Policy Characteristics'!E:E,MATCH($C388,'Policy Characteristics'!$C:$C,0)))</f>
        <v>elec reduce plant downtime</v>
      </c>
      <c r="L388" s="283">
        <f>IF(ISBLANK(INDEX('Policy Characteristics'!F:F,MATCH($C388,'Policy Characteristics'!$C:$C,0))),"",INDEX('Policy Characteristics'!F:F,MATCH($C388,'Policy Characteristics'!$C:$C,0)))</f>
        <v>0</v>
      </c>
      <c r="M388" s="283">
        <f>IF(ISBLANK(INDEX('Policy Characteristics'!G:G,MATCH($C388,'Policy Characteristics'!$C:$C,0))),"",INDEX('Policy Characteristics'!G:G,MATCH($C388,'Policy Characteristics'!$C:$C,0)))</f>
        <v>0.6</v>
      </c>
      <c r="N388" s="283">
        <f>IF(ISBLANK(INDEX('Policy Characteristics'!H:H,MATCH($C388,'Policy Characteristics'!$C:$C,0))),"",INDEX('Policy Characteristics'!H:H,MATCH($C388,'Policy Characteristics'!$C:$C,0)))</f>
        <v>0.01</v>
      </c>
      <c r="O388" s="275" t="str">
        <f>IF(ISBLANK(INDEX('Policy Characteristics'!I:I,MATCH($C388,'Policy Characteristics'!$C:$C,0))),"",INDEX('Policy Characteristics'!I:I,MATCH($C388,'Policy Characteristics'!$C:$C,0)))</f>
        <v>% reduction in downtime</v>
      </c>
      <c r="P388" s="275" t="str">
        <f>IF(ISBLANK(INDEX('Policy Characteristics'!J:J,MATCH($C388,'Policy Characteristics'!$C:$C,0))),"",INDEX('Policy Characteristics'!J:J,MATCH($C388,'Policy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8" s="275" t="str">
        <f>IF(ISBLANK(INDEX('Policy Characteristics'!K:K,MATCH($C388,'Policy Characteristics'!$C:$C,0))),"",INDEX('Policy Characteristics'!K:K,MATCH($C388,'Policy Characteristics'!$C:$C,0)))</f>
        <v>electricity-sector-main.html#red-downtime</v>
      </c>
      <c r="R388" s="275" t="str">
        <f>IF(ISBLANK(INDEX('Policy Characteristics'!L:L,MATCH($C388,'Policy Characteristics'!$C:$C,0))),"",INDEX('Policy Characteristics'!L:L,MATCH($C388,'Policy Characteristics'!$C:$C,0)))</f>
        <v>reduce-downtime.html</v>
      </c>
    </row>
    <row r="389" spans="1:18" s="2" customFormat="1" x14ac:dyDescent="0.25">
      <c r="A389" s="275" t="str">
        <f>IF(ISBLANK(INDEX('Policy Characteristics'!A:A,MATCH($C389,'Policy Characteristics'!$C:$C,0))),"",INDEX('Policy Characteristics'!A:A,MATCH($C389,'Policy Characteristics'!$C:$C,0)))</f>
        <v>Electricity Supply</v>
      </c>
      <c r="B389" s="284" t="str">
        <f>IF(ISBLANK(INDEX('Policy Characteristics'!B:B,MATCH($C389,'Policy Characteristics'!$C:$C,0))),"",INDEX('Policy Characteristics'!B:B,MATCH($C389,'Policy Characteristics'!$C:$C,0)))</f>
        <v>Reduce Plant Downtime</v>
      </c>
      <c r="C389" s="340" t="str">
        <f t="shared" si="23"/>
        <v>Percentage Reduction in Plant Downtime</v>
      </c>
      <c r="D389" s="6" t="s">
        <v>76</v>
      </c>
      <c r="E389" s="47"/>
      <c r="F389" s="6" t="s">
        <v>3531</v>
      </c>
      <c r="G389" s="6"/>
      <c r="H389" s="49">
        <v>657</v>
      </c>
      <c r="I389" s="347" t="s">
        <v>44</v>
      </c>
      <c r="J389" s="276" t="str">
        <f>IF(ISBLANK(INDEX('Policy Characteristics'!D:D,MATCH($C389,'Policy Characteristics'!$C:$C,0))),"",INDEX('Policy Characteristics'!D:D,MATCH($C389,'Policy Characteristics'!$C:$C,0)))</f>
        <v>Reduce Plant Downtime</v>
      </c>
      <c r="K389" s="275" t="str">
        <f>IF(ISBLANK(INDEX('Policy Characteristics'!E:E,MATCH($C389,'Policy Characteristics'!$C:$C,0))),"",INDEX('Policy Characteristics'!E:E,MATCH($C389,'Policy Characteristics'!$C:$C,0)))</f>
        <v>elec reduce plant downtime</v>
      </c>
      <c r="L389" s="283">
        <f>IF(ISBLANK(INDEX('Policy Characteristics'!F:F,MATCH($C389,'Policy Characteristics'!$C:$C,0))),"",INDEX('Policy Characteristics'!F:F,MATCH($C389,'Policy Characteristics'!$C:$C,0)))</f>
        <v>0</v>
      </c>
      <c r="M389" s="283">
        <f>IF(ISBLANK(INDEX('Policy Characteristics'!G:G,MATCH($C389,'Policy Characteristics'!$C:$C,0))),"",INDEX('Policy Characteristics'!G:G,MATCH($C389,'Policy Characteristics'!$C:$C,0)))</f>
        <v>0.6</v>
      </c>
      <c r="N389" s="283">
        <f>IF(ISBLANK(INDEX('Policy Characteristics'!H:H,MATCH($C389,'Policy Characteristics'!$C:$C,0))),"",INDEX('Policy Characteristics'!H:H,MATCH($C389,'Policy Characteristics'!$C:$C,0)))</f>
        <v>0.01</v>
      </c>
      <c r="O389" s="275" t="str">
        <f>IF(ISBLANK(INDEX('Policy Characteristics'!I:I,MATCH($C389,'Policy Characteristics'!$C:$C,0))),"",INDEX('Policy Characteristics'!I:I,MATCH($C389,'Policy Characteristics'!$C:$C,0)))</f>
        <v>% reduction in downtime</v>
      </c>
      <c r="P389" s="275" t="str">
        <f>IF(ISBLANK(INDEX('Policy Characteristics'!J:J,MATCH($C389,'Policy Characteristics'!$C:$C,0))),"",INDEX('Policy Characteristics'!J:J,MATCH($C389,'Policy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9" s="275" t="str">
        <f>IF(ISBLANK(INDEX('Policy Characteristics'!K:K,MATCH($C389,'Policy Characteristics'!$C:$C,0))),"",INDEX('Policy Characteristics'!K:K,MATCH($C389,'Policy Characteristics'!$C:$C,0)))</f>
        <v>electricity-sector-main.html#red-downtime</v>
      </c>
      <c r="R389" s="275" t="str">
        <f>IF(ISBLANK(INDEX('Policy Characteristics'!L:L,MATCH($C389,'Policy Characteristics'!$C:$C,0))),"",INDEX('Policy Characteristics'!L:L,MATCH($C389,'Policy Characteristics'!$C:$C,0)))</f>
        <v>reduce-downtime.html</v>
      </c>
    </row>
    <row r="390" spans="1:18" s="2" customFormat="1" x14ac:dyDescent="0.25">
      <c r="A390" s="275" t="str">
        <f>IF(ISBLANK(INDEX('Policy Characteristics'!A:A,MATCH($C390,'Policy Characteristics'!$C:$C,0))),"",INDEX('Policy Characteristics'!A:A,MATCH($C390,'Policy Characteristics'!$C:$C,0)))</f>
        <v>Electricity Supply</v>
      </c>
      <c r="B390" s="284" t="str">
        <f>IF(ISBLANK(INDEX('Policy Characteristics'!B:B,MATCH($C390,'Policy Characteristics'!$C:$C,0))),"",INDEX('Policy Characteristics'!B:B,MATCH($C390,'Policy Characteristics'!$C:$C,0)))</f>
        <v>Reduce Plant Downtime</v>
      </c>
      <c r="C390" s="340" t="str">
        <f t="shared" si="23"/>
        <v>Percentage Reduction in Plant Downtime</v>
      </c>
      <c r="D390" s="6" t="s">
        <v>77</v>
      </c>
      <c r="E390" s="47"/>
      <c r="F390" s="6" t="s">
        <v>89</v>
      </c>
      <c r="G390" s="6"/>
      <c r="H390" s="49">
        <v>660</v>
      </c>
      <c r="I390" s="347" t="s">
        <v>44</v>
      </c>
      <c r="J390" s="276" t="str">
        <f>IF(ISBLANK(INDEX('Policy Characteristics'!D:D,MATCH($C390,'Policy Characteristics'!$C:$C,0))),"",INDEX('Policy Characteristics'!D:D,MATCH($C390,'Policy Characteristics'!$C:$C,0)))</f>
        <v>Reduce Plant Downtime</v>
      </c>
      <c r="K390" s="275" t="str">
        <f>IF(ISBLANK(INDEX('Policy Characteristics'!E:E,MATCH($C390,'Policy Characteristics'!$C:$C,0))),"",INDEX('Policy Characteristics'!E:E,MATCH($C390,'Policy Characteristics'!$C:$C,0)))</f>
        <v>elec reduce plant downtime</v>
      </c>
      <c r="L390" s="283">
        <f>IF(ISBLANK(INDEX('Policy Characteristics'!F:F,MATCH($C390,'Policy Characteristics'!$C:$C,0))),"",INDEX('Policy Characteristics'!F:F,MATCH($C390,'Policy Characteristics'!$C:$C,0)))</f>
        <v>0</v>
      </c>
      <c r="M390" s="283">
        <f>IF(ISBLANK(INDEX('Policy Characteristics'!G:G,MATCH($C390,'Policy Characteristics'!$C:$C,0))),"",INDEX('Policy Characteristics'!G:G,MATCH($C390,'Policy Characteristics'!$C:$C,0)))</f>
        <v>0.6</v>
      </c>
      <c r="N390" s="283">
        <f>IF(ISBLANK(INDEX('Policy Characteristics'!H:H,MATCH($C390,'Policy Characteristics'!$C:$C,0))),"",INDEX('Policy Characteristics'!H:H,MATCH($C390,'Policy Characteristics'!$C:$C,0)))</f>
        <v>0.01</v>
      </c>
      <c r="O390" s="275" t="str">
        <f>IF(ISBLANK(INDEX('Policy Characteristics'!I:I,MATCH($C390,'Policy Characteristics'!$C:$C,0))),"",INDEX('Policy Characteristics'!I:I,MATCH($C390,'Policy Characteristics'!$C:$C,0)))</f>
        <v>% reduction in downtime</v>
      </c>
      <c r="P390" s="275" t="str">
        <f>IF(ISBLANK(INDEX('Policy Characteristics'!J:J,MATCH($C390,'Policy Characteristics'!$C:$C,0))),"",INDEX('Policy Characteristics'!J:J,MATCH($C390,'Policy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0" s="275" t="str">
        <f>IF(ISBLANK(INDEX('Policy Characteristics'!K:K,MATCH($C390,'Policy Characteristics'!$C:$C,0))),"",INDEX('Policy Characteristics'!K:K,MATCH($C390,'Policy Characteristics'!$C:$C,0)))</f>
        <v>electricity-sector-main.html#red-downtime</v>
      </c>
      <c r="R390" s="275" t="str">
        <f>IF(ISBLANK(INDEX('Policy Characteristics'!L:L,MATCH($C390,'Policy Characteristics'!$C:$C,0))),"",INDEX('Policy Characteristics'!L:L,MATCH($C390,'Policy Characteristics'!$C:$C,0)))</f>
        <v>reduce-downtime.html</v>
      </c>
    </row>
    <row r="391" spans="1:18" s="2" customFormat="1" x14ac:dyDescent="0.25">
      <c r="A391" s="275" t="str">
        <f>IF(ISBLANK(INDEX('Policy Characteristics'!A:A,MATCH($C391,'Policy Characteristics'!$C:$C,0))),"",INDEX('Policy Characteristics'!A:A,MATCH($C391,'Policy Characteristics'!$C:$C,0)))</f>
        <v>Electricity Supply</v>
      </c>
      <c r="B391" s="284" t="str">
        <f>IF(ISBLANK(INDEX('Policy Characteristics'!B:B,MATCH($C391,'Policy Characteristics'!$C:$C,0))),"",INDEX('Policy Characteristics'!B:B,MATCH($C391,'Policy Characteristics'!$C:$C,0)))</f>
        <v>Reduce Plant Downtime</v>
      </c>
      <c r="C391" s="340" t="str">
        <f t="shared" si="23"/>
        <v>Percentage Reduction in Plant Downtime</v>
      </c>
      <c r="D391" s="6" t="s">
        <v>449</v>
      </c>
      <c r="E391" s="47"/>
      <c r="F391" s="6" t="s">
        <v>452</v>
      </c>
      <c r="G391" s="6"/>
      <c r="H391" s="49">
        <v>143</v>
      </c>
      <c r="I391" s="347" t="s">
        <v>43</v>
      </c>
      <c r="J391" s="276" t="str">
        <f>IF(ISBLANK(INDEX('Policy Characteristics'!D:D,MATCH($C391,'Policy Characteristics'!$C:$C,0))),"",INDEX('Policy Characteristics'!D:D,MATCH($C391,'Policy Characteristics'!$C:$C,0)))</f>
        <v>Reduce Plant Downtime</v>
      </c>
      <c r="K391" s="275" t="str">
        <f>IF(ISBLANK(INDEX('Policy Characteristics'!E:E,MATCH($C391,'Policy Characteristics'!$C:$C,0))),"",INDEX('Policy Characteristics'!E:E,MATCH($C391,'Policy Characteristics'!$C:$C,0)))</f>
        <v>elec reduce plant downtime</v>
      </c>
      <c r="L391" s="283">
        <f>IF(ISBLANK(INDEX('Policy Characteristics'!F:F,MATCH($C391,'Policy Characteristics'!$C:$C,0))),"",INDEX('Policy Characteristics'!F:F,MATCH($C391,'Policy Characteristics'!$C:$C,0)))</f>
        <v>0</v>
      </c>
      <c r="M391" s="283">
        <f>IF(ISBLANK(INDEX('Policy Characteristics'!G:G,MATCH($C391,'Policy Characteristics'!$C:$C,0))),"",INDEX('Policy Characteristics'!G:G,MATCH($C391,'Policy Characteristics'!$C:$C,0)))</f>
        <v>0.6</v>
      </c>
      <c r="N391" s="283">
        <f>IF(ISBLANK(INDEX('Policy Characteristics'!H:H,MATCH($C391,'Policy Characteristics'!$C:$C,0))),"",INDEX('Policy Characteristics'!H:H,MATCH($C391,'Policy Characteristics'!$C:$C,0)))</f>
        <v>0.01</v>
      </c>
      <c r="O391" s="275" t="str">
        <f>IF(ISBLANK(INDEX('Policy Characteristics'!I:I,MATCH($C391,'Policy Characteristics'!$C:$C,0))),"",INDEX('Policy Characteristics'!I:I,MATCH($C391,'Policy Characteristics'!$C:$C,0)))</f>
        <v>% reduction in downtime</v>
      </c>
      <c r="P391" s="275" t="str">
        <f>IF(ISBLANK(INDEX('Policy Characteristics'!J:J,MATCH($C391,'Policy Characteristics'!$C:$C,0))),"",INDEX('Policy Characteristics'!J:J,MATCH($C391,'Policy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1" s="275" t="str">
        <f>IF(ISBLANK(INDEX('Policy Characteristics'!K:K,MATCH($C391,'Policy Characteristics'!$C:$C,0))),"",INDEX('Policy Characteristics'!K:K,MATCH($C391,'Policy Characteristics'!$C:$C,0)))</f>
        <v>electricity-sector-main.html#red-downtime</v>
      </c>
      <c r="R391" s="275" t="str">
        <f>IF(ISBLANK(INDEX('Policy Characteristics'!L:L,MATCH($C391,'Policy Characteristics'!$C:$C,0))),"",INDEX('Policy Characteristics'!L:L,MATCH($C391,'Policy Characteristics'!$C:$C,0)))</f>
        <v>reduce-downtime.html</v>
      </c>
    </row>
    <row r="392" spans="1:18" s="2" customFormat="1" x14ac:dyDescent="0.25">
      <c r="A392" s="275" t="str">
        <f>IF(ISBLANK(INDEX('Policy Characteristics'!A:A,MATCH($C392,'Policy Characteristics'!$C:$C,0))),"",INDEX('Policy Characteristics'!A:A,MATCH($C392,'Policy Characteristics'!$C:$C,0)))</f>
        <v>Electricity Supply</v>
      </c>
      <c r="B392" s="284" t="str">
        <f>IF(ISBLANK(INDEX('Policy Characteristics'!B:B,MATCH($C392,'Policy Characteristics'!$C:$C,0))),"",INDEX('Policy Characteristics'!B:B,MATCH($C392,'Policy Characteristics'!$C:$C,0)))</f>
        <v>Reduce Plant Downtime</v>
      </c>
      <c r="C392" s="340" t="str">
        <f t="shared" si="23"/>
        <v>Percentage Reduction in Plant Downtime</v>
      </c>
      <c r="D392" s="6" t="s">
        <v>78</v>
      </c>
      <c r="E392" s="47"/>
      <c r="F392" s="6" t="s">
        <v>90</v>
      </c>
      <c r="G392" s="6"/>
      <c r="H392" s="49">
        <v>144</v>
      </c>
      <c r="I392" s="347" t="s">
        <v>43</v>
      </c>
      <c r="J392" s="276" t="str">
        <f>IF(ISBLANK(INDEX('Policy Characteristics'!D:D,MATCH($C392,'Policy Characteristics'!$C:$C,0))),"",INDEX('Policy Characteristics'!D:D,MATCH($C392,'Policy Characteristics'!$C:$C,0)))</f>
        <v>Reduce Plant Downtime</v>
      </c>
      <c r="K392" s="275" t="str">
        <f>IF(ISBLANK(INDEX('Policy Characteristics'!E:E,MATCH($C392,'Policy Characteristics'!$C:$C,0))),"",INDEX('Policy Characteristics'!E:E,MATCH($C392,'Policy Characteristics'!$C:$C,0)))</f>
        <v>elec reduce plant downtime</v>
      </c>
      <c r="L392" s="283">
        <f>IF(ISBLANK(INDEX('Policy Characteristics'!F:F,MATCH($C392,'Policy Characteristics'!$C:$C,0))),"",INDEX('Policy Characteristics'!F:F,MATCH($C392,'Policy Characteristics'!$C:$C,0)))</f>
        <v>0</v>
      </c>
      <c r="M392" s="283">
        <f>IF(ISBLANK(INDEX('Policy Characteristics'!G:G,MATCH($C392,'Policy Characteristics'!$C:$C,0))),"",INDEX('Policy Characteristics'!G:G,MATCH($C392,'Policy Characteristics'!$C:$C,0)))</f>
        <v>0.6</v>
      </c>
      <c r="N392" s="283">
        <f>IF(ISBLANK(INDEX('Policy Characteristics'!H:H,MATCH($C392,'Policy Characteristics'!$C:$C,0))),"",INDEX('Policy Characteristics'!H:H,MATCH($C392,'Policy Characteristics'!$C:$C,0)))</f>
        <v>0.01</v>
      </c>
      <c r="O392" s="275" t="str">
        <f>IF(ISBLANK(INDEX('Policy Characteristics'!I:I,MATCH($C392,'Policy Characteristics'!$C:$C,0))),"",INDEX('Policy Characteristics'!I:I,MATCH($C392,'Policy Characteristics'!$C:$C,0)))</f>
        <v>% reduction in downtime</v>
      </c>
      <c r="P392" s="275" t="str">
        <f>IF(ISBLANK(INDEX('Policy Characteristics'!J:J,MATCH($C392,'Policy Characteristics'!$C:$C,0))),"",INDEX('Policy Characteristics'!J:J,MATCH($C392,'Policy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2" s="275" t="str">
        <f>IF(ISBLANK(INDEX('Policy Characteristics'!K:K,MATCH($C392,'Policy Characteristics'!$C:$C,0))),"",INDEX('Policy Characteristics'!K:K,MATCH($C392,'Policy Characteristics'!$C:$C,0)))</f>
        <v>electricity-sector-main.html#red-downtime</v>
      </c>
      <c r="R392" s="275" t="str">
        <f>IF(ISBLANK(INDEX('Policy Characteristics'!L:L,MATCH($C392,'Policy Characteristics'!$C:$C,0))),"",INDEX('Policy Characteristics'!L:L,MATCH($C392,'Policy Characteristics'!$C:$C,0)))</f>
        <v>reduce-downtime.html</v>
      </c>
    </row>
    <row r="393" spans="1:18" s="2" customFormat="1" x14ac:dyDescent="0.25">
      <c r="A393" s="275" t="str">
        <f>IF(ISBLANK(INDEX('Policy Characteristics'!A:A,MATCH($C393,'Policy Characteristics'!$C:$C,0))),"",INDEX('Policy Characteristics'!A:A,MATCH($C393,'Policy Characteristics'!$C:$C,0)))</f>
        <v>Electricity Supply</v>
      </c>
      <c r="B393" s="284" t="str">
        <f>IF(ISBLANK(INDEX('Policy Characteristics'!B:B,MATCH($C393,'Policy Characteristics'!$C:$C,0))),"",INDEX('Policy Characteristics'!B:B,MATCH($C393,'Policy Characteristics'!$C:$C,0)))</f>
        <v>Reduce Plant Downtime</v>
      </c>
      <c r="C393" s="340" t="str">
        <f t="shared" si="23"/>
        <v>Percentage Reduction in Plant Downtime</v>
      </c>
      <c r="D393" s="6" t="s">
        <v>79</v>
      </c>
      <c r="E393" s="47"/>
      <c r="F393" s="6" t="s">
        <v>91</v>
      </c>
      <c r="G393" s="6"/>
      <c r="H393" s="49">
        <v>667</v>
      </c>
      <c r="I393" s="347" t="s">
        <v>44</v>
      </c>
      <c r="J393" s="276" t="str">
        <f>IF(ISBLANK(INDEX('Policy Characteristics'!D:D,MATCH($C393,'Policy Characteristics'!$C:$C,0))),"",INDEX('Policy Characteristics'!D:D,MATCH($C393,'Policy Characteristics'!$C:$C,0)))</f>
        <v>Reduce Plant Downtime</v>
      </c>
      <c r="K393" s="275" t="str">
        <f>IF(ISBLANK(INDEX('Policy Characteristics'!E:E,MATCH($C393,'Policy Characteristics'!$C:$C,0))),"",INDEX('Policy Characteristics'!E:E,MATCH($C393,'Policy Characteristics'!$C:$C,0)))</f>
        <v>elec reduce plant downtime</v>
      </c>
      <c r="L393" s="283">
        <f>IF(ISBLANK(INDEX('Policy Characteristics'!F:F,MATCH($C393,'Policy Characteristics'!$C:$C,0))),"",INDEX('Policy Characteristics'!F:F,MATCH($C393,'Policy Characteristics'!$C:$C,0)))</f>
        <v>0</v>
      </c>
      <c r="M393" s="283">
        <f>IF(ISBLANK(INDEX('Policy Characteristics'!G:G,MATCH($C393,'Policy Characteristics'!$C:$C,0))),"",INDEX('Policy Characteristics'!G:G,MATCH($C393,'Policy Characteristics'!$C:$C,0)))</f>
        <v>0.6</v>
      </c>
      <c r="N393" s="283">
        <f>IF(ISBLANK(INDEX('Policy Characteristics'!H:H,MATCH($C393,'Policy Characteristics'!$C:$C,0))),"",INDEX('Policy Characteristics'!H:H,MATCH($C393,'Policy Characteristics'!$C:$C,0)))</f>
        <v>0.01</v>
      </c>
      <c r="O393" s="275" t="str">
        <f>IF(ISBLANK(INDEX('Policy Characteristics'!I:I,MATCH($C393,'Policy Characteristics'!$C:$C,0))),"",INDEX('Policy Characteristics'!I:I,MATCH($C393,'Policy Characteristics'!$C:$C,0)))</f>
        <v>% reduction in downtime</v>
      </c>
      <c r="P393" s="275" t="str">
        <f>IF(ISBLANK(INDEX('Policy Characteristics'!J:J,MATCH($C393,'Policy Characteristics'!$C:$C,0))),"",INDEX('Policy Characteristics'!J:J,MATCH($C393,'Policy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3" s="275" t="str">
        <f>IF(ISBLANK(INDEX('Policy Characteristics'!K:K,MATCH($C393,'Policy Characteristics'!$C:$C,0))),"",INDEX('Policy Characteristics'!K:K,MATCH($C393,'Policy Characteristics'!$C:$C,0)))</f>
        <v>electricity-sector-main.html#red-downtime</v>
      </c>
      <c r="R393" s="275" t="str">
        <f>IF(ISBLANK(INDEX('Policy Characteristics'!L:L,MATCH($C393,'Policy Characteristics'!$C:$C,0))),"",INDEX('Policy Characteristics'!L:L,MATCH($C393,'Policy Characteristics'!$C:$C,0)))</f>
        <v>reduce-downtime.html</v>
      </c>
    </row>
    <row r="394" spans="1:18" s="2" customFormat="1" x14ac:dyDescent="0.25">
      <c r="A394" s="275" t="str">
        <f>IF(ISBLANK(INDEX('Policy Characteristics'!A:A,MATCH($C394,'Policy Characteristics'!$C:$C,0))),"",INDEX('Policy Characteristics'!A:A,MATCH($C394,'Policy Characteristics'!$C:$C,0)))</f>
        <v>Electricity Supply</v>
      </c>
      <c r="B394" s="284" t="str">
        <f>IF(ISBLANK(INDEX('Policy Characteristics'!B:B,MATCH($C394,'Policy Characteristics'!$C:$C,0))),"",INDEX('Policy Characteristics'!B:B,MATCH($C394,'Policy Characteristics'!$C:$C,0)))</f>
        <v>Reduce Plant Downtime</v>
      </c>
      <c r="C394" s="340" t="str">
        <f t="shared" si="23"/>
        <v>Percentage Reduction in Plant Downtime</v>
      </c>
      <c r="D394" s="6" t="s">
        <v>80</v>
      </c>
      <c r="E394" s="47"/>
      <c r="F394" s="6" t="s">
        <v>92</v>
      </c>
      <c r="G394" s="6"/>
      <c r="H394" s="49">
        <v>670</v>
      </c>
      <c r="I394" s="347" t="s">
        <v>44</v>
      </c>
      <c r="J394" s="276" t="str">
        <f>IF(ISBLANK(INDEX('Policy Characteristics'!D:D,MATCH($C394,'Policy Characteristics'!$C:$C,0))),"",INDEX('Policy Characteristics'!D:D,MATCH($C394,'Policy Characteristics'!$C:$C,0)))</f>
        <v>Reduce Plant Downtime</v>
      </c>
      <c r="K394" s="275" t="str">
        <f>IF(ISBLANK(INDEX('Policy Characteristics'!E:E,MATCH($C394,'Policy Characteristics'!$C:$C,0))),"",INDEX('Policy Characteristics'!E:E,MATCH($C394,'Policy Characteristics'!$C:$C,0)))</f>
        <v>elec reduce plant downtime</v>
      </c>
      <c r="L394" s="283">
        <f>IF(ISBLANK(INDEX('Policy Characteristics'!F:F,MATCH($C394,'Policy Characteristics'!$C:$C,0))),"",INDEX('Policy Characteristics'!F:F,MATCH($C394,'Policy Characteristics'!$C:$C,0)))</f>
        <v>0</v>
      </c>
      <c r="M394" s="283">
        <f>IF(ISBLANK(INDEX('Policy Characteristics'!G:G,MATCH($C394,'Policy Characteristics'!$C:$C,0))),"",INDEX('Policy Characteristics'!G:G,MATCH($C394,'Policy Characteristics'!$C:$C,0)))</f>
        <v>0.6</v>
      </c>
      <c r="N394" s="283">
        <f>IF(ISBLANK(INDEX('Policy Characteristics'!H:H,MATCH($C394,'Policy Characteristics'!$C:$C,0))),"",INDEX('Policy Characteristics'!H:H,MATCH($C394,'Policy Characteristics'!$C:$C,0)))</f>
        <v>0.01</v>
      </c>
      <c r="O394" s="275" t="str">
        <f>IF(ISBLANK(INDEX('Policy Characteristics'!I:I,MATCH($C394,'Policy Characteristics'!$C:$C,0))),"",INDEX('Policy Characteristics'!I:I,MATCH($C394,'Policy Characteristics'!$C:$C,0)))</f>
        <v>% reduction in downtime</v>
      </c>
      <c r="P394" s="275" t="str">
        <f>IF(ISBLANK(INDEX('Policy Characteristics'!J:J,MATCH($C394,'Policy Characteristics'!$C:$C,0))),"",INDEX('Policy Characteristics'!J:J,MATCH($C394,'Policy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4" s="275" t="str">
        <f>IF(ISBLANK(INDEX('Policy Characteristics'!K:K,MATCH($C394,'Policy Characteristics'!$C:$C,0))),"",INDEX('Policy Characteristics'!K:K,MATCH($C394,'Policy Characteristics'!$C:$C,0)))</f>
        <v>electricity-sector-main.html#red-downtime</v>
      </c>
      <c r="R394" s="275" t="str">
        <f>IF(ISBLANK(INDEX('Policy Characteristics'!L:L,MATCH($C394,'Policy Characteristics'!$C:$C,0))),"",INDEX('Policy Characteristics'!L:L,MATCH($C394,'Policy Characteristics'!$C:$C,0)))</f>
        <v>reduce-downtime.html</v>
      </c>
    </row>
    <row r="395" spans="1:18" s="2" customFormat="1" x14ac:dyDescent="0.25">
      <c r="A395" s="275" t="str">
        <f>IF(ISBLANK(INDEX('Policy Characteristics'!A:A,MATCH($C395,'Policy Characteristics'!$C:$C,0))),"",INDEX('Policy Characteristics'!A:A,MATCH($C395,'Policy Characteristics'!$C:$C,0)))</f>
        <v>Electricity Supply</v>
      </c>
      <c r="B395" s="284" t="str">
        <f>IF(ISBLANK(INDEX('Policy Characteristics'!B:B,MATCH($C395,'Policy Characteristics'!$C:$C,0))),"",INDEX('Policy Characteristics'!B:B,MATCH($C395,'Policy Characteristics'!$C:$C,0)))</f>
        <v>Reduce Plant Downtime</v>
      </c>
      <c r="C395" s="340" t="str">
        <f t="shared" si="23"/>
        <v>Percentage Reduction in Plant Downtime</v>
      </c>
      <c r="D395" s="6" t="s">
        <v>2427</v>
      </c>
      <c r="E395" s="47"/>
      <c r="F395" s="6" t="s">
        <v>437</v>
      </c>
      <c r="G395" s="6"/>
      <c r="H395" s="49">
        <v>673</v>
      </c>
      <c r="I395" s="347" t="s">
        <v>44</v>
      </c>
      <c r="J395" s="276" t="str">
        <f>IF(ISBLANK(INDEX('Policy Characteristics'!D:D,MATCH($C395,'Policy Characteristics'!$C:$C,0))),"",INDEX('Policy Characteristics'!D:D,MATCH($C395,'Policy Characteristics'!$C:$C,0)))</f>
        <v>Reduce Plant Downtime</v>
      </c>
      <c r="K395" s="275" t="str">
        <f>IF(ISBLANK(INDEX('Policy Characteristics'!E:E,MATCH($C395,'Policy Characteristics'!$C:$C,0))),"",INDEX('Policy Characteristics'!E:E,MATCH($C395,'Policy Characteristics'!$C:$C,0)))</f>
        <v>elec reduce plant downtime</v>
      </c>
      <c r="L395" s="283">
        <f>IF(ISBLANK(INDEX('Policy Characteristics'!F:F,MATCH($C395,'Policy Characteristics'!$C:$C,0))),"",INDEX('Policy Characteristics'!F:F,MATCH($C395,'Policy Characteristics'!$C:$C,0)))</f>
        <v>0</v>
      </c>
      <c r="M395" s="283">
        <f>IF(ISBLANK(INDEX('Policy Characteristics'!G:G,MATCH($C395,'Policy Characteristics'!$C:$C,0))),"",INDEX('Policy Characteristics'!G:G,MATCH($C395,'Policy Characteristics'!$C:$C,0)))</f>
        <v>0.6</v>
      </c>
      <c r="N395" s="283">
        <f>IF(ISBLANK(INDEX('Policy Characteristics'!H:H,MATCH($C395,'Policy Characteristics'!$C:$C,0))),"",INDEX('Policy Characteristics'!H:H,MATCH($C395,'Policy Characteristics'!$C:$C,0)))</f>
        <v>0.01</v>
      </c>
      <c r="O395" s="275" t="str">
        <f>IF(ISBLANK(INDEX('Policy Characteristics'!I:I,MATCH($C395,'Policy Characteristics'!$C:$C,0))),"",INDEX('Policy Characteristics'!I:I,MATCH($C395,'Policy Characteristics'!$C:$C,0)))</f>
        <v>% reduction in downtime</v>
      </c>
      <c r="P395" s="275" t="str">
        <f>IF(ISBLANK(INDEX('Policy Characteristics'!J:J,MATCH($C395,'Policy Characteristics'!$C:$C,0))),"",INDEX('Policy Characteristics'!J:J,MATCH($C395,'Policy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5" s="275" t="str">
        <f>IF(ISBLANK(INDEX('Policy Characteristics'!K:K,MATCH($C395,'Policy Characteristics'!$C:$C,0))),"",INDEX('Policy Characteristics'!K:K,MATCH($C395,'Policy Characteristics'!$C:$C,0)))</f>
        <v>electricity-sector-main.html#red-downtime</v>
      </c>
      <c r="R395" s="275" t="str">
        <f>IF(ISBLANK(INDEX('Policy Characteristics'!L:L,MATCH($C395,'Policy Characteristics'!$C:$C,0))),"",INDEX('Policy Characteristics'!L:L,MATCH($C395,'Policy Characteristics'!$C:$C,0)))</f>
        <v>reduce-downtime.html</v>
      </c>
    </row>
    <row r="396" spans="1:18" s="2" customFormat="1" x14ac:dyDescent="0.25">
      <c r="A396" s="275" t="str">
        <f>IF(ISBLANK(INDEX('Policy Characteristics'!A:A,MATCH($C396,'Policy Characteristics'!$C:$C,0))),"",INDEX('Policy Characteristics'!A:A,MATCH($C396,'Policy Characteristics'!$C:$C,0)))</f>
        <v>Electricity Supply</v>
      </c>
      <c r="B396" s="284" t="str">
        <f>IF(ISBLANK(INDEX('Policy Characteristics'!B:B,MATCH($C396,'Policy Characteristics'!$C:$C,0))),"",INDEX('Policy Characteristics'!B:B,MATCH($C396,'Policy Characteristics'!$C:$C,0)))</f>
        <v>Reduce Plant Downtime</v>
      </c>
      <c r="C396" s="340" t="str">
        <f t="shared" si="23"/>
        <v>Percentage Reduction in Plant Downtime</v>
      </c>
      <c r="D396" s="6" t="s">
        <v>309</v>
      </c>
      <c r="E396" s="47"/>
      <c r="F396" s="6" t="s">
        <v>311</v>
      </c>
      <c r="G396" s="6"/>
      <c r="H396" s="49">
        <v>676</v>
      </c>
      <c r="I396" s="347" t="s">
        <v>44</v>
      </c>
      <c r="J396" s="276" t="str">
        <f>IF(ISBLANK(INDEX('Policy Characteristics'!D:D,MATCH($C396,'Policy Characteristics'!$C:$C,0))),"",INDEX('Policy Characteristics'!D:D,MATCH($C396,'Policy Characteristics'!$C:$C,0)))</f>
        <v>Reduce Plant Downtime</v>
      </c>
      <c r="K396" s="275" t="str">
        <f>IF(ISBLANK(INDEX('Policy Characteristics'!E:E,MATCH($C396,'Policy Characteristics'!$C:$C,0))),"",INDEX('Policy Characteristics'!E:E,MATCH($C396,'Policy Characteristics'!$C:$C,0)))</f>
        <v>elec reduce plant downtime</v>
      </c>
      <c r="L396" s="283">
        <f>IF(ISBLANK(INDEX('Policy Characteristics'!F:F,MATCH($C396,'Policy Characteristics'!$C:$C,0))),"",INDEX('Policy Characteristics'!F:F,MATCH($C396,'Policy Characteristics'!$C:$C,0)))</f>
        <v>0</v>
      </c>
      <c r="M396" s="283">
        <f>IF(ISBLANK(INDEX('Policy Characteristics'!G:G,MATCH($C396,'Policy Characteristics'!$C:$C,0))),"",INDEX('Policy Characteristics'!G:G,MATCH($C396,'Policy Characteristics'!$C:$C,0)))</f>
        <v>0.6</v>
      </c>
      <c r="N396" s="283">
        <f>IF(ISBLANK(INDEX('Policy Characteristics'!H:H,MATCH($C396,'Policy Characteristics'!$C:$C,0))),"",INDEX('Policy Characteristics'!H:H,MATCH($C396,'Policy Characteristics'!$C:$C,0)))</f>
        <v>0.01</v>
      </c>
      <c r="O396" s="275" t="str">
        <f>IF(ISBLANK(INDEX('Policy Characteristics'!I:I,MATCH($C396,'Policy Characteristics'!$C:$C,0))),"",INDEX('Policy Characteristics'!I:I,MATCH($C396,'Policy Characteristics'!$C:$C,0)))</f>
        <v>% reduction in downtime</v>
      </c>
      <c r="P396" s="275" t="str">
        <f>IF(ISBLANK(INDEX('Policy Characteristics'!J:J,MATCH($C396,'Policy Characteristics'!$C:$C,0))),"",INDEX('Policy Characteristics'!J:J,MATCH($C396,'Policy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6" s="275" t="str">
        <f>IF(ISBLANK(INDEX('Policy Characteristics'!K:K,MATCH($C396,'Policy Characteristics'!$C:$C,0))),"",INDEX('Policy Characteristics'!K:K,MATCH($C396,'Policy Characteristics'!$C:$C,0)))</f>
        <v>electricity-sector-main.html#red-downtime</v>
      </c>
      <c r="R396" s="275" t="str">
        <f>IF(ISBLANK(INDEX('Policy Characteristics'!L:L,MATCH($C396,'Policy Characteristics'!$C:$C,0))),"",INDEX('Policy Characteristics'!L:L,MATCH($C396,'Policy Characteristics'!$C:$C,0)))</f>
        <v>reduce-downtime.html</v>
      </c>
    </row>
    <row r="397" spans="1:18" s="2" customFormat="1" x14ac:dyDescent="0.25">
      <c r="A397" s="275" t="str">
        <f>IF(ISBLANK(INDEX('Policy Characteristics'!A:A,MATCH($C397,'Policy Characteristics'!$C:$C,0))),"",INDEX('Policy Characteristics'!A:A,MATCH($C397,'Policy Characteristics'!$C:$C,0)))</f>
        <v>Electricity Supply</v>
      </c>
      <c r="B397" s="284" t="str">
        <f>IF(ISBLANK(INDEX('Policy Characteristics'!B:B,MATCH($C397,'Policy Characteristics'!$C:$C,0))),"",INDEX('Policy Characteristics'!B:B,MATCH($C397,'Policy Characteristics'!$C:$C,0)))</f>
        <v>Reduce Plant Downtime</v>
      </c>
      <c r="C397" s="340" t="str">
        <f t="shared" si="23"/>
        <v>Percentage Reduction in Plant Downtime</v>
      </c>
      <c r="D397" s="6" t="s">
        <v>310</v>
      </c>
      <c r="E397" s="47"/>
      <c r="F397" s="6" t="s">
        <v>312</v>
      </c>
      <c r="G397" s="6"/>
      <c r="H397" s="49">
        <v>679</v>
      </c>
      <c r="I397" s="347" t="s">
        <v>44</v>
      </c>
      <c r="J397" s="276" t="str">
        <f>IF(ISBLANK(INDEX('Policy Characteristics'!D:D,MATCH($C397,'Policy Characteristics'!$C:$C,0))),"",INDEX('Policy Characteristics'!D:D,MATCH($C397,'Policy Characteristics'!$C:$C,0)))</f>
        <v>Reduce Plant Downtime</v>
      </c>
      <c r="K397" s="275" t="str">
        <f>IF(ISBLANK(INDEX('Policy Characteristics'!E:E,MATCH($C397,'Policy Characteristics'!$C:$C,0))),"",INDEX('Policy Characteristics'!E:E,MATCH($C397,'Policy Characteristics'!$C:$C,0)))</f>
        <v>elec reduce plant downtime</v>
      </c>
      <c r="L397" s="283">
        <f>IF(ISBLANK(INDEX('Policy Characteristics'!F:F,MATCH($C397,'Policy Characteristics'!$C:$C,0))),"",INDEX('Policy Characteristics'!F:F,MATCH($C397,'Policy Characteristics'!$C:$C,0)))</f>
        <v>0</v>
      </c>
      <c r="M397" s="283">
        <f>IF(ISBLANK(INDEX('Policy Characteristics'!G:G,MATCH($C397,'Policy Characteristics'!$C:$C,0))),"",INDEX('Policy Characteristics'!G:G,MATCH($C397,'Policy Characteristics'!$C:$C,0)))</f>
        <v>0.6</v>
      </c>
      <c r="N397" s="283">
        <f>IF(ISBLANK(INDEX('Policy Characteristics'!H:H,MATCH($C397,'Policy Characteristics'!$C:$C,0))),"",INDEX('Policy Characteristics'!H:H,MATCH($C397,'Policy Characteristics'!$C:$C,0)))</f>
        <v>0.01</v>
      </c>
      <c r="O397" s="275" t="str">
        <f>IF(ISBLANK(INDEX('Policy Characteristics'!I:I,MATCH($C397,'Policy Characteristics'!$C:$C,0))),"",INDEX('Policy Characteristics'!I:I,MATCH($C397,'Policy Characteristics'!$C:$C,0)))</f>
        <v>% reduction in downtime</v>
      </c>
      <c r="P397" s="275" t="str">
        <f>IF(ISBLANK(INDEX('Policy Characteristics'!J:J,MATCH($C397,'Policy Characteristics'!$C:$C,0))),"",INDEX('Policy Characteristics'!J:J,MATCH($C397,'Policy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7" s="275" t="str">
        <f>IF(ISBLANK(INDEX('Policy Characteristics'!K:K,MATCH($C397,'Policy Characteristics'!$C:$C,0))),"",INDEX('Policy Characteristics'!K:K,MATCH($C397,'Policy Characteristics'!$C:$C,0)))</f>
        <v>electricity-sector-main.html#red-downtime</v>
      </c>
      <c r="R397" s="275" t="str">
        <f>IF(ISBLANK(INDEX('Policy Characteristics'!L:L,MATCH($C397,'Policy Characteristics'!$C:$C,0))),"",INDEX('Policy Characteristics'!L:L,MATCH($C397,'Policy Characteristics'!$C:$C,0)))</f>
        <v>reduce-downtime.html</v>
      </c>
    </row>
    <row r="398" spans="1:18" s="2" customFormat="1" x14ac:dyDescent="0.25">
      <c r="A398" s="275" t="str">
        <f>IF(ISBLANK(INDEX('Policy Characteristics'!A:A,MATCH($C398,'Policy Characteristics'!$C:$C,0))),"",INDEX('Policy Characteristics'!A:A,MATCH($C398,'Policy Characteristics'!$C:$C,0)))</f>
        <v>Electricity Supply</v>
      </c>
      <c r="B398" s="284" t="str">
        <f>IF(ISBLANK(INDEX('Policy Characteristics'!B:B,MATCH($C398,'Policy Characteristics'!$C:$C,0))),"",INDEX('Policy Characteristics'!B:B,MATCH($C398,'Policy Characteristics'!$C:$C,0)))</f>
        <v>Reduce Plant Downtime</v>
      </c>
      <c r="C398" s="340" t="str">
        <f t="shared" si="23"/>
        <v>Percentage Reduction in Plant Downtime</v>
      </c>
      <c r="D398" s="6" t="s">
        <v>445</v>
      </c>
      <c r="E398" s="47"/>
      <c r="F398" s="6" t="s">
        <v>444</v>
      </c>
      <c r="G398" s="6"/>
      <c r="H398" s="49">
        <v>182</v>
      </c>
      <c r="I398" s="347" t="s">
        <v>43</v>
      </c>
      <c r="J398" s="276" t="str">
        <f>IF(ISBLANK(INDEX('Policy Characteristics'!D:D,MATCH($C398,'Policy Characteristics'!$C:$C,0))),"",INDEX('Policy Characteristics'!D:D,MATCH($C398,'Policy Characteristics'!$C:$C,0)))</f>
        <v>Reduce Plant Downtime</v>
      </c>
      <c r="K398" s="275" t="str">
        <f>IF(ISBLANK(INDEX('Policy Characteristics'!E:E,MATCH($C398,'Policy Characteristics'!$C:$C,0))),"",INDEX('Policy Characteristics'!E:E,MATCH($C398,'Policy Characteristics'!$C:$C,0)))</f>
        <v>elec reduce plant downtime</v>
      </c>
      <c r="L398" s="283">
        <f>IF(ISBLANK(INDEX('Policy Characteristics'!F:F,MATCH($C398,'Policy Characteristics'!$C:$C,0))),"",INDEX('Policy Characteristics'!F:F,MATCH($C398,'Policy Characteristics'!$C:$C,0)))</f>
        <v>0</v>
      </c>
      <c r="M398" s="283">
        <f>IF(ISBLANK(INDEX('Policy Characteristics'!G:G,MATCH($C398,'Policy Characteristics'!$C:$C,0))),"",INDEX('Policy Characteristics'!G:G,MATCH($C398,'Policy Characteristics'!$C:$C,0)))</f>
        <v>0.6</v>
      </c>
      <c r="N398" s="283">
        <f>IF(ISBLANK(INDEX('Policy Characteristics'!H:H,MATCH($C398,'Policy Characteristics'!$C:$C,0))),"",INDEX('Policy Characteristics'!H:H,MATCH($C398,'Policy Characteristics'!$C:$C,0)))</f>
        <v>0.01</v>
      </c>
      <c r="O398" s="275" t="str">
        <f>IF(ISBLANK(INDEX('Policy Characteristics'!I:I,MATCH($C398,'Policy Characteristics'!$C:$C,0))),"",INDEX('Policy Characteristics'!I:I,MATCH($C398,'Policy Characteristics'!$C:$C,0)))</f>
        <v>% reduction in downtime</v>
      </c>
      <c r="P398" s="275" t="str">
        <f>IF(ISBLANK(INDEX('Policy Characteristics'!J:J,MATCH($C398,'Policy Characteristics'!$C:$C,0))),"",INDEX('Policy Characteristics'!J:J,MATCH($C398,'Policy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8" s="275" t="str">
        <f>IF(ISBLANK(INDEX('Policy Characteristics'!K:K,MATCH($C398,'Policy Characteristics'!$C:$C,0))),"",INDEX('Policy Characteristics'!K:K,MATCH($C398,'Policy Characteristics'!$C:$C,0)))</f>
        <v>electricity-sector-main.html#red-downtime</v>
      </c>
      <c r="R398" s="275" t="str">
        <f>IF(ISBLANK(INDEX('Policy Characteristics'!L:L,MATCH($C398,'Policy Characteristics'!$C:$C,0))),"",INDEX('Policy Characteristics'!L:L,MATCH($C398,'Policy Characteristics'!$C:$C,0)))</f>
        <v>reduce-downtime.html</v>
      </c>
    </row>
    <row r="399" spans="1:18" s="2" customFormat="1" x14ac:dyDescent="0.25">
      <c r="A399" s="275" t="str">
        <f>IF(ISBLANK(INDEX('Policy Characteristics'!A:A,MATCH($C399,'Policy Characteristics'!$C:$C,0))),"",INDEX('Policy Characteristics'!A:A,MATCH($C399,'Policy Characteristics'!$C:$C,0)))</f>
        <v>Electricity Supply</v>
      </c>
      <c r="B399" s="284" t="str">
        <f>IF(ISBLANK(INDEX('Policy Characteristics'!B:B,MATCH($C399,'Policy Characteristics'!$C:$C,0))),"",INDEX('Policy Characteristics'!B:B,MATCH($C399,'Policy Characteristics'!$C:$C,0)))</f>
        <v>Reduce Plant Downtime</v>
      </c>
      <c r="C399" s="340" t="str">
        <f t="shared" si="23"/>
        <v>Percentage Reduction in Plant Downtime</v>
      </c>
      <c r="D399" s="6" t="s">
        <v>454</v>
      </c>
      <c r="E399" s="47"/>
      <c r="F399" s="6" t="s">
        <v>455</v>
      </c>
      <c r="H399" s="49">
        <v>684</v>
      </c>
      <c r="I399" s="347" t="s">
        <v>44</v>
      </c>
      <c r="J399" s="276" t="str">
        <f>IF(ISBLANK(INDEX('Policy Characteristics'!D:D,MATCH($C399,'Policy Characteristics'!$C:$C,0))),"",INDEX('Policy Characteristics'!D:D,MATCH($C399,'Policy Characteristics'!$C:$C,0)))</f>
        <v>Reduce Plant Downtime</v>
      </c>
      <c r="K399" s="275" t="str">
        <f>IF(ISBLANK(INDEX('Policy Characteristics'!E:E,MATCH($C399,'Policy Characteristics'!$C:$C,0))),"",INDEX('Policy Characteristics'!E:E,MATCH($C399,'Policy Characteristics'!$C:$C,0)))</f>
        <v>elec reduce plant downtime</v>
      </c>
      <c r="L399" s="283">
        <f>IF(ISBLANK(INDEX('Policy Characteristics'!F:F,MATCH($C399,'Policy Characteristics'!$C:$C,0))),"",INDEX('Policy Characteristics'!F:F,MATCH($C399,'Policy Characteristics'!$C:$C,0)))</f>
        <v>0</v>
      </c>
      <c r="M399" s="283">
        <f>IF(ISBLANK(INDEX('Policy Characteristics'!G:G,MATCH($C399,'Policy Characteristics'!$C:$C,0))),"",INDEX('Policy Characteristics'!G:G,MATCH($C399,'Policy Characteristics'!$C:$C,0)))</f>
        <v>0.6</v>
      </c>
      <c r="N399" s="283">
        <f>IF(ISBLANK(INDEX('Policy Characteristics'!H:H,MATCH($C399,'Policy Characteristics'!$C:$C,0))),"",INDEX('Policy Characteristics'!H:H,MATCH($C399,'Policy Characteristics'!$C:$C,0)))</f>
        <v>0.01</v>
      </c>
      <c r="O399" s="275" t="str">
        <f>IF(ISBLANK(INDEX('Policy Characteristics'!I:I,MATCH($C399,'Policy Characteristics'!$C:$C,0))),"",INDEX('Policy Characteristics'!I:I,MATCH($C399,'Policy Characteristics'!$C:$C,0)))</f>
        <v>% reduction in downtime</v>
      </c>
      <c r="P399" s="275" t="str">
        <f>IF(ISBLANK(INDEX('Policy Characteristics'!J:J,MATCH($C399,'Policy Characteristics'!$C:$C,0))),"",INDEX('Policy Characteristics'!J:J,MATCH($C399,'Policy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9" s="275" t="str">
        <f>IF(ISBLANK(INDEX('Policy Characteristics'!K:K,MATCH($C399,'Policy Characteristics'!$C:$C,0))),"",INDEX('Policy Characteristics'!K:K,MATCH($C399,'Policy Characteristics'!$C:$C,0)))</f>
        <v>electricity-sector-main.html#red-downtime</v>
      </c>
      <c r="R399" s="275" t="str">
        <f>IF(ISBLANK(INDEX('Policy Characteristics'!L:L,MATCH($C399,'Policy Characteristics'!$C:$C,0))),"",INDEX('Policy Characteristics'!L:L,MATCH($C399,'Policy Characteristics'!$C:$C,0)))</f>
        <v>reduce-downtime.html</v>
      </c>
    </row>
    <row r="400" spans="1:18" s="2" customFormat="1" x14ac:dyDescent="0.25">
      <c r="A400" s="275" t="str">
        <f>IF(ISBLANK(INDEX('Policy Characteristics'!A:A,MATCH($C400,'Policy Characteristics'!$C:$C,0))),"",INDEX('Policy Characteristics'!A:A,MATCH($C400,'Policy Characteristics'!$C:$C,0)))</f>
        <v>Electricity Supply</v>
      </c>
      <c r="B400" s="284" t="str">
        <f>IF(ISBLANK(INDEX('Policy Characteristics'!B:B,MATCH($C400,'Policy Characteristics'!$C:$C,0))),"",INDEX('Policy Characteristics'!B:B,MATCH($C400,'Policy Characteristics'!$C:$C,0)))</f>
        <v>Reduce Plant Downtime</v>
      </c>
      <c r="C400" s="340" t="str">
        <f t="shared" si="23"/>
        <v>Percentage Reduction in Plant Downtime</v>
      </c>
      <c r="D400" s="6" t="s">
        <v>2752</v>
      </c>
      <c r="E400" s="47"/>
      <c r="F400" s="6" t="s">
        <v>2471</v>
      </c>
      <c r="G400" s="6"/>
      <c r="H400" s="49">
        <v>687</v>
      </c>
      <c r="I400" s="347" t="s">
        <v>44</v>
      </c>
      <c r="J400" s="276" t="str">
        <f>IF(ISBLANK(INDEX('Policy Characteristics'!D:D,MATCH($C400,'Policy Characteristics'!$C:$C,0))),"",INDEX('Policy Characteristics'!D:D,MATCH($C400,'Policy Characteristics'!$C:$C,0)))</f>
        <v>Reduce Plant Downtime</v>
      </c>
      <c r="K400" s="275" t="str">
        <f>IF(ISBLANK(INDEX('Policy Characteristics'!E:E,MATCH($C400,'Policy Characteristics'!$C:$C,0))),"",INDEX('Policy Characteristics'!E:E,MATCH($C400,'Policy Characteristics'!$C:$C,0)))</f>
        <v>elec reduce plant downtime</v>
      </c>
      <c r="L400" s="283">
        <f>IF(ISBLANK(INDEX('Policy Characteristics'!F:F,MATCH($C400,'Policy Characteristics'!$C:$C,0))),"",INDEX('Policy Characteristics'!F:F,MATCH($C400,'Policy Characteristics'!$C:$C,0)))</f>
        <v>0</v>
      </c>
      <c r="M400" s="283">
        <f>IF(ISBLANK(INDEX('Policy Characteristics'!G:G,MATCH($C400,'Policy Characteristics'!$C:$C,0))),"",INDEX('Policy Characteristics'!G:G,MATCH($C400,'Policy Characteristics'!$C:$C,0)))</f>
        <v>0.6</v>
      </c>
      <c r="N400" s="283">
        <f>IF(ISBLANK(INDEX('Policy Characteristics'!H:H,MATCH($C400,'Policy Characteristics'!$C:$C,0))),"",INDEX('Policy Characteristics'!H:H,MATCH($C400,'Policy Characteristics'!$C:$C,0)))</f>
        <v>0.01</v>
      </c>
      <c r="O400" s="275" t="str">
        <f>IF(ISBLANK(INDEX('Policy Characteristics'!I:I,MATCH($C400,'Policy Characteristics'!$C:$C,0))),"",INDEX('Policy Characteristics'!I:I,MATCH($C400,'Policy Characteristics'!$C:$C,0)))</f>
        <v>% reduction in downtime</v>
      </c>
      <c r="P400" s="275" t="str">
        <f>IF(ISBLANK(INDEX('Policy Characteristics'!J:J,MATCH($C400,'Policy Characteristics'!$C:$C,0))),"",INDEX('Policy Characteristics'!J:J,MATCH($C400,'Policy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0" s="275" t="str">
        <f>IF(ISBLANK(INDEX('Policy Characteristics'!K:K,MATCH($C400,'Policy Characteristics'!$C:$C,0))),"",INDEX('Policy Characteristics'!K:K,MATCH($C400,'Policy Characteristics'!$C:$C,0)))</f>
        <v>electricity-sector-main.html#red-downtime</v>
      </c>
      <c r="R400" s="275" t="str">
        <f>IF(ISBLANK(INDEX('Policy Characteristics'!L:L,MATCH($C400,'Policy Characteristics'!$C:$C,0))),"",INDEX('Policy Characteristics'!L:L,MATCH($C400,'Policy Characteristics'!$C:$C,0)))</f>
        <v>reduce-downtime.html</v>
      </c>
    </row>
    <row r="401" spans="1:18" s="2" customFormat="1" x14ac:dyDescent="0.25">
      <c r="A401" s="275" t="str">
        <f>IF(ISBLANK(INDEX('Policy Characteristics'!A:A,MATCH($C401,'Policy Characteristics'!$C:$C,0))),"",INDEX('Policy Characteristics'!A:A,MATCH($C401,'Policy Characteristics'!$C:$C,0)))</f>
        <v>Electricity Supply</v>
      </c>
      <c r="B401" s="284" t="str">
        <f>IF(ISBLANK(INDEX('Policy Characteristics'!B:B,MATCH($C401,'Policy Characteristics'!$C:$C,0))),"",INDEX('Policy Characteristics'!B:B,MATCH($C401,'Policy Characteristics'!$C:$C,0)))</f>
        <v>Reduce Plant Downtime</v>
      </c>
      <c r="C401" s="340" t="str">
        <f t="shared" si="23"/>
        <v>Percentage Reduction in Plant Downtime</v>
      </c>
      <c r="D401" s="6" t="s">
        <v>2753</v>
      </c>
      <c r="E401" s="47"/>
      <c r="F401" s="6" t="s">
        <v>2595</v>
      </c>
      <c r="G401" s="6"/>
      <c r="H401" s="49">
        <v>690</v>
      </c>
      <c r="I401" s="347" t="s">
        <v>44</v>
      </c>
      <c r="J401" s="276" t="str">
        <f>IF(ISBLANK(INDEX('Policy Characteristics'!D:D,MATCH($C401,'Policy Characteristics'!$C:$C,0))),"",INDEX('Policy Characteristics'!D:D,MATCH($C401,'Policy Characteristics'!$C:$C,0)))</f>
        <v>Reduce Plant Downtime</v>
      </c>
      <c r="K401" s="275" t="str">
        <f>IF(ISBLANK(INDEX('Policy Characteristics'!E:E,MATCH($C401,'Policy Characteristics'!$C:$C,0))),"",INDEX('Policy Characteristics'!E:E,MATCH($C401,'Policy Characteristics'!$C:$C,0)))</f>
        <v>elec reduce plant downtime</v>
      </c>
      <c r="L401" s="283">
        <f>IF(ISBLANK(INDEX('Policy Characteristics'!F:F,MATCH($C401,'Policy Characteristics'!$C:$C,0))),"",INDEX('Policy Characteristics'!F:F,MATCH($C401,'Policy Characteristics'!$C:$C,0)))</f>
        <v>0</v>
      </c>
      <c r="M401" s="283">
        <f>IF(ISBLANK(INDEX('Policy Characteristics'!G:G,MATCH($C401,'Policy Characteristics'!$C:$C,0))),"",INDEX('Policy Characteristics'!G:G,MATCH($C401,'Policy Characteristics'!$C:$C,0)))</f>
        <v>0.6</v>
      </c>
      <c r="N401" s="283">
        <f>IF(ISBLANK(INDEX('Policy Characteristics'!H:H,MATCH($C401,'Policy Characteristics'!$C:$C,0))),"",INDEX('Policy Characteristics'!H:H,MATCH($C401,'Policy Characteristics'!$C:$C,0)))</f>
        <v>0.01</v>
      </c>
      <c r="O401" s="275" t="str">
        <f>IF(ISBLANK(INDEX('Policy Characteristics'!I:I,MATCH($C401,'Policy Characteristics'!$C:$C,0))),"",INDEX('Policy Characteristics'!I:I,MATCH($C401,'Policy Characteristics'!$C:$C,0)))</f>
        <v>% reduction in downtime</v>
      </c>
      <c r="P401" s="275" t="str">
        <f>IF(ISBLANK(INDEX('Policy Characteristics'!J:J,MATCH($C401,'Policy Characteristics'!$C:$C,0))),"",INDEX('Policy Characteristics'!J:J,MATCH($C401,'Policy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1" s="275" t="str">
        <f>IF(ISBLANK(INDEX('Policy Characteristics'!K:K,MATCH($C401,'Policy Characteristics'!$C:$C,0))),"",INDEX('Policy Characteristics'!K:K,MATCH($C401,'Policy Characteristics'!$C:$C,0)))</f>
        <v>electricity-sector-main.html#red-downtime</v>
      </c>
      <c r="R401" s="275" t="str">
        <f>IF(ISBLANK(INDEX('Policy Characteristics'!L:L,MATCH($C401,'Policy Characteristics'!$C:$C,0))),"",INDEX('Policy Characteristics'!L:L,MATCH($C401,'Policy Characteristics'!$C:$C,0)))</f>
        <v>reduce-downtime.html</v>
      </c>
    </row>
    <row r="402" spans="1:18" s="2" customFormat="1" x14ac:dyDescent="0.25">
      <c r="A402" s="275" t="str">
        <f>IF(ISBLANK(INDEX('Policy Characteristics'!A:A,MATCH($C402,'Policy Characteristics'!$C:$C,0))),"",INDEX('Policy Characteristics'!A:A,MATCH($C402,'Policy Characteristics'!$C:$C,0)))</f>
        <v>Electricity Supply</v>
      </c>
      <c r="B402" s="284" t="str">
        <f>IF(ISBLANK(INDEX('Policy Characteristics'!B:B,MATCH($C402,'Policy Characteristics'!$C:$C,0))),"",INDEX('Policy Characteristics'!B:B,MATCH($C402,'Policy Characteristics'!$C:$C,0)))</f>
        <v>Reduce Plant Downtime</v>
      </c>
      <c r="C402" s="340" t="str">
        <f t="shared" si="23"/>
        <v>Percentage Reduction in Plant Downtime</v>
      </c>
      <c r="D402" s="6" t="s">
        <v>2754</v>
      </c>
      <c r="E402" s="47"/>
      <c r="F402" s="6" t="s">
        <v>2473</v>
      </c>
      <c r="G402" s="6"/>
      <c r="H402" s="49">
        <v>1782</v>
      </c>
      <c r="I402" s="347" t="s">
        <v>44</v>
      </c>
      <c r="J402" s="276" t="str">
        <f>IF(ISBLANK(INDEX('Policy Characteristics'!D:D,MATCH($C402,'Policy Characteristics'!$C:$C,0))),"",INDEX('Policy Characteristics'!D:D,MATCH($C402,'Policy Characteristics'!$C:$C,0)))</f>
        <v>Reduce Plant Downtime</v>
      </c>
      <c r="K402" s="275" t="str">
        <f>IF(ISBLANK(INDEX('Policy Characteristics'!E:E,MATCH($C402,'Policy Characteristics'!$C:$C,0))),"",INDEX('Policy Characteristics'!E:E,MATCH($C402,'Policy Characteristics'!$C:$C,0)))</f>
        <v>elec reduce plant downtime</v>
      </c>
      <c r="L402" s="283">
        <f>IF(ISBLANK(INDEX('Policy Characteristics'!F:F,MATCH($C402,'Policy Characteristics'!$C:$C,0))),"",INDEX('Policy Characteristics'!F:F,MATCH($C402,'Policy Characteristics'!$C:$C,0)))</f>
        <v>0</v>
      </c>
      <c r="M402" s="283">
        <f>IF(ISBLANK(INDEX('Policy Characteristics'!G:G,MATCH($C402,'Policy Characteristics'!$C:$C,0))),"",INDEX('Policy Characteristics'!G:G,MATCH($C402,'Policy Characteristics'!$C:$C,0)))</f>
        <v>0.6</v>
      </c>
      <c r="N402" s="283">
        <f>IF(ISBLANK(INDEX('Policy Characteristics'!H:H,MATCH($C402,'Policy Characteristics'!$C:$C,0))),"",INDEX('Policy Characteristics'!H:H,MATCH($C402,'Policy Characteristics'!$C:$C,0)))</f>
        <v>0.01</v>
      </c>
      <c r="O402" s="275" t="str">
        <f>IF(ISBLANK(INDEX('Policy Characteristics'!I:I,MATCH($C402,'Policy Characteristics'!$C:$C,0))),"",INDEX('Policy Characteristics'!I:I,MATCH($C402,'Policy Characteristics'!$C:$C,0)))</f>
        <v>% reduction in downtime</v>
      </c>
      <c r="P402" s="275" t="str">
        <f>IF(ISBLANK(INDEX('Policy Characteristics'!J:J,MATCH($C402,'Policy Characteristics'!$C:$C,0))),"",INDEX('Policy Characteristics'!J:J,MATCH($C402,'Policy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2" s="275" t="str">
        <f>IF(ISBLANK(INDEX('Policy Characteristics'!K:K,MATCH($C402,'Policy Characteristics'!$C:$C,0))),"",INDEX('Policy Characteristics'!K:K,MATCH($C402,'Policy Characteristics'!$C:$C,0)))</f>
        <v>electricity-sector-main.html#red-downtime</v>
      </c>
      <c r="R402" s="275" t="str">
        <f>IF(ISBLANK(INDEX('Policy Characteristics'!L:L,MATCH($C402,'Policy Characteristics'!$C:$C,0))),"",INDEX('Policy Characteristics'!L:L,MATCH($C402,'Policy Characteristics'!$C:$C,0)))</f>
        <v>reduce-downtime.html</v>
      </c>
    </row>
    <row r="403" spans="1:18" s="2" customFormat="1" x14ac:dyDescent="0.25">
      <c r="A403" s="275" t="str">
        <f>IF(ISBLANK(INDEX('Policy Characteristics'!A:A,MATCH($C403,'Policy Characteristics'!$C:$C,0))),"",INDEX('Policy Characteristics'!A:A,MATCH($C403,'Policy Characteristics'!$C:$C,0)))</f>
        <v>Electricity Supply</v>
      </c>
      <c r="B403" s="284" t="str">
        <f>IF(ISBLANK(INDEX('Policy Characteristics'!B:B,MATCH($C403,'Policy Characteristics'!$C:$C,0))),"",INDEX('Policy Characteristics'!B:B,MATCH($C403,'Policy Characteristics'!$C:$C,0)))</f>
        <v>Reduce Plant Downtime</v>
      </c>
      <c r="C403" s="340" t="str">
        <f t="shared" si="23"/>
        <v>Percentage Reduction in Plant Downtime</v>
      </c>
      <c r="D403" s="6" t="s">
        <v>3519</v>
      </c>
      <c r="E403" s="47"/>
      <c r="F403" s="6" t="s">
        <v>3526</v>
      </c>
      <c r="G403" s="6"/>
      <c r="H403" s="49">
        <v>1783</v>
      </c>
      <c r="I403" s="347" t="s">
        <v>44</v>
      </c>
      <c r="J403" s="276" t="str">
        <f>IF(ISBLANK(INDEX('Policy Characteristics'!D:D,MATCH($C403,'Policy Characteristics'!$C:$C,0))),"",INDEX('Policy Characteristics'!D:D,MATCH($C403,'Policy Characteristics'!$C:$C,0)))</f>
        <v>Reduce Plant Downtime</v>
      </c>
      <c r="K403" s="275" t="str">
        <f>IF(ISBLANK(INDEX('Policy Characteristics'!E:E,MATCH($C403,'Policy Characteristics'!$C:$C,0))),"",INDEX('Policy Characteristics'!E:E,MATCH($C403,'Policy Characteristics'!$C:$C,0)))</f>
        <v>elec reduce plant downtime</v>
      </c>
      <c r="L403" s="283">
        <f>IF(ISBLANK(INDEX('Policy Characteristics'!F:F,MATCH($C403,'Policy Characteristics'!$C:$C,0))),"",INDEX('Policy Characteristics'!F:F,MATCH($C403,'Policy Characteristics'!$C:$C,0)))</f>
        <v>0</v>
      </c>
      <c r="M403" s="283">
        <f>IF(ISBLANK(INDEX('Policy Characteristics'!G:G,MATCH($C403,'Policy Characteristics'!$C:$C,0))),"",INDEX('Policy Characteristics'!G:G,MATCH($C403,'Policy Characteristics'!$C:$C,0)))</f>
        <v>0.6</v>
      </c>
      <c r="N403" s="283">
        <f>IF(ISBLANK(INDEX('Policy Characteristics'!H:H,MATCH($C403,'Policy Characteristics'!$C:$C,0))),"",INDEX('Policy Characteristics'!H:H,MATCH($C403,'Policy Characteristics'!$C:$C,0)))</f>
        <v>0.01</v>
      </c>
      <c r="O403" s="275" t="str">
        <f>IF(ISBLANK(INDEX('Policy Characteristics'!I:I,MATCH($C403,'Policy Characteristics'!$C:$C,0))),"",INDEX('Policy Characteristics'!I:I,MATCH($C403,'Policy Characteristics'!$C:$C,0)))</f>
        <v>% reduction in downtime</v>
      </c>
      <c r="P403" s="275" t="str">
        <f>IF(ISBLANK(INDEX('Policy Characteristics'!J:J,MATCH($C403,'Policy Characteristics'!$C:$C,0))),"",INDEX('Policy Characteristics'!J:J,MATCH($C403,'Policy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3" s="275" t="str">
        <f>IF(ISBLANK(INDEX('Policy Characteristics'!K:K,MATCH($C403,'Policy Characteristics'!$C:$C,0))),"",INDEX('Policy Characteristics'!K:K,MATCH($C403,'Policy Characteristics'!$C:$C,0)))</f>
        <v>electricity-sector-main.html#red-downtime</v>
      </c>
      <c r="R403" s="275" t="str">
        <f>IF(ISBLANK(INDEX('Policy Characteristics'!L:L,MATCH($C403,'Policy Characteristics'!$C:$C,0))),"",INDEX('Policy Characteristics'!L:L,MATCH($C403,'Policy Characteristics'!$C:$C,0)))</f>
        <v>reduce-downtime.html</v>
      </c>
    </row>
    <row r="404" spans="1:18" s="2" customFormat="1" x14ac:dyDescent="0.25">
      <c r="A404" s="275" t="str">
        <f>IF(ISBLANK(INDEX('Policy Characteristics'!A:A,MATCH($C404,'Policy Characteristics'!$C:$C,0))),"",INDEX('Policy Characteristics'!A:A,MATCH($C404,'Policy Characteristics'!$C:$C,0)))</f>
        <v>Electricity Supply</v>
      </c>
      <c r="B404" s="284" t="str">
        <f>IF(ISBLANK(INDEX('Policy Characteristics'!B:B,MATCH($C404,'Policy Characteristics'!$C:$C,0))),"",INDEX('Policy Characteristics'!B:B,MATCH($C404,'Policy Characteristics'!$C:$C,0)))</f>
        <v>Reduce Plant Downtime</v>
      </c>
      <c r="C404" s="340" t="str">
        <f t="shared" si="23"/>
        <v>Percentage Reduction in Plant Downtime</v>
      </c>
      <c r="D404" s="6" t="s">
        <v>3522</v>
      </c>
      <c r="E404" s="47"/>
      <c r="F404" s="6" t="s">
        <v>3527</v>
      </c>
      <c r="G404" s="6"/>
      <c r="H404" s="49">
        <v>1784</v>
      </c>
      <c r="I404" s="347" t="s">
        <v>44</v>
      </c>
      <c r="J404" s="276" t="str">
        <f>IF(ISBLANK(INDEX('Policy Characteristics'!D:D,MATCH($C404,'Policy Characteristics'!$C:$C,0))),"",INDEX('Policy Characteristics'!D:D,MATCH($C404,'Policy Characteristics'!$C:$C,0)))</f>
        <v>Reduce Plant Downtime</v>
      </c>
      <c r="K404" s="275" t="str">
        <f>IF(ISBLANK(INDEX('Policy Characteristics'!E:E,MATCH($C404,'Policy Characteristics'!$C:$C,0))),"",INDEX('Policy Characteristics'!E:E,MATCH($C404,'Policy Characteristics'!$C:$C,0)))</f>
        <v>elec reduce plant downtime</v>
      </c>
      <c r="L404" s="283">
        <f>IF(ISBLANK(INDEX('Policy Characteristics'!F:F,MATCH($C404,'Policy Characteristics'!$C:$C,0))),"",INDEX('Policy Characteristics'!F:F,MATCH($C404,'Policy Characteristics'!$C:$C,0)))</f>
        <v>0</v>
      </c>
      <c r="M404" s="283">
        <f>IF(ISBLANK(INDEX('Policy Characteristics'!G:G,MATCH($C404,'Policy Characteristics'!$C:$C,0))),"",INDEX('Policy Characteristics'!G:G,MATCH($C404,'Policy Characteristics'!$C:$C,0)))</f>
        <v>0.6</v>
      </c>
      <c r="N404" s="283">
        <f>IF(ISBLANK(INDEX('Policy Characteristics'!H:H,MATCH($C404,'Policy Characteristics'!$C:$C,0))),"",INDEX('Policy Characteristics'!H:H,MATCH($C404,'Policy Characteristics'!$C:$C,0)))</f>
        <v>0.01</v>
      </c>
      <c r="O404" s="275" t="str">
        <f>IF(ISBLANK(INDEX('Policy Characteristics'!I:I,MATCH($C404,'Policy Characteristics'!$C:$C,0))),"",INDEX('Policy Characteristics'!I:I,MATCH($C404,'Policy Characteristics'!$C:$C,0)))</f>
        <v>% reduction in downtime</v>
      </c>
      <c r="P404" s="275" t="str">
        <f>IF(ISBLANK(INDEX('Policy Characteristics'!J:J,MATCH($C404,'Policy Characteristics'!$C:$C,0))),"",INDEX('Policy Characteristics'!J:J,MATCH($C404,'Policy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4" s="275" t="str">
        <f>IF(ISBLANK(INDEX('Policy Characteristics'!K:K,MATCH($C404,'Policy Characteristics'!$C:$C,0))),"",INDEX('Policy Characteristics'!K:K,MATCH($C404,'Policy Characteristics'!$C:$C,0)))</f>
        <v>electricity-sector-main.html#red-downtime</v>
      </c>
      <c r="R404" s="275" t="str">
        <f>IF(ISBLANK(INDEX('Policy Characteristics'!L:L,MATCH($C404,'Policy Characteristics'!$C:$C,0))),"",INDEX('Policy Characteristics'!L:L,MATCH($C404,'Policy Characteristics'!$C:$C,0)))</f>
        <v>reduce-downtime.html</v>
      </c>
    </row>
    <row r="405" spans="1:18" s="2" customFormat="1" x14ac:dyDescent="0.25">
      <c r="A405" s="275" t="str">
        <f>IF(ISBLANK(INDEX('Policy Characteristics'!A:A,MATCH($C405,'Policy Characteristics'!$C:$C,0))),"",INDEX('Policy Characteristics'!A:A,MATCH($C405,'Policy Characteristics'!$C:$C,0)))</f>
        <v>Electricity Supply</v>
      </c>
      <c r="B405" s="284" t="str">
        <f>IF(ISBLANK(INDEX('Policy Characteristics'!B:B,MATCH($C405,'Policy Characteristics'!$C:$C,0))),"",INDEX('Policy Characteristics'!B:B,MATCH($C405,'Policy Characteristics'!$C:$C,0)))</f>
        <v>Reduce Plant Downtime</v>
      </c>
      <c r="C405" s="340" t="str">
        <f t="shared" si="23"/>
        <v>Percentage Reduction in Plant Downtime</v>
      </c>
      <c r="D405" s="6" t="s">
        <v>3523</v>
      </c>
      <c r="E405" s="47"/>
      <c r="F405" s="6" t="s">
        <v>3528</v>
      </c>
      <c r="G405" s="6"/>
      <c r="H405" s="49">
        <v>1785</v>
      </c>
      <c r="I405" s="347" t="s">
        <v>44</v>
      </c>
      <c r="J405" s="276" t="str">
        <f>IF(ISBLANK(INDEX('Policy Characteristics'!D:D,MATCH($C405,'Policy Characteristics'!$C:$C,0))),"",INDEX('Policy Characteristics'!D:D,MATCH($C405,'Policy Characteristics'!$C:$C,0)))</f>
        <v>Reduce Plant Downtime</v>
      </c>
      <c r="K405" s="275" t="str">
        <f>IF(ISBLANK(INDEX('Policy Characteristics'!E:E,MATCH($C405,'Policy Characteristics'!$C:$C,0))),"",INDEX('Policy Characteristics'!E:E,MATCH($C405,'Policy Characteristics'!$C:$C,0)))</f>
        <v>elec reduce plant downtime</v>
      </c>
      <c r="L405" s="283">
        <f>IF(ISBLANK(INDEX('Policy Characteristics'!F:F,MATCH($C405,'Policy Characteristics'!$C:$C,0))),"",INDEX('Policy Characteristics'!F:F,MATCH($C405,'Policy Characteristics'!$C:$C,0)))</f>
        <v>0</v>
      </c>
      <c r="M405" s="283">
        <f>IF(ISBLANK(INDEX('Policy Characteristics'!G:G,MATCH($C405,'Policy Characteristics'!$C:$C,0))),"",INDEX('Policy Characteristics'!G:G,MATCH($C405,'Policy Characteristics'!$C:$C,0)))</f>
        <v>0.6</v>
      </c>
      <c r="N405" s="283">
        <f>IF(ISBLANK(INDEX('Policy Characteristics'!H:H,MATCH($C405,'Policy Characteristics'!$C:$C,0))),"",INDEX('Policy Characteristics'!H:H,MATCH($C405,'Policy Characteristics'!$C:$C,0)))</f>
        <v>0.01</v>
      </c>
      <c r="O405" s="275" t="str">
        <f>IF(ISBLANK(INDEX('Policy Characteristics'!I:I,MATCH($C405,'Policy Characteristics'!$C:$C,0))),"",INDEX('Policy Characteristics'!I:I,MATCH($C405,'Policy Characteristics'!$C:$C,0)))</f>
        <v>% reduction in downtime</v>
      </c>
      <c r="P405" s="275" t="str">
        <f>IF(ISBLANK(INDEX('Policy Characteristics'!J:J,MATCH($C405,'Policy Characteristics'!$C:$C,0))),"",INDEX('Policy Characteristics'!J:J,MATCH($C405,'Policy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5" s="275" t="str">
        <f>IF(ISBLANK(INDEX('Policy Characteristics'!K:K,MATCH($C405,'Policy Characteristics'!$C:$C,0))),"",INDEX('Policy Characteristics'!K:K,MATCH($C405,'Policy Characteristics'!$C:$C,0)))</f>
        <v>electricity-sector-main.html#red-downtime</v>
      </c>
      <c r="R405" s="275" t="str">
        <f>IF(ISBLANK(INDEX('Policy Characteristics'!L:L,MATCH($C405,'Policy Characteristics'!$C:$C,0))),"",INDEX('Policy Characteristics'!L:L,MATCH($C405,'Policy Characteristics'!$C:$C,0)))</f>
        <v>reduce-downtime.html</v>
      </c>
    </row>
    <row r="406" spans="1:18" s="2" customFormat="1" x14ac:dyDescent="0.25">
      <c r="A406" s="275" t="str">
        <f>IF(ISBLANK(INDEX('Policy Characteristics'!A:A,MATCH($C406,'Policy Characteristics'!$C:$C,0))),"",INDEX('Policy Characteristics'!A:A,MATCH($C406,'Policy Characteristics'!$C:$C,0)))</f>
        <v>Electricity Supply</v>
      </c>
      <c r="B406" s="284" t="str">
        <f>IF(ISBLANK(INDEX('Policy Characteristics'!B:B,MATCH($C406,'Policy Characteristics'!$C:$C,0))),"",INDEX('Policy Characteristics'!B:B,MATCH($C406,'Policy Characteristics'!$C:$C,0)))</f>
        <v>Reduce Plant Downtime</v>
      </c>
      <c r="C406" s="340" t="str">
        <f t="shared" si="23"/>
        <v>Percentage Reduction in Plant Downtime</v>
      </c>
      <c r="D406" s="6" t="s">
        <v>3524</v>
      </c>
      <c r="E406" s="47"/>
      <c r="F406" s="6" t="s">
        <v>3529</v>
      </c>
      <c r="G406" s="6"/>
      <c r="H406" s="49">
        <v>1786</v>
      </c>
      <c r="I406" s="347" t="s">
        <v>44</v>
      </c>
      <c r="J406" s="276" t="str">
        <f>IF(ISBLANK(INDEX('Policy Characteristics'!D:D,MATCH($C406,'Policy Characteristics'!$C:$C,0))),"",INDEX('Policy Characteristics'!D:D,MATCH($C406,'Policy Characteristics'!$C:$C,0)))</f>
        <v>Reduce Plant Downtime</v>
      </c>
      <c r="K406" s="275" t="str">
        <f>IF(ISBLANK(INDEX('Policy Characteristics'!E:E,MATCH($C406,'Policy Characteristics'!$C:$C,0))),"",INDEX('Policy Characteristics'!E:E,MATCH($C406,'Policy Characteristics'!$C:$C,0)))</f>
        <v>elec reduce plant downtime</v>
      </c>
      <c r="L406" s="283">
        <f>IF(ISBLANK(INDEX('Policy Characteristics'!F:F,MATCH($C406,'Policy Characteristics'!$C:$C,0))),"",INDEX('Policy Characteristics'!F:F,MATCH($C406,'Policy Characteristics'!$C:$C,0)))</f>
        <v>0</v>
      </c>
      <c r="M406" s="283">
        <f>IF(ISBLANK(INDEX('Policy Characteristics'!G:G,MATCH($C406,'Policy Characteristics'!$C:$C,0))),"",INDEX('Policy Characteristics'!G:G,MATCH($C406,'Policy Characteristics'!$C:$C,0)))</f>
        <v>0.6</v>
      </c>
      <c r="N406" s="283">
        <f>IF(ISBLANK(INDEX('Policy Characteristics'!H:H,MATCH($C406,'Policy Characteristics'!$C:$C,0))),"",INDEX('Policy Characteristics'!H:H,MATCH($C406,'Policy Characteristics'!$C:$C,0)))</f>
        <v>0.01</v>
      </c>
      <c r="O406" s="275" t="str">
        <f>IF(ISBLANK(INDEX('Policy Characteristics'!I:I,MATCH($C406,'Policy Characteristics'!$C:$C,0))),"",INDEX('Policy Characteristics'!I:I,MATCH($C406,'Policy Characteristics'!$C:$C,0)))</f>
        <v>% reduction in downtime</v>
      </c>
      <c r="P406" s="275" t="str">
        <f>IF(ISBLANK(INDEX('Policy Characteristics'!J:J,MATCH($C406,'Policy Characteristics'!$C:$C,0))),"",INDEX('Policy Characteristics'!J:J,MATCH($C406,'Policy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6" s="275" t="str">
        <f>IF(ISBLANK(INDEX('Policy Characteristics'!K:K,MATCH($C406,'Policy Characteristics'!$C:$C,0))),"",INDEX('Policy Characteristics'!K:K,MATCH($C406,'Policy Characteristics'!$C:$C,0)))</f>
        <v>electricity-sector-main.html#red-downtime</v>
      </c>
      <c r="R406" s="275" t="str">
        <f>IF(ISBLANK(INDEX('Policy Characteristics'!L:L,MATCH($C406,'Policy Characteristics'!$C:$C,0))),"",INDEX('Policy Characteristics'!L:L,MATCH($C406,'Policy Characteristics'!$C:$C,0)))</f>
        <v>reduce-downtime.html</v>
      </c>
    </row>
    <row r="407" spans="1:18" s="2" customFormat="1" x14ac:dyDescent="0.25">
      <c r="A407" s="275" t="str">
        <f>IF(ISBLANK(INDEX('Policy Characteristics'!A:A,MATCH($C407,'Policy Characteristics'!$C:$C,0))),"",INDEX('Policy Characteristics'!A:A,MATCH($C407,'Policy Characteristics'!$C:$C,0)))</f>
        <v>Electricity Supply</v>
      </c>
      <c r="B407" s="284" t="str">
        <f>IF(ISBLANK(INDEX('Policy Characteristics'!B:B,MATCH($C407,'Policy Characteristics'!$C:$C,0))),"",INDEX('Policy Characteristics'!B:B,MATCH($C407,'Policy Characteristics'!$C:$C,0)))</f>
        <v>Reduce Plant Downtime</v>
      </c>
      <c r="C407" s="340" t="str">
        <f t="shared" si="23"/>
        <v>Percentage Reduction in Plant Downtime</v>
      </c>
      <c r="D407" s="6" t="s">
        <v>3525</v>
      </c>
      <c r="E407" s="47"/>
      <c r="F407" s="6" t="s">
        <v>3530</v>
      </c>
      <c r="G407" s="6"/>
      <c r="H407" s="49">
        <v>1787</v>
      </c>
      <c r="I407" s="347" t="s">
        <v>44</v>
      </c>
      <c r="J407" s="276" t="str">
        <f>IF(ISBLANK(INDEX('Policy Characteristics'!D:D,MATCH($C407,'Policy Characteristics'!$C:$C,0))),"",INDEX('Policy Characteristics'!D:D,MATCH($C407,'Policy Characteristics'!$C:$C,0)))</f>
        <v>Reduce Plant Downtime</v>
      </c>
      <c r="K407" s="275" t="str">
        <f>IF(ISBLANK(INDEX('Policy Characteristics'!E:E,MATCH($C407,'Policy Characteristics'!$C:$C,0))),"",INDEX('Policy Characteristics'!E:E,MATCH($C407,'Policy Characteristics'!$C:$C,0)))</f>
        <v>elec reduce plant downtime</v>
      </c>
      <c r="L407" s="283">
        <f>IF(ISBLANK(INDEX('Policy Characteristics'!F:F,MATCH($C407,'Policy Characteristics'!$C:$C,0))),"",INDEX('Policy Characteristics'!F:F,MATCH($C407,'Policy Characteristics'!$C:$C,0)))</f>
        <v>0</v>
      </c>
      <c r="M407" s="283">
        <f>IF(ISBLANK(INDEX('Policy Characteristics'!G:G,MATCH($C407,'Policy Characteristics'!$C:$C,0))),"",INDEX('Policy Characteristics'!G:G,MATCH($C407,'Policy Characteristics'!$C:$C,0)))</f>
        <v>0.6</v>
      </c>
      <c r="N407" s="283">
        <f>IF(ISBLANK(INDEX('Policy Characteristics'!H:H,MATCH($C407,'Policy Characteristics'!$C:$C,0))),"",INDEX('Policy Characteristics'!H:H,MATCH($C407,'Policy Characteristics'!$C:$C,0)))</f>
        <v>0.01</v>
      </c>
      <c r="O407" s="275" t="str">
        <f>IF(ISBLANK(INDEX('Policy Characteristics'!I:I,MATCH($C407,'Policy Characteristics'!$C:$C,0))),"",INDEX('Policy Characteristics'!I:I,MATCH($C407,'Policy Characteristics'!$C:$C,0)))</f>
        <v>% reduction in downtime</v>
      </c>
      <c r="P407" s="275" t="str">
        <f>IF(ISBLANK(INDEX('Policy Characteristics'!J:J,MATCH($C407,'Policy Characteristics'!$C:$C,0))),"",INDEX('Policy Characteristics'!J:J,MATCH($C407,'Policy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7" s="275" t="str">
        <f>IF(ISBLANK(INDEX('Policy Characteristics'!K:K,MATCH($C407,'Policy Characteristics'!$C:$C,0))),"",INDEX('Policy Characteristics'!K:K,MATCH($C407,'Policy Characteristics'!$C:$C,0)))</f>
        <v>electricity-sector-main.html#red-downtime</v>
      </c>
      <c r="R407" s="275" t="str">
        <f>IF(ISBLANK(INDEX('Policy Characteristics'!L:L,MATCH($C407,'Policy Characteristics'!$C:$C,0))),"",INDEX('Policy Characteristics'!L:L,MATCH($C407,'Policy Characteristics'!$C:$C,0)))</f>
        <v>reduce-downtime.html</v>
      </c>
    </row>
    <row r="408" spans="1:18" s="2" customFormat="1" x14ac:dyDescent="0.25">
      <c r="A408" s="275" t="str">
        <f>IF(ISBLANK(INDEX('Policy Characteristics'!A:A,MATCH($C408,'Policy Characteristics'!$C:$C,0))),"",INDEX('Policy Characteristics'!A:A,MATCH($C408,'Policy Characteristics'!$C:$C,0)))</f>
        <v>Electricity Supply</v>
      </c>
      <c r="B408" s="284" t="str">
        <f>IF(ISBLANK(INDEX('Policy Characteristics'!B:B,MATCH($C408,'Policy Characteristics'!$C:$C,0))),"",INDEX('Policy Characteristics'!B:B,MATCH($C408,'Policy Characteristics'!$C:$C,0)))</f>
        <v>Reduce Plant Downtime</v>
      </c>
      <c r="C408" s="340" t="str">
        <f t="shared" si="23"/>
        <v>Percentage Reduction in Plant Downtime</v>
      </c>
      <c r="D408" s="6" t="s">
        <v>3616</v>
      </c>
      <c r="E408" s="47"/>
      <c r="F408" s="6" t="s">
        <v>3614</v>
      </c>
      <c r="G408" s="6"/>
      <c r="H408" s="49">
        <v>1788</v>
      </c>
      <c r="I408" s="347" t="s">
        <v>44</v>
      </c>
      <c r="J408" s="276" t="str">
        <f>IF(ISBLANK(INDEX('Policy Characteristics'!D:D,MATCH($C408,'Policy Characteristics'!$C:$C,0))),"",INDEX('Policy Characteristics'!D:D,MATCH($C408,'Policy Characteristics'!$C:$C,0)))</f>
        <v>Reduce Plant Downtime</v>
      </c>
      <c r="K408" s="275" t="str">
        <f>IF(ISBLANK(INDEX('Policy Characteristics'!E:E,MATCH($C408,'Policy Characteristics'!$C:$C,0))),"",INDEX('Policy Characteristics'!E:E,MATCH($C408,'Policy Characteristics'!$C:$C,0)))</f>
        <v>elec reduce plant downtime</v>
      </c>
      <c r="L408" s="283">
        <f>IF(ISBLANK(INDEX('Policy Characteristics'!F:F,MATCH($C408,'Policy Characteristics'!$C:$C,0))),"",INDEX('Policy Characteristics'!F:F,MATCH($C408,'Policy Characteristics'!$C:$C,0)))</f>
        <v>0</v>
      </c>
      <c r="M408" s="283">
        <f>IF(ISBLANK(INDEX('Policy Characteristics'!G:G,MATCH($C408,'Policy Characteristics'!$C:$C,0))),"",INDEX('Policy Characteristics'!G:G,MATCH($C408,'Policy Characteristics'!$C:$C,0)))</f>
        <v>0.6</v>
      </c>
      <c r="N408" s="283">
        <f>IF(ISBLANK(INDEX('Policy Characteristics'!H:H,MATCH($C408,'Policy Characteristics'!$C:$C,0))),"",INDEX('Policy Characteristics'!H:H,MATCH($C408,'Policy Characteristics'!$C:$C,0)))</f>
        <v>0.01</v>
      </c>
      <c r="O408" s="275" t="str">
        <f>IF(ISBLANK(INDEX('Policy Characteristics'!I:I,MATCH($C408,'Policy Characteristics'!$C:$C,0))),"",INDEX('Policy Characteristics'!I:I,MATCH($C408,'Policy Characteristics'!$C:$C,0)))</f>
        <v>% reduction in downtime</v>
      </c>
      <c r="P408" s="275" t="str">
        <f>IF(ISBLANK(INDEX('Policy Characteristics'!J:J,MATCH($C408,'Policy Characteristics'!$C:$C,0))),"",INDEX('Policy Characteristics'!J:J,MATCH($C408,'Policy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8" s="275" t="str">
        <f>IF(ISBLANK(INDEX('Policy Characteristics'!K:K,MATCH($C408,'Policy Characteristics'!$C:$C,0))),"",INDEX('Policy Characteristics'!K:K,MATCH($C408,'Policy Characteristics'!$C:$C,0)))</f>
        <v>electricity-sector-main.html#red-downtime</v>
      </c>
      <c r="R408" s="275" t="str">
        <f>IF(ISBLANK(INDEX('Policy Characteristics'!L:L,MATCH($C408,'Policy Characteristics'!$C:$C,0))),"",INDEX('Policy Characteristics'!L:L,MATCH($C408,'Policy Characteristics'!$C:$C,0)))</f>
        <v>reduce-downtime.html</v>
      </c>
    </row>
    <row r="409" spans="1:18" s="2" customFormat="1" x14ac:dyDescent="0.25">
      <c r="A409" s="275" t="str">
        <f>IF(ISBLANK(INDEX('Policy Characteristics'!A:A,MATCH($C409,'Policy Characteristics'!$C:$C,0))),"",INDEX('Policy Characteristics'!A:A,MATCH($C409,'Policy Characteristics'!$C:$C,0)))</f>
        <v>Electricity Supply</v>
      </c>
      <c r="B409" s="284" t="str">
        <f>IF(ISBLANK(INDEX('Policy Characteristics'!B:B,MATCH($C409,'Policy Characteristics'!$C:$C,0))),"",INDEX('Policy Characteristics'!B:B,MATCH($C409,'Policy Characteristics'!$C:$C,0)))</f>
        <v>Reduce Plant Downtime</v>
      </c>
      <c r="C409" s="340" t="str">
        <f t="shared" si="23"/>
        <v>Percentage Reduction in Plant Downtime</v>
      </c>
      <c r="D409" s="6" t="s">
        <v>3617</v>
      </c>
      <c r="E409" s="47"/>
      <c r="F409" s="6" t="s">
        <v>3615</v>
      </c>
      <c r="G409" s="6"/>
      <c r="H409" s="49">
        <v>2242</v>
      </c>
      <c r="I409" s="347" t="s">
        <v>44</v>
      </c>
      <c r="J409" s="276" t="str">
        <f>IF(ISBLANK(INDEX('Policy Characteristics'!D:D,MATCH($C409,'Policy Characteristics'!$C:$C,0))),"",INDEX('Policy Characteristics'!D:D,MATCH($C409,'Policy Characteristics'!$C:$C,0)))</f>
        <v>Reduce Plant Downtime</v>
      </c>
      <c r="K409" s="275" t="str">
        <f>IF(ISBLANK(INDEX('Policy Characteristics'!E:E,MATCH($C409,'Policy Characteristics'!$C:$C,0))),"",INDEX('Policy Characteristics'!E:E,MATCH($C409,'Policy Characteristics'!$C:$C,0)))</f>
        <v>elec reduce plant downtime</v>
      </c>
      <c r="L409" s="283">
        <f>IF(ISBLANK(INDEX('Policy Characteristics'!F:F,MATCH($C409,'Policy Characteristics'!$C:$C,0))),"",INDEX('Policy Characteristics'!F:F,MATCH($C409,'Policy Characteristics'!$C:$C,0)))</f>
        <v>0</v>
      </c>
      <c r="M409" s="283">
        <f>IF(ISBLANK(INDEX('Policy Characteristics'!G:G,MATCH($C409,'Policy Characteristics'!$C:$C,0))),"",INDEX('Policy Characteristics'!G:G,MATCH($C409,'Policy Characteristics'!$C:$C,0)))</f>
        <v>0.6</v>
      </c>
      <c r="N409" s="283">
        <f>IF(ISBLANK(INDEX('Policy Characteristics'!H:H,MATCH($C409,'Policy Characteristics'!$C:$C,0))),"",INDEX('Policy Characteristics'!H:H,MATCH($C409,'Policy Characteristics'!$C:$C,0)))</f>
        <v>0.01</v>
      </c>
      <c r="O409" s="275" t="str">
        <f>IF(ISBLANK(INDEX('Policy Characteristics'!I:I,MATCH($C409,'Policy Characteristics'!$C:$C,0))),"",INDEX('Policy Characteristics'!I:I,MATCH($C409,'Policy Characteristics'!$C:$C,0)))</f>
        <v>% reduction in downtime</v>
      </c>
      <c r="P409" s="275" t="str">
        <f>IF(ISBLANK(INDEX('Policy Characteristics'!J:J,MATCH($C409,'Policy Characteristics'!$C:$C,0))),"",INDEX('Policy Characteristics'!J:J,MATCH($C409,'Policy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9" s="275" t="str">
        <f>IF(ISBLANK(INDEX('Policy Characteristics'!K:K,MATCH($C409,'Policy Characteristics'!$C:$C,0))),"",INDEX('Policy Characteristics'!K:K,MATCH($C409,'Policy Characteristics'!$C:$C,0)))</f>
        <v>electricity-sector-main.html#red-downtime</v>
      </c>
      <c r="R409" s="275"/>
    </row>
    <row r="410" spans="1:18" s="2" customFormat="1" x14ac:dyDescent="0.25">
      <c r="A410" s="275" t="str">
        <f>IF(ISBLANK(INDEX('Policy Characteristics'!A:A,MATCH($C410,'Policy Characteristics'!$C:$C,0))),"",INDEX('Policy Characteristics'!A:A,MATCH($C410,'Policy Characteristics'!$C:$C,0)))</f>
        <v>Electricity Supply</v>
      </c>
      <c r="B410" s="284" t="str">
        <f>IF(ISBLANK(INDEX('Policy Characteristics'!B:B,MATCH($C410,'Policy Characteristics'!$C:$C,0))),"",INDEX('Policy Characteristics'!B:B,MATCH($C410,'Policy Characteristics'!$C:$C,0)))</f>
        <v>Reduce Soft Costs</v>
      </c>
      <c r="C410" s="341" t="s">
        <v>2325</v>
      </c>
      <c r="D410" s="6" t="s">
        <v>449</v>
      </c>
      <c r="E410" s="6"/>
      <c r="F410" s="6" t="s">
        <v>452</v>
      </c>
      <c r="G410" s="6"/>
      <c r="H410" s="49">
        <v>194</v>
      </c>
      <c r="I410" s="347" t="s">
        <v>43</v>
      </c>
      <c r="J410" s="276" t="str">
        <f>IF(ISBLANK(INDEX('Policy Characteristics'!D:D,MATCH($C410,'Policy Characteristics'!$C:$C,0))),"",INDEX('Policy Characteristics'!D:D,MATCH($C410,'Policy Characteristics'!$C:$C,0)))</f>
        <v>Reduce Soft Costs</v>
      </c>
      <c r="K410" s="275" t="str">
        <f>IF(ISBLANK(INDEX('Policy Characteristics'!E:E,MATCH($C410,'Policy Characteristics'!$C:$C,0))),"",INDEX('Policy Characteristics'!E:E,MATCH($C410,'Policy Characteristics'!$C:$C,0)))</f>
        <v>elec reduce soft costs</v>
      </c>
      <c r="L410" s="283">
        <f>IF(ISBLANK(INDEX('Policy Characteristics'!F:F,MATCH($C410,'Policy Characteristics'!$C:$C,0))),"",INDEX('Policy Characteristics'!F:F,MATCH($C410,'Policy Characteristics'!$C:$C,0)))</f>
        <v>0</v>
      </c>
      <c r="M410" s="283">
        <f>IF(ISBLANK(INDEX('Policy Characteristics'!G:G,MATCH($C410,'Policy Characteristics'!$C:$C,0))),"",INDEX('Policy Characteristics'!G:G,MATCH($C410,'Policy Characteristics'!$C:$C,0)))</f>
        <v>0.9</v>
      </c>
      <c r="N410" s="283">
        <f>IF(ISBLANK(INDEX('Policy Characteristics'!H:H,MATCH($C410,'Policy Characteristics'!$C:$C,0))),"",INDEX('Policy Characteristics'!H:H,MATCH($C410,'Policy Characteristics'!$C:$C,0)))</f>
        <v>0.01</v>
      </c>
      <c r="O410" s="275" t="str">
        <f>IF(ISBLANK(INDEX('Policy Characteristics'!I:I,MATCH($C410,'Policy Characteristics'!$C:$C,0))),"",INDEX('Policy Characteristics'!I:I,MATCH($C410,'Policy Characteristics'!$C:$C,0)))</f>
        <v>% reduction in soft costs</v>
      </c>
      <c r="P410" s="275" t="str">
        <f>IF(ISBLANK(INDEX('Policy Characteristics'!J:J,MATCH($C410,'Policy Characteristics'!$C:$C,0))),"",INDEX('Policy Characteristics'!J:J,MATCH($C410,'Policy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10" s="275" t="str">
        <f>IF(ISBLANK(INDEX('Policy Characteristics'!K:K,MATCH($C410,'Policy Characteristics'!$C:$C,0))),"",INDEX('Policy Characteristics'!K:K,MATCH($C410,'Policy Characteristics'!$C:$C,0)))</f>
        <v>endogenous-learning.html#red-soft-costs</v>
      </c>
      <c r="R410" s="275" t="str">
        <f>IF(ISBLANK(INDEX('Policy Characteristics'!L:L,MATCH($C410,'Policy Characteristics'!$C:$C,0))),"",INDEX('Policy Characteristics'!L:L,MATCH($C410,'Policy Characteristics'!$C:$C,0)))</f>
        <v>reduce-soft-costs.html</v>
      </c>
    </row>
    <row r="411" spans="1:18" s="2" customFormat="1" x14ac:dyDescent="0.25">
      <c r="A411" s="275" t="str">
        <f>IF(ISBLANK(INDEX('Policy Characteristics'!A:A,MATCH($C411,'Policy Characteristics'!$C:$C,0))),"",INDEX('Policy Characteristics'!A:A,MATCH($C411,'Policy Characteristics'!$C:$C,0)))</f>
        <v>Electricity Supply</v>
      </c>
      <c r="B411" s="284" t="str">
        <f>IF(ISBLANK(INDEX('Policy Characteristics'!B:B,MATCH($C411,'Policy Characteristics'!$C:$C,0))),"",INDEX('Policy Characteristics'!B:B,MATCH($C411,'Policy Characteristics'!$C:$C,0)))</f>
        <v>Reduce Soft Costs</v>
      </c>
      <c r="C411" s="340" t="str">
        <f t="shared" ref="C411:C412" si="24">C$410</f>
        <v>Percent Reduction in Soft Costs of Capacity Construction</v>
      </c>
      <c r="D411" s="6" t="s">
        <v>78</v>
      </c>
      <c r="E411" s="6"/>
      <c r="F411" s="6" t="s">
        <v>90</v>
      </c>
      <c r="G411" s="6"/>
      <c r="H411" s="49">
        <v>195</v>
      </c>
      <c r="I411" s="347" t="s">
        <v>43</v>
      </c>
      <c r="J411" s="276" t="str">
        <f>IF(ISBLANK(INDEX('Policy Characteristics'!D:D,MATCH($C411,'Policy Characteristics'!$C:$C,0))),"",INDEX('Policy Characteristics'!D:D,MATCH($C411,'Policy Characteristics'!$C:$C,0)))</f>
        <v>Reduce Soft Costs</v>
      </c>
      <c r="K411" s="275" t="str">
        <f>IF(ISBLANK(INDEX('Policy Characteristics'!E:E,MATCH($C411,'Policy Characteristics'!$C:$C,0))),"",INDEX('Policy Characteristics'!E:E,MATCH($C411,'Policy Characteristics'!$C:$C,0)))</f>
        <v>elec reduce soft costs</v>
      </c>
      <c r="L411" s="283">
        <f>IF(ISBLANK(INDEX('Policy Characteristics'!F:F,MATCH($C411,'Policy Characteristics'!$C:$C,0))),"",INDEX('Policy Characteristics'!F:F,MATCH($C411,'Policy Characteristics'!$C:$C,0)))</f>
        <v>0</v>
      </c>
      <c r="M411" s="283">
        <f>IF(ISBLANK(INDEX('Policy Characteristics'!G:G,MATCH($C411,'Policy Characteristics'!$C:$C,0))),"",INDEX('Policy Characteristics'!G:G,MATCH($C411,'Policy Characteristics'!$C:$C,0)))</f>
        <v>0.9</v>
      </c>
      <c r="N411" s="283">
        <f>IF(ISBLANK(INDEX('Policy Characteristics'!H:H,MATCH($C411,'Policy Characteristics'!$C:$C,0))),"",INDEX('Policy Characteristics'!H:H,MATCH($C411,'Policy Characteristics'!$C:$C,0)))</f>
        <v>0.01</v>
      </c>
      <c r="O411" s="275" t="str">
        <f>IF(ISBLANK(INDEX('Policy Characteristics'!I:I,MATCH($C411,'Policy Characteristics'!$C:$C,0))),"",INDEX('Policy Characteristics'!I:I,MATCH($C411,'Policy Characteristics'!$C:$C,0)))</f>
        <v>% reduction in soft costs</v>
      </c>
      <c r="P411" s="275" t="str">
        <f>IF(ISBLANK(INDEX('Policy Characteristics'!J:J,MATCH($C411,'Policy Characteristics'!$C:$C,0))),"",INDEX('Policy Characteristics'!J:J,MATCH($C411,'Policy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11" s="275" t="str">
        <f>IF(ISBLANK(INDEX('Policy Characteristics'!K:K,MATCH($C411,'Policy Characteristics'!$C:$C,0))),"",INDEX('Policy Characteristics'!K:K,MATCH($C411,'Policy Characteristics'!$C:$C,0)))</f>
        <v>endogenous-learning.html#red-soft-costs</v>
      </c>
      <c r="R411" s="275" t="str">
        <f>IF(ISBLANK(INDEX('Policy Characteristics'!L:L,MATCH($C411,'Policy Characteristics'!$C:$C,0))),"",INDEX('Policy Characteristics'!L:L,MATCH($C411,'Policy Characteristics'!$C:$C,0)))</f>
        <v>reduce-soft-costs.html</v>
      </c>
    </row>
    <row r="412" spans="1:18" s="2" customFormat="1" x14ac:dyDescent="0.25">
      <c r="A412" s="275" t="str">
        <f>IF(ISBLANK(INDEX('Policy Characteristics'!A:A,MATCH($C412,'Policy Characteristics'!$C:$C,0))),"",INDEX('Policy Characteristics'!A:A,MATCH($C412,'Policy Characteristics'!$C:$C,0)))</f>
        <v>Electricity Supply</v>
      </c>
      <c r="B412" s="284" t="str">
        <f>IF(ISBLANK(INDEX('Policy Characteristics'!B:B,MATCH($C412,'Policy Characteristics'!$C:$C,0))),"",INDEX('Policy Characteristics'!B:B,MATCH($C412,'Policy Characteristics'!$C:$C,0)))</f>
        <v>Reduce Soft Costs</v>
      </c>
      <c r="C412" s="340" t="str">
        <f t="shared" si="24"/>
        <v>Percent Reduction in Soft Costs of Capacity Construction</v>
      </c>
      <c r="D412" s="6" t="s">
        <v>454</v>
      </c>
      <c r="E412" s="6"/>
      <c r="F412" s="6" t="s">
        <v>455</v>
      </c>
      <c r="G412" s="6"/>
      <c r="H412" s="49">
        <v>196</v>
      </c>
      <c r="I412" s="347" t="s">
        <v>43</v>
      </c>
      <c r="J412" s="276" t="str">
        <f>IF(ISBLANK(INDEX('Policy Characteristics'!D:D,MATCH($C412,'Policy Characteristics'!$C:$C,0))),"",INDEX('Policy Characteristics'!D:D,MATCH($C412,'Policy Characteristics'!$C:$C,0)))</f>
        <v>Reduce Soft Costs</v>
      </c>
      <c r="K412" s="275" t="str">
        <f>IF(ISBLANK(INDEX('Policy Characteristics'!E:E,MATCH($C412,'Policy Characteristics'!$C:$C,0))),"",INDEX('Policy Characteristics'!E:E,MATCH($C412,'Policy Characteristics'!$C:$C,0)))</f>
        <v>elec reduce soft costs</v>
      </c>
      <c r="L412" s="283">
        <f>IF(ISBLANK(INDEX('Policy Characteristics'!F:F,MATCH($C412,'Policy Characteristics'!$C:$C,0))),"",INDEX('Policy Characteristics'!F:F,MATCH($C412,'Policy Characteristics'!$C:$C,0)))</f>
        <v>0</v>
      </c>
      <c r="M412" s="283">
        <f>IF(ISBLANK(INDEX('Policy Characteristics'!G:G,MATCH($C412,'Policy Characteristics'!$C:$C,0))),"",INDEX('Policy Characteristics'!G:G,MATCH($C412,'Policy Characteristics'!$C:$C,0)))</f>
        <v>0.9</v>
      </c>
      <c r="N412" s="283">
        <f>IF(ISBLANK(INDEX('Policy Characteristics'!H:H,MATCH($C412,'Policy Characteristics'!$C:$C,0))),"",INDEX('Policy Characteristics'!H:H,MATCH($C412,'Policy Characteristics'!$C:$C,0)))</f>
        <v>0.01</v>
      </c>
      <c r="O412" s="275" t="str">
        <f>IF(ISBLANK(INDEX('Policy Characteristics'!I:I,MATCH($C412,'Policy Characteristics'!$C:$C,0))),"",INDEX('Policy Characteristics'!I:I,MATCH($C412,'Policy Characteristics'!$C:$C,0)))</f>
        <v>% reduction in soft costs</v>
      </c>
      <c r="P412" s="275" t="str">
        <f>IF(ISBLANK(INDEX('Policy Characteristics'!J:J,MATCH($C412,'Policy Characteristics'!$C:$C,0))),"",INDEX('Policy Characteristics'!J:J,MATCH($C412,'Policy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12" s="275" t="str">
        <f>IF(ISBLANK(INDEX('Policy Characteristics'!K:K,MATCH($C412,'Policy Characteristics'!$C:$C,0))),"",INDEX('Policy Characteristics'!K:K,MATCH($C412,'Policy Characteristics'!$C:$C,0)))</f>
        <v>endogenous-learning.html#red-soft-costs</v>
      </c>
      <c r="R412" s="275" t="str">
        <f>IF(ISBLANK(INDEX('Policy Characteristics'!L:L,MATCH($C412,'Policy Characteristics'!$C:$C,0))),"",INDEX('Policy Characteristics'!L:L,MATCH($C412,'Policy Characteristics'!$C:$C,0)))</f>
        <v>reduce-soft-costs.html</v>
      </c>
    </row>
    <row r="413" spans="1:18" s="2" customFormat="1" x14ac:dyDescent="0.25">
      <c r="A413" s="275" t="str">
        <f>IF(ISBLANK(INDEX('Policy Characteristics'!A:A,MATCH($C413,'Policy Characteristics'!$C:$C,0))),"",INDEX('Policy Characteristics'!A:A,MATCH($C413,'Policy Characteristics'!$C:$C,0)))</f>
        <v>Electricity Supply</v>
      </c>
      <c r="B413" s="284" t="str">
        <f>IF(ISBLANK(INDEX('Policy Characteristics'!B:B,MATCH($C413,'Policy Characteristics'!$C:$C,0))),"",INDEX('Policy Characteristics'!B:B,MATCH($C413,'Policy Characteristics'!$C:$C,0)))</f>
        <v>Reduce Transmission &amp; Distribution Losses</v>
      </c>
      <c r="C413" s="339" t="s">
        <v>282</v>
      </c>
      <c r="D413" s="6"/>
      <c r="E413" s="6"/>
      <c r="F413" s="6"/>
      <c r="G413" s="6"/>
      <c r="H413" s="49">
        <v>145</v>
      </c>
      <c r="I413" s="347" t="s">
        <v>43</v>
      </c>
      <c r="J413" s="276" t="str">
        <f>IF(ISBLANK(INDEX('Policy Characteristics'!D:D,MATCH($C413,'Policy Characteristics'!$C:$C,0))),"",INDEX('Policy Characteristics'!D:D,MATCH($C413,'Policy Characteristics'!$C:$C,0)))</f>
        <v>Reduce T&amp;D Losses</v>
      </c>
      <c r="K413" s="275" t="str">
        <f>IF(ISBLANK(INDEX('Policy Characteristics'!E:E,MATCH($C413,'Policy Characteristics'!$C:$C,0))),"",INDEX('Policy Characteristics'!E:E,MATCH($C413,'Policy Characteristics'!$C:$C,0)))</f>
        <v>elec avoid TND loss</v>
      </c>
      <c r="L413" s="283">
        <f>IF(ISBLANK(INDEX('Policy Characteristics'!F:F,MATCH($C413,'Policy Characteristics'!$C:$C,0))),"",INDEX('Policy Characteristics'!F:F,MATCH($C413,'Policy Characteristics'!$C:$C,0)))</f>
        <v>0</v>
      </c>
      <c r="M413" s="283">
        <f>IF(ISBLANK(INDEX('Policy Characteristics'!G:G,MATCH($C413,'Policy Characteristics'!$C:$C,0))),"",INDEX('Policy Characteristics'!G:G,MATCH($C413,'Policy Characteristics'!$C:$C,0)))</f>
        <v>0.4</v>
      </c>
      <c r="N413" s="283">
        <f>IF(ISBLANK(INDEX('Policy Characteristics'!H:H,MATCH($C413,'Policy Characteristics'!$C:$C,0))),"",INDEX('Policy Characteristics'!H:H,MATCH($C413,'Policy Characteristics'!$C:$C,0)))</f>
        <v>0.01</v>
      </c>
      <c r="O413" s="275" t="str">
        <f>IF(ISBLANK(INDEX('Policy Characteristics'!I:I,MATCH($C413,'Policy Characteristics'!$C:$C,0))),"",INDEX('Policy Characteristics'!I:I,MATCH($C413,'Policy Characteristics'!$C:$C,0)))</f>
        <v>% of losses avoided</v>
      </c>
      <c r="P413" s="275" t="str">
        <f>IF(ISBLANK(INDEX('Policy Characteristics'!J:J,MATCH($C413,'Policy Characteristics'!$C:$C,0))),"",INDEX('Policy Characteristics'!J:J,MATCH($C413,'Policy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13" s="275" t="str">
        <f>IF(ISBLANK(INDEX('Policy Characteristics'!K:K,MATCH($C413,'Policy Characteristics'!$C:$C,0))),"",INDEX('Policy Characteristics'!K:K,MATCH($C413,'Policy Characteristics'!$C:$C,0)))</f>
        <v>electricity-sector-main.html#red-tnd-losses</v>
      </c>
      <c r="R413" s="275" t="str">
        <f>IF(ISBLANK(INDEX('Policy Characteristics'!L:L,MATCH($C413,'Policy Characteristics'!$C:$C,0))),"",INDEX('Policy Characteristics'!L:L,MATCH($C413,'Policy Characteristics'!$C:$C,0)))</f>
        <v>reduce-tnd-losses.html</v>
      </c>
    </row>
    <row r="414" spans="1:18" s="2" customFormat="1" x14ac:dyDescent="0.25">
      <c r="A414" s="275" t="str">
        <f>IF(ISBLANK(INDEX('Policy Characteristics'!A:A,MATCH($C414,'Policy Characteristics'!$C:$C,0))),"",INDEX('Policy Characteristics'!A:A,MATCH($C414,'Policy Characteristics'!$C:$C,0)))</f>
        <v>Electricity Supply</v>
      </c>
      <c r="B414" s="284" t="str">
        <f>IF(ISBLANK(INDEX('Policy Characteristics'!B:B,MATCH($C414,'Policy Characteristics'!$C:$C,0))),"",INDEX('Policy Characteristics'!B:B,MATCH($C414,'Policy Characteristics'!$C:$C,0)))</f>
        <v>Subsidy for Capacity Construction</v>
      </c>
      <c r="C414" s="339" t="s">
        <v>2792</v>
      </c>
      <c r="D414" s="47" t="s">
        <v>448</v>
      </c>
      <c r="E414" s="47"/>
      <c r="F414" s="47" t="s">
        <v>447</v>
      </c>
      <c r="G414" s="6"/>
      <c r="H414" s="49">
        <v>691</v>
      </c>
      <c r="I414" s="347" t="s">
        <v>44</v>
      </c>
      <c r="J414" s="276" t="str">
        <f>IF(ISBLANK(INDEX('Policy Characteristics'!D:D,MATCH($C414,'Policy Characteristics'!$C:$C,0))),"",INDEX('Policy Characteristics'!D:D,MATCH($C414,'Policy Characteristics'!$C:$C,0)))</f>
        <v>Subsidy for Capacity Construction</v>
      </c>
      <c r="K414" s="275" t="str">
        <f>IF(ISBLANK(INDEX('Policy Characteristics'!E:E,MATCH($C414,'Policy Characteristics'!$C:$C,0))),"",INDEX('Policy Characteristics'!E:E,MATCH($C414,'Policy Characteristics'!$C:$C,0)))</f>
        <v>elec capacity construction subsidy</v>
      </c>
      <c r="L414" s="283">
        <f>IF(ISBLANK(INDEX('Policy Characteristics'!F:F,MATCH($C414,'Policy Characteristics'!$C:$C,0))),"",INDEX('Policy Characteristics'!F:F,MATCH($C414,'Policy Characteristics'!$C:$C,0)))</f>
        <v>0</v>
      </c>
      <c r="M414" s="283">
        <f>IF(ISBLANK(INDEX('Policy Characteristics'!G:G,MATCH($C414,'Policy Characteristics'!$C:$C,0))),"",INDEX('Policy Characteristics'!G:G,MATCH($C414,'Policy Characteristics'!$C:$C,0)))</f>
        <v>0.95</v>
      </c>
      <c r="N414" s="283">
        <f>IF(ISBLANK(INDEX('Policy Characteristics'!H:H,MATCH($C414,'Policy Characteristics'!$C:$C,0))),"",INDEX('Policy Characteristics'!H:H,MATCH($C414,'Policy Characteristics'!$C:$C,0)))</f>
        <v>0.01</v>
      </c>
      <c r="O414" s="275" t="str">
        <f>IF(ISBLANK(INDEX('Policy Characteristics'!I:I,MATCH($C414,'Policy Characteristics'!$C:$C,0))),"",INDEX('Policy Characteristics'!I:I,MATCH($C414,'Policy Characteristics'!$C:$C,0)))</f>
        <v>% of construction cost</v>
      </c>
      <c r="P414" s="275" t="str">
        <f>IF(ISBLANK(INDEX('Policy Characteristics'!J:J,MATCH($C414,'Policy Characteristics'!$C:$C,0))),"",INDEX('Policy Characteristics'!J:J,MATCH($C414,'Policy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4" s="275" t="str">
        <f>IF(ISBLANK(INDEX('Policy Characteristics'!K:K,MATCH($C414,'Policy Characteristics'!$C:$C,0))),"",INDEX('Policy Characteristics'!K:K,MATCH($C414,'Policy Characteristics'!$C:$C,0)))</f>
        <v>electricity-sector-main.html#subsidies</v>
      </c>
      <c r="R414" s="275" t="str">
        <f>IF(ISBLANK(INDEX('Policy Characteristics'!L:L,MATCH($C414,'Policy Characteristics'!$C:$C,0))),"",INDEX('Policy Characteristics'!L:L,MATCH($C414,'Policy Characteristics'!$C:$C,0)))</f>
        <v/>
      </c>
    </row>
    <row r="415" spans="1:18" s="2" customFormat="1" x14ac:dyDescent="0.25">
      <c r="A415" s="275" t="str">
        <f>IF(ISBLANK(INDEX('Policy Characteristics'!A:A,MATCH($C415,'Policy Characteristics'!$C:$C,0))),"",INDEX('Policy Characteristics'!A:A,MATCH($C415,'Policy Characteristics'!$C:$C,0)))</f>
        <v>Electricity Supply</v>
      </c>
      <c r="B415" s="284" t="str">
        <f>IF(ISBLANK(INDEX('Policy Characteristics'!B:B,MATCH($C415,'Policy Characteristics'!$C:$C,0))),"",INDEX('Policy Characteristics'!B:B,MATCH($C415,'Policy Characteristics'!$C:$C,0)))</f>
        <v>Subsidy for Capacity Construction</v>
      </c>
      <c r="C415" s="340" t="str">
        <f>C$414</f>
        <v>Perc Subsidy for Elec Capacity Construction</v>
      </c>
      <c r="D415" s="6" t="s">
        <v>3520</v>
      </c>
      <c r="E415" s="47"/>
      <c r="F415" s="6" t="s">
        <v>3453</v>
      </c>
      <c r="G415" s="6"/>
      <c r="H415" s="49">
        <v>692</v>
      </c>
      <c r="I415" s="347" t="s">
        <v>44</v>
      </c>
      <c r="J415" s="276" t="str">
        <f>IF(ISBLANK(INDEX('Policy Characteristics'!D:D,MATCH($C415,'Policy Characteristics'!$C:$C,0))),"",INDEX('Policy Characteristics'!D:D,MATCH($C415,'Policy Characteristics'!$C:$C,0)))</f>
        <v>Subsidy for Capacity Construction</v>
      </c>
      <c r="K415" s="275" t="str">
        <f>IF(ISBLANK(INDEX('Policy Characteristics'!E:E,MATCH($C415,'Policy Characteristics'!$C:$C,0))),"",INDEX('Policy Characteristics'!E:E,MATCH($C415,'Policy Characteristics'!$C:$C,0)))</f>
        <v>elec capacity construction subsidy</v>
      </c>
      <c r="L415" s="283">
        <f>IF(ISBLANK(INDEX('Policy Characteristics'!F:F,MATCH($C415,'Policy Characteristics'!$C:$C,0))),"",INDEX('Policy Characteristics'!F:F,MATCH($C415,'Policy Characteristics'!$C:$C,0)))</f>
        <v>0</v>
      </c>
      <c r="M415" s="283">
        <f>IF(ISBLANK(INDEX('Policy Characteristics'!G:G,MATCH($C415,'Policy Characteristics'!$C:$C,0))),"",INDEX('Policy Characteristics'!G:G,MATCH($C415,'Policy Characteristics'!$C:$C,0)))</f>
        <v>0.95</v>
      </c>
      <c r="N415" s="283">
        <f>IF(ISBLANK(INDEX('Policy Characteristics'!H:H,MATCH($C415,'Policy Characteristics'!$C:$C,0))),"",INDEX('Policy Characteristics'!H:H,MATCH($C415,'Policy Characteristics'!$C:$C,0)))</f>
        <v>0.01</v>
      </c>
      <c r="O415" s="275" t="str">
        <f>IF(ISBLANK(INDEX('Policy Characteristics'!I:I,MATCH($C415,'Policy Characteristics'!$C:$C,0))),"",INDEX('Policy Characteristics'!I:I,MATCH($C415,'Policy Characteristics'!$C:$C,0)))</f>
        <v>% of construction cost</v>
      </c>
      <c r="P415" s="275" t="str">
        <f>IF(ISBLANK(INDEX('Policy Characteristics'!J:J,MATCH($C415,'Policy Characteristics'!$C:$C,0))),"",INDEX('Policy Characteristics'!J:J,MATCH($C415,'Policy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5" s="275" t="str">
        <f>IF(ISBLANK(INDEX('Policy Characteristics'!K:K,MATCH($C415,'Policy Characteristics'!$C:$C,0))),"",INDEX('Policy Characteristics'!K:K,MATCH($C415,'Policy Characteristics'!$C:$C,0)))</f>
        <v>electricity-sector-main.html#subsidies</v>
      </c>
      <c r="R415" s="275" t="str">
        <f>IF(ISBLANK(INDEX('Policy Characteristics'!L:L,MATCH($C415,'Policy Characteristics'!$C:$C,0))),"",INDEX('Policy Characteristics'!L:L,MATCH($C415,'Policy Characteristics'!$C:$C,0)))</f>
        <v/>
      </c>
    </row>
    <row r="416" spans="1:18" s="2" customFormat="1" x14ac:dyDescent="0.25">
      <c r="A416" s="275" t="str">
        <f>IF(ISBLANK(INDEX('Policy Characteristics'!A:A,MATCH($C416,'Policy Characteristics'!$C:$C,0))),"",INDEX('Policy Characteristics'!A:A,MATCH($C416,'Policy Characteristics'!$C:$C,0)))</f>
        <v>Electricity Supply</v>
      </c>
      <c r="B416" s="284" t="str">
        <f>IF(ISBLANK(INDEX('Policy Characteristics'!B:B,MATCH($C416,'Policy Characteristics'!$C:$C,0))),"",INDEX('Policy Characteristics'!B:B,MATCH($C416,'Policy Characteristics'!$C:$C,0)))</f>
        <v>Subsidy for Capacity Construction</v>
      </c>
      <c r="C416" s="340" t="str">
        <f t="shared" ref="C416:C437" si="25">C$414</f>
        <v>Perc Subsidy for Elec Capacity Construction</v>
      </c>
      <c r="D416" s="6" t="s">
        <v>3521</v>
      </c>
      <c r="E416" s="47"/>
      <c r="F416" s="6" t="s">
        <v>3454</v>
      </c>
      <c r="G416" s="6"/>
      <c r="H416" s="49">
        <v>1789</v>
      </c>
      <c r="I416" s="347" t="s">
        <v>44</v>
      </c>
      <c r="J416" s="276" t="str">
        <f>IF(ISBLANK(INDEX('Policy Characteristics'!D:D,MATCH($C416,'Policy Characteristics'!$C:$C,0))),"",INDEX('Policy Characteristics'!D:D,MATCH($C416,'Policy Characteristics'!$C:$C,0)))</f>
        <v>Subsidy for Capacity Construction</v>
      </c>
      <c r="K416" s="275" t="str">
        <f>IF(ISBLANK(INDEX('Policy Characteristics'!E:E,MATCH($C416,'Policy Characteristics'!$C:$C,0))),"",INDEX('Policy Characteristics'!E:E,MATCH($C416,'Policy Characteristics'!$C:$C,0)))</f>
        <v>elec capacity construction subsidy</v>
      </c>
      <c r="L416" s="283">
        <f>IF(ISBLANK(INDEX('Policy Characteristics'!F:F,MATCH($C416,'Policy Characteristics'!$C:$C,0))),"",INDEX('Policy Characteristics'!F:F,MATCH($C416,'Policy Characteristics'!$C:$C,0)))</f>
        <v>0</v>
      </c>
      <c r="M416" s="283">
        <f>IF(ISBLANK(INDEX('Policy Characteristics'!G:G,MATCH($C416,'Policy Characteristics'!$C:$C,0))),"",INDEX('Policy Characteristics'!G:G,MATCH($C416,'Policy Characteristics'!$C:$C,0)))</f>
        <v>0.95</v>
      </c>
      <c r="N416" s="283">
        <f>IF(ISBLANK(INDEX('Policy Characteristics'!H:H,MATCH($C416,'Policy Characteristics'!$C:$C,0))),"",INDEX('Policy Characteristics'!H:H,MATCH($C416,'Policy Characteristics'!$C:$C,0)))</f>
        <v>0.01</v>
      </c>
      <c r="O416" s="275" t="str">
        <f>IF(ISBLANK(INDEX('Policy Characteristics'!I:I,MATCH($C416,'Policy Characteristics'!$C:$C,0))),"",INDEX('Policy Characteristics'!I:I,MATCH($C416,'Policy Characteristics'!$C:$C,0)))</f>
        <v>% of construction cost</v>
      </c>
      <c r="P416" s="275" t="str">
        <f>IF(ISBLANK(INDEX('Policy Characteristics'!J:J,MATCH($C416,'Policy Characteristics'!$C:$C,0))),"",INDEX('Policy Characteristics'!J:J,MATCH($C416,'Policy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6" s="275" t="str">
        <f>IF(ISBLANK(INDEX('Policy Characteristics'!K:K,MATCH($C416,'Policy Characteristics'!$C:$C,0))),"",INDEX('Policy Characteristics'!K:K,MATCH($C416,'Policy Characteristics'!$C:$C,0)))</f>
        <v>electricity-sector-main.html#subsidies</v>
      </c>
      <c r="R416" s="275" t="str">
        <f>IF(ISBLANK(INDEX('Policy Characteristics'!L:L,MATCH($C416,'Policy Characteristics'!$C:$C,0))),"",INDEX('Policy Characteristics'!L:L,MATCH($C416,'Policy Characteristics'!$C:$C,0)))</f>
        <v/>
      </c>
    </row>
    <row r="417" spans="1:18" s="2" customFormat="1" x14ac:dyDescent="0.25">
      <c r="A417" s="275" t="str">
        <f>IF(ISBLANK(INDEX('Policy Characteristics'!A:A,MATCH($C417,'Policy Characteristics'!$C:$C,0))),"",INDEX('Policy Characteristics'!A:A,MATCH($C417,'Policy Characteristics'!$C:$C,0)))</f>
        <v>Electricity Supply</v>
      </c>
      <c r="B417" s="284" t="str">
        <f>IF(ISBLANK(INDEX('Policy Characteristics'!B:B,MATCH($C417,'Policy Characteristics'!$C:$C,0))),"",INDEX('Policy Characteristics'!B:B,MATCH($C417,'Policy Characteristics'!$C:$C,0)))</f>
        <v>Subsidy for Capacity Construction</v>
      </c>
      <c r="C417" s="340" t="str">
        <f t="shared" si="25"/>
        <v>Perc Subsidy for Elec Capacity Construction</v>
      </c>
      <c r="D417" s="6" t="s">
        <v>76</v>
      </c>
      <c r="E417" s="47"/>
      <c r="F417" s="6" t="s">
        <v>3531</v>
      </c>
      <c r="G417" s="6"/>
      <c r="H417" s="49">
        <v>517</v>
      </c>
      <c r="I417" s="347" t="s">
        <v>43</v>
      </c>
      <c r="J417" s="276" t="str">
        <f>IF(ISBLANK(INDEX('Policy Characteristics'!D:D,MATCH($C417,'Policy Characteristics'!$C:$C,0))),"",INDEX('Policy Characteristics'!D:D,MATCH($C417,'Policy Characteristics'!$C:$C,0)))</f>
        <v>Subsidy for Capacity Construction</v>
      </c>
      <c r="K417" s="275" t="str">
        <f>IF(ISBLANK(INDEX('Policy Characteristics'!E:E,MATCH($C417,'Policy Characteristics'!$C:$C,0))),"",INDEX('Policy Characteristics'!E:E,MATCH($C417,'Policy Characteristics'!$C:$C,0)))</f>
        <v>elec capacity construction subsidy</v>
      </c>
      <c r="L417" s="283">
        <f>IF(ISBLANK(INDEX('Policy Characteristics'!F:F,MATCH($C417,'Policy Characteristics'!$C:$C,0))),"",INDEX('Policy Characteristics'!F:F,MATCH($C417,'Policy Characteristics'!$C:$C,0)))</f>
        <v>0</v>
      </c>
      <c r="M417" s="283">
        <f>IF(ISBLANK(INDEX('Policy Characteristics'!G:G,MATCH($C417,'Policy Characteristics'!$C:$C,0))),"",INDEX('Policy Characteristics'!G:G,MATCH($C417,'Policy Characteristics'!$C:$C,0)))</f>
        <v>0.95</v>
      </c>
      <c r="N417" s="283">
        <f>IF(ISBLANK(INDEX('Policy Characteristics'!H:H,MATCH($C417,'Policy Characteristics'!$C:$C,0))),"",INDEX('Policy Characteristics'!H:H,MATCH($C417,'Policy Characteristics'!$C:$C,0)))</f>
        <v>0.01</v>
      </c>
      <c r="O417" s="275" t="str">
        <f>IF(ISBLANK(INDEX('Policy Characteristics'!I:I,MATCH($C417,'Policy Characteristics'!$C:$C,0))),"",INDEX('Policy Characteristics'!I:I,MATCH($C417,'Policy Characteristics'!$C:$C,0)))</f>
        <v>% of construction cost</v>
      </c>
      <c r="P417" s="275" t="str">
        <f>IF(ISBLANK(INDEX('Policy Characteristics'!J:J,MATCH($C417,'Policy Characteristics'!$C:$C,0))),"",INDEX('Policy Characteristics'!J:J,MATCH($C417,'Policy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7" s="275" t="str">
        <f>IF(ISBLANK(INDEX('Policy Characteristics'!K:K,MATCH($C417,'Policy Characteristics'!$C:$C,0))),"",INDEX('Policy Characteristics'!K:K,MATCH($C417,'Policy Characteristics'!$C:$C,0)))</f>
        <v>electricity-sector-main.html#subsidies</v>
      </c>
      <c r="R417" s="275" t="str">
        <f>IF(ISBLANK(INDEX('Policy Characteristics'!L:L,MATCH($C417,'Policy Characteristics'!$C:$C,0))),"",INDEX('Policy Characteristics'!L:L,MATCH($C417,'Policy Characteristics'!$C:$C,0)))</f>
        <v/>
      </c>
    </row>
    <row r="418" spans="1:18" s="2" customFormat="1" x14ac:dyDescent="0.25">
      <c r="A418" s="275" t="str">
        <f>IF(ISBLANK(INDEX('Policy Characteristics'!A:A,MATCH($C418,'Policy Characteristics'!$C:$C,0))),"",INDEX('Policy Characteristics'!A:A,MATCH($C418,'Policy Characteristics'!$C:$C,0)))</f>
        <v>Electricity Supply</v>
      </c>
      <c r="B418" s="284" t="str">
        <f>IF(ISBLANK(INDEX('Policy Characteristics'!B:B,MATCH($C418,'Policy Characteristics'!$C:$C,0))),"",INDEX('Policy Characteristics'!B:B,MATCH($C418,'Policy Characteristics'!$C:$C,0)))</f>
        <v>Subsidy for Capacity Construction</v>
      </c>
      <c r="C418" s="340" t="str">
        <f t="shared" si="25"/>
        <v>Perc Subsidy for Elec Capacity Construction</v>
      </c>
      <c r="D418" s="6" t="s">
        <v>77</v>
      </c>
      <c r="E418" s="47"/>
      <c r="F418" s="6" t="s">
        <v>89</v>
      </c>
      <c r="G418" s="6"/>
      <c r="H418" s="49">
        <v>693</v>
      </c>
      <c r="I418" s="347" t="s">
        <v>44</v>
      </c>
      <c r="J418" s="276" t="str">
        <f>IF(ISBLANK(INDEX('Policy Characteristics'!D:D,MATCH($C418,'Policy Characteristics'!$C:$C,0))),"",INDEX('Policy Characteristics'!D:D,MATCH($C418,'Policy Characteristics'!$C:$C,0)))</f>
        <v>Subsidy for Capacity Construction</v>
      </c>
      <c r="K418" s="275" t="str">
        <f>IF(ISBLANK(INDEX('Policy Characteristics'!E:E,MATCH($C418,'Policy Characteristics'!$C:$C,0))),"",INDEX('Policy Characteristics'!E:E,MATCH($C418,'Policy Characteristics'!$C:$C,0)))</f>
        <v>elec capacity construction subsidy</v>
      </c>
      <c r="L418" s="283">
        <f>IF(ISBLANK(INDEX('Policy Characteristics'!F:F,MATCH($C418,'Policy Characteristics'!$C:$C,0))),"",INDEX('Policy Characteristics'!F:F,MATCH($C418,'Policy Characteristics'!$C:$C,0)))</f>
        <v>0</v>
      </c>
      <c r="M418" s="283">
        <f>IF(ISBLANK(INDEX('Policy Characteristics'!G:G,MATCH($C418,'Policy Characteristics'!$C:$C,0))),"",INDEX('Policy Characteristics'!G:G,MATCH($C418,'Policy Characteristics'!$C:$C,0)))</f>
        <v>0.95</v>
      </c>
      <c r="N418" s="283">
        <f>IF(ISBLANK(INDEX('Policy Characteristics'!H:H,MATCH($C418,'Policy Characteristics'!$C:$C,0))),"",INDEX('Policy Characteristics'!H:H,MATCH($C418,'Policy Characteristics'!$C:$C,0)))</f>
        <v>0.01</v>
      </c>
      <c r="O418" s="275" t="str">
        <f>IF(ISBLANK(INDEX('Policy Characteristics'!I:I,MATCH($C418,'Policy Characteristics'!$C:$C,0))),"",INDEX('Policy Characteristics'!I:I,MATCH($C418,'Policy Characteristics'!$C:$C,0)))</f>
        <v>% of construction cost</v>
      </c>
      <c r="P418" s="275" t="str">
        <f>IF(ISBLANK(INDEX('Policy Characteristics'!J:J,MATCH($C418,'Policy Characteristics'!$C:$C,0))),"",INDEX('Policy Characteristics'!J:J,MATCH($C418,'Policy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8" s="275" t="str">
        <f>IF(ISBLANK(INDEX('Policy Characteristics'!K:K,MATCH($C418,'Policy Characteristics'!$C:$C,0))),"",INDEX('Policy Characteristics'!K:K,MATCH($C418,'Policy Characteristics'!$C:$C,0)))</f>
        <v>electricity-sector-main.html#subsidies</v>
      </c>
      <c r="R418" s="275" t="str">
        <f>IF(ISBLANK(INDEX('Policy Characteristics'!L:L,MATCH($C418,'Policy Characteristics'!$C:$C,0))),"",INDEX('Policy Characteristics'!L:L,MATCH($C418,'Policy Characteristics'!$C:$C,0)))</f>
        <v/>
      </c>
    </row>
    <row r="419" spans="1:18" s="2" customFormat="1" x14ac:dyDescent="0.25">
      <c r="A419" s="275" t="str">
        <f>IF(ISBLANK(INDEX('Policy Characteristics'!A:A,MATCH($C419,'Policy Characteristics'!$C:$C,0))),"",INDEX('Policy Characteristics'!A:A,MATCH($C419,'Policy Characteristics'!$C:$C,0)))</f>
        <v>Electricity Supply</v>
      </c>
      <c r="B419" s="284" t="str">
        <f>IF(ISBLANK(INDEX('Policy Characteristics'!B:B,MATCH($C419,'Policy Characteristics'!$C:$C,0))),"",INDEX('Policy Characteristics'!B:B,MATCH($C419,'Policy Characteristics'!$C:$C,0)))</f>
        <v>Subsidy for Capacity Construction</v>
      </c>
      <c r="C419" s="340" t="str">
        <f t="shared" si="25"/>
        <v>Perc Subsidy for Elec Capacity Construction</v>
      </c>
      <c r="D419" s="6" t="s">
        <v>449</v>
      </c>
      <c r="E419" s="47"/>
      <c r="F419" s="6" t="s">
        <v>452</v>
      </c>
      <c r="G419" s="6"/>
      <c r="H419" s="49">
        <v>518</v>
      </c>
      <c r="I419" s="347" t="s">
        <v>43</v>
      </c>
      <c r="J419" s="276" t="str">
        <f>IF(ISBLANK(INDEX('Policy Characteristics'!D:D,MATCH($C419,'Policy Characteristics'!$C:$C,0))),"",INDEX('Policy Characteristics'!D:D,MATCH($C419,'Policy Characteristics'!$C:$C,0)))</f>
        <v>Subsidy for Capacity Construction</v>
      </c>
      <c r="K419" s="275" t="str">
        <f>IF(ISBLANK(INDEX('Policy Characteristics'!E:E,MATCH($C419,'Policy Characteristics'!$C:$C,0))),"",INDEX('Policy Characteristics'!E:E,MATCH($C419,'Policy Characteristics'!$C:$C,0)))</f>
        <v>elec capacity construction subsidy</v>
      </c>
      <c r="L419" s="283">
        <f>IF(ISBLANK(INDEX('Policy Characteristics'!F:F,MATCH($C419,'Policy Characteristics'!$C:$C,0))),"",INDEX('Policy Characteristics'!F:F,MATCH($C419,'Policy Characteristics'!$C:$C,0)))</f>
        <v>0</v>
      </c>
      <c r="M419" s="283">
        <f>IF(ISBLANK(INDEX('Policy Characteristics'!G:G,MATCH($C419,'Policy Characteristics'!$C:$C,0))),"",INDEX('Policy Characteristics'!G:G,MATCH($C419,'Policy Characteristics'!$C:$C,0)))</f>
        <v>0.95</v>
      </c>
      <c r="N419" s="283">
        <f>IF(ISBLANK(INDEX('Policy Characteristics'!H:H,MATCH($C419,'Policy Characteristics'!$C:$C,0))),"",INDEX('Policy Characteristics'!H:H,MATCH($C419,'Policy Characteristics'!$C:$C,0)))</f>
        <v>0.01</v>
      </c>
      <c r="O419" s="275" t="str">
        <f>IF(ISBLANK(INDEX('Policy Characteristics'!I:I,MATCH($C419,'Policy Characteristics'!$C:$C,0))),"",INDEX('Policy Characteristics'!I:I,MATCH($C419,'Policy Characteristics'!$C:$C,0)))</f>
        <v>% of construction cost</v>
      </c>
      <c r="P419" s="275" t="str">
        <f>IF(ISBLANK(INDEX('Policy Characteristics'!J:J,MATCH($C419,'Policy Characteristics'!$C:$C,0))),"",INDEX('Policy Characteristics'!J:J,MATCH($C419,'Policy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9" s="275" t="str">
        <f>IF(ISBLANK(INDEX('Policy Characteristics'!K:K,MATCH($C419,'Policy Characteristics'!$C:$C,0))),"",INDEX('Policy Characteristics'!K:K,MATCH($C419,'Policy Characteristics'!$C:$C,0)))</f>
        <v>electricity-sector-main.html#subsidies</v>
      </c>
      <c r="R419" s="275" t="str">
        <f>IF(ISBLANK(INDEX('Policy Characteristics'!L:L,MATCH($C419,'Policy Characteristics'!$C:$C,0))),"",INDEX('Policy Characteristics'!L:L,MATCH($C419,'Policy Characteristics'!$C:$C,0)))</f>
        <v/>
      </c>
    </row>
    <row r="420" spans="1:18" s="2" customFormat="1" x14ac:dyDescent="0.25">
      <c r="A420" s="275" t="str">
        <f>IF(ISBLANK(INDEX('Policy Characteristics'!A:A,MATCH($C420,'Policy Characteristics'!$C:$C,0))),"",INDEX('Policy Characteristics'!A:A,MATCH($C420,'Policy Characteristics'!$C:$C,0)))</f>
        <v>Electricity Supply</v>
      </c>
      <c r="B420" s="284" t="str">
        <f>IF(ISBLANK(INDEX('Policy Characteristics'!B:B,MATCH($C420,'Policy Characteristics'!$C:$C,0))),"",INDEX('Policy Characteristics'!B:B,MATCH($C420,'Policy Characteristics'!$C:$C,0)))</f>
        <v>Subsidy for Capacity Construction</v>
      </c>
      <c r="C420" s="340" t="str">
        <f t="shared" si="25"/>
        <v>Perc Subsidy for Elec Capacity Construction</v>
      </c>
      <c r="D420" s="6" t="s">
        <v>78</v>
      </c>
      <c r="E420" s="47"/>
      <c r="F420" s="6" t="s">
        <v>90</v>
      </c>
      <c r="G420" s="6"/>
      <c r="H420" s="49">
        <v>519</v>
      </c>
      <c r="I420" s="347" t="s">
        <v>43</v>
      </c>
      <c r="J420" s="276" t="str">
        <f>IF(ISBLANK(INDEX('Policy Characteristics'!D:D,MATCH($C420,'Policy Characteristics'!$C:$C,0))),"",INDEX('Policy Characteristics'!D:D,MATCH($C420,'Policy Characteristics'!$C:$C,0)))</f>
        <v>Subsidy for Capacity Construction</v>
      </c>
      <c r="K420" s="275" t="str">
        <f>IF(ISBLANK(INDEX('Policy Characteristics'!E:E,MATCH($C420,'Policy Characteristics'!$C:$C,0))),"",INDEX('Policy Characteristics'!E:E,MATCH($C420,'Policy Characteristics'!$C:$C,0)))</f>
        <v>elec capacity construction subsidy</v>
      </c>
      <c r="L420" s="283">
        <f>IF(ISBLANK(INDEX('Policy Characteristics'!F:F,MATCH($C420,'Policy Characteristics'!$C:$C,0))),"",INDEX('Policy Characteristics'!F:F,MATCH($C420,'Policy Characteristics'!$C:$C,0)))</f>
        <v>0</v>
      </c>
      <c r="M420" s="283">
        <f>IF(ISBLANK(INDEX('Policy Characteristics'!G:G,MATCH($C420,'Policy Characteristics'!$C:$C,0))),"",INDEX('Policy Characteristics'!G:G,MATCH($C420,'Policy Characteristics'!$C:$C,0)))</f>
        <v>0.95</v>
      </c>
      <c r="N420" s="283">
        <f>IF(ISBLANK(INDEX('Policy Characteristics'!H:H,MATCH($C420,'Policy Characteristics'!$C:$C,0))),"",INDEX('Policy Characteristics'!H:H,MATCH($C420,'Policy Characteristics'!$C:$C,0)))</f>
        <v>0.01</v>
      </c>
      <c r="O420" s="275" t="str">
        <f>IF(ISBLANK(INDEX('Policy Characteristics'!I:I,MATCH($C420,'Policy Characteristics'!$C:$C,0))),"",INDEX('Policy Characteristics'!I:I,MATCH($C420,'Policy Characteristics'!$C:$C,0)))</f>
        <v>% of construction cost</v>
      </c>
      <c r="P420" s="275" t="str">
        <f>IF(ISBLANK(INDEX('Policy Characteristics'!J:J,MATCH($C420,'Policy Characteristics'!$C:$C,0))),"",INDEX('Policy Characteristics'!J:J,MATCH($C420,'Policy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0" s="275" t="str">
        <f>IF(ISBLANK(INDEX('Policy Characteristics'!K:K,MATCH($C420,'Policy Characteristics'!$C:$C,0))),"",INDEX('Policy Characteristics'!K:K,MATCH($C420,'Policy Characteristics'!$C:$C,0)))</f>
        <v>electricity-sector-main.html#subsidies</v>
      </c>
      <c r="R420" s="275" t="str">
        <f>IF(ISBLANK(INDEX('Policy Characteristics'!L:L,MATCH($C420,'Policy Characteristics'!$C:$C,0))),"",INDEX('Policy Characteristics'!L:L,MATCH($C420,'Policy Characteristics'!$C:$C,0)))</f>
        <v/>
      </c>
    </row>
    <row r="421" spans="1:18" s="2" customFormat="1" x14ac:dyDescent="0.25">
      <c r="A421" s="275" t="str">
        <f>IF(ISBLANK(INDEX('Policy Characteristics'!A:A,MATCH($C421,'Policy Characteristics'!$C:$C,0))),"",INDEX('Policy Characteristics'!A:A,MATCH($C421,'Policy Characteristics'!$C:$C,0)))</f>
        <v>Electricity Supply</v>
      </c>
      <c r="B421" s="284" t="str">
        <f>IF(ISBLANK(INDEX('Policy Characteristics'!B:B,MATCH($C421,'Policy Characteristics'!$C:$C,0))),"",INDEX('Policy Characteristics'!B:B,MATCH($C421,'Policy Characteristics'!$C:$C,0)))</f>
        <v>Subsidy for Capacity Construction</v>
      </c>
      <c r="C421" s="340" t="str">
        <f t="shared" si="25"/>
        <v>Perc Subsidy for Elec Capacity Construction</v>
      </c>
      <c r="D421" s="6" t="s">
        <v>79</v>
      </c>
      <c r="E421" s="47"/>
      <c r="F421" s="6" t="s">
        <v>91</v>
      </c>
      <c r="G421" s="6"/>
      <c r="H421" s="49">
        <v>520</v>
      </c>
      <c r="I421" s="347" t="s">
        <v>43</v>
      </c>
      <c r="J421" s="276" t="str">
        <f>IF(ISBLANK(INDEX('Policy Characteristics'!D:D,MATCH($C421,'Policy Characteristics'!$C:$C,0))),"",INDEX('Policy Characteristics'!D:D,MATCH($C421,'Policy Characteristics'!$C:$C,0)))</f>
        <v>Subsidy for Capacity Construction</v>
      </c>
      <c r="K421" s="275" t="str">
        <f>IF(ISBLANK(INDEX('Policy Characteristics'!E:E,MATCH($C421,'Policy Characteristics'!$C:$C,0))),"",INDEX('Policy Characteristics'!E:E,MATCH($C421,'Policy Characteristics'!$C:$C,0)))</f>
        <v>elec capacity construction subsidy</v>
      </c>
      <c r="L421" s="283">
        <f>IF(ISBLANK(INDEX('Policy Characteristics'!F:F,MATCH($C421,'Policy Characteristics'!$C:$C,0))),"",INDEX('Policy Characteristics'!F:F,MATCH($C421,'Policy Characteristics'!$C:$C,0)))</f>
        <v>0</v>
      </c>
      <c r="M421" s="283">
        <f>IF(ISBLANK(INDEX('Policy Characteristics'!G:G,MATCH($C421,'Policy Characteristics'!$C:$C,0))),"",INDEX('Policy Characteristics'!G:G,MATCH($C421,'Policy Characteristics'!$C:$C,0)))</f>
        <v>0.95</v>
      </c>
      <c r="N421" s="283">
        <f>IF(ISBLANK(INDEX('Policy Characteristics'!H:H,MATCH($C421,'Policy Characteristics'!$C:$C,0))),"",INDEX('Policy Characteristics'!H:H,MATCH($C421,'Policy Characteristics'!$C:$C,0)))</f>
        <v>0.01</v>
      </c>
      <c r="O421" s="275" t="str">
        <f>IF(ISBLANK(INDEX('Policy Characteristics'!I:I,MATCH($C421,'Policy Characteristics'!$C:$C,0))),"",INDEX('Policy Characteristics'!I:I,MATCH($C421,'Policy Characteristics'!$C:$C,0)))</f>
        <v>% of construction cost</v>
      </c>
      <c r="P421" s="275" t="str">
        <f>IF(ISBLANK(INDEX('Policy Characteristics'!J:J,MATCH($C421,'Policy Characteristics'!$C:$C,0))),"",INDEX('Policy Characteristics'!J:J,MATCH($C421,'Policy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1" s="275" t="str">
        <f>IF(ISBLANK(INDEX('Policy Characteristics'!K:K,MATCH($C421,'Policy Characteristics'!$C:$C,0))),"",INDEX('Policy Characteristics'!K:K,MATCH($C421,'Policy Characteristics'!$C:$C,0)))</f>
        <v>electricity-sector-main.html#subsidies</v>
      </c>
      <c r="R421" s="275" t="str">
        <f>IF(ISBLANK(INDEX('Policy Characteristics'!L:L,MATCH($C421,'Policy Characteristics'!$C:$C,0))),"",INDEX('Policy Characteristics'!L:L,MATCH($C421,'Policy Characteristics'!$C:$C,0)))</f>
        <v/>
      </c>
    </row>
    <row r="422" spans="1:18" s="2" customFormat="1" x14ac:dyDescent="0.25">
      <c r="A422" s="275" t="str">
        <f>IF(ISBLANK(INDEX('Policy Characteristics'!A:A,MATCH($C422,'Policy Characteristics'!$C:$C,0))),"",INDEX('Policy Characteristics'!A:A,MATCH($C422,'Policy Characteristics'!$C:$C,0)))</f>
        <v>Electricity Supply</v>
      </c>
      <c r="B422" s="284" t="str">
        <f>IF(ISBLANK(INDEX('Policy Characteristics'!B:B,MATCH($C422,'Policy Characteristics'!$C:$C,0))),"",INDEX('Policy Characteristics'!B:B,MATCH($C422,'Policy Characteristics'!$C:$C,0)))</f>
        <v>Subsidy for Capacity Construction</v>
      </c>
      <c r="C422" s="340" t="str">
        <f t="shared" si="25"/>
        <v>Perc Subsidy for Elec Capacity Construction</v>
      </c>
      <c r="D422" s="6" t="s">
        <v>80</v>
      </c>
      <c r="E422" s="47"/>
      <c r="F422" s="6" t="s">
        <v>92</v>
      </c>
      <c r="G422" s="6"/>
      <c r="H422" s="49">
        <v>521</v>
      </c>
      <c r="I422" s="347" t="s">
        <v>43</v>
      </c>
      <c r="J422" s="276" t="str">
        <f>IF(ISBLANK(INDEX('Policy Characteristics'!D:D,MATCH($C422,'Policy Characteristics'!$C:$C,0))),"",INDEX('Policy Characteristics'!D:D,MATCH($C422,'Policy Characteristics'!$C:$C,0)))</f>
        <v>Subsidy for Capacity Construction</v>
      </c>
      <c r="K422" s="275" t="str">
        <f>IF(ISBLANK(INDEX('Policy Characteristics'!E:E,MATCH($C422,'Policy Characteristics'!$C:$C,0))),"",INDEX('Policy Characteristics'!E:E,MATCH($C422,'Policy Characteristics'!$C:$C,0)))</f>
        <v>elec capacity construction subsidy</v>
      </c>
      <c r="L422" s="283">
        <f>IF(ISBLANK(INDEX('Policy Characteristics'!F:F,MATCH($C422,'Policy Characteristics'!$C:$C,0))),"",INDEX('Policy Characteristics'!F:F,MATCH($C422,'Policy Characteristics'!$C:$C,0)))</f>
        <v>0</v>
      </c>
      <c r="M422" s="283">
        <f>IF(ISBLANK(INDEX('Policy Characteristics'!G:G,MATCH($C422,'Policy Characteristics'!$C:$C,0))),"",INDEX('Policy Characteristics'!G:G,MATCH($C422,'Policy Characteristics'!$C:$C,0)))</f>
        <v>0.95</v>
      </c>
      <c r="N422" s="283">
        <f>IF(ISBLANK(INDEX('Policy Characteristics'!H:H,MATCH($C422,'Policy Characteristics'!$C:$C,0))),"",INDEX('Policy Characteristics'!H:H,MATCH($C422,'Policy Characteristics'!$C:$C,0)))</f>
        <v>0.01</v>
      </c>
      <c r="O422" s="275" t="str">
        <f>IF(ISBLANK(INDEX('Policy Characteristics'!I:I,MATCH($C422,'Policy Characteristics'!$C:$C,0))),"",INDEX('Policy Characteristics'!I:I,MATCH($C422,'Policy Characteristics'!$C:$C,0)))</f>
        <v>% of construction cost</v>
      </c>
      <c r="P422" s="275" t="str">
        <f>IF(ISBLANK(INDEX('Policy Characteristics'!J:J,MATCH($C422,'Policy Characteristics'!$C:$C,0))),"",INDEX('Policy Characteristics'!J:J,MATCH($C422,'Policy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2" s="275" t="str">
        <f>IF(ISBLANK(INDEX('Policy Characteristics'!K:K,MATCH($C422,'Policy Characteristics'!$C:$C,0))),"",INDEX('Policy Characteristics'!K:K,MATCH($C422,'Policy Characteristics'!$C:$C,0)))</f>
        <v>electricity-sector-main.html#subsidies</v>
      </c>
      <c r="R422" s="275" t="str">
        <f>IF(ISBLANK(INDEX('Policy Characteristics'!L:L,MATCH($C422,'Policy Characteristics'!$C:$C,0))),"",INDEX('Policy Characteristics'!L:L,MATCH($C422,'Policy Characteristics'!$C:$C,0)))</f>
        <v/>
      </c>
    </row>
    <row r="423" spans="1:18" s="2" customFormat="1" x14ac:dyDescent="0.25">
      <c r="A423" s="275" t="str">
        <f>IF(ISBLANK(INDEX('Policy Characteristics'!A:A,MATCH($C423,'Policy Characteristics'!$C:$C,0))),"",INDEX('Policy Characteristics'!A:A,MATCH($C423,'Policy Characteristics'!$C:$C,0)))</f>
        <v>Electricity Supply</v>
      </c>
      <c r="B423" s="284" t="str">
        <f>IF(ISBLANK(INDEX('Policy Characteristics'!B:B,MATCH($C423,'Policy Characteristics'!$C:$C,0))),"",INDEX('Policy Characteristics'!B:B,MATCH($C423,'Policy Characteristics'!$C:$C,0)))</f>
        <v>Subsidy for Capacity Construction</v>
      </c>
      <c r="C423" s="340" t="str">
        <f t="shared" si="25"/>
        <v>Perc Subsidy for Elec Capacity Construction</v>
      </c>
      <c r="D423" s="6" t="s">
        <v>2427</v>
      </c>
      <c r="E423" s="47"/>
      <c r="F423" s="6" t="s">
        <v>437</v>
      </c>
      <c r="G423" s="6"/>
      <c r="H423" s="49">
        <v>1598</v>
      </c>
      <c r="I423" s="347" t="s">
        <v>43</v>
      </c>
      <c r="J423" s="276" t="str">
        <f>IF(ISBLANK(INDEX('Policy Characteristics'!D:D,MATCH($C423,'Policy Characteristics'!$C:$C,0))),"",INDEX('Policy Characteristics'!D:D,MATCH($C423,'Policy Characteristics'!$C:$C,0)))</f>
        <v>Subsidy for Capacity Construction</v>
      </c>
      <c r="K423" s="275" t="str">
        <f>IF(ISBLANK(INDEX('Policy Characteristics'!E:E,MATCH($C423,'Policy Characteristics'!$C:$C,0))),"",INDEX('Policy Characteristics'!E:E,MATCH($C423,'Policy Characteristics'!$C:$C,0)))</f>
        <v>elec capacity construction subsidy</v>
      </c>
      <c r="L423" s="283">
        <f>IF(ISBLANK(INDEX('Policy Characteristics'!F:F,MATCH($C423,'Policy Characteristics'!$C:$C,0))),"",INDEX('Policy Characteristics'!F:F,MATCH($C423,'Policy Characteristics'!$C:$C,0)))</f>
        <v>0</v>
      </c>
      <c r="M423" s="283">
        <f>IF(ISBLANK(INDEX('Policy Characteristics'!G:G,MATCH($C423,'Policy Characteristics'!$C:$C,0))),"",INDEX('Policy Characteristics'!G:G,MATCH($C423,'Policy Characteristics'!$C:$C,0)))</f>
        <v>0.95</v>
      </c>
      <c r="N423" s="283">
        <f>IF(ISBLANK(INDEX('Policy Characteristics'!H:H,MATCH($C423,'Policy Characteristics'!$C:$C,0))),"",INDEX('Policy Characteristics'!H:H,MATCH($C423,'Policy Characteristics'!$C:$C,0)))</f>
        <v>0.01</v>
      </c>
      <c r="O423" s="275" t="str">
        <f>IF(ISBLANK(INDEX('Policy Characteristics'!I:I,MATCH($C423,'Policy Characteristics'!$C:$C,0))),"",INDEX('Policy Characteristics'!I:I,MATCH($C423,'Policy Characteristics'!$C:$C,0)))</f>
        <v>% of construction cost</v>
      </c>
      <c r="P423" s="275" t="str">
        <f>IF(ISBLANK(INDEX('Policy Characteristics'!J:J,MATCH($C423,'Policy Characteristics'!$C:$C,0))),"",INDEX('Policy Characteristics'!J:J,MATCH($C423,'Policy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3" s="275" t="str">
        <f>IF(ISBLANK(INDEX('Policy Characteristics'!K:K,MATCH($C423,'Policy Characteristics'!$C:$C,0))),"",INDEX('Policy Characteristics'!K:K,MATCH($C423,'Policy Characteristics'!$C:$C,0)))</f>
        <v>electricity-sector-main.html#subsidies</v>
      </c>
      <c r="R423" s="275" t="str">
        <f>IF(ISBLANK(INDEX('Policy Characteristics'!L:L,MATCH($C423,'Policy Characteristics'!$C:$C,0))),"",INDEX('Policy Characteristics'!L:L,MATCH($C423,'Policy Characteristics'!$C:$C,0)))</f>
        <v/>
      </c>
    </row>
    <row r="424" spans="1:18" s="2" customFormat="1" x14ac:dyDescent="0.25">
      <c r="A424" s="275" t="str">
        <f>IF(ISBLANK(INDEX('Policy Characteristics'!A:A,MATCH($C424,'Policy Characteristics'!$C:$C,0))),"",INDEX('Policy Characteristics'!A:A,MATCH($C424,'Policy Characteristics'!$C:$C,0)))</f>
        <v>Electricity Supply</v>
      </c>
      <c r="B424" s="284" t="str">
        <f>IF(ISBLANK(INDEX('Policy Characteristics'!B:B,MATCH($C424,'Policy Characteristics'!$C:$C,0))),"",INDEX('Policy Characteristics'!B:B,MATCH($C424,'Policy Characteristics'!$C:$C,0)))</f>
        <v>Subsidy for Capacity Construction</v>
      </c>
      <c r="C424" s="340" t="str">
        <f t="shared" si="25"/>
        <v>Perc Subsidy for Elec Capacity Construction</v>
      </c>
      <c r="D424" s="6" t="s">
        <v>309</v>
      </c>
      <c r="E424" s="47"/>
      <c r="F424" s="6" t="s">
        <v>311</v>
      </c>
      <c r="G424" s="6"/>
      <c r="H424" s="49">
        <v>1599</v>
      </c>
      <c r="I424" s="347" t="s">
        <v>44</v>
      </c>
      <c r="J424" s="276" t="str">
        <f>IF(ISBLANK(INDEX('Policy Characteristics'!D:D,MATCH($C424,'Policy Characteristics'!$C:$C,0))),"",INDEX('Policy Characteristics'!D:D,MATCH($C424,'Policy Characteristics'!$C:$C,0)))</f>
        <v>Subsidy for Capacity Construction</v>
      </c>
      <c r="K424" s="275" t="str">
        <f>IF(ISBLANK(INDEX('Policy Characteristics'!E:E,MATCH($C424,'Policy Characteristics'!$C:$C,0))),"",INDEX('Policy Characteristics'!E:E,MATCH($C424,'Policy Characteristics'!$C:$C,0)))</f>
        <v>elec capacity construction subsidy</v>
      </c>
      <c r="L424" s="283">
        <f>IF(ISBLANK(INDEX('Policy Characteristics'!F:F,MATCH($C424,'Policy Characteristics'!$C:$C,0))),"",INDEX('Policy Characteristics'!F:F,MATCH($C424,'Policy Characteristics'!$C:$C,0)))</f>
        <v>0</v>
      </c>
      <c r="M424" s="283">
        <f>IF(ISBLANK(INDEX('Policy Characteristics'!G:G,MATCH($C424,'Policy Characteristics'!$C:$C,0))),"",INDEX('Policy Characteristics'!G:G,MATCH($C424,'Policy Characteristics'!$C:$C,0)))</f>
        <v>0.95</v>
      </c>
      <c r="N424" s="283">
        <f>IF(ISBLANK(INDEX('Policy Characteristics'!H:H,MATCH($C424,'Policy Characteristics'!$C:$C,0))),"",INDEX('Policy Characteristics'!H:H,MATCH($C424,'Policy Characteristics'!$C:$C,0)))</f>
        <v>0.01</v>
      </c>
      <c r="O424" s="275" t="str">
        <f>IF(ISBLANK(INDEX('Policy Characteristics'!I:I,MATCH($C424,'Policy Characteristics'!$C:$C,0))),"",INDEX('Policy Characteristics'!I:I,MATCH($C424,'Policy Characteristics'!$C:$C,0)))</f>
        <v>% of construction cost</v>
      </c>
      <c r="P424" s="275" t="str">
        <f>IF(ISBLANK(INDEX('Policy Characteristics'!J:J,MATCH($C424,'Policy Characteristics'!$C:$C,0))),"",INDEX('Policy Characteristics'!J:J,MATCH($C424,'Policy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4" s="275" t="str">
        <f>IF(ISBLANK(INDEX('Policy Characteristics'!K:K,MATCH($C424,'Policy Characteristics'!$C:$C,0))),"",INDEX('Policy Characteristics'!K:K,MATCH($C424,'Policy Characteristics'!$C:$C,0)))</f>
        <v>electricity-sector-main.html#subsidies</v>
      </c>
      <c r="R424" s="275" t="str">
        <f>IF(ISBLANK(INDEX('Policy Characteristics'!L:L,MATCH($C424,'Policy Characteristics'!$C:$C,0))),"",INDEX('Policy Characteristics'!L:L,MATCH($C424,'Policy Characteristics'!$C:$C,0)))</f>
        <v/>
      </c>
    </row>
    <row r="425" spans="1:18" s="2" customFormat="1" x14ac:dyDescent="0.25">
      <c r="A425" s="275" t="str">
        <f>IF(ISBLANK(INDEX('Policy Characteristics'!A:A,MATCH($C425,'Policy Characteristics'!$C:$C,0))),"",INDEX('Policy Characteristics'!A:A,MATCH($C425,'Policy Characteristics'!$C:$C,0)))</f>
        <v>Electricity Supply</v>
      </c>
      <c r="B425" s="284" t="str">
        <f>IF(ISBLANK(INDEX('Policy Characteristics'!B:B,MATCH($C425,'Policy Characteristics'!$C:$C,0))),"",INDEX('Policy Characteristics'!B:B,MATCH($C425,'Policy Characteristics'!$C:$C,0)))</f>
        <v>Subsidy for Capacity Construction</v>
      </c>
      <c r="C425" s="340" t="str">
        <f t="shared" si="25"/>
        <v>Perc Subsidy for Elec Capacity Construction</v>
      </c>
      <c r="D425" s="6" t="s">
        <v>310</v>
      </c>
      <c r="E425" s="47"/>
      <c r="F425" s="6" t="s">
        <v>312</v>
      </c>
      <c r="G425" s="6"/>
      <c r="H425" s="49">
        <v>1600</v>
      </c>
      <c r="I425" s="347" t="s">
        <v>44</v>
      </c>
      <c r="J425" s="276" t="str">
        <f>IF(ISBLANK(INDEX('Policy Characteristics'!D:D,MATCH($C425,'Policy Characteristics'!$C:$C,0))),"",INDEX('Policy Characteristics'!D:D,MATCH($C425,'Policy Characteristics'!$C:$C,0)))</f>
        <v>Subsidy for Capacity Construction</v>
      </c>
      <c r="K425" s="275" t="str">
        <f>IF(ISBLANK(INDEX('Policy Characteristics'!E:E,MATCH($C425,'Policy Characteristics'!$C:$C,0))),"",INDEX('Policy Characteristics'!E:E,MATCH($C425,'Policy Characteristics'!$C:$C,0)))</f>
        <v>elec capacity construction subsidy</v>
      </c>
      <c r="L425" s="283">
        <f>IF(ISBLANK(INDEX('Policy Characteristics'!F:F,MATCH($C425,'Policy Characteristics'!$C:$C,0))),"",INDEX('Policy Characteristics'!F:F,MATCH($C425,'Policy Characteristics'!$C:$C,0)))</f>
        <v>0</v>
      </c>
      <c r="M425" s="283">
        <f>IF(ISBLANK(INDEX('Policy Characteristics'!G:G,MATCH($C425,'Policy Characteristics'!$C:$C,0))),"",INDEX('Policy Characteristics'!G:G,MATCH($C425,'Policy Characteristics'!$C:$C,0)))</f>
        <v>0.95</v>
      </c>
      <c r="N425" s="283">
        <f>IF(ISBLANK(INDEX('Policy Characteristics'!H:H,MATCH($C425,'Policy Characteristics'!$C:$C,0))),"",INDEX('Policy Characteristics'!H:H,MATCH($C425,'Policy Characteristics'!$C:$C,0)))</f>
        <v>0.01</v>
      </c>
      <c r="O425" s="275" t="str">
        <f>IF(ISBLANK(INDEX('Policy Characteristics'!I:I,MATCH($C425,'Policy Characteristics'!$C:$C,0))),"",INDEX('Policy Characteristics'!I:I,MATCH($C425,'Policy Characteristics'!$C:$C,0)))</f>
        <v>% of construction cost</v>
      </c>
      <c r="P425" s="275" t="str">
        <f>IF(ISBLANK(INDEX('Policy Characteristics'!J:J,MATCH($C425,'Policy Characteristics'!$C:$C,0))),"",INDEX('Policy Characteristics'!J:J,MATCH($C425,'Policy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5" s="275" t="str">
        <f>IF(ISBLANK(INDEX('Policy Characteristics'!K:K,MATCH($C425,'Policy Characteristics'!$C:$C,0))),"",INDEX('Policy Characteristics'!K:K,MATCH($C425,'Policy Characteristics'!$C:$C,0)))</f>
        <v>electricity-sector-main.html#subsidies</v>
      </c>
      <c r="R425" s="275" t="str">
        <f>IF(ISBLANK(INDEX('Policy Characteristics'!L:L,MATCH($C425,'Policy Characteristics'!$C:$C,0))),"",INDEX('Policy Characteristics'!L:L,MATCH($C425,'Policy Characteristics'!$C:$C,0)))</f>
        <v/>
      </c>
    </row>
    <row r="426" spans="1:18" s="2" customFormat="1" x14ac:dyDescent="0.25">
      <c r="A426" s="275" t="str">
        <f>IF(ISBLANK(INDEX('Policy Characteristics'!A:A,MATCH($C426,'Policy Characteristics'!$C:$C,0))),"",INDEX('Policy Characteristics'!A:A,MATCH($C426,'Policy Characteristics'!$C:$C,0)))</f>
        <v>Electricity Supply</v>
      </c>
      <c r="B426" s="284" t="str">
        <f>IF(ISBLANK(INDEX('Policy Characteristics'!B:B,MATCH($C426,'Policy Characteristics'!$C:$C,0))),"",INDEX('Policy Characteristics'!B:B,MATCH($C426,'Policy Characteristics'!$C:$C,0)))</f>
        <v>Subsidy for Capacity Construction</v>
      </c>
      <c r="C426" s="340" t="str">
        <f t="shared" si="25"/>
        <v>Perc Subsidy for Elec Capacity Construction</v>
      </c>
      <c r="D426" s="6" t="s">
        <v>445</v>
      </c>
      <c r="E426" s="47"/>
      <c r="F426" s="6" t="s">
        <v>444</v>
      </c>
      <c r="G426" s="6"/>
      <c r="H426" s="49">
        <v>694</v>
      </c>
      <c r="I426" s="347" t="s">
        <v>44</v>
      </c>
      <c r="J426" s="276" t="str">
        <f>IF(ISBLANK(INDEX('Policy Characteristics'!D:D,MATCH($C426,'Policy Characteristics'!$C:$C,0))),"",INDEX('Policy Characteristics'!D:D,MATCH($C426,'Policy Characteristics'!$C:$C,0)))</f>
        <v>Subsidy for Capacity Construction</v>
      </c>
      <c r="K426" s="275" t="str">
        <f>IF(ISBLANK(INDEX('Policy Characteristics'!E:E,MATCH($C426,'Policy Characteristics'!$C:$C,0))),"",INDEX('Policy Characteristics'!E:E,MATCH($C426,'Policy Characteristics'!$C:$C,0)))</f>
        <v>elec capacity construction subsidy</v>
      </c>
      <c r="L426" s="283">
        <f>IF(ISBLANK(INDEX('Policy Characteristics'!F:F,MATCH($C426,'Policy Characteristics'!$C:$C,0))),"",INDEX('Policy Characteristics'!F:F,MATCH($C426,'Policy Characteristics'!$C:$C,0)))</f>
        <v>0</v>
      </c>
      <c r="M426" s="283">
        <f>IF(ISBLANK(INDEX('Policy Characteristics'!G:G,MATCH($C426,'Policy Characteristics'!$C:$C,0))),"",INDEX('Policy Characteristics'!G:G,MATCH($C426,'Policy Characteristics'!$C:$C,0)))</f>
        <v>0.95</v>
      </c>
      <c r="N426" s="283">
        <f>IF(ISBLANK(INDEX('Policy Characteristics'!H:H,MATCH($C426,'Policy Characteristics'!$C:$C,0))),"",INDEX('Policy Characteristics'!H:H,MATCH($C426,'Policy Characteristics'!$C:$C,0)))</f>
        <v>0.01</v>
      </c>
      <c r="O426" s="275" t="str">
        <f>IF(ISBLANK(INDEX('Policy Characteristics'!I:I,MATCH($C426,'Policy Characteristics'!$C:$C,0))),"",INDEX('Policy Characteristics'!I:I,MATCH($C426,'Policy Characteristics'!$C:$C,0)))</f>
        <v>% of construction cost</v>
      </c>
      <c r="P426" s="275" t="str">
        <f>IF(ISBLANK(INDEX('Policy Characteristics'!J:J,MATCH($C426,'Policy Characteristics'!$C:$C,0))),"",INDEX('Policy Characteristics'!J:J,MATCH($C426,'Policy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6" s="275" t="str">
        <f>IF(ISBLANK(INDEX('Policy Characteristics'!K:K,MATCH($C426,'Policy Characteristics'!$C:$C,0))),"",INDEX('Policy Characteristics'!K:K,MATCH($C426,'Policy Characteristics'!$C:$C,0)))</f>
        <v>electricity-sector-main.html#subsidies</v>
      </c>
      <c r="R426" s="275" t="str">
        <f>IF(ISBLANK(INDEX('Policy Characteristics'!L:L,MATCH($C426,'Policy Characteristics'!$C:$C,0))),"",INDEX('Policy Characteristics'!L:L,MATCH($C426,'Policy Characteristics'!$C:$C,0)))</f>
        <v/>
      </c>
    </row>
    <row r="427" spans="1:18" s="2" customFormat="1" x14ac:dyDescent="0.25">
      <c r="A427" s="275" t="str">
        <f>IF(ISBLANK(INDEX('Policy Characteristics'!A:A,MATCH($C427,'Policy Characteristics'!$C:$C,0))),"",INDEX('Policy Characteristics'!A:A,MATCH($C427,'Policy Characteristics'!$C:$C,0)))</f>
        <v>Electricity Supply</v>
      </c>
      <c r="B427" s="284" t="str">
        <f>IF(ISBLANK(INDEX('Policy Characteristics'!B:B,MATCH($C427,'Policy Characteristics'!$C:$C,0))),"",INDEX('Policy Characteristics'!B:B,MATCH($C427,'Policy Characteristics'!$C:$C,0)))</f>
        <v>Subsidy for Capacity Construction</v>
      </c>
      <c r="C427" s="340" t="str">
        <f t="shared" si="25"/>
        <v>Perc Subsidy for Elec Capacity Construction</v>
      </c>
      <c r="D427" s="6" t="s">
        <v>454</v>
      </c>
      <c r="E427" s="47"/>
      <c r="F427" s="6" t="s">
        <v>455</v>
      </c>
      <c r="H427" s="49">
        <v>522</v>
      </c>
      <c r="I427" s="347" t="s">
        <v>43</v>
      </c>
      <c r="J427" s="276" t="str">
        <f>IF(ISBLANK(INDEX('Policy Characteristics'!D:D,MATCH($C427,'Policy Characteristics'!$C:$C,0))),"",INDEX('Policy Characteristics'!D:D,MATCH($C427,'Policy Characteristics'!$C:$C,0)))</f>
        <v>Subsidy for Capacity Construction</v>
      </c>
      <c r="K427" s="275" t="str">
        <f>IF(ISBLANK(INDEX('Policy Characteristics'!E:E,MATCH($C427,'Policy Characteristics'!$C:$C,0))),"",INDEX('Policy Characteristics'!E:E,MATCH($C427,'Policy Characteristics'!$C:$C,0)))</f>
        <v>elec capacity construction subsidy</v>
      </c>
      <c r="L427" s="283">
        <f>IF(ISBLANK(INDEX('Policy Characteristics'!F:F,MATCH($C427,'Policy Characteristics'!$C:$C,0))),"",INDEX('Policy Characteristics'!F:F,MATCH($C427,'Policy Characteristics'!$C:$C,0)))</f>
        <v>0</v>
      </c>
      <c r="M427" s="283">
        <f>IF(ISBLANK(INDEX('Policy Characteristics'!G:G,MATCH($C427,'Policy Characteristics'!$C:$C,0))),"",INDEX('Policy Characteristics'!G:G,MATCH($C427,'Policy Characteristics'!$C:$C,0)))</f>
        <v>0.95</v>
      </c>
      <c r="N427" s="283">
        <f>IF(ISBLANK(INDEX('Policy Characteristics'!H:H,MATCH($C427,'Policy Characteristics'!$C:$C,0))),"",INDEX('Policy Characteristics'!H:H,MATCH($C427,'Policy Characteristics'!$C:$C,0)))</f>
        <v>0.01</v>
      </c>
      <c r="O427" s="275" t="str">
        <f>IF(ISBLANK(INDEX('Policy Characteristics'!I:I,MATCH($C427,'Policy Characteristics'!$C:$C,0))),"",INDEX('Policy Characteristics'!I:I,MATCH($C427,'Policy Characteristics'!$C:$C,0)))</f>
        <v>% of construction cost</v>
      </c>
      <c r="P427" s="275" t="str">
        <f>IF(ISBLANK(INDEX('Policy Characteristics'!J:J,MATCH($C427,'Policy Characteristics'!$C:$C,0))),"",INDEX('Policy Characteristics'!J:J,MATCH($C427,'Policy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7" s="275" t="str">
        <f>IF(ISBLANK(INDEX('Policy Characteristics'!K:K,MATCH($C427,'Policy Characteristics'!$C:$C,0))),"",INDEX('Policy Characteristics'!K:K,MATCH($C427,'Policy Characteristics'!$C:$C,0)))</f>
        <v>electricity-sector-main.html#subsidies</v>
      </c>
      <c r="R427" s="275" t="str">
        <f>IF(ISBLANK(INDEX('Policy Characteristics'!L:L,MATCH($C427,'Policy Characteristics'!$C:$C,0))),"",INDEX('Policy Characteristics'!L:L,MATCH($C427,'Policy Characteristics'!$C:$C,0)))</f>
        <v/>
      </c>
    </row>
    <row r="428" spans="1:18" s="2" customFormat="1" x14ac:dyDescent="0.25">
      <c r="A428" s="275" t="str">
        <f>IF(ISBLANK(INDEX('Policy Characteristics'!A:A,MATCH($C428,'Policy Characteristics'!$C:$C,0))),"",INDEX('Policy Characteristics'!A:A,MATCH($C428,'Policy Characteristics'!$C:$C,0)))</f>
        <v>Electricity Supply</v>
      </c>
      <c r="B428" s="284" t="str">
        <f>IF(ISBLANK(INDEX('Policy Characteristics'!B:B,MATCH($C428,'Policy Characteristics'!$C:$C,0))),"",INDEX('Policy Characteristics'!B:B,MATCH($C428,'Policy Characteristics'!$C:$C,0)))</f>
        <v>Subsidy for Capacity Construction</v>
      </c>
      <c r="C428" s="340" t="str">
        <f t="shared" si="25"/>
        <v>Perc Subsidy for Elec Capacity Construction</v>
      </c>
      <c r="D428" s="6" t="s">
        <v>2752</v>
      </c>
      <c r="E428" s="47"/>
      <c r="F428" s="6" t="s">
        <v>2471</v>
      </c>
      <c r="G428" s="6"/>
      <c r="H428" s="49">
        <v>695</v>
      </c>
      <c r="I428" s="347" t="s">
        <v>44</v>
      </c>
      <c r="J428" s="276" t="str">
        <f>IF(ISBLANK(INDEX('Policy Characteristics'!D:D,MATCH($C428,'Policy Characteristics'!$C:$C,0))),"",INDEX('Policy Characteristics'!D:D,MATCH($C428,'Policy Characteristics'!$C:$C,0)))</f>
        <v>Subsidy for Capacity Construction</v>
      </c>
      <c r="K428" s="275" t="str">
        <f>IF(ISBLANK(INDEX('Policy Characteristics'!E:E,MATCH($C428,'Policy Characteristics'!$C:$C,0))),"",INDEX('Policy Characteristics'!E:E,MATCH($C428,'Policy Characteristics'!$C:$C,0)))</f>
        <v>elec capacity construction subsidy</v>
      </c>
      <c r="L428" s="283">
        <f>IF(ISBLANK(INDEX('Policy Characteristics'!F:F,MATCH($C428,'Policy Characteristics'!$C:$C,0))),"",INDEX('Policy Characteristics'!F:F,MATCH($C428,'Policy Characteristics'!$C:$C,0)))</f>
        <v>0</v>
      </c>
      <c r="M428" s="283">
        <f>IF(ISBLANK(INDEX('Policy Characteristics'!G:G,MATCH($C428,'Policy Characteristics'!$C:$C,0))),"",INDEX('Policy Characteristics'!G:G,MATCH($C428,'Policy Characteristics'!$C:$C,0)))</f>
        <v>0.95</v>
      </c>
      <c r="N428" s="283">
        <f>IF(ISBLANK(INDEX('Policy Characteristics'!H:H,MATCH($C428,'Policy Characteristics'!$C:$C,0))),"",INDEX('Policy Characteristics'!H:H,MATCH($C428,'Policy Characteristics'!$C:$C,0)))</f>
        <v>0.01</v>
      </c>
      <c r="O428" s="275" t="str">
        <f>IF(ISBLANK(INDEX('Policy Characteristics'!I:I,MATCH($C428,'Policy Characteristics'!$C:$C,0))),"",INDEX('Policy Characteristics'!I:I,MATCH($C428,'Policy Characteristics'!$C:$C,0)))</f>
        <v>% of construction cost</v>
      </c>
      <c r="P428" s="275" t="str">
        <f>IF(ISBLANK(INDEX('Policy Characteristics'!J:J,MATCH($C428,'Policy Characteristics'!$C:$C,0))),"",INDEX('Policy Characteristics'!J:J,MATCH($C428,'Policy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8" s="275" t="str">
        <f>IF(ISBLANK(INDEX('Policy Characteristics'!K:K,MATCH($C428,'Policy Characteristics'!$C:$C,0))),"",INDEX('Policy Characteristics'!K:K,MATCH($C428,'Policy Characteristics'!$C:$C,0)))</f>
        <v>electricity-sector-main.html#subsidies</v>
      </c>
      <c r="R428" s="275" t="str">
        <f>IF(ISBLANK(INDEX('Policy Characteristics'!L:L,MATCH($C428,'Policy Characteristics'!$C:$C,0))),"",INDEX('Policy Characteristics'!L:L,MATCH($C428,'Policy Characteristics'!$C:$C,0)))</f>
        <v/>
      </c>
    </row>
    <row r="429" spans="1:18" s="2" customFormat="1" x14ac:dyDescent="0.25">
      <c r="A429" s="275" t="str">
        <f>IF(ISBLANK(INDEX('Policy Characteristics'!A:A,MATCH($C429,'Policy Characteristics'!$C:$C,0))),"",INDEX('Policy Characteristics'!A:A,MATCH($C429,'Policy Characteristics'!$C:$C,0)))</f>
        <v>Electricity Supply</v>
      </c>
      <c r="B429" s="284" t="str">
        <f>IF(ISBLANK(INDEX('Policy Characteristics'!B:B,MATCH($C429,'Policy Characteristics'!$C:$C,0))),"",INDEX('Policy Characteristics'!B:B,MATCH($C429,'Policy Characteristics'!$C:$C,0)))</f>
        <v>Subsidy for Capacity Construction</v>
      </c>
      <c r="C429" s="340" t="str">
        <f t="shared" si="25"/>
        <v>Perc Subsidy for Elec Capacity Construction</v>
      </c>
      <c r="D429" s="6" t="s">
        <v>2753</v>
      </c>
      <c r="E429" s="47"/>
      <c r="F429" s="6" t="s">
        <v>2595</v>
      </c>
      <c r="G429" s="6"/>
      <c r="H429" s="49">
        <v>696</v>
      </c>
      <c r="I429" s="347" t="s">
        <v>44</v>
      </c>
      <c r="J429" s="276" t="str">
        <f>IF(ISBLANK(INDEX('Policy Characteristics'!D:D,MATCH($C429,'Policy Characteristics'!$C:$C,0))),"",INDEX('Policy Characteristics'!D:D,MATCH($C429,'Policy Characteristics'!$C:$C,0)))</f>
        <v>Subsidy for Capacity Construction</v>
      </c>
      <c r="K429" s="275" t="str">
        <f>IF(ISBLANK(INDEX('Policy Characteristics'!E:E,MATCH($C429,'Policy Characteristics'!$C:$C,0))),"",INDEX('Policy Characteristics'!E:E,MATCH($C429,'Policy Characteristics'!$C:$C,0)))</f>
        <v>elec capacity construction subsidy</v>
      </c>
      <c r="L429" s="283">
        <f>IF(ISBLANK(INDEX('Policy Characteristics'!F:F,MATCH($C429,'Policy Characteristics'!$C:$C,0))),"",INDEX('Policy Characteristics'!F:F,MATCH($C429,'Policy Characteristics'!$C:$C,0)))</f>
        <v>0</v>
      </c>
      <c r="M429" s="283">
        <f>IF(ISBLANK(INDEX('Policy Characteristics'!G:G,MATCH($C429,'Policy Characteristics'!$C:$C,0))),"",INDEX('Policy Characteristics'!G:G,MATCH($C429,'Policy Characteristics'!$C:$C,0)))</f>
        <v>0.95</v>
      </c>
      <c r="N429" s="283">
        <f>IF(ISBLANK(INDEX('Policy Characteristics'!H:H,MATCH($C429,'Policy Characteristics'!$C:$C,0))),"",INDEX('Policy Characteristics'!H:H,MATCH($C429,'Policy Characteristics'!$C:$C,0)))</f>
        <v>0.01</v>
      </c>
      <c r="O429" s="275" t="str">
        <f>IF(ISBLANK(INDEX('Policy Characteristics'!I:I,MATCH($C429,'Policy Characteristics'!$C:$C,0))),"",INDEX('Policy Characteristics'!I:I,MATCH($C429,'Policy Characteristics'!$C:$C,0)))</f>
        <v>% of construction cost</v>
      </c>
      <c r="P429" s="275" t="str">
        <f>IF(ISBLANK(INDEX('Policy Characteristics'!J:J,MATCH($C429,'Policy Characteristics'!$C:$C,0))),"",INDEX('Policy Characteristics'!J:J,MATCH($C429,'Policy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9" s="275" t="str">
        <f>IF(ISBLANK(INDEX('Policy Characteristics'!K:K,MATCH($C429,'Policy Characteristics'!$C:$C,0))),"",INDEX('Policy Characteristics'!K:K,MATCH($C429,'Policy Characteristics'!$C:$C,0)))</f>
        <v>electricity-sector-main.html#subsidies</v>
      </c>
      <c r="R429" s="275" t="str">
        <f>IF(ISBLANK(INDEX('Policy Characteristics'!L:L,MATCH($C429,'Policy Characteristics'!$C:$C,0))),"",INDEX('Policy Characteristics'!L:L,MATCH($C429,'Policy Characteristics'!$C:$C,0)))</f>
        <v/>
      </c>
    </row>
    <row r="430" spans="1:18" s="2" customFormat="1" x14ac:dyDescent="0.25">
      <c r="A430" s="275" t="str">
        <f>IF(ISBLANK(INDEX('Policy Characteristics'!A:A,MATCH($C430,'Policy Characteristics'!$C:$C,0))),"",INDEX('Policy Characteristics'!A:A,MATCH($C430,'Policy Characteristics'!$C:$C,0)))</f>
        <v>Electricity Supply</v>
      </c>
      <c r="B430" s="284" t="str">
        <f>IF(ISBLANK(INDEX('Policy Characteristics'!B:B,MATCH($C430,'Policy Characteristics'!$C:$C,0))),"",INDEX('Policy Characteristics'!B:B,MATCH($C430,'Policy Characteristics'!$C:$C,0)))</f>
        <v>Subsidy for Capacity Construction</v>
      </c>
      <c r="C430" s="340" t="str">
        <f t="shared" si="25"/>
        <v>Perc Subsidy for Elec Capacity Construction</v>
      </c>
      <c r="D430" s="6" t="s">
        <v>2754</v>
      </c>
      <c r="E430" s="47"/>
      <c r="F430" s="6" t="s">
        <v>2473</v>
      </c>
      <c r="G430" s="6"/>
      <c r="H430" s="49">
        <v>697</v>
      </c>
      <c r="I430" s="347" t="s">
        <v>44</v>
      </c>
      <c r="J430" s="276" t="str">
        <f>IF(ISBLANK(INDEX('Policy Characteristics'!D:D,MATCH($C430,'Policy Characteristics'!$C:$C,0))),"",INDEX('Policy Characteristics'!D:D,MATCH($C430,'Policy Characteristics'!$C:$C,0)))</f>
        <v>Subsidy for Capacity Construction</v>
      </c>
      <c r="K430" s="275" t="str">
        <f>IF(ISBLANK(INDEX('Policy Characteristics'!E:E,MATCH($C430,'Policy Characteristics'!$C:$C,0))),"",INDEX('Policy Characteristics'!E:E,MATCH($C430,'Policy Characteristics'!$C:$C,0)))</f>
        <v>elec capacity construction subsidy</v>
      </c>
      <c r="L430" s="283">
        <f>IF(ISBLANK(INDEX('Policy Characteristics'!F:F,MATCH($C430,'Policy Characteristics'!$C:$C,0))),"",INDEX('Policy Characteristics'!F:F,MATCH($C430,'Policy Characteristics'!$C:$C,0)))</f>
        <v>0</v>
      </c>
      <c r="M430" s="283">
        <f>IF(ISBLANK(INDEX('Policy Characteristics'!G:G,MATCH($C430,'Policy Characteristics'!$C:$C,0))),"",INDEX('Policy Characteristics'!G:G,MATCH($C430,'Policy Characteristics'!$C:$C,0)))</f>
        <v>0.95</v>
      </c>
      <c r="N430" s="283">
        <f>IF(ISBLANK(INDEX('Policy Characteristics'!H:H,MATCH($C430,'Policy Characteristics'!$C:$C,0))),"",INDEX('Policy Characteristics'!H:H,MATCH($C430,'Policy Characteristics'!$C:$C,0)))</f>
        <v>0.01</v>
      </c>
      <c r="O430" s="275" t="str">
        <f>IF(ISBLANK(INDEX('Policy Characteristics'!I:I,MATCH($C430,'Policy Characteristics'!$C:$C,0))),"",INDEX('Policy Characteristics'!I:I,MATCH($C430,'Policy Characteristics'!$C:$C,0)))</f>
        <v>% of construction cost</v>
      </c>
      <c r="P430" s="275" t="str">
        <f>IF(ISBLANK(INDEX('Policy Characteristics'!J:J,MATCH($C430,'Policy Characteristics'!$C:$C,0))),"",INDEX('Policy Characteristics'!J:J,MATCH($C430,'Policy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0" s="275" t="str">
        <f>IF(ISBLANK(INDEX('Policy Characteristics'!K:K,MATCH($C430,'Policy Characteristics'!$C:$C,0))),"",INDEX('Policy Characteristics'!K:K,MATCH($C430,'Policy Characteristics'!$C:$C,0)))</f>
        <v>electricity-sector-main.html#subsidies</v>
      </c>
      <c r="R430" s="275" t="str">
        <f>IF(ISBLANK(INDEX('Policy Characteristics'!L:L,MATCH($C430,'Policy Characteristics'!$C:$C,0))),"",INDEX('Policy Characteristics'!L:L,MATCH($C430,'Policy Characteristics'!$C:$C,0)))</f>
        <v/>
      </c>
    </row>
    <row r="431" spans="1:18" s="2" customFormat="1" x14ac:dyDescent="0.25">
      <c r="A431" s="275" t="str">
        <f>IF(ISBLANK(INDEX('Policy Characteristics'!A:A,MATCH($C431,'Policy Characteristics'!$C:$C,0))),"",INDEX('Policy Characteristics'!A:A,MATCH($C431,'Policy Characteristics'!$C:$C,0)))</f>
        <v>Electricity Supply</v>
      </c>
      <c r="B431" s="284" t="str">
        <f>IF(ISBLANK(INDEX('Policy Characteristics'!B:B,MATCH($C431,'Policy Characteristics'!$C:$C,0))),"",INDEX('Policy Characteristics'!B:B,MATCH($C431,'Policy Characteristics'!$C:$C,0)))</f>
        <v>Subsidy for Capacity Construction</v>
      </c>
      <c r="C431" s="340" t="str">
        <f t="shared" si="25"/>
        <v>Perc Subsidy for Elec Capacity Construction</v>
      </c>
      <c r="D431" s="6" t="s">
        <v>3519</v>
      </c>
      <c r="E431" s="47"/>
      <c r="F431" s="6" t="s">
        <v>3526</v>
      </c>
      <c r="G431" s="6"/>
      <c r="H431" s="49">
        <v>1790</v>
      </c>
      <c r="I431" s="347" t="s">
        <v>43</v>
      </c>
      <c r="J431" s="276" t="str">
        <f>IF(ISBLANK(INDEX('Policy Characteristics'!D:D,MATCH($C431,'Policy Characteristics'!$C:$C,0))),"",INDEX('Policy Characteristics'!D:D,MATCH($C431,'Policy Characteristics'!$C:$C,0)))</f>
        <v>Subsidy for Capacity Construction</v>
      </c>
      <c r="K431" s="275" t="str">
        <f>IF(ISBLANK(INDEX('Policy Characteristics'!E:E,MATCH($C431,'Policy Characteristics'!$C:$C,0))),"",INDEX('Policy Characteristics'!E:E,MATCH($C431,'Policy Characteristics'!$C:$C,0)))</f>
        <v>elec capacity construction subsidy</v>
      </c>
      <c r="L431" s="283">
        <f>IF(ISBLANK(INDEX('Policy Characteristics'!F:F,MATCH($C431,'Policy Characteristics'!$C:$C,0))),"",INDEX('Policy Characteristics'!F:F,MATCH($C431,'Policy Characteristics'!$C:$C,0)))</f>
        <v>0</v>
      </c>
      <c r="M431" s="283">
        <f>IF(ISBLANK(INDEX('Policy Characteristics'!G:G,MATCH($C431,'Policy Characteristics'!$C:$C,0))),"",INDEX('Policy Characteristics'!G:G,MATCH($C431,'Policy Characteristics'!$C:$C,0)))</f>
        <v>0.95</v>
      </c>
      <c r="N431" s="283">
        <f>IF(ISBLANK(INDEX('Policy Characteristics'!H:H,MATCH($C431,'Policy Characteristics'!$C:$C,0))),"",INDEX('Policy Characteristics'!H:H,MATCH($C431,'Policy Characteristics'!$C:$C,0)))</f>
        <v>0.01</v>
      </c>
      <c r="O431" s="275" t="str">
        <f>IF(ISBLANK(INDEX('Policy Characteristics'!I:I,MATCH($C431,'Policy Characteristics'!$C:$C,0))),"",INDEX('Policy Characteristics'!I:I,MATCH($C431,'Policy Characteristics'!$C:$C,0)))</f>
        <v>% of construction cost</v>
      </c>
      <c r="P431" s="275" t="str">
        <f>IF(ISBLANK(INDEX('Policy Characteristics'!J:J,MATCH($C431,'Policy Characteristics'!$C:$C,0))),"",INDEX('Policy Characteristics'!J:J,MATCH($C431,'Policy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1" s="275" t="str">
        <f>IF(ISBLANK(INDEX('Policy Characteristics'!K:K,MATCH($C431,'Policy Characteristics'!$C:$C,0))),"",INDEX('Policy Characteristics'!K:K,MATCH($C431,'Policy Characteristics'!$C:$C,0)))</f>
        <v>electricity-sector-main.html#subsidies</v>
      </c>
      <c r="R431" s="275" t="str">
        <f>IF(ISBLANK(INDEX('Policy Characteristics'!L:L,MATCH($C431,'Policy Characteristics'!$C:$C,0))),"",INDEX('Policy Characteristics'!L:L,MATCH($C431,'Policy Characteristics'!$C:$C,0)))</f>
        <v/>
      </c>
    </row>
    <row r="432" spans="1:18" s="2" customFormat="1" x14ac:dyDescent="0.25">
      <c r="A432" s="275" t="str">
        <f>IF(ISBLANK(INDEX('Policy Characteristics'!A:A,MATCH($C432,'Policy Characteristics'!$C:$C,0))),"",INDEX('Policy Characteristics'!A:A,MATCH($C432,'Policy Characteristics'!$C:$C,0)))</f>
        <v>Electricity Supply</v>
      </c>
      <c r="B432" s="284" t="str">
        <f>IF(ISBLANK(INDEX('Policy Characteristics'!B:B,MATCH($C432,'Policy Characteristics'!$C:$C,0))),"",INDEX('Policy Characteristics'!B:B,MATCH($C432,'Policy Characteristics'!$C:$C,0)))</f>
        <v>Subsidy for Capacity Construction</v>
      </c>
      <c r="C432" s="340" t="str">
        <f t="shared" si="25"/>
        <v>Perc Subsidy for Elec Capacity Construction</v>
      </c>
      <c r="D432" s="6" t="s">
        <v>3522</v>
      </c>
      <c r="E432" s="47"/>
      <c r="F432" s="6" t="s">
        <v>3527</v>
      </c>
      <c r="G432" s="6"/>
      <c r="H432" s="49">
        <v>1791</v>
      </c>
      <c r="I432" s="347" t="s">
        <v>43</v>
      </c>
      <c r="J432" s="276" t="str">
        <f>IF(ISBLANK(INDEX('Policy Characteristics'!D:D,MATCH($C432,'Policy Characteristics'!$C:$C,0))),"",INDEX('Policy Characteristics'!D:D,MATCH($C432,'Policy Characteristics'!$C:$C,0)))</f>
        <v>Subsidy for Capacity Construction</v>
      </c>
      <c r="K432" s="275" t="str">
        <f>IF(ISBLANK(INDEX('Policy Characteristics'!E:E,MATCH($C432,'Policy Characteristics'!$C:$C,0))),"",INDEX('Policy Characteristics'!E:E,MATCH($C432,'Policy Characteristics'!$C:$C,0)))</f>
        <v>elec capacity construction subsidy</v>
      </c>
      <c r="L432" s="283">
        <f>IF(ISBLANK(INDEX('Policy Characteristics'!F:F,MATCH($C432,'Policy Characteristics'!$C:$C,0))),"",INDEX('Policy Characteristics'!F:F,MATCH($C432,'Policy Characteristics'!$C:$C,0)))</f>
        <v>0</v>
      </c>
      <c r="M432" s="283">
        <f>IF(ISBLANK(INDEX('Policy Characteristics'!G:G,MATCH($C432,'Policy Characteristics'!$C:$C,0))),"",INDEX('Policy Characteristics'!G:G,MATCH($C432,'Policy Characteristics'!$C:$C,0)))</f>
        <v>0.95</v>
      </c>
      <c r="N432" s="283">
        <f>IF(ISBLANK(INDEX('Policy Characteristics'!H:H,MATCH($C432,'Policy Characteristics'!$C:$C,0))),"",INDEX('Policy Characteristics'!H:H,MATCH($C432,'Policy Characteristics'!$C:$C,0)))</f>
        <v>0.01</v>
      </c>
      <c r="O432" s="275" t="str">
        <f>IF(ISBLANK(INDEX('Policy Characteristics'!I:I,MATCH($C432,'Policy Characteristics'!$C:$C,0))),"",INDEX('Policy Characteristics'!I:I,MATCH($C432,'Policy Characteristics'!$C:$C,0)))</f>
        <v>% of construction cost</v>
      </c>
      <c r="P432" s="275" t="str">
        <f>IF(ISBLANK(INDEX('Policy Characteristics'!J:J,MATCH($C432,'Policy Characteristics'!$C:$C,0))),"",INDEX('Policy Characteristics'!J:J,MATCH($C432,'Policy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2" s="275" t="str">
        <f>IF(ISBLANK(INDEX('Policy Characteristics'!K:K,MATCH($C432,'Policy Characteristics'!$C:$C,0))),"",INDEX('Policy Characteristics'!K:K,MATCH($C432,'Policy Characteristics'!$C:$C,0)))</f>
        <v>electricity-sector-main.html#subsidies</v>
      </c>
      <c r="R432" s="275" t="str">
        <f>IF(ISBLANK(INDEX('Policy Characteristics'!L:L,MATCH($C432,'Policy Characteristics'!$C:$C,0))),"",INDEX('Policy Characteristics'!L:L,MATCH($C432,'Policy Characteristics'!$C:$C,0)))</f>
        <v/>
      </c>
    </row>
    <row r="433" spans="1:19" s="2" customFormat="1" x14ac:dyDescent="0.25">
      <c r="A433" s="275" t="str">
        <f>IF(ISBLANK(INDEX('Policy Characteristics'!A:A,MATCH($C433,'Policy Characteristics'!$C:$C,0))),"",INDEX('Policy Characteristics'!A:A,MATCH($C433,'Policy Characteristics'!$C:$C,0)))</f>
        <v>Electricity Supply</v>
      </c>
      <c r="B433" s="284" t="str">
        <f>IF(ISBLANK(INDEX('Policy Characteristics'!B:B,MATCH($C433,'Policy Characteristics'!$C:$C,0))),"",INDEX('Policy Characteristics'!B:B,MATCH($C433,'Policy Characteristics'!$C:$C,0)))</f>
        <v>Subsidy for Capacity Construction</v>
      </c>
      <c r="C433" s="340" t="str">
        <f t="shared" si="25"/>
        <v>Perc Subsidy for Elec Capacity Construction</v>
      </c>
      <c r="D433" s="6" t="s">
        <v>3523</v>
      </c>
      <c r="E433" s="47"/>
      <c r="F433" s="6" t="s">
        <v>3528</v>
      </c>
      <c r="G433" s="6"/>
      <c r="H433" s="49">
        <v>1792</v>
      </c>
      <c r="I433" s="347" t="s">
        <v>43</v>
      </c>
      <c r="J433" s="276" t="str">
        <f>IF(ISBLANK(INDEX('Policy Characteristics'!D:D,MATCH($C433,'Policy Characteristics'!$C:$C,0))),"",INDEX('Policy Characteristics'!D:D,MATCH($C433,'Policy Characteristics'!$C:$C,0)))</f>
        <v>Subsidy for Capacity Construction</v>
      </c>
      <c r="K433" s="275" t="str">
        <f>IF(ISBLANK(INDEX('Policy Characteristics'!E:E,MATCH($C433,'Policy Characteristics'!$C:$C,0))),"",INDEX('Policy Characteristics'!E:E,MATCH($C433,'Policy Characteristics'!$C:$C,0)))</f>
        <v>elec capacity construction subsidy</v>
      </c>
      <c r="L433" s="283">
        <f>IF(ISBLANK(INDEX('Policy Characteristics'!F:F,MATCH($C433,'Policy Characteristics'!$C:$C,0))),"",INDEX('Policy Characteristics'!F:F,MATCH($C433,'Policy Characteristics'!$C:$C,0)))</f>
        <v>0</v>
      </c>
      <c r="M433" s="283">
        <f>IF(ISBLANK(INDEX('Policy Characteristics'!G:G,MATCH($C433,'Policy Characteristics'!$C:$C,0))),"",INDEX('Policy Characteristics'!G:G,MATCH($C433,'Policy Characteristics'!$C:$C,0)))</f>
        <v>0.95</v>
      </c>
      <c r="N433" s="283">
        <f>IF(ISBLANK(INDEX('Policy Characteristics'!H:H,MATCH($C433,'Policy Characteristics'!$C:$C,0))),"",INDEX('Policy Characteristics'!H:H,MATCH($C433,'Policy Characteristics'!$C:$C,0)))</f>
        <v>0.01</v>
      </c>
      <c r="O433" s="275" t="str">
        <f>IF(ISBLANK(INDEX('Policy Characteristics'!I:I,MATCH($C433,'Policy Characteristics'!$C:$C,0))),"",INDEX('Policy Characteristics'!I:I,MATCH($C433,'Policy Characteristics'!$C:$C,0)))</f>
        <v>% of construction cost</v>
      </c>
      <c r="P433" s="275" t="str">
        <f>IF(ISBLANK(INDEX('Policy Characteristics'!J:J,MATCH($C433,'Policy Characteristics'!$C:$C,0))),"",INDEX('Policy Characteristics'!J:J,MATCH($C433,'Policy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3" s="275" t="str">
        <f>IF(ISBLANK(INDEX('Policy Characteristics'!K:K,MATCH($C433,'Policy Characteristics'!$C:$C,0))),"",INDEX('Policy Characteristics'!K:K,MATCH($C433,'Policy Characteristics'!$C:$C,0)))</f>
        <v>electricity-sector-main.html#subsidies</v>
      </c>
      <c r="R433" s="275" t="str">
        <f>IF(ISBLANK(INDEX('Policy Characteristics'!L:L,MATCH($C433,'Policy Characteristics'!$C:$C,0))),"",INDEX('Policy Characteristics'!L:L,MATCH($C433,'Policy Characteristics'!$C:$C,0)))</f>
        <v/>
      </c>
    </row>
    <row r="434" spans="1:19" s="2" customFormat="1" x14ac:dyDescent="0.25">
      <c r="A434" s="275" t="str">
        <f>IF(ISBLANK(INDEX('Policy Characteristics'!A:A,MATCH($C434,'Policy Characteristics'!$C:$C,0))),"",INDEX('Policy Characteristics'!A:A,MATCH($C434,'Policy Characteristics'!$C:$C,0)))</f>
        <v>Electricity Supply</v>
      </c>
      <c r="B434" s="284" t="str">
        <f>IF(ISBLANK(INDEX('Policy Characteristics'!B:B,MATCH($C434,'Policy Characteristics'!$C:$C,0))),"",INDEX('Policy Characteristics'!B:B,MATCH($C434,'Policy Characteristics'!$C:$C,0)))</f>
        <v>Subsidy for Capacity Construction</v>
      </c>
      <c r="C434" s="340" t="str">
        <f t="shared" si="25"/>
        <v>Perc Subsidy for Elec Capacity Construction</v>
      </c>
      <c r="D434" s="6" t="s">
        <v>3524</v>
      </c>
      <c r="E434" s="47"/>
      <c r="F434" s="6" t="s">
        <v>3529</v>
      </c>
      <c r="G434" s="6"/>
      <c r="H434" s="49">
        <v>1793</v>
      </c>
      <c r="I434" s="347" t="s">
        <v>43</v>
      </c>
      <c r="J434" s="276" t="str">
        <f>IF(ISBLANK(INDEX('Policy Characteristics'!D:D,MATCH($C434,'Policy Characteristics'!$C:$C,0))),"",INDEX('Policy Characteristics'!D:D,MATCH($C434,'Policy Characteristics'!$C:$C,0)))</f>
        <v>Subsidy for Capacity Construction</v>
      </c>
      <c r="K434" s="275" t="str">
        <f>IF(ISBLANK(INDEX('Policy Characteristics'!E:E,MATCH($C434,'Policy Characteristics'!$C:$C,0))),"",INDEX('Policy Characteristics'!E:E,MATCH($C434,'Policy Characteristics'!$C:$C,0)))</f>
        <v>elec capacity construction subsidy</v>
      </c>
      <c r="L434" s="283">
        <f>IF(ISBLANK(INDEX('Policy Characteristics'!F:F,MATCH($C434,'Policy Characteristics'!$C:$C,0))),"",INDEX('Policy Characteristics'!F:F,MATCH($C434,'Policy Characteristics'!$C:$C,0)))</f>
        <v>0</v>
      </c>
      <c r="M434" s="283">
        <f>IF(ISBLANK(INDEX('Policy Characteristics'!G:G,MATCH($C434,'Policy Characteristics'!$C:$C,0))),"",INDEX('Policy Characteristics'!G:G,MATCH($C434,'Policy Characteristics'!$C:$C,0)))</f>
        <v>0.95</v>
      </c>
      <c r="N434" s="283">
        <f>IF(ISBLANK(INDEX('Policy Characteristics'!H:H,MATCH($C434,'Policy Characteristics'!$C:$C,0))),"",INDEX('Policy Characteristics'!H:H,MATCH($C434,'Policy Characteristics'!$C:$C,0)))</f>
        <v>0.01</v>
      </c>
      <c r="O434" s="275" t="str">
        <f>IF(ISBLANK(INDEX('Policy Characteristics'!I:I,MATCH($C434,'Policy Characteristics'!$C:$C,0))),"",INDEX('Policy Characteristics'!I:I,MATCH($C434,'Policy Characteristics'!$C:$C,0)))</f>
        <v>% of construction cost</v>
      </c>
      <c r="P434" s="275" t="str">
        <f>IF(ISBLANK(INDEX('Policy Characteristics'!J:J,MATCH($C434,'Policy Characteristics'!$C:$C,0))),"",INDEX('Policy Characteristics'!J:J,MATCH($C434,'Policy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4" s="275" t="str">
        <f>IF(ISBLANK(INDEX('Policy Characteristics'!K:K,MATCH($C434,'Policy Characteristics'!$C:$C,0))),"",INDEX('Policy Characteristics'!K:K,MATCH($C434,'Policy Characteristics'!$C:$C,0)))</f>
        <v>electricity-sector-main.html#subsidies</v>
      </c>
      <c r="R434" s="275" t="str">
        <f>IF(ISBLANK(INDEX('Policy Characteristics'!L:L,MATCH($C434,'Policy Characteristics'!$C:$C,0))),"",INDEX('Policy Characteristics'!L:L,MATCH($C434,'Policy Characteristics'!$C:$C,0)))</f>
        <v/>
      </c>
    </row>
    <row r="435" spans="1:19" s="2" customFormat="1" x14ac:dyDescent="0.25">
      <c r="A435" s="275" t="str">
        <f>IF(ISBLANK(INDEX('Policy Characteristics'!A:A,MATCH($C435,'Policy Characteristics'!$C:$C,0))),"",INDEX('Policy Characteristics'!A:A,MATCH($C435,'Policy Characteristics'!$C:$C,0)))</f>
        <v>Electricity Supply</v>
      </c>
      <c r="B435" s="284" t="str">
        <f>IF(ISBLANK(INDEX('Policy Characteristics'!B:B,MATCH($C435,'Policy Characteristics'!$C:$C,0))),"",INDEX('Policy Characteristics'!B:B,MATCH($C435,'Policy Characteristics'!$C:$C,0)))</f>
        <v>Subsidy for Capacity Construction</v>
      </c>
      <c r="C435" s="340" t="str">
        <f t="shared" si="25"/>
        <v>Perc Subsidy for Elec Capacity Construction</v>
      </c>
      <c r="D435" s="6" t="s">
        <v>3525</v>
      </c>
      <c r="E435" s="47"/>
      <c r="F435" s="6" t="s">
        <v>3530</v>
      </c>
      <c r="G435" s="6"/>
      <c r="H435" s="49">
        <v>1794</v>
      </c>
      <c r="I435" s="347" t="s">
        <v>43</v>
      </c>
      <c r="J435" s="276" t="str">
        <f>IF(ISBLANK(INDEX('Policy Characteristics'!D:D,MATCH($C435,'Policy Characteristics'!$C:$C,0))),"",INDEX('Policy Characteristics'!D:D,MATCH($C435,'Policy Characteristics'!$C:$C,0)))</f>
        <v>Subsidy for Capacity Construction</v>
      </c>
      <c r="K435" s="275" t="str">
        <f>IF(ISBLANK(INDEX('Policy Characteristics'!E:E,MATCH($C435,'Policy Characteristics'!$C:$C,0))),"",INDEX('Policy Characteristics'!E:E,MATCH($C435,'Policy Characteristics'!$C:$C,0)))</f>
        <v>elec capacity construction subsidy</v>
      </c>
      <c r="L435" s="283">
        <f>IF(ISBLANK(INDEX('Policy Characteristics'!F:F,MATCH($C435,'Policy Characteristics'!$C:$C,0))),"",INDEX('Policy Characteristics'!F:F,MATCH($C435,'Policy Characteristics'!$C:$C,0)))</f>
        <v>0</v>
      </c>
      <c r="M435" s="283">
        <f>IF(ISBLANK(INDEX('Policy Characteristics'!G:G,MATCH($C435,'Policy Characteristics'!$C:$C,0))),"",INDEX('Policy Characteristics'!G:G,MATCH($C435,'Policy Characteristics'!$C:$C,0)))</f>
        <v>0.95</v>
      </c>
      <c r="N435" s="283">
        <f>IF(ISBLANK(INDEX('Policy Characteristics'!H:H,MATCH($C435,'Policy Characteristics'!$C:$C,0))),"",INDEX('Policy Characteristics'!H:H,MATCH($C435,'Policy Characteristics'!$C:$C,0)))</f>
        <v>0.01</v>
      </c>
      <c r="O435" s="275" t="str">
        <f>IF(ISBLANK(INDEX('Policy Characteristics'!I:I,MATCH($C435,'Policy Characteristics'!$C:$C,0))),"",INDEX('Policy Characteristics'!I:I,MATCH($C435,'Policy Characteristics'!$C:$C,0)))</f>
        <v>% of construction cost</v>
      </c>
      <c r="P435" s="275" t="str">
        <f>IF(ISBLANK(INDEX('Policy Characteristics'!J:J,MATCH($C435,'Policy Characteristics'!$C:$C,0))),"",INDEX('Policy Characteristics'!J:J,MATCH($C435,'Policy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5" s="275" t="str">
        <f>IF(ISBLANK(INDEX('Policy Characteristics'!K:K,MATCH($C435,'Policy Characteristics'!$C:$C,0))),"",INDEX('Policy Characteristics'!K:K,MATCH($C435,'Policy Characteristics'!$C:$C,0)))</f>
        <v>electricity-sector-main.html#subsidies</v>
      </c>
      <c r="R435" s="275" t="str">
        <f>IF(ISBLANK(INDEX('Policy Characteristics'!L:L,MATCH($C435,'Policy Characteristics'!$C:$C,0))),"",INDEX('Policy Characteristics'!L:L,MATCH($C435,'Policy Characteristics'!$C:$C,0)))</f>
        <v/>
      </c>
    </row>
    <row r="436" spans="1:19" s="2" customFormat="1" x14ac:dyDescent="0.25">
      <c r="A436" s="275" t="str">
        <f>IF(ISBLANK(INDEX('Policy Characteristics'!A:A,MATCH($C436,'Policy Characteristics'!$C:$C,0))),"",INDEX('Policy Characteristics'!A:A,MATCH($C436,'Policy Characteristics'!$C:$C,0)))</f>
        <v>Electricity Supply</v>
      </c>
      <c r="B436" s="284" t="str">
        <f>IF(ISBLANK(INDEX('Policy Characteristics'!B:B,MATCH($C436,'Policy Characteristics'!$C:$C,0))),"",INDEX('Policy Characteristics'!B:B,MATCH($C436,'Policy Characteristics'!$C:$C,0)))</f>
        <v>Subsidy for Capacity Construction</v>
      </c>
      <c r="C436" s="340" t="str">
        <f t="shared" si="25"/>
        <v>Perc Subsidy for Elec Capacity Construction</v>
      </c>
      <c r="D436" s="6" t="s">
        <v>3616</v>
      </c>
      <c r="E436" s="47"/>
      <c r="F436" s="6" t="s">
        <v>3614</v>
      </c>
      <c r="G436" s="6"/>
      <c r="H436" s="49">
        <v>1795</v>
      </c>
      <c r="I436" s="347" t="s">
        <v>43</v>
      </c>
      <c r="J436" s="276" t="str">
        <f>IF(ISBLANK(INDEX('Policy Characteristics'!D:D,MATCH($C436,'Policy Characteristics'!$C:$C,0))),"",INDEX('Policy Characteristics'!D:D,MATCH($C436,'Policy Characteristics'!$C:$C,0)))</f>
        <v>Subsidy for Capacity Construction</v>
      </c>
      <c r="K436" s="275" t="str">
        <f>IF(ISBLANK(INDEX('Policy Characteristics'!E:E,MATCH($C436,'Policy Characteristics'!$C:$C,0))),"",INDEX('Policy Characteristics'!E:E,MATCH($C436,'Policy Characteristics'!$C:$C,0)))</f>
        <v>elec capacity construction subsidy</v>
      </c>
      <c r="L436" s="283">
        <f>IF(ISBLANK(INDEX('Policy Characteristics'!F:F,MATCH($C436,'Policy Characteristics'!$C:$C,0))),"",INDEX('Policy Characteristics'!F:F,MATCH($C436,'Policy Characteristics'!$C:$C,0)))</f>
        <v>0</v>
      </c>
      <c r="M436" s="283">
        <f>IF(ISBLANK(INDEX('Policy Characteristics'!G:G,MATCH($C436,'Policy Characteristics'!$C:$C,0))),"",INDEX('Policy Characteristics'!G:G,MATCH($C436,'Policy Characteristics'!$C:$C,0)))</f>
        <v>0.95</v>
      </c>
      <c r="N436" s="283">
        <f>IF(ISBLANK(INDEX('Policy Characteristics'!H:H,MATCH($C436,'Policy Characteristics'!$C:$C,0))),"",INDEX('Policy Characteristics'!H:H,MATCH($C436,'Policy Characteristics'!$C:$C,0)))</f>
        <v>0.01</v>
      </c>
      <c r="O436" s="275" t="str">
        <f>IF(ISBLANK(INDEX('Policy Characteristics'!I:I,MATCH($C436,'Policy Characteristics'!$C:$C,0))),"",INDEX('Policy Characteristics'!I:I,MATCH($C436,'Policy Characteristics'!$C:$C,0)))</f>
        <v>% of construction cost</v>
      </c>
      <c r="P436" s="275" t="str">
        <f>IF(ISBLANK(INDEX('Policy Characteristics'!J:J,MATCH($C436,'Policy Characteristics'!$C:$C,0))),"",INDEX('Policy Characteristics'!J:J,MATCH($C436,'Policy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6" s="275" t="str">
        <f>IF(ISBLANK(INDEX('Policy Characteristics'!K:K,MATCH($C436,'Policy Characteristics'!$C:$C,0))),"",INDEX('Policy Characteristics'!K:K,MATCH($C436,'Policy Characteristics'!$C:$C,0)))</f>
        <v>electricity-sector-main.html#subsidies</v>
      </c>
      <c r="R436" s="275" t="str">
        <f>IF(ISBLANK(INDEX('Policy Characteristics'!L:L,MATCH($C436,'Policy Characteristics'!$C:$C,0))),"",INDEX('Policy Characteristics'!L:L,MATCH($C436,'Policy Characteristics'!$C:$C,0)))</f>
        <v/>
      </c>
    </row>
    <row r="437" spans="1:19" s="2" customFormat="1" x14ac:dyDescent="0.25">
      <c r="A437" s="275" t="str">
        <f>IF(ISBLANK(INDEX('Policy Characteristics'!A:A,MATCH($C437,'Policy Characteristics'!$C:$C,0))),"",INDEX('Policy Characteristics'!A:A,MATCH($C437,'Policy Characteristics'!$C:$C,0)))</f>
        <v>Electricity Supply</v>
      </c>
      <c r="B437" s="284" t="str">
        <f>IF(ISBLANK(INDEX('Policy Characteristics'!B:B,MATCH($C437,'Policy Characteristics'!$C:$C,0))),"",INDEX('Policy Characteristics'!B:B,MATCH($C437,'Policy Characteristics'!$C:$C,0)))</f>
        <v>Subsidy for Capacity Construction</v>
      </c>
      <c r="C437" s="340" t="str">
        <f t="shared" si="25"/>
        <v>Perc Subsidy for Elec Capacity Construction</v>
      </c>
      <c r="D437" s="6" t="s">
        <v>3617</v>
      </c>
      <c r="E437" s="47"/>
      <c r="F437" s="6" t="s">
        <v>3615</v>
      </c>
      <c r="G437" s="6"/>
      <c r="H437" s="49">
        <v>2243</v>
      </c>
      <c r="I437" s="347" t="s">
        <v>43</v>
      </c>
      <c r="J437" s="276" t="str">
        <f>IF(ISBLANK(INDEX('Policy Characteristics'!D:D,MATCH($C437,'Policy Characteristics'!$C:$C,0))),"",INDEX('Policy Characteristics'!D:D,MATCH($C437,'Policy Characteristics'!$C:$C,0)))</f>
        <v>Subsidy for Capacity Construction</v>
      </c>
      <c r="K437" s="275" t="str">
        <f>IF(ISBLANK(INDEX('Policy Characteristics'!E:E,MATCH($C437,'Policy Characteristics'!$C:$C,0))),"",INDEX('Policy Characteristics'!E:E,MATCH($C437,'Policy Characteristics'!$C:$C,0)))</f>
        <v>elec capacity construction subsidy</v>
      </c>
      <c r="L437" s="283">
        <f>IF(ISBLANK(INDEX('Policy Characteristics'!F:F,MATCH($C437,'Policy Characteristics'!$C:$C,0))),"",INDEX('Policy Characteristics'!F:F,MATCH($C437,'Policy Characteristics'!$C:$C,0)))</f>
        <v>0</v>
      </c>
      <c r="M437" s="283">
        <f>IF(ISBLANK(INDEX('Policy Characteristics'!G:G,MATCH($C437,'Policy Characteristics'!$C:$C,0))),"",INDEX('Policy Characteristics'!G:G,MATCH($C437,'Policy Characteristics'!$C:$C,0)))</f>
        <v>0.95</v>
      </c>
      <c r="N437" s="283">
        <f>IF(ISBLANK(INDEX('Policy Characteristics'!H:H,MATCH($C437,'Policy Characteristics'!$C:$C,0))),"",INDEX('Policy Characteristics'!H:H,MATCH($C437,'Policy Characteristics'!$C:$C,0)))</f>
        <v>0.01</v>
      </c>
      <c r="O437" s="275" t="str">
        <f>IF(ISBLANK(INDEX('Policy Characteristics'!I:I,MATCH($C437,'Policy Characteristics'!$C:$C,0))),"",INDEX('Policy Characteristics'!I:I,MATCH($C437,'Policy Characteristics'!$C:$C,0)))</f>
        <v>% of construction cost</v>
      </c>
      <c r="P437" s="275" t="str">
        <f>IF(ISBLANK(INDEX('Policy Characteristics'!J:J,MATCH($C437,'Policy Characteristics'!$C:$C,0))),"",INDEX('Policy Characteristics'!J:J,MATCH($C437,'Policy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7" s="275" t="str">
        <f>IF(ISBLANK(INDEX('Policy Characteristics'!K:K,MATCH($C437,'Policy Characteristics'!$C:$C,0))),"",INDEX('Policy Characteristics'!K:K,MATCH($C437,'Policy Characteristics'!$C:$C,0)))</f>
        <v>electricity-sector-main.html#subsidies</v>
      </c>
      <c r="R437" s="275"/>
    </row>
    <row r="438" spans="1:19" s="4" customFormat="1" x14ac:dyDescent="0.25">
      <c r="A438" s="275" t="str">
        <f>IF(ISBLANK(INDEX('Policy Characteristics'!A:A,MATCH($C438,'Policy Characteristics'!$C:$C,0))),"",INDEX('Policy Characteristics'!A:A,MATCH($C438,'Policy Characteristics'!$C:$C,0)))</f>
        <v>Electricity Supply</v>
      </c>
      <c r="B438" s="284" t="str">
        <f>IF(ISBLANK(INDEX('Policy Characteristics'!B:B,MATCH($C438,'Policy Characteristics'!$C:$C,0))),"",INDEX('Policy Characteristics'!B:B,MATCH($C438,'Policy Characteristics'!$C:$C,0)))</f>
        <v>Subsidy for Electricity Production</v>
      </c>
      <c r="C438" t="s">
        <v>131</v>
      </c>
      <c r="D438" s="47" t="s">
        <v>448</v>
      </c>
      <c r="E438" s="47"/>
      <c r="F438" s="47" t="s">
        <v>447</v>
      </c>
      <c r="G438" s="336"/>
      <c r="H438" s="44">
        <v>1564</v>
      </c>
      <c r="I438" s="347" t="s">
        <v>44</v>
      </c>
      <c r="J438" s="276" t="str">
        <f>IF(ISBLANK(INDEX('Policy Characteristics'!D:D,MATCH($C438,'Policy Characteristics'!$C:$C,0))),"",INDEX('Policy Characteristics'!D:D,MATCH($C438,'Policy Characteristics'!$C:$C,0)))</f>
        <v>Subsidy for Electricity Production</v>
      </c>
      <c r="K438" s="275" t="str">
        <f>IF(ISBLANK(INDEX('Policy Characteristics'!E:E,MATCH($C438,'Policy Characteristics'!$C:$C,0))),"",INDEX('Policy Characteristics'!E:E,MATCH($C438,'Policy Characteristics'!$C:$C,0)))</f>
        <v>elec generation subsidy</v>
      </c>
      <c r="L438" s="275">
        <f>IF(ISBLANK(INDEX('Policy Characteristics'!F:F,MATCH($C438,'Policy Characteristics'!$C:$C,0))),"",INDEX('Policy Characteristics'!F:F,MATCH($C438,'Policy Characteristics'!$C:$C,0)))</f>
        <v>0</v>
      </c>
      <c r="M438" s="275">
        <f>IF(ISBLANK(INDEX('Policy Characteristics'!G:G,MATCH($C438,'Policy Characteristics'!$C:$C,0))),"",INDEX('Policy Characteristics'!G:G,MATCH($C438,'Policy Characteristics'!$C:$C,0)))</f>
        <v>60</v>
      </c>
      <c r="N438" s="275">
        <f>IF(ISBLANK(INDEX('Policy Characteristics'!H:H,MATCH($C438,'Policy Characteristics'!$C:$C,0))),"",INDEX('Policy Characteristics'!H:H,MATCH($C438,'Policy Characteristics'!$C:$C,0)))</f>
        <v>1</v>
      </c>
      <c r="O438" s="275" t="str">
        <f>IF(ISBLANK(INDEX('Policy Characteristics'!I:I,MATCH($C438,'Policy Characteristics'!$C:$C,0))),"",INDEX('Policy Characteristics'!I:I,MATCH($C438,'Policy Characteristics'!$C:$C,0)))</f>
        <v>$/MWh</v>
      </c>
      <c r="P438" s="275" t="str">
        <f>IF(ISBLANK(INDEX('Policy Characteristics'!J:J,MATCH($C438,'Policy Characteristics'!$C:$C,0))),"",INDEX('Policy Characteristics'!J:J,MATCH($C438,'Policy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38" s="275" t="str">
        <f>IF(ISBLANK(INDEX('Policy Characteristics'!K:K,MATCH($C438,'Policy Characteristics'!$C:$C,0))),"",INDEX('Policy Characteristics'!K:K,MATCH($C438,'Policy Characteristics'!$C:$C,0)))</f>
        <v>electricity-sector-main.html#subsidies</v>
      </c>
      <c r="R438" s="275" t="str">
        <f>IF(ISBLANK(INDEX('Policy Characteristics'!L:L,MATCH($C438,'Policy Characteristics'!$C:$C,0))),"",INDEX('Policy Characteristics'!L:L,MATCH($C438,'Policy Characteristics'!$C:$C,0)))</f>
        <v>subsidy-for-electricity-production.html</v>
      </c>
      <c r="S438" s="336"/>
    </row>
    <row r="439" spans="1:19" x14ac:dyDescent="0.25">
      <c r="A439" s="275" t="str">
        <f>IF(ISBLANK(INDEX('Policy Characteristics'!A:A,MATCH($C439,'Policy Characteristics'!$C:$C,0))),"",INDEX('Policy Characteristics'!A:A,MATCH($C439,'Policy Characteristics'!$C:$C,0)))</f>
        <v>Electricity Supply</v>
      </c>
      <c r="B439" s="284" t="str">
        <f>IF(ISBLANK(INDEX('Policy Characteristics'!B:B,MATCH($C439,'Policy Characteristics'!$C:$C,0))),"",INDEX('Policy Characteristics'!B:B,MATCH($C439,'Policy Characteristics'!$C:$C,0)))</f>
        <v>Subsidy for Electricity Production</v>
      </c>
      <c r="C439" s="275" t="str">
        <f t="shared" ref="C439:C461" si="26">$C$438</f>
        <v>Subsidy for Elec Production by Fuel</v>
      </c>
      <c r="D439" s="6" t="s">
        <v>3520</v>
      </c>
      <c r="E439" s="47"/>
      <c r="F439" s="6" t="s">
        <v>3453</v>
      </c>
      <c r="G439" s="336"/>
      <c r="H439" s="44">
        <v>1566</v>
      </c>
      <c r="I439" s="347" t="s">
        <v>44</v>
      </c>
      <c r="J439" s="276" t="str">
        <f>IF(ISBLANK(INDEX('Policy Characteristics'!D:D,MATCH($C439,'Policy Characteristics'!$C:$C,0))),"",INDEX('Policy Characteristics'!D:D,MATCH($C439,'Policy Characteristics'!$C:$C,0)))</f>
        <v>Subsidy for Electricity Production</v>
      </c>
      <c r="K439" s="275" t="str">
        <f>IF(ISBLANK(INDEX('Policy Characteristics'!E:E,MATCH($C439,'Policy Characteristics'!$C:$C,0))),"",INDEX('Policy Characteristics'!E:E,MATCH($C439,'Policy Characteristics'!$C:$C,0)))</f>
        <v>elec generation subsidy</v>
      </c>
      <c r="L439" s="275">
        <f>IF(ISBLANK(INDEX('Policy Characteristics'!F:F,MATCH($C439,'Policy Characteristics'!$C:$C,0))),"",INDEX('Policy Characteristics'!F:F,MATCH($C439,'Policy Characteristics'!$C:$C,0)))</f>
        <v>0</v>
      </c>
      <c r="M439" s="275">
        <f>IF(ISBLANK(INDEX('Policy Characteristics'!G:G,MATCH($C439,'Policy Characteristics'!$C:$C,0))),"",INDEX('Policy Characteristics'!G:G,MATCH($C439,'Policy Characteristics'!$C:$C,0)))</f>
        <v>60</v>
      </c>
      <c r="N439" s="275">
        <f>IF(ISBLANK(INDEX('Policy Characteristics'!H:H,MATCH($C439,'Policy Characteristics'!$C:$C,0))),"",INDEX('Policy Characteristics'!H:H,MATCH($C439,'Policy Characteristics'!$C:$C,0)))</f>
        <v>1</v>
      </c>
      <c r="O439" s="275" t="str">
        <f>IF(ISBLANK(INDEX('Policy Characteristics'!I:I,MATCH($C439,'Policy Characteristics'!$C:$C,0))),"",INDEX('Policy Characteristics'!I:I,MATCH($C439,'Policy Characteristics'!$C:$C,0)))</f>
        <v>$/MWh</v>
      </c>
      <c r="P439" s="275" t="str">
        <f>IF(ISBLANK(INDEX('Policy Characteristics'!J:J,MATCH($C439,'Policy Characteristics'!$C:$C,0))),"",INDEX('Policy Characteristics'!J:J,MATCH($C439,'Policy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39" s="275" t="str">
        <f>IF(ISBLANK(INDEX('Policy Characteristics'!K:K,MATCH($C439,'Policy Characteristics'!$C:$C,0))),"",INDEX('Policy Characteristics'!K:K,MATCH($C439,'Policy Characteristics'!$C:$C,0)))</f>
        <v>electricity-sector-main.html#subsidies</v>
      </c>
      <c r="R439" s="275" t="str">
        <f>IF(ISBLANK(INDEX('Policy Characteristics'!L:L,MATCH($C439,'Policy Characteristics'!$C:$C,0))),"",INDEX('Policy Characteristics'!L:L,MATCH($C439,'Policy Characteristics'!$C:$C,0)))</f>
        <v>subsidy-for-electricity-production.html</v>
      </c>
      <c r="S439" s="336"/>
    </row>
    <row r="440" spans="1:19" x14ac:dyDescent="0.25">
      <c r="A440" s="275" t="str">
        <f>IF(ISBLANK(INDEX('Policy Characteristics'!A:A,MATCH($C440,'Policy Characteristics'!$C:$C,0))),"",INDEX('Policy Characteristics'!A:A,MATCH($C440,'Policy Characteristics'!$C:$C,0)))</f>
        <v>Electricity Supply</v>
      </c>
      <c r="B440" s="284" t="str">
        <f>IF(ISBLANK(INDEX('Policy Characteristics'!B:B,MATCH($C440,'Policy Characteristics'!$C:$C,0))),"",INDEX('Policy Characteristics'!B:B,MATCH($C440,'Policy Characteristics'!$C:$C,0)))</f>
        <v>Subsidy for Electricity Production</v>
      </c>
      <c r="C440" s="275" t="str">
        <f t="shared" si="26"/>
        <v>Subsidy for Elec Production by Fuel</v>
      </c>
      <c r="D440" s="6" t="s">
        <v>3521</v>
      </c>
      <c r="E440" s="47"/>
      <c r="F440" s="6" t="s">
        <v>3454</v>
      </c>
      <c r="G440" s="336"/>
      <c r="H440" s="44">
        <v>1796</v>
      </c>
      <c r="I440" s="347" t="s">
        <v>44</v>
      </c>
      <c r="J440" s="276" t="str">
        <f>IF(ISBLANK(INDEX('Policy Characteristics'!D:D,MATCH($C440,'Policy Characteristics'!$C:$C,0))),"",INDEX('Policy Characteristics'!D:D,MATCH($C440,'Policy Characteristics'!$C:$C,0)))</f>
        <v>Subsidy for Electricity Production</v>
      </c>
      <c r="K440" s="275" t="str">
        <f>IF(ISBLANK(INDEX('Policy Characteristics'!E:E,MATCH($C440,'Policy Characteristics'!$C:$C,0))),"",INDEX('Policy Characteristics'!E:E,MATCH($C440,'Policy Characteristics'!$C:$C,0)))</f>
        <v>elec generation subsidy</v>
      </c>
      <c r="L440" s="275">
        <f>IF(ISBLANK(INDEX('Policy Characteristics'!F:F,MATCH($C440,'Policy Characteristics'!$C:$C,0))),"",INDEX('Policy Characteristics'!F:F,MATCH($C440,'Policy Characteristics'!$C:$C,0)))</f>
        <v>0</v>
      </c>
      <c r="M440" s="275">
        <f>IF(ISBLANK(INDEX('Policy Characteristics'!G:G,MATCH($C440,'Policy Characteristics'!$C:$C,0))),"",INDEX('Policy Characteristics'!G:G,MATCH($C440,'Policy Characteristics'!$C:$C,0)))</f>
        <v>60</v>
      </c>
      <c r="N440" s="275">
        <f>IF(ISBLANK(INDEX('Policy Characteristics'!H:H,MATCH($C440,'Policy Characteristics'!$C:$C,0))),"",INDEX('Policy Characteristics'!H:H,MATCH($C440,'Policy Characteristics'!$C:$C,0)))</f>
        <v>1</v>
      </c>
      <c r="O440" s="275" t="str">
        <f>IF(ISBLANK(INDEX('Policy Characteristics'!I:I,MATCH($C440,'Policy Characteristics'!$C:$C,0))),"",INDEX('Policy Characteristics'!I:I,MATCH($C440,'Policy Characteristics'!$C:$C,0)))</f>
        <v>$/MWh</v>
      </c>
      <c r="P440" s="275" t="str">
        <f>IF(ISBLANK(INDEX('Policy Characteristics'!J:J,MATCH($C440,'Policy Characteristics'!$C:$C,0))),"",INDEX('Policy Characteristics'!J:J,MATCH($C440,'Policy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0" s="275" t="str">
        <f>IF(ISBLANK(INDEX('Policy Characteristics'!K:K,MATCH($C440,'Policy Characteristics'!$C:$C,0))),"",INDEX('Policy Characteristics'!K:K,MATCH($C440,'Policy Characteristics'!$C:$C,0)))</f>
        <v>electricity-sector-main.html#subsidies</v>
      </c>
      <c r="R440" s="275" t="str">
        <f>IF(ISBLANK(INDEX('Policy Characteristics'!L:L,MATCH($C440,'Policy Characteristics'!$C:$C,0))),"",INDEX('Policy Characteristics'!L:L,MATCH($C440,'Policy Characteristics'!$C:$C,0)))</f>
        <v>subsidy-for-electricity-production.html</v>
      </c>
      <c r="S440" s="336"/>
    </row>
    <row r="441" spans="1:19" x14ac:dyDescent="0.25">
      <c r="A441" s="275" t="str">
        <f>IF(ISBLANK(INDEX('Policy Characteristics'!A:A,MATCH($C441,'Policy Characteristics'!$C:$C,0))),"",INDEX('Policy Characteristics'!A:A,MATCH($C441,'Policy Characteristics'!$C:$C,0)))</f>
        <v>Electricity Supply</v>
      </c>
      <c r="B441" s="284" t="str">
        <f>IF(ISBLANK(INDEX('Policy Characteristics'!B:B,MATCH($C441,'Policy Characteristics'!$C:$C,0))),"",INDEX('Policy Characteristics'!B:B,MATCH($C441,'Policy Characteristics'!$C:$C,0)))</f>
        <v>Subsidy for Electricity Production</v>
      </c>
      <c r="C441" s="275" t="str">
        <f t="shared" si="26"/>
        <v>Subsidy for Elec Production by Fuel</v>
      </c>
      <c r="D441" s="6" t="s">
        <v>76</v>
      </c>
      <c r="E441" s="47"/>
      <c r="F441" s="6" t="s">
        <v>3531</v>
      </c>
      <c r="G441" s="336"/>
      <c r="H441" s="44">
        <v>1568</v>
      </c>
      <c r="I441" s="346" t="s">
        <v>43</v>
      </c>
      <c r="J441" s="276" t="str">
        <f>IF(ISBLANK(INDEX('Policy Characteristics'!D:D,MATCH($C441,'Policy Characteristics'!$C:$C,0))),"",INDEX('Policy Characteristics'!D:D,MATCH($C441,'Policy Characteristics'!$C:$C,0)))</f>
        <v>Subsidy for Electricity Production</v>
      </c>
      <c r="K441" s="275" t="str">
        <f>IF(ISBLANK(INDEX('Policy Characteristics'!E:E,MATCH($C441,'Policy Characteristics'!$C:$C,0))),"",INDEX('Policy Characteristics'!E:E,MATCH($C441,'Policy Characteristics'!$C:$C,0)))</f>
        <v>elec generation subsidy</v>
      </c>
      <c r="L441" s="275">
        <f>IF(ISBLANK(INDEX('Policy Characteristics'!F:F,MATCH($C441,'Policy Characteristics'!$C:$C,0))),"",INDEX('Policy Characteristics'!F:F,MATCH($C441,'Policy Characteristics'!$C:$C,0)))</f>
        <v>0</v>
      </c>
      <c r="M441" s="275">
        <f>IF(ISBLANK(INDEX('Policy Characteristics'!G:G,MATCH($C441,'Policy Characteristics'!$C:$C,0))),"",INDEX('Policy Characteristics'!G:G,MATCH($C441,'Policy Characteristics'!$C:$C,0)))</f>
        <v>60</v>
      </c>
      <c r="N441" s="275">
        <f>IF(ISBLANK(INDEX('Policy Characteristics'!H:H,MATCH($C441,'Policy Characteristics'!$C:$C,0))),"",INDEX('Policy Characteristics'!H:H,MATCH($C441,'Policy Characteristics'!$C:$C,0)))</f>
        <v>1</v>
      </c>
      <c r="O441" s="275" t="str">
        <f>IF(ISBLANK(INDEX('Policy Characteristics'!I:I,MATCH($C441,'Policy Characteristics'!$C:$C,0))),"",INDEX('Policy Characteristics'!I:I,MATCH($C441,'Policy Characteristics'!$C:$C,0)))</f>
        <v>$/MWh</v>
      </c>
      <c r="P441" s="275" t="str">
        <f>IF(ISBLANK(INDEX('Policy Characteristics'!J:J,MATCH($C441,'Policy Characteristics'!$C:$C,0))),"",INDEX('Policy Characteristics'!J:J,MATCH($C441,'Policy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1" s="275" t="str">
        <f>IF(ISBLANK(INDEX('Policy Characteristics'!K:K,MATCH($C441,'Policy Characteristics'!$C:$C,0))),"",INDEX('Policy Characteristics'!K:K,MATCH($C441,'Policy Characteristics'!$C:$C,0)))</f>
        <v>electricity-sector-main.html#subsidies</v>
      </c>
      <c r="R441" s="275" t="str">
        <f>IF(ISBLANK(INDEX('Policy Characteristics'!L:L,MATCH($C441,'Policy Characteristics'!$C:$C,0))),"",INDEX('Policy Characteristics'!L:L,MATCH($C441,'Policy Characteristics'!$C:$C,0)))</f>
        <v>subsidy-for-electricity-production.html</v>
      </c>
      <c r="S441" s="336"/>
    </row>
    <row r="442" spans="1:19" x14ac:dyDescent="0.25">
      <c r="A442" s="275" t="str">
        <f>IF(ISBLANK(INDEX('Policy Characteristics'!A:A,MATCH($C442,'Policy Characteristics'!$C:$C,0))),"",INDEX('Policy Characteristics'!A:A,MATCH($C442,'Policy Characteristics'!$C:$C,0)))</f>
        <v>Electricity Supply</v>
      </c>
      <c r="B442" s="284" t="str">
        <f>IF(ISBLANK(INDEX('Policy Characteristics'!B:B,MATCH($C442,'Policy Characteristics'!$C:$C,0))),"",INDEX('Policy Characteristics'!B:B,MATCH($C442,'Policy Characteristics'!$C:$C,0)))</f>
        <v>Subsidy for Electricity Production</v>
      </c>
      <c r="C442" s="275" t="str">
        <f t="shared" si="26"/>
        <v>Subsidy for Elec Production by Fuel</v>
      </c>
      <c r="D442" s="6" t="s">
        <v>77</v>
      </c>
      <c r="E442" s="47"/>
      <c r="F442" s="6" t="s">
        <v>89</v>
      </c>
      <c r="G442" s="336"/>
      <c r="H442" s="44">
        <v>1570</v>
      </c>
      <c r="I442" s="346" t="s">
        <v>43</v>
      </c>
      <c r="J442" s="276" t="str">
        <f>IF(ISBLANK(INDEX('Policy Characteristics'!D:D,MATCH($C442,'Policy Characteristics'!$C:$C,0))),"",INDEX('Policy Characteristics'!D:D,MATCH($C442,'Policy Characteristics'!$C:$C,0)))</f>
        <v>Subsidy for Electricity Production</v>
      </c>
      <c r="K442" s="275" t="str">
        <f>IF(ISBLANK(INDEX('Policy Characteristics'!E:E,MATCH($C442,'Policy Characteristics'!$C:$C,0))),"",INDEX('Policy Characteristics'!E:E,MATCH($C442,'Policy Characteristics'!$C:$C,0)))</f>
        <v>elec generation subsidy</v>
      </c>
      <c r="L442" s="275">
        <f>IF(ISBLANK(INDEX('Policy Characteristics'!F:F,MATCH($C442,'Policy Characteristics'!$C:$C,0))),"",INDEX('Policy Characteristics'!F:F,MATCH($C442,'Policy Characteristics'!$C:$C,0)))</f>
        <v>0</v>
      </c>
      <c r="M442" s="275">
        <f>IF(ISBLANK(INDEX('Policy Characteristics'!G:G,MATCH($C442,'Policy Characteristics'!$C:$C,0))),"",INDEX('Policy Characteristics'!G:G,MATCH($C442,'Policy Characteristics'!$C:$C,0)))</f>
        <v>60</v>
      </c>
      <c r="N442" s="275">
        <f>IF(ISBLANK(INDEX('Policy Characteristics'!H:H,MATCH($C442,'Policy Characteristics'!$C:$C,0))),"",INDEX('Policy Characteristics'!H:H,MATCH($C442,'Policy Characteristics'!$C:$C,0)))</f>
        <v>1</v>
      </c>
      <c r="O442" s="275" t="str">
        <f>IF(ISBLANK(INDEX('Policy Characteristics'!I:I,MATCH($C442,'Policy Characteristics'!$C:$C,0))),"",INDEX('Policy Characteristics'!I:I,MATCH($C442,'Policy Characteristics'!$C:$C,0)))</f>
        <v>$/MWh</v>
      </c>
      <c r="P442" s="275" t="str">
        <f>IF(ISBLANK(INDEX('Policy Characteristics'!J:J,MATCH($C442,'Policy Characteristics'!$C:$C,0))),"",INDEX('Policy Characteristics'!J:J,MATCH($C442,'Policy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2" s="275" t="str">
        <f>IF(ISBLANK(INDEX('Policy Characteristics'!K:K,MATCH($C442,'Policy Characteristics'!$C:$C,0))),"",INDEX('Policy Characteristics'!K:K,MATCH($C442,'Policy Characteristics'!$C:$C,0)))</f>
        <v>electricity-sector-main.html#subsidies</v>
      </c>
      <c r="R442" s="275" t="str">
        <f>IF(ISBLANK(INDEX('Policy Characteristics'!L:L,MATCH($C442,'Policy Characteristics'!$C:$C,0))),"",INDEX('Policy Characteristics'!L:L,MATCH($C442,'Policy Characteristics'!$C:$C,0)))</f>
        <v>subsidy-for-electricity-production.html</v>
      </c>
      <c r="S442" s="336"/>
    </row>
    <row r="443" spans="1:19" x14ac:dyDescent="0.25">
      <c r="A443" s="275" t="str">
        <f>IF(ISBLANK(INDEX('Policy Characteristics'!A:A,MATCH($C443,'Policy Characteristics'!$C:$C,0))),"",INDEX('Policy Characteristics'!A:A,MATCH($C443,'Policy Characteristics'!$C:$C,0)))</f>
        <v>Electricity Supply</v>
      </c>
      <c r="B443" s="284" t="str">
        <f>IF(ISBLANK(INDEX('Policy Characteristics'!B:B,MATCH($C443,'Policy Characteristics'!$C:$C,0))),"",INDEX('Policy Characteristics'!B:B,MATCH($C443,'Policy Characteristics'!$C:$C,0)))</f>
        <v>Subsidy for Electricity Production</v>
      </c>
      <c r="C443" s="275" t="str">
        <f t="shared" si="26"/>
        <v>Subsidy for Elec Production by Fuel</v>
      </c>
      <c r="D443" s="6" t="s">
        <v>449</v>
      </c>
      <c r="E443" s="47"/>
      <c r="F443" s="6" t="s">
        <v>452</v>
      </c>
      <c r="G443" s="336"/>
      <c r="H443" s="44">
        <v>1572</v>
      </c>
      <c r="I443" s="346" t="s">
        <v>43</v>
      </c>
      <c r="J443" s="276" t="str">
        <f>IF(ISBLANK(INDEX('Policy Characteristics'!D:D,MATCH($C443,'Policy Characteristics'!$C:$C,0))),"",INDEX('Policy Characteristics'!D:D,MATCH($C443,'Policy Characteristics'!$C:$C,0)))</f>
        <v>Subsidy for Electricity Production</v>
      </c>
      <c r="K443" s="275" t="str">
        <f>IF(ISBLANK(INDEX('Policy Characteristics'!E:E,MATCH($C443,'Policy Characteristics'!$C:$C,0))),"",INDEX('Policy Characteristics'!E:E,MATCH($C443,'Policy Characteristics'!$C:$C,0)))</f>
        <v>elec generation subsidy</v>
      </c>
      <c r="L443" s="275">
        <f>IF(ISBLANK(INDEX('Policy Characteristics'!F:F,MATCH($C443,'Policy Characteristics'!$C:$C,0))),"",INDEX('Policy Characteristics'!F:F,MATCH($C443,'Policy Characteristics'!$C:$C,0)))</f>
        <v>0</v>
      </c>
      <c r="M443" s="275">
        <f>IF(ISBLANK(INDEX('Policy Characteristics'!G:G,MATCH($C443,'Policy Characteristics'!$C:$C,0))),"",INDEX('Policy Characteristics'!G:G,MATCH($C443,'Policy Characteristics'!$C:$C,0)))</f>
        <v>60</v>
      </c>
      <c r="N443" s="275">
        <f>IF(ISBLANK(INDEX('Policy Characteristics'!H:H,MATCH($C443,'Policy Characteristics'!$C:$C,0))),"",INDEX('Policy Characteristics'!H:H,MATCH($C443,'Policy Characteristics'!$C:$C,0)))</f>
        <v>1</v>
      </c>
      <c r="O443" s="275" t="str">
        <f>IF(ISBLANK(INDEX('Policy Characteristics'!I:I,MATCH($C443,'Policy Characteristics'!$C:$C,0))),"",INDEX('Policy Characteristics'!I:I,MATCH($C443,'Policy Characteristics'!$C:$C,0)))</f>
        <v>$/MWh</v>
      </c>
      <c r="P443" s="275" t="str">
        <f>IF(ISBLANK(INDEX('Policy Characteristics'!J:J,MATCH($C443,'Policy Characteristics'!$C:$C,0))),"",INDEX('Policy Characteristics'!J:J,MATCH($C443,'Policy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3" s="275" t="str">
        <f>IF(ISBLANK(INDEX('Policy Characteristics'!K:K,MATCH($C443,'Policy Characteristics'!$C:$C,0))),"",INDEX('Policy Characteristics'!K:K,MATCH($C443,'Policy Characteristics'!$C:$C,0)))</f>
        <v>electricity-sector-main.html#subsidies</v>
      </c>
      <c r="R443" s="275" t="str">
        <f>IF(ISBLANK(INDEX('Policy Characteristics'!L:L,MATCH($C443,'Policy Characteristics'!$C:$C,0))),"",INDEX('Policy Characteristics'!L:L,MATCH($C443,'Policy Characteristics'!$C:$C,0)))</f>
        <v>subsidy-for-electricity-production.html</v>
      </c>
      <c r="S443" s="336"/>
    </row>
    <row r="444" spans="1:19" x14ac:dyDescent="0.25">
      <c r="A444" s="275" t="str">
        <f>IF(ISBLANK(INDEX('Policy Characteristics'!A:A,MATCH($C444,'Policy Characteristics'!$C:$C,0))),"",INDEX('Policy Characteristics'!A:A,MATCH($C444,'Policy Characteristics'!$C:$C,0)))</f>
        <v>Electricity Supply</v>
      </c>
      <c r="B444" s="284" t="str">
        <f>IF(ISBLANK(INDEX('Policy Characteristics'!B:B,MATCH($C444,'Policy Characteristics'!$C:$C,0))),"",INDEX('Policy Characteristics'!B:B,MATCH($C444,'Policy Characteristics'!$C:$C,0)))</f>
        <v>Subsidy for Electricity Production</v>
      </c>
      <c r="C444" s="275" t="str">
        <f t="shared" si="26"/>
        <v>Subsidy for Elec Production by Fuel</v>
      </c>
      <c r="D444" s="6" t="s">
        <v>78</v>
      </c>
      <c r="E444" s="47"/>
      <c r="F444" s="6" t="s">
        <v>90</v>
      </c>
      <c r="G444" s="336"/>
      <c r="H444" s="44">
        <v>1574</v>
      </c>
      <c r="I444" s="346" t="s">
        <v>43</v>
      </c>
      <c r="J444" s="276" t="str">
        <f>IF(ISBLANK(INDEX('Policy Characteristics'!D:D,MATCH($C444,'Policy Characteristics'!$C:$C,0))),"",INDEX('Policy Characteristics'!D:D,MATCH($C444,'Policy Characteristics'!$C:$C,0)))</f>
        <v>Subsidy for Electricity Production</v>
      </c>
      <c r="K444" s="275" t="str">
        <f>IF(ISBLANK(INDEX('Policy Characteristics'!E:E,MATCH($C444,'Policy Characteristics'!$C:$C,0))),"",INDEX('Policy Characteristics'!E:E,MATCH($C444,'Policy Characteristics'!$C:$C,0)))</f>
        <v>elec generation subsidy</v>
      </c>
      <c r="L444" s="275">
        <f>IF(ISBLANK(INDEX('Policy Characteristics'!F:F,MATCH($C444,'Policy Characteristics'!$C:$C,0))),"",INDEX('Policy Characteristics'!F:F,MATCH($C444,'Policy Characteristics'!$C:$C,0)))</f>
        <v>0</v>
      </c>
      <c r="M444" s="275">
        <f>IF(ISBLANK(INDEX('Policy Characteristics'!G:G,MATCH($C444,'Policy Characteristics'!$C:$C,0))),"",INDEX('Policy Characteristics'!G:G,MATCH($C444,'Policy Characteristics'!$C:$C,0)))</f>
        <v>60</v>
      </c>
      <c r="N444" s="275">
        <f>IF(ISBLANK(INDEX('Policy Characteristics'!H:H,MATCH($C444,'Policy Characteristics'!$C:$C,0))),"",INDEX('Policy Characteristics'!H:H,MATCH($C444,'Policy Characteristics'!$C:$C,0)))</f>
        <v>1</v>
      </c>
      <c r="O444" s="275" t="str">
        <f>IF(ISBLANK(INDEX('Policy Characteristics'!I:I,MATCH($C444,'Policy Characteristics'!$C:$C,0))),"",INDEX('Policy Characteristics'!I:I,MATCH($C444,'Policy Characteristics'!$C:$C,0)))</f>
        <v>$/MWh</v>
      </c>
      <c r="P444" s="275" t="str">
        <f>IF(ISBLANK(INDEX('Policy Characteristics'!J:J,MATCH($C444,'Policy Characteristics'!$C:$C,0))),"",INDEX('Policy Characteristics'!J:J,MATCH($C444,'Policy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4" s="275" t="str">
        <f>IF(ISBLANK(INDEX('Policy Characteristics'!K:K,MATCH($C444,'Policy Characteristics'!$C:$C,0))),"",INDEX('Policy Characteristics'!K:K,MATCH($C444,'Policy Characteristics'!$C:$C,0)))</f>
        <v>electricity-sector-main.html#subsidies</v>
      </c>
      <c r="R444" s="275" t="str">
        <f>IF(ISBLANK(INDEX('Policy Characteristics'!L:L,MATCH($C444,'Policy Characteristics'!$C:$C,0))),"",INDEX('Policy Characteristics'!L:L,MATCH($C444,'Policy Characteristics'!$C:$C,0)))</f>
        <v>subsidy-for-electricity-production.html</v>
      </c>
      <c r="S444" s="336"/>
    </row>
    <row r="445" spans="1:19" x14ac:dyDescent="0.25">
      <c r="A445" s="275" t="str">
        <f>IF(ISBLANK(INDEX('Policy Characteristics'!A:A,MATCH($C445,'Policy Characteristics'!$C:$C,0))),"",INDEX('Policy Characteristics'!A:A,MATCH($C445,'Policy Characteristics'!$C:$C,0)))</f>
        <v>Electricity Supply</v>
      </c>
      <c r="B445" s="284" t="str">
        <f>IF(ISBLANK(INDEX('Policy Characteristics'!B:B,MATCH($C445,'Policy Characteristics'!$C:$C,0))),"",INDEX('Policy Characteristics'!B:B,MATCH($C445,'Policy Characteristics'!$C:$C,0)))</f>
        <v>Subsidy for Electricity Production</v>
      </c>
      <c r="C445" s="275" t="str">
        <f t="shared" si="26"/>
        <v>Subsidy for Elec Production by Fuel</v>
      </c>
      <c r="D445" s="6" t="s">
        <v>79</v>
      </c>
      <c r="E445" s="47"/>
      <c r="F445" s="6" t="s">
        <v>91</v>
      </c>
      <c r="G445" s="336"/>
      <c r="H445" s="44">
        <v>1576</v>
      </c>
      <c r="I445" s="346" t="s">
        <v>43</v>
      </c>
      <c r="J445" s="276" t="str">
        <f>IF(ISBLANK(INDEX('Policy Characteristics'!D:D,MATCH($C445,'Policy Characteristics'!$C:$C,0))),"",INDEX('Policy Characteristics'!D:D,MATCH($C445,'Policy Characteristics'!$C:$C,0)))</f>
        <v>Subsidy for Electricity Production</v>
      </c>
      <c r="K445" s="275" t="str">
        <f>IF(ISBLANK(INDEX('Policy Characteristics'!E:E,MATCH($C445,'Policy Characteristics'!$C:$C,0))),"",INDEX('Policy Characteristics'!E:E,MATCH($C445,'Policy Characteristics'!$C:$C,0)))</f>
        <v>elec generation subsidy</v>
      </c>
      <c r="L445" s="275">
        <f>IF(ISBLANK(INDEX('Policy Characteristics'!F:F,MATCH($C445,'Policy Characteristics'!$C:$C,0))),"",INDEX('Policy Characteristics'!F:F,MATCH($C445,'Policy Characteristics'!$C:$C,0)))</f>
        <v>0</v>
      </c>
      <c r="M445" s="275">
        <f>IF(ISBLANK(INDEX('Policy Characteristics'!G:G,MATCH($C445,'Policy Characteristics'!$C:$C,0))),"",INDEX('Policy Characteristics'!G:G,MATCH($C445,'Policy Characteristics'!$C:$C,0)))</f>
        <v>60</v>
      </c>
      <c r="N445" s="275">
        <f>IF(ISBLANK(INDEX('Policy Characteristics'!H:H,MATCH($C445,'Policy Characteristics'!$C:$C,0))),"",INDEX('Policy Characteristics'!H:H,MATCH($C445,'Policy Characteristics'!$C:$C,0)))</f>
        <v>1</v>
      </c>
      <c r="O445" s="275" t="str">
        <f>IF(ISBLANK(INDEX('Policy Characteristics'!I:I,MATCH($C445,'Policy Characteristics'!$C:$C,0))),"",INDEX('Policy Characteristics'!I:I,MATCH($C445,'Policy Characteristics'!$C:$C,0)))</f>
        <v>$/MWh</v>
      </c>
      <c r="P445" s="275" t="str">
        <f>IF(ISBLANK(INDEX('Policy Characteristics'!J:J,MATCH($C445,'Policy Characteristics'!$C:$C,0))),"",INDEX('Policy Characteristics'!J:J,MATCH($C445,'Policy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5" s="275" t="str">
        <f>IF(ISBLANK(INDEX('Policy Characteristics'!K:K,MATCH($C445,'Policy Characteristics'!$C:$C,0))),"",INDEX('Policy Characteristics'!K:K,MATCH($C445,'Policy Characteristics'!$C:$C,0)))</f>
        <v>electricity-sector-main.html#subsidies</v>
      </c>
      <c r="R445" s="275" t="str">
        <f>IF(ISBLANK(INDEX('Policy Characteristics'!L:L,MATCH($C445,'Policy Characteristics'!$C:$C,0))),"",INDEX('Policy Characteristics'!L:L,MATCH($C445,'Policy Characteristics'!$C:$C,0)))</f>
        <v>subsidy-for-electricity-production.html</v>
      </c>
      <c r="S445" s="336"/>
    </row>
    <row r="446" spans="1:19" x14ac:dyDescent="0.25">
      <c r="A446" s="275" t="str">
        <f>IF(ISBLANK(INDEX('Policy Characteristics'!A:A,MATCH($C446,'Policy Characteristics'!$C:$C,0))),"",INDEX('Policy Characteristics'!A:A,MATCH($C446,'Policy Characteristics'!$C:$C,0)))</f>
        <v>Electricity Supply</v>
      </c>
      <c r="B446" s="284" t="str">
        <f>IF(ISBLANK(INDEX('Policy Characteristics'!B:B,MATCH($C446,'Policy Characteristics'!$C:$C,0))),"",INDEX('Policy Characteristics'!B:B,MATCH($C446,'Policy Characteristics'!$C:$C,0)))</f>
        <v>Subsidy for Electricity Production</v>
      </c>
      <c r="C446" s="275" t="str">
        <f t="shared" si="26"/>
        <v>Subsidy for Elec Production by Fuel</v>
      </c>
      <c r="D446" s="6" t="s">
        <v>80</v>
      </c>
      <c r="E446" s="47"/>
      <c r="F446" s="6" t="s">
        <v>92</v>
      </c>
      <c r="G446" s="336"/>
      <c r="H446" s="44">
        <v>1578</v>
      </c>
      <c r="I446" s="346" t="s">
        <v>43</v>
      </c>
      <c r="J446" s="276" t="str">
        <f>IF(ISBLANK(INDEX('Policy Characteristics'!D:D,MATCH($C446,'Policy Characteristics'!$C:$C,0))),"",INDEX('Policy Characteristics'!D:D,MATCH($C446,'Policy Characteristics'!$C:$C,0)))</f>
        <v>Subsidy for Electricity Production</v>
      </c>
      <c r="K446" s="275" t="str">
        <f>IF(ISBLANK(INDEX('Policy Characteristics'!E:E,MATCH($C446,'Policy Characteristics'!$C:$C,0))),"",INDEX('Policy Characteristics'!E:E,MATCH($C446,'Policy Characteristics'!$C:$C,0)))</f>
        <v>elec generation subsidy</v>
      </c>
      <c r="L446" s="275">
        <f>IF(ISBLANK(INDEX('Policy Characteristics'!F:F,MATCH($C446,'Policy Characteristics'!$C:$C,0))),"",INDEX('Policy Characteristics'!F:F,MATCH($C446,'Policy Characteristics'!$C:$C,0)))</f>
        <v>0</v>
      </c>
      <c r="M446" s="275">
        <f>IF(ISBLANK(INDEX('Policy Characteristics'!G:G,MATCH($C446,'Policy Characteristics'!$C:$C,0))),"",INDEX('Policy Characteristics'!G:G,MATCH($C446,'Policy Characteristics'!$C:$C,0)))</f>
        <v>60</v>
      </c>
      <c r="N446" s="275">
        <f>IF(ISBLANK(INDEX('Policy Characteristics'!H:H,MATCH($C446,'Policy Characteristics'!$C:$C,0))),"",INDEX('Policy Characteristics'!H:H,MATCH($C446,'Policy Characteristics'!$C:$C,0)))</f>
        <v>1</v>
      </c>
      <c r="O446" s="275" t="str">
        <f>IF(ISBLANK(INDEX('Policy Characteristics'!I:I,MATCH($C446,'Policy Characteristics'!$C:$C,0))),"",INDEX('Policy Characteristics'!I:I,MATCH($C446,'Policy Characteristics'!$C:$C,0)))</f>
        <v>$/MWh</v>
      </c>
      <c r="P446" s="275" t="str">
        <f>IF(ISBLANK(INDEX('Policy Characteristics'!J:J,MATCH($C446,'Policy Characteristics'!$C:$C,0))),"",INDEX('Policy Characteristics'!J:J,MATCH($C446,'Policy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6" s="275" t="str">
        <f>IF(ISBLANK(INDEX('Policy Characteristics'!K:K,MATCH($C446,'Policy Characteristics'!$C:$C,0))),"",INDEX('Policy Characteristics'!K:K,MATCH($C446,'Policy Characteristics'!$C:$C,0)))</f>
        <v>electricity-sector-main.html#subsidies</v>
      </c>
      <c r="R446" s="275" t="str">
        <f>IF(ISBLANK(INDEX('Policy Characteristics'!L:L,MATCH($C446,'Policy Characteristics'!$C:$C,0))),"",INDEX('Policy Characteristics'!L:L,MATCH($C446,'Policy Characteristics'!$C:$C,0)))</f>
        <v>subsidy-for-electricity-production.html</v>
      </c>
      <c r="S446" s="336"/>
    </row>
    <row r="447" spans="1:19" x14ac:dyDescent="0.25">
      <c r="A447" s="275" t="str">
        <f>IF(ISBLANK(INDEX('Policy Characteristics'!A:A,MATCH($C447,'Policy Characteristics'!$C:$C,0))),"",INDEX('Policy Characteristics'!A:A,MATCH($C447,'Policy Characteristics'!$C:$C,0)))</f>
        <v>Electricity Supply</v>
      </c>
      <c r="B447" s="284" t="str">
        <f>IF(ISBLANK(INDEX('Policy Characteristics'!B:B,MATCH($C447,'Policy Characteristics'!$C:$C,0))),"",INDEX('Policy Characteristics'!B:B,MATCH($C447,'Policy Characteristics'!$C:$C,0)))</f>
        <v>Subsidy for Electricity Production</v>
      </c>
      <c r="C447" s="275" t="str">
        <f t="shared" si="26"/>
        <v>Subsidy for Elec Production by Fuel</v>
      </c>
      <c r="D447" s="6" t="s">
        <v>2427</v>
      </c>
      <c r="E447" s="47"/>
      <c r="F447" s="6" t="s">
        <v>437</v>
      </c>
      <c r="G447" s="336"/>
      <c r="H447" s="44">
        <v>1591</v>
      </c>
      <c r="I447" s="346" t="s">
        <v>43</v>
      </c>
      <c r="J447" s="276" t="str">
        <f>IF(ISBLANK(INDEX('Policy Characteristics'!D:D,MATCH($C447,'Policy Characteristics'!$C:$C,0))),"",INDEX('Policy Characteristics'!D:D,MATCH($C447,'Policy Characteristics'!$C:$C,0)))</f>
        <v>Subsidy for Electricity Production</v>
      </c>
      <c r="K447" s="275" t="str">
        <f>IF(ISBLANK(INDEX('Policy Characteristics'!E:E,MATCH($C447,'Policy Characteristics'!$C:$C,0))),"",INDEX('Policy Characteristics'!E:E,MATCH($C447,'Policy Characteristics'!$C:$C,0)))</f>
        <v>elec generation subsidy</v>
      </c>
      <c r="L447" s="275">
        <f>IF(ISBLANK(INDEX('Policy Characteristics'!F:F,MATCH($C447,'Policy Characteristics'!$C:$C,0))),"",INDEX('Policy Characteristics'!F:F,MATCH($C447,'Policy Characteristics'!$C:$C,0)))</f>
        <v>0</v>
      </c>
      <c r="M447" s="275">
        <f>IF(ISBLANK(INDEX('Policy Characteristics'!G:G,MATCH($C447,'Policy Characteristics'!$C:$C,0))),"",INDEX('Policy Characteristics'!G:G,MATCH($C447,'Policy Characteristics'!$C:$C,0)))</f>
        <v>60</v>
      </c>
      <c r="N447" s="275">
        <f>IF(ISBLANK(INDEX('Policy Characteristics'!H:H,MATCH($C447,'Policy Characteristics'!$C:$C,0))),"",INDEX('Policy Characteristics'!H:H,MATCH($C447,'Policy Characteristics'!$C:$C,0)))</f>
        <v>1</v>
      </c>
      <c r="O447" s="275" t="str">
        <f>IF(ISBLANK(INDEX('Policy Characteristics'!I:I,MATCH($C447,'Policy Characteristics'!$C:$C,0))),"",INDEX('Policy Characteristics'!I:I,MATCH($C447,'Policy Characteristics'!$C:$C,0)))</f>
        <v>$/MWh</v>
      </c>
      <c r="P447" s="275" t="str">
        <f>IF(ISBLANK(INDEX('Policy Characteristics'!J:J,MATCH($C447,'Policy Characteristics'!$C:$C,0))),"",INDEX('Policy Characteristics'!J:J,MATCH($C447,'Policy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7" s="275" t="str">
        <f>IF(ISBLANK(INDEX('Policy Characteristics'!K:K,MATCH($C447,'Policy Characteristics'!$C:$C,0))),"",INDEX('Policy Characteristics'!K:K,MATCH($C447,'Policy Characteristics'!$C:$C,0)))</f>
        <v>electricity-sector-main.html#subsidies</v>
      </c>
      <c r="R447" s="275" t="str">
        <f>IF(ISBLANK(INDEX('Policy Characteristics'!L:L,MATCH($C447,'Policy Characteristics'!$C:$C,0))),"",INDEX('Policy Characteristics'!L:L,MATCH($C447,'Policy Characteristics'!$C:$C,0)))</f>
        <v>subsidy-for-electricity-production.html</v>
      </c>
      <c r="S447" s="336"/>
    </row>
    <row r="448" spans="1:19" x14ac:dyDescent="0.25">
      <c r="A448" s="275" t="str">
        <f>IF(ISBLANK(INDEX('Policy Characteristics'!A:A,MATCH($C448,'Policy Characteristics'!$C:$C,0))),"",INDEX('Policy Characteristics'!A:A,MATCH($C448,'Policy Characteristics'!$C:$C,0)))</f>
        <v>Electricity Supply</v>
      </c>
      <c r="B448" s="284" t="str">
        <f>IF(ISBLANK(INDEX('Policy Characteristics'!B:B,MATCH($C448,'Policy Characteristics'!$C:$C,0))),"",INDEX('Policy Characteristics'!B:B,MATCH($C448,'Policy Characteristics'!$C:$C,0)))</f>
        <v>Subsidy for Electricity Production</v>
      </c>
      <c r="C448" s="275" t="str">
        <f t="shared" si="26"/>
        <v>Subsidy for Elec Production by Fuel</v>
      </c>
      <c r="D448" s="6" t="s">
        <v>309</v>
      </c>
      <c r="E448" s="47"/>
      <c r="F448" s="6" t="s">
        <v>311</v>
      </c>
      <c r="G448" s="336"/>
      <c r="H448" s="44">
        <v>1594</v>
      </c>
      <c r="I448" s="347" t="s">
        <v>44</v>
      </c>
      <c r="J448" s="276" t="str">
        <f>IF(ISBLANK(INDEX('Policy Characteristics'!D:D,MATCH($C448,'Policy Characteristics'!$C:$C,0))),"",INDEX('Policy Characteristics'!D:D,MATCH($C448,'Policy Characteristics'!$C:$C,0)))</f>
        <v>Subsidy for Electricity Production</v>
      </c>
      <c r="K448" s="275" t="str">
        <f>IF(ISBLANK(INDEX('Policy Characteristics'!E:E,MATCH($C448,'Policy Characteristics'!$C:$C,0))),"",INDEX('Policy Characteristics'!E:E,MATCH($C448,'Policy Characteristics'!$C:$C,0)))</f>
        <v>elec generation subsidy</v>
      </c>
      <c r="L448" s="275">
        <f>IF(ISBLANK(INDEX('Policy Characteristics'!F:F,MATCH($C448,'Policy Characteristics'!$C:$C,0))),"",INDEX('Policy Characteristics'!F:F,MATCH($C448,'Policy Characteristics'!$C:$C,0)))</f>
        <v>0</v>
      </c>
      <c r="M448" s="275">
        <f>IF(ISBLANK(INDEX('Policy Characteristics'!G:G,MATCH($C448,'Policy Characteristics'!$C:$C,0))),"",INDEX('Policy Characteristics'!G:G,MATCH($C448,'Policy Characteristics'!$C:$C,0)))</f>
        <v>60</v>
      </c>
      <c r="N448" s="275">
        <f>IF(ISBLANK(INDEX('Policy Characteristics'!H:H,MATCH($C448,'Policy Characteristics'!$C:$C,0))),"",INDEX('Policy Characteristics'!H:H,MATCH($C448,'Policy Characteristics'!$C:$C,0)))</f>
        <v>1</v>
      </c>
      <c r="O448" s="275" t="str">
        <f>IF(ISBLANK(INDEX('Policy Characteristics'!I:I,MATCH($C448,'Policy Characteristics'!$C:$C,0))),"",INDEX('Policy Characteristics'!I:I,MATCH($C448,'Policy Characteristics'!$C:$C,0)))</f>
        <v>$/MWh</v>
      </c>
      <c r="P448" s="275" t="str">
        <f>IF(ISBLANK(INDEX('Policy Characteristics'!J:J,MATCH($C448,'Policy Characteristics'!$C:$C,0))),"",INDEX('Policy Characteristics'!J:J,MATCH($C448,'Policy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8" s="275" t="str">
        <f>IF(ISBLANK(INDEX('Policy Characteristics'!K:K,MATCH($C448,'Policy Characteristics'!$C:$C,0))),"",INDEX('Policy Characteristics'!K:K,MATCH($C448,'Policy Characteristics'!$C:$C,0)))</f>
        <v>electricity-sector-main.html#subsidies</v>
      </c>
      <c r="R448" s="275" t="str">
        <f>IF(ISBLANK(INDEX('Policy Characteristics'!L:L,MATCH($C448,'Policy Characteristics'!$C:$C,0))),"",INDEX('Policy Characteristics'!L:L,MATCH($C448,'Policy Characteristics'!$C:$C,0)))</f>
        <v>subsidy-for-electricity-production.html</v>
      </c>
      <c r="S448" s="336"/>
    </row>
    <row r="449" spans="1:19" x14ac:dyDescent="0.25">
      <c r="A449" s="275" t="str">
        <f>IF(ISBLANK(INDEX('Policy Characteristics'!A:A,MATCH($C449,'Policy Characteristics'!$C:$C,0))),"",INDEX('Policy Characteristics'!A:A,MATCH($C449,'Policy Characteristics'!$C:$C,0)))</f>
        <v>Electricity Supply</v>
      </c>
      <c r="B449" s="284" t="str">
        <f>IF(ISBLANK(INDEX('Policy Characteristics'!B:B,MATCH($C449,'Policy Characteristics'!$C:$C,0))),"",INDEX('Policy Characteristics'!B:B,MATCH($C449,'Policy Characteristics'!$C:$C,0)))</f>
        <v>Subsidy for Electricity Production</v>
      </c>
      <c r="C449" s="275" t="str">
        <f t="shared" si="26"/>
        <v>Subsidy for Elec Production by Fuel</v>
      </c>
      <c r="D449" s="6" t="s">
        <v>310</v>
      </c>
      <c r="E449" s="47"/>
      <c r="F449" s="6" t="s">
        <v>312</v>
      </c>
      <c r="G449" s="336"/>
      <c r="H449" s="44">
        <v>1597</v>
      </c>
      <c r="I449" s="347" t="s">
        <v>44</v>
      </c>
      <c r="J449" s="276" t="str">
        <f>IF(ISBLANK(INDEX('Policy Characteristics'!D:D,MATCH($C449,'Policy Characteristics'!$C:$C,0))),"",INDEX('Policy Characteristics'!D:D,MATCH($C449,'Policy Characteristics'!$C:$C,0)))</f>
        <v>Subsidy for Electricity Production</v>
      </c>
      <c r="K449" s="275" t="str">
        <f>IF(ISBLANK(INDEX('Policy Characteristics'!E:E,MATCH($C449,'Policy Characteristics'!$C:$C,0))),"",INDEX('Policy Characteristics'!E:E,MATCH($C449,'Policy Characteristics'!$C:$C,0)))</f>
        <v>elec generation subsidy</v>
      </c>
      <c r="L449" s="275">
        <f>IF(ISBLANK(INDEX('Policy Characteristics'!F:F,MATCH($C449,'Policy Characteristics'!$C:$C,0))),"",INDEX('Policy Characteristics'!F:F,MATCH($C449,'Policy Characteristics'!$C:$C,0)))</f>
        <v>0</v>
      </c>
      <c r="M449" s="275">
        <f>IF(ISBLANK(INDEX('Policy Characteristics'!G:G,MATCH($C449,'Policy Characteristics'!$C:$C,0))),"",INDEX('Policy Characteristics'!G:G,MATCH($C449,'Policy Characteristics'!$C:$C,0)))</f>
        <v>60</v>
      </c>
      <c r="N449" s="275">
        <f>IF(ISBLANK(INDEX('Policy Characteristics'!H:H,MATCH($C449,'Policy Characteristics'!$C:$C,0))),"",INDEX('Policy Characteristics'!H:H,MATCH($C449,'Policy Characteristics'!$C:$C,0)))</f>
        <v>1</v>
      </c>
      <c r="O449" s="275" t="str">
        <f>IF(ISBLANK(INDEX('Policy Characteristics'!I:I,MATCH($C449,'Policy Characteristics'!$C:$C,0))),"",INDEX('Policy Characteristics'!I:I,MATCH($C449,'Policy Characteristics'!$C:$C,0)))</f>
        <v>$/MWh</v>
      </c>
      <c r="P449" s="275" t="str">
        <f>IF(ISBLANK(INDEX('Policy Characteristics'!J:J,MATCH($C449,'Policy Characteristics'!$C:$C,0))),"",INDEX('Policy Characteristics'!J:J,MATCH($C449,'Policy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9" s="275" t="str">
        <f>IF(ISBLANK(INDEX('Policy Characteristics'!K:K,MATCH($C449,'Policy Characteristics'!$C:$C,0))),"",INDEX('Policy Characteristics'!K:K,MATCH($C449,'Policy Characteristics'!$C:$C,0)))</f>
        <v>electricity-sector-main.html#subsidies</v>
      </c>
      <c r="R449" s="275" t="str">
        <f>IF(ISBLANK(INDEX('Policy Characteristics'!L:L,MATCH($C449,'Policy Characteristics'!$C:$C,0))),"",INDEX('Policy Characteristics'!L:L,MATCH($C449,'Policy Characteristics'!$C:$C,0)))</f>
        <v>subsidy-for-electricity-production.html</v>
      </c>
      <c r="S449" s="336"/>
    </row>
    <row r="450" spans="1:19" x14ac:dyDescent="0.25">
      <c r="A450" s="275" t="str">
        <f>IF(ISBLANK(INDEX('Policy Characteristics'!A:A,MATCH($C450,'Policy Characteristics'!$C:$C,0))),"",INDEX('Policy Characteristics'!A:A,MATCH($C450,'Policy Characteristics'!$C:$C,0)))</f>
        <v>Electricity Supply</v>
      </c>
      <c r="B450" s="284" t="str">
        <f>IF(ISBLANK(INDEX('Policy Characteristics'!B:B,MATCH($C450,'Policy Characteristics'!$C:$C,0))),"",INDEX('Policy Characteristics'!B:B,MATCH($C450,'Policy Characteristics'!$C:$C,0)))</f>
        <v>Subsidy for Electricity Production</v>
      </c>
      <c r="C450" s="275" t="str">
        <f t="shared" si="26"/>
        <v>Subsidy for Elec Production by Fuel</v>
      </c>
      <c r="D450" s="6" t="s">
        <v>445</v>
      </c>
      <c r="E450" s="47"/>
      <c r="F450" s="6" t="s">
        <v>444</v>
      </c>
      <c r="G450" s="336"/>
      <c r="H450" s="44">
        <v>1580</v>
      </c>
      <c r="I450" s="347" t="s">
        <v>44</v>
      </c>
      <c r="J450" s="276" t="str">
        <f>IF(ISBLANK(INDEX('Policy Characteristics'!D:D,MATCH($C450,'Policy Characteristics'!$C:$C,0))),"",INDEX('Policy Characteristics'!D:D,MATCH($C450,'Policy Characteristics'!$C:$C,0)))</f>
        <v>Subsidy for Electricity Production</v>
      </c>
      <c r="K450" s="275" t="str">
        <f>IF(ISBLANK(INDEX('Policy Characteristics'!E:E,MATCH($C450,'Policy Characteristics'!$C:$C,0))),"",INDEX('Policy Characteristics'!E:E,MATCH($C450,'Policy Characteristics'!$C:$C,0)))</f>
        <v>elec generation subsidy</v>
      </c>
      <c r="L450" s="275">
        <f>IF(ISBLANK(INDEX('Policy Characteristics'!F:F,MATCH($C450,'Policy Characteristics'!$C:$C,0))),"",INDEX('Policy Characteristics'!F:F,MATCH($C450,'Policy Characteristics'!$C:$C,0)))</f>
        <v>0</v>
      </c>
      <c r="M450" s="275">
        <f>IF(ISBLANK(INDEX('Policy Characteristics'!G:G,MATCH($C450,'Policy Characteristics'!$C:$C,0))),"",INDEX('Policy Characteristics'!G:G,MATCH($C450,'Policy Characteristics'!$C:$C,0)))</f>
        <v>60</v>
      </c>
      <c r="N450" s="275">
        <f>IF(ISBLANK(INDEX('Policy Characteristics'!H:H,MATCH($C450,'Policy Characteristics'!$C:$C,0))),"",INDEX('Policy Characteristics'!H:H,MATCH($C450,'Policy Characteristics'!$C:$C,0)))</f>
        <v>1</v>
      </c>
      <c r="O450" s="275" t="str">
        <f>IF(ISBLANK(INDEX('Policy Characteristics'!I:I,MATCH($C450,'Policy Characteristics'!$C:$C,0))),"",INDEX('Policy Characteristics'!I:I,MATCH($C450,'Policy Characteristics'!$C:$C,0)))</f>
        <v>$/MWh</v>
      </c>
      <c r="P450" s="275" t="str">
        <f>IF(ISBLANK(INDEX('Policy Characteristics'!J:J,MATCH($C450,'Policy Characteristics'!$C:$C,0))),"",INDEX('Policy Characteristics'!J:J,MATCH($C450,'Policy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0" s="275" t="str">
        <f>IF(ISBLANK(INDEX('Policy Characteristics'!K:K,MATCH($C450,'Policy Characteristics'!$C:$C,0))),"",INDEX('Policy Characteristics'!K:K,MATCH($C450,'Policy Characteristics'!$C:$C,0)))</f>
        <v>electricity-sector-main.html#subsidies</v>
      </c>
      <c r="R450" s="275" t="str">
        <f>IF(ISBLANK(INDEX('Policy Characteristics'!L:L,MATCH($C450,'Policy Characteristics'!$C:$C,0))),"",INDEX('Policy Characteristics'!L:L,MATCH($C450,'Policy Characteristics'!$C:$C,0)))</f>
        <v>subsidy-for-electricity-production.html</v>
      </c>
      <c r="S450" s="336"/>
    </row>
    <row r="451" spans="1:19" x14ac:dyDescent="0.25">
      <c r="A451" s="275" t="str">
        <f>IF(ISBLANK(INDEX('Policy Characteristics'!A:A,MATCH($C451,'Policy Characteristics'!$C:$C,0))),"",INDEX('Policy Characteristics'!A:A,MATCH($C451,'Policy Characteristics'!$C:$C,0)))</f>
        <v>Electricity Supply</v>
      </c>
      <c r="B451" s="284" t="str">
        <f>IF(ISBLANK(INDEX('Policy Characteristics'!B:B,MATCH($C451,'Policy Characteristics'!$C:$C,0))),"",INDEX('Policy Characteristics'!B:B,MATCH($C451,'Policy Characteristics'!$C:$C,0)))</f>
        <v>Subsidy for Electricity Production</v>
      </c>
      <c r="C451" s="275" t="str">
        <f t="shared" si="26"/>
        <v>Subsidy for Elec Production by Fuel</v>
      </c>
      <c r="D451" s="6" t="s">
        <v>454</v>
      </c>
      <c r="E451" s="47"/>
      <c r="F451" s="6" t="s">
        <v>455</v>
      </c>
      <c r="G451" s="336"/>
      <c r="H451" s="44">
        <v>1582</v>
      </c>
      <c r="I451" s="346" t="s">
        <v>43</v>
      </c>
      <c r="J451" s="276" t="str">
        <f>IF(ISBLANK(INDEX('Policy Characteristics'!D:D,MATCH($C451,'Policy Characteristics'!$C:$C,0))),"",INDEX('Policy Characteristics'!D:D,MATCH($C451,'Policy Characteristics'!$C:$C,0)))</f>
        <v>Subsidy for Electricity Production</v>
      </c>
      <c r="K451" s="275" t="str">
        <f>IF(ISBLANK(INDEX('Policy Characteristics'!E:E,MATCH($C451,'Policy Characteristics'!$C:$C,0))),"",INDEX('Policy Characteristics'!E:E,MATCH($C451,'Policy Characteristics'!$C:$C,0)))</f>
        <v>elec generation subsidy</v>
      </c>
      <c r="L451" s="275">
        <f>IF(ISBLANK(INDEX('Policy Characteristics'!F:F,MATCH($C451,'Policy Characteristics'!$C:$C,0))),"",INDEX('Policy Characteristics'!F:F,MATCH($C451,'Policy Characteristics'!$C:$C,0)))</f>
        <v>0</v>
      </c>
      <c r="M451" s="275">
        <f>IF(ISBLANK(INDEX('Policy Characteristics'!G:G,MATCH($C451,'Policy Characteristics'!$C:$C,0))),"",INDEX('Policy Characteristics'!G:G,MATCH($C451,'Policy Characteristics'!$C:$C,0)))</f>
        <v>60</v>
      </c>
      <c r="N451" s="275">
        <f>IF(ISBLANK(INDEX('Policy Characteristics'!H:H,MATCH($C451,'Policy Characteristics'!$C:$C,0))),"",INDEX('Policy Characteristics'!H:H,MATCH($C451,'Policy Characteristics'!$C:$C,0)))</f>
        <v>1</v>
      </c>
      <c r="O451" s="275" t="str">
        <f>IF(ISBLANK(INDEX('Policy Characteristics'!I:I,MATCH($C451,'Policy Characteristics'!$C:$C,0))),"",INDEX('Policy Characteristics'!I:I,MATCH($C451,'Policy Characteristics'!$C:$C,0)))</f>
        <v>$/MWh</v>
      </c>
      <c r="P451" s="275" t="str">
        <f>IF(ISBLANK(INDEX('Policy Characteristics'!J:J,MATCH($C451,'Policy Characteristics'!$C:$C,0))),"",INDEX('Policy Characteristics'!J:J,MATCH($C451,'Policy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1" s="275" t="str">
        <f>IF(ISBLANK(INDEX('Policy Characteristics'!K:K,MATCH($C451,'Policy Characteristics'!$C:$C,0))),"",INDEX('Policy Characteristics'!K:K,MATCH($C451,'Policy Characteristics'!$C:$C,0)))</f>
        <v>electricity-sector-main.html#subsidies</v>
      </c>
      <c r="R451" s="275" t="str">
        <f>IF(ISBLANK(INDEX('Policy Characteristics'!L:L,MATCH($C451,'Policy Characteristics'!$C:$C,0))),"",INDEX('Policy Characteristics'!L:L,MATCH($C451,'Policy Characteristics'!$C:$C,0)))</f>
        <v>subsidy-for-electricity-production.html</v>
      </c>
      <c r="S451" s="336"/>
    </row>
    <row r="452" spans="1:19" x14ac:dyDescent="0.25">
      <c r="A452" s="275" t="str">
        <f>IF(ISBLANK(INDEX('Policy Characteristics'!A:A,MATCH($C452,'Policy Characteristics'!$C:$C,0))),"",INDEX('Policy Characteristics'!A:A,MATCH($C452,'Policy Characteristics'!$C:$C,0)))</f>
        <v>Electricity Supply</v>
      </c>
      <c r="B452" s="284" t="str">
        <f>IF(ISBLANK(INDEX('Policy Characteristics'!B:B,MATCH($C452,'Policy Characteristics'!$C:$C,0))),"",INDEX('Policy Characteristics'!B:B,MATCH($C452,'Policy Characteristics'!$C:$C,0)))</f>
        <v>Subsidy for Electricity Production</v>
      </c>
      <c r="C452" s="275" t="str">
        <f t="shared" si="26"/>
        <v>Subsidy for Elec Production by Fuel</v>
      </c>
      <c r="D452" s="6" t="s">
        <v>2752</v>
      </c>
      <c r="E452" s="47"/>
      <c r="F452" s="6" t="s">
        <v>2471</v>
      </c>
      <c r="G452" s="336"/>
      <c r="H452" s="44">
        <v>1584</v>
      </c>
      <c r="I452" s="347" t="s">
        <v>44</v>
      </c>
      <c r="J452" s="276" t="str">
        <f>IF(ISBLANK(INDEX('Policy Characteristics'!D:D,MATCH($C452,'Policy Characteristics'!$C:$C,0))),"",INDEX('Policy Characteristics'!D:D,MATCH($C452,'Policy Characteristics'!$C:$C,0)))</f>
        <v>Subsidy for Electricity Production</v>
      </c>
      <c r="K452" s="275" t="str">
        <f>IF(ISBLANK(INDEX('Policy Characteristics'!E:E,MATCH($C452,'Policy Characteristics'!$C:$C,0))),"",INDEX('Policy Characteristics'!E:E,MATCH($C452,'Policy Characteristics'!$C:$C,0)))</f>
        <v>elec generation subsidy</v>
      </c>
      <c r="L452" s="275">
        <f>IF(ISBLANK(INDEX('Policy Characteristics'!F:F,MATCH($C452,'Policy Characteristics'!$C:$C,0))),"",INDEX('Policy Characteristics'!F:F,MATCH($C452,'Policy Characteristics'!$C:$C,0)))</f>
        <v>0</v>
      </c>
      <c r="M452" s="275">
        <f>IF(ISBLANK(INDEX('Policy Characteristics'!G:G,MATCH($C452,'Policy Characteristics'!$C:$C,0))),"",INDEX('Policy Characteristics'!G:G,MATCH($C452,'Policy Characteristics'!$C:$C,0)))</f>
        <v>60</v>
      </c>
      <c r="N452" s="275">
        <f>IF(ISBLANK(INDEX('Policy Characteristics'!H:H,MATCH($C452,'Policy Characteristics'!$C:$C,0))),"",INDEX('Policy Characteristics'!H:H,MATCH($C452,'Policy Characteristics'!$C:$C,0)))</f>
        <v>1</v>
      </c>
      <c r="O452" s="275" t="str">
        <f>IF(ISBLANK(INDEX('Policy Characteristics'!I:I,MATCH($C452,'Policy Characteristics'!$C:$C,0))),"",INDEX('Policy Characteristics'!I:I,MATCH($C452,'Policy Characteristics'!$C:$C,0)))</f>
        <v>$/MWh</v>
      </c>
      <c r="P452" s="275" t="str">
        <f>IF(ISBLANK(INDEX('Policy Characteristics'!J:J,MATCH($C452,'Policy Characteristics'!$C:$C,0))),"",INDEX('Policy Characteristics'!J:J,MATCH($C452,'Policy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2" s="275" t="str">
        <f>IF(ISBLANK(INDEX('Policy Characteristics'!K:K,MATCH($C452,'Policy Characteristics'!$C:$C,0))),"",INDEX('Policy Characteristics'!K:K,MATCH($C452,'Policy Characteristics'!$C:$C,0)))</f>
        <v>electricity-sector-main.html#subsidies</v>
      </c>
      <c r="R452" s="275" t="str">
        <f>IF(ISBLANK(INDEX('Policy Characteristics'!L:L,MATCH($C452,'Policy Characteristics'!$C:$C,0))),"",INDEX('Policy Characteristics'!L:L,MATCH($C452,'Policy Characteristics'!$C:$C,0)))</f>
        <v>subsidy-for-electricity-production.html</v>
      </c>
      <c r="S452" s="336"/>
    </row>
    <row r="453" spans="1:19" x14ac:dyDescent="0.25">
      <c r="A453" s="275" t="str">
        <f>IF(ISBLANK(INDEX('Policy Characteristics'!A:A,MATCH($C453,'Policy Characteristics'!$C:$C,0))),"",INDEX('Policy Characteristics'!A:A,MATCH($C453,'Policy Characteristics'!$C:$C,0)))</f>
        <v>Electricity Supply</v>
      </c>
      <c r="B453" s="284" t="str">
        <f>IF(ISBLANK(INDEX('Policy Characteristics'!B:B,MATCH($C453,'Policy Characteristics'!$C:$C,0))),"",INDEX('Policy Characteristics'!B:B,MATCH($C453,'Policy Characteristics'!$C:$C,0)))</f>
        <v>Subsidy for Electricity Production</v>
      </c>
      <c r="C453" s="275" t="str">
        <f t="shared" si="26"/>
        <v>Subsidy for Elec Production by Fuel</v>
      </c>
      <c r="D453" s="6" t="s">
        <v>2753</v>
      </c>
      <c r="E453" s="47"/>
      <c r="F453" s="6" t="s">
        <v>2595</v>
      </c>
      <c r="G453" s="336"/>
      <c r="H453" s="44">
        <v>1586</v>
      </c>
      <c r="I453" s="347" t="s">
        <v>44</v>
      </c>
      <c r="J453" s="276" t="str">
        <f>IF(ISBLANK(INDEX('Policy Characteristics'!D:D,MATCH($C453,'Policy Characteristics'!$C:$C,0))),"",INDEX('Policy Characteristics'!D:D,MATCH($C453,'Policy Characteristics'!$C:$C,0)))</f>
        <v>Subsidy for Electricity Production</v>
      </c>
      <c r="K453" s="275" t="str">
        <f>IF(ISBLANK(INDEX('Policy Characteristics'!E:E,MATCH($C453,'Policy Characteristics'!$C:$C,0))),"",INDEX('Policy Characteristics'!E:E,MATCH($C453,'Policy Characteristics'!$C:$C,0)))</f>
        <v>elec generation subsidy</v>
      </c>
      <c r="L453" s="275">
        <f>IF(ISBLANK(INDEX('Policy Characteristics'!F:F,MATCH($C453,'Policy Characteristics'!$C:$C,0))),"",INDEX('Policy Characteristics'!F:F,MATCH($C453,'Policy Characteristics'!$C:$C,0)))</f>
        <v>0</v>
      </c>
      <c r="M453" s="275">
        <f>IF(ISBLANK(INDEX('Policy Characteristics'!G:G,MATCH($C453,'Policy Characteristics'!$C:$C,0))),"",INDEX('Policy Characteristics'!G:G,MATCH($C453,'Policy Characteristics'!$C:$C,0)))</f>
        <v>60</v>
      </c>
      <c r="N453" s="275">
        <f>IF(ISBLANK(INDEX('Policy Characteristics'!H:H,MATCH($C453,'Policy Characteristics'!$C:$C,0))),"",INDEX('Policy Characteristics'!H:H,MATCH($C453,'Policy Characteristics'!$C:$C,0)))</f>
        <v>1</v>
      </c>
      <c r="O453" s="275" t="str">
        <f>IF(ISBLANK(INDEX('Policy Characteristics'!I:I,MATCH($C453,'Policy Characteristics'!$C:$C,0))),"",INDEX('Policy Characteristics'!I:I,MATCH($C453,'Policy Characteristics'!$C:$C,0)))</f>
        <v>$/MWh</v>
      </c>
      <c r="P453" s="275" t="str">
        <f>IF(ISBLANK(INDEX('Policy Characteristics'!J:J,MATCH($C453,'Policy Characteristics'!$C:$C,0))),"",INDEX('Policy Characteristics'!J:J,MATCH($C453,'Policy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3" s="275" t="str">
        <f>IF(ISBLANK(INDEX('Policy Characteristics'!K:K,MATCH($C453,'Policy Characteristics'!$C:$C,0))),"",INDEX('Policy Characteristics'!K:K,MATCH($C453,'Policy Characteristics'!$C:$C,0)))</f>
        <v>electricity-sector-main.html#subsidies</v>
      </c>
      <c r="R453" s="275" t="str">
        <f>IF(ISBLANK(INDEX('Policy Characteristics'!L:L,MATCH($C453,'Policy Characteristics'!$C:$C,0))),"",INDEX('Policy Characteristics'!L:L,MATCH($C453,'Policy Characteristics'!$C:$C,0)))</f>
        <v>subsidy-for-electricity-production.html</v>
      </c>
      <c r="S453" s="336"/>
    </row>
    <row r="454" spans="1:19" x14ac:dyDescent="0.25">
      <c r="A454" s="275" t="str">
        <f>IF(ISBLANK(INDEX('Policy Characteristics'!A:A,MATCH($C454,'Policy Characteristics'!$C:$C,0))),"",INDEX('Policy Characteristics'!A:A,MATCH($C454,'Policy Characteristics'!$C:$C,0)))</f>
        <v>Electricity Supply</v>
      </c>
      <c r="B454" s="284" t="str">
        <f>IF(ISBLANK(INDEX('Policy Characteristics'!B:B,MATCH($C454,'Policy Characteristics'!$C:$C,0))),"",INDEX('Policy Characteristics'!B:B,MATCH($C454,'Policy Characteristics'!$C:$C,0)))</f>
        <v>Subsidy for Electricity Production</v>
      </c>
      <c r="C454" s="275" t="str">
        <f t="shared" si="26"/>
        <v>Subsidy for Elec Production by Fuel</v>
      </c>
      <c r="D454" s="6" t="s">
        <v>2754</v>
      </c>
      <c r="E454" s="47"/>
      <c r="F454" s="6" t="s">
        <v>2473</v>
      </c>
      <c r="G454" s="336"/>
      <c r="H454" s="44">
        <v>1588</v>
      </c>
      <c r="I454" s="347" t="s">
        <v>44</v>
      </c>
      <c r="J454" s="276" t="str">
        <f>IF(ISBLANK(INDEX('Policy Characteristics'!D:D,MATCH($C454,'Policy Characteristics'!$C:$C,0))),"",INDEX('Policy Characteristics'!D:D,MATCH($C454,'Policy Characteristics'!$C:$C,0)))</f>
        <v>Subsidy for Electricity Production</v>
      </c>
      <c r="K454" s="275" t="str">
        <f>IF(ISBLANK(INDEX('Policy Characteristics'!E:E,MATCH($C454,'Policy Characteristics'!$C:$C,0))),"",INDEX('Policy Characteristics'!E:E,MATCH($C454,'Policy Characteristics'!$C:$C,0)))</f>
        <v>elec generation subsidy</v>
      </c>
      <c r="L454" s="275">
        <f>IF(ISBLANK(INDEX('Policy Characteristics'!F:F,MATCH($C454,'Policy Characteristics'!$C:$C,0))),"",INDEX('Policy Characteristics'!F:F,MATCH($C454,'Policy Characteristics'!$C:$C,0)))</f>
        <v>0</v>
      </c>
      <c r="M454" s="275">
        <f>IF(ISBLANK(INDEX('Policy Characteristics'!G:G,MATCH($C454,'Policy Characteristics'!$C:$C,0))),"",INDEX('Policy Characteristics'!G:G,MATCH($C454,'Policy Characteristics'!$C:$C,0)))</f>
        <v>60</v>
      </c>
      <c r="N454" s="275">
        <f>IF(ISBLANK(INDEX('Policy Characteristics'!H:H,MATCH($C454,'Policy Characteristics'!$C:$C,0))),"",INDEX('Policy Characteristics'!H:H,MATCH($C454,'Policy Characteristics'!$C:$C,0)))</f>
        <v>1</v>
      </c>
      <c r="O454" s="275" t="str">
        <f>IF(ISBLANK(INDEX('Policy Characteristics'!I:I,MATCH($C454,'Policy Characteristics'!$C:$C,0))),"",INDEX('Policy Characteristics'!I:I,MATCH($C454,'Policy Characteristics'!$C:$C,0)))</f>
        <v>$/MWh</v>
      </c>
      <c r="P454" s="275" t="str">
        <f>IF(ISBLANK(INDEX('Policy Characteristics'!J:J,MATCH($C454,'Policy Characteristics'!$C:$C,0))),"",INDEX('Policy Characteristics'!J:J,MATCH($C454,'Policy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4" s="275" t="str">
        <f>IF(ISBLANK(INDEX('Policy Characteristics'!K:K,MATCH($C454,'Policy Characteristics'!$C:$C,0))),"",INDEX('Policy Characteristics'!K:K,MATCH($C454,'Policy Characteristics'!$C:$C,0)))</f>
        <v>electricity-sector-main.html#subsidies</v>
      </c>
      <c r="R454" s="275" t="str">
        <f>IF(ISBLANK(INDEX('Policy Characteristics'!L:L,MATCH($C454,'Policy Characteristics'!$C:$C,0))),"",INDEX('Policy Characteristics'!L:L,MATCH($C454,'Policy Characteristics'!$C:$C,0)))</f>
        <v>subsidy-for-electricity-production.html</v>
      </c>
      <c r="S454" s="336"/>
    </row>
    <row r="455" spans="1:19" x14ac:dyDescent="0.25">
      <c r="A455" s="275" t="str">
        <f>IF(ISBLANK(INDEX('Policy Characteristics'!A:A,MATCH($C455,'Policy Characteristics'!$C:$C,0))),"",INDEX('Policy Characteristics'!A:A,MATCH($C455,'Policy Characteristics'!$C:$C,0)))</f>
        <v>Electricity Supply</v>
      </c>
      <c r="B455" s="284" t="str">
        <f>IF(ISBLANK(INDEX('Policy Characteristics'!B:B,MATCH($C455,'Policy Characteristics'!$C:$C,0))),"",INDEX('Policy Characteristics'!B:B,MATCH($C455,'Policy Characteristics'!$C:$C,0)))</f>
        <v>Subsidy for Electricity Production</v>
      </c>
      <c r="C455" s="275" t="str">
        <f t="shared" si="26"/>
        <v>Subsidy for Elec Production by Fuel</v>
      </c>
      <c r="D455" s="6" t="s">
        <v>3519</v>
      </c>
      <c r="E455" s="47"/>
      <c r="F455" s="6" t="s">
        <v>3526</v>
      </c>
      <c r="G455" s="336"/>
      <c r="H455" s="44">
        <v>1797</v>
      </c>
      <c r="I455" s="347" t="s">
        <v>43</v>
      </c>
      <c r="J455" s="276" t="str">
        <f>IF(ISBLANK(INDEX('Policy Characteristics'!D:D,MATCH($C455,'Policy Characteristics'!$C:$C,0))),"",INDEX('Policy Characteristics'!D:D,MATCH($C455,'Policy Characteristics'!$C:$C,0)))</f>
        <v>Subsidy for Electricity Production</v>
      </c>
      <c r="K455" s="275" t="str">
        <f>IF(ISBLANK(INDEX('Policy Characteristics'!E:E,MATCH($C455,'Policy Characteristics'!$C:$C,0))),"",INDEX('Policy Characteristics'!E:E,MATCH($C455,'Policy Characteristics'!$C:$C,0)))</f>
        <v>elec generation subsidy</v>
      </c>
      <c r="L455" s="275">
        <f>IF(ISBLANK(INDEX('Policy Characteristics'!F:F,MATCH($C455,'Policy Characteristics'!$C:$C,0))),"",INDEX('Policy Characteristics'!F:F,MATCH($C455,'Policy Characteristics'!$C:$C,0)))</f>
        <v>0</v>
      </c>
      <c r="M455" s="275">
        <f>IF(ISBLANK(INDEX('Policy Characteristics'!G:G,MATCH($C455,'Policy Characteristics'!$C:$C,0))),"",INDEX('Policy Characteristics'!G:G,MATCH($C455,'Policy Characteristics'!$C:$C,0)))</f>
        <v>60</v>
      </c>
      <c r="N455" s="275">
        <f>IF(ISBLANK(INDEX('Policy Characteristics'!H:H,MATCH($C455,'Policy Characteristics'!$C:$C,0))),"",INDEX('Policy Characteristics'!H:H,MATCH($C455,'Policy Characteristics'!$C:$C,0)))</f>
        <v>1</v>
      </c>
      <c r="O455" s="275" t="str">
        <f>IF(ISBLANK(INDEX('Policy Characteristics'!I:I,MATCH($C455,'Policy Characteristics'!$C:$C,0))),"",INDEX('Policy Characteristics'!I:I,MATCH($C455,'Policy Characteristics'!$C:$C,0)))</f>
        <v>$/MWh</v>
      </c>
      <c r="P455" s="275" t="str">
        <f>IF(ISBLANK(INDEX('Policy Characteristics'!J:J,MATCH($C455,'Policy Characteristics'!$C:$C,0))),"",INDEX('Policy Characteristics'!J:J,MATCH($C455,'Policy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5" s="275" t="str">
        <f>IF(ISBLANK(INDEX('Policy Characteristics'!K:K,MATCH($C455,'Policy Characteristics'!$C:$C,0))),"",INDEX('Policy Characteristics'!K:K,MATCH($C455,'Policy Characteristics'!$C:$C,0)))</f>
        <v>electricity-sector-main.html#subsidies</v>
      </c>
      <c r="R455" s="275" t="str">
        <f>IF(ISBLANK(INDEX('Policy Characteristics'!L:L,MATCH($C455,'Policy Characteristics'!$C:$C,0))),"",INDEX('Policy Characteristics'!L:L,MATCH($C455,'Policy Characteristics'!$C:$C,0)))</f>
        <v>subsidy-for-electricity-production.html</v>
      </c>
      <c r="S455" s="336"/>
    </row>
    <row r="456" spans="1:19" x14ac:dyDescent="0.25">
      <c r="A456" s="275" t="str">
        <f>IF(ISBLANK(INDEX('Policy Characteristics'!A:A,MATCH($C456,'Policy Characteristics'!$C:$C,0))),"",INDEX('Policy Characteristics'!A:A,MATCH($C456,'Policy Characteristics'!$C:$C,0)))</f>
        <v>Electricity Supply</v>
      </c>
      <c r="B456" s="284" t="str">
        <f>IF(ISBLANK(INDEX('Policy Characteristics'!B:B,MATCH($C456,'Policy Characteristics'!$C:$C,0))),"",INDEX('Policy Characteristics'!B:B,MATCH($C456,'Policy Characteristics'!$C:$C,0)))</f>
        <v>Subsidy for Electricity Production</v>
      </c>
      <c r="C456" s="275" t="str">
        <f t="shared" si="26"/>
        <v>Subsidy for Elec Production by Fuel</v>
      </c>
      <c r="D456" s="6" t="s">
        <v>3522</v>
      </c>
      <c r="E456" s="47"/>
      <c r="F456" s="6" t="s">
        <v>3527</v>
      </c>
      <c r="G456" s="336"/>
      <c r="H456" s="44">
        <v>1798</v>
      </c>
      <c r="I456" s="347" t="s">
        <v>43</v>
      </c>
      <c r="J456" s="276" t="str">
        <f>IF(ISBLANK(INDEX('Policy Characteristics'!D:D,MATCH($C456,'Policy Characteristics'!$C:$C,0))),"",INDEX('Policy Characteristics'!D:D,MATCH($C456,'Policy Characteristics'!$C:$C,0)))</f>
        <v>Subsidy for Electricity Production</v>
      </c>
      <c r="K456" s="275" t="str">
        <f>IF(ISBLANK(INDEX('Policy Characteristics'!E:E,MATCH($C456,'Policy Characteristics'!$C:$C,0))),"",INDEX('Policy Characteristics'!E:E,MATCH($C456,'Policy Characteristics'!$C:$C,0)))</f>
        <v>elec generation subsidy</v>
      </c>
      <c r="L456" s="275">
        <f>IF(ISBLANK(INDEX('Policy Characteristics'!F:F,MATCH($C456,'Policy Characteristics'!$C:$C,0))),"",INDEX('Policy Characteristics'!F:F,MATCH($C456,'Policy Characteristics'!$C:$C,0)))</f>
        <v>0</v>
      </c>
      <c r="M456" s="275">
        <f>IF(ISBLANK(INDEX('Policy Characteristics'!G:G,MATCH($C456,'Policy Characteristics'!$C:$C,0))),"",INDEX('Policy Characteristics'!G:G,MATCH($C456,'Policy Characteristics'!$C:$C,0)))</f>
        <v>60</v>
      </c>
      <c r="N456" s="275">
        <f>IF(ISBLANK(INDEX('Policy Characteristics'!H:H,MATCH($C456,'Policy Characteristics'!$C:$C,0))),"",INDEX('Policy Characteristics'!H:H,MATCH($C456,'Policy Characteristics'!$C:$C,0)))</f>
        <v>1</v>
      </c>
      <c r="O456" s="275" t="str">
        <f>IF(ISBLANK(INDEX('Policy Characteristics'!I:I,MATCH($C456,'Policy Characteristics'!$C:$C,0))),"",INDEX('Policy Characteristics'!I:I,MATCH($C456,'Policy Characteristics'!$C:$C,0)))</f>
        <v>$/MWh</v>
      </c>
      <c r="P456" s="275" t="str">
        <f>IF(ISBLANK(INDEX('Policy Characteristics'!J:J,MATCH($C456,'Policy Characteristics'!$C:$C,0))),"",INDEX('Policy Characteristics'!J:J,MATCH($C456,'Policy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6" s="275" t="str">
        <f>IF(ISBLANK(INDEX('Policy Characteristics'!K:K,MATCH($C456,'Policy Characteristics'!$C:$C,0))),"",INDEX('Policy Characteristics'!K:K,MATCH($C456,'Policy Characteristics'!$C:$C,0)))</f>
        <v>electricity-sector-main.html#subsidies</v>
      </c>
      <c r="R456" s="275" t="str">
        <f>IF(ISBLANK(INDEX('Policy Characteristics'!L:L,MATCH($C456,'Policy Characteristics'!$C:$C,0))),"",INDEX('Policy Characteristics'!L:L,MATCH($C456,'Policy Characteristics'!$C:$C,0)))</f>
        <v>subsidy-for-electricity-production.html</v>
      </c>
      <c r="S456" s="336"/>
    </row>
    <row r="457" spans="1:19" x14ac:dyDescent="0.25">
      <c r="A457" s="275" t="str">
        <f>IF(ISBLANK(INDEX('Policy Characteristics'!A:A,MATCH($C457,'Policy Characteristics'!$C:$C,0))),"",INDEX('Policy Characteristics'!A:A,MATCH($C457,'Policy Characteristics'!$C:$C,0)))</f>
        <v>Electricity Supply</v>
      </c>
      <c r="B457" s="284" t="str">
        <f>IF(ISBLANK(INDEX('Policy Characteristics'!B:B,MATCH($C457,'Policy Characteristics'!$C:$C,0))),"",INDEX('Policy Characteristics'!B:B,MATCH($C457,'Policy Characteristics'!$C:$C,0)))</f>
        <v>Subsidy for Electricity Production</v>
      </c>
      <c r="C457" s="275" t="str">
        <f t="shared" si="26"/>
        <v>Subsidy for Elec Production by Fuel</v>
      </c>
      <c r="D457" s="6" t="s">
        <v>3523</v>
      </c>
      <c r="E457" s="47"/>
      <c r="F457" s="6" t="s">
        <v>3528</v>
      </c>
      <c r="G457" s="336"/>
      <c r="H457" s="44">
        <v>1799</v>
      </c>
      <c r="I457" s="347" t="s">
        <v>43</v>
      </c>
      <c r="J457" s="276" t="str">
        <f>IF(ISBLANK(INDEX('Policy Characteristics'!D:D,MATCH($C457,'Policy Characteristics'!$C:$C,0))),"",INDEX('Policy Characteristics'!D:D,MATCH($C457,'Policy Characteristics'!$C:$C,0)))</f>
        <v>Subsidy for Electricity Production</v>
      </c>
      <c r="K457" s="275" t="str">
        <f>IF(ISBLANK(INDEX('Policy Characteristics'!E:E,MATCH($C457,'Policy Characteristics'!$C:$C,0))),"",INDEX('Policy Characteristics'!E:E,MATCH($C457,'Policy Characteristics'!$C:$C,0)))</f>
        <v>elec generation subsidy</v>
      </c>
      <c r="L457" s="275">
        <f>IF(ISBLANK(INDEX('Policy Characteristics'!F:F,MATCH($C457,'Policy Characteristics'!$C:$C,0))),"",INDEX('Policy Characteristics'!F:F,MATCH($C457,'Policy Characteristics'!$C:$C,0)))</f>
        <v>0</v>
      </c>
      <c r="M457" s="275">
        <f>IF(ISBLANK(INDEX('Policy Characteristics'!G:G,MATCH($C457,'Policy Characteristics'!$C:$C,0))),"",INDEX('Policy Characteristics'!G:G,MATCH($C457,'Policy Characteristics'!$C:$C,0)))</f>
        <v>60</v>
      </c>
      <c r="N457" s="275">
        <f>IF(ISBLANK(INDEX('Policy Characteristics'!H:H,MATCH($C457,'Policy Characteristics'!$C:$C,0))),"",INDEX('Policy Characteristics'!H:H,MATCH($C457,'Policy Characteristics'!$C:$C,0)))</f>
        <v>1</v>
      </c>
      <c r="O457" s="275" t="str">
        <f>IF(ISBLANK(INDEX('Policy Characteristics'!I:I,MATCH($C457,'Policy Characteristics'!$C:$C,0))),"",INDEX('Policy Characteristics'!I:I,MATCH($C457,'Policy Characteristics'!$C:$C,0)))</f>
        <v>$/MWh</v>
      </c>
      <c r="P457" s="275" t="str">
        <f>IF(ISBLANK(INDEX('Policy Characteristics'!J:J,MATCH($C457,'Policy Characteristics'!$C:$C,0))),"",INDEX('Policy Characteristics'!J:J,MATCH($C457,'Policy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7" s="275" t="str">
        <f>IF(ISBLANK(INDEX('Policy Characteristics'!K:K,MATCH($C457,'Policy Characteristics'!$C:$C,0))),"",INDEX('Policy Characteristics'!K:K,MATCH($C457,'Policy Characteristics'!$C:$C,0)))</f>
        <v>electricity-sector-main.html#subsidies</v>
      </c>
      <c r="R457" s="275" t="str">
        <f>IF(ISBLANK(INDEX('Policy Characteristics'!L:L,MATCH($C457,'Policy Characteristics'!$C:$C,0))),"",INDEX('Policy Characteristics'!L:L,MATCH($C457,'Policy Characteristics'!$C:$C,0)))</f>
        <v>subsidy-for-electricity-production.html</v>
      </c>
      <c r="S457" s="336"/>
    </row>
    <row r="458" spans="1:19" x14ac:dyDescent="0.25">
      <c r="A458" s="275" t="str">
        <f>IF(ISBLANK(INDEX('Policy Characteristics'!A:A,MATCH($C458,'Policy Characteristics'!$C:$C,0))),"",INDEX('Policy Characteristics'!A:A,MATCH($C458,'Policy Characteristics'!$C:$C,0)))</f>
        <v>Electricity Supply</v>
      </c>
      <c r="B458" s="284" t="str">
        <f>IF(ISBLANK(INDEX('Policy Characteristics'!B:B,MATCH($C458,'Policy Characteristics'!$C:$C,0))),"",INDEX('Policy Characteristics'!B:B,MATCH($C458,'Policy Characteristics'!$C:$C,0)))</f>
        <v>Subsidy for Electricity Production</v>
      </c>
      <c r="C458" s="275" t="str">
        <f t="shared" si="26"/>
        <v>Subsidy for Elec Production by Fuel</v>
      </c>
      <c r="D458" s="6" t="s">
        <v>3524</v>
      </c>
      <c r="E458" s="47"/>
      <c r="F458" s="6" t="s">
        <v>3529</v>
      </c>
      <c r="G458" s="336"/>
      <c r="H458" s="44">
        <v>1800</v>
      </c>
      <c r="I458" s="347" t="s">
        <v>43</v>
      </c>
      <c r="J458" s="276" t="str">
        <f>IF(ISBLANK(INDEX('Policy Characteristics'!D:D,MATCH($C458,'Policy Characteristics'!$C:$C,0))),"",INDEX('Policy Characteristics'!D:D,MATCH($C458,'Policy Characteristics'!$C:$C,0)))</f>
        <v>Subsidy for Electricity Production</v>
      </c>
      <c r="K458" s="275" t="str">
        <f>IF(ISBLANK(INDEX('Policy Characteristics'!E:E,MATCH($C458,'Policy Characteristics'!$C:$C,0))),"",INDEX('Policy Characteristics'!E:E,MATCH($C458,'Policy Characteristics'!$C:$C,0)))</f>
        <v>elec generation subsidy</v>
      </c>
      <c r="L458" s="275">
        <f>IF(ISBLANK(INDEX('Policy Characteristics'!F:F,MATCH($C458,'Policy Characteristics'!$C:$C,0))),"",INDEX('Policy Characteristics'!F:F,MATCH($C458,'Policy Characteristics'!$C:$C,0)))</f>
        <v>0</v>
      </c>
      <c r="M458" s="275">
        <f>IF(ISBLANK(INDEX('Policy Characteristics'!G:G,MATCH($C458,'Policy Characteristics'!$C:$C,0))),"",INDEX('Policy Characteristics'!G:G,MATCH($C458,'Policy Characteristics'!$C:$C,0)))</f>
        <v>60</v>
      </c>
      <c r="N458" s="275">
        <f>IF(ISBLANK(INDEX('Policy Characteristics'!H:H,MATCH($C458,'Policy Characteristics'!$C:$C,0))),"",INDEX('Policy Characteristics'!H:H,MATCH($C458,'Policy Characteristics'!$C:$C,0)))</f>
        <v>1</v>
      </c>
      <c r="O458" s="275" t="str">
        <f>IF(ISBLANK(INDEX('Policy Characteristics'!I:I,MATCH($C458,'Policy Characteristics'!$C:$C,0))),"",INDEX('Policy Characteristics'!I:I,MATCH($C458,'Policy Characteristics'!$C:$C,0)))</f>
        <v>$/MWh</v>
      </c>
      <c r="P458" s="275" t="str">
        <f>IF(ISBLANK(INDEX('Policy Characteristics'!J:J,MATCH($C458,'Policy Characteristics'!$C:$C,0))),"",INDEX('Policy Characteristics'!J:J,MATCH($C458,'Policy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8" s="275" t="str">
        <f>IF(ISBLANK(INDEX('Policy Characteristics'!K:K,MATCH($C458,'Policy Characteristics'!$C:$C,0))),"",INDEX('Policy Characteristics'!K:K,MATCH($C458,'Policy Characteristics'!$C:$C,0)))</f>
        <v>electricity-sector-main.html#subsidies</v>
      </c>
      <c r="R458" s="275" t="str">
        <f>IF(ISBLANK(INDEX('Policy Characteristics'!L:L,MATCH($C458,'Policy Characteristics'!$C:$C,0))),"",INDEX('Policy Characteristics'!L:L,MATCH($C458,'Policy Characteristics'!$C:$C,0)))</f>
        <v>subsidy-for-electricity-production.html</v>
      </c>
      <c r="S458" s="336"/>
    </row>
    <row r="459" spans="1:19" x14ac:dyDescent="0.25">
      <c r="A459" s="275" t="str">
        <f>IF(ISBLANK(INDEX('Policy Characteristics'!A:A,MATCH($C459,'Policy Characteristics'!$C:$C,0))),"",INDEX('Policy Characteristics'!A:A,MATCH($C459,'Policy Characteristics'!$C:$C,0)))</f>
        <v>Electricity Supply</v>
      </c>
      <c r="B459" s="284" t="str">
        <f>IF(ISBLANK(INDEX('Policy Characteristics'!B:B,MATCH($C459,'Policy Characteristics'!$C:$C,0))),"",INDEX('Policy Characteristics'!B:B,MATCH($C459,'Policy Characteristics'!$C:$C,0)))</f>
        <v>Subsidy for Electricity Production</v>
      </c>
      <c r="C459" s="275" t="str">
        <f t="shared" si="26"/>
        <v>Subsidy for Elec Production by Fuel</v>
      </c>
      <c r="D459" s="6" t="s">
        <v>3525</v>
      </c>
      <c r="E459" s="47"/>
      <c r="F459" s="6" t="s">
        <v>3530</v>
      </c>
      <c r="G459" s="336"/>
      <c r="H459" s="44">
        <v>1801</v>
      </c>
      <c r="I459" s="347" t="s">
        <v>43</v>
      </c>
      <c r="J459" s="276" t="str">
        <f>IF(ISBLANK(INDEX('Policy Characteristics'!D:D,MATCH($C459,'Policy Characteristics'!$C:$C,0))),"",INDEX('Policy Characteristics'!D:D,MATCH($C459,'Policy Characteristics'!$C:$C,0)))</f>
        <v>Subsidy for Electricity Production</v>
      </c>
      <c r="K459" s="275" t="str">
        <f>IF(ISBLANK(INDEX('Policy Characteristics'!E:E,MATCH($C459,'Policy Characteristics'!$C:$C,0))),"",INDEX('Policy Characteristics'!E:E,MATCH($C459,'Policy Characteristics'!$C:$C,0)))</f>
        <v>elec generation subsidy</v>
      </c>
      <c r="L459" s="275">
        <f>IF(ISBLANK(INDEX('Policy Characteristics'!F:F,MATCH($C459,'Policy Characteristics'!$C:$C,0))),"",INDEX('Policy Characteristics'!F:F,MATCH($C459,'Policy Characteristics'!$C:$C,0)))</f>
        <v>0</v>
      </c>
      <c r="M459" s="275">
        <f>IF(ISBLANK(INDEX('Policy Characteristics'!G:G,MATCH($C459,'Policy Characteristics'!$C:$C,0))),"",INDEX('Policy Characteristics'!G:G,MATCH($C459,'Policy Characteristics'!$C:$C,0)))</f>
        <v>60</v>
      </c>
      <c r="N459" s="275">
        <f>IF(ISBLANK(INDEX('Policy Characteristics'!H:H,MATCH($C459,'Policy Characteristics'!$C:$C,0))),"",INDEX('Policy Characteristics'!H:H,MATCH($C459,'Policy Characteristics'!$C:$C,0)))</f>
        <v>1</v>
      </c>
      <c r="O459" s="275" t="str">
        <f>IF(ISBLANK(INDEX('Policy Characteristics'!I:I,MATCH($C459,'Policy Characteristics'!$C:$C,0))),"",INDEX('Policy Characteristics'!I:I,MATCH($C459,'Policy Characteristics'!$C:$C,0)))</f>
        <v>$/MWh</v>
      </c>
      <c r="P459" s="275" t="str">
        <f>IF(ISBLANK(INDEX('Policy Characteristics'!J:J,MATCH($C459,'Policy Characteristics'!$C:$C,0))),"",INDEX('Policy Characteristics'!J:J,MATCH($C459,'Policy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9" s="275" t="str">
        <f>IF(ISBLANK(INDEX('Policy Characteristics'!K:K,MATCH($C459,'Policy Characteristics'!$C:$C,0))),"",INDEX('Policy Characteristics'!K:K,MATCH($C459,'Policy Characteristics'!$C:$C,0)))</f>
        <v>electricity-sector-main.html#subsidies</v>
      </c>
      <c r="R459" s="275" t="str">
        <f>IF(ISBLANK(INDEX('Policy Characteristics'!L:L,MATCH($C459,'Policy Characteristics'!$C:$C,0))),"",INDEX('Policy Characteristics'!L:L,MATCH($C459,'Policy Characteristics'!$C:$C,0)))</f>
        <v>subsidy-for-electricity-production.html</v>
      </c>
      <c r="S459" s="336"/>
    </row>
    <row r="460" spans="1:19" x14ac:dyDescent="0.25">
      <c r="A460" s="275" t="str">
        <f>IF(ISBLANK(INDEX('Policy Characteristics'!A:A,MATCH($C460,'Policy Characteristics'!$C:$C,0))),"",INDEX('Policy Characteristics'!A:A,MATCH($C460,'Policy Characteristics'!$C:$C,0)))</f>
        <v>Electricity Supply</v>
      </c>
      <c r="B460" s="284" t="str">
        <f>IF(ISBLANK(INDEX('Policy Characteristics'!B:B,MATCH($C460,'Policy Characteristics'!$C:$C,0))),"",INDEX('Policy Characteristics'!B:B,MATCH($C460,'Policy Characteristics'!$C:$C,0)))</f>
        <v>Subsidy for Electricity Production</v>
      </c>
      <c r="C460" s="275" t="str">
        <f t="shared" si="26"/>
        <v>Subsidy for Elec Production by Fuel</v>
      </c>
      <c r="D460" s="6" t="s">
        <v>3616</v>
      </c>
      <c r="E460" s="47"/>
      <c r="F460" s="6" t="s">
        <v>3614</v>
      </c>
      <c r="G460" s="336"/>
      <c r="H460" s="44">
        <v>1802</v>
      </c>
      <c r="I460" s="347" t="s">
        <v>43</v>
      </c>
      <c r="J460" s="276" t="str">
        <f>IF(ISBLANK(INDEX('Policy Characteristics'!D:D,MATCH($C460,'Policy Characteristics'!$C:$C,0))),"",INDEX('Policy Characteristics'!D:D,MATCH($C460,'Policy Characteristics'!$C:$C,0)))</f>
        <v>Subsidy for Electricity Production</v>
      </c>
      <c r="K460" s="275" t="str">
        <f>IF(ISBLANK(INDEX('Policy Characteristics'!E:E,MATCH($C460,'Policy Characteristics'!$C:$C,0))),"",INDEX('Policy Characteristics'!E:E,MATCH($C460,'Policy Characteristics'!$C:$C,0)))</f>
        <v>elec generation subsidy</v>
      </c>
      <c r="L460" s="275">
        <f>IF(ISBLANK(INDEX('Policy Characteristics'!F:F,MATCH($C460,'Policy Characteristics'!$C:$C,0))),"",INDEX('Policy Characteristics'!F:F,MATCH($C460,'Policy Characteristics'!$C:$C,0)))</f>
        <v>0</v>
      </c>
      <c r="M460" s="275">
        <f>IF(ISBLANK(INDEX('Policy Characteristics'!G:G,MATCH($C460,'Policy Characteristics'!$C:$C,0))),"",INDEX('Policy Characteristics'!G:G,MATCH($C460,'Policy Characteristics'!$C:$C,0)))</f>
        <v>60</v>
      </c>
      <c r="N460" s="275">
        <f>IF(ISBLANK(INDEX('Policy Characteristics'!H:H,MATCH($C460,'Policy Characteristics'!$C:$C,0))),"",INDEX('Policy Characteristics'!H:H,MATCH($C460,'Policy Characteristics'!$C:$C,0)))</f>
        <v>1</v>
      </c>
      <c r="O460" s="275" t="str">
        <f>IF(ISBLANK(INDEX('Policy Characteristics'!I:I,MATCH($C460,'Policy Characteristics'!$C:$C,0))),"",INDEX('Policy Characteristics'!I:I,MATCH($C460,'Policy Characteristics'!$C:$C,0)))</f>
        <v>$/MWh</v>
      </c>
      <c r="P460" s="275" t="str">
        <f>IF(ISBLANK(INDEX('Policy Characteristics'!J:J,MATCH($C460,'Policy Characteristics'!$C:$C,0))),"",INDEX('Policy Characteristics'!J:J,MATCH($C460,'Policy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60" s="275" t="str">
        <f>IF(ISBLANK(INDEX('Policy Characteristics'!K:K,MATCH($C460,'Policy Characteristics'!$C:$C,0))),"",INDEX('Policy Characteristics'!K:K,MATCH($C460,'Policy Characteristics'!$C:$C,0)))</f>
        <v>electricity-sector-main.html#subsidies</v>
      </c>
      <c r="R460" s="275" t="str">
        <f>IF(ISBLANK(INDEX('Policy Characteristics'!L:L,MATCH($C460,'Policy Characteristics'!$C:$C,0))),"",INDEX('Policy Characteristics'!L:L,MATCH($C460,'Policy Characteristics'!$C:$C,0)))</f>
        <v>subsidy-for-electricity-production.html</v>
      </c>
      <c r="S460" s="336"/>
    </row>
    <row r="461" spans="1:19" x14ac:dyDescent="0.25">
      <c r="A461" s="275" t="str">
        <f>IF(ISBLANK(INDEX('Policy Characteristics'!A:A,MATCH($C461,'Policy Characteristics'!$C:$C,0))),"",INDEX('Policy Characteristics'!A:A,MATCH($C461,'Policy Characteristics'!$C:$C,0)))</f>
        <v>Electricity Supply</v>
      </c>
      <c r="B461" s="284" t="str">
        <f>IF(ISBLANK(INDEX('Policy Characteristics'!B:B,MATCH($C461,'Policy Characteristics'!$C:$C,0))),"",INDEX('Policy Characteristics'!B:B,MATCH($C461,'Policy Characteristics'!$C:$C,0)))</f>
        <v>Subsidy for Electricity Production</v>
      </c>
      <c r="C461" s="275" t="str">
        <f t="shared" si="26"/>
        <v>Subsidy for Elec Production by Fuel</v>
      </c>
      <c r="D461" s="6" t="s">
        <v>3617</v>
      </c>
      <c r="E461" s="47"/>
      <c r="F461" s="6" t="s">
        <v>3615</v>
      </c>
      <c r="G461" s="336"/>
      <c r="H461" s="44">
        <v>2244</v>
      </c>
      <c r="I461" s="347" t="s">
        <v>43</v>
      </c>
      <c r="J461" s="276" t="str">
        <f>IF(ISBLANK(INDEX('Policy Characteristics'!D:D,MATCH($C461,'Policy Characteristics'!$C:$C,0))),"",INDEX('Policy Characteristics'!D:D,MATCH($C461,'Policy Characteristics'!$C:$C,0)))</f>
        <v>Subsidy for Electricity Production</v>
      </c>
      <c r="K461" s="275" t="str">
        <f>IF(ISBLANK(INDEX('Policy Characteristics'!E:E,MATCH($C461,'Policy Characteristics'!$C:$C,0))),"",INDEX('Policy Characteristics'!E:E,MATCH($C461,'Policy Characteristics'!$C:$C,0)))</f>
        <v>elec generation subsidy</v>
      </c>
      <c r="L461" s="275">
        <f>IF(ISBLANK(INDEX('Policy Characteristics'!F:F,MATCH($C461,'Policy Characteristics'!$C:$C,0))),"",INDEX('Policy Characteristics'!F:F,MATCH($C461,'Policy Characteristics'!$C:$C,0)))</f>
        <v>0</v>
      </c>
      <c r="M461" s="275">
        <f>IF(ISBLANK(INDEX('Policy Characteristics'!G:G,MATCH($C461,'Policy Characteristics'!$C:$C,0))),"",INDEX('Policy Characteristics'!G:G,MATCH($C461,'Policy Characteristics'!$C:$C,0)))</f>
        <v>60</v>
      </c>
      <c r="N461" s="275">
        <f>IF(ISBLANK(INDEX('Policy Characteristics'!H:H,MATCH($C461,'Policy Characteristics'!$C:$C,0))),"",INDEX('Policy Characteristics'!H:H,MATCH($C461,'Policy Characteristics'!$C:$C,0)))</f>
        <v>1</v>
      </c>
      <c r="O461" s="275" t="str">
        <f>IF(ISBLANK(INDEX('Policy Characteristics'!I:I,MATCH($C461,'Policy Characteristics'!$C:$C,0))),"",INDEX('Policy Characteristics'!I:I,MATCH($C461,'Policy Characteristics'!$C:$C,0)))</f>
        <v>$/MWh</v>
      </c>
      <c r="P461" s="275" t="str">
        <f>IF(ISBLANK(INDEX('Policy Characteristics'!J:J,MATCH($C461,'Policy Characteristics'!$C:$C,0))),"",INDEX('Policy Characteristics'!J:J,MATCH($C461,'Policy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61" s="275" t="str">
        <f>IF(ISBLANK(INDEX('Policy Characteristics'!K:K,MATCH($C461,'Policy Characteristics'!$C:$C,0))),"",INDEX('Policy Characteristics'!K:K,MATCH($C461,'Policy Characteristics'!$C:$C,0)))</f>
        <v>electricity-sector-main.html#subsidies</v>
      </c>
      <c r="R461" s="275"/>
      <c r="S461" s="336"/>
    </row>
    <row r="462" spans="1:19" x14ac:dyDescent="0.25">
      <c r="A462" s="275" t="str">
        <f>IF(ISBLANK(INDEX('Policy Characteristics'!A:A,MATCH($C462,'Policy Characteristics'!$C:$C,0))),"",INDEX('Policy Characteristics'!A:A,MATCH($C462,'Policy Characteristics'!$C:$C,0)))</f>
        <v>Electricity Supply</v>
      </c>
      <c r="B462" s="284" t="str">
        <f>IF(ISBLANK(INDEX('Policy Characteristics'!B:B,MATCH($C462,'Policy Characteristics'!$C:$C,0))),"",INDEX('Policy Characteristics'!B:B,MATCH($C462,'Policy Characteristics'!$C:$C,0)))</f>
        <v>Use EVs for Grid Balancing</v>
      </c>
      <c r="C462" s="1" t="s">
        <v>3609</v>
      </c>
      <c r="D462" s="6"/>
      <c r="E462" s="47"/>
      <c r="F462" s="6"/>
      <c r="G462" s="6"/>
      <c r="H462" s="44">
        <v>2235</v>
      </c>
      <c r="I462" s="347" t="s">
        <v>43</v>
      </c>
      <c r="J462" s="276" t="str">
        <f>IF(ISBLANK(INDEX('Policy Characteristics'!D:D,MATCH($C462,'Policy Characteristics'!$C:$C,0))),"",INDEX('Policy Characteristics'!D:D,MATCH($C462,'Policy Characteristics'!$C:$C,0)))</f>
        <v>EVs for Grid Balancing</v>
      </c>
      <c r="K462" s="275" t="str">
        <f>IF(ISBLANK(INDEX('Policy Characteristics'!E:E,MATCH($C462,'Policy Characteristics'!$C:$C,0))),"",INDEX('Policy Characteristics'!E:E,MATCH($C462,'Policy Characteristics'!$C:$C,0)))</f>
        <v>elec use EVs for grid balancing</v>
      </c>
      <c r="L462" s="394">
        <f>IF(ISBLANK(INDEX('Policy Characteristics'!F:F,MATCH($C462,'Policy Characteristics'!$C:$C,0))),"",INDEX('Policy Characteristics'!F:F,MATCH($C462,'Policy Characteristics'!$C:$C,0)))</f>
        <v>0</v>
      </c>
      <c r="M462" s="394">
        <f>IF(ISBLANK(INDEX('Policy Characteristics'!G:G,MATCH($C462,'Policy Characteristics'!$C:$C,0))),"",INDEX('Policy Characteristics'!G:G,MATCH($C462,'Policy Characteristics'!$C:$C,0)))</f>
        <v>1</v>
      </c>
      <c r="N462" s="394">
        <f>IF(ISBLANK(INDEX('Policy Characteristics'!H:H,MATCH($C462,'Policy Characteristics'!$C:$C,0))),"",INDEX('Policy Characteristics'!H:H,MATCH($C462,'Policy Characteristics'!$C:$C,0)))</f>
        <v>0.01</v>
      </c>
      <c r="O462" s="275" t="str">
        <f>IF(ISBLANK(INDEX('Policy Characteristics'!I:I,MATCH($C462,'Policy Characteristics'!$C:$C,0))),"",INDEX('Policy Characteristics'!I:I,MATCH($C462,'Policy Characteristics'!$C:$C,0)))</f>
        <v>% of EVs used</v>
      </c>
      <c r="P462" s="275" t="str">
        <f>IF(ISBLANK(INDEX('Policy Characteristics'!J:J,MATCH($C462,'Policy Characteristics'!$C:$C,0))),"",INDEX('Policy Characteristics'!J:J,MATCH($C462,'Policy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462" s="275" t="str">
        <f>IF(ISBLANK(INDEX('Policy Characteristics'!K:K,MATCH($C462,'Policy Characteristics'!$C:$C,0))),"",INDEX('Policy Characteristics'!K:K,MATCH($C462,'Policy Characteristics'!$C:$C,0)))</f>
        <v/>
      </c>
      <c r="R462" s="275" t="str">
        <f>IF(ISBLANK(INDEX('Policy Characteristics'!L:L,MATCH($C462,'Policy Characteristics'!$C:$C,0))),"",INDEX('Policy Characteristics'!L:L,MATCH($C462,'Policy Characteristics'!$C:$C,0)))</f>
        <v/>
      </c>
      <c r="S462" s="336"/>
    </row>
    <row r="463" spans="1:19" ht="30" x14ac:dyDescent="0.25">
      <c r="A463" s="275" t="str">
        <f>IF(ISBLANK(INDEX('Policy Characteristics'!A:A,MATCH($C463,'Policy Characteristics'!$C:$C,0))),"",INDEX('Policy Characteristics'!A:A,MATCH($C463,'Policy Characteristics'!$C:$C,0)))</f>
        <v>Electricity Supply</v>
      </c>
      <c r="B463" s="284" t="str">
        <f>IF(ISBLANK(INDEX('Policy Characteristics'!B:B,MATCH($C463,'Policy Characteristics'!$C:$C,0))),"",INDEX('Policy Characteristics'!B:B,MATCH($C463,'Policy Characteristics'!$C:$C,0)))</f>
        <v>Subsidy for Grid Battery Output</v>
      </c>
      <c r="C463" s="1" t="s">
        <v>3669</v>
      </c>
      <c r="D463" s="6"/>
      <c r="E463" s="47"/>
      <c r="F463" s="6"/>
      <c r="G463" s="6"/>
      <c r="H463" s="44">
        <v>2258</v>
      </c>
      <c r="I463" s="347" t="s">
        <v>43</v>
      </c>
      <c r="J463" s="276" t="str">
        <f>IF(ISBLANK(INDEX('Policy Characteristics'!D:D,MATCH($C463,'Policy Characteristics'!$C:$C,0))),"",INDEX('Policy Characteristics'!D:D,MATCH($C463,'Policy Characteristics'!$C:$C,0)))</f>
        <v>Grid Battery Subsidy</v>
      </c>
      <c r="K463" s="275" t="str">
        <f>IF(ISBLANK(INDEX('Policy Characteristics'!E:E,MATCH($C463,'Policy Characteristics'!$C:$C,0))),"",INDEX('Policy Characteristics'!E:E,MATCH($C463,'Policy Characteristics'!$C:$C,0)))</f>
        <v>elec battery subsidy per output</v>
      </c>
      <c r="L463" s="394">
        <f>IF(ISBLANK(INDEX('Policy Characteristics'!F:F,MATCH($C463,'Policy Characteristics'!$C:$C,0))),"",INDEX('Policy Characteristics'!F:F,MATCH($C463,'Policy Characteristics'!$C:$C,0)))</f>
        <v>0</v>
      </c>
      <c r="M463" s="394">
        <f>IF(ISBLANK(INDEX('Policy Characteristics'!G:G,MATCH($C463,'Policy Characteristics'!$C:$C,0))),"",INDEX('Policy Characteristics'!G:G,MATCH($C463,'Policy Characteristics'!$C:$C,0)))</f>
        <v>100</v>
      </c>
      <c r="N463" s="394">
        <f>IF(ISBLANK(INDEX('Policy Characteristics'!H:H,MATCH($C463,'Policy Characteristics'!$C:$C,0))),"",INDEX('Policy Characteristics'!H:H,MATCH($C463,'Policy Characteristics'!$C:$C,0)))</f>
        <v>5</v>
      </c>
      <c r="O463" s="275" t="str">
        <f>IF(ISBLANK(INDEX('Policy Characteristics'!I:I,MATCH($C463,'Policy Characteristics'!$C:$C,0))),"",INDEX('Policy Characteristics'!I:I,MATCH($C463,'Policy Characteristics'!$C:$C,0)))</f>
        <v>$ / MWh</v>
      </c>
      <c r="P463" s="275" t="str">
        <f>IF(ISBLANK(INDEX('Policy Characteristics'!J:J,MATCH($C463,'Policy Characteristics'!$C:$C,0))),"",INDEX('Policy Characteristics'!J:J,MATCH($C463,'Policy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463" s="275" t="str">
        <f>IF(ISBLANK(INDEX('Policy Characteristics'!K:K,MATCH($C463,'Policy Characteristics'!$C:$C,0))),"",INDEX('Policy Characteristics'!K:K,MATCH($C463,'Policy Characteristics'!$C:$C,0)))</f>
        <v/>
      </c>
      <c r="R463" s="275"/>
      <c r="S463" s="336"/>
    </row>
    <row r="464" spans="1:19" ht="30" x14ac:dyDescent="0.25">
      <c r="A464" s="275" t="str">
        <f>IF(ISBLANK(INDEX('Policy Characteristics'!A:A,MATCH($C464,'Policy Characteristics'!$C:$C,0))),"",INDEX('Policy Characteristics'!A:A,MATCH($C464,'Policy Characteristics'!$C:$C,0)))</f>
        <v>Electricity Supply</v>
      </c>
      <c r="B464" s="284" t="str">
        <f>IF(ISBLANK(INDEX('Policy Characteristics'!B:B,MATCH($C464,'Policy Characteristics'!$C:$C,0))),"",INDEX('Policy Characteristics'!B:B,MATCH($C464,'Policy Characteristics'!$C:$C,0)))</f>
        <v>Subsidy for Grid Battery Capacity</v>
      </c>
      <c r="C464" s="1" t="s">
        <v>3673</v>
      </c>
      <c r="D464" s="6"/>
      <c r="E464" s="47"/>
      <c r="F464" s="6"/>
      <c r="G464" s="6"/>
      <c r="H464" s="44">
        <v>2259</v>
      </c>
      <c r="I464" s="347" t="s">
        <v>43</v>
      </c>
      <c r="J464" s="276" t="str">
        <f>IF(ISBLANK(INDEX('Policy Characteristics'!D:D,MATCH($C464,'Policy Characteristics'!$C:$C,0))),"",INDEX('Policy Characteristics'!D:D,MATCH($C464,'Policy Characteristics'!$C:$C,0)))</f>
        <v>Grid Battery Subsidy</v>
      </c>
      <c r="K464" s="275" t="str">
        <f>IF(ISBLANK(INDEX('Policy Characteristics'!E:E,MATCH($C464,'Policy Characteristics'!$C:$C,0))),"",INDEX('Policy Characteristics'!E:E,MATCH($C464,'Policy Characteristics'!$C:$C,0)))</f>
        <v>elec battery construction subsidy</v>
      </c>
      <c r="L464" s="394">
        <f>IF(ISBLANK(INDEX('Policy Characteristics'!F:F,MATCH($C464,'Policy Characteristics'!$C:$C,0))),"",INDEX('Policy Characteristics'!F:F,MATCH($C464,'Policy Characteristics'!$C:$C,0)))</f>
        <v>0</v>
      </c>
      <c r="M464" s="394">
        <f>IF(ISBLANK(INDEX('Policy Characteristics'!G:G,MATCH($C464,'Policy Characteristics'!$C:$C,0))),"",INDEX('Policy Characteristics'!G:G,MATCH($C464,'Policy Characteristics'!$C:$C,0)))</f>
        <v>1</v>
      </c>
      <c r="N464" s="394">
        <f>IF(ISBLANK(INDEX('Policy Characteristics'!H:H,MATCH($C464,'Policy Characteristics'!$C:$C,0))),"",INDEX('Policy Characteristics'!H:H,MATCH($C464,'Policy Characteristics'!$C:$C,0)))</f>
        <v>0.01</v>
      </c>
      <c r="O464" s="275" t="str">
        <f>IF(ISBLANK(INDEX('Policy Characteristics'!I:I,MATCH($C464,'Policy Characteristics'!$C:$C,0))),"",INDEX('Policy Characteristics'!I:I,MATCH($C464,'Policy Characteristics'!$C:$C,0)))</f>
        <v>% of capital costs</v>
      </c>
      <c r="P464" s="275" t="str">
        <f>IF(ISBLANK(INDEX('Policy Characteristics'!J:J,MATCH($C464,'Policy Characteristics'!$C:$C,0))),"",INDEX('Policy Characteristics'!J:J,MATCH($C464,'Policy Characteristics'!$C:$C,0)))</f>
        <v>**Description:** This policy subsidizes a percentage of grid battery capacity costs, additional to any BAU capacity construction subsidies.  // **Guidance for setting values:** The Inflation Reduction Act provides tax credits for grid battery capacity additions, with the value depending on whether the project meets certain criteria for bonus credits. We assume an average tax credit of 42%.</v>
      </c>
      <c r="Q464" s="275" t="str">
        <f>IF(ISBLANK(INDEX('Policy Characteristics'!K:K,MATCH($C464,'Policy Characteristics'!$C:$C,0))),"",INDEX('Policy Characteristics'!K:K,MATCH($C464,'Policy Characteristics'!$C:$C,0)))</f>
        <v/>
      </c>
      <c r="R464" s="275"/>
      <c r="S464" s="336"/>
    </row>
    <row r="465" spans="1:18" x14ac:dyDescent="0.25">
      <c r="A465" s="275" t="str">
        <f>IF(ISBLANK(INDEX('Policy Characteristics'!A:A,MATCH($C465,'Policy Characteristics'!$C:$C,0))),"",INDEX('Policy Characteristics'!A:A,MATCH($C465,'Policy Characteristics'!$C:$C,0)))</f>
        <v>Electricity Supply</v>
      </c>
      <c r="B465" s="284" t="str">
        <f>IF(ISBLANK(INDEX('Policy Characteristics'!B:B,MATCH($C465,'Policy Characteristics'!$C:$C,0))),"",INDEX('Policy Characteristics'!B:B,MATCH($C465,'Policy Characteristics'!$C:$C,0)))</f>
        <v>Electricity CCS Subsidy</v>
      </c>
      <c r="C465" s="1" t="s">
        <v>3681</v>
      </c>
      <c r="D465" s="47" t="s">
        <v>448</v>
      </c>
      <c r="F465" s="47" t="s">
        <v>447</v>
      </c>
      <c r="H465" s="44">
        <v>2260</v>
      </c>
      <c r="I465" s="1" t="s">
        <v>44</v>
      </c>
      <c r="J465" s="276" t="str">
        <f>IF(ISBLANK(INDEX('Policy Characteristics'!D:D,MATCH($C465,'Policy Characteristics'!$C:$C,0))),"",INDEX('Policy Characteristics'!D:D,MATCH($C465,'Policy Characteristics'!$C:$C,0)))</f>
        <v>Electricity CCS Subsidy</v>
      </c>
      <c r="K465" s="275" t="str">
        <f>IF(ISBLANK(INDEX('Policy Characteristics'!E:E,MATCH($C465,'Policy Characteristics'!$C:$C,0))),"",INDEX('Policy Characteristics'!E:E,MATCH($C465,'Policy Characteristics'!$C:$C,0)))</f>
        <v>elec CCS subsidy</v>
      </c>
      <c r="L465" s="394">
        <f>IF(ISBLANK(INDEX('Policy Characteristics'!F:F,MATCH($C465,'Policy Characteristics'!$C:$C,0))),"",INDEX('Policy Characteristics'!F:F,MATCH($C465,'Policy Characteristics'!$C:$C,0)))</f>
        <v>0</v>
      </c>
      <c r="M465" s="394">
        <f>IF(ISBLANK(INDEX('Policy Characteristics'!G:G,MATCH($C465,'Policy Characteristics'!$C:$C,0))),"",INDEX('Policy Characteristics'!G:G,MATCH($C465,'Policy Characteristics'!$C:$C,0)))</f>
        <v>100</v>
      </c>
      <c r="N465" s="394">
        <f>IF(ISBLANK(INDEX('Policy Characteristics'!H:H,MATCH($C465,'Policy Characteristics'!$C:$C,0))),"",INDEX('Policy Characteristics'!H:H,MATCH($C465,'Policy Characteristics'!$C:$C,0)))</f>
        <v>5</v>
      </c>
      <c r="O465" s="275" t="str">
        <f>IF(ISBLANK(INDEX('Policy Characteristics'!I:I,MATCH($C465,'Policy Characteristics'!$C:$C,0))),"",INDEX('Policy Characteristics'!I:I,MATCH($C465,'Policy Characteristics'!$C:$C,0)))</f>
        <v>$ / metric ton CO2e</v>
      </c>
      <c r="P465" s="275" t="str">
        <f>IF(ISBLANK(INDEX('Policy Characteristics'!J:J,MATCH($C465,'Policy Characteristics'!$C:$C,0))),"",INDEX('Policy Characteristics'!J:J,MATCH($C465,'Policy Characteristics'!$C:$C,0)))</f>
        <v>**Description:** This policy provides a dollar per metric ton CO2e subsidy, additional to any BAU subsidies.  // **Guidance for setting values:** The 45Q tax credits provide $85 per metric ton CO2e stored, which is included in the BAU case.</v>
      </c>
      <c r="R465" s="1"/>
    </row>
    <row r="466" spans="1:18" x14ac:dyDescent="0.25">
      <c r="A466" s="275" t="str">
        <f>IF(ISBLANK(INDEX('Policy Characteristics'!A:A,MATCH($C466,'Policy Characteristics'!$C:$C,0))),"",INDEX('Policy Characteristics'!A:A,MATCH($C466,'Policy Characteristics'!$C:$C,0)))</f>
        <v>Electricity Supply</v>
      </c>
      <c r="B466" s="284" t="str">
        <f>IF(ISBLANK(INDEX('Policy Characteristics'!B:B,MATCH($C466,'Policy Characteristics'!$C:$C,0))),"",INDEX('Policy Characteristics'!B:B,MATCH($C466,'Policy Characteristics'!$C:$C,0)))</f>
        <v>Electricity CCS Subsidy</v>
      </c>
      <c r="C466" s="275" t="str">
        <f>$C$465</f>
        <v>Additional Subsidy for Elec CCS</v>
      </c>
      <c r="D466" s="6" t="s">
        <v>3520</v>
      </c>
      <c r="F466" s="6" t="s">
        <v>3453</v>
      </c>
      <c r="H466" s="44">
        <v>2261</v>
      </c>
      <c r="I466" s="1" t="s">
        <v>44</v>
      </c>
      <c r="J466" s="276" t="str">
        <f>IF(ISBLANK(INDEX('Policy Characteristics'!D:D,MATCH($C466,'Policy Characteristics'!$C:$C,0))),"",INDEX('Policy Characteristics'!D:D,MATCH($C466,'Policy Characteristics'!$C:$C,0)))</f>
        <v>Electricity CCS Subsidy</v>
      </c>
      <c r="K466" s="275" t="str">
        <f>IF(ISBLANK(INDEX('Policy Characteristics'!E:E,MATCH($C466,'Policy Characteristics'!$C:$C,0))),"",INDEX('Policy Characteristics'!E:E,MATCH($C466,'Policy Characteristics'!$C:$C,0)))</f>
        <v>elec CCS subsidy</v>
      </c>
      <c r="L466" s="394">
        <f>IF(ISBLANK(INDEX('Policy Characteristics'!F:F,MATCH($C466,'Policy Characteristics'!$C:$C,0))),"",INDEX('Policy Characteristics'!F:F,MATCH($C466,'Policy Characteristics'!$C:$C,0)))</f>
        <v>0</v>
      </c>
      <c r="M466" s="394">
        <f>IF(ISBLANK(INDEX('Policy Characteristics'!G:G,MATCH($C466,'Policy Characteristics'!$C:$C,0))),"",INDEX('Policy Characteristics'!G:G,MATCH($C466,'Policy Characteristics'!$C:$C,0)))</f>
        <v>100</v>
      </c>
      <c r="N466" s="394">
        <f>IF(ISBLANK(INDEX('Policy Characteristics'!H:H,MATCH($C466,'Policy Characteristics'!$C:$C,0))),"",INDEX('Policy Characteristics'!H:H,MATCH($C466,'Policy Characteristics'!$C:$C,0)))</f>
        <v>5</v>
      </c>
      <c r="O466" s="275" t="str">
        <f>IF(ISBLANK(INDEX('Policy Characteristics'!I:I,MATCH($C466,'Policy Characteristics'!$C:$C,0))),"",INDEX('Policy Characteristics'!I:I,MATCH($C466,'Policy Characteristics'!$C:$C,0)))</f>
        <v>$ / metric ton CO2e</v>
      </c>
      <c r="P466" s="275" t="str">
        <f>IF(ISBLANK(INDEX('Policy Characteristics'!J:J,MATCH($C466,'Policy Characteristics'!$C:$C,0))),"",INDEX('Policy Characteristics'!J:J,MATCH($C466,'Policy Characteristics'!$C:$C,0)))</f>
        <v>**Description:** This policy provides a dollar per metric ton CO2e subsidy, additional to any BAU subsidies.  // **Guidance for setting values:** The 45Q tax credits provide $85 per metric ton CO2e stored, which is included in the BAU case.</v>
      </c>
      <c r="R466" s="1"/>
    </row>
    <row r="467" spans="1:18" x14ac:dyDescent="0.25">
      <c r="A467" s="275" t="str">
        <f>IF(ISBLANK(INDEX('Policy Characteristics'!A:A,MATCH($C467,'Policy Characteristics'!$C:$C,0))),"",INDEX('Policy Characteristics'!A:A,MATCH($C467,'Policy Characteristics'!$C:$C,0)))</f>
        <v>Electricity Supply</v>
      </c>
      <c r="B467" s="284" t="str">
        <f>IF(ISBLANK(INDEX('Policy Characteristics'!B:B,MATCH($C467,'Policy Characteristics'!$C:$C,0))),"",INDEX('Policy Characteristics'!B:B,MATCH($C467,'Policy Characteristics'!$C:$C,0)))</f>
        <v>Electricity CCS Subsidy</v>
      </c>
      <c r="C467" s="275" t="str">
        <f t="shared" ref="C467:C488" si="27">$C$465</f>
        <v>Additional Subsidy for Elec CCS</v>
      </c>
      <c r="D467" s="6" t="s">
        <v>3521</v>
      </c>
      <c r="F467" s="6" t="s">
        <v>3454</v>
      </c>
      <c r="H467" s="44">
        <v>2262</v>
      </c>
      <c r="I467" s="1" t="s">
        <v>44</v>
      </c>
      <c r="J467" s="276" t="str">
        <f>IF(ISBLANK(INDEX('Policy Characteristics'!D:D,MATCH($C467,'Policy Characteristics'!$C:$C,0))),"",INDEX('Policy Characteristics'!D:D,MATCH($C467,'Policy Characteristics'!$C:$C,0)))</f>
        <v>Electricity CCS Subsidy</v>
      </c>
      <c r="K467" s="275" t="str">
        <f>IF(ISBLANK(INDEX('Policy Characteristics'!E:E,MATCH($C467,'Policy Characteristics'!$C:$C,0))),"",INDEX('Policy Characteristics'!E:E,MATCH($C467,'Policy Characteristics'!$C:$C,0)))</f>
        <v>elec CCS subsidy</v>
      </c>
      <c r="L467" s="394">
        <f>IF(ISBLANK(INDEX('Policy Characteristics'!F:F,MATCH($C467,'Policy Characteristics'!$C:$C,0))),"",INDEX('Policy Characteristics'!F:F,MATCH($C467,'Policy Characteristics'!$C:$C,0)))</f>
        <v>0</v>
      </c>
      <c r="M467" s="394">
        <f>IF(ISBLANK(INDEX('Policy Characteristics'!G:G,MATCH($C467,'Policy Characteristics'!$C:$C,0))),"",INDEX('Policy Characteristics'!G:G,MATCH($C467,'Policy Characteristics'!$C:$C,0)))</f>
        <v>100</v>
      </c>
      <c r="N467" s="394">
        <f>IF(ISBLANK(INDEX('Policy Characteristics'!H:H,MATCH($C467,'Policy Characteristics'!$C:$C,0))),"",INDEX('Policy Characteristics'!H:H,MATCH($C467,'Policy Characteristics'!$C:$C,0)))</f>
        <v>5</v>
      </c>
      <c r="O467" s="275" t="str">
        <f>IF(ISBLANK(INDEX('Policy Characteristics'!I:I,MATCH($C467,'Policy Characteristics'!$C:$C,0))),"",INDEX('Policy Characteristics'!I:I,MATCH($C467,'Policy Characteristics'!$C:$C,0)))</f>
        <v>$ / metric ton CO2e</v>
      </c>
      <c r="P467" s="275" t="str">
        <f>IF(ISBLANK(INDEX('Policy Characteristics'!J:J,MATCH($C467,'Policy Characteristics'!$C:$C,0))),"",INDEX('Policy Characteristics'!J:J,MATCH($C467,'Policy Characteristics'!$C:$C,0)))</f>
        <v>**Description:** This policy provides a dollar per metric ton CO2e subsidy, additional to any BAU subsidies.  // **Guidance for setting values:** The 45Q tax credits provide $85 per metric ton CO2e stored, which is included in the BAU case.</v>
      </c>
      <c r="R467" s="1"/>
    </row>
    <row r="468" spans="1:18" x14ac:dyDescent="0.25">
      <c r="A468" s="275" t="str">
        <f>IF(ISBLANK(INDEX('Policy Characteristics'!A:A,MATCH($C468,'Policy Characteristics'!$C:$C,0))),"",INDEX('Policy Characteristics'!A:A,MATCH($C468,'Policy Characteristics'!$C:$C,0)))</f>
        <v>Electricity Supply</v>
      </c>
      <c r="B468" s="284" t="str">
        <f>IF(ISBLANK(INDEX('Policy Characteristics'!B:B,MATCH($C468,'Policy Characteristics'!$C:$C,0))),"",INDEX('Policy Characteristics'!B:B,MATCH($C468,'Policy Characteristics'!$C:$C,0)))</f>
        <v>Electricity CCS Subsidy</v>
      </c>
      <c r="C468" s="275" t="str">
        <f t="shared" si="27"/>
        <v>Additional Subsidy for Elec CCS</v>
      </c>
      <c r="D468" s="6" t="s">
        <v>76</v>
      </c>
      <c r="F468" s="6" t="s">
        <v>3531</v>
      </c>
      <c r="H468" s="44">
        <v>2263</v>
      </c>
      <c r="I468" s="1" t="s">
        <v>44</v>
      </c>
      <c r="J468" s="276" t="str">
        <f>IF(ISBLANK(INDEX('Policy Characteristics'!D:D,MATCH($C468,'Policy Characteristics'!$C:$C,0))),"",INDEX('Policy Characteristics'!D:D,MATCH($C468,'Policy Characteristics'!$C:$C,0)))</f>
        <v>Electricity CCS Subsidy</v>
      </c>
      <c r="K468" s="275" t="str">
        <f>IF(ISBLANK(INDEX('Policy Characteristics'!E:E,MATCH($C468,'Policy Characteristics'!$C:$C,0))),"",INDEX('Policy Characteristics'!E:E,MATCH($C468,'Policy Characteristics'!$C:$C,0)))</f>
        <v>elec CCS subsidy</v>
      </c>
      <c r="L468" s="394">
        <f>IF(ISBLANK(INDEX('Policy Characteristics'!F:F,MATCH($C468,'Policy Characteristics'!$C:$C,0))),"",INDEX('Policy Characteristics'!F:F,MATCH($C468,'Policy Characteristics'!$C:$C,0)))</f>
        <v>0</v>
      </c>
      <c r="M468" s="394">
        <f>IF(ISBLANK(INDEX('Policy Characteristics'!G:G,MATCH($C468,'Policy Characteristics'!$C:$C,0))),"",INDEX('Policy Characteristics'!G:G,MATCH($C468,'Policy Characteristics'!$C:$C,0)))</f>
        <v>100</v>
      </c>
      <c r="N468" s="394">
        <f>IF(ISBLANK(INDEX('Policy Characteristics'!H:H,MATCH($C468,'Policy Characteristics'!$C:$C,0))),"",INDEX('Policy Characteristics'!H:H,MATCH($C468,'Policy Characteristics'!$C:$C,0)))</f>
        <v>5</v>
      </c>
      <c r="O468" s="275" t="str">
        <f>IF(ISBLANK(INDEX('Policy Characteristics'!I:I,MATCH($C468,'Policy Characteristics'!$C:$C,0))),"",INDEX('Policy Characteristics'!I:I,MATCH($C468,'Policy Characteristics'!$C:$C,0)))</f>
        <v>$ / metric ton CO2e</v>
      </c>
      <c r="P468" s="275" t="str">
        <f>IF(ISBLANK(INDEX('Policy Characteristics'!J:J,MATCH($C468,'Policy Characteristics'!$C:$C,0))),"",INDEX('Policy Characteristics'!J:J,MATCH($C468,'Policy Characteristics'!$C:$C,0)))</f>
        <v>**Description:** This policy provides a dollar per metric ton CO2e subsidy, additional to any BAU subsidies.  // **Guidance for setting values:** The 45Q tax credits provide $85 per metric ton CO2e stored, which is included in the BAU case.</v>
      </c>
      <c r="R468" s="1"/>
    </row>
    <row r="469" spans="1:18" x14ac:dyDescent="0.25">
      <c r="A469" s="275" t="str">
        <f>IF(ISBLANK(INDEX('Policy Characteristics'!A:A,MATCH($C469,'Policy Characteristics'!$C:$C,0))),"",INDEX('Policy Characteristics'!A:A,MATCH($C469,'Policy Characteristics'!$C:$C,0)))</f>
        <v>Electricity Supply</v>
      </c>
      <c r="B469" s="284" t="str">
        <f>IF(ISBLANK(INDEX('Policy Characteristics'!B:B,MATCH($C469,'Policy Characteristics'!$C:$C,0))),"",INDEX('Policy Characteristics'!B:B,MATCH($C469,'Policy Characteristics'!$C:$C,0)))</f>
        <v>Electricity CCS Subsidy</v>
      </c>
      <c r="C469" s="275" t="str">
        <f t="shared" si="27"/>
        <v>Additional Subsidy for Elec CCS</v>
      </c>
      <c r="D469" s="6" t="s">
        <v>77</v>
      </c>
      <c r="F469" s="6" t="s">
        <v>89</v>
      </c>
      <c r="H469" s="44">
        <v>2264</v>
      </c>
      <c r="I469" s="1" t="s">
        <v>44</v>
      </c>
      <c r="J469" s="276" t="str">
        <f>IF(ISBLANK(INDEX('Policy Characteristics'!D:D,MATCH($C469,'Policy Characteristics'!$C:$C,0))),"",INDEX('Policy Characteristics'!D:D,MATCH($C469,'Policy Characteristics'!$C:$C,0)))</f>
        <v>Electricity CCS Subsidy</v>
      </c>
      <c r="K469" s="275" t="str">
        <f>IF(ISBLANK(INDEX('Policy Characteristics'!E:E,MATCH($C469,'Policy Characteristics'!$C:$C,0))),"",INDEX('Policy Characteristics'!E:E,MATCH($C469,'Policy Characteristics'!$C:$C,0)))</f>
        <v>elec CCS subsidy</v>
      </c>
      <c r="L469" s="394">
        <f>IF(ISBLANK(INDEX('Policy Characteristics'!F:F,MATCH($C469,'Policy Characteristics'!$C:$C,0))),"",INDEX('Policy Characteristics'!F:F,MATCH($C469,'Policy Characteristics'!$C:$C,0)))</f>
        <v>0</v>
      </c>
      <c r="M469" s="394">
        <f>IF(ISBLANK(INDEX('Policy Characteristics'!G:G,MATCH($C469,'Policy Characteristics'!$C:$C,0))),"",INDEX('Policy Characteristics'!G:G,MATCH($C469,'Policy Characteristics'!$C:$C,0)))</f>
        <v>100</v>
      </c>
      <c r="N469" s="394">
        <f>IF(ISBLANK(INDEX('Policy Characteristics'!H:H,MATCH($C469,'Policy Characteristics'!$C:$C,0))),"",INDEX('Policy Characteristics'!H:H,MATCH($C469,'Policy Characteristics'!$C:$C,0)))</f>
        <v>5</v>
      </c>
      <c r="O469" s="275" t="str">
        <f>IF(ISBLANK(INDEX('Policy Characteristics'!I:I,MATCH($C469,'Policy Characteristics'!$C:$C,0))),"",INDEX('Policy Characteristics'!I:I,MATCH($C469,'Policy Characteristics'!$C:$C,0)))</f>
        <v>$ / metric ton CO2e</v>
      </c>
      <c r="P469" s="275" t="str">
        <f>IF(ISBLANK(INDEX('Policy Characteristics'!J:J,MATCH($C469,'Policy Characteristics'!$C:$C,0))),"",INDEX('Policy Characteristics'!J:J,MATCH($C469,'Policy Characteristics'!$C:$C,0)))</f>
        <v>**Description:** This policy provides a dollar per metric ton CO2e subsidy, additional to any BAU subsidies.  // **Guidance for setting values:** The 45Q tax credits provide $85 per metric ton CO2e stored, which is included in the BAU case.</v>
      </c>
      <c r="R469" s="1"/>
    </row>
    <row r="470" spans="1:18" x14ac:dyDescent="0.25">
      <c r="A470" s="275" t="str">
        <f>IF(ISBLANK(INDEX('Policy Characteristics'!A:A,MATCH($C470,'Policy Characteristics'!$C:$C,0))),"",INDEX('Policy Characteristics'!A:A,MATCH($C470,'Policy Characteristics'!$C:$C,0)))</f>
        <v>Electricity Supply</v>
      </c>
      <c r="B470" s="284" t="str">
        <f>IF(ISBLANK(INDEX('Policy Characteristics'!B:B,MATCH($C470,'Policy Characteristics'!$C:$C,0))),"",INDEX('Policy Characteristics'!B:B,MATCH($C470,'Policy Characteristics'!$C:$C,0)))</f>
        <v>Electricity CCS Subsidy</v>
      </c>
      <c r="C470" s="275" t="str">
        <f t="shared" si="27"/>
        <v>Additional Subsidy for Elec CCS</v>
      </c>
      <c r="D470" s="6" t="s">
        <v>449</v>
      </c>
      <c r="F470" s="6" t="s">
        <v>452</v>
      </c>
      <c r="H470" s="44">
        <v>2265</v>
      </c>
      <c r="I470" s="1" t="s">
        <v>44</v>
      </c>
      <c r="J470" s="276" t="str">
        <f>IF(ISBLANK(INDEX('Policy Characteristics'!D:D,MATCH($C470,'Policy Characteristics'!$C:$C,0))),"",INDEX('Policy Characteristics'!D:D,MATCH($C470,'Policy Characteristics'!$C:$C,0)))</f>
        <v>Electricity CCS Subsidy</v>
      </c>
      <c r="K470" s="275" t="str">
        <f>IF(ISBLANK(INDEX('Policy Characteristics'!E:E,MATCH($C470,'Policy Characteristics'!$C:$C,0))),"",INDEX('Policy Characteristics'!E:E,MATCH($C470,'Policy Characteristics'!$C:$C,0)))</f>
        <v>elec CCS subsidy</v>
      </c>
      <c r="L470" s="394">
        <f>IF(ISBLANK(INDEX('Policy Characteristics'!F:F,MATCH($C470,'Policy Characteristics'!$C:$C,0))),"",INDEX('Policy Characteristics'!F:F,MATCH($C470,'Policy Characteristics'!$C:$C,0)))</f>
        <v>0</v>
      </c>
      <c r="M470" s="394">
        <f>IF(ISBLANK(INDEX('Policy Characteristics'!G:G,MATCH($C470,'Policy Characteristics'!$C:$C,0))),"",INDEX('Policy Characteristics'!G:G,MATCH($C470,'Policy Characteristics'!$C:$C,0)))</f>
        <v>100</v>
      </c>
      <c r="N470" s="394">
        <f>IF(ISBLANK(INDEX('Policy Characteristics'!H:H,MATCH($C470,'Policy Characteristics'!$C:$C,0))),"",INDEX('Policy Characteristics'!H:H,MATCH($C470,'Policy Characteristics'!$C:$C,0)))</f>
        <v>5</v>
      </c>
      <c r="O470" s="275" t="str">
        <f>IF(ISBLANK(INDEX('Policy Characteristics'!I:I,MATCH($C470,'Policy Characteristics'!$C:$C,0))),"",INDEX('Policy Characteristics'!I:I,MATCH($C470,'Policy Characteristics'!$C:$C,0)))</f>
        <v>$ / metric ton CO2e</v>
      </c>
      <c r="P470" s="275" t="str">
        <f>IF(ISBLANK(INDEX('Policy Characteristics'!J:J,MATCH($C470,'Policy Characteristics'!$C:$C,0))),"",INDEX('Policy Characteristics'!J:J,MATCH($C470,'Policy Characteristics'!$C:$C,0)))</f>
        <v>**Description:** This policy provides a dollar per metric ton CO2e subsidy, additional to any BAU subsidies.  // **Guidance for setting values:** The 45Q tax credits provide $85 per metric ton CO2e stored, which is included in the BAU case.</v>
      </c>
      <c r="R470" s="1"/>
    </row>
    <row r="471" spans="1:18" x14ac:dyDescent="0.25">
      <c r="A471" s="275" t="str">
        <f>IF(ISBLANK(INDEX('Policy Characteristics'!A:A,MATCH($C471,'Policy Characteristics'!$C:$C,0))),"",INDEX('Policy Characteristics'!A:A,MATCH($C471,'Policy Characteristics'!$C:$C,0)))</f>
        <v>Electricity Supply</v>
      </c>
      <c r="B471" s="284" t="str">
        <f>IF(ISBLANK(INDEX('Policy Characteristics'!B:B,MATCH($C471,'Policy Characteristics'!$C:$C,0))),"",INDEX('Policy Characteristics'!B:B,MATCH($C471,'Policy Characteristics'!$C:$C,0)))</f>
        <v>Electricity CCS Subsidy</v>
      </c>
      <c r="C471" s="275" t="str">
        <f t="shared" si="27"/>
        <v>Additional Subsidy for Elec CCS</v>
      </c>
      <c r="D471" s="6" t="s">
        <v>78</v>
      </c>
      <c r="F471" s="6" t="s">
        <v>90</v>
      </c>
      <c r="H471" s="44">
        <v>2266</v>
      </c>
      <c r="I471" s="1" t="s">
        <v>44</v>
      </c>
      <c r="J471" s="276" t="str">
        <f>IF(ISBLANK(INDEX('Policy Characteristics'!D:D,MATCH($C471,'Policy Characteristics'!$C:$C,0))),"",INDEX('Policy Characteristics'!D:D,MATCH($C471,'Policy Characteristics'!$C:$C,0)))</f>
        <v>Electricity CCS Subsidy</v>
      </c>
      <c r="K471" s="275" t="str">
        <f>IF(ISBLANK(INDEX('Policy Characteristics'!E:E,MATCH($C471,'Policy Characteristics'!$C:$C,0))),"",INDEX('Policy Characteristics'!E:E,MATCH($C471,'Policy Characteristics'!$C:$C,0)))</f>
        <v>elec CCS subsidy</v>
      </c>
      <c r="L471" s="394">
        <f>IF(ISBLANK(INDEX('Policy Characteristics'!F:F,MATCH($C471,'Policy Characteristics'!$C:$C,0))),"",INDEX('Policy Characteristics'!F:F,MATCH($C471,'Policy Characteristics'!$C:$C,0)))</f>
        <v>0</v>
      </c>
      <c r="M471" s="394">
        <f>IF(ISBLANK(INDEX('Policy Characteristics'!G:G,MATCH($C471,'Policy Characteristics'!$C:$C,0))),"",INDEX('Policy Characteristics'!G:G,MATCH($C471,'Policy Characteristics'!$C:$C,0)))</f>
        <v>100</v>
      </c>
      <c r="N471" s="394">
        <f>IF(ISBLANK(INDEX('Policy Characteristics'!H:H,MATCH($C471,'Policy Characteristics'!$C:$C,0))),"",INDEX('Policy Characteristics'!H:H,MATCH($C471,'Policy Characteristics'!$C:$C,0)))</f>
        <v>5</v>
      </c>
      <c r="O471" s="275" t="str">
        <f>IF(ISBLANK(INDEX('Policy Characteristics'!I:I,MATCH($C471,'Policy Characteristics'!$C:$C,0))),"",INDEX('Policy Characteristics'!I:I,MATCH($C471,'Policy Characteristics'!$C:$C,0)))</f>
        <v>$ / metric ton CO2e</v>
      </c>
      <c r="P471" s="275" t="str">
        <f>IF(ISBLANK(INDEX('Policy Characteristics'!J:J,MATCH($C471,'Policy Characteristics'!$C:$C,0))),"",INDEX('Policy Characteristics'!J:J,MATCH($C471,'Policy Characteristics'!$C:$C,0)))</f>
        <v>**Description:** This policy provides a dollar per metric ton CO2e subsidy, additional to any BAU subsidies.  // **Guidance for setting values:** The 45Q tax credits provide $85 per metric ton CO2e stored, which is included in the BAU case.</v>
      </c>
      <c r="R471" s="1"/>
    </row>
    <row r="472" spans="1:18" x14ac:dyDescent="0.25">
      <c r="A472" s="275" t="str">
        <f>IF(ISBLANK(INDEX('Policy Characteristics'!A:A,MATCH($C472,'Policy Characteristics'!$C:$C,0))),"",INDEX('Policy Characteristics'!A:A,MATCH($C472,'Policy Characteristics'!$C:$C,0)))</f>
        <v>Electricity Supply</v>
      </c>
      <c r="B472" s="284" t="str">
        <f>IF(ISBLANK(INDEX('Policy Characteristics'!B:B,MATCH($C472,'Policy Characteristics'!$C:$C,0))),"",INDEX('Policy Characteristics'!B:B,MATCH($C472,'Policy Characteristics'!$C:$C,0)))</f>
        <v>Electricity CCS Subsidy</v>
      </c>
      <c r="C472" s="275" t="str">
        <f t="shared" si="27"/>
        <v>Additional Subsidy for Elec CCS</v>
      </c>
      <c r="D472" s="6" t="s">
        <v>79</v>
      </c>
      <c r="F472" s="6" t="s">
        <v>91</v>
      </c>
      <c r="H472" s="44">
        <v>2267</v>
      </c>
      <c r="I472" s="1" t="s">
        <v>44</v>
      </c>
      <c r="J472" s="276" t="str">
        <f>IF(ISBLANK(INDEX('Policy Characteristics'!D:D,MATCH($C472,'Policy Characteristics'!$C:$C,0))),"",INDEX('Policy Characteristics'!D:D,MATCH($C472,'Policy Characteristics'!$C:$C,0)))</f>
        <v>Electricity CCS Subsidy</v>
      </c>
      <c r="K472" s="275" t="str">
        <f>IF(ISBLANK(INDEX('Policy Characteristics'!E:E,MATCH($C472,'Policy Characteristics'!$C:$C,0))),"",INDEX('Policy Characteristics'!E:E,MATCH($C472,'Policy Characteristics'!$C:$C,0)))</f>
        <v>elec CCS subsidy</v>
      </c>
      <c r="L472" s="394">
        <f>IF(ISBLANK(INDEX('Policy Characteristics'!F:F,MATCH($C472,'Policy Characteristics'!$C:$C,0))),"",INDEX('Policy Characteristics'!F:F,MATCH($C472,'Policy Characteristics'!$C:$C,0)))</f>
        <v>0</v>
      </c>
      <c r="M472" s="394">
        <f>IF(ISBLANK(INDEX('Policy Characteristics'!G:G,MATCH($C472,'Policy Characteristics'!$C:$C,0))),"",INDEX('Policy Characteristics'!G:G,MATCH($C472,'Policy Characteristics'!$C:$C,0)))</f>
        <v>100</v>
      </c>
      <c r="N472" s="394">
        <f>IF(ISBLANK(INDEX('Policy Characteristics'!H:H,MATCH($C472,'Policy Characteristics'!$C:$C,0))),"",INDEX('Policy Characteristics'!H:H,MATCH($C472,'Policy Characteristics'!$C:$C,0)))</f>
        <v>5</v>
      </c>
      <c r="O472" s="275" t="str">
        <f>IF(ISBLANK(INDEX('Policy Characteristics'!I:I,MATCH($C472,'Policy Characteristics'!$C:$C,0))),"",INDEX('Policy Characteristics'!I:I,MATCH($C472,'Policy Characteristics'!$C:$C,0)))</f>
        <v>$ / metric ton CO2e</v>
      </c>
      <c r="P472" s="275" t="str">
        <f>IF(ISBLANK(INDEX('Policy Characteristics'!J:J,MATCH($C472,'Policy Characteristics'!$C:$C,0))),"",INDEX('Policy Characteristics'!J:J,MATCH($C472,'Policy Characteristics'!$C:$C,0)))</f>
        <v>**Description:** This policy provides a dollar per metric ton CO2e subsidy, additional to any BAU subsidies.  // **Guidance for setting values:** The 45Q tax credits provide $85 per metric ton CO2e stored, which is included in the BAU case.</v>
      </c>
      <c r="R472" s="1"/>
    </row>
    <row r="473" spans="1:18" x14ac:dyDescent="0.25">
      <c r="A473" s="275" t="str">
        <f>IF(ISBLANK(INDEX('Policy Characteristics'!A:A,MATCH($C473,'Policy Characteristics'!$C:$C,0))),"",INDEX('Policy Characteristics'!A:A,MATCH($C473,'Policy Characteristics'!$C:$C,0)))</f>
        <v>Electricity Supply</v>
      </c>
      <c r="B473" s="284" t="str">
        <f>IF(ISBLANK(INDEX('Policy Characteristics'!B:B,MATCH($C473,'Policy Characteristics'!$C:$C,0))),"",INDEX('Policy Characteristics'!B:B,MATCH($C473,'Policy Characteristics'!$C:$C,0)))</f>
        <v>Electricity CCS Subsidy</v>
      </c>
      <c r="C473" s="275" t="str">
        <f t="shared" si="27"/>
        <v>Additional Subsidy for Elec CCS</v>
      </c>
      <c r="D473" s="6" t="s">
        <v>80</v>
      </c>
      <c r="F473" s="6" t="s">
        <v>92</v>
      </c>
      <c r="H473" s="44">
        <v>2268</v>
      </c>
      <c r="I473" s="1" t="s">
        <v>44</v>
      </c>
      <c r="J473" s="276" t="str">
        <f>IF(ISBLANK(INDEX('Policy Characteristics'!D:D,MATCH($C473,'Policy Characteristics'!$C:$C,0))),"",INDEX('Policy Characteristics'!D:D,MATCH($C473,'Policy Characteristics'!$C:$C,0)))</f>
        <v>Electricity CCS Subsidy</v>
      </c>
      <c r="K473" s="275" t="str">
        <f>IF(ISBLANK(INDEX('Policy Characteristics'!E:E,MATCH($C473,'Policy Characteristics'!$C:$C,0))),"",INDEX('Policy Characteristics'!E:E,MATCH($C473,'Policy Characteristics'!$C:$C,0)))</f>
        <v>elec CCS subsidy</v>
      </c>
      <c r="L473" s="394">
        <f>IF(ISBLANK(INDEX('Policy Characteristics'!F:F,MATCH($C473,'Policy Characteristics'!$C:$C,0))),"",INDEX('Policy Characteristics'!F:F,MATCH($C473,'Policy Characteristics'!$C:$C,0)))</f>
        <v>0</v>
      </c>
      <c r="M473" s="394">
        <f>IF(ISBLANK(INDEX('Policy Characteristics'!G:G,MATCH($C473,'Policy Characteristics'!$C:$C,0))),"",INDEX('Policy Characteristics'!G:G,MATCH($C473,'Policy Characteristics'!$C:$C,0)))</f>
        <v>100</v>
      </c>
      <c r="N473" s="394">
        <f>IF(ISBLANK(INDEX('Policy Characteristics'!H:H,MATCH($C473,'Policy Characteristics'!$C:$C,0))),"",INDEX('Policy Characteristics'!H:H,MATCH($C473,'Policy Characteristics'!$C:$C,0)))</f>
        <v>5</v>
      </c>
      <c r="O473" s="275" t="str">
        <f>IF(ISBLANK(INDEX('Policy Characteristics'!I:I,MATCH($C473,'Policy Characteristics'!$C:$C,0))),"",INDEX('Policy Characteristics'!I:I,MATCH($C473,'Policy Characteristics'!$C:$C,0)))</f>
        <v>$ / metric ton CO2e</v>
      </c>
      <c r="P473" s="275" t="str">
        <f>IF(ISBLANK(INDEX('Policy Characteristics'!J:J,MATCH($C473,'Policy Characteristics'!$C:$C,0))),"",INDEX('Policy Characteristics'!J:J,MATCH($C473,'Policy Characteristics'!$C:$C,0)))</f>
        <v>**Description:** This policy provides a dollar per metric ton CO2e subsidy, additional to any BAU subsidies.  // **Guidance for setting values:** The 45Q tax credits provide $85 per metric ton CO2e stored, which is included in the BAU case.</v>
      </c>
      <c r="R473" s="1"/>
    </row>
    <row r="474" spans="1:18" x14ac:dyDescent="0.25">
      <c r="A474" s="275" t="str">
        <f>IF(ISBLANK(INDEX('Policy Characteristics'!A:A,MATCH($C474,'Policy Characteristics'!$C:$C,0))),"",INDEX('Policy Characteristics'!A:A,MATCH($C474,'Policy Characteristics'!$C:$C,0)))</f>
        <v>Electricity Supply</v>
      </c>
      <c r="B474" s="284" t="str">
        <f>IF(ISBLANK(INDEX('Policy Characteristics'!B:B,MATCH($C474,'Policy Characteristics'!$C:$C,0))),"",INDEX('Policy Characteristics'!B:B,MATCH($C474,'Policy Characteristics'!$C:$C,0)))</f>
        <v>Electricity CCS Subsidy</v>
      </c>
      <c r="C474" s="275" t="str">
        <f t="shared" si="27"/>
        <v>Additional Subsidy for Elec CCS</v>
      </c>
      <c r="D474" s="6" t="s">
        <v>2427</v>
      </c>
      <c r="F474" s="6" t="s">
        <v>437</v>
      </c>
      <c r="H474" s="44">
        <v>2269</v>
      </c>
      <c r="I474" s="1" t="s">
        <v>44</v>
      </c>
      <c r="J474" s="276" t="str">
        <f>IF(ISBLANK(INDEX('Policy Characteristics'!D:D,MATCH($C474,'Policy Characteristics'!$C:$C,0))),"",INDEX('Policy Characteristics'!D:D,MATCH($C474,'Policy Characteristics'!$C:$C,0)))</f>
        <v>Electricity CCS Subsidy</v>
      </c>
      <c r="K474" s="275" t="str">
        <f>IF(ISBLANK(INDEX('Policy Characteristics'!E:E,MATCH($C474,'Policy Characteristics'!$C:$C,0))),"",INDEX('Policy Characteristics'!E:E,MATCH($C474,'Policy Characteristics'!$C:$C,0)))</f>
        <v>elec CCS subsidy</v>
      </c>
      <c r="L474" s="394">
        <f>IF(ISBLANK(INDEX('Policy Characteristics'!F:F,MATCH($C474,'Policy Characteristics'!$C:$C,0))),"",INDEX('Policy Characteristics'!F:F,MATCH($C474,'Policy Characteristics'!$C:$C,0)))</f>
        <v>0</v>
      </c>
      <c r="M474" s="394">
        <f>IF(ISBLANK(INDEX('Policy Characteristics'!G:G,MATCH($C474,'Policy Characteristics'!$C:$C,0))),"",INDEX('Policy Characteristics'!G:G,MATCH($C474,'Policy Characteristics'!$C:$C,0)))</f>
        <v>100</v>
      </c>
      <c r="N474" s="394">
        <f>IF(ISBLANK(INDEX('Policy Characteristics'!H:H,MATCH($C474,'Policy Characteristics'!$C:$C,0))),"",INDEX('Policy Characteristics'!H:H,MATCH($C474,'Policy Characteristics'!$C:$C,0)))</f>
        <v>5</v>
      </c>
      <c r="O474" s="275" t="str">
        <f>IF(ISBLANK(INDEX('Policy Characteristics'!I:I,MATCH($C474,'Policy Characteristics'!$C:$C,0))),"",INDEX('Policy Characteristics'!I:I,MATCH($C474,'Policy Characteristics'!$C:$C,0)))</f>
        <v>$ / metric ton CO2e</v>
      </c>
      <c r="P474" s="275" t="str">
        <f>IF(ISBLANK(INDEX('Policy Characteristics'!J:J,MATCH($C474,'Policy Characteristics'!$C:$C,0))),"",INDEX('Policy Characteristics'!J:J,MATCH($C474,'Policy Characteristics'!$C:$C,0)))</f>
        <v>**Description:** This policy provides a dollar per metric ton CO2e subsidy, additional to any BAU subsidies.  // **Guidance for setting values:** The 45Q tax credits provide $85 per metric ton CO2e stored, which is included in the BAU case.</v>
      </c>
      <c r="R474" s="1"/>
    </row>
    <row r="475" spans="1:18" x14ac:dyDescent="0.25">
      <c r="A475" s="275" t="str">
        <f>IF(ISBLANK(INDEX('Policy Characteristics'!A:A,MATCH($C475,'Policy Characteristics'!$C:$C,0))),"",INDEX('Policy Characteristics'!A:A,MATCH($C475,'Policy Characteristics'!$C:$C,0)))</f>
        <v>Electricity Supply</v>
      </c>
      <c r="B475" s="284" t="str">
        <f>IF(ISBLANK(INDEX('Policy Characteristics'!B:B,MATCH($C475,'Policy Characteristics'!$C:$C,0))),"",INDEX('Policy Characteristics'!B:B,MATCH($C475,'Policy Characteristics'!$C:$C,0)))</f>
        <v>Electricity CCS Subsidy</v>
      </c>
      <c r="C475" s="275" t="str">
        <f t="shared" si="27"/>
        <v>Additional Subsidy for Elec CCS</v>
      </c>
      <c r="D475" s="6" t="s">
        <v>309</v>
      </c>
      <c r="F475" s="6" t="s">
        <v>311</v>
      </c>
      <c r="H475" s="44">
        <v>2270</v>
      </c>
      <c r="I475" s="1" t="s">
        <v>44</v>
      </c>
      <c r="J475" s="276" t="str">
        <f>IF(ISBLANK(INDEX('Policy Characteristics'!D:D,MATCH($C475,'Policy Characteristics'!$C:$C,0))),"",INDEX('Policy Characteristics'!D:D,MATCH($C475,'Policy Characteristics'!$C:$C,0)))</f>
        <v>Electricity CCS Subsidy</v>
      </c>
      <c r="K475" s="275" t="str">
        <f>IF(ISBLANK(INDEX('Policy Characteristics'!E:E,MATCH($C475,'Policy Characteristics'!$C:$C,0))),"",INDEX('Policy Characteristics'!E:E,MATCH($C475,'Policy Characteristics'!$C:$C,0)))</f>
        <v>elec CCS subsidy</v>
      </c>
      <c r="L475" s="394">
        <f>IF(ISBLANK(INDEX('Policy Characteristics'!F:F,MATCH($C475,'Policy Characteristics'!$C:$C,0))),"",INDEX('Policy Characteristics'!F:F,MATCH($C475,'Policy Characteristics'!$C:$C,0)))</f>
        <v>0</v>
      </c>
      <c r="M475" s="394">
        <f>IF(ISBLANK(INDEX('Policy Characteristics'!G:G,MATCH($C475,'Policy Characteristics'!$C:$C,0))),"",INDEX('Policy Characteristics'!G:G,MATCH($C475,'Policy Characteristics'!$C:$C,0)))</f>
        <v>100</v>
      </c>
      <c r="N475" s="394">
        <f>IF(ISBLANK(INDEX('Policy Characteristics'!H:H,MATCH($C475,'Policy Characteristics'!$C:$C,0))),"",INDEX('Policy Characteristics'!H:H,MATCH($C475,'Policy Characteristics'!$C:$C,0)))</f>
        <v>5</v>
      </c>
      <c r="O475" s="275" t="str">
        <f>IF(ISBLANK(INDEX('Policy Characteristics'!I:I,MATCH($C475,'Policy Characteristics'!$C:$C,0))),"",INDEX('Policy Characteristics'!I:I,MATCH($C475,'Policy Characteristics'!$C:$C,0)))</f>
        <v>$ / metric ton CO2e</v>
      </c>
      <c r="P475" s="275" t="str">
        <f>IF(ISBLANK(INDEX('Policy Characteristics'!J:J,MATCH($C475,'Policy Characteristics'!$C:$C,0))),"",INDEX('Policy Characteristics'!J:J,MATCH($C475,'Policy Characteristics'!$C:$C,0)))</f>
        <v>**Description:** This policy provides a dollar per metric ton CO2e subsidy, additional to any BAU subsidies.  // **Guidance for setting values:** The 45Q tax credits provide $85 per metric ton CO2e stored, which is included in the BAU case.</v>
      </c>
      <c r="R475" s="1"/>
    </row>
    <row r="476" spans="1:18" x14ac:dyDescent="0.25">
      <c r="A476" s="275" t="str">
        <f>IF(ISBLANK(INDEX('Policy Characteristics'!A:A,MATCH($C476,'Policy Characteristics'!$C:$C,0))),"",INDEX('Policy Characteristics'!A:A,MATCH($C476,'Policy Characteristics'!$C:$C,0)))</f>
        <v>Electricity Supply</v>
      </c>
      <c r="B476" s="284" t="str">
        <f>IF(ISBLANK(INDEX('Policy Characteristics'!B:B,MATCH($C476,'Policy Characteristics'!$C:$C,0))),"",INDEX('Policy Characteristics'!B:B,MATCH($C476,'Policy Characteristics'!$C:$C,0)))</f>
        <v>Electricity CCS Subsidy</v>
      </c>
      <c r="C476" s="275" t="str">
        <f t="shared" si="27"/>
        <v>Additional Subsidy for Elec CCS</v>
      </c>
      <c r="D476" s="6" t="s">
        <v>310</v>
      </c>
      <c r="F476" s="6" t="s">
        <v>312</v>
      </c>
      <c r="H476" s="44">
        <v>2271</v>
      </c>
      <c r="I476" s="1" t="s">
        <v>44</v>
      </c>
      <c r="J476" s="276" t="str">
        <f>IF(ISBLANK(INDEX('Policy Characteristics'!D:D,MATCH($C476,'Policy Characteristics'!$C:$C,0))),"",INDEX('Policy Characteristics'!D:D,MATCH($C476,'Policy Characteristics'!$C:$C,0)))</f>
        <v>Electricity CCS Subsidy</v>
      </c>
      <c r="K476" s="275" t="str">
        <f>IF(ISBLANK(INDEX('Policy Characteristics'!E:E,MATCH($C476,'Policy Characteristics'!$C:$C,0))),"",INDEX('Policy Characteristics'!E:E,MATCH($C476,'Policy Characteristics'!$C:$C,0)))</f>
        <v>elec CCS subsidy</v>
      </c>
      <c r="L476" s="394">
        <f>IF(ISBLANK(INDEX('Policy Characteristics'!F:F,MATCH($C476,'Policy Characteristics'!$C:$C,0))),"",INDEX('Policy Characteristics'!F:F,MATCH($C476,'Policy Characteristics'!$C:$C,0)))</f>
        <v>0</v>
      </c>
      <c r="M476" s="394">
        <f>IF(ISBLANK(INDEX('Policy Characteristics'!G:G,MATCH($C476,'Policy Characteristics'!$C:$C,0))),"",INDEX('Policy Characteristics'!G:G,MATCH($C476,'Policy Characteristics'!$C:$C,0)))</f>
        <v>100</v>
      </c>
      <c r="N476" s="394">
        <f>IF(ISBLANK(INDEX('Policy Characteristics'!H:H,MATCH($C476,'Policy Characteristics'!$C:$C,0))),"",INDEX('Policy Characteristics'!H:H,MATCH($C476,'Policy Characteristics'!$C:$C,0)))</f>
        <v>5</v>
      </c>
      <c r="O476" s="275" t="str">
        <f>IF(ISBLANK(INDEX('Policy Characteristics'!I:I,MATCH($C476,'Policy Characteristics'!$C:$C,0))),"",INDEX('Policy Characteristics'!I:I,MATCH($C476,'Policy Characteristics'!$C:$C,0)))</f>
        <v>$ / metric ton CO2e</v>
      </c>
      <c r="P476" s="275" t="str">
        <f>IF(ISBLANK(INDEX('Policy Characteristics'!J:J,MATCH($C476,'Policy Characteristics'!$C:$C,0))),"",INDEX('Policy Characteristics'!J:J,MATCH($C476,'Policy Characteristics'!$C:$C,0)))</f>
        <v>**Description:** This policy provides a dollar per metric ton CO2e subsidy, additional to any BAU subsidies.  // **Guidance for setting values:** The 45Q tax credits provide $85 per metric ton CO2e stored, which is included in the BAU case.</v>
      </c>
      <c r="R476" s="1"/>
    </row>
    <row r="477" spans="1:18" x14ac:dyDescent="0.25">
      <c r="A477" s="275" t="str">
        <f>IF(ISBLANK(INDEX('Policy Characteristics'!A:A,MATCH($C477,'Policy Characteristics'!$C:$C,0))),"",INDEX('Policy Characteristics'!A:A,MATCH($C477,'Policy Characteristics'!$C:$C,0)))</f>
        <v>Electricity Supply</v>
      </c>
      <c r="B477" s="284" t="str">
        <f>IF(ISBLANK(INDEX('Policy Characteristics'!B:B,MATCH($C477,'Policy Characteristics'!$C:$C,0))),"",INDEX('Policy Characteristics'!B:B,MATCH($C477,'Policy Characteristics'!$C:$C,0)))</f>
        <v>Electricity CCS Subsidy</v>
      </c>
      <c r="C477" s="275" t="str">
        <f t="shared" si="27"/>
        <v>Additional Subsidy for Elec CCS</v>
      </c>
      <c r="D477" s="6" t="s">
        <v>445</v>
      </c>
      <c r="F477" s="6" t="s">
        <v>444</v>
      </c>
      <c r="H477" s="44">
        <v>2272</v>
      </c>
      <c r="I477" s="1" t="s">
        <v>44</v>
      </c>
      <c r="J477" s="276" t="str">
        <f>IF(ISBLANK(INDEX('Policy Characteristics'!D:D,MATCH($C477,'Policy Characteristics'!$C:$C,0))),"",INDEX('Policy Characteristics'!D:D,MATCH($C477,'Policy Characteristics'!$C:$C,0)))</f>
        <v>Electricity CCS Subsidy</v>
      </c>
      <c r="K477" s="275" t="str">
        <f>IF(ISBLANK(INDEX('Policy Characteristics'!E:E,MATCH($C477,'Policy Characteristics'!$C:$C,0))),"",INDEX('Policy Characteristics'!E:E,MATCH($C477,'Policy Characteristics'!$C:$C,0)))</f>
        <v>elec CCS subsidy</v>
      </c>
      <c r="L477" s="394">
        <f>IF(ISBLANK(INDEX('Policy Characteristics'!F:F,MATCH($C477,'Policy Characteristics'!$C:$C,0))),"",INDEX('Policy Characteristics'!F:F,MATCH($C477,'Policy Characteristics'!$C:$C,0)))</f>
        <v>0</v>
      </c>
      <c r="M477" s="394">
        <f>IF(ISBLANK(INDEX('Policy Characteristics'!G:G,MATCH($C477,'Policy Characteristics'!$C:$C,0))),"",INDEX('Policy Characteristics'!G:G,MATCH($C477,'Policy Characteristics'!$C:$C,0)))</f>
        <v>100</v>
      </c>
      <c r="N477" s="394">
        <f>IF(ISBLANK(INDEX('Policy Characteristics'!H:H,MATCH($C477,'Policy Characteristics'!$C:$C,0))),"",INDEX('Policy Characteristics'!H:H,MATCH($C477,'Policy Characteristics'!$C:$C,0)))</f>
        <v>5</v>
      </c>
      <c r="O477" s="275" t="str">
        <f>IF(ISBLANK(INDEX('Policy Characteristics'!I:I,MATCH($C477,'Policy Characteristics'!$C:$C,0))),"",INDEX('Policy Characteristics'!I:I,MATCH($C477,'Policy Characteristics'!$C:$C,0)))</f>
        <v>$ / metric ton CO2e</v>
      </c>
      <c r="P477" s="275" t="str">
        <f>IF(ISBLANK(INDEX('Policy Characteristics'!J:J,MATCH($C477,'Policy Characteristics'!$C:$C,0))),"",INDEX('Policy Characteristics'!J:J,MATCH($C477,'Policy Characteristics'!$C:$C,0)))</f>
        <v>**Description:** This policy provides a dollar per metric ton CO2e subsidy, additional to any BAU subsidies.  // **Guidance for setting values:** The 45Q tax credits provide $85 per metric ton CO2e stored, which is included in the BAU case.</v>
      </c>
      <c r="R477" s="1"/>
    </row>
    <row r="478" spans="1:18" x14ac:dyDescent="0.25">
      <c r="A478" s="275" t="str">
        <f>IF(ISBLANK(INDEX('Policy Characteristics'!A:A,MATCH($C478,'Policy Characteristics'!$C:$C,0))),"",INDEX('Policy Characteristics'!A:A,MATCH($C478,'Policy Characteristics'!$C:$C,0)))</f>
        <v>Electricity Supply</v>
      </c>
      <c r="B478" s="284" t="str">
        <f>IF(ISBLANK(INDEX('Policy Characteristics'!B:B,MATCH($C478,'Policy Characteristics'!$C:$C,0))),"",INDEX('Policy Characteristics'!B:B,MATCH($C478,'Policy Characteristics'!$C:$C,0)))</f>
        <v>Electricity CCS Subsidy</v>
      </c>
      <c r="C478" s="275" t="str">
        <f t="shared" si="27"/>
        <v>Additional Subsidy for Elec CCS</v>
      </c>
      <c r="D478" s="6" t="s">
        <v>454</v>
      </c>
      <c r="F478" s="6" t="s">
        <v>455</v>
      </c>
      <c r="H478" s="44">
        <v>2273</v>
      </c>
      <c r="I478" s="1" t="s">
        <v>44</v>
      </c>
      <c r="J478" s="276" t="str">
        <f>IF(ISBLANK(INDEX('Policy Characteristics'!D:D,MATCH($C478,'Policy Characteristics'!$C:$C,0))),"",INDEX('Policy Characteristics'!D:D,MATCH($C478,'Policy Characteristics'!$C:$C,0)))</f>
        <v>Electricity CCS Subsidy</v>
      </c>
      <c r="K478" s="275" t="str">
        <f>IF(ISBLANK(INDEX('Policy Characteristics'!E:E,MATCH($C478,'Policy Characteristics'!$C:$C,0))),"",INDEX('Policy Characteristics'!E:E,MATCH($C478,'Policy Characteristics'!$C:$C,0)))</f>
        <v>elec CCS subsidy</v>
      </c>
      <c r="L478" s="394">
        <f>IF(ISBLANK(INDEX('Policy Characteristics'!F:F,MATCH($C478,'Policy Characteristics'!$C:$C,0))),"",INDEX('Policy Characteristics'!F:F,MATCH($C478,'Policy Characteristics'!$C:$C,0)))</f>
        <v>0</v>
      </c>
      <c r="M478" s="394">
        <f>IF(ISBLANK(INDEX('Policy Characteristics'!G:G,MATCH($C478,'Policy Characteristics'!$C:$C,0))),"",INDEX('Policy Characteristics'!G:G,MATCH($C478,'Policy Characteristics'!$C:$C,0)))</f>
        <v>100</v>
      </c>
      <c r="N478" s="394">
        <f>IF(ISBLANK(INDEX('Policy Characteristics'!H:H,MATCH($C478,'Policy Characteristics'!$C:$C,0))),"",INDEX('Policy Characteristics'!H:H,MATCH($C478,'Policy Characteristics'!$C:$C,0)))</f>
        <v>5</v>
      </c>
      <c r="O478" s="275" t="str">
        <f>IF(ISBLANK(INDEX('Policy Characteristics'!I:I,MATCH($C478,'Policy Characteristics'!$C:$C,0))),"",INDEX('Policy Characteristics'!I:I,MATCH($C478,'Policy Characteristics'!$C:$C,0)))</f>
        <v>$ / metric ton CO2e</v>
      </c>
      <c r="P478" s="275" t="str">
        <f>IF(ISBLANK(INDEX('Policy Characteristics'!J:J,MATCH($C478,'Policy Characteristics'!$C:$C,0))),"",INDEX('Policy Characteristics'!J:J,MATCH($C478,'Policy Characteristics'!$C:$C,0)))</f>
        <v>**Description:** This policy provides a dollar per metric ton CO2e subsidy, additional to any BAU subsidies.  // **Guidance for setting values:** The 45Q tax credits provide $85 per metric ton CO2e stored, which is included in the BAU case.</v>
      </c>
      <c r="R478" s="1"/>
    </row>
    <row r="479" spans="1:18" x14ac:dyDescent="0.25">
      <c r="A479" s="275" t="str">
        <f>IF(ISBLANK(INDEX('Policy Characteristics'!A:A,MATCH($C479,'Policy Characteristics'!$C:$C,0))),"",INDEX('Policy Characteristics'!A:A,MATCH($C479,'Policy Characteristics'!$C:$C,0)))</f>
        <v>Electricity Supply</v>
      </c>
      <c r="B479" s="284" t="str">
        <f>IF(ISBLANK(INDEX('Policy Characteristics'!B:B,MATCH($C479,'Policy Characteristics'!$C:$C,0))),"",INDEX('Policy Characteristics'!B:B,MATCH($C479,'Policy Characteristics'!$C:$C,0)))</f>
        <v>Electricity CCS Subsidy</v>
      </c>
      <c r="C479" s="275" t="str">
        <f t="shared" si="27"/>
        <v>Additional Subsidy for Elec CCS</v>
      </c>
      <c r="D479" s="6" t="s">
        <v>2752</v>
      </c>
      <c r="F479" s="6" t="s">
        <v>2471</v>
      </c>
      <c r="H479" s="44">
        <v>2274</v>
      </c>
      <c r="I479" s="1" t="s">
        <v>44</v>
      </c>
      <c r="J479" s="276" t="str">
        <f>IF(ISBLANK(INDEX('Policy Characteristics'!D:D,MATCH($C479,'Policy Characteristics'!$C:$C,0))),"",INDEX('Policy Characteristics'!D:D,MATCH($C479,'Policy Characteristics'!$C:$C,0)))</f>
        <v>Electricity CCS Subsidy</v>
      </c>
      <c r="K479" s="275" t="str">
        <f>IF(ISBLANK(INDEX('Policy Characteristics'!E:E,MATCH($C479,'Policy Characteristics'!$C:$C,0))),"",INDEX('Policy Characteristics'!E:E,MATCH($C479,'Policy Characteristics'!$C:$C,0)))</f>
        <v>elec CCS subsidy</v>
      </c>
      <c r="L479" s="394">
        <f>IF(ISBLANK(INDEX('Policy Characteristics'!F:F,MATCH($C479,'Policy Characteristics'!$C:$C,0))),"",INDEX('Policy Characteristics'!F:F,MATCH($C479,'Policy Characteristics'!$C:$C,0)))</f>
        <v>0</v>
      </c>
      <c r="M479" s="394">
        <f>IF(ISBLANK(INDEX('Policy Characteristics'!G:G,MATCH($C479,'Policy Characteristics'!$C:$C,0))),"",INDEX('Policy Characteristics'!G:G,MATCH($C479,'Policy Characteristics'!$C:$C,0)))</f>
        <v>100</v>
      </c>
      <c r="N479" s="394">
        <f>IF(ISBLANK(INDEX('Policy Characteristics'!H:H,MATCH($C479,'Policy Characteristics'!$C:$C,0))),"",INDEX('Policy Characteristics'!H:H,MATCH($C479,'Policy Characteristics'!$C:$C,0)))</f>
        <v>5</v>
      </c>
      <c r="O479" s="275" t="str">
        <f>IF(ISBLANK(INDEX('Policy Characteristics'!I:I,MATCH($C479,'Policy Characteristics'!$C:$C,0))),"",INDEX('Policy Characteristics'!I:I,MATCH($C479,'Policy Characteristics'!$C:$C,0)))</f>
        <v>$ / metric ton CO2e</v>
      </c>
      <c r="P479" s="275" t="str">
        <f>IF(ISBLANK(INDEX('Policy Characteristics'!J:J,MATCH($C479,'Policy Characteristics'!$C:$C,0))),"",INDEX('Policy Characteristics'!J:J,MATCH($C479,'Policy Characteristics'!$C:$C,0)))</f>
        <v>**Description:** This policy provides a dollar per metric ton CO2e subsidy, additional to any BAU subsidies.  // **Guidance for setting values:** The 45Q tax credits provide $85 per metric ton CO2e stored, which is included in the BAU case.</v>
      </c>
      <c r="R479" s="1"/>
    </row>
    <row r="480" spans="1:18" x14ac:dyDescent="0.25">
      <c r="A480" s="275" t="str">
        <f>IF(ISBLANK(INDEX('Policy Characteristics'!A:A,MATCH($C480,'Policy Characteristics'!$C:$C,0))),"",INDEX('Policy Characteristics'!A:A,MATCH($C480,'Policy Characteristics'!$C:$C,0)))</f>
        <v>Electricity Supply</v>
      </c>
      <c r="B480" s="284" t="str">
        <f>IF(ISBLANK(INDEX('Policy Characteristics'!B:B,MATCH($C480,'Policy Characteristics'!$C:$C,0))),"",INDEX('Policy Characteristics'!B:B,MATCH($C480,'Policy Characteristics'!$C:$C,0)))</f>
        <v>Electricity CCS Subsidy</v>
      </c>
      <c r="C480" s="275" t="str">
        <f t="shared" si="27"/>
        <v>Additional Subsidy for Elec CCS</v>
      </c>
      <c r="D480" s="6" t="s">
        <v>2753</v>
      </c>
      <c r="F480" s="6" t="s">
        <v>2595</v>
      </c>
      <c r="H480" s="44">
        <v>2275</v>
      </c>
      <c r="I480" s="1" t="s">
        <v>44</v>
      </c>
      <c r="J480" s="276" t="str">
        <f>IF(ISBLANK(INDEX('Policy Characteristics'!D:D,MATCH($C480,'Policy Characteristics'!$C:$C,0))),"",INDEX('Policy Characteristics'!D:D,MATCH($C480,'Policy Characteristics'!$C:$C,0)))</f>
        <v>Electricity CCS Subsidy</v>
      </c>
      <c r="K480" s="275" t="str">
        <f>IF(ISBLANK(INDEX('Policy Characteristics'!E:E,MATCH($C480,'Policy Characteristics'!$C:$C,0))),"",INDEX('Policy Characteristics'!E:E,MATCH($C480,'Policy Characteristics'!$C:$C,0)))</f>
        <v>elec CCS subsidy</v>
      </c>
      <c r="L480" s="394">
        <f>IF(ISBLANK(INDEX('Policy Characteristics'!F:F,MATCH($C480,'Policy Characteristics'!$C:$C,0))),"",INDEX('Policy Characteristics'!F:F,MATCH($C480,'Policy Characteristics'!$C:$C,0)))</f>
        <v>0</v>
      </c>
      <c r="M480" s="394">
        <f>IF(ISBLANK(INDEX('Policy Characteristics'!G:G,MATCH($C480,'Policy Characteristics'!$C:$C,0))),"",INDEX('Policy Characteristics'!G:G,MATCH($C480,'Policy Characteristics'!$C:$C,0)))</f>
        <v>100</v>
      </c>
      <c r="N480" s="394">
        <f>IF(ISBLANK(INDEX('Policy Characteristics'!H:H,MATCH($C480,'Policy Characteristics'!$C:$C,0))),"",INDEX('Policy Characteristics'!H:H,MATCH($C480,'Policy Characteristics'!$C:$C,0)))</f>
        <v>5</v>
      </c>
      <c r="O480" s="275" t="str">
        <f>IF(ISBLANK(INDEX('Policy Characteristics'!I:I,MATCH($C480,'Policy Characteristics'!$C:$C,0))),"",INDEX('Policy Characteristics'!I:I,MATCH($C480,'Policy Characteristics'!$C:$C,0)))</f>
        <v>$ / metric ton CO2e</v>
      </c>
      <c r="P480" s="275" t="str">
        <f>IF(ISBLANK(INDEX('Policy Characteristics'!J:J,MATCH($C480,'Policy Characteristics'!$C:$C,0))),"",INDEX('Policy Characteristics'!J:J,MATCH($C480,'Policy Characteristics'!$C:$C,0)))</f>
        <v>**Description:** This policy provides a dollar per metric ton CO2e subsidy, additional to any BAU subsidies.  // **Guidance for setting values:** The 45Q tax credits provide $85 per metric ton CO2e stored, which is included in the BAU case.</v>
      </c>
      <c r="R480" s="1"/>
    </row>
    <row r="481" spans="1:18" x14ac:dyDescent="0.25">
      <c r="A481" s="275" t="str">
        <f>IF(ISBLANK(INDEX('Policy Characteristics'!A:A,MATCH($C481,'Policy Characteristics'!$C:$C,0))),"",INDEX('Policy Characteristics'!A:A,MATCH($C481,'Policy Characteristics'!$C:$C,0)))</f>
        <v>Electricity Supply</v>
      </c>
      <c r="B481" s="284" t="str">
        <f>IF(ISBLANK(INDEX('Policy Characteristics'!B:B,MATCH($C481,'Policy Characteristics'!$C:$C,0))),"",INDEX('Policy Characteristics'!B:B,MATCH($C481,'Policy Characteristics'!$C:$C,0)))</f>
        <v>Electricity CCS Subsidy</v>
      </c>
      <c r="C481" s="275" t="str">
        <f t="shared" si="27"/>
        <v>Additional Subsidy for Elec CCS</v>
      </c>
      <c r="D481" s="6" t="s">
        <v>2754</v>
      </c>
      <c r="F481" s="6" t="s">
        <v>2473</v>
      </c>
      <c r="H481" s="44">
        <v>2276</v>
      </c>
      <c r="I481" s="1" t="s">
        <v>44</v>
      </c>
      <c r="J481" s="276" t="str">
        <f>IF(ISBLANK(INDEX('Policy Characteristics'!D:D,MATCH($C481,'Policy Characteristics'!$C:$C,0))),"",INDEX('Policy Characteristics'!D:D,MATCH($C481,'Policy Characteristics'!$C:$C,0)))</f>
        <v>Electricity CCS Subsidy</v>
      </c>
      <c r="K481" s="275" t="str">
        <f>IF(ISBLANK(INDEX('Policy Characteristics'!E:E,MATCH($C481,'Policy Characteristics'!$C:$C,0))),"",INDEX('Policy Characteristics'!E:E,MATCH($C481,'Policy Characteristics'!$C:$C,0)))</f>
        <v>elec CCS subsidy</v>
      </c>
      <c r="L481" s="394">
        <f>IF(ISBLANK(INDEX('Policy Characteristics'!F:F,MATCH($C481,'Policy Characteristics'!$C:$C,0))),"",INDEX('Policy Characteristics'!F:F,MATCH($C481,'Policy Characteristics'!$C:$C,0)))</f>
        <v>0</v>
      </c>
      <c r="M481" s="394">
        <f>IF(ISBLANK(INDEX('Policy Characteristics'!G:G,MATCH($C481,'Policy Characteristics'!$C:$C,0))),"",INDEX('Policy Characteristics'!G:G,MATCH($C481,'Policy Characteristics'!$C:$C,0)))</f>
        <v>100</v>
      </c>
      <c r="N481" s="394">
        <f>IF(ISBLANK(INDEX('Policy Characteristics'!H:H,MATCH($C481,'Policy Characteristics'!$C:$C,0))),"",INDEX('Policy Characteristics'!H:H,MATCH($C481,'Policy Characteristics'!$C:$C,0)))</f>
        <v>5</v>
      </c>
      <c r="O481" s="275" t="str">
        <f>IF(ISBLANK(INDEX('Policy Characteristics'!I:I,MATCH($C481,'Policy Characteristics'!$C:$C,0))),"",INDEX('Policy Characteristics'!I:I,MATCH($C481,'Policy Characteristics'!$C:$C,0)))</f>
        <v>$ / metric ton CO2e</v>
      </c>
      <c r="P481" s="275" t="str">
        <f>IF(ISBLANK(INDEX('Policy Characteristics'!J:J,MATCH($C481,'Policy Characteristics'!$C:$C,0))),"",INDEX('Policy Characteristics'!J:J,MATCH($C481,'Policy Characteristics'!$C:$C,0)))</f>
        <v>**Description:** This policy provides a dollar per metric ton CO2e subsidy, additional to any BAU subsidies.  // **Guidance for setting values:** The 45Q tax credits provide $85 per metric ton CO2e stored, which is included in the BAU case.</v>
      </c>
      <c r="R481" s="1"/>
    </row>
    <row r="482" spans="1:18" x14ac:dyDescent="0.25">
      <c r="A482" s="275" t="str">
        <f>IF(ISBLANK(INDEX('Policy Characteristics'!A:A,MATCH($C482,'Policy Characteristics'!$C:$C,0))),"",INDEX('Policy Characteristics'!A:A,MATCH($C482,'Policy Characteristics'!$C:$C,0)))</f>
        <v>Electricity Supply</v>
      </c>
      <c r="B482" s="284" t="str">
        <f>IF(ISBLANK(INDEX('Policy Characteristics'!B:B,MATCH($C482,'Policy Characteristics'!$C:$C,0))),"",INDEX('Policy Characteristics'!B:B,MATCH($C482,'Policy Characteristics'!$C:$C,0)))</f>
        <v>Electricity CCS Subsidy</v>
      </c>
      <c r="C482" s="275" t="str">
        <f t="shared" si="27"/>
        <v>Additional Subsidy for Elec CCS</v>
      </c>
      <c r="D482" s="6" t="s">
        <v>3519</v>
      </c>
      <c r="F482" s="6" t="s">
        <v>3526</v>
      </c>
      <c r="H482" s="44">
        <v>2277</v>
      </c>
      <c r="I482" s="1" t="s">
        <v>43</v>
      </c>
      <c r="J482" s="276" t="str">
        <f>IF(ISBLANK(INDEX('Policy Characteristics'!D:D,MATCH($C482,'Policy Characteristics'!$C:$C,0))),"",INDEX('Policy Characteristics'!D:D,MATCH($C482,'Policy Characteristics'!$C:$C,0)))</f>
        <v>Electricity CCS Subsidy</v>
      </c>
      <c r="K482" s="275" t="str">
        <f>IF(ISBLANK(INDEX('Policy Characteristics'!E:E,MATCH($C482,'Policy Characteristics'!$C:$C,0))),"",INDEX('Policy Characteristics'!E:E,MATCH($C482,'Policy Characteristics'!$C:$C,0)))</f>
        <v>elec CCS subsidy</v>
      </c>
      <c r="L482" s="394">
        <f>IF(ISBLANK(INDEX('Policy Characteristics'!F:F,MATCH($C482,'Policy Characteristics'!$C:$C,0))),"",INDEX('Policy Characteristics'!F:F,MATCH($C482,'Policy Characteristics'!$C:$C,0)))</f>
        <v>0</v>
      </c>
      <c r="M482" s="394">
        <f>IF(ISBLANK(INDEX('Policy Characteristics'!G:G,MATCH($C482,'Policy Characteristics'!$C:$C,0))),"",INDEX('Policy Characteristics'!G:G,MATCH($C482,'Policy Characteristics'!$C:$C,0)))</f>
        <v>100</v>
      </c>
      <c r="N482" s="394">
        <f>IF(ISBLANK(INDEX('Policy Characteristics'!H:H,MATCH($C482,'Policy Characteristics'!$C:$C,0))),"",INDEX('Policy Characteristics'!H:H,MATCH($C482,'Policy Characteristics'!$C:$C,0)))</f>
        <v>5</v>
      </c>
      <c r="O482" s="275" t="str">
        <f>IF(ISBLANK(INDEX('Policy Characteristics'!I:I,MATCH($C482,'Policy Characteristics'!$C:$C,0))),"",INDEX('Policy Characteristics'!I:I,MATCH($C482,'Policy Characteristics'!$C:$C,0)))</f>
        <v>$ / metric ton CO2e</v>
      </c>
      <c r="P482" s="275" t="str">
        <f>IF(ISBLANK(INDEX('Policy Characteristics'!J:J,MATCH($C482,'Policy Characteristics'!$C:$C,0))),"",INDEX('Policy Characteristics'!J:J,MATCH($C482,'Policy Characteristics'!$C:$C,0)))</f>
        <v>**Description:** This policy provides a dollar per metric ton CO2e subsidy, additional to any BAU subsidies.  // **Guidance for setting values:** The 45Q tax credits provide $85 per metric ton CO2e stored, which is included in the BAU case.</v>
      </c>
      <c r="R482" s="1"/>
    </row>
    <row r="483" spans="1:18" x14ac:dyDescent="0.25">
      <c r="A483" s="275" t="str">
        <f>IF(ISBLANK(INDEX('Policy Characteristics'!A:A,MATCH($C483,'Policy Characteristics'!$C:$C,0))),"",INDEX('Policy Characteristics'!A:A,MATCH($C483,'Policy Characteristics'!$C:$C,0)))</f>
        <v>Electricity Supply</v>
      </c>
      <c r="B483" s="284" t="str">
        <f>IF(ISBLANK(INDEX('Policy Characteristics'!B:B,MATCH($C483,'Policy Characteristics'!$C:$C,0))),"",INDEX('Policy Characteristics'!B:B,MATCH($C483,'Policy Characteristics'!$C:$C,0)))</f>
        <v>Electricity CCS Subsidy</v>
      </c>
      <c r="C483" s="275" t="str">
        <f t="shared" si="27"/>
        <v>Additional Subsidy for Elec CCS</v>
      </c>
      <c r="D483" s="6" t="s">
        <v>3522</v>
      </c>
      <c r="F483" s="6" t="s">
        <v>3527</v>
      </c>
      <c r="H483" s="44">
        <v>2278</v>
      </c>
      <c r="I483" s="1" t="s">
        <v>43</v>
      </c>
      <c r="J483" s="276" t="str">
        <f>IF(ISBLANK(INDEX('Policy Characteristics'!D:D,MATCH($C483,'Policy Characteristics'!$C:$C,0))),"",INDEX('Policy Characteristics'!D:D,MATCH($C483,'Policy Characteristics'!$C:$C,0)))</f>
        <v>Electricity CCS Subsidy</v>
      </c>
      <c r="K483" s="275" t="str">
        <f>IF(ISBLANK(INDEX('Policy Characteristics'!E:E,MATCH($C483,'Policy Characteristics'!$C:$C,0))),"",INDEX('Policy Characteristics'!E:E,MATCH($C483,'Policy Characteristics'!$C:$C,0)))</f>
        <v>elec CCS subsidy</v>
      </c>
      <c r="L483" s="394">
        <f>IF(ISBLANK(INDEX('Policy Characteristics'!F:F,MATCH($C483,'Policy Characteristics'!$C:$C,0))),"",INDEX('Policy Characteristics'!F:F,MATCH($C483,'Policy Characteristics'!$C:$C,0)))</f>
        <v>0</v>
      </c>
      <c r="M483" s="394">
        <f>IF(ISBLANK(INDEX('Policy Characteristics'!G:G,MATCH($C483,'Policy Characteristics'!$C:$C,0))),"",INDEX('Policy Characteristics'!G:G,MATCH($C483,'Policy Characteristics'!$C:$C,0)))</f>
        <v>100</v>
      </c>
      <c r="N483" s="394">
        <f>IF(ISBLANK(INDEX('Policy Characteristics'!H:H,MATCH($C483,'Policy Characteristics'!$C:$C,0))),"",INDEX('Policy Characteristics'!H:H,MATCH($C483,'Policy Characteristics'!$C:$C,0)))</f>
        <v>5</v>
      </c>
      <c r="O483" s="275" t="str">
        <f>IF(ISBLANK(INDEX('Policy Characteristics'!I:I,MATCH($C483,'Policy Characteristics'!$C:$C,0))),"",INDEX('Policy Characteristics'!I:I,MATCH($C483,'Policy Characteristics'!$C:$C,0)))</f>
        <v>$ / metric ton CO2e</v>
      </c>
      <c r="P483" s="275" t="str">
        <f>IF(ISBLANK(INDEX('Policy Characteristics'!J:J,MATCH($C483,'Policy Characteristics'!$C:$C,0))),"",INDEX('Policy Characteristics'!J:J,MATCH($C483,'Policy Characteristics'!$C:$C,0)))</f>
        <v>**Description:** This policy provides a dollar per metric ton CO2e subsidy, additional to any BAU subsidies.  // **Guidance for setting values:** The 45Q tax credits provide $85 per metric ton CO2e stored, which is included in the BAU case.</v>
      </c>
      <c r="R483" s="1"/>
    </row>
    <row r="484" spans="1:18" x14ac:dyDescent="0.25">
      <c r="A484" s="275" t="str">
        <f>IF(ISBLANK(INDEX('Policy Characteristics'!A:A,MATCH($C484,'Policy Characteristics'!$C:$C,0))),"",INDEX('Policy Characteristics'!A:A,MATCH($C484,'Policy Characteristics'!$C:$C,0)))</f>
        <v>Electricity Supply</v>
      </c>
      <c r="B484" s="284" t="str">
        <f>IF(ISBLANK(INDEX('Policy Characteristics'!B:B,MATCH($C484,'Policy Characteristics'!$C:$C,0))),"",INDEX('Policy Characteristics'!B:B,MATCH($C484,'Policy Characteristics'!$C:$C,0)))</f>
        <v>Electricity CCS Subsidy</v>
      </c>
      <c r="C484" s="275" t="str">
        <f t="shared" si="27"/>
        <v>Additional Subsidy for Elec CCS</v>
      </c>
      <c r="D484" s="6" t="s">
        <v>3523</v>
      </c>
      <c r="F484" s="6" t="s">
        <v>3528</v>
      </c>
      <c r="H484" s="44">
        <v>2279</v>
      </c>
      <c r="I484" s="1" t="s">
        <v>43</v>
      </c>
      <c r="J484" s="276" t="str">
        <f>IF(ISBLANK(INDEX('Policy Characteristics'!D:D,MATCH($C484,'Policy Characteristics'!$C:$C,0))),"",INDEX('Policy Characteristics'!D:D,MATCH($C484,'Policy Characteristics'!$C:$C,0)))</f>
        <v>Electricity CCS Subsidy</v>
      </c>
      <c r="K484" s="275" t="str">
        <f>IF(ISBLANK(INDEX('Policy Characteristics'!E:E,MATCH($C484,'Policy Characteristics'!$C:$C,0))),"",INDEX('Policy Characteristics'!E:E,MATCH($C484,'Policy Characteristics'!$C:$C,0)))</f>
        <v>elec CCS subsidy</v>
      </c>
      <c r="L484" s="394">
        <f>IF(ISBLANK(INDEX('Policy Characteristics'!F:F,MATCH($C484,'Policy Characteristics'!$C:$C,0))),"",INDEX('Policy Characteristics'!F:F,MATCH($C484,'Policy Characteristics'!$C:$C,0)))</f>
        <v>0</v>
      </c>
      <c r="M484" s="394">
        <f>IF(ISBLANK(INDEX('Policy Characteristics'!G:G,MATCH($C484,'Policy Characteristics'!$C:$C,0))),"",INDEX('Policy Characteristics'!G:G,MATCH($C484,'Policy Characteristics'!$C:$C,0)))</f>
        <v>100</v>
      </c>
      <c r="N484" s="394">
        <f>IF(ISBLANK(INDEX('Policy Characteristics'!H:H,MATCH($C484,'Policy Characteristics'!$C:$C,0))),"",INDEX('Policy Characteristics'!H:H,MATCH($C484,'Policy Characteristics'!$C:$C,0)))</f>
        <v>5</v>
      </c>
      <c r="O484" s="275" t="str">
        <f>IF(ISBLANK(INDEX('Policy Characteristics'!I:I,MATCH($C484,'Policy Characteristics'!$C:$C,0))),"",INDEX('Policy Characteristics'!I:I,MATCH($C484,'Policy Characteristics'!$C:$C,0)))</f>
        <v>$ / metric ton CO2e</v>
      </c>
      <c r="P484" s="275" t="str">
        <f>IF(ISBLANK(INDEX('Policy Characteristics'!J:J,MATCH($C484,'Policy Characteristics'!$C:$C,0))),"",INDEX('Policy Characteristics'!J:J,MATCH($C484,'Policy Characteristics'!$C:$C,0)))</f>
        <v>**Description:** This policy provides a dollar per metric ton CO2e subsidy, additional to any BAU subsidies.  // **Guidance for setting values:** The 45Q tax credits provide $85 per metric ton CO2e stored, which is included in the BAU case.</v>
      </c>
      <c r="R484" s="1"/>
    </row>
    <row r="485" spans="1:18" x14ac:dyDescent="0.25">
      <c r="A485" s="275" t="str">
        <f>IF(ISBLANK(INDEX('Policy Characteristics'!A:A,MATCH($C485,'Policy Characteristics'!$C:$C,0))),"",INDEX('Policy Characteristics'!A:A,MATCH($C485,'Policy Characteristics'!$C:$C,0)))</f>
        <v>Electricity Supply</v>
      </c>
      <c r="B485" s="284" t="str">
        <f>IF(ISBLANK(INDEX('Policy Characteristics'!B:B,MATCH($C485,'Policy Characteristics'!$C:$C,0))),"",INDEX('Policy Characteristics'!B:B,MATCH($C485,'Policy Characteristics'!$C:$C,0)))</f>
        <v>Electricity CCS Subsidy</v>
      </c>
      <c r="C485" s="275" t="str">
        <f t="shared" si="27"/>
        <v>Additional Subsidy for Elec CCS</v>
      </c>
      <c r="D485" s="6" t="s">
        <v>3524</v>
      </c>
      <c r="F485" s="6" t="s">
        <v>3529</v>
      </c>
      <c r="H485" s="44">
        <v>2280</v>
      </c>
      <c r="I485" s="1" t="s">
        <v>43</v>
      </c>
      <c r="J485" s="276" t="str">
        <f>IF(ISBLANK(INDEX('Policy Characteristics'!D:D,MATCH($C485,'Policy Characteristics'!$C:$C,0))),"",INDEX('Policy Characteristics'!D:D,MATCH($C485,'Policy Characteristics'!$C:$C,0)))</f>
        <v>Electricity CCS Subsidy</v>
      </c>
      <c r="K485" s="275" t="str">
        <f>IF(ISBLANK(INDEX('Policy Characteristics'!E:E,MATCH($C485,'Policy Characteristics'!$C:$C,0))),"",INDEX('Policy Characteristics'!E:E,MATCH($C485,'Policy Characteristics'!$C:$C,0)))</f>
        <v>elec CCS subsidy</v>
      </c>
      <c r="L485" s="394">
        <f>IF(ISBLANK(INDEX('Policy Characteristics'!F:F,MATCH($C485,'Policy Characteristics'!$C:$C,0))),"",INDEX('Policy Characteristics'!F:F,MATCH($C485,'Policy Characteristics'!$C:$C,0)))</f>
        <v>0</v>
      </c>
      <c r="M485" s="394">
        <f>IF(ISBLANK(INDEX('Policy Characteristics'!G:G,MATCH($C485,'Policy Characteristics'!$C:$C,0))),"",INDEX('Policy Characteristics'!G:G,MATCH($C485,'Policy Characteristics'!$C:$C,0)))</f>
        <v>100</v>
      </c>
      <c r="N485" s="394">
        <f>IF(ISBLANK(INDEX('Policy Characteristics'!H:H,MATCH($C485,'Policy Characteristics'!$C:$C,0))),"",INDEX('Policy Characteristics'!H:H,MATCH($C485,'Policy Characteristics'!$C:$C,0)))</f>
        <v>5</v>
      </c>
      <c r="O485" s="275" t="str">
        <f>IF(ISBLANK(INDEX('Policy Characteristics'!I:I,MATCH($C485,'Policy Characteristics'!$C:$C,0))),"",INDEX('Policy Characteristics'!I:I,MATCH($C485,'Policy Characteristics'!$C:$C,0)))</f>
        <v>$ / metric ton CO2e</v>
      </c>
      <c r="P485" s="275" t="str">
        <f>IF(ISBLANK(INDEX('Policy Characteristics'!J:J,MATCH($C485,'Policy Characteristics'!$C:$C,0))),"",INDEX('Policy Characteristics'!J:J,MATCH($C485,'Policy Characteristics'!$C:$C,0)))</f>
        <v>**Description:** This policy provides a dollar per metric ton CO2e subsidy, additional to any BAU subsidies.  // **Guidance for setting values:** The 45Q tax credits provide $85 per metric ton CO2e stored, which is included in the BAU case.</v>
      </c>
      <c r="R485" s="1"/>
    </row>
    <row r="486" spans="1:18" x14ac:dyDescent="0.25">
      <c r="A486" s="275" t="str">
        <f>IF(ISBLANK(INDEX('Policy Characteristics'!A:A,MATCH($C486,'Policy Characteristics'!$C:$C,0))),"",INDEX('Policy Characteristics'!A:A,MATCH($C486,'Policy Characteristics'!$C:$C,0)))</f>
        <v>Electricity Supply</v>
      </c>
      <c r="B486" s="284" t="str">
        <f>IF(ISBLANK(INDEX('Policy Characteristics'!B:B,MATCH($C486,'Policy Characteristics'!$C:$C,0))),"",INDEX('Policy Characteristics'!B:B,MATCH($C486,'Policy Characteristics'!$C:$C,0)))</f>
        <v>Electricity CCS Subsidy</v>
      </c>
      <c r="C486" s="275" t="str">
        <f t="shared" si="27"/>
        <v>Additional Subsidy for Elec CCS</v>
      </c>
      <c r="D486" s="6" t="s">
        <v>3525</v>
      </c>
      <c r="F486" s="6" t="s">
        <v>3530</v>
      </c>
      <c r="H486" s="44">
        <v>2281</v>
      </c>
      <c r="I486" s="1" t="s">
        <v>44</v>
      </c>
      <c r="J486" s="276" t="str">
        <f>IF(ISBLANK(INDEX('Policy Characteristics'!D:D,MATCH($C486,'Policy Characteristics'!$C:$C,0))),"",INDEX('Policy Characteristics'!D:D,MATCH($C486,'Policy Characteristics'!$C:$C,0)))</f>
        <v>Electricity CCS Subsidy</v>
      </c>
      <c r="K486" s="275" t="str">
        <f>IF(ISBLANK(INDEX('Policy Characteristics'!E:E,MATCH($C486,'Policy Characteristics'!$C:$C,0))),"",INDEX('Policy Characteristics'!E:E,MATCH($C486,'Policy Characteristics'!$C:$C,0)))</f>
        <v>elec CCS subsidy</v>
      </c>
      <c r="L486" s="394">
        <f>IF(ISBLANK(INDEX('Policy Characteristics'!F:F,MATCH($C486,'Policy Characteristics'!$C:$C,0))),"",INDEX('Policy Characteristics'!F:F,MATCH($C486,'Policy Characteristics'!$C:$C,0)))</f>
        <v>0</v>
      </c>
      <c r="M486" s="394">
        <f>IF(ISBLANK(INDEX('Policy Characteristics'!G:G,MATCH($C486,'Policy Characteristics'!$C:$C,0))),"",INDEX('Policy Characteristics'!G:G,MATCH($C486,'Policy Characteristics'!$C:$C,0)))</f>
        <v>100</v>
      </c>
      <c r="N486" s="394">
        <f>IF(ISBLANK(INDEX('Policy Characteristics'!H:H,MATCH($C486,'Policy Characteristics'!$C:$C,0))),"",INDEX('Policy Characteristics'!H:H,MATCH($C486,'Policy Characteristics'!$C:$C,0)))</f>
        <v>5</v>
      </c>
      <c r="O486" s="275" t="str">
        <f>IF(ISBLANK(INDEX('Policy Characteristics'!I:I,MATCH($C486,'Policy Characteristics'!$C:$C,0))),"",INDEX('Policy Characteristics'!I:I,MATCH($C486,'Policy Characteristics'!$C:$C,0)))</f>
        <v>$ / metric ton CO2e</v>
      </c>
      <c r="P486" s="275" t="str">
        <f>IF(ISBLANK(INDEX('Policy Characteristics'!J:J,MATCH($C486,'Policy Characteristics'!$C:$C,0))),"",INDEX('Policy Characteristics'!J:J,MATCH($C486,'Policy Characteristics'!$C:$C,0)))</f>
        <v>**Description:** This policy provides a dollar per metric ton CO2e subsidy, additional to any BAU subsidies.  // **Guidance for setting values:** The 45Q tax credits provide $85 per metric ton CO2e stored, which is included in the BAU case.</v>
      </c>
      <c r="R486" s="1"/>
    </row>
    <row r="487" spans="1:18" x14ac:dyDescent="0.25">
      <c r="A487" s="275" t="str">
        <f>IF(ISBLANK(INDEX('Policy Characteristics'!A:A,MATCH($C487,'Policy Characteristics'!$C:$C,0))),"",INDEX('Policy Characteristics'!A:A,MATCH($C487,'Policy Characteristics'!$C:$C,0)))</f>
        <v>Electricity Supply</v>
      </c>
      <c r="B487" s="284" t="str">
        <f>IF(ISBLANK(INDEX('Policy Characteristics'!B:B,MATCH($C487,'Policy Characteristics'!$C:$C,0))),"",INDEX('Policy Characteristics'!B:B,MATCH($C487,'Policy Characteristics'!$C:$C,0)))</f>
        <v>Electricity CCS Subsidy</v>
      </c>
      <c r="C487" s="275" t="str">
        <f t="shared" si="27"/>
        <v>Additional Subsidy for Elec CCS</v>
      </c>
      <c r="D487" s="6" t="s">
        <v>3616</v>
      </c>
      <c r="F487" s="6" t="s">
        <v>3614</v>
      </c>
      <c r="H487" s="44">
        <v>2282</v>
      </c>
      <c r="I487" s="1" t="s">
        <v>44</v>
      </c>
      <c r="J487" s="276" t="str">
        <f>IF(ISBLANK(INDEX('Policy Characteristics'!D:D,MATCH($C487,'Policy Characteristics'!$C:$C,0))),"",INDEX('Policy Characteristics'!D:D,MATCH($C487,'Policy Characteristics'!$C:$C,0)))</f>
        <v>Electricity CCS Subsidy</v>
      </c>
      <c r="K487" s="275" t="str">
        <f>IF(ISBLANK(INDEX('Policy Characteristics'!E:E,MATCH($C487,'Policy Characteristics'!$C:$C,0))),"",INDEX('Policy Characteristics'!E:E,MATCH($C487,'Policy Characteristics'!$C:$C,0)))</f>
        <v>elec CCS subsidy</v>
      </c>
      <c r="L487" s="394">
        <f>IF(ISBLANK(INDEX('Policy Characteristics'!F:F,MATCH($C487,'Policy Characteristics'!$C:$C,0))),"",INDEX('Policy Characteristics'!F:F,MATCH($C487,'Policy Characteristics'!$C:$C,0)))</f>
        <v>0</v>
      </c>
      <c r="M487" s="394">
        <f>IF(ISBLANK(INDEX('Policy Characteristics'!G:G,MATCH($C487,'Policy Characteristics'!$C:$C,0))),"",INDEX('Policy Characteristics'!G:G,MATCH($C487,'Policy Characteristics'!$C:$C,0)))</f>
        <v>100</v>
      </c>
      <c r="N487" s="394">
        <f>IF(ISBLANK(INDEX('Policy Characteristics'!H:H,MATCH($C487,'Policy Characteristics'!$C:$C,0))),"",INDEX('Policy Characteristics'!H:H,MATCH($C487,'Policy Characteristics'!$C:$C,0)))</f>
        <v>5</v>
      </c>
      <c r="O487" s="275" t="str">
        <f>IF(ISBLANK(INDEX('Policy Characteristics'!I:I,MATCH($C487,'Policy Characteristics'!$C:$C,0))),"",INDEX('Policy Characteristics'!I:I,MATCH($C487,'Policy Characteristics'!$C:$C,0)))</f>
        <v>$ / metric ton CO2e</v>
      </c>
      <c r="P487" s="275" t="str">
        <f>IF(ISBLANK(INDEX('Policy Characteristics'!J:J,MATCH($C487,'Policy Characteristics'!$C:$C,0))),"",INDEX('Policy Characteristics'!J:J,MATCH($C487,'Policy Characteristics'!$C:$C,0)))</f>
        <v>**Description:** This policy provides a dollar per metric ton CO2e subsidy, additional to any BAU subsidies.  // **Guidance for setting values:** The 45Q tax credits provide $85 per metric ton CO2e stored, which is included in the BAU case.</v>
      </c>
      <c r="R487" s="1"/>
    </row>
    <row r="488" spans="1:18" x14ac:dyDescent="0.25">
      <c r="A488" s="275" t="str">
        <f>IF(ISBLANK(INDEX('Policy Characteristics'!A:A,MATCH($C488,'Policy Characteristics'!$C:$C,0))),"",INDEX('Policy Characteristics'!A:A,MATCH($C488,'Policy Characteristics'!$C:$C,0)))</f>
        <v>Electricity Supply</v>
      </c>
      <c r="B488" s="284" t="str">
        <f>IF(ISBLANK(INDEX('Policy Characteristics'!B:B,MATCH($C488,'Policy Characteristics'!$C:$C,0))),"",INDEX('Policy Characteristics'!B:B,MATCH($C488,'Policy Characteristics'!$C:$C,0)))</f>
        <v>Electricity CCS Subsidy</v>
      </c>
      <c r="C488" s="275" t="str">
        <f t="shared" si="27"/>
        <v>Additional Subsidy for Elec CCS</v>
      </c>
      <c r="D488" s="6" t="s">
        <v>3617</v>
      </c>
      <c r="F488" s="6" t="s">
        <v>3615</v>
      </c>
      <c r="H488" s="44">
        <v>2283</v>
      </c>
      <c r="I488" s="1" t="s">
        <v>44</v>
      </c>
      <c r="J488" s="276" t="str">
        <f>IF(ISBLANK(INDEX('Policy Characteristics'!D:D,MATCH($C488,'Policy Characteristics'!$C:$C,0))),"",INDEX('Policy Characteristics'!D:D,MATCH($C488,'Policy Characteristics'!$C:$C,0)))</f>
        <v>Electricity CCS Subsidy</v>
      </c>
      <c r="K488" s="275" t="str">
        <f>IF(ISBLANK(INDEX('Policy Characteristics'!E:E,MATCH($C488,'Policy Characteristics'!$C:$C,0))),"",INDEX('Policy Characteristics'!E:E,MATCH($C488,'Policy Characteristics'!$C:$C,0)))</f>
        <v>elec CCS subsidy</v>
      </c>
      <c r="L488" s="394">
        <f>IF(ISBLANK(INDEX('Policy Characteristics'!F:F,MATCH($C488,'Policy Characteristics'!$C:$C,0))),"",INDEX('Policy Characteristics'!F:F,MATCH($C488,'Policy Characteristics'!$C:$C,0)))</f>
        <v>0</v>
      </c>
      <c r="M488" s="394">
        <f>IF(ISBLANK(INDEX('Policy Characteristics'!G:G,MATCH($C488,'Policy Characteristics'!$C:$C,0))),"",INDEX('Policy Characteristics'!G:G,MATCH($C488,'Policy Characteristics'!$C:$C,0)))</f>
        <v>100</v>
      </c>
      <c r="N488" s="394">
        <f>IF(ISBLANK(INDEX('Policy Characteristics'!H:H,MATCH($C488,'Policy Characteristics'!$C:$C,0))),"",INDEX('Policy Characteristics'!H:H,MATCH($C488,'Policy Characteristics'!$C:$C,0)))</f>
        <v>5</v>
      </c>
      <c r="O488" s="275" t="str">
        <f>IF(ISBLANK(INDEX('Policy Characteristics'!I:I,MATCH($C488,'Policy Characteristics'!$C:$C,0))),"",INDEX('Policy Characteristics'!I:I,MATCH($C488,'Policy Characteristics'!$C:$C,0)))</f>
        <v>$ / metric ton CO2e</v>
      </c>
      <c r="P488" s="275" t="str">
        <f>IF(ISBLANK(INDEX('Policy Characteristics'!J:J,MATCH($C488,'Policy Characteristics'!$C:$C,0))),"",INDEX('Policy Characteristics'!J:J,MATCH($C488,'Policy Characteristics'!$C:$C,0)))</f>
        <v>**Description:** This policy provides a dollar per metric ton CO2e subsidy, additional to any BAU subsidies.  // **Guidance for setting values:** The 45Q tax credits provide $85 per metric ton CO2e stored, which is included in the BAU case.</v>
      </c>
      <c r="R488" s="1"/>
    </row>
    <row r="489" spans="1:18" x14ac:dyDescent="0.25">
      <c r="A489" s="275" t="str">
        <f>IF(ISBLANK(INDEX('Policy Characteristics'!A:A,MATCH($C489,'Policy Characteristics'!$C:$C,0))),"",INDEX('Policy Characteristics'!A:A,MATCH($C489,'Policy Characteristics'!$C:$C,0)))</f>
        <v>Industry</v>
      </c>
      <c r="B489" s="284" t="str">
        <f>IF(ISBLANK(INDEX('Policy Characteristics'!B:B,MATCH($C489,'Policy Characteristics'!$C:$C,0))),"",INDEX('Policy Characteristics'!B:B,MATCH($C489,'Policy Characteristics'!$C:$C,0)))</f>
        <v>Buy In-Region Products</v>
      </c>
      <c r="C489" t="s">
        <v>3191</v>
      </c>
      <c r="D489" s="47" t="s">
        <v>3070</v>
      </c>
      <c r="E489" s="6"/>
      <c r="F489" t="s">
        <v>3095</v>
      </c>
      <c r="G489" s="47"/>
      <c r="H489" s="44">
        <v>1537</v>
      </c>
      <c r="I489" s="346" t="s">
        <v>43</v>
      </c>
      <c r="J489" s="276" t="str">
        <f>IF(ISBLANK(INDEX('Policy Characteristics'!D:D,MATCH($C489,'Policy Characteristics'!$C:$C,0))),"",INDEX('Policy Characteristics'!D:D,MATCH($C489,'Policy Characteristics'!$C:$C,0)))</f>
        <v>Buy In-Region Products</v>
      </c>
      <c r="K489" s="275" t="str">
        <f>IF(ISBLANK(INDEX('Policy Characteristics'!E:E,MATCH($C489,'Policy Characteristics'!$C:$C,0))),"",INDEX('Policy Characteristics'!E:E,MATCH($C489,'Policy Characteristics'!$C:$C,0)))</f>
        <v>indst buy in region outputs</v>
      </c>
      <c r="L489" s="283">
        <f>IF(ISBLANK(INDEX('Policy Characteristics'!F:F,MATCH($C489,'Policy Characteristics'!$C:$C,0))),"",INDEX('Policy Characteristics'!F:F,MATCH($C489,'Policy Characteristics'!$C:$C,0)))</f>
        <v>0</v>
      </c>
      <c r="M489" s="283">
        <f>IF(ISBLANK(INDEX('Policy Characteristics'!G:G,MATCH($C489,'Policy Characteristics'!$C:$C,0))),"",INDEX('Policy Characteristics'!G:G,MATCH($C489,'Policy Characteristics'!$C:$C,0)))</f>
        <v>0.5</v>
      </c>
      <c r="N489" s="283">
        <f>IF(ISBLANK(INDEX('Policy Characteristics'!H:H,MATCH($C489,'Policy Characteristics'!$C:$C,0))),"",INDEX('Policy Characteristics'!H:H,MATCH($C489,'Policy Characteristics'!$C:$C,0)))</f>
        <v>0.01</v>
      </c>
      <c r="O489" s="275" t="str">
        <f>IF(ISBLANK(INDEX('Policy Characteristics'!I:I,MATCH($C489,'Policy Characteristics'!$C:$C,0))),"",INDEX('Policy Characteristics'!I:I,MATCH($C489,'Policy Characteristics'!$C:$C,0)))</f>
        <v>% of imports shifted</v>
      </c>
      <c r="P489" s="275" t="str">
        <f>IF(ISBLANK(INDEX('Policy Characteristics'!J:J,MATCH($C489,'Policy Characteristics'!$C:$C,0))),"",INDEX('Policy Characteristics'!J:J,MATCH($C489,'Policy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89" s="275" t="str">
        <f>IF(ISBLANK(INDEX('Policy Characteristics'!K:K,MATCH($C489,'Policy Characteristics'!$C:$C,0))),"",INDEX('Policy Characteristics'!K:K,MATCH($C489,'Policy Characteristics'!$C:$C,0)))</f>
        <v/>
      </c>
      <c r="R489" s="275" t="str">
        <f>IF(ISBLANK(INDEX('Policy Characteristics'!L:L,MATCH($C489,'Policy Characteristics'!$C:$C,0))),"",INDEX('Policy Characteristics'!L:L,MATCH($C489,'Policy Characteristics'!$C:$C,0)))</f>
        <v/>
      </c>
    </row>
    <row r="490" spans="1:18" x14ac:dyDescent="0.25">
      <c r="A490" s="275" t="str">
        <f>IF(ISBLANK(INDEX('Policy Characteristics'!A:A,MATCH($C490,'Policy Characteristics'!$C:$C,0))),"",INDEX('Policy Characteristics'!A:A,MATCH($C490,'Policy Characteristics'!$C:$C,0)))</f>
        <v>Industry</v>
      </c>
      <c r="B490" s="284" t="str">
        <f>IF(ISBLANK(INDEX('Policy Characteristics'!B:B,MATCH($C490,'Policy Characteristics'!$C:$C,0))),"",INDEX('Policy Characteristics'!B:B,MATCH($C490,'Policy Characteristics'!$C:$C,0)))</f>
        <v>Buy In-Region Products</v>
      </c>
      <c r="C490" s="275" t="str">
        <f>C$489</f>
        <v>Fraction of Imported Industrial Outputs Shifted to In Region Suppliers</v>
      </c>
      <c r="D490" s="6" t="s">
        <v>3071</v>
      </c>
      <c r="E490" s="6"/>
      <c r="F490" t="s">
        <v>2763</v>
      </c>
      <c r="G490" s="48"/>
      <c r="H490" s="44">
        <v>1538</v>
      </c>
      <c r="I490" s="346" t="s">
        <v>43</v>
      </c>
      <c r="J490" s="276" t="str">
        <f>IF(ISBLANK(INDEX('Policy Characteristics'!D:D,MATCH($C490,'Policy Characteristics'!$C:$C,0))),"",INDEX('Policy Characteristics'!D:D,MATCH($C490,'Policy Characteristics'!$C:$C,0)))</f>
        <v>Buy In-Region Products</v>
      </c>
      <c r="K490" s="275" t="str">
        <f>IF(ISBLANK(INDEX('Policy Characteristics'!E:E,MATCH($C490,'Policy Characteristics'!$C:$C,0))),"",INDEX('Policy Characteristics'!E:E,MATCH($C490,'Policy Characteristics'!$C:$C,0)))</f>
        <v>indst buy in region outputs</v>
      </c>
      <c r="L490" s="283">
        <f>IF(ISBLANK(INDEX('Policy Characteristics'!F:F,MATCH($C490,'Policy Characteristics'!$C:$C,0))),"",INDEX('Policy Characteristics'!F:F,MATCH($C490,'Policy Characteristics'!$C:$C,0)))</f>
        <v>0</v>
      </c>
      <c r="M490" s="283">
        <f>IF(ISBLANK(INDEX('Policy Characteristics'!G:G,MATCH($C490,'Policy Characteristics'!$C:$C,0))),"",INDEX('Policy Characteristics'!G:G,MATCH($C490,'Policy Characteristics'!$C:$C,0)))</f>
        <v>0.5</v>
      </c>
      <c r="N490" s="283">
        <f>IF(ISBLANK(INDEX('Policy Characteristics'!H:H,MATCH($C490,'Policy Characteristics'!$C:$C,0))),"",INDEX('Policy Characteristics'!H:H,MATCH($C490,'Policy Characteristics'!$C:$C,0)))</f>
        <v>0.01</v>
      </c>
      <c r="O490" s="275" t="str">
        <f>IF(ISBLANK(INDEX('Policy Characteristics'!I:I,MATCH($C490,'Policy Characteristics'!$C:$C,0))),"",INDEX('Policy Characteristics'!I:I,MATCH($C490,'Policy Characteristics'!$C:$C,0)))</f>
        <v>% of imports shifted</v>
      </c>
      <c r="P490" s="275" t="str">
        <f>IF(ISBLANK(INDEX('Policy Characteristics'!J:J,MATCH($C490,'Policy Characteristics'!$C:$C,0))),"",INDEX('Policy Characteristics'!J:J,MATCH($C490,'Policy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0" s="275" t="str">
        <f>IF(ISBLANK(INDEX('Policy Characteristics'!K:K,MATCH($C490,'Policy Characteristics'!$C:$C,0))),"",INDEX('Policy Characteristics'!K:K,MATCH($C490,'Policy Characteristics'!$C:$C,0)))</f>
        <v/>
      </c>
      <c r="R490" s="275" t="str">
        <f>IF(ISBLANK(INDEX('Policy Characteristics'!L:L,MATCH($C490,'Policy Characteristics'!$C:$C,0))),"",INDEX('Policy Characteristics'!L:L,MATCH($C490,'Policy Characteristics'!$C:$C,0)))</f>
        <v/>
      </c>
    </row>
    <row r="491" spans="1:18" x14ac:dyDescent="0.25">
      <c r="A491" s="275" t="str">
        <f>IF(ISBLANK(INDEX('Policy Characteristics'!A:A,MATCH($C491,'Policy Characteristics'!$C:$C,0))),"",INDEX('Policy Characteristics'!A:A,MATCH($C491,'Policy Characteristics'!$C:$C,0)))</f>
        <v>Industry</v>
      </c>
      <c r="B491" s="284" t="str">
        <f>IF(ISBLANK(INDEX('Policy Characteristics'!B:B,MATCH($C491,'Policy Characteristics'!$C:$C,0))),"",INDEX('Policy Characteristics'!B:B,MATCH($C491,'Policy Characteristics'!$C:$C,0)))</f>
        <v>Buy In-Region Products</v>
      </c>
      <c r="C491" s="275" t="str">
        <f t="shared" ref="C491:C513" si="28">C$489</f>
        <v>Fraction of Imported Industrial Outputs Shifted to In Region Suppliers</v>
      </c>
      <c r="D491" s="6" t="s">
        <v>3072</v>
      </c>
      <c r="E491" s="6"/>
      <c r="F491" t="s">
        <v>3036</v>
      </c>
      <c r="G491" s="48"/>
      <c r="H491" s="44">
        <v>1539</v>
      </c>
      <c r="I491" s="346" t="s">
        <v>43</v>
      </c>
      <c r="J491" s="276" t="str">
        <f>IF(ISBLANK(INDEX('Policy Characteristics'!D:D,MATCH($C491,'Policy Characteristics'!$C:$C,0))),"",INDEX('Policy Characteristics'!D:D,MATCH($C491,'Policy Characteristics'!$C:$C,0)))</f>
        <v>Buy In-Region Products</v>
      </c>
      <c r="K491" s="275" t="str">
        <f>IF(ISBLANK(INDEX('Policy Characteristics'!E:E,MATCH($C491,'Policy Characteristics'!$C:$C,0))),"",INDEX('Policy Characteristics'!E:E,MATCH($C491,'Policy Characteristics'!$C:$C,0)))</f>
        <v>indst buy in region outputs</v>
      </c>
      <c r="L491" s="283">
        <f>IF(ISBLANK(INDEX('Policy Characteristics'!F:F,MATCH($C491,'Policy Characteristics'!$C:$C,0))),"",INDEX('Policy Characteristics'!F:F,MATCH($C491,'Policy Characteristics'!$C:$C,0)))</f>
        <v>0</v>
      </c>
      <c r="M491" s="283">
        <f>IF(ISBLANK(INDEX('Policy Characteristics'!G:G,MATCH($C491,'Policy Characteristics'!$C:$C,0))),"",INDEX('Policy Characteristics'!G:G,MATCH($C491,'Policy Characteristics'!$C:$C,0)))</f>
        <v>0.5</v>
      </c>
      <c r="N491" s="283">
        <f>IF(ISBLANK(INDEX('Policy Characteristics'!H:H,MATCH($C491,'Policy Characteristics'!$C:$C,0))),"",INDEX('Policy Characteristics'!H:H,MATCH($C491,'Policy Characteristics'!$C:$C,0)))</f>
        <v>0.01</v>
      </c>
      <c r="O491" s="275" t="str">
        <f>IF(ISBLANK(INDEX('Policy Characteristics'!I:I,MATCH($C491,'Policy Characteristics'!$C:$C,0))),"",INDEX('Policy Characteristics'!I:I,MATCH($C491,'Policy Characteristics'!$C:$C,0)))</f>
        <v>% of imports shifted</v>
      </c>
      <c r="P491" s="275" t="str">
        <f>IF(ISBLANK(INDEX('Policy Characteristics'!J:J,MATCH($C491,'Policy Characteristics'!$C:$C,0))),"",INDEX('Policy Characteristics'!J:J,MATCH($C491,'Policy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1" s="275" t="str">
        <f>IF(ISBLANK(INDEX('Policy Characteristics'!K:K,MATCH($C491,'Policy Characteristics'!$C:$C,0))),"",INDEX('Policy Characteristics'!K:K,MATCH($C491,'Policy Characteristics'!$C:$C,0)))</f>
        <v/>
      </c>
      <c r="R491" s="275" t="str">
        <f>IF(ISBLANK(INDEX('Policy Characteristics'!L:L,MATCH($C491,'Policy Characteristics'!$C:$C,0))),"",INDEX('Policy Characteristics'!L:L,MATCH($C491,'Policy Characteristics'!$C:$C,0)))</f>
        <v/>
      </c>
    </row>
    <row r="492" spans="1:18" x14ac:dyDescent="0.25">
      <c r="A492" s="275" t="str">
        <f>IF(ISBLANK(INDEX('Policy Characteristics'!A:A,MATCH($C492,'Policy Characteristics'!$C:$C,0))),"",INDEX('Policy Characteristics'!A:A,MATCH($C492,'Policy Characteristics'!$C:$C,0)))</f>
        <v>Industry</v>
      </c>
      <c r="B492" s="284" t="str">
        <f>IF(ISBLANK(INDEX('Policy Characteristics'!B:B,MATCH($C492,'Policy Characteristics'!$C:$C,0))),"",INDEX('Policy Characteristics'!B:B,MATCH($C492,'Policy Characteristics'!$C:$C,0)))</f>
        <v>Buy In-Region Products</v>
      </c>
      <c r="C492" s="275" t="str">
        <f t="shared" si="28"/>
        <v>Fraction of Imported Industrial Outputs Shifted to In Region Suppliers</v>
      </c>
      <c r="D492" s="6" t="s">
        <v>3073</v>
      </c>
      <c r="E492" s="6"/>
      <c r="F492" t="s">
        <v>3037</v>
      </c>
      <c r="G492" s="48"/>
      <c r="H492" s="44">
        <v>1540</v>
      </c>
      <c r="I492" s="346" t="s">
        <v>43</v>
      </c>
      <c r="J492" s="276" t="str">
        <f>IF(ISBLANK(INDEX('Policy Characteristics'!D:D,MATCH($C492,'Policy Characteristics'!$C:$C,0))),"",INDEX('Policy Characteristics'!D:D,MATCH($C492,'Policy Characteristics'!$C:$C,0)))</f>
        <v>Buy In-Region Products</v>
      </c>
      <c r="K492" s="275" t="str">
        <f>IF(ISBLANK(INDEX('Policy Characteristics'!E:E,MATCH($C492,'Policy Characteristics'!$C:$C,0))),"",INDEX('Policy Characteristics'!E:E,MATCH($C492,'Policy Characteristics'!$C:$C,0)))</f>
        <v>indst buy in region outputs</v>
      </c>
      <c r="L492" s="283">
        <f>IF(ISBLANK(INDEX('Policy Characteristics'!F:F,MATCH($C492,'Policy Characteristics'!$C:$C,0))),"",INDEX('Policy Characteristics'!F:F,MATCH($C492,'Policy Characteristics'!$C:$C,0)))</f>
        <v>0</v>
      </c>
      <c r="M492" s="283">
        <f>IF(ISBLANK(INDEX('Policy Characteristics'!G:G,MATCH($C492,'Policy Characteristics'!$C:$C,0))),"",INDEX('Policy Characteristics'!G:G,MATCH($C492,'Policy Characteristics'!$C:$C,0)))</f>
        <v>0.5</v>
      </c>
      <c r="N492" s="283">
        <f>IF(ISBLANK(INDEX('Policy Characteristics'!H:H,MATCH($C492,'Policy Characteristics'!$C:$C,0))),"",INDEX('Policy Characteristics'!H:H,MATCH($C492,'Policy Characteristics'!$C:$C,0)))</f>
        <v>0.01</v>
      </c>
      <c r="O492" s="275" t="str">
        <f>IF(ISBLANK(INDEX('Policy Characteristics'!I:I,MATCH($C492,'Policy Characteristics'!$C:$C,0))),"",INDEX('Policy Characteristics'!I:I,MATCH($C492,'Policy Characteristics'!$C:$C,0)))</f>
        <v>% of imports shifted</v>
      </c>
      <c r="P492" s="275" t="str">
        <f>IF(ISBLANK(INDEX('Policy Characteristics'!J:J,MATCH($C492,'Policy Characteristics'!$C:$C,0))),"",INDEX('Policy Characteristics'!J:J,MATCH($C492,'Policy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2" s="275" t="str">
        <f>IF(ISBLANK(INDEX('Policy Characteristics'!K:K,MATCH($C492,'Policy Characteristics'!$C:$C,0))),"",INDEX('Policy Characteristics'!K:K,MATCH($C492,'Policy Characteristics'!$C:$C,0)))</f>
        <v/>
      </c>
      <c r="R492" s="275" t="str">
        <f>IF(ISBLANK(INDEX('Policy Characteristics'!L:L,MATCH($C492,'Policy Characteristics'!$C:$C,0))),"",INDEX('Policy Characteristics'!L:L,MATCH($C492,'Policy Characteristics'!$C:$C,0)))</f>
        <v/>
      </c>
    </row>
    <row r="493" spans="1:18" x14ac:dyDescent="0.25">
      <c r="A493" s="275" t="str">
        <f>IF(ISBLANK(INDEX('Policy Characteristics'!A:A,MATCH($C493,'Policy Characteristics'!$C:$C,0))),"",INDEX('Policy Characteristics'!A:A,MATCH($C493,'Policy Characteristics'!$C:$C,0)))</f>
        <v>Industry</v>
      </c>
      <c r="B493" s="284" t="str">
        <f>IF(ISBLANK(INDEX('Policy Characteristics'!B:B,MATCH($C493,'Policy Characteristics'!$C:$C,0))),"",INDEX('Policy Characteristics'!B:B,MATCH($C493,'Policy Characteristics'!$C:$C,0)))</f>
        <v>Buy In-Region Products</v>
      </c>
      <c r="C493" s="275" t="str">
        <f t="shared" si="28"/>
        <v>Fraction of Imported Industrial Outputs Shifted to In Region Suppliers</v>
      </c>
      <c r="D493" s="6" t="s">
        <v>3074</v>
      </c>
      <c r="E493" s="6"/>
      <c r="F493" t="s">
        <v>3038</v>
      </c>
      <c r="G493" s="48"/>
      <c r="H493" s="44">
        <v>1541</v>
      </c>
      <c r="I493" s="346" t="s">
        <v>43</v>
      </c>
      <c r="J493" s="276" t="str">
        <f>IF(ISBLANK(INDEX('Policy Characteristics'!D:D,MATCH($C493,'Policy Characteristics'!$C:$C,0))),"",INDEX('Policy Characteristics'!D:D,MATCH($C493,'Policy Characteristics'!$C:$C,0)))</f>
        <v>Buy In-Region Products</v>
      </c>
      <c r="K493" s="275" t="str">
        <f>IF(ISBLANK(INDEX('Policy Characteristics'!E:E,MATCH($C493,'Policy Characteristics'!$C:$C,0))),"",INDEX('Policy Characteristics'!E:E,MATCH($C493,'Policy Characteristics'!$C:$C,0)))</f>
        <v>indst buy in region outputs</v>
      </c>
      <c r="L493" s="283">
        <f>IF(ISBLANK(INDEX('Policy Characteristics'!F:F,MATCH($C493,'Policy Characteristics'!$C:$C,0))),"",INDEX('Policy Characteristics'!F:F,MATCH($C493,'Policy Characteristics'!$C:$C,0)))</f>
        <v>0</v>
      </c>
      <c r="M493" s="283">
        <f>IF(ISBLANK(INDEX('Policy Characteristics'!G:G,MATCH($C493,'Policy Characteristics'!$C:$C,0))),"",INDEX('Policy Characteristics'!G:G,MATCH($C493,'Policy Characteristics'!$C:$C,0)))</f>
        <v>0.5</v>
      </c>
      <c r="N493" s="283">
        <f>IF(ISBLANK(INDEX('Policy Characteristics'!H:H,MATCH($C493,'Policy Characteristics'!$C:$C,0))),"",INDEX('Policy Characteristics'!H:H,MATCH($C493,'Policy Characteristics'!$C:$C,0)))</f>
        <v>0.01</v>
      </c>
      <c r="O493" s="275" t="str">
        <f>IF(ISBLANK(INDEX('Policy Characteristics'!I:I,MATCH($C493,'Policy Characteristics'!$C:$C,0))),"",INDEX('Policy Characteristics'!I:I,MATCH($C493,'Policy Characteristics'!$C:$C,0)))</f>
        <v>% of imports shifted</v>
      </c>
      <c r="P493" s="275" t="str">
        <f>IF(ISBLANK(INDEX('Policy Characteristics'!J:J,MATCH($C493,'Policy Characteristics'!$C:$C,0))),"",INDEX('Policy Characteristics'!J:J,MATCH($C493,'Policy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3" s="275" t="str">
        <f>IF(ISBLANK(INDEX('Policy Characteristics'!K:K,MATCH($C493,'Policy Characteristics'!$C:$C,0))),"",INDEX('Policy Characteristics'!K:K,MATCH($C493,'Policy Characteristics'!$C:$C,0)))</f>
        <v/>
      </c>
      <c r="R493" s="275" t="str">
        <f>IF(ISBLANK(INDEX('Policy Characteristics'!L:L,MATCH($C493,'Policy Characteristics'!$C:$C,0))),"",INDEX('Policy Characteristics'!L:L,MATCH($C493,'Policy Characteristics'!$C:$C,0)))</f>
        <v/>
      </c>
    </row>
    <row r="494" spans="1:18" x14ac:dyDescent="0.25">
      <c r="A494" s="275" t="str">
        <f>IF(ISBLANK(INDEX('Policy Characteristics'!A:A,MATCH($C494,'Policy Characteristics'!$C:$C,0))),"",INDEX('Policy Characteristics'!A:A,MATCH($C494,'Policy Characteristics'!$C:$C,0)))</f>
        <v>Industry</v>
      </c>
      <c r="B494" s="284" t="str">
        <f>IF(ISBLANK(INDEX('Policy Characteristics'!B:B,MATCH($C494,'Policy Characteristics'!$C:$C,0))),"",INDEX('Policy Characteristics'!B:B,MATCH($C494,'Policy Characteristics'!$C:$C,0)))</f>
        <v>Buy In-Region Products</v>
      </c>
      <c r="C494" s="275" t="str">
        <f t="shared" si="28"/>
        <v>Fraction of Imported Industrial Outputs Shifted to In Region Suppliers</v>
      </c>
      <c r="D494" s="6" t="s">
        <v>3075</v>
      </c>
      <c r="E494" s="6"/>
      <c r="F494" t="s">
        <v>3039</v>
      </c>
      <c r="G494" s="48"/>
      <c r="H494" s="44">
        <v>1542</v>
      </c>
      <c r="I494" s="346" t="s">
        <v>43</v>
      </c>
      <c r="J494" s="276" t="str">
        <f>IF(ISBLANK(INDEX('Policy Characteristics'!D:D,MATCH($C494,'Policy Characteristics'!$C:$C,0))),"",INDEX('Policy Characteristics'!D:D,MATCH($C494,'Policy Characteristics'!$C:$C,0)))</f>
        <v>Buy In-Region Products</v>
      </c>
      <c r="K494" s="275" t="str">
        <f>IF(ISBLANK(INDEX('Policy Characteristics'!E:E,MATCH($C494,'Policy Characteristics'!$C:$C,0))),"",INDEX('Policy Characteristics'!E:E,MATCH($C494,'Policy Characteristics'!$C:$C,0)))</f>
        <v>indst buy in region outputs</v>
      </c>
      <c r="L494" s="283">
        <f>IF(ISBLANK(INDEX('Policy Characteristics'!F:F,MATCH($C494,'Policy Characteristics'!$C:$C,0))),"",INDEX('Policy Characteristics'!F:F,MATCH($C494,'Policy Characteristics'!$C:$C,0)))</f>
        <v>0</v>
      </c>
      <c r="M494" s="283">
        <f>IF(ISBLANK(INDEX('Policy Characteristics'!G:G,MATCH($C494,'Policy Characteristics'!$C:$C,0))),"",INDEX('Policy Characteristics'!G:G,MATCH($C494,'Policy Characteristics'!$C:$C,0)))</f>
        <v>0.5</v>
      </c>
      <c r="N494" s="283">
        <f>IF(ISBLANK(INDEX('Policy Characteristics'!H:H,MATCH($C494,'Policy Characteristics'!$C:$C,0))),"",INDEX('Policy Characteristics'!H:H,MATCH($C494,'Policy Characteristics'!$C:$C,0)))</f>
        <v>0.01</v>
      </c>
      <c r="O494" s="275" t="str">
        <f>IF(ISBLANK(INDEX('Policy Characteristics'!I:I,MATCH($C494,'Policy Characteristics'!$C:$C,0))),"",INDEX('Policy Characteristics'!I:I,MATCH($C494,'Policy Characteristics'!$C:$C,0)))</f>
        <v>% of imports shifted</v>
      </c>
      <c r="P494" s="275" t="str">
        <f>IF(ISBLANK(INDEX('Policy Characteristics'!J:J,MATCH($C494,'Policy Characteristics'!$C:$C,0))),"",INDEX('Policy Characteristics'!J:J,MATCH($C494,'Policy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4" s="275" t="str">
        <f>IF(ISBLANK(INDEX('Policy Characteristics'!K:K,MATCH($C494,'Policy Characteristics'!$C:$C,0))),"",INDEX('Policy Characteristics'!K:K,MATCH($C494,'Policy Characteristics'!$C:$C,0)))</f>
        <v/>
      </c>
      <c r="R494" s="275" t="str">
        <f>IF(ISBLANK(INDEX('Policy Characteristics'!L:L,MATCH($C494,'Policy Characteristics'!$C:$C,0))),"",INDEX('Policy Characteristics'!L:L,MATCH($C494,'Policy Characteristics'!$C:$C,0)))</f>
        <v/>
      </c>
    </row>
    <row r="495" spans="1:18" x14ac:dyDescent="0.25">
      <c r="A495" s="275" t="str">
        <f>IF(ISBLANK(INDEX('Policy Characteristics'!A:A,MATCH($C495,'Policy Characteristics'!$C:$C,0))),"",INDEX('Policy Characteristics'!A:A,MATCH($C495,'Policy Characteristics'!$C:$C,0)))</f>
        <v>Industry</v>
      </c>
      <c r="B495" s="284" t="str">
        <f>IF(ISBLANK(INDEX('Policy Characteristics'!B:B,MATCH($C495,'Policy Characteristics'!$C:$C,0))),"",INDEX('Policy Characteristics'!B:B,MATCH($C495,'Policy Characteristics'!$C:$C,0)))</f>
        <v>Buy In-Region Products</v>
      </c>
      <c r="C495" s="275" t="str">
        <f t="shared" si="28"/>
        <v>Fraction of Imported Industrial Outputs Shifted to In Region Suppliers</v>
      </c>
      <c r="D495" s="6" t="s">
        <v>3076</v>
      </c>
      <c r="E495" s="6"/>
      <c r="F495" t="s">
        <v>3040</v>
      </c>
      <c r="G495" s="48"/>
      <c r="H495" s="44">
        <v>1543</v>
      </c>
      <c r="I495" s="346" t="s">
        <v>43</v>
      </c>
      <c r="J495" s="276" t="str">
        <f>IF(ISBLANK(INDEX('Policy Characteristics'!D:D,MATCH($C495,'Policy Characteristics'!$C:$C,0))),"",INDEX('Policy Characteristics'!D:D,MATCH($C495,'Policy Characteristics'!$C:$C,0)))</f>
        <v>Buy In-Region Products</v>
      </c>
      <c r="K495" s="275" t="str">
        <f>IF(ISBLANK(INDEX('Policy Characteristics'!E:E,MATCH($C495,'Policy Characteristics'!$C:$C,0))),"",INDEX('Policy Characteristics'!E:E,MATCH($C495,'Policy Characteristics'!$C:$C,0)))</f>
        <v>indst buy in region outputs</v>
      </c>
      <c r="L495" s="283">
        <f>IF(ISBLANK(INDEX('Policy Characteristics'!F:F,MATCH($C495,'Policy Characteristics'!$C:$C,0))),"",INDEX('Policy Characteristics'!F:F,MATCH($C495,'Policy Characteristics'!$C:$C,0)))</f>
        <v>0</v>
      </c>
      <c r="M495" s="283">
        <f>IF(ISBLANK(INDEX('Policy Characteristics'!G:G,MATCH($C495,'Policy Characteristics'!$C:$C,0))),"",INDEX('Policy Characteristics'!G:G,MATCH($C495,'Policy Characteristics'!$C:$C,0)))</f>
        <v>0.5</v>
      </c>
      <c r="N495" s="283">
        <f>IF(ISBLANK(INDEX('Policy Characteristics'!H:H,MATCH($C495,'Policy Characteristics'!$C:$C,0))),"",INDEX('Policy Characteristics'!H:H,MATCH($C495,'Policy Characteristics'!$C:$C,0)))</f>
        <v>0.01</v>
      </c>
      <c r="O495" s="275" t="str">
        <f>IF(ISBLANK(INDEX('Policy Characteristics'!I:I,MATCH($C495,'Policy Characteristics'!$C:$C,0))),"",INDEX('Policy Characteristics'!I:I,MATCH($C495,'Policy Characteristics'!$C:$C,0)))</f>
        <v>% of imports shifted</v>
      </c>
      <c r="P495" s="275" t="str">
        <f>IF(ISBLANK(INDEX('Policy Characteristics'!J:J,MATCH($C495,'Policy Characteristics'!$C:$C,0))),"",INDEX('Policy Characteristics'!J:J,MATCH($C495,'Policy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5" s="275" t="str">
        <f>IF(ISBLANK(INDEX('Policy Characteristics'!K:K,MATCH($C495,'Policy Characteristics'!$C:$C,0))),"",INDEX('Policy Characteristics'!K:K,MATCH($C495,'Policy Characteristics'!$C:$C,0)))</f>
        <v/>
      </c>
      <c r="R495" s="275" t="str">
        <f>IF(ISBLANK(INDEX('Policy Characteristics'!L:L,MATCH($C495,'Policy Characteristics'!$C:$C,0))),"",INDEX('Policy Characteristics'!L:L,MATCH($C495,'Policy Characteristics'!$C:$C,0)))</f>
        <v/>
      </c>
    </row>
    <row r="496" spans="1:18" x14ac:dyDescent="0.25">
      <c r="A496" s="275" t="str">
        <f>IF(ISBLANK(INDEX('Policy Characteristics'!A:A,MATCH($C496,'Policy Characteristics'!$C:$C,0))),"",INDEX('Policy Characteristics'!A:A,MATCH($C496,'Policy Characteristics'!$C:$C,0)))</f>
        <v>Industry</v>
      </c>
      <c r="B496" s="284" t="str">
        <f>IF(ISBLANK(INDEX('Policy Characteristics'!B:B,MATCH($C496,'Policy Characteristics'!$C:$C,0))),"",INDEX('Policy Characteristics'!B:B,MATCH($C496,'Policy Characteristics'!$C:$C,0)))</f>
        <v>Buy In-Region Products</v>
      </c>
      <c r="C496" s="275" t="str">
        <f t="shared" si="28"/>
        <v>Fraction of Imported Industrial Outputs Shifted to In Region Suppliers</v>
      </c>
      <c r="D496" s="6" t="s">
        <v>3077</v>
      </c>
      <c r="E496" s="6"/>
      <c r="F496" t="s">
        <v>3041</v>
      </c>
      <c r="G496" s="48"/>
      <c r="H496" s="44">
        <v>1544</v>
      </c>
      <c r="I496" s="346" t="s">
        <v>43</v>
      </c>
      <c r="J496" s="276" t="str">
        <f>IF(ISBLANK(INDEX('Policy Characteristics'!D:D,MATCH($C496,'Policy Characteristics'!$C:$C,0))),"",INDEX('Policy Characteristics'!D:D,MATCH($C496,'Policy Characteristics'!$C:$C,0)))</f>
        <v>Buy In-Region Products</v>
      </c>
      <c r="K496" s="275" t="str">
        <f>IF(ISBLANK(INDEX('Policy Characteristics'!E:E,MATCH($C496,'Policy Characteristics'!$C:$C,0))),"",INDEX('Policy Characteristics'!E:E,MATCH($C496,'Policy Characteristics'!$C:$C,0)))</f>
        <v>indst buy in region outputs</v>
      </c>
      <c r="L496" s="283">
        <f>IF(ISBLANK(INDEX('Policy Characteristics'!F:F,MATCH($C496,'Policy Characteristics'!$C:$C,0))),"",INDEX('Policy Characteristics'!F:F,MATCH($C496,'Policy Characteristics'!$C:$C,0)))</f>
        <v>0</v>
      </c>
      <c r="M496" s="283">
        <f>IF(ISBLANK(INDEX('Policy Characteristics'!G:G,MATCH($C496,'Policy Characteristics'!$C:$C,0))),"",INDEX('Policy Characteristics'!G:G,MATCH($C496,'Policy Characteristics'!$C:$C,0)))</f>
        <v>0.5</v>
      </c>
      <c r="N496" s="283">
        <f>IF(ISBLANK(INDEX('Policy Characteristics'!H:H,MATCH($C496,'Policy Characteristics'!$C:$C,0))),"",INDEX('Policy Characteristics'!H:H,MATCH($C496,'Policy Characteristics'!$C:$C,0)))</f>
        <v>0.01</v>
      </c>
      <c r="O496" s="275" t="str">
        <f>IF(ISBLANK(INDEX('Policy Characteristics'!I:I,MATCH($C496,'Policy Characteristics'!$C:$C,0))),"",INDEX('Policy Characteristics'!I:I,MATCH($C496,'Policy Characteristics'!$C:$C,0)))</f>
        <v>% of imports shifted</v>
      </c>
      <c r="P496" s="275" t="str">
        <f>IF(ISBLANK(INDEX('Policy Characteristics'!J:J,MATCH($C496,'Policy Characteristics'!$C:$C,0))),"",INDEX('Policy Characteristics'!J:J,MATCH($C496,'Policy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6" s="275" t="str">
        <f>IF(ISBLANK(INDEX('Policy Characteristics'!K:K,MATCH($C496,'Policy Characteristics'!$C:$C,0))),"",INDEX('Policy Characteristics'!K:K,MATCH($C496,'Policy Characteristics'!$C:$C,0)))</f>
        <v/>
      </c>
      <c r="R496" s="275" t="str">
        <f>IF(ISBLANK(INDEX('Policy Characteristics'!L:L,MATCH($C496,'Policy Characteristics'!$C:$C,0))),"",INDEX('Policy Characteristics'!L:L,MATCH($C496,'Policy Characteristics'!$C:$C,0)))</f>
        <v/>
      </c>
    </row>
    <row r="497" spans="1:18" x14ac:dyDescent="0.25">
      <c r="A497" s="275" t="str">
        <f>IF(ISBLANK(INDEX('Policy Characteristics'!A:A,MATCH($C497,'Policy Characteristics'!$C:$C,0))),"",INDEX('Policy Characteristics'!A:A,MATCH($C497,'Policy Characteristics'!$C:$C,0)))</f>
        <v>Industry</v>
      </c>
      <c r="B497" s="284" t="str">
        <f>IF(ISBLANK(INDEX('Policy Characteristics'!B:B,MATCH($C497,'Policy Characteristics'!$C:$C,0))),"",INDEX('Policy Characteristics'!B:B,MATCH($C497,'Policy Characteristics'!$C:$C,0)))</f>
        <v>Buy In-Region Products</v>
      </c>
      <c r="C497" s="275" t="str">
        <f t="shared" si="28"/>
        <v>Fraction of Imported Industrial Outputs Shifted to In Region Suppliers</v>
      </c>
      <c r="D497" s="6" t="s">
        <v>3078</v>
      </c>
      <c r="E497" s="6"/>
      <c r="F497" t="s">
        <v>3042</v>
      </c>
      <c r="G497" s="48"/>
      <c r="H497" s="44">
        <v>1545</v>
      </c>
      <c r="I497" s="346" t="s">
        <v>43</v>
      </c>
      <c r="J497" s="276" t="str">
        <f>IF(ISBLANK(INDEX('Policy Characteristics'!D:D,MATCH($C497,'Policy Characteristics'!$C:$C,0))),"",INDEX('Policy Characteristics'!D:D,MATCH($C497,'Policy Characteristics'!$C:$C,0)))</f>
        <v>Buy In-Region Products</v>
      </c>
      <c r="K497" s="275" t="str">
        <f>IF(ISBLANK(INDEX('Policy Characteristics'!E:E,MATCH($C497,'Policy Characteristics'!$C:$C,0))),"",INDEX('Policy Characteristics'!E:E,MATCH($C497,'Policy Characteristics'!$C:$C,0)))</f>
        <v>indst buy in region outputs</v>
      </c>
      <c r="L497" s="283">
        <f>IF(ISBLANK(INDEX('Policy Characteristics'!F:F,MATCH($C497,'Policy Characteristics'!$C:$C,0))),"",INDEX('Policy Characteristics'!F:F,MATCH($C497,'Policy Characteristics'!$C:$C,0)))</f>
        <v>0</v>
      </c>
      <c r="M497" s="283">
        <f>IF(ISBLANK(INDEX('Policy Characteristics'!G:G,MATCH($C497,'Policy Characteristics'!$C:$C,0))),"",INDEX('Policy Characteristics'!G:G,MATCH($C497,'Policy Characteristics'!$C:$C,0)))</f>
        <v>0.5</v>
      </c>
      <c r="N497" s="283">
        <f>IF(ISBLANK(INDEX('Policy Characteristics'!H:H,MATCH($C497,'Policy Characteristics'!$C:$C,0))),"",INDEX('Policy Characteristics'!H:H,MATCH($C497,'Policy Characteristics'!$C:$C,0)))</f>
        <v>0.01</v>
      </c>
      <c r="O497" s="275" t="str">
        <f>IF(ISBLANK(INDEX('Policy Characteristics'!I:I,MATCH($C497,'Policy Characteristics'!$C:$C,0))),"",INDEX('Policy Characteristics'!I:I,MATCH($C497,'Policy Characteristics'!$C:$C,0)))</f>
        <v>% of imports shifted</v>
      </c>
      <c r="P497" s="275" t="str">
        <f>IF(ISBLANK(INDEX('Policy Characteristics'!J:J,MATCH($C497,'Policy Characteristics'!$C:$C,0))),"",INDEX('Policy Characteristics'!J:J,MATCH($C497,'Policy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7" s="275" t="str">
        <f>IF(ISBLANK(INDEX('Policy Characteristics'!K:K,MATCH($C497,'Policy Characteristics'!$C:$C,0))),"",INDEX('Policy Characteristics'!K:K,MATCH($C497,'Policy Characteristics'!$C:$C,0)))</f>
        <v/>
      </c>
      <c r="R497" s="275" t="str">
        <f>IF(ISBLANK(INDEX('Policy Characteristics'!L:L,MATCH($C497,'Policy Characteristics'!$C:$C,0))),"",INDEX('Policy Characteristics'!L:L,MATCH($C497,'Policy Characteristics'!$C:$C,0)))</f>
        <v/>
      </c>
    </row>
    <row r="498" spans="1:18" x14ac:dyDescent="0.25">
      <c r="A498" s="275" t="str">
        <f>IF(ISBLANK(INDEX('Policy Characteristics'!A:A,MATCH($C498,'Policy Characteristics'!$C:$C,0))),"",INDEX('Policy Characteristics'!A:A,MATCH($C498,'Policy Characteristics'!$C:$C,0)))</f>
        <v>Industry</v>
      </c>
      <c r="B498" s="284" t="str">
        <f>IF(ISBLANK(INDEX('Policy Characteristics'!B:B,MATCH($C498,'Policy Characteristics'!$C:$C,0))),"",INDEX('Policy Characteristics'!B:B,MATCH($C498,'Policy Characteristics'!$C:$C,0)))</f>
        <v>Buy In-Region Products</v>
      </c>
      <c r="C498" s="275" t="str">
        <f t="shared" si="28"/>
        <v>Fraction of Imported Industrial Outputs Shifted to In Region Suppliers</v>
      </c>
      <c r="D498" s="6" t="s">
        <v>3079</v>
      </c>
      <c r="E498" s="6"/>
      <c r="F498" t="s">
        <v>2582</v>
      </c>
      <c r="G498" s="48"/>
      <c r="H498" s="44">
        <v>1546</v>
      </c>
      <c r="I498" s="346" t="s">
        <v>43</v>
      </c>
      <c r="J498" s="276" t="str">
        <f>IF(ISBLANK(INDEX('Policy Characteristics'!D:D,MATCH($C498,'Policy Characteristics'!$C:$C,0))),"",INDEX('Policy Characteristics'!D:D,MATCH($C498,'Policy Characteristics'!$C:$C,0)))</f>
        <v>Buy In-Region Products</v>
      </c>
      <c r="K498" s="275" t="str">
        <f>IF(ISBLANK(INDEX('Policy Characteristics'!E:E,MATCH($C498,'Policy Characteristics'!$C:$C,0))),"",INDEX('Policy Characteristics'!E:E,MATCH($C498,'Policy Characteristics'!$C:$C,0)))</f>
        <v>indst buy in region outputs</v>
      </c>
      <c r="L498" s="283">
        <f>IF(ISBLANK(INDEX('Policy Characteristics'!F:F,MATCH($C498,'Policy Characteristics'!$C:$C,0))),"",INDEX('Policy Characteristics'!F:F,MATCH($C498,'Policy Characteristics'!$C:$C,0)))</f>
        <v>0</v>
      </c>
      <c r="M498" s="283">
        <f>IF(ISBLANK(INDEX('Policy Characteristics'!G:G,MATCH($C498,'Policy Characteristics'!$C:$C,0))),"",INDEX('Policy Characteristics'!G:G,MATCH($C498,'Policy Characteristics'!$C:$C,0)))</f>
        <v>0.5</v>
      </c>
      <c r="N498" s="283">
        <f>IF(ISBLANK(INDEX('Policy Characteristics'!H:H,MATCH($C498,'Policy Characteristics'!$C:$C,0))),"",INDEX('Policy Characteristics'!H:H,MATCH($C498,'Policy Characteristics'!$C:$C,0)))</f>
        <v>0.01</v>
      </c>
      <c r="O498" s="275" t="str">
        <f>IF(ISBLANK(INDEX('Policy Characteristics'!I:I,MATCH($C498,'Policy Characteristics'!$C:$C,0))),"",INDEX('Policy Characteristics'!I:I,MATCH($C498,'Policy Characteristics'!$C:$C,0)))</f>
        <v>% of imports shifted</v>
      </c>
      <c r="P498" s="275" t="str">
        <f>IF(ISBLANK(INDEX('Policy Characteristics'!J:J,MATCH($C498,'Policy Characteristics'!$C:$C,0))),"",INDEX('Policy Characteristics'!J:J,MATCH($C498,'Policy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8" s="275" t="str">
        <f>IF(ISBLANK(INDEX('Policy Characteristics'!K:K,MATCH($C498,'Policy Characteristics'!$C:$C,0))),"",INDEX('Policy Characteristics'!K:K,MATCH($C498,'Policy Characteristics'!$C:$C,0)))</f>
        <v/>
      </c>
      <c r="R498" s="275" t="str">
        <f>IF(ISBLANK(INDEX('Policy Characteristics'!L:L,MATCH($C498,'Policy Characteristics'!$C:$C,0))),"",INDEX('Policy Characteristics'!L:L,MATCH($C498,'Policy Characteristics'!$C:$C,0)))</f>
        <v/>
      </c>
    </row>
    <row r="499" spans="1:18" x14ac:dyDescent="0.25">
      <c r="A499" s="275" t="str">
        <f>IF(ISBLANK(INDEX('Policy Characteristics'!A:A,MATCH($C499,'Policy Characteristics'!$C:$C,0))),"",INDEX('Policy Characteristics'!A:A,MATCH($C499,'Policy Characteristics'!$C:$C,0)))</f>
        <v>Industry</v>
      </c>
      <c r="B499" s="284" t="str">
        <f>IF(ISBLANK(INDEX('Policy Characteristics'!B:B,MATCH($C499,'Policy Characteristics'!$C:$C,0))),"",INDEX('Policy Characteristics'!B:B,MATCH($C499,'Policy Characteristics'!$C:$C,0)))</f>
        <v>Buy In-Region Products</v>
      </c>
      <c r="C499" s="275" t="str">
        <f t="shared" si="28"/>
        <v>Fraction of Imported Industrial Outputs Shifted to In Region Suppliers</v>
      </c>
      <c r="D499" s="6" t="s">
        <v>3080</v>
      </c>
      <c r="E499" s="6"/>
      <c r="F499" t="s">
        <v>3043</v>
      </c>
      <c r="G499" s="48"/>
      <c r="H499" s="44">
        <v>1547</v>
      </c>
      <c r="I499" s="346" t="s">
        <v>43</v>
      </c>
      <c r="J499" s="276" t="str">
        <f>IF(ISBLANK(INDEX('Policy Characteristics'!D:D,MATCH($C499,'Policy Characteristics'!$C:$C,0))),"",INDEX('Policy Characteristics'!D:D,MATCH($C499,'Policy Characteristics'!$C:$C,0)))</f>
        <v>Buy In-Region Products</v>
      </c>
      <c r="K499" s="275" t="str">
        <f>IF(ISBLANK(INDEX('Policy Characteristics'!E:E,MATCH($C499,'Policy Characteristics'!$C:$C,0))),"",INDEX('Policy Characteristics'!E:E,MATCH($C499,'Policy Characteristics'!$C:$C,0)))</f>
        <v>indst buy in region outputs</v>
      </c>
      <c r="L499" s="283">
        <f>IF(ISBLANK(INDEX('Policy Characteristics'!F:F,MATCH($C499,'Policy Characteristics'!$C:$C,0))),"",INDEX('Policy Characteristics'!F:F,MATCH($C499,'Policy Characteristics'!$C:$C,0)))</f>
        <v>0</v>
      </c>
      <c r="M499" s="283">
        <f>IF(ISBLANK(INDEX('Policy Characteristics'!G:G,MATCH($C499,'Policy Characteristics'!$C:$C,0))),"",INDEX('Policy Characteristics'!G:G,MATCH($C499,'Policy Characteristics'!$C:$C,0)))</f>
        <v>0.5</v>
      </c>
      <c r="N499" s="283">
        <f>IF(ISBLANK(INDEX('Policy Characteristics'!H:H,MATCH($C499,'Policy Characteristics'!$C:$C,0))),"",INDEX('Policy Characteristics'!H:H,MATCH($C499,'Policy Characteristics'!$C:$C,0)))</f>
        <v>0.01</v>
      </c>
      <c r="O499" s="275" t="str">
        <f>IF(ISBLANK(INDEX('Policy Characteristics'!I:I,MATCH($C499,'Policy Characteristics'!$C:$C,0))),"",INDEX('Policy Characteristics'!I:I,MATCH($C499,'Policy Characteristics'!$C:$C,0)))</f>
        <v>% of imports shifted</v>
      </c>
      <c r="P499" s="275" t="str">
        <f>IF(ISBLANK(INDEX('Policy Characteristics'!J:J,MATCH($C499,'Policy Characteristics'!$C:$C,0))),"",INDEX('Policy Characteristics'!J:J,MATCH($C499,'Policy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9" s="275" t="str">
        <f>IF(ISBLANK(INDEX('Policy Characteristics'!K:K,MATCH($C499,'Policy Characteristics'!$C:$C,0))),"",INDEX('Policy Characteristics'!K:K,MATCH($C499,'Policy Characteristics'!$C:$C,0)))</f>
        <v/>
      </c>
      <c r="R499" s="275" t="str">
        <f>IF(ISBLANK(INDEX('Policy Characteristics'!L:L,MATCH($C499,'Policy Characteristics'!$C:$C,0))),"",INDEX('Policy Characteristics'!L:L,MATCH($C499,'Policy Characteristics'!$C:$C,0)))</f>
        <v/>
      </c>
    </row>
    <row r="500" spans="1:18" x14ac:dyDescent="0.25">
      <c r="A500" s="275" t="str">
        <f>IF(ISBLANK(INDEX('Policy Characteristics'!A:A,MATCH($C500,'Policy Characteristics'!$C:$C,0))),"",INDEX('Policy Characteristics'!A:A,MATCH($C500,'Policy Characteristics'!$C:$C,0)))</f>
        <v>Industry</v>
      </c>
      <c r="B500" s="284" t="str">
        <f>IF(ISBLANK(INDEX('Policy Characteristics'!B:B,MATCH($C500,'Policy Characteristics'!$C:$C,0))),"",INDEX('Policy Characteristics'!B:B,MATCH($C500,'Policy Characteristics'!$C:$C,0)))</f>
        <v>Buy In-Region Products</v>
      </c>
      <c r="C500" s="275" t="str">
        <f t="shared" si="28"/>
        <v>Fraction of Imported Industrial Outputs Shifted to In Region Suppliers</v>
      </c>
      <c r="D500" s="6" t="s">
        <v>3081</v>
      </c>
      <c r="E500" s="6"/>
      <c r="F500" t="s">
        <v>3044</v>
      </c>
      <c r="G500" s="48"/>
      <c r="H500" s="44">
        <v>1548</v>
      </c>
      <c r="I500" s="346" t="s">
        <v>43</v>
      </c>
      <c r="J500" s="276" t="str">
        <f>IF(ISBLANK(INDEX('Policy Characteristics'!D:D,MATCH($C500,'Policy Characteristics'!$C:$C,0))),"",INDEX('Policy Characteristics'!D:D,MATCH($C500,'Policy Characteristics'!$C:$C,0)))</f>
        <v>Buy In-Region Products</v>
      </c>
      <c r="K500" s="275" t="str">
        <f>IF(ISBLANK(INDEX('Policy Characteristics'!E:E,MATCH($C500,'Policy Characteristics'!$C:$C,0))),"",INDEX('Policy Characteristics'!E:E,MATCH($C500,'Policy Characteristics'!$C:$C,0)))</f>
        <v>indst buy in region outputs</v>
      </c>
      <c r="L500" s="283">
        <f>IF(ISBLANK(INDEX('Policy Characteristics'!F:F,MATCH($C500,'Policy Characteristics'!$C:$C,0))),"",INDEX('Policy Characteristics'!F:F,MATCH($C500,'Policy Characteristics'!$C:$C,0)))</f>
        <v>0</v>
      </c>
      <c r="M500" s="283">
        <f>IF(ISBLANK(INDEX('Policy Characteristics'!G:G,MATCH($C500,'Policy Characteristics'!$C:$C,0))),"",INDEX('Policy Characteristics'!G:G,MATCH($C500,'Policy Characteristics'!$C:$C,0)))</f>
        <v>0.5</v>
      </c>
      <c r="N500" s="283">
        <f>IF(ISBLANK(INDEX('Policy Characteristics'!H:H,MATCH($C500,'Policy Characteristics'!$C:$C,0))),"",INDEX('Policy Characteristics'!H:H,MATCH($C500,'Policy Characteristics'!$C:$C,0)))</f>
        <v>0.01</v>
      </c>
      <c r="O500" s="275" t="str">
        <f>IF(ISBLANK(INDEX('Policy Characteristics'!I:I,MATCH($C500,'Policy Characteristics'!$C:$C,0))),"",INDEX('Policy Characteristics'!I:I,MATCH($C500,'Policy Characteristics'!$C:$C,0)))</f>
        <v>% of imports shifted</v>
      </c>
      <c r="P500" s="275" t="str">
        <f>IF(ISBLANK(INDEX('Policy Characteristics'!J:J,MATCH($C500,'Policy Characteristics'!$C:$C,0))),"",INDEX('Policy Characteristics'!J:J,MATCH($C500,'Policy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0" s="275" t="str">
        <f>IF(ISBLANK(INDEX('Policy Characteristics'!K:K,MATCH($C500,'Policy Characteristics'!$C:$C,0))),"",INDEX('Policy Characteristics'!K:K,MATCH($C500,'Policy Characteristics'!$C:$C,0)))</f>
        <v/>
      </c>
      <c r="R500" s="275" t="str">
        <f>IF(ISBLANK(INDEX('Policy Characteristics'!L:L,MATCH($C500,'Policy Characteristics'!$C:$C,0))),"",INDEX('Policy Characteristics'!L:L,MATCH($C500,'Policy Characteristics'!$C:$C,0)))</f>
        <v/>
      </c>
    </row>
    <row r="501" spans="1:18" x14ac:dyDescent="0.25">
      <c r="A501" s="275" t="str">
        <f>IF(ISBLANK(INDEX('Policy Characteristics'!A:A,MATCH($C501,'Policy Characteristics'!$C:$C,0))),"",INDEX('Policy Characteristics'!A:A,MATCH($C501,'Policy Characteristics'!$C:$C,0)))</f>
        <v>Industry</v>
      </c>
      <c r="B501" s="284" t="str">
        <f>IF(ISBLANK(INDEX('Policy Characteristics'!B:B,MATCH($C501,'Policy Characteristics'!$C:$C,0))),"",INDEX('Policy Characteristics'!B:B,MATCH($C501,'Policy Characteristics'!$C:$C,0)))</f>
        <v>Buy In-Region Products</v>
      </c>
      <c r="C501" s="275" t="str">
        <f t="shared" si="28"/>
        <v>Fraction of Imported Industrial Outputs Shifted to In Region Suppliers</v>
      </c>
      <c r="D501" s="6" t="s">
        <v>3082</v>
      </c>
      <c r="E501" s="6"/>
      <c r="F501" t="s">
        <v>3045</v>
      </c>
      <c r="G501" s="48"/>
      <c r="H501" s="44">
        <v>1549</v>
      </c>
      <c r="I501" s="346" t="s">
        <v>43</v>
      </c>
      <c r="J501" s="276" t="str">
        <f>IF(ISBLANK(INDEX('Policy Characteristics'!D:D,MATCH($C501,'Policy Characteristics'!$C:$C,0))),"",INDEX('Policy Characteristics'!D:D,MATCH($C501,'Policy Characteristics'!$C:$C,0)))</f>
        <v>Buy In-Region Products</v>
      </c>
      <c r="K501" s="275" t="str">
        <f>IF(ISBLANK(INDEX('Policy Characteristics'!E:E,MATCH($C501,'Policy Characteristics'!$C:$C,0))),"",INDEX('Policy Characteristics'!E:E,MATCH($C501,'Policy Characteristics'!$C:$C,0)))</f>
        <v>indst buy in region outputs</v>
      </c>
      <c r="L501" s="283">
        <f>IF(ISBLANK(INDEX('Policy Characteristics'!F:F,MATCH($C501,'Policy Characteristics'!$C:$C,0))),"",INDEX('Policy Characteristics'!F:F,MATCH($C501,'Policy Characteristics'!$C:$C,0)))</f>
        <v>0</v>
      </c>
      <c r="M501" s="283">
        <f>IF(ISBLANK(INDEX('Policy Characteristics'!G:G,MATCH($C501,'Policy Characteristics'!$C:$C,0))),"",INDEX('Policy Characteristics'!G:G,MATCH($C501,'Policy Characteristics'!$C:$C,0)))</f>
        <v>0.5</v>
      </c>
      <c r="N501" s="283">
        <f>IF(ISBLANK(INDEX('Policy Characteristics'!H:H,MATCH($C501,'Policy Characteristics'!$C:$C,0))),"",INDEX('Policy Characteristics'!H:H,MATCH($C501,'Policy Characteristics'!$C:$C,0)))</f>
        <v>0.01</v>
      </c>
      <c r="O501" s="275" t="str">
        <f>IF(ISBLANK(INDEX('Policy Characteristics'!I:I,MATCH($C501,'Policy Characteristics'!$C:$C,0))),"",INDEX('Policy Characteristics'!I:I,MATCH($C501,'Policy Characteristics'!$C:$C,0)))</f>
        <v>% of imports shifted</v>
      </c>
      <c r="P501" s="275" t="str">
        <f>IF(ISBLANK(INDEX('Policy Characteristics'!J:J,MATCH($C501,'Policy Characteristics'!$C:$C,0))),"",INDEX('Policy Characteristics'!J:J,MATCH($C501,'Policy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1" s="275" t="str">
        <f>IF(ISBLANK(INDEX('Policy Characteristics'!K:K,MATCH($C501,'Policy Characteristics'!$C:$C,0))),"",INDEX('Policy Characteristics'!K:K,MATCH($C501,'Policy Characteristics'!$C:$C,0)))</f>
        <v/>
      </c>
      <c r="R501" s="275" t="str">
        <f>IF(ISBLANK(INDEX('Policy Characteristics'!L:L,MATCH($C501,'Policy Characteristics'!$C:$C,0))),"",INDEX('Policy Characteristics'!L:L,MATCH($C501,'Policy Characteristics'!$C:$C,0)))</f>
        <v/>
      </c>
    </row>
    <row r="502" spans="1:18" x14ac:dyDescent="0.25">
      <c r="A502" s="275" t="str">
        <f>IF(ISBLANK(INDEX('Policy Characteristics'!A:A,MATCH($C502,'Policy Characteristics'!$C:$C,0))),"",INDEX('Policy Characteristics'!A:A,MATCH($C502,'Policy Characteristics'!$C:$C,0)))</f>
        <v>Industry</v>
      </c>
      <c r="B502" s="284" t="str">
        <f>IF(ISBLANK(INDEX('Policy Characteristics'!B:B,MATCH($C502,'Policy Characteristics'!$C:$C,0))),"",INDEX('Policy Characteristics'!B:B,MATCH($C502,'Policy Characteristics'!$C:$C,0)))</f>
        <v>Buy In-Region Products</v>
      </c>
      <c r="C502" s="275" t="str">
        <f t="shared" si="28"/>
        <v>Fraction of Imported Industrial Outputs Shifted to In Region Suppliers</v>
      </c>
      <c r="D502" s="6" t="s">
        <v>3083</v>
      </c>
      <c r="E502" s="6"/>
      <c r="F502" t="s">
        <v>2583</v>
      </c>
      <c r="G502" s="48"/>
      <c r="H502" s="44">
        <v>1550</v>
      </c>
      <c r="I502" s="346" t="s">
        <v>43</v>
      </c>
      <c r="J502" s="276" t="str">
        <f>IF(ISBLANK(INDEX('Policy Characteristics'!D:D,MATCH($C502,'Policy Characteristics'!$C:$C,0))),"",INDEX('Policy Characteristics'!D:D,MATCH($C502,'Policy Characteristics'!$C:$C,0)))</f>
        <v>Buy In-Region Products</v>
      </c>
      <c r="K502" s="275" t="str">
        <f>IF(ISBLANK(INDEX('Policy Characteristics'!E:E,MATCH($C502,'Policy Characteristics'!$C:$C,0))),"",INDEX('Policy Characteristics'!E:E,MATCH($C502,'Policy Characteristics'!$C:$C,0)))</f>
        <v>indst buy in region outputs</v>
      </c>
      <c r="L502" s="283">
        <f>IF(ISBLANK(INDEX('Policy Characteristics'!F:F,MATCH($C502,'Policy Characteristics'!$C:$C,0))),"",INDEX('Policy Characteristics'!F:F,MATCH($C502,'Policy Characteristics'!$C:$C,0)))</f>
        <v>0</v>
      </c>
      <c r="M502" s="283">
        <f>IF(ISBLANK(INDEX('Policy Characteristics'!G:G,MATCH($C502,'Policy Characteristics'!$C:$C,0))),"",INDEX('Policy Characteristics'!G:G,MATCH($C502,'Policy Characteristics'!$C:$C,0)))</f>
        <v>0.5</v>
      </c>
      <c r="N502" s="283">
        <f>IF(ISBLANK(INDEX('Policy Characteristics'!H:H,MATCH($C502,'Policy Characteristics'!$C:$C,0))),"",INDEX('Policy Characteristics'!H:H,MATCH($C502,'Policy Characteristics'!$C:$C,0)))</f>
        <v>0.01</v>
      </c>
      <c r="O502" s="275" t="str">
        <f>IF(ISBLANK(INDEX('Policy Characteristics'!I:I,MATCH($C502,'Policy Characteristics'!$C:$C,0))),"",INDEX('Policy Characteristics'!I:I,MATCH($C502,'Policy Characteristics'!$C:$C,0)))</f>
        <v>% of imports shifted</v>
      </c>
      <c r="P502" s="275" t="str">
        <f>IF(ISBLANK(INDEX('Policy Characteristics'!J:J,MATCH($C502,'Policy Characteristics'!$C:$C,0))),"",INDEX('Policy Characteristics'!J:J,MATCH($C502,'Policy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2" s="275" t="str">
        <f>IF(ISBLANK(INDEX('Policy Characteristics'!K:K,MATCH($C502,'Policy Characteristics'!$C:$C,0))),"",INDEX('Policy Characteristics'!K:K,MATCH($C502,'Policy Characteristics'!$C:$C,0)))</f>
        <v/>
      </c>
      <c r="R502" s="275" t="str">
        <f>IF(ISBLANK(INDEX('Policy Characteristics'!L:L,MATCH($C502,'Policy Characteristics'!$C:$C,0))),"",INDEX('Policy Characteristics'!L:L,MATCH($C502,'Policy Characteristics'!$C:$C,0)))</f>
        <v/>
      </c>
    </row>
    <row r="503" spans="1:18" x14ac:dyDescent="0.25">
      <c r="A503" s="275" t="str">
        <f>IF(ISBLANK(INDEX('Policy Characteristics'!A:A,MATCH($C503,'Policy Characteristics'!$C:$C,0))),"",INDEX('Policy Characteristics'!A:A,MATCH($C503,'Policy Characteristics'!$C:$C,0)))</f>
        <v>Industry</v>
      </c>
      <c r="B503" s="284" t="str">
        <f>IF(ISBLANK(INDEX('Policy Characteristics'!B:B,MATCH($C503,'Policy Characteristics'!$C:$C,0))),"",INDEX('Policy Characteristics'!B:B,MATCH($C503,'Policy Characteristics'!$C:$C,0)))</f>
        <v>Buy In-Region Products</v>
      </c>
      <c r="C503" s="275" t="str">
        <f t="shared" si="28"/>
        <v>Fraction of Imported Industrial Outputs Shifted to In Region Suppliers</v>
      </c>
      <c r="D503" s="6" t="s">
        <v>3084</v>
      </c>
      <c r="E503" s="6"/>
      <c r="F503" t="s">
        <v>3046</v>
      </c>
      <c r="G503" s="48"/>
      <c r="H503" s="44">
        <v>1551</v>
      </c>
      <c r="I503" s="346" t="s">
        <v>43</v>
      </c>
      <c r="J503" s="276" t="str">
        <f>IF(ISBLANK(INDEX('Policy Characteristics'!D:D,MATCH($C503,'Policy Characteristics'!$C:$C,0))),"",INDEX('Policy Characteristics'!D:D,MATCH($C503,'Policy Characteristics'!$C:$C,0)))</f>
        <v>Buy In-Region Products</v>
      </c>
      <c r="K503" s="275" t="str">
        <f>IF(ISBLANK(INDEX('Policy Characteristics'!E:E,MATCH($C503,'Policy Characteristics'!$C:$C,0))),"",INDEX('Policy Characteristics'!E:E,MATCH($C503,'Policy Characteristics'!$C:$C,0)))</f>
        <v>indst buy in region outputs</v>
      </c>
      <c r="L503" s="283">
        <f>IF(ISBLANK(INDEX('Policy Characteristics'!F:F,MATCH($C503,'Policy Characteristics'!$C:$C,0))),"",INDEX('Policy Characteristics'!F:F,MATCH($C503,'Policy Characteristics'!$C:$C,0)))</f>
        <v>0</v>
      </c>
      <c r="M503" s="283">
        <f>IF(ISBLANK(INDEX('Policy Characteristics'!G:G,MATCH($C503,'Policy Characteristics'!$C:$C,0))),"",INDEX('Policy Characteristics'!G:G,MATCH($C503,'Policy Characteristics'!$C:$C,0)))</f>
        <v>0.5</v>
      </c>
      <c r="N503" s="283">
        <f>IF(ISBLANK(INDEX('Policy Characteristics'!H:H,MATCH($C503,'Policy Characteristics'!$C:$C,0))),"",INDEX('Policy Characteristics'!H:H,MATCH($C503,'Policy Characteristics'!$C:$C,0)))</f>
        <v>0.01</v>
      </c>
      <c r="O503" s="275" t="str">
        <f>IF(ISBLANK(INDEX('Policy Characteristics'!I:I,MATCH($C503,'Policy Characteristics'!$C:$C,0))),"",INDEX('Policy Characteristics'!I:I,MATCH($C503,'Policy Characteristics'!$C:$C,0)))</f>
        <v>% of imports shifted</v>
      </c>
      <c r="P503" s="275" t="str">
        <f>IF(ISBLANK(INDEX('Policy Characteristics'!J:J,MATCH($C503,'Policy Characteristics'!$C:$C,0))),"",INDEX('Policy Characteristics'!J:J,MATCH($C503,'Policy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3" s="275" t="str">
        <f>IF(ISBLANK(INDEX('Policy Characteristics'!K:K,MATCH($C503,'Policy Characteristics'!$C:$C,0))),"",INDEX('Policy Characteristics'!K:K,MATCH($C503,'Policy Characteristics'!$C:$C,0)))</f>
        <v/>
      </c>
      <c r="R503" s="275" t="str">
        <f>IF(ISBLANK(INDEX('Policy Characteristics'!L:L,MATCH($C503,'Policy Characteristics'!$C:$C,0))),"",INDEX('Policy Characteristics'!L:L,MATCH($C503,'Policy Characteristics'!$C:$C,0)))</f>
        <v/>
      </c>
    </row>
    <row r="504" spans="1:18" x14ac:dyDescent="0.25">
      <c r="A504" s="275" t="str">
        <f>IF(ISBLANK(INDEX('Policy Characteristics'!A:A,MATCH($C504,'Policy Characteristics'!$C:$C,0))),"",INDEX('Policy Characteristics'!A:A,MATCH($C504,'Policy Characteristics'!$C:$C,0)))</f>
        <v>Industry</v>
      </c>
      <c r="B504" s="284" t="str">
        <f>IF(ISBLANK(INDEX('Policy Characteristics'!B:B,MATCH($C504,'Policy Characteristics'!$C:$C,0))),"",INDEX('Policy Characteristics'!B:B,MATCH($C504,'Policy Characteristics'!$C:$C,0)))</f>
        <v>Buy In-Region Products</v>
      </c>
      <c r="C504" s="275" t="str">
        <f t="shared" si="28"/>
        <v>Fraction of Imported Industrial Outputs Shifted to In Region Suppliers</v>
      </c>
      <c r="D504" s="6" t="s">
        <v>3085</v>
      </c>
      <c r="E504" s="6"/>
      <c r="F504" t="s">
        <v>3047</v>
      </c>
      <c r="G504" s="48"/>
      <c r="H504" s="44">
        <v>1552</v>
      </c>
      <c r="I504" s="346" t="s">
        <v>43</v>
      </c>
      <c r="J504" s="276" t="str">
        <f>IF(ISBLANK(INDEX('Policy Characteristics'!D:D,MATCH($C504,'Policy Characteristics'!$C:$C,0))),"",INDEX('Policy Characteristics'!D:D,MATCH($C504,'Policy Characteristics'!$C:$C,0)))</f>
        <v>Buy In-Region Products</v>
      </c>
      <c r="K504" s="275" t="str">
        <f>IF(ISBLANK(INDEX('Policy Characteristics'!E:E,MATCH($C504,'Policy Characteristics'!$C:$C,0))),"",INDEX('Policy Characteristics'!E:E,MATCH($C504,'Policy Characteristics'!$C:$C,0)))</f>
        <v>indst buy in region outputs</v>
      </c>
      <c r="L504" s="283">
        <f>IF(ISBLANK(INDEX('Policy Characteristics'!F:F,MATCH($C504,'Policy Characteristics'!$C:$C,0))),"",INDEX('Policy Characteristics'!F:F,MATCH($C504,'Policy Characteristics'!$C:$C,0)))</f>
        <v>0</v>
      </c>
      <c r="M504" s="283">
        <f>IF(ISBLANK(INDEX('Policy Characteristics'!G:G,MATCH($C504,'Policy Characteristics'!$C:$C,0))),"",INDEX('Policy Characteristics'!G:G,MATCH($C504,'Policy Characteristics'!$C:$C,0)))</f>
        <v>0.5</v>
      </c>
      <c r="N504" s="283">
        <f>IF(ISBLANK(INDEX('Policy Characteristics'!H:H,MATCH($C504,'Policy Characteristics'!$C:$C,0))),"",INDEX('Policy Characteristics'!H:H,MATCH($C504,'Policy Characteristics'!$C:$C,0)))</f>
        <v>0.01</v>
      </c>
      <c r="O504" s="275" t="str">
        <f>IF(ISBLANK(INDEX('Policy Characteristics'!I:I,MATCH($C504,'Policy Characteristics'!$C:$C,0))),"",INDEX('Policy Characteristics'!I:I,MATCH($C504,'Policy Characteristics'!$C:$C,0)))</f>
        <v>% of imports shifted</v>
      </c>
      <c r="P504" s="275" t="str">
        <f>IF(ISBLANK(INDEX('Policy Characteristics'!J:J,MATCH($C504,'Policy Characteristics'!$C:$C,0))),"",INDEX('Policy Characteristics'!J:J,MATCH($C504,'Policy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4" s="275" t="str">
        <f>IF(ISBLANK(INDEX('Policy Characteristics'!K:K,MATCH($C504,'Policy Characteristics'!$C:$C,0))),"",INDEX('Policy Characteristics'!K:K,MATCH($C504,'Policy Characteristics'!$C:$C,0)))</f>
        <v/>
      </c>
      <c r="R504" s="275" t="str">
        <f>IF(ISBLANK(INDEX('Policy Characteristics'!L:L,MATCH($C504,'Policy Characteristics'!$C:$C,0))),"",INDEX('Policy Characteristics'!L:L,MATCH($C504,'Policy Characteristics'!$C:$C,0)))</f>
        <v/>
      </c>
    </row>
    <row r="505" spans="1:18" x14ac:dyDescent="0.25">
      <c r="A505" s="275" t="str">
        <f>IF(ISBLANK(INDEX('Policy Characteristics'!A:A,MATCH($C505,'Policy Characteristics'!$C:$C,0))),"",INDEX('Policy Characteristics'!A:A,MATCH($C505,'Policy Characteristics'!$C:$C,0)))</f>
        <v>Industry</v>
      </c>
      <c r="B505" s="284" t="str">
        <f>IF(ISBLANK(INDEX('Policy Characteristics'!B:B,MATCH($C505,'Policy Characteristics'!$C:$C,0))),"",INDEX('Policy Characteristics'!B:B,MATCH($C505,'Policy Characteristics'!$C:$C,0)))</f>
        <v>Buy In-Region Products</v>
      </c>
      <c r="C505" s="275" t="str">
        <f t="shared" si="28"/>
        <v>Fraction of Imported Industrial Outputs Shifted to In Region Suppliers</v>
      </c>
      <c r="D505" s="6" t="s">
        <v>3086</v>
      </c>
      <c r="E505" s="6"/>
      <c r="F505" t="s">
        <v>3048</v>
      </c>
      <c r="G505" s="48"/>
      <c r="H505" s="44">
        <v>1553</v>
      </c>
      <c r="I505" s="346" t="s">
        <v>43</v>
      </c>
      <c r="J505" s="276" t="str">
        <f>IF(ISBLANK(INDEX('Policy Characteristics'!D:D,MATCH($C505,'Policy Characteristics'!$C:$C,0))),"",INDEX('Policy Characteristics'!D:D,MATCH($C505,'Policy Characteristics'!$C:$C,0)))</f>
        <v>Buy In-Region Products</v>
      </c>
      <c r="K505" s="275" t="str">
        <f>IF(ISBLANK(INDEX('Policy Characteristics'!E:E,MATCH($C505,'Policy Characteristics'!$C:$C,0))),"",INDEX('Policy Characteristics'!E:E,MATCH($C505,'Policy Characteristics'!$C:$C,0)))</f>
        <v>indst buy in region outputs</v>
      </c>
      <c r="L505" s="283">
        <f>IF(ISBLANK(INDEX('Policy Characteristics'!F:F,MATCH($C505,'Policy Characteristics'!$C:$C,0))),"",INDEX('Policy Characteristics'!F:F,MATCH($C505,'Policy Characteristics'!$C:$C,0)))</f>
        <v>0</v>
      </c>
      <c r="M505" s="283">
        <f>IF(ISBLANK(INDEX('Policy Characteristics'!G:G,MATCH($C505,'Policy Characteristics'!$C:$C,0))),"",INDEX('Policy Characteristics'!G:G,MATCH($C505,'Policy Characteristics'!$C:$C,0)))</f>
        <v>0.5</v>
      </c>
      <c r="N505" s="283">
        <f>IF(ISBLANK(INDEX('Policy Characteristics'!H:H,MATCH($C505,'Policy Characteristics'!$C:$C,0))),"",INDEX('Policy Characteristics'!H:H,MATCH($C505,'Policy Characteristics'!$C:$C,0)))</f>
        <v>0.01</v>
      </c>
      <c r="O505" s="275" t="str">
        <f>IF(ISBLANK(INDEX('Policy Characteristics'!I:I,MATCH($C505,'Policy Characteristics'!$C:$C,0))),"",INDEX('Policy Characteristics'!I:I,MATCH($C505,'Policy Characteristics'!$C:$C,0)))</f>
        <v>% of imports shifted</v>
      </c>
      <c r="P505" s="275" t="str">
        <f>IF(ISBLANK(INDEX('Policy Characteristics'!J:J,MATCH($C505,'Policy Characteristics'!$C:$C,0))),"",INDEX('Policy Characteristics'!J:J,MATCH($C505,'Policy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5" s="275" t="str">
        <f>IF(ISBLANK(INDEX('Policy Characteristics'!K:K,MATCH($C505,'Policy Characteristics'!$C:$C,0))),"",INDEX('Policy Characteristics'!K:K,MATCH($C505,'Policy Characteristics'!$C:$C,0)))</f>
        <v/>
      </c>
      <c r="R505" s="275" t="str">
        <f>IF(ISBLANK(INDEX('Policy Characteristics'!L:L,MATCH($C505,'Policy Characteristics'!$C:$C,0))),"",INDEX('Policy Characteristics'!L:L,MATCH($C505,'Policy Characteristics'!$C:$C,0)))</f>
        <v/>
      </c>
    </row>
    <row r="506" spans="1:18" x14ac:dyDescent="0.25">
      <c r="A506" s="275" t="str">
        <f>IF(ISBLANK(INDEX('Policy Characteristics'!A:A,MATCH($C506,'Policy Characteristics'!$C:$C,0))),"",INDEX('Policy Characteristics'!A:A,MATCH($C506,'Policy Characteristics'!$C:$C,0)))</f>
        <v>Industry</v>
      </c>
      <c r="B506" s="284" t="str">
        <f>IF(ISBLANK(INDEX('Policy Characteristics'!B:B,MATCH($C506,'Policy Characteristics'!$C:$C,0))),"",INDEX('Policy Characteristics'!B:B,MATCH($C506,'Policy Characteristics'!$C:$C,0)))</f>
        <v>Buy In-Region Products</v>
      </c>
      <c r="C506" s="275" t="str">
        <f t="shared" si="28"/>
        <v>Fraction of Imported Industrial Outputs Shifted to In Region Suppliers</v>
      </c>
      <c r="D506" s="6" t="s">
        <v>3087</v>
      </c>
      <c r="E506" s="6"/>
      <c r="F506" t="s">
        <v>3049</v>
      </c>
      <c r="G506" s="48"/>
      <c r="H506" s="44">
        <v>1554</v>
      </c>
      <c r="I506" s="346" t="s">
        <v>43</v>
      </c>
      <c r="J506" s="276" t="str">
        <f>IF(ISBLANK(INDEX('Policy Characteristics'!D:D,MATCH($C506,'Policy Characteristics'!$C:$C,0))),"",INDEX('Policy Characteristics'!D:D,MATCH($C506,'Policy Characteristics'!$C:$C,0)))</f>
        <v>Buy In-Region Products</v>
      </c>
      <c r="K506" s="275" t="str">
        <f>IF(ISBLANK(INDEX('Policy Characteristics'!E:E,MATCH($C506,'Policy Characteristics'!$C:$C,0))),"",INDEX('Policy Characteristics'!E:E,MATCH($C506,'Policy Characteristics'!$C:$C,0)))</f>
        <v>indst buy in region outputs</v>
      </c>
      <c r="L506" s="283">
        <f>IF(ISBLANK(INDEX('Policy Characteristics'!F:F,MATCH($C506,'Policy Characteristics'!$C:$C,0))),"",INDEX('Policy Characteristics'!F:F,MATCH($C506,'Policy Characteristics'!$C:$C,0)))</f>
        <v>0</v>
      </c>
      <c r="M506" s="283">
        <f>IF(ISBLANK(INDEX('Policy Characteristics'!G:G,MATCH($C506,'Policy Characteristics'!$C:$C,0))),"",INDEX('Policy Characteristics'!G:G,MATCH($C506,'Policy Characteristics'!$C:$C,0)))</f>
        <v>0.5</v>
      </c>
      <c r="N506" s="283">
        <f>IF(ISBLANK(INDEX('Policy Characteristics'!H:H,MATCH($C506,'Policy Characteristics'!$C:$C,0))),"",INDEX('Policy Characteristics'!H:H,MATCH($C506,'Policy Characteristics'!$C:$C,0)))</f>
        <v>0.01</v>
      </c>
      <c r="O506" s="275" t="str">
        <f>IF(ISBLANK(INDEX('Policy Characteristics'!I:I,MATCH($C506,'Policy Characteristics'!$C:$C,0))),"",INDEX('Policy Characteristics'!I:I,MATCH($C506,'Policy Characteristics'!$C:$C,0)))</f>
        <v>% of imports shifted</v>
      </c>
      <c r="P506" s="275" t="str">
        <f>IF(ISBLANK(INDEX('Policy Characteristics'!J:J,MATCH($C506,'Policy Characteristics'!$C:$C,0))),"",INDEX('Policy Characteristics'!J:J,MATCH($C506,'Policy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6" s="275" t="str">
        <f>IF(ISBLANK(INDEX('Policy Characteristics'!K:K,MATCH($C506,'Policy Characteristics'!$C:$C,0))),"",INDEX('Policy Characteristics'!K:K,MATCH($C506,'Policy Characteristics'!$C:$C,0)))</f>
        <v/>
      </c>
      <c r="R506" s="275" t="str">
        <f>IF(ISBLANK(INDEX('Policy Characteristics'!L:L,MATCH($C506,'Policy Characteristics'!$C:$C,0))),"",INDEX('Policy Characteristics'!L:L,MATCH($C506,'Policy Characteristics'!$C:$C,0)))</f>
        <v/>
      </c>
    </row>
    <row r="507" spans="1:18" x14ac:dyDescent="0.25">
      <c r="A507" s="275" t="str">
        <f>IF(ISBLANK(INDEX('Policy Characteristics'!A:A,MATCH($C507,'Policy Characteristics'!$C:$C,0))),"",INDEX('Policy Characteristics'!A:A,MATCH($C507,'Policy Characteristics'!$C:$C,0)))</f>
        <v>Industry</v>
      </c>
      <c r="B507" s="284" t="str">
        <f>IF(ISBLANK(INDEX('Policy Characteristics'!B:B,MATCH($C507,'Policy Characteristics'!$C:$C,0))),"",INDEX('Policy Characteristics'!B:B,MATCH($C507,'Policy Characteristics'!$C:$C,0)))</f>
        <v>Buy In-Region Products</v>
      </c>
      <c r="C507" s="275" t="str">
        <f t="shared" si="28"/>
        <v>Fraction of Imported Industrial Outputs Shifted to In Region Suppliers</v>
      </c>
      <c r="D507" s="6" t="s">
        <v>3088</v>
      </c>
      <c r="E507" s="6"/>
      <c r="F507" t="s">
        <v>3050</v>
      </c>
      <c r="G507" s="48"/>
      <c r="H507" s="44">
        <v>1555</v>
      </c>
      <c r="I507" s="346" t="s">
        <v>43</v>
      </c>
      <c r="J507" s="276" t="str">
        <f>IF(ISBLANK(INDEX('Policy Characteristics'!D:D,MATCH($C507,'Policy Characteristics'!$C:$C,0))),"",INDEX('Policy Characteristics'!D:D,MATCH($C507,'Policy Characteristics'!$C:$C,0)))</f>
        <v>Buy In-Region Products</v>
      </c>
      <c r="K507" s="275" t="str">
        <f>IF(ISBLANK(INDEX('Policy Characteristics'!E:E,MATCH($C507,'Policy Characteristics'!$C:$C,0))),"",INDEX('Policy Characteristics'!E:E,MATCH($C507,'Policy Characteristics'!$C:$C,0)))</f>
        <v>indst buy in region outputs</v>
      </c>
      <c r="L507" s="283">
        <f>IF(ISBLANK(INDEX('Policy Characteristics'!F:F,MATCH($C507,'Policy Characteristics'!$C:$C,0))),"",INDEX('Policy Characteristics'!F:F,MATCH($C507,'Policy Characteristics'!$C:$C,0)))</f>
        <v>0</v>
      </c>
      <c r="M507" s="283">
        <f>IF(ISBLANK(INDEX('Policy Characteristics'!G:G,MATCH($C507,'Policy Characteristics'!$C:$C,0))),"",INDEX('Policy Characteristics'!G:G,MATCH($C507,'Policy Characteristics'!$C:$C,0)))</f>
        <v>0.5</v>
      </c>
      <c r="N507" s="283">
        <f>IF(ISBLANK(INDEX('Policy Characteristics'!H:H,MATCH($C507,'Policy Characteristics'!$C:$C,0))),"",INDEX('Policy Characteristics'!H:H,MATCH($C507,'Policy Characteristics'!$C:$C,0)))</f>
        <v>0.01</v>
      </c>
      <c r="O507" s="275" t="str">
        <f>IF(ISBLANK(INDEX('Policy Characteristics'!I:I,MATCH($C507,'Policy Characteristics'!$C:$C,0))),"",INDEX('Policy Characteristics'!I:I,MATCH($C507,'Policy Characteristics'!$C:$C,0)))</f>
        <v>% of imports shifted</v>
      </c>
      <c r="P507" s="275" t="str">
        <f>IF(ISBLANK(INDEX('Policy Characteristics'!J:J,MATCH($C507,'Policy Characteristics'!$C:$C,0))),"",INDEX('Policy Characteristics'!J:J,MATCH($C507,'Policy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7" s="275" t="str">
        <f>IF(ISBLANK(INDEX('Policy Characteristics'!K:K,MATCH($C507,'Policy Characteristics'!$C:$C,0))),"",INDEX('Policy Characteristics'!K:K,MATCH($C507,'Policy Characteristics'!$C:$C,0)))</f>
        <v/>
      </c>
      <c r="R507" s="275" t="str">
        <f>IF(ISBLANK(INDEX('Policy Characteristics'!L:L,MATCH($C507,'Policy Characteristics'!$C:$C,0))),"",INDEX('Policy Characteristics'!L:L,MATCH($C507,'Policy Characteristics'!$C:$C,0)))</f>
        <v/>
      </c>
    </row>
    <row r="508" spans="1:18" x14ac:dyDescent="0.25">
      <c r="A508" s="275" t="str">
        <f>IF(ISBLANK(INDEX('Policy Characteristics'!A:A,MATCH($C508,'Policy Characteristics'!$C:$C,0))),"",INDEX('Policy Characteristics'!A:A,MATCH($C508,'Policy Characteristics'!$C:$C,0)))</f>
        <v>Industry</v>
      </c>
      <c r="B508" s="284" t="str">
        <f>IF(ISBLANK(INDEX('Policy Characteristics'!B:B,MATCH($C508,'Policy Characteristics'!$C:$C,0))),"",INDEX('Policy Characteristics'!B:B,MATCH($C508,'Policy Characteristics'!$C:$C,0)))</f>
        <v>Buy In-Region Products</v>
      </c>
      <c r="C508" s="275" t="str">
        <f t="shared" si="28"/>
        <v>Fraction of Imported Industrial Outputs Shifted to In Region Suppliers</v>
      </c>
      <c r="D508" s="6" t="s">
        <v>3089</v>
      </c>
      <c r="E508" s="6"/>
      <c r="F508" t="s">
        <v>3051</v>
      </c>
      <c r="G508" s="48"/>
      <c r="H508" s="44">
        <v>1556</v>
      </c>
      <c r="I508" s="346" t="s">
        <v>43</v>
      </c>
      <c r="J508" s="276" t="str">
        <f>IF(ISBLANK(INDEX('Policy Characteristics'!D:D,MATCH($C508,'Policy Characteristics'!$C:$C,0))),"",INDEX('Policy Characteristics'!D:D,MATCH($C508,'Policy Characteristics'!$C:$C,0)))</f>
        <v>Buy In-Region Products</v>
      </c>
      <c r="K508" s="275" t="str">
        <f>IF(ISBLANK(INDEX('Policy Characteristics'!E:E,MATCH($C508,'Policy Characteristics'!$C:$C,0))),"",INDEX('Policy Characteristics'!E:E,MATCH($C508,'Policy Characteristics'!$C:$C,0)))</f>
        <v>indst buy in region outputs</v>
      </c>
      <c r="L508" s="283">
        <f>IF(ISBLANK(INDEX('Policy Characteristics'!F:F,MATCH($C508,'Policy Characteristics'!$C:$C,0))),"",INDEX('Policy Characteristics'!F:F,MATCH($C508,'Policy Characteristics'!$C:$C,0)))</f>
        <v>0</v>
      </c>
      <c r="M508" s="283">
        <f>IF(ISBLANK(INDEX('Policy Characteristics'!G:G,MATCH($C508,'Policy Characteristics'!$C:$C,0))),"",INDEX('Policy Characteristics'!G:G,MATCH($C508,'Policy Characteristics'!$C:$C,0)))</f>
        <v>0.5</v>
      </c>
      <c r="N508" s="283">
        <f>IF(ISBLANK(INDEX('Policy Characteristics'!H:H,MATCH($C508,'Policy Characteristics'!$C:$C,0))),"",INDEX('Policy Characteristics'!H:H,MATCH($C508,'Policy Characteristics'!$C:$C,0)))</f>
        <v>0.01</v>
      </c>
      <c r="O508" s="275" t="str">
        <f>IF(ISBLANK(INDEX('Policy Characteristics'!I:I,MATCH($C508,'Policy Characteristics'!$C:$C,0))),"",INDEX('Policy Characteristics'!I:I,MATCH($C508,'Policy Characteristics'!$C:$C,0)))</f>
        <v>% of imports shifted</v>
      </c>
      <c r="P508" s="275" t="str">
        <f>IF(ISBLANK(INDEX('Policy Characteristics'!J:J,MATCH($C508,'Policy Characteristics'!$C:$C,0))),"",INDEX('Policy Characteristics'!J:J,MATCH($C508,'Policy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8" s="275" t="str">
        <f>IF(ISBLANK(INDEX('Policy Characteristics'!K:K,MATCH($C508,'Policy Characteristics'!$C:$C,0))),"",INDEX('Policy Characteristics'!K:K,MATCH($C508,'Policy Characteristics'!$C:$C,0)))</f>
        <v/>
      </c>
      <c r="R508" s="275" t="str">
        <f>IF(ISBLANK(INDEX('Policy Characteristics'!L:L,MATCH($C508,'Policy Characteristics'!$C:$C,0))),"",INDEX('Policy Characteristics'!L:L,MATCH($C508,'Policy Characteristics'!$C:$C,0)))</f>
        <v/>
      </c>
    </row>
    <row r="509" spans="1:18" x14ac:dyDescent="0.25">
      <c r="A509" s="275" t="str">
        <f>IF(ISBLANK(INDEX('Policy Characteristics'!A:A,MATCH($C509,'Policy Characteristics'!$C:$C,0))),"",INDEX('Policy Characteristics'!A:A,MATCH($C509,'Policy Characteristics'!$C:$C,0)))</f>
        <v>Industry</v>
      </c>
      <c r="B509" s="284" t="str">
        <f>IF(ISBLANK(INDEX('Policy Characteristics'!B:B,MATCH($C509,'Policy Characteristics'!$C:$C,0))),"",INDEX('Policy Characteristics'!B:B,MATCH($C509,'Policy Characteristics'!$C:$C,0)))</f>
        <v>Buy In-Region Products</v>
      </c>
      <c r="C509" s="275" t="str">
        <f t="shared" si="28"/>
        <v>Fraction of Imported Industrial Outputs Shifted to In Region Suppliers</v>
      </c>
      <c r="D509" s="6" t="s">
        <v>3090</v>
      </c>
      <c r="E509" s="6"/>
      <c r="F509" t="s">
        <v>3052</v>
      </c>
      <c r="G509" s="48"/>
      <c r="H509" s="44">
        <v>1557</v>
      </c>
      <c r="I509" s="346" t="s">
        <v>43</v>
      </c>
      <c r="J509" s="276" t="str">
        <f>IF(ISBLANK(INDEX('Policy Characteristics'!D:D,MATCH($C509,'Policy Characteristics'!$C:$C,0))),"",INDEX('Policy Characteristics'!D:D,MATCH($C509,'Policy Characteristics'!$C:$C,0)))</f>
        <v>Buy In-Region Products</v>
      </c>
      <c r="K509" s="275" t="str">
        <f>IF(ISBLANK(INDEX('Policy Characteristics'!E:E,MATCH($C509,'Policy Characteristics'!$C:$C,0))),"",INDEX('Policy Characteristics'!E:E,MATCH($C509,'Policy Characteristics'!$C:$C,0)))</f>
        <v>indst buy in region outputs</v>
      </c>
      <c r="L509" s="283">
        <f>IF(ISBLANK(INDEX('Policy Characteristics'!F:F,MATCH($C509,'Policy Characteristics'!$C:$C,0))),"",INDEX('Policy Characteristics'!F:F,MATCH($C509,'Policy Characteristics'!$C:$C,0)))</f>
        <v>0</v>
      </c>
      <c r="M509" s="283">
        <f>IF(ISBLANK(INDEX('Policy Characteristics'!G:G,MATCH($C509,'Policy Characteristics'!$C:$C,0))),"",INDEX('Policy Characteristics'!G:G,MATCH($C509,'Policy Characteristics'!$C:$C,0)))</f>
        <v>0.5</v>
      </c>
      <c r="N509" s="283">
        <f>IF(ISBLANK(INDEX('Policy Characteristics'!H:H,MATCH($C509,'Policy Characteristics'!$C:$C,0))),"",INDEX('Policy Characteristics'!H:H,MATCH($C509,'Policy Characteristics'!$C:$C,0)))</f>
        <v>0.01</v>
      </c>
      <c r="O509" s="275" t="str">
        <f>IF(ISBLANK(INDEX('Policy Characteristics'!I:I,MATCH($C509,'Policy Characteristics'!$C:$C,0))),"",INDEX('Policy Characteristics'!I:I,MATCH($C509,'Policy Characteristics'!$C:$C,0)))</f>
        <v>% of imports shifted</v>
      </c>
      <c r="P509" s="275" t="str">
        <f>IF(ISBLANK(INDEX('Policy Characteristics'!J:J,MATCH($C509,'Policy Characteristics'!$C:$C,0))),"",INDEX('Policy Characteristics'!J:J,MATCH($C509,'Policy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9" s="275" t="str">
        <f>IF(ISBLANK(INDEX('Policy Characteristics'!K:K,MATCH($C509,'Policy Characteristics'!$C:$C,0))),"",INDEX('Policy Characteristics'!K:K,MATCH($C509,'Policy Characteristics'!$C:$C,0)))</f>
        <v/>
      </c>
      <c r="R509" s="275" t="str">
        <f>IF(ISBLANK(INDEX('Policy Characteristics'!L:L,MATCH($C509,'Policy Characteristics'!$C:$C,0))),"",INDEX('Policy Characteristics'!L:L,MATCH($C509,'Policy Characteristics'!$C:$C,0)))</f>
        <v/>
      </c>
    </row>
    <row r="510" spans="1:18" x14ac:dyDescent="0.25">
      <c r="A510" s="275" t="str">
        <f>IF(ISBLANK(INDEX('Policy Characteristics'!A:A,MATCH($C510,'Policy Characteristics'!$C:$C,0))),"",INDEX('Policy Characteristics'!A:A,MATCH($C510,'Policy Characteristics'!$C:$C,0)))</f>
        <v>Industry</v>
      </c>
      <c r="B510" s="284" t="str">
        <f>IF(ISBLANK(INDEX('Policy Characteristics'!B:B,MATCH($C510,'Policy Characteristics'!$C:$C,0))),"",INDEX('Policy Characteristics'!B:B,MATCH($C510,'Policy Characteristics'!$C:$C,0)))</f>
        <v>Buy In-Region Products</v>
      </c>
      <c r="C510" s="275" t="str">
        <f t="shared" si="28"/>
        <v>Fraction of Imported Industrial Outputs Shifted to In Region Suppliers</v>
      </c>
      <c r="D510" s="6" t="s">
        <v>3091</v>
      </c>
      <c r="E510" s="6"/>
      <c r="F510" t="s">
        <v>3053</v>
      </c>
      <c r="G510" s="48"/>
      <c r="H510" s="44">
        <v>1558</v>
      </c>
      <c r="I510" s="346" t="s">
        <v>43</v>
      </c>
      <c r="J510" s="276" t="str">
        <f>IF(ISBLANK(INDEX('Policy Characteristics'!D:D,MATCH($C510,'Policy Characteristics'!$C:$C,0))),"",INDEX('Policy Characteristics'!D:D,MATCH($C510,'Policy Characteristics'!$C:$C,0)))</f>
        <v>Buy In-Region Products</v>
      </c>
      <c r="K510" s="275" t="str">
        <f>IF(ISBLANK(INDEX('Policy Characteristics'!E:E,MATCH($C510,'Policy Characteristics'!$C:$C,0))),"",INDEX('Policy Characteristics'!E:E,MATCH($C510,'Policy Characteristics'!$C:$C,0)))</f>
        <v>indst buy in region outputs</v>
      </c>
      <c r="L510" s="283">
        <f>IF(ISBLANK(INDEX('Policy Characteristics'!F:F,MATCH($C510,'Policy Characteristics'!$C:$C,0))),"",INDEX('Policy Characteristics'!F:F,MATCH($C510,'Policy Characteristics'!$C:$C,0)))</f>
        <v>0</v>
      </c>
      <c r="M510" s="283">
        <f>IF(ISBLANK(INDEX('Policy Characteristics'!G:G,MATCH($C510,'Policy Characteristics'!$C:$C,0))),"",INDEX('Policy Characteristics'!G:G,MATCH($C510,'Policy Characteristics'!$C:$C,0)))</f>
        <v>0.5</v>
      </c>
      <c r="N510" s="283">
        <f>IF(ISBLANK(INDEX('Policy Characteristics'!H:H,MATCH($C510,'Policy Characteristics'!$C:$C,0))),"",INDEX('Policy Characteristics'!H:H,MATCH($C510,'Policy Characteristics'!$C:$C,0)))</f>
        <v>0.01</v>
      </c>
      <c r="O510" s="275" t="str">
        <f>IF(ISBLANK(INDEX('Policy Characteristics'!I:I,MATCH($C510,'Policy Characteristics'!$C:$C,0))),"",INDEX('Policy Characteristics'!I:I,MATCH($C510,'Policy Characteristics'!$C:$C,0)))</f>
        <v>% of imports shifted</v>
      </c>
      <c r="P510" s="275" t="str">
        <f>IF(ISBLANK(INDEX('Policy Characteristics'!J:J,MATCH($C510,'Policy Characteristics'!$C:$C,0))),"",INDEX('Policy Characteristics'!J:J,MATCH($C510,'Policy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0" s="275" t="str">
        <f>IF(ISBLANK(INDEX('Policy Characteristics'!K:K,MATCH($C510,'Policy Characteristics'!$C:$C,0))),"",INDEX('Policy Characteristics'!K:K,MATCH($C510,'Policy Characteristics'!$C:$C,0)))</f>
        <v/>
      </c>
      <c r="R510" s="275" t="str">
        <f>IF(ISBLANK(INDEX('Policy Characteristics'!L:L,MATCH($C510,'Policy Characteristics'!$C:$C,0))),"",INDEX('Policy Characteristics'!L:L,MATCH($C510,'Policy Characteristics'!$C:$C,0)))</f>
        <v/>
      </c>
    </row>
    <row r="511" spans="1:18" x14ac:dyDescent="0.25">
      <c r="A511" s="275" t="str">
        <f>IF(ISBLANK(INDEX('Policy Characteristics'!A:A,MATCH($C511,'Policy Characteristics'!$C:$C,0))),"",INDEX('Policy Characteristics'!A:A,MATCH($C511,'Policy Characteristics'!$C:$C,0)))</f>
        <v>Industry</v>
      </c>
      <c r="B511" s="284" t="str">
        <f>IF(ISBLANK(INDEX('Policy Characteristics'!B:B,MATCH($C511,'Policy Characteristics'!$C:$C,0))),"",INDEX('Policy Characteristics'!B:B,MATCH($C511,'Policy Characteristics'!$C:$C,0)))</f>
        <v>Buy In-Region Products</v>
      </c>
      <c r="C511" s="275" t="str">
        <f t="shared" si="28"/>
        <v>Fraction of Imported Industrial Outputs Shifted to In Region Suppliers</v>
      </c>
      <c r="D511" s="6" t="s">
        <v>3092</v>
      </c>
      <c r="E511" s="6"/>
      <c r="F511" t="s">
        <v>3054</v>
      </c>
      <c r="G511" s="48"/>
      <c r="H511" s="44">
        <v>1559</v>
      </c>
      <c r="I511" s="346" t="s">
        <v>43</v>
      </c>
      <c r="J511" s="276" t="str">
        <f>IF(ISBLANK(INDEX('Policy Characteristics'!D:D,MATCH($C511,'Policy Characteristics'!$C:$C,0))),"",INDEX('Policy Characteristics'!D:D,MATCH($C511,'Policy Characteristics'!$C:$C,0)))</f>
        <v>Buy In-Region Products</v>
      </c>
      <c r="K511" s="275" t="str">
        <f>IF(ISBLANK(INDEX('Policy Characteristics'!E:E,MATCH($C511,'Policy Characteristics'!$C:$C,0))),"",INDEX('Policy Characteristics'!E:E,MATCH($C511,'Policy Characteristics'!$C:$C,0)))</f>
        <v>indst buy in region outputs</v>
      </c>
      <c r="L511" s="283">
        <f>IF(ISBLANK(INDEX('Policy Characteristics'!F:F,MATCH($C511,'Policy Characteristics'!$C:$C,0))),"",INDEX('Policy Characteristics'!F:F,MATCH($C511,'Policy Characteristics'!$C:$C,0)))</f>
        <v>0</v>
      </c>
      <c r="M511" s="283">
        <f>IF(ISBLANK(INDEX('Policy Characteristics'!G:G,MATCH($C511,'Policy Characteristics'!$C:$C,0))),"",INDEX('Policy Characteristics'!G:G,MATCH($C511,'Policy Characteristics'!$C:$C,0)))</f>
        <v>0.5</v>
      </c>
      <c r="N511" s="283">
        <f>IF(ISBLANK(INDEX('Policy Characteristics'!H:H,MATCH($C511,'Policy Characteristics'!$C:$C,0))),"",INDEX('Policy Characteristics'!H:H,MATCH($C511,'Policy Characteristics'!$C:$C,0)))</f>
        <v>0.01</v>
      </c>
      <c r="O511" s="275" t="str">
        <f>IF(ISBLANK(INDEX('Policy Characteristics'!I:I,MATCH($C511,'Policy Characteristics'!$C:$C,0))),"",INDEX('Policy Characteristics'!I:I,MATCH($C511,'Policy Characteristics'!$C:$C,0)))</f>
        <v>% of imports shifted</v>
      </c>
      <c r="P511" s="275" t="str">
        <f>IF(ISBLANK(INDEX('Policy Characteristics'!J:J,MATCH($C511,'Policy Characteristics'!$C:$C,0))),"",INDEX('Policy Characteristics'!J:J,MATCH($C511,'Policy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1" s="275" t="str">
        <f>IF(ISBLANK(INDEX('Policy Characteristics'!K:K,MATCH($C511,'Policy Characteristics'!$C:$C,0))),"",INDEX('Policy Characteristics'!K:K,MATCH($C511,'Policy Characteristics'!$C:$C,0)))</f>
        <v/>
      </c>
      <c r="R511" s="275" t="str">
        <f>IF(ISBLANK(INDEX('Policy Characteristics'!L:L,MATCH($C511,'Policy Characteristics'!$C:$C,0))),"",INDEX('Policy Characteristics'!L:L,MATCH($C511,'Policy Characteristics'!$C:$C,0)))</f>
        <v/>
      </c>
    </row>
    <row r="512" spans="1:18" x14ac:dyDescent="0.25">
      <c r="A512" s="275" t="str">
        <f>IF(ISBLANK(INDEX('Policy Characteristics'!A:A,MATCH($C512,'Policy Characteristics'!$C:$C,0))),"",INDEX('Policy Characteristics'!A:A,MATCH($C512,'Policy Characteristics'!$C:$C,0)))</f>
        <v>Industry</v>
      </c>
      <c r="B512" s="284" t="str">
        <f>IF(ISBLANK(INDEX('Policy Characteristics'!B:B,MATCH($C512,'Policy Characteristics'!$C:$C,0))),"",INDEX('Policy Characteristics'!B:B,MATCH($C512,'Policy Characteristics'!$C:$C,0)))</f>
        <v>Buy In-Region Products</v>
      </c>
      <c r="C512" s="275" t="str">
        <f t="shared" si="28"/>
        <v>Fraction of Imported Industrial Outputs Shifted to In Region Suppliers</v>
      </c>
      <c r="D512" s="6" t="s">
        <v>3093</v>
      </c>
      <c r="E512" s="6"/>
      <c r="F512" t="s">
        <v>3096</v>
      </c>
      <c r="G512" s="48"/>
      <c r="H512" s="44">
        <v>1560</v>
      </c>
      <c r="I512" s="346" t="s">
        <v>43</v>
      </c>
      <c r="J512" s="276" t="str">
        <f>IF(ISBLANK(INDEX('Policy Characteristics'!D:D,MATCH($C512,'Policy Characteristics'!$C:$C,0))),"",INDEX('Policy Characteristics'!D:D,MATCH($C512,'Policy Characteristics'!$C:$C,0)))</f>
        <v>Buy In-Region Products</v>
      </c>
      <c r="K512" s="275" t="str">
        <f>IF(ISBLANK(INDEX('Policy Characteristics'!E:E,MATCH($C512,'Policy Characteristics'!$C:$C,0))),"",INDEX('Policy Characteristics'!E:E,MATCH($C512,'Policy Characteristics'!$C:$C,0)))</f>
        <v>indst buy in region outputs</v>
      </c>
      <c r="L512" s="283">
        <f>IF(ISBLANK(INDEX('Policy Characteristics'!F:F,MATCH($C512,'Policy Characteristics'!$C:$C,0))),"",INDEX('Policy Characteristics'!F:F,MATCH($C512,'Policy Characteristics'!$C:$C,0)))</f>
        <v>0</v>
      </c>
      <c r="M512" s="283">
        <f>IF(ISBLANK(INDEX('Policy Characteristics'!G:G,MATCH($C512,'Policy Characteristics'!$C:$C,0))),"",INDEX('Policy Characteristics'!G:G,MATCH($C512,'Policy Characteristics'!$C:$C,0)))</f>
        <v>0.5</v>
      </c>
      <c r="N512" s="283">
        <f>IF(ISBLANK(INDEX('Policy Characteristics'!H:H,MATCH($C512,'Policy Characteristics'!$C:$C,0))),"",INDEX('Policy Characteristics'!H:H,MATCH($C512,'Policy Characteristics'!$C:$C,0)))</f>
        <v>0.01</v>
      </c>
      <c r="O512" s="275" t="str">
        <f>IF(ISBLANK(INDEX('Policy Characteristics'!I:I,MATCH($C512,'Policy Characteristics'!$C:$C,0))),"",INDEX('Policy Characteristics'!I:I,MATCH($C512,'Policy Characteristics'!$C:$C,0)))</f>
        <v>% of imports shifted</v>
      </c>
      <c r="P512" s="275" t="str">
        <f>IF(ISBLANK(INDEX('Policy Characteristics'!J:J,MATCH($C512,'Policy Characteristics'!$C:$C,0))),"",INDEX('Policy Characteristics'!J:J,MATCH($C512,'Policy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2" s="275" t="str">
        <f>IF(ISBLANK(INDEX('Policy Characteristics'!K:K,MATCH($C512,'Policy Characteristics'!$C:$C,0))),"",INDEX('Policy Characteristics'!K:K,MATCH($C512,'Policy Characteristics'!$C:$C,0)))</f>
        <v/>
      </c>
      <c r="R512" s="275" t="str">
        <f>IF(ISBLANK(INDEX('Policy Characteristics'!L:L,MATCH($C512,'Policy Characteristics'!$C:$C,0))),"",INDEX('Policy Characteristics'!L:L,MATCH($C512,'Policy Characteristics'!$C:$C,0)))</f>
        <v/>
      </c>
    </row>
    <row r="513" spans="1:18" x14ac:dyDescent="0.25">
      <c r="A513" s="275" t="str">
        <f>IF(ISBLANK(INDEX('Policy Characteristics'!A:A,MATCH($C513,'Policy Characteristics'!$C:$C,0))),"",INDEX('Policy Characteristics'!A:A,MATCH($C513,'Policy Characteristics'!$C:$C,0)))</f>
        <v>Industry</v>
      </c>
      <c r="B513" s="284" t="str">
        <f>IF(ISBLANK(INDEX('Policy Characteristics'!B:B,MATCH($C513,'Policy Characteristics'!$C:$C,0))),"",INDEX('Policy Characteristics'!B:B,MATCH($C513,'Policy Characteristics'!$C:$C,0)))</f>
        <v>Buy In-Region Products</v>
      </c>
      <c r="C513" s="275" t="str">
        <f t="shared" si="28"/>
        <v>Fraction of Imported Industrial Outputs Shifted to In Region Suppliers</v>
      </c>
      <c r="D513" s="6" t="s">
        <v>3094</v>
      </c>
      <c r="E513" s="6"/>
      <c r="F513" t="s">
        <v>3055</v>
      </c>
      <c r="G513" s="48"/>
      <c r="H513" s="44">
        <v>1561</v>
      </c>
      <c r="I513" s="346" t="s">
        <v>43</v>
      </c>
      <c r="J513" s="276" t="str">
        <f>IF(ISBLANK(INDEX('Policy Characteristics'!D:D,MATCH($C513,'Policy Characteristics'!$C:$C,0))),"",INDEX('Policy Characteristics'!D:D,MATCH($C513,'Policy Characteristics'!$C:$C,0)))</f>
        <v>Buy In-Region Products</v>
      </c>
      <c r="K513" s="275" t="str">
        <f>IF(ISBLANK(INDEX('Policy Characteristics'!E:E,MATCH($C513,'Policy Characteristics'!$C:$C,0))),"",INDEX('Policy Characteristics'!E:E,MATCH($C513,'Policy Characteristics'!$C:$C,0)))</f>
        <v>indst buy in region outputs</v>
      </c>
      <c r="L513" s="283">
        <f>IF(ISBLANK(INDEX('Policy Characteristics'!F:F,MATCH($C513,'Policy Characteristics'!$C:$C,0))),"",INDEX('Policy Characteristics'!F:F,MATCH($C513,'Policy Characteristics'!$C:$C,0)))</f>
        <v>0</v>
      </c>
      <c r="M513" s="283">
        <f>IF(ISBLANK(INDEX('Policy Characteristics'!G:G,MATCH($C513,'Policy Characteristics'!$C:$C,0))),"",INDEX('Policy Characteristics'!G:G,MATCH($C513,'Policy Characteristics'!$C:$C,0)))</f>
        <v>0.5</v>
      </c>
      <c r="N513" s="283">
        <f>IF(ISBLANK(INDEX('Policy Characteristics'!H:H,MATCH($C513,'Policy Characteristics'!$C:$C,0))),"",INDEX('Policy Characteristics'!H:H,MATCH($C513,'Policy Characteristics'!$C:$C,0)))</f>
        <v>0.01</v>
      </c>
      <c r="O513" s="275" t="str">
        <f>IF(ISBLANK(INDEX('Policy Characteristics'!I:I,MATCH($C513,'Policy Characteristics'!$C:$C,0))),"",INDEX('Policy Characteristics'!I:I,MATCH($C513,'Policy Characteristics'!$C:$C,0)))</f>
        <v>% of imports shifted</v>
      </c>
      <c r="P513" s="275" t="str">
        <f>IF(ISBLANK(INDEX('Policy Characteristics'!J:J,MATCH($C513,'Policy Characteristics'!$C:$C,0))),"",INDEX('Policy Characteristics'!J:J,MATCH($C513,'Policy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3" s="275" t="str">
        <f>IF(ISBLANK(INDEX('Policy Characteristics'!K:K,MATCH($C513,'Policy Characteristics'!$C:$C,0))),"",INDEX('Policy Characteristics'!K:K,MATCH($C513,'Policy Characteristics'!$C:$C,0)))</f>
        <v/>
      </c>
      <c r="R513" s="275" t="str">
        <f>IF(ISBLANK(INDEX('Policy Characteristics'!L:L,MATCH($C513,'Policy Characteristics'!$C:$C,0))),"",INDEX('Policy Characteristics'!L:L,MATCH($C513,'Policy Characteristics'!$C:$C,0)))</f>
        <v/>
      </c>
    </row>
    <row r="514" spans="1:18" x14ac:dyDescent="0.25">
      <c r="A514" s="275" t="str">
        <f>IF(ISBLANK(INDEX('Policy Characteristics'!A:A,MATCH($C514,'Policy Characteristics'!$C:$C,0))),"",INDEX('Policy Characteristics'!A:A,MATCH($C514,'Policy Characteristics'!$C:$C,0)))</f>
        <v>Industry</v>
      </c>
      <c r="B514" s="284" t="str">
        <f>IF(ISBLANK(INDEX('Policy Characteristics'!B:B,MATCH($C514,'Policy Characteristics'!$C:$C,0))),"",INDEX('Policy Characteristics'!B:B,MATCH($C514,'Policy Characteristics'!$C:$C,0)))</f>
        <v>Carbon Capture and Sequestration</v>
      </c>
      <c r="C514" t="s">
        <v>3029</v>
      </c>
      <c r="D514" s="47" t="s">
        <v>3070</v>
      </c>
      <c r="E514" s="6" t="s">
        <v>3032</v>
      </c>
      <c r="F514" t="s">
        <v>3095</v>
      </c>
      <c r="G514" s="47" t="s">
        <v>3033</v>
      </c>
      <c r="H514" s="44">
        <v>908</v>
      </c>
      <c r="I514" s="347" t="s">
        <v>44</v>
      </c>
      <c r="J514" s="276" t="str">
        <f>IF(ISBLANK(INDEX('Policy Characteristics'!D:D,MATCH($C514,'Policy Characteristics'!$C:$C,0))),"",INDEX('Policy Characteristics'!D:D,MATCH($C514,'Policy Characteristics'!$C:$C,0)))</f>
        <v>Industry CCS</v>
      </c>
      <c r="K514" s="275" t="str">
        <f>IF(ISBLANK(INDEX('Policy Characteristics'!E:E,MATCH($C514,'Policy Characteristics'!$C:$C,0))),"",INDEX('Policy Characteristics'!E:E,MATCH($C514,'Policy Characteristics'!$C:$C,0)))</f>
        <v>indst CCS</v>
      </c>
      <c r="L514" s="283">
        <f>IF(ISBLANK(INDEX('Policy Characteristics'!F:F,MATCH($C514,'Policy Characteristics'!$C:$C,0))),"",INDEX('Policy Characteristics'!F:F,MATCH($C514,'Policy Characteristics'!$C:$C,0)))</f>
        <v>0</v>
      </c>
      <c r="M514" s="283">
        <f>IF(ISBLANK(INDEX('Policy Characteristics'!G:G,MATCH($C514,'Policy Characteristics'!$C:$C,0))),"",INDEX('Policy Characteristics'!G:G,MATCH($C514,'Policy Characteristics'!$C:$C,0)))</f>
        <v>1</v>
      </c>
      <c r="N514" s="283">
        <f>IF(ISBLANK(INDEX('Policy Characteristics'!H:H,MATCH($C514,'Policy Characteristics'!$C:$C,0))),"",INDEX('Policy Characteristics'!H:H,MATCH($C514,'Policy Characteristics'!$C:$C,0)))</f>
        <v>0.01</v>
      </c>
      <c r="O514" s="275" t="str">
        <f>IF(ISBLANK(INDEX('Policy Characteristics'!I:I,MATCH($C514,'Policy Characteristics'!$C:$C,0))),"",INDEX('Policy Characteristics'!I:I,MATCH($C514,'Policy Characteristics'!$C:$C,0)))</f>
        <v>% of CO2 captured</v>
      </c>
      <c r="P514" s="275" t="str">
        <f>IF(ISBLANK(INDEX('Policy Characteristics'!J:J,MATCH($C514,'Policy Characteristics'!$C:$C,0))),"",INDEX('Policy Characteristics'!J:J,MATCH($C514,'Policy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4" s="275" t="str">
        <f>IF(ISBLANK(INDEX('Policy Characteristics'!K:K,MATCH($C514,'Policy Characteristics'!$C:$C,0))),"",INDEX('Policy Characteristics'!K:K,MATCH($C514,'Policy Characteristics'!$C:$C,0)))</f>
        <v>ccs.html#ccs</v>
      </c>
      <c r="R514" s="275" t="str">
        <f>IF(ISBLANK(INDEX('Policy Characteristics'!L:L,MATCH($C514,'Policy Characteristics'!$C:$C,0))),"",INDEX('Policy Characteristics'!L:L,MATCH($C514,'Policy Characteristics'!$C:$C,0)))</f>
        <v>carbon-capture-and-sequestration.html</v>
      </c>
    </row>
    <row r="515" spans="1:18" x14ac:dyDescent="0.25">
      <c r="A515" s="275" t="str">
        <f>IF(ISBLANK(INDEX('Policy Characteristics'!A:A,MATCH($C515,'Policy Characteristics'!$C:$C,0))),"",INDEX('Policy Characteristics'!A:A,MATCH($C515,'Policy Characteristics'!$C:$C,0)))</f>
        <v>Industry</v>
      </c>
      <c r="B515" s="284" t="str">
        <f>IF(ISBLANK(INDEX('Policy Characteristics'!B:B,MATCH($C515,'Policy Characteristics'!$C:$C,0))),"",INDEX('Policy Characteristics'!B:B,MATCH($C515,'Policy Characteristics'!$C:$C,0)))</f>
        <v>Carbon Capture and Sequestration</v>
      </c>
      <c r="C515" s="275" t="str">
        <f t="shared" ref="C515:C530" si="29">C$514</f>
        <v>Industry Sector Fraction of Potential Additional CCS Achieved</v>
      </c>
      <c r="D515" s="47" t="s">
        <v>3070</v>
      </c>
      <c r="E515" s="6" t="s">
        <v>2535</v>
      </c>
      <c r="F515" t="s">
        <v>3095</v>
      </c>
      <c r="G515" s="47" t="s">
        <v>3034</v>
      </c>
      <c r="H515" s="44">
        <v>909</v>
      </c>
      <c r="I515" s="347" t="s">
        <v>44</v>
      </c>
      <c r="J515" s="276" t="str">
        <f>IF(ISBLANK(INDEX('Policy Characteristics'!D:D,MATCH($C515,'Policy Characteristics'!$C:$C,0))),"",INDEX('Policy Characteristics'!D:D,MATCH($C515,'Policy Characteristics'!$C:$C,0)))</f>
        <v>Industry CCS</v>
      </c>
      <c r="K515" s="275" t="str">
        <f>IF(ISBLANK(INDEX('Policy Characteristics'!E:E,MATCH($C515,'Policy Characteristics'!$C:$C,0))),"",INDEX('Policy Characteristics'!E:E,MATCH($C515,'Policy Characteristics'!$C:$C,0)))</f>
        <v>indst CCS</v>
      </c>
      <c r="L515" s="283">
        <f>IF(ISBLANK(INDEX('Policy Characteristics'!F:F,MATCH($C515,'Policy Characteristics'!$C:$C,0))),"",INDEX('Policy Characteristics'!F:F,MATCH($C515,'Policy Characteristics'!$C:$C,0)))</f>
        <v>0</v>
      </c>
      <c r="M515" s="283">
        <f>IF(ISBLANK(INDEX('Policy Characteristics'!G:G,MATCH($C515,'Policy Characteristics'!$C:$C,0))),"",INDEX('Policy Characteristics'!G:G,MATCH($C515,'Policy Characteristics'!$C:$C,0)))</f>
        <v>1</v>
      </c>
      <c r="N515" s="283">
        <f>IF(ISBLANK(INDEX('Policy Characteristics'!H:H,MATCH($C515,'Policy Characteristics'!$C:$C,0))),"",INDEX('Policy Characteristics'!H:H,MATCH($C515,'Policy Characteristics'!$C:$C,0)))</f>
        <v>0.01</v>
      </c>
      <c r="O515" s="275" t="str">
        <f>IF(ISBLANK(INDEX('Policy Characteristics'!I:I,MATCH($C515,'Policy Characteristics'!$C:$C,0))),"",INDEX('Policy Characteristics'!I:I,MATCH($C515,'Policy Characteristics'!$C:$C,0)))</f>
        <v>% of CO2 captured</v>
      </c>
      <c r="P515" s="275" t="str">
        <f>IF(ISBLANK(INDEX('Policy Characteristics'!J:J,MATCH($C515,'Policy Characteristics'!$C:$C,0))),"",INDEX('Policy Characteristics'!J:J,MATCH($C515,'Policy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5" s="275" t="str">
        <f>IF(ISBLANK(INDEX('Policy Characteristics'!K:K,MATCH($C515,'Policy Characteristics'!$C:$C,0))),"",INDEX('Policy Characteristics'!K:K,MATCH($C515,'Policy Characteristics'!$C:$C,0)))</f>
        <v>ccs.html#ccs</v>
      </c>
      <c r="R515" s="275" t="str">
        <f>IF(ISBLANK(INDEX('Policy Characteristics'!L:L,MATCH($C515,'Policy Characteristics'!$C:$C,0))),"",INDEX('Policy Characteristics'!L:L,MATCH($C515,'Policy Characteristics'!$C:$C,0)))</f>
        <v>carbon-capture-and-sequestration.html</v>
      </c>
    </row>
    <row r="516" spans="1:18" x14ac:dyDescent="0.25">
      <c r="A516" s="275" t="str">
        <f>IF(ISBLANK(INDEX('Policy Characteristics'!A:A,MATCH($C516,'Policy Characteristics'!$C:$C,0))),"",INDEX('Policy Characteristics'!A:A,MATCH($C516,'Policy Characteristics'!$C:$C,0)))</f>
        <v>Industry</v>
      </c>
      <c r="B516" s="284" t="str">
        <f>IF(ISBLANK(INDEX('Policy Characteristics'!B:B,MATCH($C516,'Policy Characteristics'!$C:$C,0))),"",INDEX('Policy Characteristics'!B:B,MATCH($C516,'Policy Characteristics'!$C:$C,0)))</f>
        <v>Carbon Capture and Sequestration</v>
      </c>
      <c r="C516" s="275" t="str">
        <f t="shared" si="29"/>
        <v>Industry Sector Fraction of Potential Additional CCS Achieved</v>
      </c>
      <c r="D516" s="6" t="s">
        <v>3071</v>
      </c>
      <c r="E516" s="6" t="s">
        <v>3032</v>
      </c>
      <c r="F516" t="s">
        <v>2763</v>
      </c>
      <c r="G516" s="47" t="s">
        <v>3033</v>
      </c>
      <c r="H516" s="44">
        <v>910</v>
      </c>
      <c r="I516" s="347" t="s">
        <v>44</v>
      </c>
      <c r="J516" s="276" t="str">
        <f>IF(ISBLANK(INDEX('Policy Characteristics'!D:D,MATCH($C516,'Policy Characteristics'!$C:$C,0))),"",INDEX('Policy Characteristics'!D:D,MATCH($C516,'Policy Characteristics'!$C:$C,0)))</f>
        <v>Industry CCS</v>
      </c>
      <c r="K516" s="275" t="str">
        <f>IF(ISBLANK(INDEX('Policy Characteristics'!E:E,MATCH($C516,'Policy Characteristics'!$C:$C,0))),"",INDEX('Policy Characteristics'!E:E,MATCH($C516,'Policy Characteristics'!$C:$C,0)))</f>
        <v>indst CCS</v>
      </c>
      <c r="L516" s="283">
        <f>IF(ISBLANK(INDEX('Policy Characteristics'!F:F,MATCH($C516,'Policy Characteristics'!$C:$C,0))),"",INDEX('Policy Characteristics'!F:F,MATCH($C516,'Policy Characteristics'!$C:$C,0)))</f>
        <v>0</v>
      </c>
      <c r="M516" s="283">
        <f>IF(ISBLANK(INDEX('Policy Characteristics'!G:G,MATCH($C516,'Policy Characteristics'!$C:$C,0))),"",INDEX('Policy Characteristics'!G:G,MATCH($C516,'Policy Characteristics'!$C:$C,0)))</f>
        <v>1</v>
      </c>
      <c r="N516" s="283">
        <f>IF(ISBLANK(INDEX('Policy Characteristics'!H:H,MATCH($C516,'Policy Characteristics'!$C:$C,0))),"",INDEX('Policy Characteristics'!H:H,MATCH($C516,'Policy Characteristics'!$C:$C,0)))</f>
        <v>0.01</v>
      </c>
      <c r="O516" s="275" t="str">
        <f>IF(ISBLANK(INDEX('Policy Characteristics'!I:I,MATCH($C516,'Policy Characteristics'!$C:$C,0))),"",INDEX('Policy Characteristics'!I:I,MATCH($C516,'Policy Characteristics'!$C:$C,0)))</f>
        <v>% of CO2 captured</v>
      </c>
      <c r="P516" s="275" t="str">
        <f>IF(ISBLANK(INDEX('Policy Characteristics'!J:J,MATCH($C516,'Policy Characteristics'!$C:$C,0))),"",INDEX('Policy Characteristics'!J:J,MATCH($C516,'Policy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6" s="275" t="str">
        <f>IF(ISBLANK(INDEX('Policy Characteristics'!K:K,MATCH($C516,'Policy Characteristics'!$C:$C,0))),"",INDEX('Policy Characteristics'!K:K,MATCH($C516,'Policy Characteristics'!$C:$C,0)))</f>
        <v>ccs.html#ccs</v>
      </c>
      <c r="R516" s="275" t="str">
        <f>IF(ISBLANK(INDEX('Policy Characteristics'!L:L,MATCH($C516,'Policy Characteristics'!$C:$C,0))),"",INDEX('Policy Characteristics'!L:L,MATCH($C516,'Policy Characteristics'!$C:$C,0)))</f>
        <v>carbon-capture-and-sequestration.html</v>
      </c>
    </row>
    <row r="517" spans="1:18" x14ac:dyDescent="0.25">
      <c r="A517" s="275" t="str">
        <f>IF(ISBLANK(INDEX('Policy Characteristics'!A:A,MATCH($C517,'Policy Characteristics'!$C:$C,0))),"",INDEX('Policy Characteristics'!A:A,MATCH($C517,'Policy Characteristics'!$C:$C,0)))</f>
        <v>Industry</v>
      </c>
      <c r="B517" s="284" t="str">
        <f>IF(ISBLANK(INDEX('Policy Characteristics'!B:B,MATCH($C517,'Policy Characteristics'!$C:$C,0))),"",INDEX('Policy Characteristics'!B:B,MATCH($C517,'Policy Characteristics'!$C:$C,0)))</f>
        <v>Carbon Capture and Sequestration</v>
      </c>
      <c r="C517" s="275" t="str">
        <f t="shared" si="29"/>
        <v>Industry Sector Fraction of Potential Additional CCS Achieved</v>
      </c>
      <c r="D517" s="6" t="s">
        <v>3071</v>
      </c>
      <c r="E517" s="6" t="s">
        <v>2535</v>
      </c>
      <c r="F517" t="s">
        <v>2763</v>
      </c>
      <c r="G517" s="47" t="s">
        <v>3034</v>
      </c>
      <c r="H517" s="44">
        <v>911</v>
      </c>
      <c r="I517" s="347" t="s">
        <v>44</v>
      </c>
      <c r="J517" s="276" t="str">
        <f>IF(ISBLANK(INDEX('Policy Characteristics'!D:D,MATCH($C517,'Policy Characteristics'!$C:$C,0))),"",INDEX('Policy Characteristics'!D:D,MATCH($C517,'Policy Characteristics'!$C:$C,0)))</f>
        <v>Industry CCS</v>
      </c>
      <c r="K517" s="275" t="str">
        <f>IF(ISBLANK(INDEX('Policy Characteristics'!E:E,MATCH($C517,'Policy Characteristics'!$C:$C,0))),"",INDEX('Policy Characteristics'!E:E,MATCH($C517,'Policy Characteristics'!$C:$C,0)))</f>
        <v>indst CCS</v>
      </c>
      <c r="L517" s="283">
        <f>IF(ISBLANK(INDEX('Policy Characteristics'!F:F,MATCH($C517,'Policy Characteristics'!$C:$C,0))),"",INDEX('Policy Characteristics'!F:F,MATCH($C517,'Policy Characteristics'!$C:$C,0)))</f>
        <v>0</v>
      </c>
      <c r="M517" s="283">
        <f>IF(ISBLANK(INDEX('Policy Characteristics'!G:G,MATCH($C517,'Policy Characteristics'!$C:$C,0))),"",INDEX('Policy Characteristics'!G:G,MATCH($C517,'Policy Characteristics'!$C:$C,0)))</f>
        <v>1</v>
      </c>
      <c r="N517" s="283">
        <f>IF(ISBLANK(INDEX('Policy Characteristics'!H:H,MATCH($C517,'Policy Characteristics'!$C:$C,0))),"",INDEX('Policy Characteristics'!H:H,MATCH($C517,'Policy Characteristics'!$C:$C,0)))</f>
        <v>0.01</v>
      </c>
      <c r="O517" s="275" t="str">
        <f>IF(ISBLANK(INDEX('Policy Characteristics'!I:I,MATCH($C517,'Policy Characteristics'!$C:$C,0))),"",INDEX('Policy Characteristics'!I:I,MATCH($C517,'Policy Characteristics'!$C:$C,0)))</f>
        <v>% of CO2 captured</v>
      </c>
      <c r="P517" s="275" t="str">
        <f>IF(ISBLANK(INDEX('Policy Characteristics'!J:J,MATCH($C517,'Policy Characteristics'!$C:$C,0))),"",INDEX('Policy Characteristics'!J:J,MATCH($C517,'Policy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7" s="275" t="str">
        <f>IF(ISBLANK(INDEX('Policy Characteristics'!K:K,MATCH($C517,'Policy Characteristics'!$C:$C,0))),"",INDEX('Policy Characteristics'!K:K,MATCH($C517,'Policy Characteristics'!$C:$C,0)))</f>
        <v>ccs.html#ccs</v>
      </c>
      <c r="R517" s="275" t="str">
        <f>IF(ISBLANK(INDEX('Policy Characteristics'!L:L,MATCH($C517,'Policy Characteristics'!$C:$C,0))),"",INDEX('Policy Characteristics'!L:L,MATCH($C517,'Policy Characteristics'!$C:$C,0)))</f>
        <v>carbon-capture-and-sequestration.html</v>
      </c>
    </row>
    <row r="518" spans="1:18" x14ac:dyDescent="0.25">
      <c r="A518" s="275" t="str">
        <f>IF(ISBLANK(INDEX('Policy Characteristics'!A:A,MATCH($C518,'Policy Characteristics'!$C:$C,0))),"",INDEX('Policy Characteristics'!A:A,MATCH($C518,'Policy Characteristics'!$C:$C,0)))</f>
        <v>Industry</v>
      </c>
      <c r="B518" s="284" t="str">
        <f>IF(ISBLANK(INDEX('Policy Characteristics'!B:B,MATCH($C518,'Policy Characteristics'!$C:$C,0))),"",INDEX('Policy Characteristics'!B:B,MATCH($C518,'Policy Characteristics'!$C:$C,0)))</f>
        <v>Carbon Capture and Sequestration</v>
      </c>
      <c r="C518" s="275" t="str">
        <f t="shared" si="29"/>
        <v>Industry Sector Fraction of Potential Additional CCS Achieved</v>
      </c>
      <c r="D518" s="6" t="s">
        <v>3072</v>
      </c>
      <c r="E518" s="6" t="s">
        <v>3032</v>
      </c>
      <c r="F518" t="s">
        <v>3036</v>
      </c>
      <c r="G518" s="47" t="s">
        <v>3033</v>
      </c>
      <c r="H518" s="44">
        <v>912</v>
      </c>
      <c r="I518" s="347" t="s">
        <v>44</v>
      </c>
      <c r="J518" s="276" t="str">
        <f>IF(ISBLANK(INDEX('Policy Characteristics'!D:D,MATCH($C518,'Policy Characteristics'!$C:$C,0))),"",INDEX('Policy Characteristics'!D:D,MATCH($C518,'Policy Characteristics'!$C:$C,0)))</f>
        <v>Industry CCS</v>
      </c>
      <c r="K518" s="275" t="str">
        <f>IF(ISBLANK(INDEX('Policy Characteristics'!E:E,MATCH($C518,'Policy Characteristics'!$C:$C,0))),"",INDEX('Policy Characteristics'!E:E,MATCH($C518,'Policy Characteristics'!$C:$C,0)))</f>
        <v>indst CCS</v>
      </c>
      <c r="L518" s="283">
        <f>IF(ISBLANK(INDEX('Policy Characteristics'!F:F,MATCH($C518,'Policy Characteristics'!$C:$C,0))),"",INDEX('Policy Characteristics'!F:F,MATCH($C518,'Policy Characteristics'!$C:$C,0)))</f>
        <v>0</v>
      </c>
      <c r="M518" s="283">
        <f>IF(ISBLANK(INDEX('Policy Characteristics'!G:G,MATCH($C518,'Policy Characteristics'!$C:$C,0))),"",INDEX('Policy Characteristics'!G:G,MATCH($C518,'Policy Characteristics'!$C:$C,0)))</f>
        <v>1</v>
      </c>
      <c r="N518" s="283">
        <f>IF(ISBLANK(INDEX('Policy Characteristics'!H:H,MATCH($C518,'Policy Characteristics'!$C:$C,0))),"",INDEX('Policy Characteristics'!H:H,MATCH($C518,'Policy Characteristics'!$C:$C,0)))</f>
        <v>0.01</v>
      </c>
      <c r="O518" s="275" t="str">
        <f>IF(ISBLANK(INDEX('Policy Characteristics'!I:I,MATCH($C518,'Policy Characteristics'!$C:$C,0))),"",INDEX('Policy Characteristics'!I:I,MATCH($C518,'Policy Characteristics'!$C:$C,0)))</f>
        <v>% of CO2 captured</v>
      </c>
      <c r="P518" s="275" t="str">
        <f>IF(ISBLANK(INDEX('Policy Characteristics'!J:J,MATCH($C518,'Policy Characteristics'!$C:$C,0))),"",INDEX('Policy Characteristics'!J:J,MATCH($C518,'Policy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8" s="275" t="str">
        <f>IF(ISBLANK(INDEX('Policy Characteristics'!K:K,MATCH($C518,'Policy Characteristics'!$C:$C,0))),"",INDEX('Policy Characteristics'!K:K,MATCH($C518,'Policy Characteristics'!$C:$C,0)))</f>
        <v>ccs.html#ccs</v>
      </c>
      <c r="R518" s="275" t="str">
        <f>IF(ISBLANK(INDEX('Policy Characteristics'!L:L,MATCH($C518,'Policy Characteristics'!$C:$C,0))),"",INDEX('Policy Characteristics'!L:L,MATCH($C518,'Policy Characteristics'!$C:$C,0)))</f>
        <v>carbon-capture-and-sequestration.html</v>
      </c>
    </row>
    <row r="519" spans="1:18" x14ac:dyDescent="0.25">
      <c r="A519" s="275" t="str">
        <f>IF(ISBLANK(INDEX('Policy Characteristics'!A:A,MATCH($C519,'Policy Characteristics'!$C:$C,0))),"",INDEX('Policy Characteristics'!A:A,MATCH($C519,'Policy Characteristics'!$C:$C,0)))</f>
        <v>Industry</v>
      </c>
      <c r="B519" s="284" t="str">
        <f>IF(ISBLANK(INDEX('Policy Characteristics'!B:B,MATCH($C519,'Policy Characteristics'!$C:$C,0))),"",INDEX('Policy Characteristics'!B:B,MATCH($C519,'Policy Characteristics'!$C:$C,0)))</f>
        <v>Carbon Capture and Sequestration</v>
      </c>
      <c r="C519" s="275" t="str">
        <f t="shared" si="29"/>
        <v>Industry Sector Fraction of Potential Additional CCS Achieved</v>
      </c>
      <c r="D519" s="6" t="s">
        <v>3072</v>
      </c>
      <c r="E519" s="6" t="s">
        <v>2535</v>
      </c>
      <c r="F519" t="s">
        <v>3036</v>
      </c>
      <c r="G519" s="47" t="s">
        <v>3034</v>
      </c>
      <c r="H519" s="44">
        <v>913</v>
      </c>
      <c r="I519" s="347" t="s">
        <v>44</v>
      </c>
      <c r="J519" s="276" t="str">
        <f>IF(ISBLANK(INDEX('Policy Characteristics'!D:D,MATCH($C519,'Policy Characteristics'!$C:$C,0))),"",INDEX('Policy Characteristics'!D:D,MATCH($C519,'Policy Characteristics'!$C:$C,0)))</f>
        <v>Industry CCS</v>
      </c>
      <c r="K519" s="275" t="str">
        <f>IF(ISBLANK(INDEX('Policy Characteristics'!E:E,MATCH($C519,'Policy Characteristics'!$C:$C,0))),"",INDEX('Policy Characteristics'!E:E,MATCH($C519,'Policy Characteristics'!$C:$C,0)))</f>
        <v>indst CCS</v>
      </c>
      <c r="L519" s="283">
        <f>IF(ISBLANK(INDEX('Policy Characteristics'!F:F,MATCH($C519,'Policy Characteristics'!$C:$C,0))),"",INDEX('Policy Characteristics'!F:F,MATCH($C519,'Policy Characteristics'!$C:$C,0)))</f>
        <v>0</v>
      </c>
      <c r="M519" s="283">
        <f>IF(ISBLANK(INDEX('Policy Characteristics'!G:G,MATCH($C519,'Policy Characteristics'!$C:$C,0))),"",INDEX('Policy Characteristics'!G:G,MATCH($C519,'Policy Characteristics'!$C:$C,0)))</f>
        <v>1</v>
      </c>
      <c r="N519" s="283">
        <f>IF(ISBLANK(INDEX('Policy Characteristics'!H:H,MATCH($C519,'Policy Characteristics'!$C:$C,0))),"",INDEX('Policy Characteristics'!H:H,MATCH($C519,'Policy Characteristics'!$C:$C,0)))</f>
        <v>0.01</v>
      </c>
      <c r="O519" s="275" t="str">
        <f>IF(ISBLANK(INDEX('Policy Characteristics'!I:I,MATCH($C519,'Policy Characteristics'!$C:$C,0))),"",INDEX('Policy Characteristics'!I:I,MATCH($C519,'Policy Characteristics'!$C:$C,0)))</f>
        <v>% of CO2 captured</v>
      </c>
      <c r="P519" s="275" t="str">
        <f>IF(ISBLANK(INDEX('Policy Characteristics'!J:J,MATCH($C519,'Policy Characteristics'!$C:$C,0))),"",INDEX('Policy Characteristics'!J:J,MATCH($C519,'Policy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9" s="275" t="str">
        <f>IF(ISBLANK(INDEX('Policy Characteristics'!K:K,MATCH($C519,'Policy Characteristics'!$C:$C,0))),"",INDEX('Policy Characteristics'!K:K,MATCH($C519,'Policy Characteristics'!$C:$C,0)))</f>
        <v>ccs.html#ccs</v>
      </c>
      <c r="R519" s="275" t="str">
        <f>IF(ISBLANK(INDEX('Policy Characteristics'!L:L,MATCH($C519,'Policy Characteristics'!$C:$C,0))),"",INDEX('Policy Characteristics'!L:L,MATCH($C519,'Policy Characteristics'!$C:$C,0)))</f>
        <v>carbon-capture-and-sequestration.html</v>
      </c>
    </row>
    <row r="520" spans="1:18" x14ac:dyDescent="0.25">
      <c r="A520" s="275" t="str">
        <f>IF(ISBLANK(INDEX('Policy Characteristics'!A:A,MATCH($C520,'Policy Characteristics'!$C:$C,0))),"",INDEX('Policy Characteristics'!A:A,MATCH($C520,'Policy Characteristics'!$C:$C,0)))</f>
        <v>Industry</v>
      </c>
      <c r="B520" s="284" t="str">
        <f>IF(ISBLANK(INDEX('Policy Characteristics'!B:B,MATCH($C520,'Policy Characteristics'!$C:$C,0))),"",INDEX('Policy Characteristics'!B:B,MATCH($C520,'Policy Characteristics'!$C:$C,0)))</f>
        <v>Carbon Capture and Sequestration</v>
      </c>
      <c r="C520" s="275" t="str">
        <f t="shared" si="29"/>
        <v>Industry Sector Fraction of Potential Additional CCS Achieved</v>
      </c>
      <c r="D520" s="6" t="s">
        <v>3073</v>
      </c>
      <c r="E520" s="6" t="s">
        <v>3032</v>
      </c>
      <c r="F520" t="s">
        <v>3037</v>
      </c>
      <c r="G520" s="47" t="s">
        <v>3033</v>
      </c>
      <c r="H520" s="44">
        <v>914</v>
      </c>
      <c r="I520" s="347" t="s">
        <v>44</v>
      </c>
      <c r="J520" s="276" t="str">
        <f>IF(ISBLANK(INDEX('Policy Characteristics'!D:D,MATCH($C520,'Policy Characteristics'!$C:$C,0))),"",INDEX('Policy Characteristics'!D:D,MATCH($C520,'Policy Characteristics'!$C:$C,0)))</f>
        <v>Industry CCS</v>
      </c>
      <c r="K520" s="275" t="str">
        <f>IF(ISBLANK(INDEX('Policy Characteristics'!E:E,MATCH($C520,'Policy Characteristics'!$C:$C,0))),"",INDEX('Policy Characteristics'!E:E,MATCH($C520,'Policy Characteristics'!$C:$C,0)))</f>
        <v>indst CCS</v>
      </c>
      <c r="L520" s="283">
        <f>IF(ISBLANK(INDEX('Policy Characteristics'!F:F,MATCH($C520,'Policy Characteristics'!$C:$C,0))),"",INDEX('Policy Characteristics'!F:F,MATCH($C520,'Policy Characteristics'!$C:$C,0)))</f>
        <v>0</v>
      </c>
      <c r="M520" s="283">
        <f>IF(ISBLANK(INDEX('Policy Characteristics'!G:G,MATCH($C520,'Policy Characteristics'!$C:$C,0))),"",INDEX('Policy Characteristics'!G:G,MATCH($C520,'Policy Characteristics'!$C:$C,0)))</f>
        <v>1</v>
      </c>
      <c r="N520" s="283">
        <f>IF(ISBLANK(INDEX('Policy Characteristics'!H:H,MATCH($C520,'Policy Characteristics'!$C:$C,0))),"",INDEX('Policy Characteristics'!H:H,MATCH($C520,'Policy Characteristics'!$C:$C,0)))</f>
        <v>0.01</v>
      </c>
      <c r="O520" s="275" t="str">
        <f>IF(ISBLANK(INDEX('Policy Characteristics'!I:I,MATCH($C520,'Policy Characteristics'!$C:$C,0))),"",INDEX('Policy Characteristics'!I:I,MATCH($C520,'Policy Characteristics'!$C:$C,0)))</f>
        <v>% of CO2 captured</v>
      </c>
      <c r="P520" s="275" t="str">
        <f>IF(ISBLANK(INDEX('Policy Characteristics'!J:J,MATCH($C520,'Policy Characteristics'!$C:$C,0))),"",INDEX('Policy Characteristics'!J:J,MATCH($C520,'Policy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0" s="275" t="str">
        <f>IF(ISBLANK(INDEX('Policy Characteristics'!K:K,MATCH($C520,'Policy Characteristics'!$C:$C,0))),"",INDEX('Policy Characteristics'!K:K,MATCH($C520,'Policy Characteristics'!$C:$C,0)))</f>
        <v>ccs.html#ccs</v>
      </c>
      <c r="R520" s="275" t="str">
        <f>IF(ISBLANK(INDEX('Policy Characteristics'!L:L,MATCH($C520,'Policy Characteristics'!$C:$C,0))),"",INDEX('Policy Characteristics'!L:L,MATCH($C520,'Policy Characteristics'!$C:$C,0)))</f>
        <v>carbon-capture-and-sequestration.html</v>
      </c>
    </row>
    <row r="521" spans="1:18" x14ac:dyDescent="0.25">
      <c r="A521" s="275" t="str">
        <f>IF(ISBLANK(INDEX('Policy Characteristics'!A:A,MATCH($C521,'Policy Characteristics'!$C:$C,0))),"",INDEX('Policy Characteristics'!A:A,MATCH($C521,'Policy Characteristics'!$C:$C,0)))</f>
        <v>Industry</v>
      </c>
      <c r="B521" s="284" t="str">
        <f>IF(ISBLANK(INDEX('Policy Characteristics'!B:B,MATCH($C521,'Policy Characteristics'!$C:$C,0))),"",INDEX('Policy Characteristics'!B:B,MATCH($C521,'Policy Characteristics'!$C:$C,0)))</f>
        <v>Carbon Capture and Sequestration</v>
      </c>
      <c r="C521" s="275" t="str">
        <f t="shared" si="29"/>
        <v>Industry Sector Fraction of Potential Additional CCS Achieved</v>
      </c>
      <c r="D521" s="6" t="s">
        <v>3073</v>
      </c>
      <c r="E521" s="6" t="s">
        <v>2535</v>
      </c>
      <c r="F521" t="s">
        <v>3037</v>
      </c>
      <c r="G521" s="47" t="s">
        <v>3034</v>
      </c>
      <c r="H521" s="44">
        <v>915</v>
      </c>
      <c r="I521" s="347" t="s">
        <v>44</v>
      </c>
      <c r="J521" s="276" t="str">
        <f>IF(ISBLANK(INDEX('Policy Characteristics'!D:D,MATCH($C521,'Policy Characteristics'!$C:$C,0))),"",INDEX('Policy Characteristics'!D:D,MATCH($C521,'Policy Characteristics'!$C:$C,0)))</f>
        <v>Industry CCS</v>
      </c>
      <c r="K521" s="275" t="str">
        <f>IF(ISBLANK(INDEX('Policy Characteristics'!E:E,MATCH($C521,'Policy Characteristics'!$C:$C,0))),"",INDEX('Policy Characteristics'!E:E,MATCH($C521,'Policy Characteristics'!$C:$C,0)))</f>
        <v>indst CCS</v>
      </c>
      <c r="L521" s="283">
        <f>IF(ISBLANK(INDEX('Policy Characteristics'!F:F,MATCH($C521,'Policy Characteristics'!$C:$C,0))),"",INDEX('Policy Characteristics'!F:F,MATCH($C521,'Policy Characteristics'!$C:$C,0)))</f>
        <v>0</v>
      </c>
      <c r="M521" s="283">
        <f>IF(ISBLANK(INDEX('Policy Characteristics'!G:G,MATCH($C521,'Policy Characteristics'!$C:$C,0))),"",INDEX('Policy Characteristics'!G:G,MATCH($C521,'Policy Characteristics'!$C:$C,0)))</f>
        <v>1</v>
      </c>
      <c r="N521" s="283">
        <f>IF(ISBLANK(INDEX('Policy Characteristics'!H:H,MATCH($C521,'Policy Characteristics'!$C:$C,0))),"",INDEX('Policy Characteristics'!H:H,MATCH($C521,'Policy Characteristics'!$C:$C,0)))</f>
        <v>0.01</v>
      </c>
      <c r="O521" s="275" t="str">
        <f>IF(ISBLANK(INDEX('Policy Characteristics'!I:I,MATCH($C521,'Policy Characteristics'!$C:$C,0))),"",INDEX('Policy Characteristics'!I:I,MATCH($C521,'Policy Characteristics'!$C:$C,0)))</f>
        <v>% of CO2 captured</v>
      </c>
      <c r="P521" s="275" t="str">
        <f>IF(ISBLANK(INDEX('Policy Characteristics'!J:J,MATCH($C521,'Policy Characteristics'!$C:$C,0))),"",INDEX('Policy Characteristics'!J:J,MATCH($C521,'Policy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1" s="275" t="str">
        <f>IF(ISBLANK(INDEX('Policy Characteristics'!K:K,MATCH($C521,'Policy Characteristics'!$C:$C,0))),"",INDEX('Policy Characteristics'!K:K,MATCH($C521,'Policy Characteristics'!$C:$C,0)))</f>
        <v>ccs.html#ccs</v>
      </c>
      <c r="R521" s="275" t="str">
        <f>IF(ISBLANK(INDEX('Policy Characteristics'!L:L,MATCH($C521,'Policy Characteristics'!$C:$C,0))),"",INDEX('Policy Characteristics'!L:L,MATCH($C521,'Policy Characteristics'!$C:$C,0)))</f>
        <v>carbon-capture-and-sequestration.html</v>
      </c>
    </row>
    <row r="522" spans="1:18" x14ac:dyDescent="0.25">
      <c r="A522" s="275" t="str">
        <f>IF(ISBLANK(INDEX('Policy Characteristics'!A:A,MATCH($C522,'Policy Characteristics'!$C:$C,0))),"",INDEX('Policy Characteristics'!A:A,MATCH($C522,'Policy Characteristics'!$C:$C,0)))</f>
        <v>Industry</v>
      </c>
      <c r="B522" s="284" t="str">
        <f>IF(ISBLANK(INDEX('Policy Characteristics'!B:B,MATCH($C522,'Policy Characteristics'!$C:$C,0))),"",INDEX('Policy Characteristics'!B:B,MATCH($C522,'Policy Characteristics'!$C:$C,0)))</f>
        <v>Carbon Capture and Sequestration</v>
      </c>
      <c r="C522" s="275" t="str">
        <f t="shared" si="29"/>
        <v>Industry Sector Fraction of Potential Additional CCS Achieved</v>
      </c>
      <c r="D522" s="6" t="s">
        <v>3074</v>
      </c>
      <c r="E522" s="6" t="s">
        <v>3032</v>
      </c>
      <c r="F522" t="s">
        <v>3038</v>
      </c>
      <c r="G522" s="47" t="s">
        <v>3033</v>
      </c>
      <c r="H522" s="44">
        <v>916</v>
      </c>
      <c r="I522" s="346" t="s">
        <v>43</v>
      </c>
      <c r="J522" s="276" t="str">
        <f>IF(ISBLANK(INDEX('Policy Characteristics'!D:D,MATCH($C522,'Policy Characteristics'!$C:$C,0))),"",INDEX('Policy Characteristics'!D:D,MATCH($C522,'Policy Characteristics'!$C:$C,0)))</f>
        <v>Industry CCS</v>
      </c>
      <c r="K522" s="275" t="str">
        <f>IF(ISBLANK(INDEX('Policy Characteristics'!E:E,MATCH($C522,'Policy Characteristics'!$C:$C,0))),"",INDEX('Policy Characteristics'!E:E,MATCH($C522,'Policy Characteristics'!$C:$C,0)))</f>
        <v>indst CCS</v>
      </c>
      <c r="L522" s="283">
        <f>IF(ISBLANK(INDEX('Policy Characteristics'!F:F,MATCH($C522,'Policy Characteristics'!$C:$C,0))),"",INDEX('Policy Characteristics'!F:F,MATCH($C522,'Policy Characteristics'!$C:$C,0)))</f>
        <v>0</v>
      </c>
      <c r="M522" s="283">
        <f>IF(ISBLANK(INDEX('Policy Characteristics'!G:G,MATCH($C522,'Policy Characteristics'!$C:$C,0))),"",INDEX('Policy Characteristics'!G:G,MATCH($C522,'Policy Characteristics'!$C:$C,0)))</f>
        <v>1</v>
      </c>
      <c r="N522" s="283">
        <f>IF(ISBLANK(INDEX('Policy Characteristics'!H:H,MATCH($C522,'Policy Characteristics'!$C:$C,0))),"",INDEX('Policy Characteristics'!H:H,MATCH($C522,'Policy Characteristics'!$C:$C,0)))</f>
        <v>0.01</v>
      </c>
      <c r="O522" s="275" t="str">
        <f>IF(ISBLANK(INDEX('Policy Characteristics'!I:I,MATCH($C522,'Policy Characteristics'!$C:$C,0))),"",INDEX('Policy Characteristics'!I:I,MATCH($C522,'Policy Characteristics'!$C:$C,0)))</f>
        <v>% of CO2 captured</v>
      </c>
      <c r="P522" s="275" t="str">
        <f>IF(ISBLANK(INDEX('Policy Characteristics'!J:J,MATCH($C522,'Policy Characteristics'!$C:$C,0))),"",INDEX('Policy Characteristics'!J:J,MATCH($C522,'Policy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2" s="275" t="str">
        <f>IF(ISBLANK(INDEX('Policy Characteristics'!K:K,MATCH($C522,'Policy Characteristics'!$C:$C,0))),"",INDEX('Policy Characteristics'!K:K,MATCH($C522,'Policy Characteristics'!$C:$C,0)))</f>
        <v>ccs.html#ccs</v>
      </c>
      <c r="R522" s="275" t="str">
        <f>IF(ISBLANK(INDEX('Policy Characteristics'!L:L,MATCH($C522,'Policy Characteristics'!$C:$C,0))),"",INDEX('Policy Characteristics'!L:L,MATCH($C522,'Policy Characteristics'!$C:$C,0)))</f>
        <v>carbon-capture-and-sequestration.html</v>
      </c>
    </row>
    <row r="523" spans="1:18" x14ac:dyDescent="0.25">
      <c r="A523" s="275" t="str">
        <f>IF(ISBLANK(INDEX('Policy Characteristics'!A:A,MATCH($C523,'Policy Characteristics'!$C:$C,0))),"",INDEX('Policy Characteristics'!A:A,MATCH($C523,'Policy Characteristics'!$C:$C,0)))</f>
        <v>Industry</v>
      </c>
      <c r="B523" s="284" t="str">
        <f>IF(ISBLANK(INDEX('Policy Characteristics'!B:B,MATCH($C523,'Policy Characteristics'!$C:$C,0))),"",INDEX('Policy Characteristics'!B:B,MATCH($C523,'Policy Characteristics'!$C:$C,0)))</f>
        <v>Carbon Capture and Sequestration</v>
      </c>
      <c r="C523" s="275" t="str">
        <f t="shared" si="29"/>
        <v>Industry Sector Fraction of Potential Additional CCS Achieved</v>
      </c>
      <c r="D523" s="6" t="s">
        <v>3074</v>
      </c>
      <c r="E523" s="6" t="s">
        <v>2535</v>
      </c>
      <c r="F523" t="s">
        <v>3038</v>
      </c>
      <c r="G523" s="47" t="s">
        <v>3034</v>
      </c>
      <c r="H523" s="44">
        <v>917</v>
      </c>
      <c r="I523" s="347" t="s">
        <v>44</v>
      </c>
      <c r="J523" s="276" t="str">
        <f>IF(ISBLANK(INDEX('Policy Characteristics'!D:D,MATCH($C523,'Policy Characteristics'!$C:$C,0))),"",INDEX('Policy Characteristics'!D:D,MATCH($C523,'Policy Characteristics'!$C:$C,0)))</f>
        <v>Industry CCS</v>
      </c>
      <c r="K523" s="275" t="str">
        <f>IF(ISBLANK(INDEX('Policy Characteristics'!E:E,MATCH($C523,'Policy Characteristics'!$C:$C,0))),"",INDEX('Policy Characteristics'!E:E,MATCH($C523,'Policy Characteristics'!$C:$C,0)))</f>
        <v>indst CCS</v>
      </c>
      <c r="L523" s="283">
        <f>IF(ISBLANK(INDEX('Policy Characteristics'!F:F,MATCH($C523,'Policy Characteristics'!$C:$C,0))),"",INDEX('Policy Characteristics'!F:F,MATCH($C523,'Policy Characteristics'!$C:$C,0)))</f>
        <v>0</v>
      </c>
      <c r="M523" s="283">
        <f>IF(ISBLANK(INDEX('Policy Characteristics'!G:G,MATCH($C523,'Policy Characteristics'!$C:$C,0))),"",INDEX('Policy Characteristics'!G:G,MATCH($C523,'Policy Characteristics'!$C:$C,0)))</f>
        <v>1</v>
      </c>
      <c r="N523" s="283">
        <f>IF(ISBLANK(INDEX('Policy Characteristics'!H:H,MATCH($C523,'Policy Characteristics'!$C:$C,0))),"",INDEX('Policy Characteristics'!H:H,MATCH($C523,'Policy Characteristics'!$C:$C,0)))</f>
        <v>0.01</v>
      </c>
      <c r="O523" s="275" t="str">
        <f>IF(ISBLANK(INDEX('Policy Characteristics'!I:I,MATCH($C523,'Policy Characteristics'!$C:$C,0))),"",INDEX('Policy Characteristics'!I:I,MATCH($C523,'Policy Characteristics'!$C:$C,0)))</f>
        <v>% of CO2 captured</v>
      </c>
      <c r="P523" s="275" t="str">
        <f>IF(ISBLANK(INDEX('Policy Characteristics'!J:J,MATCH($C523,'Policy Characteristics'!$C:$C,0))),"",INDEX('Policy Characteristics'!J:J,MATCH($C523,'Policy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3" s="275" t="str">
        <f>IF(ISBLANK(INDEX('Policy Characteristics'!K:K,MATCH($C523,'Policy Characteristics'!$C:$C,0))),"",INDEX('Policy Characteristics'!K:K,MATCH($C523,'Policy Characteristics'!$C:$C,0)))</f>
        <v>ccs.html#ccs</v>
      </c>
      <c r="R523" s="275" t="str">
        <f>IF(ISBLANK(INDEX('Policy Characteristics'!L:L,MATCH($C523,'Policy Characteristics'!$C:$C,0))),"",INDEX('Policy Characteristics'!L:L,MATCH($C523,'Policy Characteristics'!$C:$C,0)))</f>
        <v>carbon-capture-and-sequestration.html</v>
      </c>
    </row>
    <row r="524" spans="1:18" x14ac:dyDescent="0.25">
      <c r="A524" s="275" t="str">
        <f>IF(ISBLANK(INDEX('Policy Characteristics'!A:A,MATCH($C524,'Policy Characteristics'!$C:$C,0))),"",INDEX('Policy Characteristics'!A:A,MATCH($C524,'Policy Characteristics'!$C:$C,0)))</f>
        <v>Industry</v>
      </c>
      <c r="B524" s="284" t="str">
        <f>IF(ISBLANK(INDEX('Policy Characteristics'!B:B,MATCH($C524,'Policy Characteristics'!$C:$C,0))),"",INDEX('Policy Characteristics'!B:B,MATCH($C524,'Policy Characteristics'!$C:$C,0)))</f>
        <v>Carbon Capture and Sequestration</v>
      </c>
      <c r="C524" s="275" t="str">
        <f t="shared" si="29"/>
        <v>Industry Sector Fraction of Potential Additional CCS Achieved</v>
      </c>
      <c r="D524" s="6" t="s">
        <v>3075</v>
      </c>
      <c r="E524" s="6" t="s">
        <v>3032</v>
      </c>
      <c r="F524" t="s">
        <v>3039</v>
      </c>
      <c r="G524" s="47" t="s">
        <v>3033</v>
      </c>
      <c r="H524" s="44">
        <v>918</v>
      </c>
      <c r="I524" s="346" t="s">
        <v>43</v>
      </c>
      <c r="J524" s="276" t="str">
        <f>IF(ISBLANK(INDEX('Policy Characteristics'!D:D,MATCH($C524,'Policy Characteristics'!$C:$C,0))),"",INDEX('Policy Characteristics'!D:D,MATCH($C524,'Policy Characteristics'!$C:$C,0)))</f>
        <v>Industry CCS</v>
      </c>
      <c r="K524" s="275" t="str">
        <f>IF(ISBLANK(INDEX('Policy Characteristics'!E:E,MATCH($C524,'Policy Characteristics'!$C:$C,0))),"",INDEX('Policy Characteristics'!E:E,MATCH($C524,'Policy Characteristics'!$C:$C,0)))</f>
        <v>indst CCS</v>
      </c>
      <c r="L524" s="283">
        <f>IF(ISBLANK(INDEX('Policy Characteristics'!F:F,MATCH($C524,'Policy Characteristics'!$C:$C,0))),"",INDEX('Policy Characteristics'!F:F,MATCH($C524,'Policy Characteristics'!$C:$C,0)))</f>
        <v>0</v>
      </c>
      <c r="M524" s="283">
        <f>IF(ISBLANK(INDEX('Policy Characteristics'!G:G,MATCH($C524,'Policy Characteristics'!$C:$C,0))),"",INDEX('Policy Characteristics'!G:G,MATCH($C524,'Policy Characteristics'!$C:$C,0)))</f>
        <v>1</v>
      </c>
      <c r="N524" s="283">
        <f>IF(ISBLANK(INDEX('Policy Characteristics'!H:H,MATCH($C524,'Policy Characteristics'!$C:$C,0))),"",INDEX('Policy Characteristics'!H:H,MATCH($C524,'Policy Characteristics'!$C:$C,0)))</f>
        <v>0.01</v>
      </c>
      <c r="O524" s="275" t="str">
        <f>IF(ISBLANK(INDEX('Policy Characteristics'!I:I,MATCH($C524,'Policy Characteristics'!$C:$C,0))),"",INDEX('Policy Characteristics'!I:I,MATCH($C524,'Policy Characteristics'!$C:$C,0)))</f>
        <v>% of CO2 captured</v>
      </c>
      <c r="P524" s="275" t="str">
        <f>IF(ISBLANK(INDEX('Policy Characteristics'!J:J,MATCH($C524,'Policy Characteristics'!$C:$C,0))),"",INDEX('Policy Characteristics'!J:J,MATCH($C524,'Policy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4" s="275" t="str">
        <f>IF(ISBLANK(INDEX('Policy Characteristics'!K:K,MATCH($C524,'Policy Characteristics'!$C:$C,0))),"",INDEX('Policy Characteristics'!K:K,MATCH($C524,'Policy Characteristics'!$C:$C,0)))</f>
        <v>ccs.html#ccs</v>
      </c>
      <c r="R524" s="275" t="str">
        <f>IF(ISBLANK(INDEX('Policy Characteristics'!L:L,MATCH($C524,'Policy Characteristics'!$C:$C,0))),"",INDEX('Policy Characteristics'!L:L,MATCH($C524,'Policy Characteristics'!$C:$C,0)))</f>
        <v>carbon-capture-and-sequestration.html</v>
      </c>
    </row>
    <row r="525" spans="1:18" x14ac:dyDescent="0.25">
      <c r="A525" s="275" t="str">
        <f>IF(ISBLANK(INDEX('Policy Characteristics'!A:A,MATCH($C525,'Policy Characteristics'!$C:$C,0))),"",INDEX('Policy Characteristics'!A:A,MATCH($C525,'Policy Characteristics'!$C:$C,0)))</f>
        <v>Industry</v>
      </c>
      <c r="B525" s="284" t="str">
        <f>IF(ISBLANK(INDEX('Policy Characteristics'!B:B,MATCH($C525,'Policy Characteristics'!$C:$C,0))),"",INDEX('Policy Characteristics'!B:B,MATCH($C525,'Policy Characteristics'!$C:$C,0)))</f>
        <v>Carbon Capture and Sequestration</v>
      </c>
      <c r="C525" s="275" t="str">
        <f t="shared" si="29"/>
        <v>Industry Sector Fraction of Potential Additional CCS Achieved</v>
      </c>
      <c r="D525" s="6" t="s">
        <v>3075</v>
      </c>
      <c r="E525" s="6" t="s">
        <v>2535</v>
      </c>
      <c r="F525" t="s">
        <v>3039</v>
      </c>
      <c r="G525" s="47" t="s">
        <v>3034</v>
      </c>
      <c r="H525" s="44">
        <v>919</v>
      </c>
      <c r="I525" s="347" t="s">
        <v>44</v>
      </c>
      <c r="J525" s="276" t="str">
        <f>IF(ISBLANK(INDEX('Policy Characteristics'!D:D,MATCH($C525,'Policy Characteristics'!$C:$C,0))),"",INDEX('Policy Characteristics'!D:D,MATCH($C525,'Policy Characteristics'!$C:$C,0)))</f>
        <v>Industry CCS</v>
      </c>
      <c r="K525" s="275" t="str">
        <f>IF(ISBLANK(INDEX('Policy Characteristics'!E:E,MATCH($C525,'Policy Characteristics'!$C:$C,0))),"",INDEX('Policy Characteristics'!E:E,MATCH($C525,'Policy Characteristics'!$C:$C,0)))</f>
        <v>indst CCS</v>
      </c>
      <c r="L525" s="283">
        <f>IF(ISBLANK(INDEX('Policy Characteristics'!F:F,MATCH($C525,'Policy Characteristics'!$C:$C,0))),"",INDEX('Policy Characteristics'!F:F,MATCH($C525,'Policy Characteristics'!$C:$C,0)))</f>
        <v>0</v>
      </c>
      <c r="M525" s="283">
        <f>IF(ISBLANK(INDEX('Policy Characteristics'!G:G,MATCH($C525,'Policy Characteristics'!$C:$C,0))),"",INDEX('Policy Characteristics'!G:G,MATCH($C525,'Policy Characteristics'!$C:$C,0)))</f>
        <v>1</v>
      </c>
      <c r="N525" s="283">
        <f>IF(ISBLANK(INDEX('Policy Characteristics'!H:H,MATCH($C525,'Policy Characteristics'!$C:$C,0))),"",INDEX('Policy Characteristics'!H:H,MATCH($C525,'Policy Characteristics'!$C:$C,0)))</f>
        <v>0.01</v>
      </c>
      <c r="O525" s="275" t="str">
        <f>IF(ISBLANK(INDEX('Policy Characteristics'!I:I,MATCH($C525,'Policy Characteristics'!$C:$C,0))),"",INDEX('Policy Characteristics'!I:I,MATCH($C525,'Policy Characteristics'!$C:$C,0)))</f>
        <v>% of CO2 captured</v>
      </c>
      <c r="P525" s="275" t="str">
        <f>IF(ISBLANK(INDEX('Policy Characteristics'!J:J,MATCH($C525,'Policy Characteristics'!$C:$C,0))),"",INDEX('Policy Characteristics'!J:J,MATCH($C525,'Policy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5" s="275" t="str">
        <f>IF(ISBLANK(INDEX('Policy Characteristics'!K:K,MATCH($C525,'Policy Characteristics'!$C:$C,0))),"",INDEX('Policy Characteristics'!K:K,MATCH($C525,'Policy Characteristics'!$C:$C,0)))</f>
        <v>ccs.html#ccs</v>
      </c>
      <c r="R525" s="275" t="str">
        <f>IF(ISBLANK(INDEX('Policy Characteristics'!L:L,MATCH($C525,'Policy Characteristics'!$C:$C,0))),"",INDEX('Policy Characteristics'!L:L,MATCH($C525,'Policy Characteristics'!$C:$C,0)))</f>
        <v>carbon-capture-and-sequestration.html</v>
      </c>
    </row>
    <row r="526" spans="1:18" x14ac:dyDescent="0.25">
      <c r="A526" s="275" t="str">
        <f>IF(ISBLANK(INDEX('Policy Characteristics'!A:A,MATCH($C526,'Policy Characteristics'!$C:$C,0))),"",INDEX('Policy Characteristics'!A:A,MATCH($C526,'Policy Characteristics'!$C:$C,0)))</f>
        <v>Industry</v>
      </c>
      <c r="B526" s="284" t="str">
        <f>IF(ISBLANK(INDEX('Policy Characteristics'!B:B,MATCH($C526,'Policy Characteristics'!$C:$C,0))),"",INDEX('Policy Characteristics'!B:B,MATCH($C526,'Policy Characteristics'!$C:$C,0)))</f>
        <v>Carbon Capture and Sequestration</v>
      </c>
      <c r="C526" s="275" t="str">
        <f t="shared" si="29"/>
        <v>Industry Sector Fraction of Potential Additional CCS Achieved</v>
      </c>
      <c r="D526" s="6" t="s">
        <v>3076</v>
      </c>
      <c r="E526" s="6" t="s">
        <v>3032</v>
      </c>
      <c r="F526" t="s">
        <v>3040</v>
      </c>
      <c r="G526" s="47" t="s">
        <v>3033</v>
      </c>
      <c r="H526" s="44">
        <v>920</v>
      </c>
      <c r="I526" s="346" t="s">
        <v>43</v>
      </c>
      <c r="J526" s="276" t="str">
        <f>IF(ISBLANK(INDEX('Policy Characteristics'!D:D,MATCH($C526,'Policy Characteristics'!$C:$C,0))),"",INDEX('Policy Characteristics'!D:D,MATCH($C526,'Policy Characteristics'!$C:$C,0)))</f>
        <v>Industry CCS</v>
      </c>
      <c r="K526" s="275" t="str">
        <f>IF(ISBLANK(INDEX('Policy Characteristics'!E:E,MATCH($C526,'Policy Characteristics'!$C:$C,0))),"",INDEX('Policy Characteristics'!E:E,MATCH($C526,'Policy Characteristics'!$C:$C,0)))</f>
        <v>indst CCS</v>
      </c>
      <c r="L526" s="283">
        <f>IF(ISBLANK(INDEX('Policy Characteristics'!F:F,MATCH($C526,'Policy Characteristics'!$C:$C,0))),"",INDEX('Policy Characteristics'!F:F,MATCH($C526,'Policy Characteristics'!$C:$C,0)))</f>
        <v>0</v>
      </c>
      <c r="M526" s="283">
        <f>IF(ISBLANK(INDEX('Policy Characteristics'!G:G,MATCH($C526,'Policy Characteristics'!$C:$C,0))),"",INDEX('Policy Characteristics'!G:G,MATCH($C526,'Policy Characteristics'!$C:$C,0)))</f>
        <v>1</v>
      </c>
      <c r="N526" s="283">
        <f>IF(ISBLANK(INDEX('Policy Characteristics'!H:H,MATCH($C526,'Policy Characteristics'!$C:$C,0))),"",INDEX('Policy Characteristics'!H:H,MATCH($C526,'Policy Characteristics'!$C:$C,0)))</f>
        <v>0.01</v>
      </c>
      <c r="O526" s="275" t="str">
        <f>IF(ISBLANK(INDEX('Policy Characteristics'!I:I,MATCH($C526,'Policy Characteristics'!$C:$C,0))),"",INDEX('Policy Characteristics'!I:I,MATCH($C526,'Policy Characteristics'!$C:$C,0)))</f>
        <v>% of CO2 captured</v>
      </c>
      <c r="P526" s="275" t="str">
        <f>IF(ISBLANK(INDEX('Policy Characteristics'!J:J,MATCH($C526,'Policy Characteristics'!$C:$C,0))),"",INDEX('Policy Characteristics'!J:J,MATCH($C526,'Policy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6" s="275" t="str">
        <f>IF(ISBLANK(INDEX('Policy Characteristics'!K:K,MATCH($C526,'Policy Characteristics'!$C:$C,0))),"",INDEX('Policy Characteristics'!K:K,MATCH($C526,'Policy Characteristics'!$C:$C,0)))</f>
        <v>ccs.html#ccs</v>
      </c>
      <c r="R526" s="275" t="str">
        <f>IF(ISBLANK(INDEX('Policy Characteristics'!L:L,MATCH($C526,'Policy Characteristics'!$C:$C,0))),"",INDEX('Policy Characteristics'!L:L,MATCH($C526,'Policy Characteristics'!$C:$C,0)))</f>
        <v>carbon-capture-and-sequestration.html</v>
      </c>
    </row>
    <row r="527" spans="1:18" x14ac:dyDescent="0.25">
      <c r="A527" s="275" t="str">
        <f>IF(ISBLANK(INDEX('Policy Characteristics'!A:A,MATCH($C527,'Policy Characteristics'!$C:$C,0))),"",INDEX('Policy Characteristics'!A:A,MATCH($C527,'Policy Characteristics'!$C:$C,0)))</f>
        <v>Industry</v>
      </c>
      <c r="B527" s="284" t="str">
        <f>IF(ISBLANK(INDEX('Policy Characteristics'!B:B,MATCH($C527,'Policy Characteristics'!$C:$C,0))),"",INDEX('Policy Characteristics'!B:B,MATCH($C527,'Policy Characteristics'!$C:$C,0)))</f>
        <v>Carbon Capture and Sequestration</v>
      </c>
      <c r="C527" s="275" t="str">
        <f t="shared" si="29"/>
        <v>Industry Sector Fraction of Potential Additional CCS Achieved</v>
      </c>
      <c r="D527" s="6" t="s">
        <v>3076</v>
      </c>
      <c r="E527" s="6" t="s">
        <v>2535</v>
      </c>
      <c r="F527" t="s">
        <v>3040</v>
      </c>
      <c r="G527" s="47" t="s">
        <v>3034</v>
      </c>
      <c r="H527" s="44">
        <v>921</v>
      </c>
      <c r="I527" s="347" t="s">
        <v>44</v>
      </c>
      <c r="J527" s="276" t="str">
        <f>IF(ISBLANK(INDEX('Policy Characteristics'!D:D,MATCH($C527,'Policy Characteristics'!$C:$C,0))),"",INDEX('Policy Characteristics'!D:D,MATCH($C527,'Policy Characteristics'!$C:$C,0)))</f>
        <v>Industry CCS</v>
      </c>
      <c r="K527" s="275" t="str">
        <f>IF(ISBLANK(INDEX('Policy Characteristics'!E:E,MATCH($C527,'Policy Characteristics'!$C:$C,0))),"",INDEX('Policy Characteristics'!E:E,MATCH($C527,'Policy Characteristics'!$C:$C,0)))</f>
        <v>indst CCS</v>
      </c>
      <c r="L527" s="283">
        <f>IF(ISBLANK(INDEX('Policy Characteristics'!F:F,MATCH($C527,'Policy Characteristics'!$C:$C,0))),"",INDEX('Policy Characteristics'!F:F,MATCH($C527,'Policy Characteristics'!$C:$C,0)))</f>
        <v>0</v>
      </c>
      <c r="M527" s="283">
        <f>IF(ISBLANK(INDEX('Policy Characteristics'!G:G,MATCH($C527,'Policy Characteristics'!$C:$C,0))),"",INDEX('Policy Characteristics'!G:G,MATCH($C527,'Policy Characteristics'!$C:$C,0)))</f>
        <v>1</v>
      </c>
      <c r="N527" s="283">
        <f>IF(ISBLANK(INDEX('Policy Characteristics'!H:H,MATCH($C527,'Policy Characteristics'!$C:$C,0))),"",INDEX('Policy Characteristics'!H:H,MATCH($C527,'Policy Characteristics'!$C:$C,0)))</f>
        <v>0.01</v>
      </c>
      <c r="O527" s="275" t="str">
        <f>IF(ISBLANK(INDEX('Policy Characteristics'!I:I,MATCH($C527,'Policy Characteristics'!$C:$C,0))),"",INDEX('Policy Characteristics'!I:I,MATCH($C527,'Policy Characteristics'!$C:$C,0)))</f>
        <v>% of CO2 captured</v>
      </c>
      <c r="P527" s="275" t="str">
        <f>IF(ISBLANK(INDEX('Policy Characteristics'!J:J,MATCH($C527,'Policy Characteristics'!$C:$C,0))),"",INDEX('Policy Characteristics'!J:J,MATCH($C527,'Policy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7" s="275" t="str">
        <f>IF(ISBLANK(INDEX('Policy Characteristics'!K:K,MATCH($C527,'Policy Characteristics'!$C:$C,0))),"",INDEX('Policy Characteristics'!K:K,MATCH($C527,'Policy Characteristics'!$C:$C,0)))</f>
        <v>ccs.html#ccs</v>
      </c>
      <c r="R527" s="275" t="str">
        <f>IF(ISBLANK(INDEX('Policy Characteristics'!L:L,MATCH($C527,'Policy Characteristics'!$C:$C,0))),"",INDEX('Policy Characteristics'!L:L,MATCH($C527,'Policy Characteristics'!$C:$C,0)))</f>
        <v>carbon-capture-and-sequestration.html</v>
      </c>
    </row>
    <row r="528" spans="1:18" x14ac:dyDescent="0.25">
      <c r="A528" s="275" t="str">
        <f>IF(ISBLANK(INDEX('Policy Characteristics'!A:A,MATCH($C528,'Policy Characteristics'!$C:$C,0))),"",INDEX('Policy Characteristics'!A:A,MATCH($C528,'Policy Characteristics'!$C:$C,0)))</f>
        <v>Industry</v>
      </c>
      <c r="B528" s="284" t="str">
        <f>IF(ISBLANK(INDEX('Policy Characteristics'!B:B,MATCH($C528,'Policy Characteristics'!$C:$C,0))),"",INDEX('Policy Characteristics'!B:B,MATCH($C528,'Policy Characteristics'!$C:$C,0)))</f>
        <v>Carbon Capture and Sequestration</v>
      </c>
      <c r="C528" s="275" t="str">
        <f t="shared" si="29"/>
        <v>Industry Sector Fraction of Potential Additional CCS Achieved</v>
      </c>
      <c r="D528" s="6" t="s">
        <v>3077</v>
      </c>
      <c r="E528" s="6" t="s">
        <v>3032</v>
      </c>
      <c r="F528" t="s">
        <v>3041</v>
      </c>
      <c r="G528" s="47" t="s">
        <v>3033</v>
      </c>
      <c r="H528" s="44">
        <v>922</v>
      </c>
      <c r="I528" s="346" t="s">
        <v>43</v>
      </c>
      <c r="J528" s="276" t="str">
        <f>IF(ISBLANK(INDEX('Policy Characteristics'!D:D,MATCH($C528,'Policy Characteristics'!$C:$C,0))),"",INDEX('Policy Characteristics'!D:D,MATCH($C528,'Policy Characteristics'!$C:$C,0)))</f>
        <v>Industry CCS</v>
      </c>
      <c r="K528" s="275" t="str">
        <f>IF(ISBLANK(INDEX('Policy Characteristics'!E:E,MATCH($C528,'Policy Characteristics'!$C:$C,0))),"",INDEX('Policy Characteristics'!E:E,MATCH($C528,'Policy Characteristics'!$C:$C,0)))</f>
        <v>indst CCS</v>
      </c>
      <c r="L528" s="283">
        <f>IF(ISBLANK(INDEX('Policy Characteristics'!F:F,MATCH($C528,'Policy Characteristics'!$C:$C,0))),"",INDEX('Policy Characteristics'!F:F,MATCH($C528,'Policy Characteristics'!$C:$C,0)))</f>
        <v>0</v>
      </c>
      <c r="M528" s="283">
        <f>IF(ISBLANK(INDEX('Policy Characteristics'!G:G,MATCH($C528,'Policy Characteristics'!$C:$C,0))),"",INDEX('Policy Characteristics'!G:G,MATCH($C528,'Policy Characteristics'!$C:$C,0)))</f>
        <v>1</v>
      </c>
      <c r="N528" s="283">
        <f>IF(ISBLANK(INDEX('Policy Characteristics'!H:H,MATCH($C528,'Policy Characteristics'!$C:$C,0))),"",INDEX('Policy Characteristics'!H:H,MATCH($C528,'Policy Characteristics'!$C:$C,0)))</f>
        <v>0.01</v>
      </c>
      <c r="O528" s="275" t="str">
        <f>IF(ISBLANK(INDEX('Policy Characteristics'!I:I,MATCH($C528,'Policy Characteristics'!$C:$C,0))),"",INDEX('Policy Characteristics'!I:I,MATCH($C528,'Policy Characteristics'!$C:$C,0)))</f>
        <v>% of CO2 captured</v>
      </c>
      <c r="P528" s="275" t="str">
        <f>IF(ISBLANK(INDEX('Policy Characteristics'!J:J,MATCH($C528,'Policy Characteristics'!$C:$C,0))),"",INDEX('Policy Characteristics'!J:J,MATCH($C528,'Policy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8" s="275" t="str">
        <f>IF(ISBLANK(INDEX('Policy Characteristics'!K:K,MATCH($C528,'Policy Characteristics'!$C:$C,0))),"",INDEX('Policy Characteristics'!K:K,MATCH($C528,'Policy Characteristics'!$C:$C,0)))</f>
        <v>ccs.html#ccs</v>
      </c>
      <c r="R528" s="275" t="str">
        <f>IF(ISBLANK(INDEX('Policy Characteristics'!L:L,MATCH($C528,'Policy Characteristics'!$C:$C,0))),"",INDEX('Policy Characteristics'!L:L,MATCH($C528,'Policy Characteristics'!$C:$C,0)))</f>
        <v>carbon-capture-and-sequestration.html</v>
      </c>
    </row>
    <row r="529" spans="1:18" x14ac:dyDescent="0.25">
      <c r="A529" s="275" t="str">
        <f>IF(ISBLANK(INDEX('Policy Characteristics'!A:A,MATCH($C529,'Policy Characteristics'!$C:$C,0))),"",INDEX('Policy Characteristics'!A:A,MATCH($C529,'Policy Characteristics'!$C:$C,0)))</f>
        <v>Industry</v>
      </c>
      <c r="B529" s="284" t="str">
        <f>IF(ISBLANK(INDEX('Policy Characteristics'!B:B,MATCH($C529,'Policy Characteristics'!$C:$C,0))),"",INDEX('Policy Characteristics'!B:B,MATCH($C529,'Policy Characteristics'!$C:$C,0)))</f>
        <v>Carbon Capture and Sequestration</v>
      </c>
      <c r="C529" s="275" t="str">
        <f t="shared" si="29"/>
        <v>Industry Sector Fraction of Potential Additional CCS Achieved</v>
      </c>
      <c r="D529" s="6" t="s">
        <v>3077</v>
      </c>
      <c r="E529" s="6" t="s">
        <v>2535</v>
      </c>
      <c r="F529" t="s">
        <v>3041</v>
      </c>
      <c r="G529" s="47" t="s">
        <v>3034</v>
      </c>
      <c r="H529" s="44">
        <v>923</v>
      </c>
      <c r="I529" s="347" t="s">
        <v>44</v>
      </c>
      <c r="J529" s="276" t="str">
        <f>IF(ISBLANK(INDEX('Policy Characteristics'!D:D,MATCH($C529,'Policy Characteristics'!$C:$C,0))),"",INDEX('Policy Characteristics'!D:D,MATCH($C529,'Policy Characteristics'!$C:$C,0)))</f>
        <v>Industry CCS</v>
      </c>
      <c r="K529" s="275" t="str">
        <f>IF(ISBLANK(INDEX('Policy Characteristics'!E:E,MATCH($C529,'Policy Characteristics'!$C:$C,0))),"",INDEX('Policy Characteristics'!E:E,MATCH($C529,'Policy Characteristics'!$C:$C,0)))</f>
        <v>indst CCS</v>
      </c>
      <c r="L529" s="283">
        <f>IF(ISBLANK(INDEX('Policy Characteristics'!F:F,MATCH($C529,'Policy Characteristics'!$C:$C,0))),"",INDEX('Policy Characteristics'!F:F,MATCH($C529,'Policy Characteristics'!$C:$C,0)))</f>
        <v>0</v>
      </c>
      <c r="M529" s="283">
        <f>IF(ISBLANK(INDEX('Policy Characteristics'!G:G,MATCH($C529,'Policy Characteristics'!$C:$C,0))),"",INDEX('Policy Characteristics'!G:G,MATCH($C529,'Policy Characteristics'!$C:$C,0)))</f>
        <v>1</v>
      </c>
      <c r="N529" s="283">
        <f>IF(ISBLANK(INDEX('Policy Characteristics'!H:H,MATCH($C529,'Policy Characteristics'!$C:$C,0))),"",INDEX('Policy Characteristics'!H:H,MATCH($C529,'Policy Characteristics'!$C:$C,0)))</f>
        <v>0.01</v>
      </c>
      <c r="O529" s="275" t="str">
        <f>IF(ISBLANK(INDEX('Policy Characteristics'!I:I,MATCH($C529,'Policy Characteristics'!$C:$C,0))),"",INDEX('Policy Characteristics'!I:I,MATCH($C529,'Policy Characteristics'!$C:$C,0)))</f>
        <v>% of CO2 captured</v>
      </c>
      <c r="P529" s="275" t="str">
        <f>IF(ISBLANK(INDEX('Policy Characteristics'!J:J,MATCH($C529,'Policy Characteristics'!$C:$C,0))),"",INDEX('Policy Characteristics'!J:J,MATCH($C529,'Policy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9" s="275" t="str">
        <f>IF(ISBLANK(INDEX('Policy Characteristics'!K:K,MATCH($C529,'Policy Characteristics'!$C:$C,0))),"",INDEX('Policy Characteristics'!K:K,MATCH($C529,'Policy Characteristics'!$C:$C,0)))</f>
        <v>ccs.html#ccs</v>
      </c>
      <c r="R529" s="275" t="str">
        <f>IF(ISBLANK(INDEX('Policy Characteristics'!L:L,MATCH($C529,'Policy Characteristics'!$C:$C,0))),"",INDEX('Policy Characteristics'!L:L,MATCH($C529,'Policy Characteristics'!$C:$C,0)))</f>
        <v>carbon-capture-and-sequestration.html</v>
      </c>
    </row>
    <row r="530" spans="1:18" x14ac:dyDescent="0.25">
      <c r="A530" s="275" t="str">
        <f>IF(ISBLANK(INDEX('Policy Characteristics'!A:A,MATCH($C530,'Policy Characteristics'!$C:$C,0))),"",INDEX('Policy Characteristics'!A:A,MATCH($C530,'Policy Characteristics'!$C:$C,0)))</f>
        <v>Industry</v>
      </c>
      <c r="B530" s="284" t="str">
        <f>IF(ISBLANK(INDEX('Policy Characteristics'!B:B,MATCH($C530,'Policy Characteristics'!$C:$C,0))),"",INDEX('Policy Characteristics'!B:B,MATCH($C530,'Policy Characteristics'!$C:$C,0)))</f>
        <v>Carbon Capture and Sequestration</v>
      </c>
      <c r="C530" s="275" t="str">
        <f t="shared" si="29"/>
        <v>Industry Sector Fraction of Potential Additional CCS Achieved</v>
      </c>
      <c r="D530" s="6" t="s">
        <v>3078</v>
      </c>
      <c r="E530" s="6" t="s">
        <v>3032</v>
      </c>
      <c r="F530" t="s">
        <v>3042</v>
      </c>
      <c r="G530" s="47" t="s">
        <v>3033</v>
      </c>
      <c r="H530" s="44">
        <v>924</v>
      </c>
      <c r="I530" s="346" t="s">
        <v>43</v>
      </c>
      <c r="J530" s="276" t="str">
        <f>IF(ISBLANK(INDEX('Policy Characteristics'!D:D,MATCH($C530,'Policy Characteristics'!$C:$C,0))),"",INDEX('Policy Characteristics'!D:D,MATCH($C530,'Policy Characteristics'!$C:$C,0)))</f>
        <v>Industry CCS</v>
      </c>
      <c r="K530" s="275" t="str">
        <f>IF(ISBLANK(INDEX('Policy Characteristics'!E:E,MATCH($C530,'Policy Characteristics'!$C:$C,0))),"",INDEX('Policy Characteristics'!E:E,MATCH($C530,'Policy Characteristics'!$C:$C,0)))</f>
        <v>indst CCS</v>
      </c>
      <c r="L530" s="283">
        <f>IF(ISBLANK(INDEX('Policy Characteristics'!F:F,MATCH($C530,'Policy Characteristics'!$C:$C,0))),"",INDEX('Policy Characteristics'!F:F,MATCH($C530,'Policy Characteristics'!$C:$C,0)))</f>
        <v>0</v>
      </c>
      <c r="M530" s="283">
        <f>IF(ISBLANK(INDEX('Policy Characteristics'!G:G,MATCH($C530,'Policy Characteristics'!$C:$C,0))),"",INDEX('Policy Characteristics'!G:G,MATCH($C530,'Policy Characteristics'!$C:$C,0)))</f>
        <v>1</v>
      </c>
      <c r="N530" s="283">
        <f>IF(ISBLANK(INDEX('Policy Characteristics'!H:H,MATCH($C530,'Policy Characteristics'!$C:$C,0))),"",INDEX('Policy Characteristics'!H:H,MATCH($C530,'Policy Characteristics'!$C:$C,0)))</f>
        <v>0.01</v>
      </c>
      <c r="O530" s="275" t="str">
        <f>IF(ISBLANK(INDEX('Policy Characteristics'!I:I,MATCH($C530,'Policy Characteristics'!$C:$C,0))),"",INDEX('Policy Characteristics'!I:I,MATCH($C530,'Policy Characteristics'!$C:$C,0)))</f>
        <v>% of CO2 captured</v>
      </c>
      <c r="P530" s="275" t="str">
        <f>IF(ISBLANK(INDEX('Policy Characteristics'!J:J,MATCH($C530,'Policy Characteristics'!$C:$C,0))),"",INDEX('Policy Characteristics'!J:J,MATCH($C530,'Policy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0" s="275" t="str">
        <f>IF(ISBLANK(INDEX('Policy Characteristics'!K:K,MATCH($C530,'Policy Characteristics'!$C:$C,0))),"",INDEX('Policy Characteristics'!K:K,MATCH($C530,'Policy Characteristics'!$C:$C,0)))</f>
        <v>ccs.html#ccs</v>
      </c>
      <c r="R530" s="275" t="str">
        <f>IF(ISBLANK(INDEX('Policy Characteristics'!L:L,MATCH($C530,'Policy Characteristics'!$C:$C,0))),"",INDEX('Policy Characteristics'!L:L,MATCH($C530,'Policy Characteristics'!$C:$C,0)))</f>
        <v>carbon-capture-and-sequestration.html</v>
      </c>
    </row>
    <row r="531" spans="1:18" x14ac:dyDescent="0.25">
      <c r="A531" s="275" t="str">
        <f>IF(ISBLANK(INDEX('Policy Characteristics'!A:A,MATCH($C531,'Policy Characteristics'!$C:$C,0))),"",INDEX('Policy Characteristics'!A:A,MATCH($C531,'Policy Characteristics'!$C:$C,0)))</f>
        <v>Industry</v>
      </c>
      <c r="B531" s="284" t="str">
        <f>IF(ISBLANK(INDEX('Policy Characteristics'!B:B,MATCH($C531,'Policy Characteristics'!$C:$C,0))),"",INDEX('Policy Characteristics'!B:B,MATCH($C531,'Policy Characteristics'!$C:$C,0)))</f>
        <v>Carbon Capture and Sequestration</v>
      </c>
      <c r="C531" s="275" t="str">
        <f t="shared" ref="C531:C563" si="30">C$514</f>
        <v>Industry Sector Fraction of Potential Additional CCS Achieved</v>
      </c>
      <c r="D531" s="6" t="s">
        <v>3078</v>
      </c>
      <c r="E531" s="6" t="s">
        <v>2535</v>
      </c>
      <c r="F531" t="s">
        <v>3042</v>
      </c>
      <c r="G531" s="47" t="s">
        <v>3034</v>
      </c>
      <c r="H531" s="44">
        <v>925</v>
      </c>
      <c r="I531" s="347" t="s">
        <v>43</v>
      </c>
      <c r="J531" s="276" t="str">
        <f>IF(ISBLANK(INDEX('Policy Characteristics'!D:D,MATCH($C531,'Policy Characteristics'!$C:$C,0))),"",INDEX('Policy Characteristics'!D:D,MATCH($C531,'Policy Characteristics'!$C:$C,0)))</f>
        <v>Industry CCS</v>
      </c>
      <c r="K531" s="275" t="str">
        <f>IF(ISBLANK(INDEX('Policy Characteristics'!E:E,MATCH($C531,'Policy Characteristics'!$C:$C,0))),"",INDEX('Policy Characteristics'!E:E,MATCH($C531,'Policy Characteristics'!$C:$C,0)))</f>
        <v>indst CCS</v>
      </c>
      <c r="L531" s="283">
        <f>IF(ISBLANK(INDEX('Policy Characteristics'!F:F,MATCH($C531,'Policy Characteristics'!$C:$C,0))),"",INDEX('Policy Characteristics'!F:F,MATCH($C531,'Policy Characteristics'!$C:$C,0)))</f>
        <v>0</v>
      </c>
      <c r="M531" s="283">
        <f>IF(ISBLANK(INDEX('Policy Characteristics'!G:G,MATCH($C531,'Policy Characteristics'!$C:$C,0))),"",INDEX('Policy Characteristics'!G:G,MATCH($C531,'Policy Characteristics'!$C:$C,0)))</f>
        <v>1</v>
      </c>
      <c r="N531" s="283">
        <f>IF(ISBLANK(INDEX('Policy Characteristics'!H:H,MATCH($C531,'Policy Characteristics'!$C:$C,0))),"",INDEX('Policy Characteristics'!H:H,MATCH($C531,'Policy Characteristics'!$C:$C,0)))</f>
        <v>0.01</v>
      </c>
      <c r="O531" s="275" t="str">
        <f>IF(ISBLANK(INDEX('Policy Characteristics'!I:I,MATCH($C531,'Policy Characteristics'!$C:$C,0))),"",INDEX('Policy Characteristics'!I:I,MATCH($C531,'Policy Characteristics'!$C:$C,0)))</f>
        <v>% of CO2 captured</v>
      </c>
      <c r="P531" s="275" t="str">
        <f>IF(ISBLANK(INDEX('Policy Characteristics'!J:J,MATCH($C531,'Policy Characteristics'!$C:$C,0))),"",INDEX('Policy Characteristics'!J:J,MATCH($C531,'Policy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1" s="275" t="str">
        <f>IF(ISBLANK(INDEX('Policy Characteristics'!K:K,MATCH($C531,'Policy Characteristics'!$C:$C,0))),"",INDEX('Policy Characteristics'!K:K,MATCH($C531,'Policy Characteristics'!$C:$C,0)))</f>
        <v>ccs.html#ccs</v>
      </c>
      <c r="R531" s="275" t="str">
        <f>IF(ISBLANK(INDEX('Policy Characteristics'!L:L,MATCH($C531,'Policy Characteristics'!$C:$C,0))),"",INDEX('Policy Characteristics'!L:L,MATCH($C531,'Policy Characteristics'!$C:$C,0)))</f>
        <v>carbon-capture-and-sequestration.html</v>
      </c>
    </row>
    <row r="532" spans="1:18" x14ac:dyDescent="0.25">
      <c r="A532" s="275" t="str">
        <f>IF(ISBLANK(INDEX('Policy Characteristics'!A:A,MATCH($C532,'Policy Characteristics'!$C:$C,0))),"",INDEX('Policy Characteristics'!A:A,MATCH($C532,'Policy Characteristics'!$C:$C,0)))</f>
        <v>Industry</v>
      </c>
      <c r="B532" s="284" t="str">
        <f>IF(ISBLANK(INDEX('Policy Characteristics'!B:B,MATCH($C532,'Policy Characteristics'!$C:$C,0))),"",INDEX('Policy Characteristics'!B:B,MATCH($C532,'Policy Characteristics'!$C:$C,0)))</f>
        <v>Carbon Capture and Sequestration</v>
      </c>
      <c r="C532" s="275" t="str">
        <f t="shared" si="30"/>
        <v>Industry Sector Fraction of Potential Additional CCS Achieved</v>
      </c>
      <c r="D532" s="6" t="s">
        <v>3079</v>
      </c>
      <c r="E532" s="6" t="s">
        <v>3032</v>
      </c>
      <c r="F532" t="s">
        <v>2582</v>
      </c>
      <c r="G532" s="47" t="s">
        <v>3033</v>
      </c>
      <c r="H532" s="44">
        <v>926</v>
      </c>
      <c r="I532" s="346" t="s">
        <v>43</v>
      </c>
      <c r="J532" s="276" t="str">
        <f>IF(ISBLANK(INDEX('Policy Characteristics'!D:D,MATCH($C532,'Policy Characteristics'!$C:$C,0))),"",INDEX('Policy Characteristics'!D:D,MATCH($C532,'Policy Characteristics'!$C:$C,0)))</f>
        <v>Industry CCS</v>
      </c>
      <c r="K532" s="275" t="str">
        <f>IF(ISBLANK(INDEX('Policy Characteristics'!E:E,MATCH($C532,'Policy Characteristics'!$C:$C,0))),"",INDEX('Policy Characteristics'!E:E,MATCH($C532,'Policy Characteristics'!$C:$C,0)))</f>
        <v>indst CCS</v>
      </c>
      <c r="L532" s="283">
        <f>IF(ISBLANK(INDEX('Policy Characteristics'!F:F,MATCH($C532,'Policy Characteristics'!$C:$C,0))),"",INDEX('Policy Characteristics'!F:F,MATCH($C532,'Policy Characteristics'!$C:$C,0)))</f>
        <v>0</v>
      </c>
      <c r="M532" s="283">
        <f>IF(ISBLANK(INDEX('Policy Characteristics'!G:G,MATCH($C532,'Policy Characteristics'!$C:$C,0))),"",INDEX('Policy Characteristics'!G:G,MATCH($C532,'Policy Characteristics'!$C:$C,0)))</f>
        <v>1</v>
      </c>
      <c r="N532" s="283">
        <f>IF(ISBLANK(INDEX('Policy Characteristics'!H:H,MATCH($C532,'Policy Characteristics'!$C:$C,0))),"",INDEX('Policy Characteristics'!H:H,MATCH($C532,'Policy Characteristics'!$C:$C,0)))</f>
        <v>0.01</v>
      </c>
      <c r="O532" s="275" t="str">
        <f>IF(ISBLANK(INDEX('Policy Characteristics'!I:I,MATCH($C532,'Policy Characteristics'!$C:$C,0))),"",INDEX('Policy Characteristics'!I:I,MATCH($C532,'Policy Characteristics'!$C:$C,0)))</f>
        <v>% of CO2 captured</v>
      </c>
      <c r="P532" s="275" t="str">
        <f>IF(ISBLANK(INDEX('Policy Characteristics'!J:J,MATCH($C532,'Policy Characteristics'!$C:$C,0))),"",INDEX('Policy Characteristics'!J:J,MATCH($C532,'Policy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2" s="275" t="str">
        <f>IF(ISBLANK(INDEX('Policy Characteristics'!K:K,MATCH($C532,'Policy Characteristics'!$C:$C,0))),"",INDEX('Policy Characteristics'!K:K,MATCH($C532,'Policy Characteristics'!$C:$C,0)))</f>
        <v>ccs.html#ccs</v>
      </c>
      <c r="R532" s="275" t="str">
        <f>IF(ISBLANK(INDEX('Policy Characteristics'!L:L,MATCH($C532,'Policy Characteristics'!$C:$C,0))),"",INDEX('Policy Characteristics'!L:L,MATCH($C532,'Policy Characteristics'!$C:$C,0)))</f>
        <v>carbon-capture-and-sequestration.html</v>
      </c>
    </row>
    <row r="533" spans="1:18" x14ac:dyDescent="0.25">
      <c r="A533" s="275" t="str">
        <f>IF(ISBLANK(INDEX('Policy Characteristics'!A:A,MATCH($C533,'Policy Characteristics'!$C:$C,0))),"",INDEX('Policy Characteristics'!A:A,MATCH($C533,'Policy Characteristics'!$C:$C,0)))</f>
        <v>Industry</v>
      </c>
      <c r="B533" s="284" t="str">
        <f>IF(ISBLANK(INDEX('Policy Characteristics'!B:B,MATCH($C533,'Policy Characteristics'!$C:$C,0))),"",INDEX('Policy Characteristics'!B:B,MATCH($C533,'Policy Characteristics'!$C:$C,0)))</f>
        <v>Carbon Capture and Sequestration</v>
      </c>
      <c r="C533" s="275" t="str">
        <f t="shared" si="30"/>
        <v>Industry Sector Fraction of Potential Additional CCS Achieved</v>
      </c>
      <c r="D533" s="6" t="s">
        <v>3079</v>
      </c>
      <c r="E533" s="6" t="s">
        <v>2535</v>
      </c>
      <c r="F533" t="s">
        <v>2582</v>
      </c>
      <c r="G533" s="47" t="s">
        <v>3034</v>
      </c>
      <c r="H533" s="44">
        <v>927</v>
      </c>
      <c r="I533" s="346" t="s">
        <v>43</v>
      </c>
      <c r="J533" s="276" t="str">
        <f>IF(ISBLANK(INDEX('Policy Characteristics'!D:D,MATCH($C533,'Policy Characteristics'!$C:$C,0))),"",INDEX('Policy Characteristics'!D:D,MATCH($C533,'Policy Characteristics'!$C:$C,0)))</f>
        <v>Industry CCS</v>
      </c>
      <c r="K533" s="275" t="str">
        <f>IF(ISBLANK(INDEX('Policy Characteristics'!E:E,MATCH($C533,'Policy Characteristics'!$C:$C,0))),"",INDEX('Policy Characteristics'!E:E,MATCH($C533,'Policy Characteristics'!$C:$C,0)))</f>
        <v>indst CCS</v>
      </c>
      <c r="L533" s="283">
        <f>IF(ISBLANK(INDEX('Policy Characteristics'!F:F,MATCH($C533,'Policy Characteristics'!$C:$C,0))),"",INDEX('Policy Characteristics'!F:F,MATCH($C533,'Policy Characteristics'!$C:$C,0)))</f>
        <v>0</v>
      </c>
      <c r="M533" s="283">
        <f>IF(ISBLANK(INDEX('Policy Characteristics'!G:G,MATCH($C533,'Policy Characteristics'!$C:$C,0))),"",INDEX('Policy Characteristics'!G:G,MATCH($C533,'Policy Characteristics'!$C:$C,0)))</f>
        <v>1</v>
      </c>
      <c r="N533" s="283">
        <f>IF(ISBLANK(INDEX('Policy Characteristics'!H:H,MATCH($C533,'Policy Characteristics'!$C:$C,0))),"",INDEX('Policy Characteristics'!H:H,MATCH($C533,'Policy Characteristics'!$C:$C,0)))</f>
        <v>0.01</v>
      </c>
      <c r="O533" s="275" t="str">
        <f>IF(ISBLANK(INDEX('Policy Characteristics'!I:I,MATCH($C533,'Policy Characteristics'!$C:$C,0))),"",INDEX('Policy Characteristics'!I:I,MATCH($C533,'Policy Characteristics'!$C:$C,0)))</f>
        <v>% of CO2 captured</v>
      </c>
      <c r="P533" s="275" t="str">
        <f>IF(ISBLANK(INDEX('Policy Characteristics'!J:J,MATCH($C533,'Policy Characteristics'!$C:$C,0))),"",INDEX('Policy Characteristics'!J:J,MATCH($C533,'Policy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3" s="275" t="str">
        <f>IF(ISBLANK(INDEX('Policy Characteristics'!K:K,MATCH($C533,'Policy Characteristics'!$C:$C,0))),"",INDEX('Policy Characteristics'!K:K,MATCH($C533,'Policy Characteristics'!$C:$C,0)))</f>
        <v>ccs.html#ccs</v>
      </c>
      <c r="R533" s="275" t="str">
        <f>IF(ISBLANK(INDEX('Policy Characteristics'!L:L,MATCH($C533,'Policy Characteristics'!$C:$C,0))),"",INDEX('Policy Characteristics'!L:L,MATCH($C533,'Policy Characteristics'!$C:$C,0)))</f>
        <v>carbon-capture-and-sequestration.html</v>
      </c>
    </row>
    <row r="534" spans="1:18" x14ac:dyDescent="0.25">
      <c r="A534" s="275" t="str">
        <f>IF(ISBLANK(INDEX('Policy Characteristics'!A:A,MATCH($C534,'Policy Characteristics'!$C:$C,0))),"",INDEX('Policy Characteristics'!A:A,MATCH($C534,'Policy Characteristics'!$C:$C,0)))</f>
        <v>Industry</v>
      </c>
      <c r="B534" s="284" t="str">
        <f>IF(ISBLANK(INDEX('Policy Characteristics'!B:B,MATCH($C534,'Policy Characteristics'!$C:$C,0))),"",INDEX('Policy Characteristics'!B:B,MATCH($C534,'Policy Characteristics'!$C:$C,0)))</f>
        <v>Carbon Capture and Sequestration</v>
      </c>
      <c r="C534" s="275" t="str">
        <f t="shared" si="30"/>
        <v>Industry Sector Fraction of Potential Additional CCS Achieved</v>
      </c>
      <c r="D534" s="6" t="s">
        <v>3080</v>
      </c>
      <c r="E534" s="6" t="s">
        <v>3032</v>
      </c>
      <c r="F534" t="s">
        <v>3043</v>
      </c>
      <c r="G534" s="47" t="s">
        <v>3033</v>
      </c>
      <c r="H534" s="44">
        <v>928</v>
      </c>
      <c r="I534" s="346" t="s">
        <v>43</v>
      </c>
      <c r="J534" s="276" t="str">
        <f>IF(ISBLANK(INDEX('Policy Characteristics'!D:D,MATCH($C534,'Policy Characteristics'!$C:$C,0))),"",INDEX('Policy Characteristics'!D:D,MATCH($C534,'Policy Characteristics'!$C:$C,0)))</f>
        <v>Industry CCS</v>
      </c>
      <c r="K534" s="275" t="str">
        <f>IF(ISBLANK(INDEX('Policy Characteristics'!E:E,MATCH($C534,'Policy Characteristics'!$C:$C,0))),"",INDEX('Policy Characteristics'!E:E,MATCH($C534,'Policy Characteristics'!$C:$C,0)))</f>
        <v>indst CCS</v>
      </c>
      <c r="L534" s="283">
        <f>IF(ISBLANK(INDEX('Policy Characteristics'!F:F,MATCH($C534,'Policy Characteristics'!$C:$C,0))),"",INDEX('Policy Characteristics'!F:F,MATCH($C534,'Policy Characteristics'!$C:$C,0)))</f>
        <v>0</v>
      </c>
      <c r="M534" s="283">
        <f>IF(ISBLANK(INDEX('Policy Characteristics'!G:G,MATCH($C534,'Policy Characteristics'!$C:$C,0))),"",INDEX('Policy Characteristics'!G:G,MATCH($C534,'Policy Characteristics'!$C:$C,0)))</f>
        <v>1</v>
      </c>
      <c r="N534" s="283">
        <f>IF(ISBLANK(INDEX('Policy Characteristics'!H:H,MATCH($C534,'Policy Characteristics'!$C:$C,0))),"",INDEX('Policy Characteristics'!H:H,MATCH($C534,'Policy Characteristics'!$C:$C,0)))</f>
        <v>0.01</v>
      </c>
      <c r="O534" s="275" t="str">
        <f>IF(ISBLANK(INDEX('Policy Characteristics'!I:I,MATCH($C534,'Policy Characteristics'!$C:$C,0))),"",INDEX('Policy Characteristics'!I:I,MATCH($C534,'Policy Characteristics'!$C:$C,0)))</f>
        <v>% of CO2 captured</v>
      </c>
      <c r="P534" s="275" t="str">
        <f>IF(ISBLANK(INDEX('Policy Characteristics'!J:J,MATCH($C534,'Policy Characteristics'!$C:$C,0))),"",INDEX('Policy Characteristics'!J:J,MATCH($C534,'Policy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4" s="275" t="str">
        <f>IF(ISBLANK(INDEX('Policy Characteristics'!K:K,MATCH($C534,'Policy Characteristics'!$C:$C,0))),"",INDEX('Policy Characteristics'!K:K,MATCH($C534,'Policy Characteristics'!$C:$C,0)))</f>
        <v>ccs.html#ccs</v>
      </c>
      <c r="R534" s="275" t="str">
        <f>IF(ISBLANK(INDEX('Policy Characteristics'!L:L,MATCH($C534,'Policy Characteristics'!$C:$C,0))),"",INDEX('Policy Characteristics'!L:L,MATCH($C534,'Policy Characteristics'!$C:$C,0)))</f>
        <v>carbon-capture-and-sequestration.html</v>
      </c>
    </row>
    <row r="535" spans="1:18" x14ac:dyDescent="0.25">
      <c r="A535" s="275" t="str">
        <f>IF(ISBLANK(INDEX('Policy Characteristics'!A:A,MATCH($C535,'Policy Characteristics'!$C:$C,0))),"",INDEX('Policy Characteristics'!A:A,MATCH($C535,'Policy Characteristics'!$C:$C,0)))</f>
        <v>Industry</v>
      </c>
      <c r="B535" s="284" t="str">
        <f>IF(ISBLANK(INDEX('Policy Characteristics'!B:B,MATCH($C535,'Policy Characteristics'!$C:$C,0))),"",INDEX('Policy Characteristics'!B:B,MATCH($C535,'Policy Characteristics'!$C:$C,0)))</f>
        <v>Carbon Capture and Sequestration</v>
      </c>
      <c r="C535" s="275" t="str">
        <f t="shared" si="30"/>
        <v>Industry Sector Fraction of Potential Additional CCS Achieved</v>
      </c>
      <c r="D535" s="6" t="s">
        <v>3080</v>
      </c>
      <c r="E535" s="6" t="s">
        <v>2535</v>
      </c>
      <c r="F535" t="s">
        <v>3043</v>
      </c>
      <c r="G535" s="47" t="s">
        <v>3034</v>
      </c>
      <c r="H535" s="44">
        <v>929</v>
      </c>
      <c r="I535" s="347" t="s">
        <v>44</v>
      </c>
      <c r="J535" s="276" t="str">
        <f>IF(ISBLANK(INDEX('Policy Characteristics'!D:D,MATCH($C535,'Policy Characteristics'!$C:$C,0))),"",INDEX('Policy Characteristics'!D:D,MATCH($C535,'Policy Characteristics'!$C:$C,0)))</f>
        <v>Industry CCS</v>
      </c>
      <c r="K535" s="275" t="str">
        <f>IF(ISBLANK(INDEX('Policy Characteristics'!E:E,MATCH($C535,'Policy Characteristics'!$C:$C,0))),"",INDEX('Policy Characteristics'!E:E,MATCH($C535,'Policy Characteristics'!$C:$C,0)))</f>
        <v>indst CCS</v>
      </c>
      <c r="L535" s="283">
        <f>IF(ISBLANK(INDEX('Policy Characteristics'!F:F,MATCH($C535,'Policy Characteristics'!$C:$C,0))),"",INDEX('Policy Characteristics'!F:F,MATCH($C535,'Policy Characteristics'!$C:$C,0)))</f>
        <v>0</v>
      </c>
      <c r="M535" s="283">
        <f>IF(ISBLANK(INDEX('Policy Characteristics'!G:G,MATCH($C535,'Policy Characteristics'!$C:$C,0))),"",INDEX('Policy Characteristics'!G:G,MATCH($C535,'Policy Characteristics'!$C:$C,0)))</f>
        <v>1</v>
      </c>
      <c r="N535" s="283">
        <f>IF(ISBLANK(INDEX('Policy Characteristics'!H:H,MATCH($C535,'Policy Characteristics'!$C:$C,0))),"",INDEX('Policy Characteristics'!H:H,MATCH($C535,'Policy Characteristics'!$C:$C,0)))</f>
        <v>0.01</v>
      </c>
      <c r="O535" s="275" t="str">
        <f>IF(ISBLANK(INDEX('Policy Characteristics'!I:I,MATCH($C535,'Policy Characteristics'!$C:$C,0))),"",INDEX('Policy Characteristics'!I:I,MATCH($C535,'Policy Characteristics'!$C:$C,0)))</f>
        <v>% of CO2 captured</v>
      </c>
      <c r="P535" s="275" t="str">
        <f>IF(ISBLANK(INDEX('Policy Characteristics'!J:J,MATCH($C535,'Policy Characteristics'!$C:$C,0))),"",INDEX('Policy Characteristics'!J:J,MATCH($C535,'Policy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5" s="275" t="str">
        <f>IF(ISBLANK(INDEX('Policy Characteristics'!K:K,MATCH($C535,'Policy Characteristics'!$C:$C,0))),"",INDEX('Policy Characteristics'!K:K,MATCH($C535,'Policy Characteristics'!$C:$C,0)))</f>
        <v>ccs.html#ccs</v>
      </c>
      <c r="R535" s="275" t="str">
        <f>IF(ISBLANK(INDEX('Policy Characteristics'!L:L,MATCH($C535,'Policy Characteristics'!$C:$C,0))),"",INDEX('Policy Characteristics'!L:L,MATCH($C535,'Policy Characteristics'!$C:$C,0)))</f>
        <v>carbon-capture-and-sequestration.html</v>
      </c>
    </row>
    <row r="536" spans="1:18" x14ac:dyDescent="0.25">
      <c r="A536" s="275" t="str">
        <f>IF(ISBLANK(INDEX('Policy Characteristics'!A:A,MATCH($C536,'Policy Characteristics'!$C:$C,0))),"",INDEX('Policy Characteristics'!A:A,MATCH($C536,'Policy Characteristics'!$C:$C,0)))</f>
        <v>Industry</v>
      </c>
      <c r="B536" s="284" t="str">
        <f>IF(ISBLANK(INDEX('Policy Characteristics'!B:B,MATCH($C536,'Policy Characteristics'!$C:$C,0))),"",INDEX('Policy Characteristics'!B:B,MATCH($C536,'Policy Characteristics'!$C:$C,0)))</f>
        <v>Carbon Capture and Sequestration</v>
      </c>
      <c r="C536" s="275" t="str">
        <f t="shared" si="30"/>
        <v>Industry Sector Fraction of Potential Additional CCS Achieved</v>
      </c>
      <c r="D536" s="6" t="s">
        <v>3081</v>
      </c>
      <c r="E536" s="6" t="s">
        <v>3032</v>
      </c>
      <c r="F536" t="s">
        <v>3044</v>
      </c>
      <c r="G536" s="47" t="s">
        <v>3033</v>
      </c>
      <c r="H536" s="44">
        <v>930</v>
      </c>
      <c r="I536" s="346" t="s">
        <v>43</v>
      </c>
      <c r="J536" s="276" t="str">
        <f>IF(ISBLANK(INDEX('Policy Characteristics'!D:D,MATCH($C536,'Policy Characteristics'!$C:$C,0))),"",INDEX('Policy Characteristics'!D:D,MATCH($C536,'Policy Characteristics'!$C:$C,0)))</f>
        <v>Industry CCS</v>
      </c>
      <c r="K536" s="275" t="str">
        <f>IF(ISBLANK(INDEX('Policy Characteristics'!E:E,MATCH($C536,'Policy Characteristics'!$C:$C,0))),"",INDEX('Policy Characteristics'!E:E,MATCH($C536,'Policy Characteristics'!$C:$C,0)))</f>
        <v>indst CCS</v>
      </c>
      <c r="L536" s="283">
        <f>IF(ISBLANK(INDEX('Policy Characteristics'!F:F,MATCH($C536,'Policy Characteristics'!$C:$C,0))),"",INDEX('Policy Characteristics'!F:F,MATCH($C536,'Policy Characteristics'!$C:$C,0)))</f>
        <v>0</v>
      </c>
      <c r="M536" s="283">
        <f>IF(ISBLANK(INDEX('Policy Characteristics'!G:G,MATCH($C536,'Policy Characteristics'!$C:$C,0))),"",INDEX('Policy Characteristics'!G:G,MATCH($C536,'Policy Characteristics'!$C:$C,0)))</f>
        <v>1</v>
      </c>
      <c r="N536" s="283">
        <f>IF(ISBLANK(INDEX('Policy Characteristics'!H:H,MATCH($C536,'Policy Characteristics'!$C:$C,0))),"",INDEX('Policy Characteristics'!H:H,MATCH($C536,'Policy Characteristics'!$C:$C,0)))</f>
        <v>0.01</v>
      </c>
      <c r="O536" s="275" t="str">
        <f>IF(ISBLANK(INDEX('Policy Characteristics'!I:I,MATCH($C536,'Policy Characteristics'!$C:$C,0))),"",INDEX('Policy Characteristics'!I:I,MATCH($C536,'Policy Characteristics'!$C:$C,0)))</f>
        <v>% of CO2 captured</v>
      </c>
      <c r="P536" s="275" t="str">
        <f>IF(ISBLANK(INDEX('Policy Characteristics'!J:J,MATCH($C536,'Policy Characteristics'!$C:$C,0))),"",INDEX('Policy Characteristics'!J:J,MATCH($C536,'Policy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6" s="275" t="str">
        <f>IF(ISBLANK(INDEX('Policy Characteristics'!K:K,MATCH($C536,'Policy Characteristics'!$C:$C,0))),"",INDEX('Policy Characteristics'!K:K,MATCH($C536,'Policy Characteristics'!$C:$C,0)))</f>
        <v>ccs.html#ccs</v>
      </c>
      <c r="R536" s="275" t="str">
        <f>IF(ISBLANK(INDEX('Policy Characteristics'!L:L,MATCH($C536,'Policy Characteristics'!$C:$C,0))),"",INDEX('Policy Characteristics'!L:L,MATCH($C536,'Policy Characteristics'!$C:$C,0)))</f>
        <v>carbon-capture-and-sequestration.html</v>
      </c>
    </row>
    <row r="537" spans="1:18" x14ac:dyDescent="0.25">
      <c r="A537" s="275" t="str">
        <f>IF(ISBLANK(INDEX('Policy Characteristics'!A:A,MATCH($C537,'Policy Characteristics'!$C:$C,0))),"",INDEX('Policy Characteristics'!A:A,MATCH($C537,'Policy Characteristics'!$C:$C,0)))</f>
        <v>Industry</v>
      </c>
      <c r="B537" s="284" t="str">
        <f>IF(ISBLANK(INDEX('Policy Characteristics'!B:B,MATCH($C537,'Policy Characteristics'!$C:$C,0))),"",INDEX('Policy Characteristics'!B:B,MATCH($C537,'Policy Characteristics'!$C:$C,0)))</f>
        <v>Carbon Capture and Sequestration</v>
      </c>
      <c r="C537" s="275" t="str">
        <f t="shared" si="30"/>
        <v>Industry Sector Fraction of Potential Additional CCS Achieved</v>
      </c>
      <c r="D537" s="6" t="s">
        <v>3081</v>
      </c>
      <c r="E537" s="6" t="s">
        <v>2535</v>
      </c>
      <c r="F537" t="s">
        <v>3044</v>
      </c>
      <c r="G537" s="47" t="s">
        <v>3034</v>
      </c>
      <c r="H537" s="44">
        <v>931</v>
      </c>
      <c r="I537" s="347" t="s">
        <v>44</v>
      </c>
      <c r="J537" s="276" t="str">
        <f>IF(ISBLANK(INDEX('Policy Characteristics'!D:D,MATCH($C537,'Policy Characteristics'!$C:$C,0))),"",INDEX('Policy Characteristics'!D:D,MATCH($C537,'Policy Characteristics'!$C:$C,0)))</f>
        <v>Industry CCS</v>
      </c>
      <c r="K537" s="275" t="str">
        <f>IF(ISBLANK(INDEX('Policy Characteristics'!E:E,MATCH($C537,'Policy Characteristics'!$C:$C,0))),"",INDEX('Policy Characteristics'!E:E,MATCH($C537,'Policy Characteristics'!$C:$C,0)))</f>
        <v>indst CCS</v>
      </c>
      <c r="L537" s="283">
        <f>IF(ISBLANK(INDEX('Policy Characteristics'!F:F,MATCH($C537,'Policy Characteristics'!$C:$C,0))),"",INDEX('Policy Characteristics'!F:F,MATCH($C537,'Policy Characteristics'!$C:$C,0)))</f>
        <v>0</v>
      </c>
      <c r="M537" s="283">
        <f>IF(ISBLANK(INDEX('Policy Characteristics'!G:G,MATCH($C537,'Policy Characteristics'!$C:$C,0))),"",INDEX('Policy Characteristics'!G:G,MATCH($C537,'Policy Characteristics'!$C:$C,0)))</f>
        <v>1</v>
      </c>
      <c r="N537" s="283">
        <f>IF(ISBLANK(INDEX('Policy Characteristics'!H:H,MATCH($C537,'Policy Characteristics'!$C:$C,0))),"",INDEX('Policy Characteristics'!H:H,MATCH($C537,'Policy Characteristics'!$C:$C,0)))</f>
        <v>0.01</v>
      </c>
      <c r="O537" s="275" t="str">
        <f>IF(ISBLANK(INDEX('Policy Characteristics'!I:I,MATCH($C537,'Policy Characteristics'!$C:$C,0))),"",INDEX('Policy Characteristics'!I:I,MATCH($C537,'Policy Characteristics'!$C:$C,0)))</f>
        <v>% of CO2 captured</v>
      </c>
      <c r="P537" s="275" t="str">
        <f>IF(ISBLANK(INDEX('Policy Characteristics'!J:J,MATCH($C537,'Policy Characteristics'!$C:$C,0))),"",INDEX('Policy Characteristics'!J:J,MATCH($C537,'Policy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7" s="275" t="str">
        <f>IF(ISBLANK(INDEX('Policy Characteristics'!K:K,MATCH($C537,'Policy Characteristics'!$C:$C,0))),"",INDEX('Policy Characteristics'!K:K,MATCH($C537,'Policy Characteristics'!$C:$C,0)))</f>
        <v>ccs.html#ccs</v>
      </c>
      <c r="R537" s="275" t="str">
        <f>IF(ISBLANK(INDEX('Policy Characteristics'!L:L,MATCH($C537,'Policy Characteristics'!$C:$C,0))),"",INDEX('Policy Characteristics'!L:L,MATCH($C537,'Policy Characteristics'!$C:$C,0)))</f>
        <v>carbon-capture-and-sequestration.html</v>
      </c>
    </row>
    <row r="538" spans="1:18" x14ac:dyDescent="0.25">
      <c r="A538" s="275" t="str">
        <f>IF(ISBLANK(INDEX('Policy Characteristics'!A:A,MATCH($C538,'Policy Characteristics'!$C:$C,0))),"",INDEX('Policy Characteristics'!A:A,MATCH($C538,'Policy Characteristics'!$C:$C,0)))</f>
        <v>Industry</v>
      </c>
      <c r="B538" s="284" t="str">
        <f>IF(ISBLANK(INDEX('Policy Characteristics'!B:B,MATCH($C538,'Policy Characteristics'!$C:$C,0))),"",INDEX('Policy Characteristics'!B:B,MATCH($C538,'Policy Characteristics'!$C:$C,0)))</f>
        <v>Carbon Capture and Sequestration</v>
      </c>
      <c r="C538" s="275" t="str">
        <f t="shared" si="30"/>
        <v>Industry Sector Fraction of Potential Additional CCS Achieved</v>
      </c>
      <c r="D538" s="6" t="s">
        <v>3082</v>
      </c>
      <c r="E538" s="6" t="s">
        <v>3032</v>
      </c>
      <c r="F538" t="s">
        <v>3045</v>
      </c>
      <c r="G538" s="47" t="s">
        <v>3033</v>
      </c>
      <c r="H538" s="44">
        <v>932</v>
      </c>
      <c r="I538" s="346" t="s">
        <v>43</v>
      </c>
      <c r="J538" s="276" t="str">
        <f>IF(ISBLANK(INDEX('Policy Characteristics'!D:D,MATCH($C538,'Policy Characteristics'!$C:$C,0))),"",INDEX('Policy Characteristics'!D:D,MATCH($C538,'Policy Characteristics'!$C:$C,0)))</f>
        <v>Industry CCS</v>
      </c>
      <c r="K538" s="275" t="str">
        <f>IF(ISBLANK(INDEX('Policy Characteristics'!E:E,MATCH($C538,'Policy Characteristics'!$C:$C,0))),"",INDEX('Policy Characteristics'!E:E,MATCH($C538,'Policy Characteristics'!$C:$C,0)))</f>
        <v>indst CCS</v>
      </c>
      <c r="L538" s="283">
        <f>IF(ISBLANK(INDEX('Policy Characteristics'!F:F,MATCH($C538,'Policy Characteristics'!$C:$C,0))),"",INDEX('Policy Characteristics'!F:F,MATCH($C538,'Policy Characteristics'!$C:$C,0)))</f>
        <v>0</v>
      </c>
      <c r="M538" s="283">
        <f>IF(ISBLANK(INDEX('Policy Characteristics'!G:G,MATCH($C538,'Policy Characteristics'!$C:$C,0))),"",INDEX('Policy Characteristics'!G:G,MATCH($C538,'Policy Characteristics'!$C:$C,0)))</f>
        <v>1</v>
      </c>
      <c r="N538" s="283">
        <f>IF(ISBLANK(INDEX('Policy Characteristics'!H:H,MATCH($C538,'Policy Characteristics'!$C:$C,0))),"",INDEX('Policy Characteristics'!H:H,MATCH($C538,'Policy Characteristics'!$C:$C,0)))</f>
        <v>0.01</v>
      </c>
      <c r="O538" s="275" t="str">
        <f>IF(ISBLANK(INDEX('Policy Characteristics'!I:I,MATCH($C538,'Policy Characteristics'!$C:$C,0))),"",INDEX('Policy Characteristics'!I:I,MATCH($C538,'Policy Characteristics'!$C:$C,0)))</f>
        <v>% of CO2 captured</v>
      </c>
      <c r="P538" s="275" t="str">
        <f>IF(ISBLANK(INDEX('Policy Characteristics'!J:J,MATCH($C538,'Policy Characteristics'!$C:$C,0))),"",INDEX('Policy Characteristics'!J:J,MATCH($C538,'Policy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8" s="275" t="str">
        <f>IF(ISBLANK(INDEX('Policy Characteristics'!K:K,MATCH($C538,'Policy Characteristics'!$C:$C,0))),"",INDEX('Policy Characteristics'!K:K,MATCH($C538,'Policy Characteristics'!$C:$C,0)))</f>
        <v>ccs.html#ccs</v>
      </c>
      <c r="R538" s="275" t="str">
        <f>IF(ISBLANK(INDEX('Policy Characteristics'!L:L,MATCH($C538,'Policy Characteristics'!$C:$C,0))),"",INDEX('Policy Characteristics'!L:L,MATCH($C538,'Policy Characteristics'!$C:$C,0)))</f>
        <v>carbon-capture-and-sequestration.html</v>
      </c>
    </row>
    <row r="539" spans="1:18" x14ac:dyDescent="0.25">
      <c r="A539" s="275" t="str">
        <f>IF(ISBLANK(INDEX('Policy Characteristics'!A:A,MATCH($C539,'Policy Characteristics'!$C:$C,0))),"",INDEX('Policy Characteristics'!A:A,MATCH($C539,'Policy Characteristics'!$C:$C,0)))</f>
        <v>Industry</v>
      </c>
      <c r="B539" s="284" t="str">
        <f>IF(ISBLANK(INDEX('Policy Characteristics'!B:B,MATCH($C539,'Policy Characteristics'!$C:$C,0))),"",INDEX('Policy Characteristics'!B:B,MATCH($C539,'Policy Characteristics'!$C:$C,0)))</f>
        <v>Carbon Capture and Sequestration</v>
      </c>
      <c r="C539" s="275" t="str">
        <f t="shared" si="30"/>
        <v>Industry Sector Fraction of Potential Additional CCS Achieved</v>
      </c>
      <c r="D539" s="6" t="s">
        <v>3082</v>
      </c>
      <c r="E539" s="6" t="s">
        <v>2535</v>
      </c>
      <c r="F539" t="s">
        <v>3045</v>
      </c>
      <c r="G539" s="47" t="s">
        <v>3034</v>
      </c>
      <c r="H539" s="44">
        <v>933</v>
      </c>
      <c r="I539" s="346" t="s">
        <v>43</v>
      </c>
      <c r="J539" s="276" t="str">
        <f>IF(ISBLANK(INDEX('Policy Characteristics'!D:D,MATCH($C539,'Policy Characteristics'!$C:$C,0))),"",INDEX('Policy Characteristics'!D:D,MATCH($C539,'Policy Characteristics'!$C:$C,0)))</f>
        <v>Industry CCS</v>
      </c>
      <c r="K539" s="275" t="str">
        <f>IF(ISBLANK(INDEX('Policy Characteristics'!E:E,MATCH($C539,'Policy Characteristics'!$C:$C,0))),"",INDEX('Policy Characteristics'!E:E,MATCH($C539,'Policy Characteristics'!$C:$C,0)))</f>
        <v>indst CCS</v>
      </c>
      <c r="L539" s="283">
        <f>IF(ISBLANK(INDEX('Policy Characteristics'!F:F,MATCH($C539,'Policy Characteristics'!$C:$C,0))),"",INDEX('Policy Characteristics'!F:F,MATCH($C539,'Policy Characteristics'!$C:$C,0)))</f>
        <v>0</v>
      </c>
      <c r="M539" s="283">
        <f>IF(ISBLANK(INDEX('Policy Characteristics'!G:G,MATCH($C539,'Policy Characteristics'!$C:$C,0))),"",INDEX('Policy Characteristics'!G:G,MATCH($C539,'Policy Characteristics'!$C:$C,0)))</f>
        <v>1</v>
      </c>
      <c r="N539" s="283">
        <f>IF(ISBLANK(INDEX('Policy Characteristics'!H:H,MATCH($C539,'Policy Characteristics'!$C:$C,0))),"",INDEX('Policy Characteristics'!H:H,MATCH($C539,'Policy Characteristics'!$C:$C,0)))</f>
        <v>0.01</v>
      </c>
      <c r="O539" s="275" t="str">
        <f>IF(ISBLANK(INDEX('Policy Characteristics'!I:I,MATCH($C539,'Policy Characteristics'!$C:$C,0))),"",INDEX('Policy Characteristics'!I:I,MATCH($C539,'Policy Characteristics'!$C:$C,0)))</f>
        <v>% of CO2 captured</v>
      </c>
      <c r="P539" s="275" t="str">
        <f>IF(ISBLANK(INDEX('Policy Characteristics'!J:J,MATCH($C539,'Policy Characteristics'!$C:$C,0))),"",INDEX('Policy Characteristics'!J:J,MATCH($C539,'Policy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9" s="275" t="str">
        <f>IF(ISBLANK(INDEX('Policy Characteristics'!K:K,MATCH($C539,'Policy Characteristics'!$C:$C,0))),"",INDEX('Policy Characteristics'!K:K,MATCH($C539,'Policy Characteristics'!$C:$C,0)))</f>
        <v>ccs.html#ccs</v>
      </c>
      <c r="R539" s="275" t="str">
        <f>IF(ISBLANK(INDEX('Policy Characteristics'!L:L,MATCH($C539,'Policy Characteristics'!$C:$C,0))),"",INDEX('Policy Characteristics'!L:L,MATCH($C539,'Policy Characteristics'!$C:$C,0)))</f>
        <v>carbon-capture-and-sequestration.html</v>
      </c>
    </row>
    <row r="540" spans="1:18" x14ac:dyDescent="0.25">
      <c r="A540" s="275" t="str">
        <f>IF(ISBLANK(INDEX('Policy Characteristics'!A:A,MATCH($C540,'Policy Characteristics'!$C:$C,0))),"",INDEX('Policy Characteristics'!A:A,MATCH($C540,'Policy Characteristics'!$C:$C,0)))</f>
        <v>Industry</v>
      </c>
      <c r="B540" s="284" t="str">
        <f>IF(ISBLANK(INDEX('Policy Characteristics'!B:B,MATCH($C540,'Policy Characteristics'!$C:$C,0))),"",INDEX('Policy Characteristics'!B:B,MATCH($C540,'Policy Characteristics'!$C:$C,0)))</f>
        <v>Carbon Capture and Sequestration</v>
      </c>
      <c r="C540" s="275" t="str">
        <f t="shared" si="30"/>
        <v>Industry Sector Fraction of Potential Additional CCS Achieved</v>
      </c>
      <c r="D540" s="6" t="s">
        <v>3083</v>
      </c>
      <c r="E540" s="6" t="s">
        <v>3032</v>
      </c>
      <c r="F540" t="s">
        <v>2583</v>
      </c>
      <c r="G540" s="47" t="s">
        <v>3033</v>
      </c>
      <c r="H540" s="44">
        <v>934</v>
      </c>
      <c r="I540" s="346" t="s">
        <v>43</v>
      </c>
      <c r="J540" s="276" t="str">
        <f>IF(ISBLANK(INDEX('Policy Characteristics'!D:D,MATCH($C540,'Policy Characteristics'!$C:$C,0))),"",INDEX('Policy Characteristics'!D:D,MATCH($C540,'Policy Characteristics'!$C:$C,0)))</f>
        <v>Industry CCS</v>
      </c>
      <c r="K540" s="275" t="str">
        <f>IF(ISBLANK(INDEX('Policy Characteristics'!E:E,MATCH($C540,'Policy Characteristics'!$C:$C,0))),"",INDEX('Policy Characteristics'!E:E,MATCH($C540,'Policy Characteristics'!$C:$C,0)))</f>
        <v>indst CCS</v>
      </c>
      <c r="L540" s="283">
        <f>IF(ISBLANK(INDEX('Policy Characteristics'!F:F,MATCH($C540,'Policy Characteristics'!$C:$C,0))),"",INDEX('Policy Characteristics'!F:F,MATCH($C540,'Policy Characteristics'!$C:$C,0)))</f>
        <v>0</v>
      </c>
      <c r="M540" s="283">
        <f>IF(ISBLANK(INDEX('Policy Characteristics'!G:G,MATCH($C540,'Policy Characteristics'!$C:$C,0))),"",INDEX('Policy Characteristics'!G:G,MATCH($C540,'Policy Characteristics'!$C:$C,0)))</f>
        <v>1</v>
      </c>
      <c r="N540" s="283">
        <f>IF(ISBLANK(INDEX('Policy Characteristics'!H:H,MATCH($C540,'Policy Characteristics'!$C:$C,0))),"",INDEX('Policy Characteristics'!H:H,MATCH($C540,'Policy Characteristics'!$C:$C,0)))</f>
        <v>0.01</v>
      </c>
      <c r="O540" s="275" t="str">
        <f>IF(ISBLANK(INDEX('Policy Characteristics'!I:I,MATCH($C540,'Policy Characteristics'!$C:$C,0))),"",INDEX('Policy Characteristics'!I:I,MATCH($C540,'Policy Characteristics'!$C:$C,0)))</f>
        <v>% of CO2 captured</v>
      </c>
      <c r="P540" s="275" t="str">
        <f>IF(ISBLANK(INDEX('Policy Characteristics'!J:J,MATCH($C540,'Policy Characteristics'!$C:$C,0))),"",INDEX('Policy Characteristics'!J:J,MATCH($C540,'Policy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0" s="275" t="str">
        <f>IF(ISBLANK(INDEX('Policy Characteristics'!K:K,MATCH($C540,'Policy Characteristics'!$C:$C,0))),"",INDEX('Policy Characteristics'!K:K,MATCH($C540,'Policy Characteristics'!$C:$C,0)))</f>
        <v>ccs.html#ccs</v>
      </c>
      <c r="R540" s="275" t="str">
        <f>IF(ISBLANK(INDEX('Policy Characteristics'!L:L,MATCH($C540,'Policy Characteristics'!$C:$C,0))),"",INDEX('Policy Characteristics'!L:L,MATCH($C540,'Policy Characteristics'!$C:$C,0)))</f>
        <v>carbon-capture-and-sequestration.html</v>
      </c>
    </row>
    <row r="541" spans="1:18" x14ac:dyDescent="0.25">
      <c r="A541" s="275" t="str">
        <f>IF(ISBLANK(INDEX('Policy Characteristics'!A:A,MATCH($C541,'Policy Characteristics'!$C:$C,0))),"",INDEX('Policy Characteristics'!A:A,MATCH($C541,'Policy Characteristics'!$C:$C,0)))</f>
        <v>Industry</v>
      </c>
      <c r="B541" s="284" t="str">
        <f>IF(ISBLANK(INDEX('Policy Characteristics'!B:B,MATCH($C541,'Policy Characteristics'!$C:$C,0))),"",INDEX('Policy Characteristics'!B:B,MATCH($C541,'Policy Characteristics'!$C:$C,0)))</f>
        <v>Carbon Capture and Sequestration</v>
      </c>
      <c r="C541" s="275" t="str">
        <f t="shared" si="30"/>
        <v>Industry Sector Fraction of Potential Additional CCS Achieved</v>
      </c>
      <c r="D541" s="6" t="s">
        <v>3083</v>
      </c>
      <c r="E541" s="6" t="s">
        <v>2535</v>
      </c>
      <c r="F541" t="s">
        <v>2583</v>
      </c>
      <c r="G541" s="47" t="s">
        <v>3034</v>
      </c>
      <c r="H541" s="44">
        <v>935</v>
      </c>
      <c r="I541" s="346" t="s">
        <v>43</v>
      </c>
      <c r="J541" s="276" t="str">
        <f>IF(ISBLANK(INDEX('Policy Characteristics'!D:D,MATCH($C541,'Policy Characteristics'!$C:$C,0))),"",INDEX('Policy Characteristics'!D:D,MATCH($C541,'Policy Characteristics'!$C:$C,0)))</f>
        <v>Industry CCS</v>
      </c>
      <c r="K541" s="275" t="str">
        <f>IF(ISBLANK(INDEX('Policy Characteristics'!E:E,MATCH($C541,'Policy Characteristics'!$C:$C,0))),"",INDEX('Policy Characteristics'!E:E,MATCH($C541,'Policy Characteristics'!$C:$C,0)))</f>
        <v>indst CCS</v>
      </c>
      <c r="L541" s="283">
        <f>IF(ISBLANK(INDEX('Policy Characteristics'!F:F,MATCH($C541,'Policy Characteristics'!$C:$C,0))),"",INDEX('Policy Characteristics'!F:F,MATCH($C541,'Policy Characteristics'!$C:$C,0)))</f>
        <v>0</v>
      </c>
      <c r="M541" s="283">
        <f>IF(ISBLANK(INDEX('Policy Characteristics'!G:G,MATCH($C541,'Policy Characteristics'!$C:$C,0))),"",INDEX('Policy Characteristics'!G:G,MATCH($C541,'Policy Characteristics'!$C:$C,0)))</f>
        <v>1</v>
      </c>
      <c r="N541" s="283">
        <f>IF(ISBLANK(INDEX('Policy Characteristics'!H:H,MATCH($C541,'Policy Characteristics'!$C:$C,0))),"",INDEX('Policy Characteristics'!H:H,MATCH($C541,'Policy Characteristics'!$C:$C,0)))</f>
        <v>0.01</v>
      </c>
      <c r="O541" s="275" t="str">
        <f>IF(ISBLANK(INDEX('Policy Characteristics'!I:I,MATCH($C541,'Policy Characteristics'!$C:$C,0))),"",INDEX('Policy Characteristics'!I:I,MATCH($C541,'Policy Characteristics'!$C:$C,0)))</f>
        <v>% of CO2 captured</v>
      </c>
      <c r="P541" s="275" t="str">
        <f>IF(ISBLANK(INDEX('Policy Characteristics'!J:J,MATCH($C541,'Policy Characteristics'!$C:$C,0))),"",INDEX('Policy Characteristics'!J:J,MATCH($C541,'Policy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1" s="275" t="str">
        <f>IF(ISBLANK(INDEX('Policy Characteristics'!K:K,MATCH($C541,'Policy Characteristics'!$C:$C,0))),"",INDEX('Policy Characteristics'!K:K,MATCH($C541,'Policy Characteristics'!$C:$C,0)))</f>
        <v>ccs.html#ccs</v>
      </c>
      <c r="R541" s="275" t="str">
        <f>IF(ISBLANK(INDEX('Policy Characteristics'!L:L,MATCH($C541,'Policy Characteristics'!$C:$C,0))),"",INDEX('Policy Characteristics'!L:L,MATCH($C541,'Policy Characteristics'!$C:$C,0)))</f>
        <v>carbon-capture-and-sequestration.html</v>
      </c>
    </row>
    <row r="542" spans="1:18" x14ac:dyDescent="0.25">
      <c r="A542" s="275" t="str">
        <f>IF(ISBLANK(INDEX('Policy Characteristics'!A:A,MATCH($C542,'Policy Characteristics'!$C:$C,0))),"",INDEX('Policy Characteristics'!A:A,MATCH($C542,'Policy Characteristics'!$C:$C,0)))</f>
        <v>Industry</v>
      </c>
      <c r="B542" s="284" t="str">
        <f>IF(ISBLANK(INDEX('Policy Characteristics'!B:B,MATCH($C542,'Policy Characteristics'!$C:$C,0))),"",INDEX('Policy Characteristics'!B:B,MATCH($C542,'Policy Characteristics'!$C:$C,0)))</f>
        <v>Carbon Capture and Sequestration</v>
      </c>
      <c r="C542" s="275" t="str">
        <f t="shared" si="30"/>
        <v>Industry Sector Fraction of Potential Additional CCS Achieved</v>
      </c>
      <c r="D542" s="6" t="s">
        <v>3084</v>
      </c>
      <c r="E542" s="6" t="s">
        <v>3032</v>
      </c>
      <c r="F542" t="s">
        <v>3046</v>
      </c>
      <c r="G542" s="47" t="s">
        <v>3033</v>
      </c>
      <c r="H542" s="44">
        <v>936</v>
      </c>
      <c r="I542" s="346" t="s">
        <v>43</v>
      </c>
      <c r="J542" s="276" t="str">
        <f>IF(ISBLANK(INDEX('Policy Characteristics'!D:D,MATCH($C542,'Policy Characteristics'!$C:$C,0))),"",INDEX('Policy Characteristics'!D:D,MATCH($C542,'Policy Characteristics'!$C:$C,0)))</f>
        <v>Industry CCS</v>
      </c>
      <c r="K542" s="275" t="str">
        <f>IF(ISBLANK(INDEX('Policy Characteristics'!E:E,MATCH($C542,'Policy Characteristics'!$C:$C,0))),"",INDEX('Policy Characteristics'!E:E,MATCH($C542,'Policy Characteristics'!$C:$C,0)))</f>
        <v>indst CCS</v>
      </c>
      <c r="L542" s="283">
        <f>IF(ISBLANK(INDEX('Policy Characteristics'!F:F,MATCH($C542,'Policy Characteristics'!$C:$C,0))),"",INDEX('Policy Characteristics'!F:F,MATCH($C542,'Policy Characteristics'!$C:$C,0)))</f>
        <v>0</v>
      </c>
      <c r="M542" s="283">
        <f>IF(ISBLANK(INDEX('Policy Characteristics'!G:G,MATCH($C542,'Policy Characteristics'!$C:$C,0))),"",INDEX('Policy Characteristics'!G:G,MATCH($C542,'Policy Characteristics'!$C:$C,0)))</f>
        <v>1</v>
      </c>
      <c r="N542" s="283">
        <f>IF(ISBLANK(INDEX('Policy Characteristics'!H:H,MATCH($C542,'Policy Characteristics'!$C:$C,0))),"",INDEX('Policy Characteristics'!H:H,MATCH($C542,'Policy Characteristics'!$C:$C,0)))</f>
        <v>0.01</v>
      </c>
      <c r="O542" s="275" t="str">
        <f>IF(ISBLANK(INDEX('Policy Characteristics'!I:I,MATCH($C542,'Policy Characteristics'!$C:$C,0))),"",INDEX('Policy Characteristics'!I:I,MATCH($C542,'Policy Characteristics'!$C:$C,0)))</f>
        <v>% of CO2 captured</v>
      </c>
      <c r="P542" s="275" t="str">
        <f>IF(ISBLANK(INDEX('Policy Characteristics'!J:J,MATCH($C542,'Policy Characteristics'!$C:$C,0))),"",INDEX('Policy Characteristics'!J:J,MATCH($C542,'Policy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2" s="275" t="str">
        <f>IF(ISBLANK(INDEX('Policy Characteristics'!K:K,MATCH($C542,'Policy Characteristics'!$C:$C,0))),"",INDEX('Policy Characteristics'!K:K,MATCH($C542,'Policy Characteristics'!$C:$C,0)))</f>
        <v>ccs.html#ccs</v>
      </c>
      <c r="R542" s="275" t="str">
        <f>IF(ISBLANK(INDEX('Policy Characteristics'!L:L,MATCH($C542,'Policy Characteristics'!$C:$C,0))),"",INDEX('Policy Characteristics'!L:L,MATCH($C542,'Policy Characteristics'!$C:$C,0)))</f>
        <v>carbon-capture-and-sequestration.html</v>
      </c>
    </row>
    <row r="543" spans="1:18" x14ac:dyDescent="0.25">
      <c r="A543" s="275" t="str">
        <f>IF(ISBLANK(INDEX('Policy Characteristics'!A:A,MATCH($C543,'Policy Characteristics'!$C:$C,0))),"",INDEX('Policy Characteristics'!A:A,MATCH($C543,'Policy Characteristics'!$C:$C,0)))</f>
        <v>Industry</v>
      </c>
      <c r="B543" s="284" t="str">
        <f>IF(ISBLANK(INDEX('Policy Characteristics'!B:B,MATCH($C543,'Policy Characteristics'!$C:$C,0))),"",INDEX('Policy Characteristics'!B:B,MATCH($C543,'Policy Characteristics'!$C:$C,0)))</f>
        <v>Carbon Capture and Sequestration</v>
      </c>
      <c r="C543" s="275" t="str">
        <f t="shared" si="30"/>
        <v>Industry Sector Fraction of Potential Additional CCS Achieved</v>
      </c>
      <c r="D543" s="6" t="s">
        <v>3084</v>
      </c>
      <c r="E543" s="6" t="s">
        <v>2535</v>
      </c>
      <c r="F543" t="s">
        <v>3046</v>
      </c>
      <c r="G543" s="47" t="s">
        <v>3034</v>
      </c>
      <c r="H543" s="44">
        <v>937</v>
      </c>
      <c r="I543" s="347" t="s">
        <v>44</v>
      </c>
      <c r="J543" s="276" t="str">
        <f>IF(ISBLANK(INDEX('Policy Characteristics'!D:D,MATCH($C543,'Policy Characteristics'!$C:$C,0))),"",INDEX('Policy Characteristics'!D:D,MATCH($C543,'Policy Characteristics'!$C:$C,0)))</f>
        <v>Industry CCS</v>
      </c>
      <c r="K543" s="275" t="str">
        <f>IF(ISBLANK(INDEX('Policy Characteristics'!E:E,MATCH($C543,'Policy Characteristics'!$C:$C,0))),"",INDEX('Policy Characteristics'!E:E,MATCH($C543,'Policy Characteristics'!$C:$C,0)))</f>
        <v>indst CCS</v>
      </c>
      <c r="L543" s="283">
        <f>IF(ISBLANK(INDEX('Policy Characteristics'!F:F,MATCH($C543,'Policy Characteristics'!$C:$C,0))),"",INDEX('Policy Characteristics'!F:F,MATCH($C543,'Policy Characteristics'!$C:$C,0)))</f>
        <v>0</v>
      </c>
      <c r="M543" s="283">
        <f>IF(ISBLANK(INDEX('Policy Characteristics'!G:G,MATCH($C543,'Policy Characteristics'!$C:$C,0))),"",INDEX('Policy Characteristics'!G:G,MATCH($C543,'Policy Characteristics'!$C:$C,0)))</f>
        <v>1</v>
      </c>
      <c r="N543" s="283">
        <f>IF(ISBLANK(INDEX('Policy Characteristics'!H:H,MATCH($C543,'Policy Characteristics'!$C:$C,0))),"",INDEX('Policy Characteristics'!H:H,MATCH($C543,'Policy Characteristics'!$C:$C,0)))</f>
        <v>0.01</v>
      </c>
      <c r="O543" s="275" t="str">
        <f>IF(ISBLANK(INDEX('Policy Characteristics'!I:I,MATCH($C543,'Policy Characteristics'!$C:$C,0))),"",INDEX('Policy Characteristics'!I:I,MATCH($C543,'Policy Characteristics'!$C:$C,0)))</f>
        <v>% of CO2 captured</v>
      </c>
      <c r="P543" s="275" t="str">
        <f>IF(ISBLANK(INDEX('Policy Characteristics'!J:J,MATCH($C543,'Policy Characteristics'!$C:$C,0))),"",INDEX('Policy Characteristics'!J:J,MATCH($C543,'Policy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3" s="275" t="str">
        <f>IF(ISBLANK(INDEX('Policy Characteristics'!K:K,MATCH($C543,'Policy Characteristics'!$C:$C,0))),"",INDEX('Policy Characteristics'!K:K,MATCH($C543,'Policy Characteristics'!$C:$C,0)))</f>
        <v>ccs.html#ccs</v>
      </c>
      <c r="R543" s="275" t="str">
        <f>IF(ISBLANK(INDEX('Policy Characteristics'!L:L,MATCH($C543,'Policy Characteristics'!$C:$C,0))),"",INDEX('Policy Characteristics'!L:L,MATCH($C543,'Policy Characteristics'!$C:$C,0)))</f>
        <v>carbon-capture-and-sequestration.html</v>
      </c>
    </row>
    <row r="544" spans="1:18" x14ac:dyDescent="0.25">
      <c r="A544" s="275" t="str">
        <f>IF(ISBLANK(INDEX('Policy Characteristics'!A:A,MATCH($C544,'Policy Characteristics'!$C:$C,0))),"",INDEX('Policy Characteristics'!A:A,MATCH($C544,'Policy Characteristics'!$C:$C,0)))</f>
        <v>Industry</v>
      </c>
      <c r="B544" s="284" t="str">
        <f>IF(ISBLANK(INDEX('Policy Characteristics'!B:B,MATCH($C544,'Policy Characteristics'!$C:$C,0))),"",INDEX('Policy Characteristics'!B:B,MATCH($C544,'Policy Characteristics'!$C:$C,0)))</f>
        <v>Carbon Capture and Sequestration</v>
      </c>
      <c r="C544" s="275" t="str">
        <f t="shared" si="30"/>
        <v>Industry Sector Fraction of Potential Additional CCS Achieved</v>
      </c>
      <c r="D544" s="6" t="s">
        <v>3085</v>
      </c>
      <c r="E544" s="6" t="s">
        <v>3032</v>
      </c>
      <c r="F544" t="s">
        <v>3047</v>
      </c>
      <c r="G544" s="47" t="s">
        <v>3033</v>
      </c>
      <c r="H544" s="44">
        <v>938</v>
      </c>
      <c r="I544" s="346" t="s">
        <v>43</v>
      </c>
      <c r="J544" s="276" t="str">
        <f>IF(ISBLANK(INDEX('Policy Characteristics'!D:D,MATCH($C544,'Policy Characteristics'!$C:$C,0))),"",INDEX('Policy Characteristics'!D:D,MATCH($C544,'Policy Characteristics'!$C:$C,0)))</f>
        <v>Industry CCS</v>
      </c>
      <c r="K544" s="275" t="str">
        <f>IF(ISBLANK(INDEX('Policy Characteristics'!E:E,MATCH($C544,'Policy Characteristics'!$C:$C,0))),"",INDEX('Policy Characteristics'!E:E,MATCH($C544,'Policy Characteristics'!$C:$C,0)))</f>
        <v>indst CCS</v>
      </c>
      <c r="L544" s="283">
        <f>IF(ISBLANK(INDEX('Policy Characteristics'!F:F,MATCH($C544,'Policy Characteristics'!$C:$C,0))),"",INDEX('Policy Characteristics'!F:F,MATCH($C544,'Policy Characteristics'!$C:$C,0)))</f>
        <v>0</v>
      </c>
      <c r="M544" s="283">
        <f>IF(ISBLANK(INDEX('Policy Characteristics'!G:G,MATCH($C544,'Policy Characteristics'!$C:$C,0))),"",INDEX('Policy Characteristics'!G:G,MATCH($C544,'Policy Characteristics'!$C:$C,0)))</f>
        <v>1</v>
      </c>
      <c r="N544" s="283">
        <f>IF(ISBLANK(INDEX('Policy Characteristics'!H:H,MATCH($C544,'Policy Characteristics'!$C:$C,0))),"",INDEX('Policy Characteristics'!H:H,MATCH($C544,'Policy Characteristics'!$C:$C,0)))</f>
        <v>0.01</v>
      </c>
      <c r="O544" s="275" t="str">
        <f>IF(ISBLANK(INDEX('Policy Characteristics'!I:I,MATCH($C544,'Policy Characteristics'!$C:$C,0))),"",INDEX('Policy Characteristics'!I:I,MATCH($C544,'Policy Characteristics'!$C:$C,0)))</f>
        <v>% of CO2 captured</v>
      </c>
      <c r="P544" s="275" t="str">
        <f>IF(ISBLANK(INDEX('Policy Characteristics'!J:J,MATCH($C544,'Policy Characteristics'!$C:$C,0))),"",INDEX('Policy Characteristics'!J:J,MATCH($C544,'Policy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4" s="275" t="str">
        <f>IF(ISBLANK(INDEX('Policy Characteristics'!K:K,MATCH($C544,'Policy Characteristics'!$C:$C,0))),"",INDEX('Policy Characteristics'!K:K,MATCH($C544,'Policy Characteristics'!$C:$C,0)))</f>
        <v>ccs.html#ccs</v>
      </c>
      <c r="R544" s="275" t="str">
        <f>IF(ISBLANK(INDEX('Policy Characteristics'!L:L,MATCH($C544,'Policy Characteristics'!$C:$C,0))),"",INDEX('Policy Characteristics'!L:L,MATCH($C544,'Policy Characteristics'!$C:$C,0)))</f>
        <v>carbon-capture-and-sequestration.html</v>
      </c>
    </row>
    <row r="545" spans="1:18" x14ac:dyDescent="0.25">
      <c r="A545" s="275" t="str">
        <f>IF(ISBLANK(INDEX('Policy Characteristics'!A:A,MATCH($C545,'Policy Characteristics'!$C:$C,0))),"",INDEX('Policy Characteristics'!A:A,MATCH($C545,'Policy Characteristics'!$C:$C,0)))</f>
        <v>Industry</v>
      </c>
      <c r="B545" s="284" t="str">
        <f>IF(ISBLANK(INDEX('Policy Characteristics'!B:B,MATCH($C545,'Policy Characteristics'!$C:$C,0))),"",INDEX('Policy Characteristics'!B:B,MATCH($C545,'Policy Characteristics'!$C:$C,0)))</f>
        <v>Carbon Capture and Sequestration</v>
      </c>
      <c r="C545" s="275" t="str">
        <f t="shared" si="30"/>
        <v>Industry Sector Fraction of Potential Additional CCS Achieved</v>
      </c>
      <c r="D545" s="6" t="s">
        <v>3085</v>
      </c>
      <c r="E545" s="6" t="s">
        <v>2535</v>
      </c>
      <c r="F545" t="s">
        <v>3047</v>
      </c>
      <c r="G545" s="47" t="s">
        <v>3034</v>
      </c>
      <c r="H545" s="44">
        <v>939</v>
      </c>
      <c r="I545" s="347" t="s">
        <v>44</v>
      </c>
      <c r="J545" s="276" t="str">
        <f>IF(ISBLANK(INDEX('Policy Characteristics'!D:D,MATCH($C545,'Policy Characteristics'!$C:$C,0))),"",INDEX('Policy Characteristics'!D:D,MATCH($C545,'Policy Characteristics'!$C:$C,0)))</f>
        <v>Industry CCS</v>
      </c>
      <c r="K545" s="275" t="str">
        <f>IF(ISBLANK(INDEX('Policy Characteristics'!E:E,MATCH($C545,'Policy Characteristics'!$C:$C,0))),"",INDEX('Policy Characteristics'!E:E,MATCH($C545,'Policy Characteristics'!$C:$C,0)))</f>
        <v>indst CCS</v>
      </c>
      <c r="L545" s="283">
        <f>IF(ISBLANK(INDEX('Policy Characteristics'!F:F,MATCH($C545,'Policy Characteristics'!$C:$C,0))),"",INDEX('Policy Characteristics'!F:F,MATCH($C545,'Policy Characteristics'!$C:$C,0)))</f>
        <v>0</v>
      </c>
      <c r="M545" s="283">
        <f>IF(ISBLANK(INDEX('Policy Characteristics'!G:G,MATCH($C545,'Policy Characteristics'!$C:$C,0))),"",INDEX('Policy Characteristics'!G:G,MATCH($C545,'Policy Characteristics'!$C:$C,0)))</f>
        <v>1</v>
      </c>
      <c r="N545" s="283">
        <f>IF(ISBLANK(INDEX('Policy Characteristics'!H:H,MATCH($C545,'Policy Characteristics'!$C:$C,0))),"",INDEX('Policy Characteristics'!H:H,MATCH($C545,'Policy Characteristics'!$C:$C,0)))</f>
        <v>0.01</v>
      </c>
      <c r="O545" s="275" t="str">
        <f>IF(ISBLANK(INDEX('Policy Characteristics'!I:I,MATCH($C545,'Policy Characteristics'!$C:$C,0))),"",INDEX('Policy Characteristics'!I:I,MATCH($C545,'Policy Characteristics'!$C:$C,0)))</f>
        <v>% of CO2 captured</v>
      </c>
      <c r="P545" s="275" t="str">
        <f>IF(ISBLANK(INDEX('Policy Characteristics'!J:J,MATCH($C545,'Policy Characteristics'!$C:$C,0))),"",INDEX('Policy Characteristics'!J:J,MATCH($C545,'Policy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5" s="275" t="str">
        <f>IF(ISBLANK(INDEX('Policy Characteristics'!K:K,MATCH($C545,'Policy Characteristics'!$C:$C,0))),"",INDEX('Policy Characteristics'!K:K,MATCH($C545,'Policy Characteristics'!$C:$C,0)))</f>
        <v>ccs.html#ccs</v>
      </c>
      <c r="R545" s="275" t="str">
        <f>IF(ISBLANK(INDEX('Policy Characteristics'!L:L,MATCH($C545,'Policy Characteristics'!$C:$C,0))),"",INDEX('Policy Characteristics'!L:L,MATCH($C545,'Policy Characteristics'!$C:$C,0)))</f>
        <v>carbon-capture-and-sequestration.html</v>
      </c>
    </row>
    <row r="546" spans="1:18" x14ac:dyDescent="0.25">
      <c r="A546" s="275" t="str">
        <f>IF(ISBLANK(INDEX('Policy Characteristics'!A:A,MATCH($C546,'Policy Characteristics'!$C:$C,0))),"",INDEX('Policy Characteristics'!A:A,MATCH($C546,'Policy Characteristics'!$C:$C,0)))</f>
        <v>Industry</v>
      </c>
      <c r="B546" s="284" t="str">
        <f>IF(ISBLANK(INDEX('Policy Characteristics'!B:B,MATCH($C546,'Policy Characteristics'!$C:$C,0))),"",INDEX('Policy Characteristics'!B:B,MATCH($C546,'Policy Characteristics'!$C:$C,0)))</f>
        <v>Carbon Capture and Sequestration</v>
      </c>
      <c r="C546" s="275" t="str">
        <f t="shared" si="30"/>
        <v>Industry Sector Fraction of Potential Additional CCS Achieved</v>
      </c>
      <c r="D546" s="6" t="s">
        <v>3086</v>
      </c>
      <c r="E546" s="6" t="s">
        <v>3032</v>
      </c>
      <c r="F546" t="s">
        <v>3048</v>
      </c>
      <c r="G546" s="47" t="s">
        <v>3033</v>
      </c>
      <c r="H546" s="44">
        <v>940</v>
      </c>
      <c r="I546" s="346" t="s">
        <v>43</v>
      </c>
      <c r="J546" s="276" t="str">
        <f>IF(ISBLANK(INDEX('Policy Characteristics'!D:D,MATCH($C546,'Policy Characteristics'!$C:$C,0))),"",INDEX('Policy Characteristics'!D:D,MATCH($C546,'Policy Characteristics'!$C:$C,0)))</f>
        <v>Industry CCS</v>
      </c>
      <c r="K546" s="275" t="str">
        <f>IF(ISBLANK(INDEX('Policy Characteristics'!E:E,MATCH($C546,'Policy Characteristics'!$C:$C,0))),"",INDEX('Policy Characteristics'!E:E,MATCH($C546,'Policy Characteristics'!$C:$C,0)))</f>
        <v>indst CCS</v>
      </c>
      <c r="L546" s="283">
        <f>IF(ISBLANK(INDEX('Policy Characteristics'!F:F,MATCH($C546,'Policy Characteristics'!$C:$C,0))),"",INDEX('Policy Characteristics'!F:F,MATCH($C546,'Policy Characteristics'!$C:$C,0)))</f>
        <v>0</v>
      </c>
      <c r="M546" s="283">
        <f>IF(ISBLANK(INDEX('Policy Characteristics'!G:G,MATCH($C546,'Policy Characteristics'!$C:$C,0))),"",INDEX('Policy Characteristics'!G:G,MATCH($C546,'Policy Characteristics'!$C:$C,0)))</f>
        <v>1</v>
      </c>
      <c r="N546" s="283">
        <f>IF(ISBLANK(INDEX('Policy Characteristics'!H:H,MATCH($C546,'Policy Characteristics'!$C:$C,0))),"",INDEX('Policy Characteristics'!H:H,MATCH($C546,'Policy Characteristics'!$C:$C,0)))</f>
        <v>0.01</v>
      </c>
      <c r="O546" s="275" t="str">
        <f>IF(ISBLANK(INDEX('Policy Characteristics'!I:I,MATCH($C546,'Policy Characteristics'!$C:$C,0))),"",INDEX('Policy Characteristics'!I:I,MATCH($C546,'Policy Characteristics'!$C:$C,0)))</f>
        <v>% of CO2 captured</v>
      </c>
      <c r="P546" s="275" t="str">
        <f>IF(ISBLANK(INDEX('Policy Characteristics'!J:J,MATCH($C546,'Policy Characteristics'!$C:$C,0))),"",INDEX('Policy Characteristics'!J:J,MATCH($C546,'Policy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6" s="275" t="str">
        <f>IF(ISBLANK(INDEX('Policy Characteristics'!K:K,MATCH($C546,'Policy Characteristics'!$C:$C,0))),"",INDEX('Policy Characteristics'!K:K,MATCH($C546,'Policy Characteristics'!$C:$C,0)))</f>
        <v>ccs.html#ccs</v>
      </c>
      <c r="R546" s="275" t="str">
        <f>IF(ISBLANK(INDEX('Policy Characteristics'!L:L,MATCH($C546,'Policy Characteristics'!$C:$C,0))),"",INDEX('Policy Characteristics'!L:L,MATCH($C546,'Policy Characteristics'!$C:$C,0)))</f>
        <v>carbon-capture-and-sequestration.html</v>
      </c>
    </row>
    <row r="547" spans="1:18" x14ac:dyDescent="0.25">
      <c r="A547" s="275" t="str">
        <f>IF(ISBLANK(INDEX('Policy Characteristics'!A:A,MATCH($C547,'Policy Characteristics'!$C:$C,0))),"",INDEX('Policy Characteristics'!A:A,MATCH($C547,'Policy Characteristics'!$C:$C,0)))</f>
        <v>Industry</v>
      </c>
      <c r="B547" s="284" t="str">
        <f>IF(ISBLANK(INDEX('Policy Characteristics'!B:B,MATCH($C547,'Policy Characteristics'!$C:$C,0))),"",INDEX('Policy Characteristics'!B:B,MATCH($C547,'Policy Characteristics'!$C:$C,0)))</f>
        <v>Carbon Capture and Sequestration</v>
      </c>
      <c r="C547" s="275" t="str">
        <f t="shared" si="30"/>
        <v>Industry Sector Fraction of Potential Additional CCS Achieved</v>
      </c>
      <c r="D547" s="6" t="s">
        <v>3086</v>
      </c>
      <c r="E547" s="6" t="s">
        <v>2535</v>
      </c>
      <c r="F547" t="s">
        <v>3048</v>
      </c>
      <c r="G547" s="47" t="s">
        <v>3034</v>
      </c>
      <c r="H547" s="44">
        <v>941</v>
      </c>
      <c r="I547" s="347" t="s">
        <v>44</v>
      </c>
      <c r="J547" s="276" t="str">
        <f>IF(ISBLANK(INDEX('Policy Characteristics'!D:D,MATCH($C547,'Policy Characteristics'!$C:$C,0))),"",INDEX('Policy Characteristics'!D:D,MATCH($C547,'Policy Characteristics'!$C:$C,0)))</f>
        <v>Industry CCS</v>
      </c>
      <c r="K547" s="275" t="str">
        <f>IF(ISBLANK(INDEX('Policy Characteristics'!E:E,MATCH($C547,'Policy Characteristics'!$C:$C,0))),"",INDEX('Policy Characteristics'!E:E,MATCH($C547,'Policy Characteristics'!$C:$C,0)))</f>
        <v>indst CCS</v>
      </c>
      <c r="L547" s="283">
        <f>IF(ISBLANK(INDEX('Policy Characteristics'!F:F,MATCH($C547,'Policy Characteristics'!$C:$C,0))),"",INDEX('Policy Characteristics'!F:F,MATCH($C547,'Policy Characteristics'!$C:$C,0)))</f>
        <v>0</v>
      </c>
      <c r="M547" s="283">
        <f>IF(ISBLANK(INDEX('Policy Characteristics'!G:G,MATCH($C547,'Policy Characteristics'!$C:$C,0))),"",INDEX('Policy Characteristics'!G:G,MATCH($C547,'Policy Characteristics'!$C:$C,0)))</f>
        <v>1</v>
      </c>
      <c r="N547" s="283">
        <f>IF(ISBLANK(INDEX('Policy Characteristics'!H:H,MATCH($C547,'Policy Characteristics'!$C:$C,0))),"",INDEX('Policy Characteristics'!H:H,MATCH($C547,'Policy Characteristics'!$C:$C,0)))</f>
        <v>0.01</v>
      </c>
      <c r="O547" s="275" t="str">
        <f>IF(ISBLANK(INDEX('Policy Characteristics'!I:I,MATCH($C547,'Policy Characteristics'!$C:$C,0))),"",INDEX('Policy Characteristics'!I:I,MATCH($C547,'Policy Characteristics'!$C:$C,0)))</f>
        <v>% of CO2 captured</v>
      </c>
      <c r="P547" s="275" t="str">
        <f>IF(ISBLANK(INDEX('Policy Characteristics'!J:J,MATCH($C547,'Policy Characteristics'!$C:$C,0))),"",INDEX('Policy Characteristics'!J:J,MATCH($C547,'Policy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7" s="275" t="str">
        <f>IF(ISBLANK(INDEX('Policy Characteristics'!K:K,MATCH($C547,'Policy Characteristics'!$C:$C,0))),"",INDEX('Policy Characteristics'!K:K,MATCH($C547,'Policy Characteristics'!$C:$C,0)))</f>
        <v>ccs.html#ccs</v>
      </c>
      <c r="R547" s="275" t="str">
        <f>IF(ISBLANK(INDEX('Policy Characteristics'!L:L,MATCH($C547,'Policy Characteristics'!$C:$C,0))),"",INDEX('Policy Characteristics'!L:L,MATCH($C547,'Policy Characteristics'!$C:$C,0)))</f>
        <v>carbon-capture-and-sequestration.html</v>
      </c>
    </row>
    <row r="548" spans="1:18" x14ac:dyDescent="0.25">
      <c r="A548" s="275" t="str">
        <f>IF(ISBLANK(INDEX('Policy Characteristics'!A:A,MATCH($C548,'Policy Characteristics'!$C:$C,0))),"",INDEX('Policy Characteristics'!A:A,MATCH($C548,'Policy Characteristics'!$C:$C,0)))</f>
        <v>Industry</v>
      </c>
      <c r="B548" s="284" t="str">
        <f>IF(ISBLANK(INDEX('Policy Characteristics'!B:B,MATCH($C548,'Policy Characteristics'!$C:$C,0))),"",INDEX('Policy Characteristics'!B:B,MATCH($C548,'Policy Characteristics'!$C:$C,0)))</f>
        <v>Carbon Capture and Sequestration</v>
      </c>
      <c r="C548" s="275" t="str">
        <f t="shared" si="30"/>
        <v>Industry Sector Fraction of Potential Additional CCS Achieved</v>
      </c>
      <c r="D548" s="6" t="s">
        <v>3087</v>
      </c>
      <c r="E548" s="6" t="s">
        <v>3032</v>
      </c>
      <c r="F548" t="s">
        <v>3049</v>
      </c>
      <c r="G548" s="47" t="s">
        <v>3033</v>
      </c>
      <c r="H548" s="44">
        <v>942</v>
      </c>
      <c r="I548" s="346" t="s">
        <v>43</v>
      </c>
      <c r="J548" s="276" t="str">
        <f>IF(ISBLANK(INDEX('Policy Characteristics'!D:D,MATCH($C548,'Policy Characteristics'!$C:$C,0))),"",INDEX('Policy Characteristics'!D:D,MATCH($C548,'Policy Characteristics'!$C:$C,0)))</f>
        <v>Industry CCS</v>
      </c>
      <c r="K548" s="275" t="str">
        <f>IF(ISBLANK(INDEX('Policy Characteristics'!E:E,MATCH($C548,'Policy Characteristics'!$C:$C,0))),"",INDEX('Policy Characteristics'!E:E,MATCH($C548,'Policy Characteristics'!$C:$C,0)))</f>
        <v>indst CCS</v>
      </c>
      <c r="L548" s="283">
        <f>IF(ISBLANK(INDEX('Policy Characteristics'!F:F,MATCH($C548,'Policy Characteristics'!$C:$C,0))),"",INDEX('Policy Characteristics'!F:F,MATCH($C548,'Policy Characteristics'!$C:$C,0)))</f>
        <v>0</v>
      </c>
      <c r="M548" s="283">
        <f>IF(ISBLANK(INDEX('Policy Characteristics'!G:G,MATCH($C548,'Policy Characteristics'!$C:$C,0))),"",INDEX('Policy Characteristics'!G:G,MATCH($C548,'Policy Characteristics'!$C:$C,0)))</f>
        <v>1</v>
      </c>
      <c r="N548" s="283">
        <f>IF(ISBLANK(INDEX('Policy Characteristics'!H:H,MATCH($C548,'Policy Characteristics'!$C:$C,0))),"",INDEX('Policy Characteristics'!H:H,MATCH($C548,'Policy Characteristics'!$C:$C,0)))</f>
        <v>0.01</v>
      </c>
      <c r="O548" s="275" t="str">
        <f>IF(ISBLANK(INDEX('Policy Characteristics'!I:I,MATCH($C548,'Policy Characteristics'!$C:$C,0))),"",INDEX('Policy Characteristics'!I:I,MATCH($C548,'Policy Characteristics'!$C:$C,0)))</f>
        <v>% of CO2 captured</v>
      </c>
      <c r="P548" s="275" t="str">
        <f>IF(ISBLANK(INDEX('Policy Characteristics'!J:J,MATCH($C548,'Policy Characteristics'!$C:$C,0))),"",INDEX('Policy Characteristics'!J:J,MATCH($C548,'Policy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8" s="275" t="str">
        <f>IF(ISBLANK(INDEX('Policy Characteristics'!K:K,MATCH($C548,'Policy Characteristics'!$C:$C,0))),"",INDEX('Policy Characteristics'!K:K,MATCH($C548,'Policy Characteristics'!$C:$C,0)))</f>
        <v>ccs.html#ccs</v>
      </c>
      <c r="R548" s="275" t="str">
        <f>IF(ISBLANK(INDEX('Policy Characteristics'!L:L,MATCH($C548,'Policy Characteristics'!$C:$C,0))),"",INDEX('Policy Characteristics'!L:L,MATCH($C548,'Policy Characteristics'!$C:$C,0)))</f>
        <v>carbon-capture-and-sequestration.html</v>
      </c>
    </row>
    <row r="549" spans="1:18" x14ac:dyDescent="0.25">
      <c r="A549" s="275" t="str">
        <f>IF(ISBLANK(INDEX('Policy Characteristics'!A:A,MATCH($C549,'Policy Characteristics'!$C:$C,0))),"",INDEX('Policy Characteristics'!A:A,MATCH($C549,'Policy Characteristics'!$C:$C,0)))</f>
        <v>Industry</v>
      </c>
      <c r="B549" s="284" t="str">
        <f>IF(ISBLANK(INDEX('Policy Characteristics'!B:B,MATCH($C549,'Policy Characteristics'!$C:$C,0))),"",INDEX('Policy Characteristics'!B:B,MATCH($C549,'Policy Characteristics'!$C:$C,0)))</f>
        <v>Carbon Capture and Sequestration</v>
      </c>
      <c r="C549" s="275" t="str">
        <f t="shared" si="30"/>
        <v>Industry Sector Fraction of Potential Additional CCS Achieved</v>
      </c>
      <c r="D549" s="6" t="s">
        <v>3087</v>
      </c>
      <c r="E549" s="6" t="s">
        <v>2535</v>
      </c>
      <c r="F549" t="s">
        <v>3049</v>
      </c>
      <c r="G549" s="47" t="s">
        <v>3034</v>
      </c>
      <c r="H549" s="44">
        <v>943</v>
      </c>
      <c r="I549" s="347" t="s">
        <v>44</v>
      </c>
      <c r="J549" s="276" t="str">
        <f>IF(ISBLANK(INDEX('Policy Characteristics'!D:D,MATCH($C549,'Policy Characteristics'!$C:$C,0))),"",INDEX('Policy Characteristics'!D:D,MATCH($C549,'Policy Characteristics'!$C:$C,0)))</f>
        <v>Industry CCS</v>
      </c>
      <c r="K549" s="275" t="str">
        <f>IF(ISBLANK(INDEX('Policy Characteristics'!E:E,MATCH($C549,'Policy Characteristics'!$C:$C,0))),"",INDEX('Policy Characteristics'!E:E,MATCH($C549,'Policy Characteristics'!$C:$C,0)))</f>
        <v>indst CCS</v>
      </c>
      <c r="L549" s="283">
        <f>IF(ISBLANK(INDEX('Policy Characteristics'!F:F,MATCH($C549,'Policy Characteristics'!$C:$C,0))),"",INDEX('Policy Characteristics'!F:F,MATCH($C549,'Policy Characteristics'!$C:$C,0)))</f>
        <v>0</v>
      </c>
      <c r="M549" s="283">
        <f>IF(ISBLANK(INDEX('Policy Characteristics'!G:G,MATCH($C549,'Policy Characteristics'!$C:$C,0))),"",INDEX('Policy Characteristics'!G:G,MATCH($C549,'Policy Characteristics'!$C:$C,0)))</f>
        <v>1</v>
      </c>
      <c r="N549" s="283">
        <f>IF(ISBLANK(INDEX('Policy Characteristics'!H:H,MATCH($C549,'Policy Characteristics'!$C:$C,0))),"",INDEX('Policy Characteristics'!H:H,MATCH($C549,'Policy Characteristics'!$C:$C,0)))</f>
        <v>0.01</v>
      </c>
      <c r="O549" s="275" t="str">
        <f>IF(ISBLANK(INDEX('Policy Characteristics'!I:I,MATCH($C549,'Policy Characteristics'!$C:$C,0))),"",INDEX('Policy Characteristics'!I:I,MATCH($C549,'Policy Characteristics'!$C:$C,0)))</f>
        <v>% of CO2 captured</v>
      </c>
      <c r="P549" s="275" t="str">
        <f>IF(ISBLANK(INDEX('Policy Characteristics'!J:J,MATCH($C549,'Policy Characteristics'!$C:$C,0))),"",INDEX('Policy Characteristics'!J:J,MATCH($C549,'Policy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9" s="275" t="str">
        <f>IF(ISBLANK(INDEX('Policy Characteristics'!K:K,MATCH($C549,'Policy Characteristics'!$C:$C,0))),"",INDEX('Policy Characteristics'!K:K,MATCH($C549,'Policy Characteristics'!$C:$C,0)))</f>
        <v>ccs.html#ccs</v>
      </c>
      <c r="R549" s="275" t="str">
        <f>IF(ISBLANK(INDEX('Policy Characteristics'!L:L,MATCH($C549,'Policy Characteristics'!$C:$C,0))),"",INDEX('Policy Characteristics'!L:L,MATCH($C549,'Policy Characteristics'!$C:$C,0)))</f>
        <v>carbon-capture-and-sequestration.html</v>
      </c>
    </row>
    <row r="550" spans="1:18" x14ac:dyDescent="0.25">
      <c r="A550" s="275" t="str">
        <f>IF(ISBLANK(INDEX('Policy Characteristics'!A:A,MATCH($C550,'Policy Characteristics'!$C:$C,0))),"",INDEX('Policy Characteristics'!A:A,MATCH($C550,'Policy Characteristics'!$C:$C,0)))</f>
        <v>Industry</v>
      </c>
      <c r="B550" s="284" t="str">
        <f>IF(ISBLANK(INDEX('Policy Characteristics'!B:B,MATCH($C550,'Policy Characteristics'!$C:$C,0))),"",INDEX('Policy Characteristics'!B:B,MATCH($C550,'Policy Characteristics'!$C:$C,0)))</f>
        <v>Carbon Capture and Sequestration</v>
      </c>
      <c r="C550" s="275" t="str">
        <f t="shared" si="30"/>
        <v>Industry Sector Fraction of Potential Additional CCS Achieved</v>
      </c>
      <c r="D550" s="6" t="s">
        <v>3088</v>
      </c>
      <c r="E550" s="6" t="s">
        <v>3032</v>
      </c>
      <c r="F550" t="s">
        <v>3050</v>
      </c>
      <c r="G550" s="47" t="s">
        <v>3033</v>
      </c>
      <c r="H550" s="44">
        <v>944</v>
      </c>
      <c r="I550" s="346" t="s">
        <v>43</v>
      </c>
      <c r="J550" s="276" t="str">
        <f>IF(ISBLANK(INDEX('Policy Characteristics'!D:D,MATCH($C550,'Policy Characteristics'!$C:$C,0))),"",INDEX('Policy Characteristics'!D:D,MATCH($C550,'Policy Characteristics'!$C:$C,0)))</f>
        <v>Industry CCS</v>
      </c>
      <c r="K550" s="275" t="str">
        <f>IF(ISBLANK(INDEX('Policy Characteristics'!E:E,MATCH($C550,'Policy Characteristics'!$C:$C,0))),"",INDEX('Policy Characteristics'!E:E,MATCH($C550,'Policy Characteristics'!$C:$C,0)))</f>
        <v>indst CCS</v>
      </c>
      <c r="L550" s="283">
        <f>IF(ISBLANK(INDEX('Policy Characteristics'!F:F,MATCH($C550,'Policy Characteristics'!$C:$C,0))),"",INDEX('Policy Characteristics'!F:F,MATCH($C550,'Policy Characteristics'!$C:$C,0)))</f>
        <v>0</v>
      </c>
      <c r="M550" s="283">
        <f>IF(ISBLANK(INDEX('Policy Characteristics'!G:G,MATCH($C550,'Policy Characteristics'!$C:$C,0))),"",INDEX('Policy Characteristics'!G:G,MATCH($C550,'Policy Characteristics'!$C:$C,0)))</f>
        <v>1</v>
      </c>
      <c r="N550" s="283">
        <f>IF(ISBLANK(INDEX('Policy Characteristics'!H:H,MATCH($C550,'Policy Characteristics'!$C:$C,0))),"",INDEX('Policy Characteristics'!H:H,MATCH($C550,'Policy Characteristics'!$C:$C,0)))</f>
        <v>0.01</v>
      </c>
      <c r="O550" s="275" t="str">
        <f>IF(ISBLANK(INDEX('Policy Characteristics'!I:I,MATCH($C550,'Policy Characteristics'!$C:$C,0))),"",INDEX('Policy Characteristics'!I:I,MATCH($C550,'Policy Characteristics'!$C:$C,0)))</f>
        <v>% of CO2 captured</v>
      </c>
      <c r="P550" s="275" t="str">
        <f>IF(ISBLANK(INDEX('Policy Characteristics'!J:J,MATCH($C550,'Policy Characteristics'!$C:$C,0))),"",INDEX('Policy Characteristics'!J:J,MATCH($C550,'Policy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0" s="275" t="str">
        <f>IF(ISBLANK(INDEX('Policy Characteristics'!K:K,MATCH($C550,'Policy Characteristics'!$C:$C,0))),"",INDEX('Policy Characteristics'!K:K,MATCH($C550,'Policy Characteristics'!$C:$C,0)))</f>
        <v>ccs.html#ccs</v>
      </c>
      <c r="R550" s="275" t="str">
        <f>IF(ISBLANK(INDEX('Policy Characteristics'!L:L,MATCH($C550,'Policy Characteristics'!$C:$C,0))),"",INDEX('Policy Characteristics'!L:L,MATCH($C550,'Policy Characteristics'!$C:$C,0)))</f>
        <v>carbon-capture-and-sequestration.html</v>
      </c>
    </row>
    <row r="551" spans="1:18" x14ac:dyDescent="0.25">
      <c r="A551" s="275" t="str">
        <f>IF(ISBLANK(INDEX('Policy Characteristics'!A:A,MATCH($C551,'Policy Characteristics'!$C:$C,0))),"",INDEX('Policy Characteristics'!A:A,MATCH($C551,'Policy Characteristics'!$C:$C,0)))</f>
        <v>Industry</v>
      </c>
      <c r="B551" s="284" t="str">
        <f>IF(ISBLANK(INDEX('Policy Characteristics'!B:B,MATCH($C551,'Policy Characteristics'!$C:$C,0))),"",INDEX('Policy Characteristics'!B:B,MATCH($C551,'Policy Characteristics'!$C:$C,0)))</f>
        <v>Carbon Capture and Sequestration</v>
      </c>
      <c r="C551" s="275" t="str">
        <f t="shared" si="30"/>
        <v>Industry Sector Fraction of Potential Additional CCS Achieved</v>
      </c>
      <c r="D551" s="6" t="s">
        <v>3088</v>
      </c>
      <c r="E551" s="6" t="s">
        <v>2535</v>
      </c>
      <c r="F551" t="s">
        <v>3050</v>
      </c>
      <c r="G551" s="47" t="s">
        <v>3034</v>
      </c>
      <c r="H551" s="44">
        <v>945</v>
      </c>
      <c r="I551" s="347" t="s">
        <v>44</v>
      </c>
      <c r="J551" s="276" t="str">
        <f>IF(ISBLANK(INDEX('Policy Characteristics'!D:D,MATCH($C551,'Policy Characteristics'!$C:$C,0))),"",INDEX('Policy Characteristics'!D:D,MATCH($C551,'Policy Characteristics'!$C:$C,0)))</f>
        <v>Industry CCS</v>
      </c>
      <c r="K551" s="275" t="str">
        <f>IF(ISBLANK(INDEX('Policy Characteristics'!E:E,MATCH($C551,'Policy Characteristics'!$C:$C,0))),"",INDEX('Policy Characteristics'!E:E,MATCH($C551,'Policy Characteristics'!$C:$C,0)))</f>
        <v>indst CCS</v>
      </c>
      <c r="L551" s="283">
        <f>IF(ISBLANK(INDEX('Policy Characteristics'!F:F,MATCH($C551,'Policy Characteristics'!$C:$C,0))),"",INDEX('Policy Characteristics'!F:F,MATCH($C551,'Policy Characteristics'!$C:$C,0)))</f>
        <v>0</v>
      </c>
      <c r="M551" s="283">
        <f>IF(ISBLANK(INDEX('Policy Characteristics'!G:G,MATCH($C551,'Policy Characteristics'!$C:$C,0))),"",INDEX('Policy Characteristics'!G:G,MATCH($C551,'Policy Characteristics'!$C:$C,0)))</f>
        <v>1</v>
      </c>
      <c r="N551" s="283">
        <f>IF(ISBLANK(INDEX('Policy Characteristics'!H:H,MATCH($C551,'Policy Characteristics'!$C:$C,0))),"",INDEX('Policy Characteristics'!H:H,MATCH($C551,'Policy Characteristics'!$C:$C,0)))</f>
        <v>0.01</v>
      </c>
      <c r="O551" s="275" t="str">
        <f>IF(ISBLANK(INDEX('Policy Characteristics'!I:I,MATCH($C551,'Policy Characteristics'!$C:$C,0))),"",INDEX('Policy Characteristics'!I:I,MATCH($C551,'Policy Characteristics'!$C:$C,0)))</f>
        <v>% of CO2 captured</v>
      </c>
      <c r="P551" s="275" t="str">
        <f>IF(ISBLANK(INDEX('Policy Characteristics'!J:J,MATCH($C551,'Policy Characteristics'!$C:$C,0))),"",INDEX('Policy Characteristics'!J:J,MATCH($C551,'Policy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1" s="275" t="str">
        <f>IF(ISBLANK(INDEX('Policy Characteristics'!K:K,MATCH($C551,'Policy Characteristics'!$C:$C,0))),"",INDEX('Policy Characteristics'!K:K,MATCH($C551,'Policy Characteristics'!$C:$C,0)))</f>
        <v>ccs.html#ccs</v>
      </c>
      <c r="R551" s="275" t="str">
        <f>IF(ISBLANK(INDEX('Policy Characteristics'!L:L,MATCH($C551,'Policy Characteristics'!$C:$C,0))),"",INDEX('Policy Characteristics'!L:L,MATCH($C551,'Policy Characteristics'!$C:$C,0)))</f>
        <v>carbon-capture-and-sequestration.html</v>
      </c>
    </row>
    <row r="552" spans="1:18" x14ac:dyDescent="0.25">
      <c r="A552" s="275" t="str">
        <f>IF(ISBLANK(INDEX('Policy Characteristics'!A:A,MATCH($C552,'Policy Characteristics'!$C:$C,0))),"",INDEX('Policy Characteristics'!A:A,MATCH($C552,'Policy Characteristics'!$C:$C,0)))</f>
        <v>Industry</v>
      </c>
      <c r="B552" s="284" t="str">
        <f>IF(ISBLANK(INDEX('Policy Characteristics'!B:B,MATCH($C552,'Policy Characteristics'!$C:$C,0))),"",INDEX('Policy Characteristics'!B:B,MATCH($C552,'Policy Characteristics'!$C:$C,0)))</f>
        <v>Carbon Capture and Sequestration</v>
      </c>
      <c r="C552" s="275" t="str">
        <f t="shared" si="30"/>
        <v>Industry Sector Fraction of Potential Additional CCS Achieved</v>
      </c>
      <c r="D552" s="6" t="s">
        <v>3089</v>
      </c>
      <c r="E552" s="6" t="s">
        <v>3032</v>
      </c>
      <c r="F552" t="s">
        <v>3051</v>
      </c>
      <c r="G552" s="47" t="s">
        <v>3033</v>
      </c>
      <c r="H552" s="44">
        <v>946</v>
      </c>
      <c r="I552" s="346" t="s">
        <v>43</v>
      </c>
      <c r="J552" s="276" t="str">
        <f>IF(ISBLANK(INDEX('Policy Characteristics'!D:D,MATCH($C552,'Policy Characteristics'!$C:$C,0))),"",INDEX('Policy Characteristics'!D:D,MATCH($C552,'Policy Characteristics'!$C:$C,0)))</f>
        <v>Industry CCS</v>
      </c>
      <c r="K552" s="275" t="str">
        <f>IF(ISBLANK(INDEX('Policy Characteristics'!E:E,MATCH($C552,'Policy Characteristics'!$C:$C,0))),"",INDEX('Policy Characteristics'!E:E,MATCH($C552,'Policy Characteristics'!$C:$C,0)))</f>
        <v>indst CCS</v>
      </c>
      <c r="L552" s="283">
        <f>IF(ISBLANK(INDEX('Policy Characteristics'!F:F,MATCH($C552,'Policy Characteristics'!$C:$C,0))),"",INDEX('Policy Characteristics'!F:F,MATCH($C552,'Policy Characteristics'!$C:$C,0)))</f>
        <v>0</v>
      </c>
      <c r="M552" s="283">
        <f>IF(ISBLANK(INDEX('Policy Characteristics'!G:G,MATCH($C552,'Policy Characteristics'!$C:$C,0))),"",INDEX('Policy Characteristics'!G:G,MATCH($C552,'Policy Characteristics'!$C:$C,0)))</f>
        <v>1</v>
      </c>
      <c r="N552" s="283">
        <f>IF(ISBLANK(INDEX('Policy Characteristics'!H:H,MATCH($C552,'Policy Characteristics'!$C:$C,0))),"",INDEX('Policy Characteristics'!H:H,MATCH($C552,'Policy Characteristics'!$C:$C,0)))</f>
        <v>0.01</v>
      </c>
      <c r="O552" s="275" t="str">
        <f>IF(ISBLANK(INDEX('Policy Characteristics'!I:I,MATCH($C552,'Policy Characteristics'!$C:$C,0))),"",INDEX('Policy Characteristics'!I:I,MATCH($C552,'Policy Characteristics'!$C:$C,0)))</f>
        <v>% of CO2 captured</v>
      </c>
      <c r="P552" s="275" t="str">
        <f>IF(ISBLANK(INDEX('Policy Characteristics'!J:J,MATCH($C552,'Policy Characteristics'!$C:$C,0))),"",INDEX('Policy Characteristics'!J:J,MATCH($C552,'Policy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2" s="275" t="str">
        <f>IF(ISBLANK(INDEX('Policy Characteristics'!K:K,MATCH($C552,'Policy Characteristics'!$C:$C,0))),"",INDEX('Policy Characteristics'!K:K,MATCH($C552,'Policy Characteristics'!$C:$C,0)))</f>
        <v>ccs.html#ccs</v>
      </c>
      <c r="R552" s="275" t="str">
        <f>IF(ISBLANK(INDEX('Policy Characteristics'!L:L,MATCH($C552,'Policy Characteristics'!$C:$C,0))),"",INDEX('Policy Characteristics'!L:L,MATCH($C552,'Policy Characteristics'!$C:$C,0)))</f>
        <v>carbon-capture-and-sequestration.html</v>
      </c>
    </row>
    <row r="553" spans="1:18" x14ac:dyDescent="0.25">
      <c r="A553" s="275" t="str">
        <f>IF(ISBLANK(INDEX('Policy Characteristics'!A:A,MATCH($C553,'Policy Characteristics'!$C:$C,0))),"",INDEX('Policy Characteristics'!A:A,MATCH($C553,'Policy Characteristics'!$C:$C,0)))</f>
        <v>Industry</v>
      </c>
      <c r="B553" s="284" t="str">
        <f>IF(ISBLANK(INDEX('Policy Characteristics'!B:B,MATCH($C553,'Policy Characteristics'!$C:$C,0))),"",INDEX('Policy Characteristics'!B:B,MATCH($C553,'Policy Characteristics'!$C:$C,0)))</f>
        <v>Carbon Capture and Sequestration</v>
      </c>
      <c r="C553" s="275" t="str">
        <f t="shared" si="30"/>
        <v>Industry Sector Fraction of Potential Additional CCS Achieved</v>
      </c>
      <c r="D553" s="6" t="s">
        <v>3089</v>
      </c>
      <c r="E553" s="6" t="s">
        <v>2535</v>
      </c>
      <c r="F553" t="s">
        <v>3051</v>
      </c>
      <c r="G553" s="47" t="s">
        <v>3034</v>
      </c>
      <c r="H553" s="44">
        <v>947</v>
      </c>
      <c r="I553" s="347" t="s">
        <v>44</v>
      </c>
      <c r="J553" s="276" t="str">
        <f>IF(ISBLANK(INDEX('Policy Characteristics'!D:D,MATCH($C553,'Policy Characteristics'!$C:$C,0))),"",INDEX('Policy Characteristics'!D:D,MATCH($C553,'Policy Characteristics'!$C:$C,0)))</f>
        <v>Industry CCS</v>
      </c>
      <c r="K553" s="275" t="str">
        <f>IF(ISBLANK(INDEX('Policy Characteristics'!E:E,MATCH($C553,'Policy Characteristics'!$C:$C,0))),"",INDEX('Policy Characteristics'!E:E,MATCH($C553,'Policy Characteristics'!$C:$C,0)))</f>
        <v>indst CCS</v>
      </c>
      <c r="L553" s="283">
        <f>IF(ISBLANK(INDEX('Policy Characteristics'!F:F,MATCH($C553,'Policy Characteristics'!$C:$C,0))),"",INDEX('Policy Characteristics'!F:F,MATCH($C553,'Policy Characteristics'!$C:$C,0)))</f>
        <v>0</v>
      </c>
      <c r="M553" s="283">
        <f>IF(ISBLANK(INDEX('Policy Characteristics'!G:G,MATCH($C553,'Policy Characteristics'!$C:$C,0))),"",INDEX('Policy Characteristics'!G:G,MATCH($C553,'Policy Characteristics'!$C:$C,0)))</f>
        <v>1</v>
      </c>
      <c r="N553" s="283">
        <f>IF(ISBLANK(INDEX('Policy Characteristics'!H:H,MATCH($C553,'Policy Characteristics'!$C:$C,0))),"",INDEX('Policy Characteristics'!H:H,MATCH($C553,'Policy Characteristics'!$C:$C,0)))</f>
        <v>0.01</v>
      </c>
      <c r="O553" s="275" t="str">
        <f>IF(ISBLANK(INDEX('Policy Characteristics'!I:I,MATCH($C553,'Policy Characteristics'!$C:$C,0))),"",INDEX('Policy Characteristics'!I:I,MATCH($C553,'Policy Characteristics'!$C:$C,0)))</f>
        <v>% of CO2 captured</v>
      </c>
      <c r="P553" s="275" t="str">
        <f>IF(ISBLANK(INDEX('Policy Characteristics'!J:J,MATCH($C553,'Policy Characteristics'!$C:$C,0))),"",INDEX('Policy Characteristics'!J:J,MATCH($C553,'Policy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3" s="275" t="str">
        <f>IF(ISBLANK(INDEX('Policy Characteristics'!K:K,MATCH($C553,'Policy Characteristics'!$C:$C,0))),"",INDEX('Policy Characteristics'!K:K,MATCH($C553,'Policy Characteristics'!$C:$C,0)))</f>
        <v>ccs.html#ccs</v>
      </c>
      <c r="R553" s="275" t="str">
        <f>IF(ISBLANK(INDEX('Policy Characteristics'!L:L,MATCH($C553,'Policy Characteristics'!$C:$C,0))),"",INDEX('Policy Characteristics'!L:L,MATCH($C553,'Policy Characteristics'!$C:$C,0)))</f>
        <v>carbon-capture-and-sequestration.html</v>
      </c>
    </row>
    <row r="554" spans="1:18" x14ac:dyDescent="0.25">
      <c r="A554" s="275" t="str">
        <f>IF(ISBLANK(INDEX('Policy Characteristics'!A:A,MATCH($C554,'Policy Characteristics'!$C:$C,0))),"",INDEX('Policy Characteristics'!A:A,MATCH($C554,'Policy Characteristics'!$C:$C,0)))</f>
        <v>Industry</v>
      </c>
      <c r="B554" s="284" t="str">
        <f>IF(ISBLANK(INDEX('Policy Characteristics'!B:B,MATCH($C554,'Policy Characteristics'!$C:$C,0))),"",INDEX('Policy Characteristics'!B:B,MATCH($C554,'Policy Characteristics'!$C:$C,0)))</f>
        <v>Carbon Capture and Sequestration</v>
      </c>
      <c r="C554" s="275" t="str">
        <f t="shared" si="30"/>
        <v>Industry Sector Fraction of Potential Additional CCS Achieved</v>
      </c>
      <c r="D554" s="6" t="s">
        <v>3090</v>
      </c>
      <c r="E554" s="6" t="s">
        <v>3032</v>
      </c>
      <c r="F554" t="s">
        <v>3052</v>
      </c>
      <c r="G554" s="47" t="s">
        <v>3033</v>
      </c>
      <c r="H554" s="44">
        <v>948</v>
      </c>
      <c r="I554" s="346" t="s">
        <v>43</v>
      </c>
      <c r="J554" s="276" t="str">
        <f>IF(ISBLANK(INDEX('Policy Characteristics'!D:D,MATCH($C554,'Policy Characteristics'!$C:$C,0))),"",INDEX('Policy Characteristics'!D:D,MATCH($C554,'Policy Characteristics'!$C:$C,0)))</f>
        <v>Industry CCS</v>
      </c>
      <c r="K554" s="275" t="str">
        <f>IF(ISBLANK(INDEX('Policy Characteristics'!E:E,MATCH($C554,'Policy Characteristics'!$C:$C,0))),"",INDEX('Policy Characteristics'!E:E,MATCH($C554,'Policy Characteristics'!$C:$C,0)))</f>
        <v>indst CCS</v>
      </c>
      <c r="L554" s="283">
        <f>IF(ISBLANK(INDEX('Policy Characteristics'!F:F,MATCH($C554,'Policy Characteristics'!$C:$C,0))),"",INDEX('Policy Characteristics'!F:F,MATCH($C554,'Policy Characteristics'!$C:$C,0)))</f>
        <v>0</v>
      </c>
      <c r="M554" s="283">
        <f>IF(ISBLANK(INDEX('Policy Characteristics'!G:G,MATCH($C554,'Policy Characteristics'!$C:$C,0))),"",INDEX('Policy Characteristics'!G:G,MATCH($C554,'Policy Characteristics'!$C:$C,0)))</f>
        <v>1</v>
      </c>
      <c r="N554" s="283">
        <f>IF(ISBLANK(INDEX('Policy Characteristics'!H:H,MATCH($C554,'Policy Characteristics'!$C:$C,0))),"",INDEX('Policy Characteristics'!H:H,MATCH($C554,'Policy Characteristics'!$C:$C,0)))</f>
        <v>0.01</v>
      </c>
      <c r="O554" s="275" t="str">
        <f>IF(ISBLANK(INDEX('Policy Characteristics'!I:I,MATCH($C554,'Policy Characteristics'!$C:$C,0))),"",INDEX('Policy Characteristics'!I:I,MATCH($C554,'Policy Characteristics'!$C:$C,0)))</f>
        <v>% of CO2 captured</v>
      </c>
      <c r="P554" s="275" t="str">
        <f>IF(ISBLANK(INDEX('Policy Characteristics'!J:J,MATCH($C554,'Policy Characteristics'!$C:$C,0))),"",INDEX('Policy Characteristics'!J:J,MATCH($C554,'Policy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4" s="275" t="str">
        <f>IF(ISBLANK(INDEX('Policy Characteristics'!K:K,MATCH($C554,'Policy Characteristics'!$C:$C,0))),"",INDEX('Policy Characteristics'!K:K,MATCH($C554,'Policy Characteristics'!$C:$C,0)))</f>
        <v>ccs.html#ccs</v>
      </c>
      <c r="R554" s="275" t="str">
        <f>IF(ISBLANK(INDEX('Policy Characteristics'!L:L,MATCH($C554,'Policy Characteristics'!$C:$C,0))),"",INDEX('Policy Characteristics'!L:L,MATCH($C554,'Policy Characteristics'!$C:$C,0)))</f>
        <v>carbon-capture-and-sequestration.html</v>
      </c>
    </row>
    <row r="555" spans="1:18" x14ac:dyDescent="0.25">
      <c r="A555" s="275" t="str">
        <f>IF(ISBLANK(INDEX('Policy Characteristics'!A:A,MATCH($C555,'Policy Characteristics'!$C:$C,0))),"",INDEX('Policy Characteristics'!A:A,MATCH($C555,'Policy Characteristics'!$C:$C,0)))</f>
        <v>Industry</v>
      </c>
      <c r="B555" s="284" t="str">
        <f>IF(ISBLANK(INDEX('Policy Characteristics'!B:B,MATCH($C555,'Policy Characteristics'!$C:$C,0))),"",INDEX('Policy Characteristics'!B:B,MATCH($C555,'Policy Characteristics'!$C:$C,0)))</f>
        <v>Carbon Capture and Sequestration</v>
      </c>
      <c r="C555" s="275" t="str">
        <f t="shared" si="30"/>
        <v>Industry Sector Fraction of Potential Additional CCS Achieved</v>
      </c>
      <c r="D555" s="6" t="s">
        <v>3090</v>
      </c>
      <c r="E555" s="6" t="s">
        <v>2535</v>
      </c>
      <c r="F555" t="s">
        <v>3052</v>
      </c>
      <c r="G555" s="47" t="s">
        <v>3034</v>
      </c>
      <c r="H555" s="44">
        <v>949</v>
      </c>
      <c r="I555" s="347" t="s">
        <v>44</v>
      </c>
      <c r="J555" s="276" t="str">
        <f>IF(ISBLANK(INDEX('Policy Characteristics'!D:D,MATCH($C555,'Policy Characteristics'!$C:$C,0))),"",INDEX('Policy Characteristics'!D:D,MATCH($C555,'Policy Characteristics'!$C:$C,0)))</f>
        <v>Industry CCS</v>
      </c>
      <c r="K555" s="275" t="str">
        <f>IF(ISBLANK(INDEX('Policy Characteristics'!E:E,MATCH($C555,'Policy Characteristics'!$C:$C,0))),"",INDEX('Policy Characteristics'!E:E,MATCH($C555,'Policy Characteristics'!$C:$C,0)))</f>
        <v>indst CCS</v>
      </c>
      <c r="L555" s="283">
        <f>IF(ISBLANK(INDEX('Policy Characteristics'!F:F,MATCH($C555,'Policy Characteristics'!$C:$C,0))),"",INDEX('Policy Characteristics'!F:F,MATCH($C555,'Policy Characteristics'!$C:$C,0)))</f>
        <v>0</v>
      </c>
      <c r="M555" s="283">
        <f>IF(ISBLANK(INDEX('Policy Characteristics'!G:G,MATCH($C555,'Policy Characteristics'!$C:$C,0))),"",INDEX('Policy Characteristics'!G:G,MATCH($C555,'Policy Characteristics'!$C:$C,0)))</f>
        <v>1</v>
      </c>
      <c r="N555" s="283">
        <f>IF(ISBLANK(INDEX('Policy Characteristics'!H:H,MATCH($C555,'Policy Characteristics'!$C:$C,0))),"",INDEX('Policy Characteristics'!H:H,MATCH($C555,'Policy Characteristics'!$C:$C,0)))</f>
        <v>0.01</v>
      </c>
      <c r="O555" s="275" t="str">
        <f>IF(ISBLANK(INDEX('Policy Characteristics'!I:I,MATCH($C555,'Policy Characteristics'!$C:$C,0))),"",INDEX('Policy Characteristics'!I:I,MATCH($C555,'Policy Characteristics'!$C:$C,0)))</f>
        <v>% of CO2 captured</v>
      </c>
      <c r="P555" s="275" t="str">
        <f>IF(ISBLANK(INDEX('Policy Characteristics'!J:J,MATCH($C555,'Policy Characteristics'!$C:$C,0))),"",INDEX('Policy Characteristics'!J:J,MATCH($C555,'Policy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5" s="275" t="str">
        <f>IF(ISBLANK(INDEX('Policy Characteristics'!K:K,MATCH($C555,'Policy Characteristics'!$C:$C,0))),"",INDEX('Policy Characteristics'!K:K,MATCH($C555,'Policy Characteristics'!$C:$C,0)))</f>
        <v>ccs.html#ccs</v>
      </c>
      <c r="R555" s="275" t="str">
        <f>IF(ISBLANK(INDEX('Policy Characteristics'!L:L,MATCH($C555,'Policy Characteristics'!$C:$C,0))),"",INDEX('Policy Characteristics'!L:L,MATCH($C555,'Policy Characteristics'!$C:$C,0)))</f>
        <v>carbon-capture-and-sequestration.html</v>
      </c>
    </row>
    <row r="556" spans="1:18" x14ac:dyDescent="0.25">
      <c r="A556" s="275" t="str">
        <f>IF(ISBLANK(INDEX('Policy Characteristics'!A:A,MATCH($C556,'Policy Characteristics'!$C:$C,0))),"",INDEX('Policy Characteristics'!A:A,MATCH($C556,'Policy Characteristics'!$C:$C,0)))</f>
        <v>Industry</v>
      </c>
      <c r="B556" s="284" t="str">
        <f>IF(ISBLANK(INDEX('Policy Characteristics'!B:B,MATCH($C556,'Policy Characteristics'!$C:$C,0))),"",INDEX('Policy Characteristics'!B:B,MATCH($C556,'Policy Characteristics'!$C:$C,0)))</f>
        <v>Carbon Capture and Sequestration</v>
      </c>
      <c r="C556" s="275" t="str">
        <f t="shared" si="30"/>
        <v>Industry Sector Fraction of Potential Additional CCS Achieved</v>
      </c>
      <c r="D556" s="6" t="s">
        <v>3091</v>
      </c>
      <c r="E556" s="6" t="s">
        <v>3032</v>
      </c>
      <c r="F556" t="s">
        <v>3053</v>
      </c>
      <c r="G556" s="47" t="s">
        <v>3033</v>
      </c>
      <c r="H556" s="44">
        <v>950</v>
      </c>
      <c r="I556" s="346" t="s">
        <v>43</v>
      </c>
      <c r="J556" s="276" t="str">
        <f>IF(ISBLANK(INDEX('Policy Characteristics'!D:D,MATCH($C556,'Policy Characteristics'!$C:$C,0))),"",INDEX('Policy Characteristics'!D:D,MATCH($C556,'Policy Characteristics'!$C:$C,0)))</f>
        <v>Industry CCS</v>
      </c>
      <c r="K556" s="275" t="str">
        <f>IF(ISBLANK(INDEX('Policy Characteristics'!E:E,MATCH($C556,'Policy Characteristics'!$C:$C,0))),"",INDEX('Policy Characteristics'!E:E,MATCH($C556,'Policy Characteristics'!$C:$C,0)))</f>
        <v>indst CCS</v>
      </c>
      <c r="L556" s="283">
        <f>IF(ISBLANK(INDEX('Policy Characteristics'!F:F,MATCH($C556,'Policy Characteristics'!$C:$C,0))),"",INDEX('Policy Characteristics'!F:F,MATCH($C556,'Policy Characteristics'!$C:$C,0)))</f>
        <v>0</v>
      </c>
      <c r="M556" s="283">
        <f>IF(ISBLANK(INDEX('Policy Characteristics'!G:G,MATCH($C556,'Policy Characteristics'!$C:$C,0))),"",INDEX('Policy Characteristics'!G:G,MATCH($C556,'Policy Characteristics'!$C:$C,0)))</f>
        <v>1</v>
      </c>
      <c r="N556" s="283">
        <f>IF(ISBLANK(INDEX('Policy Characteristics'!H:H,MATCH($C556,'Policy Characteristics'!$C:$C,0))),"",INDEX('Policy Characteristics'!H:H,MATCH($C556,'Policy Characteristics'!$C:$C,0)))</f>
        <v>0.01</v>
      </c>
      <c r="O556" s="275" t="str">
        <f>IF(ISBLANK(INDEX('Policy Characteristics'!I:I,MATCH($C556,'Policy Characteristics'!$C:$C,0))),"",INDEX('Policy Characteristics'!I:I,MATCH($C556,'Policy Characteristics'!$C:$C,0)))</f>
        <v>% of CO2 captured</v>
      </c>
      <c r="P556" s="275" t="str">
        <f>IF(ISBLANK(INDEX('Policy Characteristics'!J:J,MATCH($C556,'Policy Characteristics'!$C:$C,0))),"",INDEX('Policy Characteristics'!J:J,MATCH($C556,'Policy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6" s="275" t="str">
        <f>IF(ISBLANK(INDEX('Policy Characteristics'!K:K,MATCH($C556,'Policy Characteristics'!$C:$C,0))),"",INDEX('Policy Characteristics'!K:K,MATCH($C556,'Policy Characteristics'!$C:$C,0)))</f>
        <v>ccs.html#ccs</v>
      </c>
      <c r="R556" s="275" t="str">
        <f>IF(ISBLANK(INDEX('Policy Characteristics'!L:L,MATCH($C556,'Policy Characteristics'!$C:$C,0))),"",INDEX('Policy Characteristics'!L:L,MATCH($C556,'Policy Characteristics'!$C:$C,0)))</f>
        <v>carbon-capture-and-sequestration.html</v>
      </c>
    </row>
    <row r="557" spans="1:18" x14ac:dyDescent="0.25">
      <c r="A557" s="275" t="str">
        <f>IF(ISBLANK(INDEX('Policy Characteristics'!A:A,MATCH($C557,'Policy Characteristics'!$C:$C,0))),"",INDEX('Policy Characteristics'!A:A,MATCH($C557,'Policy Characteristics'!$C:$C,0)))</f>
        <v>Industry</v>
      </c>
      <c r="B557" s="284" t="str">
        <f>IF(ISBLANK(INDEX('Policy Characteristics'!B:B,MATCH($C557,'Policy Characteristics'!$C:$C,0))),"",INDEX('Policy Characteristics'!B:B,MATCH($C557,'Policy Characteristics'!$C:$C,0)))</f>
        <v>Carbon Capture and Sequestration</v>
      </c>
      <c r="C557" s="275" t="str">
        <f t="shared" si="30"/>
        <v>Industry Sector Fraction of Potential Additional CCS Achieved</v>
      </c>
      <c r="D557" s="6" t="s">
        <v>3091</v>
      </c>
      <c r="E557" s="6" t="s">
        <v>2535</v>
      </c>
      <c r="F557" t="s">
        <v>3053</v>
      </c>
      <c r="G557" s="47" t="s">
        <v>3034</v>
      </c>
      <c r="H557" s="44">
        <v>951</v>
      </c>
      <c r="I557" s="347" t="s">
        <v>44</v>
      </c>
      <c r="J557" s="276" t="str">
        <f>IF(ISBLANK(INDEX('Policy Characteristics'!D:D,MATCH($C557,'Policy Characteristics'!$C:$C,0))),"",INDEX('Policy Characteristics'!D:D,MATCH($C557,'Policy Characteristics'!$C:$C,0)))</f>
        <v>Industry CCS</v>
      </c>
      <c r="K557" s="275" t="str">
        <f>IF(ISBLANK(INDEX('Policy Characteristics'!E:E,MATCH($C557,'Policy Characteristics'!$C:$C,0))),"",INDEX('Policy Characteristics'!E:E,MATCH($C557,'Policy Characteristics'!$C:$C,0)))</f>
        <v>indst CCS</v>
      </c>
      <c r="L557" s="283">
        <f>IF(ISBLANK(INDEX('Policy Characteristics'!F:F,MATCH($C557,'Policy Characteristics'!$C:$C,0))),"",INDEX('Policy Characteristics'!F:F,MATCH($C557,'Policy Characteristics'!$C:$C,0)))</f>
        <v>0</v>
      </c>
      <c r="M557" s="283">
        <f>IF(ISBLANK(INDEX('Policy Characteristics'!G:G,MATCH($C557,'Policy Characteristics'!$C:$C,0))),"",INDEX('Policy Characteristics'!G:G,MATCH($C557,'Policy Characteristics'!$C:$C,0)))</f>
        <v>1</v>
      </c>
      <c r="N557" s="283">
        <f>IF(ISBLANK(INDEX('Policy Characteristics'!H:H,MATCH($C557,'Policy Characteristics'!$C:$C,0))),"",INDEX('Policy Characteristics'!H:H,MATCH($C557,'Policy Characteristics'!$C:$C,0)))</f>
        <v>0.01</v>
      </c>
      <c r="O557" s="275" t="str">
        <f>IF(ISBLANK(INDEX('Policy Characteristics'!I:I,MATCH($C557,'Policy Characteristics'!$C:$C,0))),"",INDEX('Policy Characteristics'!I:I,MATCH($C557,'Policy Characteristics'!$C:$C,0)))</f>
        <v>% of CO2 captured</v>
      </c>
      <c r="P557" s="275" t="str">
        <f>IF(ISBLANK(INDEX('Policy Characteristics'!J:J,MATCH($C557,'Policy Characteristics'!$C:$C,0))),"",INDEX('Policy Characteristics'!J:J,MATCH($C557,'Policy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7" s="275" t="str">
        <f>IF(ISBLANK(INDEX('Policy Characteristics'!K:K,MATCH($C557,'Policy Characteristics'!$C:$C,0))),"",INDEX('Policy Characteristics'!K:K,MATCH($C557,'Policy Characteristics'!$C:$C,0)))</f>
        <v>ccs.html#ccs</v>
      </c>
      <c r="R557" s="275" t="str">
        <f>IF(ISBLANK(INDEX('Policy Characteristics'!L:L,MATCH($C557,'Policy Characteristics'!$C:$C,0))),"",INDEX('Policy Characteristics'!L:L,MATCH($C557,'Policy Characteristics'!$C:$C,0)))</f>
        <v>carbon-capture-and-sequestration.html</v>
      </c>
    </row>
    <row r="558" spans="1:18" x14ac:dyDescent="0.25">
      <c r="A558" s="275" t="str">
        <f>IF(ISBLANK(INDEX('Policy Characteristics'!A:A,MATCH($C558,'Policy Characteristics'!$C:$C,0))),"",INDEX('Policy Characteristics'!A:A,MATCH($C558,'Policy Characteristics'!$C:$C,0)))</f>
        <v>Industry</v>
      </c>
      <c r="B558" s="284" t="str">
        <f>IF(ISBLANK(INDEX('Policy Characteristics'!B:B,MATCH($C558,'Policy Characteristics'!$C:$C,0))),"",INDEX('Policy Characteristics'!B:B,MATCH($C558,'Policy Characteristics'!$C:$C,0)))</f>
        <v>Carbon Capture and Sequestration</v>
      </c>
      <c r="C558" s="275" t="str">
        <f t="shared" si="30"/>
        <v>Industry Sector Fraction of Potential Additional CCS Achieved</v>
      </c>
      <c r="D558" s="6" t="s">
        <v>3092</v>
      </c>
      <c r="E558" s="6" t="s">
        <v>3032</v>
      </c>
      <c r="F558" t="s">
        <v>3054</v>
      </c>
      <c r="G558" s="47" t="s">
        <v>3033</v>
      </c>
      <c r="H558" s="44">
        <v>952</v>
      </c>
      <c r="I558" s="346" t="s">
        <v>43</v>
      </c>
      <c r="J558" s="276" t="str">
        <f>IF(ISBLANK(INDEX('Policy Characteristics'!D:D,MATCH($C558,'Policy Characteristics'!$C:$C,0))),"",INDEX('Policy Characteristics'!D:D,MATCH($C558,'Policy Characteristics'!$C:$C,0)))</f>
        <v>Industry CCS</v>
      </c>
      <c r="K558" s="275" t="str">
        <f>IF(ISBLANK(INDEX('Policy Characteristics'!E:E,MATCH($C558,'Policy Characteristics'!$C:$C,0))),"",INDEX('Policy Characteristics'!E:E,MATCH($C558,'Policy Characteristics'!$C:$C,0)))</f>
        <v>indst CCS</v>
      </c>
      <c r="L558" s="283">
        <f>IF(ISBLANK(INDEX('Policy Characteristics'!F:F,MATCH($C558,'Policy Characteristics'!$C:$C,0))),"",INDEX('Policy Characteristics'!F:F,MATCH($C558,'Policy Characteristics'!$C:$C,0)))</f>
        <v>0</v>
      </c>
      <c r="M558" s="283">
        <f>IF(ISBLANK(INDEX('Policy Characteristics'!G:G,MATCH($C558,'Policy Characteristics'!$C:$C,0))),"",INDEX('Policy Characteristics'!G:G,MATCH($C558,'Policy Characteristics'!$C:$C,0)))</f>
        <v>1</v>
      </c>
      <c r="N558" s="283">
        <f>IF(ISBLANK(INDEX('Policy Characteristics'!H:H,MATCH($C558,'Policy Characteristics'!$C:$C,0))),"",INDEX('Policy Characteristics'!H:H,MATCH($C558,'Policy Characteristics'!$C:$C,0)))</f>
        <v>0.01</v>
      </c>
      <c r="O558" s="275" t="str">
        <f>IF(ISBLANK(INDEX('Policy Characteristics'!I:I,MATCH($C558,'Policy Characteristics'!$C:$C,0))),"",INDEX('Policy Characteristics'!I:I,MATCH($C558,'Policy Characteristics'!$C:$C,0)))</f>
        <v>% of CO2 captured</v>
      </c>
      <c r="P558" s="275" t="str">
        <f>IF(ISBLANK(INDEX('Policy Characteristics'!J:J,MATCH($C558,'Policy Characteristics'!$C:$C,0))),"",INDEX('Policy Characteristics'!J:J,MATCH($C558,'Policy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8" s="275" t="str">
        <f>IF(ISBLANK(INDEX('Policy Characteristics'!K:K,MATCH($C558,'Policy Characteristics'!$C:$C,0))),"",INDEX('Policy Characteristics'!K:K,MATCH($C558,'Policy Characteristics'!$C:$C,0)))</f>
        <v>ccs.html#ccs</v>
      </c>
      <c r="R558" s="275" t="str">
        <f>IF(ISBLANK(INDEX('Policy Characteristics'!L:L,MATCH($C558,'Policy Characteristics'!$C:$C,0))),"",INDEX('Policy Characteristics'!L:L,MATCH($C558,'Policy Characteristics'!$C:$C,0)))</f>
        <v>carbon-capture-and-sequestration.html</v>
      </c>
    </row>
    <row r="559" spans="1:18" x14ac:dyDescent="0.25">
      <c r="A559" s="275" t="str">
        <f>IF(ISBLANK(INDEX('Policy Characteristics'!A:A,MATCH($C559,'Policy Characteristics'!$C:$C,0))),"",INDEX('Policy Characteristics'!A:A,MATCH($C559,'Policy Characteristics'!$C:$C,0)))</f>
        <v>Industry</v>
      </c>
      <c r="B559" s="284" t="str">
        <f>IF(ISBLANK(INDEX('Policy Characteristics'!B:B,MATCH($C559,'Policy Characteristics'!$C:$C,0))),"",INDEX('Policy Characteristics'!B:B,MATCH($C559,'Policy Characteristics'!$C:$C,0)))</f>
        <v>Carbon Capture and Sequestration</v>
      </c>
      <c r="C559" s="275" t="str">
        <f t="shared" si="30"/>
        <v>Industry Sector Fraction of Potential Additional CCS Achieved</v>
      </c>
      <c r="D559" s="6" t="s">
        <v>3092</v>
      </c>
      <c r="E559" s="6" t="s">
        <v>2535</v>
      </c>
      <c r="F559" t="s">
        <v>3054</v>
      </c>
      <c r="G559" s="47" t="s">
        <v>3034</v>
      </c>
      <c r="H559" s="44">
        <v>953</v>
      </c>
      <c r="I559" s="347" t="s">
        <v>43</v>
      </c>
      <c r="J559" s="276" t="str">
        <f>IF(ISBLANK(INDEX('Policy Characteristics'!D:D,MATCH($C559,'Policy Characteristics'!$C:$C,0))),"",INDEX('Policy Characteristics'!D:D,MATCH($C559,'Policy Characteristics'!$C:$C,0)))</f>
        <v>Industry CCS</v>
      </c>
      <c r="K559" s="275" t="str">
        <f>IF(ISBLANK(INDEX('Policy Characteristics'!E:E,MATCH($C559,'Policy Characteristics'!$C:$C,0))),"",INDEX('Policy Characteristics'!E:E,MATCH($C559,'Policy Characteristics'!$C:$C,0)))</f>
        <v>indst CCS</v>
      </c>
      <c r="L559" s="283">
        <f>IF(ISBLANK(INDEX('Policy Characteristics'!F:F,MATCH($C559,'Policy Characteristics'!$C:$C,0))),"",INDEX('Policy Characteristics'!F:F,MATCH($C559,'Policy Characteristics'!$C:$C,0)))</f>
        <v>0</v>
      </c>
      <c r="M559" s="283">
        <f>IF(ISBLANK(INDEX('Policy Characteristics'!G:G,MATCH($C559,'Policy Characteristics'!$C:$C,0))),"",INDEX('Policy Characteristics'!G:G,MATCH($C559,'Policy Characteristics'!$C:$C,0)))</f>
        <v>1</v>
      </c>
      <c r="N559" s="283">
        <f>IF(ISBLANK(INDEX('Policy Characteristics'!H:H,MATCH($C559,'Policy Characteristics'!$C:$C,0))),"",INDEX('Policy Characteristics'!H:H,MATCH($C559,'Policy Characteristics'!$C:$C,0)))</f>
        <v>0.01</v>
      </c>
      <c r="O559" s="275" t="str">
        <f>IF(ISBLANK(INDEX('Policy Characteristics'!I:I,MATCH($C559,'Policy Characteristics'!$C:$C,0))),"",INDEX('Policy Characteristics'!I:I,MATCH($C559,'Policy Characteristics'!$C:$C,0)))</f>
        <v>% of CO2 captured</v>
      </c>
      <c r="P559" s="275" t="str">
        <f>IF(ISBLANK(INDEX('Policy Characteristics'!J:J,MATCH($C559,'Policy Characteristics'!$C:$C,0))),"",INDEX('Policy Characteristics'!J:J,MATCH($C559,'Policy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9" s="275" t="str">
        <f>IF(ISBLANK(INDEX('Policy Characteristics'!K:K,MATCH($C559,'Policy Characteristics'!$C:$C,0))),"",INDEX('Policy Characteristics'!K:K,MATCH($C559,'Policy Characteristics'!$C:$C,0)))</f>
        <v>ccs.html#ccs</v>
      </c>
      <c r="R559" s="275" t="str">
        <f>IF(ISBLANK(INDEX('Policy Characteristics'!L:L,MATCH($C559,'Policy Characteristics'!$C:$C,0))),"",INDEX('Policy Characteristics'!L:L,MATCH($C559,'Policy Characteristics'!$C:$C,0)))</f>
        <v>carbon-capture-and-sequestration.html</v>
      </c>
    </row>
    <row r="560" spans="1:18" x14ac:dyDescent="0.25">
      <c r="A560" s="275" t="str">
        <f>IF(ISBLANK(INDEX('Policy Characteristics'!A:A,MATCH($C560,'Policy Characteristics'!$C:$C,0))),"",INDEX('Policy Characteristics'!A:A,MATCH($C560,'Policy Characteristics'!$C:$C,0)))</f>
        <v>Industry</v>
      </c>
      <c r="B560" s="284" t="str">
        <f>IF(ISBLANK(INDEX('Policy Characteristics'!B:B,MATCH($C560,'Policy Characteristics'!$C:$C,0))),"",INDEX('Policy Characteristics'!B:B,MATCH($C560,'Policy Characteristics'!$C:$C,0)))</f>
        <v>Carbon Capture and Sequestration</v>
      </c>
      <c r="C560" s="275" t="str">
        <f t="shared" si="30"/>
        <v>Industry Sector Fraction of Potential Additional CCS Achieved</v>
      </c>
      <c r="D560" s="6" t="s">
        <v>3093</v>
      </c>
      <c r="E560" s="6" t="s">
        <v>3032</v>
      </c>
      <c r="F560" t="s">
        <v>3096</v>
      </c>
      <c r="G560" s="47" t="s">
        <v>3033</v>
      </c>
      <c r="H560" s="44">
        <v>954</v>
      </c>
      <c r="I560" s="347" t="s">
        <v>44</v>
      </c>
      <c r="J560" s="276" t="str">
        <f>IF(ISBLANK(INDEX('Policy Characteristics'!D:D,MATCH($C560,'Policy Characteristics'!$C:$C,0))),"",INDEX('Policy Characteristics'!D:D,MATCH($C560,'Policy Characteristics'!$C:$C,0)))</f>
        <v>Industry CCS</v>
      </c>
      <c r="K560" s="275" t="str">
        <f>IF(ISBLANK(INDEX('Policy Characteristics'!E:E,MATCH($C560,'Policy Characteristics'!$C:$C,0))),"",INDEX('Policy Characteristics'!E:E,MATCH($C560,'Policy Characteristics'!$C:$C,0)))</f>
        <v>indst CCS</v>
      </c>
      <c r="L560" s="283">
        <f>IF(ISBLANK(INDEX('Policy Characteristics'!F:F,MATCH($C560,'Policy Characteristics'!$C:$C,0))),"",INDEX('Policy Characteristics'!F:F,MATCH($C560,'Policy Characteristics'!$C:$C,0)))</f>
        <v>0</v>
      </c>
      <c r="M560" s="283">
        <f>IF(ISBLANK(INDEX('Policy Characteristics'!G:G,MATCH($C560,'Policy Characteristics'!$C:$C,0))),"",INDEX('Policy Characteristics'!G:G,MATCH($C560,'Policy Characteristics'!$C:$C,0)))</f>
        <v>1</v>
      </c>
      <c r="N560" s="283">
        <f>IF(ISBLANK(INDEX('Policy Characteristics'!H:H,MATCH($C560,'Policy Characteristics'!$C:$C,0))),"",INDEX('Policy Characteristics'!H:H,MATCH($C560,'Policy Characteristics'!$C:$C,0)))</f>
        <v>0.01</v>
      </c>
      <c r="O560" s="275" t="str">
        <f>IF(ISBLANK(INDEX('Policy Characteristics'!I:I,MATCH($C560,'Policy Characteristics'!$C:$C,0))),"",INDEX('Policy Characteristics'!I:I,MATCH($C560,'Policy Characteristics'!$C:$C,0)))</f>
        <v>% of CO2 captured</v>
      </c>
      <c r="P560" s="275" t="str">
        <f>IF(ISBLANK(INDEX('Policy Characteristics'!J:J,MATCH($C560,'Policy Characteristics'!$C:$C,0))),"",INDEX('Policy Characteristics'!J:J,MATCH($C560,'Policy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0" s="275" t="str">
        <f>IF(ISBLANK(INDEX('Policy Characteristics'!K:K,MATCH($C560,'Policy Characteristics'!$C:$C,0))),"",INDEX('Policy Characteristics'!K:K,MATCH($C560,'Policy Characteristics'!$C:$C,0)))</f>
        <v>ccs.html#ccs</v>
      </c>
      <c r="R560" s="275" t="str">
        <f>IF(ISBLANK(INDEX('Policy Characteristics'!L:L,MATCH($C560,'Policy Characteristics'!$C:$C,0))),"",INDEX('Policy Characteristics'!L:L,MATCH($C560,'Policy Characteristics'!$C:$C,0)))</f>
        <v>carbon-capture-and-sequestration.html</v>
      </c>
    </row>
    <row r="561" spans="1:18" x14ac:dyDescent="0.25">
      <c r="A561" s="275" t="str">
        <f>IF(ISBLANK(INDEX('Policy Characteristics'!A:A,MATCH($C561,'Policy Characteristics'!$C:$C,0))),"",INDEX('Policy Characteristics'!A:A,MATCH($C561,'Policy Characteristics'!$C:$C,0)))</f>
        <v>Industry</v>
      </c>
      <c r="B561" s="284" t="str">
        <f>IF(ISBLANK(INDEX('Policy Characteristics'!B:B,MATCH($C561,'Policy Characteristics'!$C:$C,0))),"",INDEX('Policy Characteristics'!B:B,MATCH($C561,'Policy Characteristics'!$C:$C,0)))</f>
        <v>Carbon Capture and Sequestration</v>
      </c>
      <c r="C561" s="275" t="str">
        <f t="shared" si="30"/>
        <v>Industry Sector Fraction of Potential Additional CCS Achieved</v>
      </c>
      <c r="D561" s="6" t="s">
        <v>3093</v>
      </c>
      <c r="E561" s="6" t="s">
        <v>2535</v>
      </c>
      <c r="F561" t="s">
        <v>3096</v>
      </c>
      <c r="G561" s="47" t="s">
        <v>3034</v>
      </c>
      <c r="H561" s="44">
        <v>955</v>
      </c>
      <c r="I561" s="347" t="s">
        <v>44</v>
      </c>
      <c r="J561" s="276" t="str">
        <f>IF(ISBLANK(INDEX('Policy Characteristics'!D:D,MATCH($C561,'Policy Characteristics'!$C:$C,0))),"",INDEX('Policy Characteristics'!D:D,MATCH($C561,'Policy Characteristics'!$C:$C,0)))</f>
        <v>Industry CCS</v>
      </c>
      <c r="K561" s="275" t="str">
        <f>IF(ISBLANK(INDEX('Policy Characteristics'!E:E,MATCH($C561,'Policy Characteristics'!$C:$C,0))),"",INDEX('Policy Characteristics'!E:E,MATCH($C561,'Policy Characteristics'!$C:$C,0)))</f>
        <v>indst CCS</v>
      </c>
      <c r="L561" s="283">
        <f>IF(ISBLANK(INDEX('Policy Characteristics'!F:F,MATCH($C561,'Policy Characteristics'!$C:$C,0))),"",INDEX('Policy Characteristics'!F:F,MATCH($C561,'Policy Characteristics'!$C:$C,0)))</f>
        <v>0</v>
      </c>
      <c r="M561" s="283">
        <f>IF(ISBLANK(INDEX('Policy Characteristics'!G:G,MATCH($C561,'Policy Characteristics'!$C:$C,0))),"",INDEX('Policy Characteristics'!G:G,MATCH($C561,'Policy Characteristics'!$C:$C,0)))</f>
        <v>1</v>
      </c>
      <c r="N561" s="283">
        <f>IF(ISBLANK(INDEX('Policy Characteristics'!H:H,MATCH($C561,'Policy Characteristics'!$C:$C,0))),"",INDEX('Policy Characteristics'!H:H,MATCH($C561,'Policy Characteristics'!$C:$C,0)))</f>
        <v>0.01</v>
      </c>
      <c r="O561" s="275" t="str">
        <f>IF(ISBLANK(INDEX('Policy Characteristics'!I:I,MATCH($C561,'Policy Characteristics'!$C:$C,0))),"",INDEX('Policy Characteristics'!I:I,MATCH($C561,'Policy Characteristics'!$C:$C,0)))</f>
        <v>% of CO2 captured</v>
      </c>
      <c r="P561" s="275" t="str">
        <f>IF(ISBLANK(INDEX('Policy Characteristics'!J:J,MATCH($C561,'Policy Characteristics'!$C:$C,0))),"",INDEX('Policy Characteristics'!J:J,MATCH($C561,'Policy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1" s="275" t="str">
        <f>IF(ISBLANK(INDEX('Policy Characteristics'!K:K,MATCH($C561,'Policy Characteristics'!$C:$C,0))),"",INDEX('Policy Characteristics'!K:K,MATCH($C561,'Policy Characteristics'!$C:$C,0)))</f>
        <v>ccs.html#ccs</v>
      </c>
      <c r="R561" s="275" t="str">
        <f>IF(ISBLANK(INDEX('Policy Characteristics'!L:L,MATCH($C561,'Policy Characteristics'!$C:$C,0))),"",INDEX('Policy Characteristics'!L:L,MATCH($C561,'Policy Characteristics'!$C:$C,0)))</f>
        <v>carbon-capture-and-sequestration.html</v>
      </c>
    </row>
    <row r="562" spans="1:18" x14ac:dyDescent="0.25">
      <c r="A562" s="275" t="str">
        <f>IF(ISBLANK(INDEX('Policy Characteristics'!A:A,MATCH($C562,'Policy Characteristics'!$C:$C,0))),"",INDEX('Policy Characteristics'!A:A,MATCH($C562,'Policy Characteristics'!$C:$C,0)))</f>
        <v>Industry</v>
      </c>
      <c r="B562" s="284" t="str">
        <f>IF(ISBLANK(INDEX('Policy Characteristics'!B:B,MATCH($C562,'Policy Characteristics'!$C:$C,0))),"",INDEX('Policy Characteristics'!B:B,MATCH($C562,'Policy Characteristics'!$C:$C,0)))</f>
        <v>Carbon Capture and Sequestration</v>
      </c>
      <c r="C562" s="275" t="str">
        <f t="shared" si="30"/>
        <v>Industry Sector Fraction of Potential Additional CCS Achieved</v>
      </c>
      <c r="D562" s="6" t="s">
        <v>3094</v>
      </c>
      <c r="E562" s="6" t="s">
        <v>3032</v>
      </c>
      <c r="F562" t="s">
        <v>3055</v>
      </c>
      <c r="G562" s="47" t="s">
        <v>3033</v>
      </c>
      <c r="H562" s="44">
        <v>956</v>
      </c>
      <c r="I562" s="347" t="s">
        <v>44</v>
      </c>
      <c r="J562" s="276" t="str">
        <f>IF(ISBLANK(INDEX('Policy Characteristics'!D:D,MATCH($C562,'Policy Characteristics'!$C:$C,0))),"",INDEX('Policy Characteristics'!D:D,MATCH($C562,'Policy Characteristics'!$C:$C,0)))</f>
        <v>Industry CCS</v>
      </c>
      <c r="K562" s="275" t="str">
        <f>IF(ISBLANK(INDEX('Policy Characteristics'!E:E,MATCH($C562,'Policy Characteristics'!$C:$C,0))),"",INDEX('Policy Characteristics'!E:E,MATCH($C562,'Policy Characteristics'!$C:$C,0)))</f>
        <v>indst CCS</v>
      </c>
      <c r="L562" s="283">
        <f>IF(ISBLANK(INDEX('Policy Characteristics'!F:F,MATCH($C562,'Policy Characteristics'!$C:$C,0))),"",INDEX('Policy Characteristics'!F:F,MATCH($C562,'Policy Characteristics'!$C:$C,0)))</f>
        <v>0</v>
      </c>
      <c r="M562" s="283">
        <f>IF(ISBLANK(INDEX('Policy Characteristics'!G:G,MATCH($C562,'Policy Characteristics'!$C:$C,0))),"",INDEX('Policy Characteristics'!G:G,MATCH($C562,'Policy Characteristics'!$C:$C,0)))</f>
        <v>1</v>
      </c>
      <c r="N562" s="283">
        <f>IF(ISBLANK(INDEX('Policy Characteristics'!H:H,MATCH($C562,'Policy Characteristics'!$C:$C,0))),"",INDEX('Policy Characteristics'!H:H,MATCH($C562,'Policy Characteristics'!$C:$C,0)))</f>
        <v>0.01</v>
      </c>
      <c r="O562" s="275" t="str">
        <f>IF(ISBLANK(INDEX('Policy Characteristics'!I:I,MATCH($C562,'Policy Characteristics'!$C:$C,0))),"",INDEX('Policy Characteristics'!I:I,MATCH($C562,'Policy Characteristics'!$C:$C,0)))</f>
        <v>% of CO2 captured</v>
      </c>
      <c r="P562" s="275" t="str">
        <f>IF(ISBLANK(INDEX('Policy Characteristics'!J:J,MATCH($C562,'Policy Characteristics'!$C:$C,0))),"",INDEX('Policy Characteristics'!J:J,MATCH($C562,'Policy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2" s="275" t="str">
        <f>IF(ISBLANK(INDEX('Policy Characteristics'!K:K,MATCH($C562,'Policy Characteristics'!$C:$C,0))),"",INDEX('Policy Characteristics'!K:K,MATCH($C562,'Policy Characteristics'!$C:$C,0)))</f>
        <v>ccs.html#ccs</v>
      </c>
      <c r="R562" s="275" t="str">
        <f>IF(ISBLANK(INDEX('Policy Characteristics'!L:L,MATCH($C562,'Policy Characteristics'!$C:$C,0))),"",INDEX('Policy Characteristics'!L:L,MATCH($C562,'Policy Characteristics'!$C:$C,0)))</f>
        <v>carbon-capture-and-sequestration.html</v>
      </c>
    </row>
    <row r="563" spans="1:18" x14ac:dyDescent="0.25">
      <c r="A563" s="275" t="str">
        <f>IF(ISBLANK(INDEX('Policy Characteristics'!A:A,MATCH($C563,'Policy Characteristics'!$C:$C,0))),"",INDEX('Policy Characteristics'!A:A,MATCH($C563,'Policy Characteristics'!$C:$C,0)))</f>
        <v>Industry</v>
      </c>
      <c r="B563" s="284" t="str">
        <f>IF(ISBLANK(INDEX('Policy Characteristics'!B:B,MATCH($C563,'Policy Characteristics'!$C:$C,0))),"",INDEX('Policy Characteristics'!B:B,MATCH($C563,'Policy Characteristics'!$C:$C,0)))</f>
        <v>Carbon Capture and Sequestration</v>
      </c>
      <c r="C563" s="275" t="str">
        <f t="shared" si="30"/>
        <v>Industry Sector Fraction of Potential Additional CCS Achieved</v>
      </c>
      <c r="D563" s="6" t="s">
        <v>3094</v>
      </c>
      <c r="E563" s="6" t="s">
        <v>2535</v>
      </c>
      <c r="F563" t="s">
        <v>3055</v>
      </c>
      <c r="G563" s="47" t="s">
        <v>3034</v>
      </c>
      <c r="H563" s="44">
        <v>957</v>
      </c>
      <c r="I563" s="347" t="s">
        <v>44</v>
      </c>
      <c r="J563" s="276" t="str">
        <f>IF(ISBLANK(INDEX('Policy Characteristics'!D:D,MATCH($C563,'Policy Characteristics'!$C:$C,0))),"",INDEX('Policy Characteristics'!D:D,MATCH($C563,'Policy Characteristics'!$C:$C,0)))</f>
        <v>Industry CCS</v>
      </c>
      <c r="K563" s="275" t="str">
        <f>IF(ISBLANK(INDEX('Policy Characteristics'!E:E,MATCH($C563,'Policy Characteristics'!$C:$C,0))),"",INDEX('Policy Characteristics'!E:E,MATCH($C563,'Policy Characteristics'!$C:$C,0)))</f>
        <v>indst CCS</v>
      </c>
      <c r="L563" s="283">
        <f>IF(ISBLANK(INDEX('Policy Characteristics'!F:F,MATCH($C563,'Policy Characteristics'!$C:$C,0))),"",INDEX('Policy Characteristics'!F:F,MATCH($C563,'Policy Characteristics'!$C:$C,0)))</f>
        <v>0</v>
      </c>
      <c r="M563" s="283">
        <f>IF(ISBLANK(INDEX('Policy Characteristics'!G:G,MATCH($C563,'Policy Characteristics'!$C:$C,0))),"",INDEX('Policy Characteristics'!G:G,MATCH($C563,'Policy Characteristics'!$C:$C,0)))</f>
        <v>1</v>
      </c>
      <c r="N563" s="283">
        <f>IF(ISBLANK(INDEX('Policy Characteristics'!H:H,MATCH($C563,'Policy Characteristics'!$C:$C,0))),"",INDEX('Policy Characteristics'!H:H,MATCH($C563,'Policy Characteristics'!$C:$C,0)))</f>
        <v>0.01</v>
      </c>
      <c r="O563" s="275" t="str">
        <f>IF(ISBLANK(INDEX('Policy Characteristics'!I:I,MATCH($C563,'Policy Characteristics'!$C:$C,0))),"",INDEX('Policy Characteristics'!I:I,MATCH($C563,'Policy Characteristics'!$C:$C,0)))</f>
        <v>% of CO2 captured</v>
      </c>
      <c r="P563" s="275" t="str">
        <f>IF(ISBLANK(INDEX('Policy Characteristics'!J:J,MATCH($C563,'Policy Characteristics'!$C:$C,0))),"",INDEX('Policy Characteristics'!J:J,MATCH($C563,'Policy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3" s="275" t="str">
        <f>IF(ISBLANK(INDEX('Policy Characteristics'!K:K,MATCH($C563,'Policy Characteristics'!$C:$C,0))),"",INDEX('Policy Characteristics'!K:K,MATCH($C563,'Policy Characteristics'!$C:$C,0)))</f>
        <v>ccs.html#ccs</v>
      </c>
      <c r="R563" s="275" t="str">
        <f>IF(ISBLANK(INDEX('Policy Characteristics'!L:L,MATCH($C563,'Policy Characteristics'!$C:$C,0))),"",INDEX('Policy Characteristics'!L:L,MATCH($C563,'Policy Characteristics'!$C:$C,0)))</f>
        <v>carbon-capture-and-sequestration.html</v>
      </c>
    </row>
    <row r="564" spans="1:18" x14ac:dyDescent="0.25">
      <c r="A564" s="275" t="str">
        <f>IF(ISBLANK(INDEX('Policy Characteristics'!A:A,MATCH($C564,'Policy Characteristics'!$C:$C,0))),"",INDEX('Policy Characteristics'!A:A,MATCH($C564,'Policy Characteristics'!$C:$C,0)))</f>
        <v>Industry</v>
      </c>
      <c r="B564" s="284" t="str">
        <f>IF(ISBLANK(INDEX('Policy Characteristics'!B:B,MATCH($C564,'Policy Characteristics'!$C:$C,0))),"",INDEX('Policy Characteristics'!B:B,MATCH($C564,'Policy Characteristics'!$C:$C,0)))</f>
        <v>Cement Clinker Substitution</v>
      </c>
      <c r="C564" t="s">
        <v>2772</v>
      </c>
      <c r="D564" s="47"/>
      <c r="E564" s="47"/>
      <c r="F564" s="47"/>
      <c r="G564" s="47"/>
      <c r="H564" s="44">
        <v>43</v>
      </c>
      <c r="I564" s="346" t="s">
        <v>43</v>
      </c>
      <c r="J564" s="276" t="str">
        <f>IF(ISBLANK(INDEX('Policy Characteristics'!D:D,MATCH($C564,'Policy Characteristics'!$C:$C,0))),"",INDEX('Policy Characteristics'!D:D,MATCH($C564,'Policy Characteristics'!$C:$C,0)))</f>
        <v>Cement Clinker Substitution</v>
      </c>
      <c r="K564" s="275" t="str">
        <f>IF(ISBLANK(INDEX('Policy Characteristics'!E:E,MATCH($C564,'Policy Characteristics'!$C:$C,0))),"",INDEX('Policy Characteristics'!E:E,MATCH($C564,'Policy Characteristics'!$C:$C,0)))</f>
        <v>indst cement measures</v>
      </c>
      <c r="L564" s="283">
        <f>IF(ISBLANK(INDEX('Policy Characteristics'!F:F,MATCH($C564,'Policy Characteristics'!$C:$C,0))),"",INDEX('Policy Characteristics'!F:F,MATCH($C564,'Policy Characteristics'!$C:$C,0)))</f>
        <v>0</v>
      </c>
      <c r="M564" s="283">
        <f>IF(ISBLANK(INDEX('Policy Characteristics'!G:G,MATCH($C564,'Policy Characteristics'!$C:$C,0))),"",INDEX('Policy Characteristics'!G:G,MATCH($C564,'Policy Characteristics'!$C:$C,0)))</f>
        <v>1</v>
      </c>
      <c r="N564" s="283">
        <f>IF(ISBLANK(INDEX('Policy Characteristics'!H:H,MATCH($C564,'Policy Characteristics'!$C:$C,0))),"",INDEX('Policy Characteristics'!H:H,MATCH($C564,'Policy Characteristics'!$C:$C,0)))</f>
        <v>0.01</v>
      </c>
      <c r="O564" s="275" t="str">
        <f>IF(ISBLANK(INDEX('Policy Characteristics'!I:I,MATCH($C564,'Policy Characteristics'!$C:$C,0))),"",INDEX('Policy Characteristics'!I:I,MATCH($C564,'Policy Characteristics'!$C:$C,0)))</f>
        <v>% of potential achieved</v>
      </c>
      <c r="P564" s="275" t="str">
        <f>IF(ISBLANK(INDEX('Policy Characteristics'!J:J,MATCH($C564,'Policy Characteristics'!$C:$C,0))),"",INDEX('Policy Characteristics'!J:J,MATCH($C564,'Policy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564" s="275" t="str">
        <f>IF(ISBLANK(INDEX('Policy Characteristics'!K:K,MATCH($C564,'Policy Characteristics'!$C:$C,0))),"",INDEX('Policy Characteristics'!K:K,MATCH($C564,'Policy Characteristics'!$C:$C,0)))</f>
        <v>industry-ag-main.html#clinker</v>
      </c>
      <c r="R564" s="275" t="str">
        <f>IF(ISBLANK(INDEX('Policy Characteristics'!L:L,MATCH($C564,'Policy Characteristics'!$C:$C,0))),"",INDEX('Policy Characteristics'!L:L,MATCH($C564,'Policy Characteristics'!$C:$C,0)))</f>
        <v>cement-clinker-substitution.html</v>
      </c>
    </row>
    <row r="565" spans="1:18" s="4" customFormat="1" x14ac:dyDescent="0.25">
      <c r="A565" s="275" t="str">
        <f>IF(ISBLANK(INDEX('Policy Characteristics'!A:A,MATCH($C565,'Policy Characteristics'!$C:$C,0))),"",INDEX('Policy Characteristics'!A:A,MATCH($C565,'Policy Characteristics'!$C:$C,0)))</f>
        <v>Industry</v>
      </c>
      <c r="B565" s="284" t="str">
        <f>IF(ISBLANK(INDEX('Policy Characteristics'!B:B,MATCH($C565,'Policy Characteristics'!$C:$C,0))),"",INDEX('Policy Characteristics'!B:B,MATCH($C565,'Policy Characteristics'!$C:$C,0)))</f>
        <v>Cogeneration and Waste Heat Recovery</v>
      </c>
      <c r="C565" t="s">
        <v>283</v>
      </c>
      <c r="D565" s="47"/>
      <c r="E565" s="47"/>
      <c r="F565" s="47"/>
      <c r="G565" s="47"/>
      <c r="H565" s="44">
        <v>44</v>
      </c>
      <c r="I565" s="346" t="s">
        <v>43</v>
      </c>
      <c r="J565" s="276" t="str">
        <f>IF(ISBLANK(INDEX('Policy Characteristics'!D:D,MATCH($C565,'Policy Characteristics'!$C:$C,0))),"",INDEX('Policy Characteristics'!D:D,MATCH($C565,'Policy Characteristics'!$C:$C,0)))</f>
        <v>Cogeneration and Waste Heat Recovery</v>
      </c>
      <c r="K565" s="275" t="str">
        <f>IF(ISBLANK(INDEX('Policy Characteristics'!E:E,MATCH($C565,'Policy Characteristics'!$C:$C,0))),"",INDEX('Policy Characteristics'!E:E,MATCH($C565,'Policy Characteristics'!$C:$C,0)))</f>
        <v>indst CHP</v>
      </c>
      <c r="L565" s="283">
        <f>IF(ISBLANK(INDEX('Policy Characteristics'!F:F,MATCH($C565,'Policy Characteristics'!$C:$C,0))),"",INDEX('Policy Characteristics'!F:F,MATCH($C565,'Policy Characteristics'!$C:$C,0)))</f>
        <v>0</v>
      </c>
      <c r="M565" s="283">
        <f>IF(ISBLANK(INDEX('Policy Characteristics'!G:G,MATCH($C565,'Policy Characteristics'!$C:$C,0))),"",INDEX('Policy Characteristics'!G:G,MATCH($C565,'Policy Characteristics'!$C:$C,0)))</f>
        <v>1</v>
      </c>
      <c r="N565" s="283">
        <f>IF(ISBLANK(INDEX('Policy Characteristics'!H:H,MATCH($C565,'Policy Characteristics'!$C:$C,0))),"",INDEX('Policy Characteristics'!H:H,MATCH($C565,'Policy Characteristics'!$C:$C,0)))</f>
        <v>0.01</v>
      </c>
      <c r="O565" s="275" t="str">
        <f>IF(ISBLANK(INDEX('Policy Characteristics'!I:I,MATCH($C565,'Policy Characteristics'!$C:$C,0))),"",INDEX('Policy Characteristics'!I:I,MATCH($C565,'Policy Characteristics'!$C:$C,0)))</f>
        <v>% of potential achieved</v>
      </c>
      <c r="P565" s="275" t="str">
        <f>IF(ISBLANK(INDEX('Policy Characteristics'!J:J,MATCH($C565,'Policy Characteristics'!$C:$C,0))),"",INDEX('Policy Characteristics'!J:J,MATCH($C565,'Policy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565" s="275" t="str">
        <f>IF(ISBLANK(INDEX('Policy Characteristics'!K:K,MATCH($C565,'Policy Characteristics'!$C:$C,0))),"",INDEX('Policy Characteristics'!K:K,MATCH($C565,'Policy Characteristics'!$C:$C,0)))</f>
        <v>industry-ag-main.html#cogen</v>
      </c>
      <c r="R565" s="275" t="str">
        <f>IF(ISBLANK(INDEX('Policy Characteristics'!L:L,MATCH($C565,'Policy Characteristics'!$C:$C,0))),"",INDEX('Policy Characteristics'!L:L,MATCH($C565,'Policy Characteristics'!$C:$C,0)))</f>
        <v>cogeneration-and-waste-heat-recovery.html</v>
      </c>
    </row>
    <row r="566" spans="1:18" s="4" customFormat="1" x14ac:dyDescent="0.25">
      <c r="A566" s="275" t="str">
        <f>IF(ISBLANK(INDEX('Policy Characteristics'!A:A,MATCH($C566,'Policy Characteristics'!$C:$C,0))),"",INDEX('Policy Characteristics'!A:A,MATCH($C566,'Policy Characteristics'!$C:$C,0)))</f>
        <v>Industry</v>
      </c>
      <c r="B566" s="284" t="str">
        <f>IF(ISBLANK(INDEX('Policy Characteristics'!B:B,MATCH($C566,'Policy Characteristics'!$C:$C,0))),"",INDEX('Policy Characteristics'!B:B,MATCH($C566,'Policy Characteristics'!$C:$C,0)))</f>
        <v>Early Retirement of Industrial Facilities</v>
      </c>
      <c r="C566" t="s">
        <v>58</v>
      </c>
      <c r="D566" s="47"/>
      <c r="E566" s="47"/>
      <c r="F566" s="47"/>
      <c r="G566" s="47"/>
      <c r="H566" s="44">
        <v>45</v>
      </c>
      <c r="I566" s="346" t="s">
        <v>43</v>
      </c>
      <c r="J566" s="276" t="str">
        <f>IF(ISBLANK(INDEX('Policy Characteristics'!D:D,MATCH($C566,'Policy Characteristics'!$C:$C,0))),"",INDEX('Policy Characteristics'!D:D,MATCH($C566,'Policy Characteristics'!$C:$C,0)))</f>
        <v>Early Retirement of Industrial Facilities</v>
      </c>
      <c r="K566" s="275" t="str">
        <f>IF(ISBLANK(INDEX('Policy Characteristics'!E:E,MATCH($C566,'Policy Characteristics'!$C:$C,0))),"",INDEX('Policy Characteristics'!E:E,MATCH($C566,'Policy Characteristics'!$C:$C,0)))</f>
        <v>indst early retirement</v>
      </c>
      <c r="L566" s="283">
        <f>IF(ISBLANK(INDEX('Policy Characteristics'!F:F,MATCH($C566,'Policy Characteristics'!$C:$C,0))),"",INDEX('Policy Characteristics'!F:F,MATCH($C566,'Policy Characteristics'!$C:$C,0)))</f>
        <v>0</v>
      </c>
      <c r="M566" s="283">
        <f>IF(ISBLANK(INDEX('Policy Characteristics'!G:G,MATCH($C566,'Policy Characteristics'!$C:$C,0))),"",INDEX('Policy Characteristics'!G:G,MATCH($C566,'Policy Characteristics'!$C:$C,0)))</f>
        <v>1</v>
      </c>
      <c r="N566" s="283">
        <f>IF(ISBLANK(INDEX('Policy Characteristics'!H:H,MATCH($C566,'Policy Characteristics'!$C:$C,0))),"",INDEX('Policy Characteristics'!H:H,MATCH($C566,'Policy Characteristics'!$C:$C,0)))</f>
        <v>0.01</v>
      </c>
      <c r="O566" s="275" t="str">
        <f>IF(ISBLANK(INDEX('Policy Characteristics'!I:I,MATCH($C566,'Policy Characteristics'!$C:$C,0))),"",INDEX('Policy Characteristics'!I:I,MATCH($C566,'Policy Characteristics'!$C:$C,0)))</f>
        <v>% of potential achieved</v>
      </c>
      <c r="P566" s="275" t="str">
        <f>IF(ISBLANK(INDEX('Policy Characteristics'!J:J,MATCH($C566,'Policy Characteristics'!$C:$C,0))),"",INDEX('Policy Characteristics'!J:J,MATCH($C566,'Policy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566" s="275" t="str">
        <f>IF(ISBLANK(INDEX('Policy Characteristics'!K:K,MATCH($C566,'Policy Characteristics'!$C:$C,0))),"",INDEX('Policy Characteristics'!K:K,MATCH($C566,'Policy Characteristics'!$C:$C,0)))</f>
        <v>industry-ag-main.html#early-ret</v>
      </c>
      <c r="R566" s="275" t="str">
        <f>IF(ISBLANK(INDEX('Policy Characteristics'!L:L,MATCH($C566,'Policy Characteristics'!$C:$C,0))),"",INDEX('Policy Characteristics'!L:L,MATCH($C566,'Policy Characteristics'!$C:$C,0)))</f>
        <v>early-retirement-of-industrial-facilities.html</v>
      </c>
    </row>
    <row r="567" spans="1:18" x14ac:dyDescent="0.25">
      <c r="A567" s="275" t="str">
        <f>IF(ISBLANK(INDEX('Policy Characteristics'!A:A,MATCH($C567,'Policy Characteristics'!$C:$C,0))),"",INDEX('Policy Characteristics'!A:A,MATCH($C567,'Policy Characteristics'!$C:$C,0)))</f>
        <v>Industry</v>
      </c>
      <c r="B567" s="284" t="str">
        <f>IF(ISBLANK(INDEX('Policy Characteristics'!B:B,MATCH($C567,'Policy Characteristics'!$C:$C,0))),"",INDEX('Policy Characteristics'!B:B,MATCH($C567,'Policy Characteristics'!$C:$C,0)))</f>
        <v>Electrification</v>
      </c>
      <c r="C567" t="s">
        <v>3572</v>
      </c>
      <c r="D567" s="47" t="s">
        <v>3070</v>
      </c>
      <c r="E567" s="1" t="s">
        <v>3547</v>
      </c>
      <c r="F567" t="s">
        <v>3095</v>
      </c>
      <c r="G567" s="47" t="s">
        <v>3554</v>
      </c>
      <c r="H567" s="44">
        <v>1834</v>
      </c>
      <c r="I567" s="346" t="s">
        <v>43</v>
      </c>
      <c r="J567" s="276" t="str">
        <f>IF(ISBLANK(INDEX('Policy Characteristics'!D:D,MATCH($C567,'Policy Characteristics'!$C:$C,0))),"",INDEX('Policy Characteristics'!D:D,MATCH($C567,'Policy Characteristics'!$C:$C,0)))</f>
        <v>Electrification</v>
      </c>
      <c r="K567" s="275" t="str">
        <f>IF(ISBLANK(INDEX('Policy Characteristics'!E:E,MATCH($C567,'Policy Characteristics'!$C:$C,0))),"",INDEX('Policy Characteristics'!E:E,MATCH($C567,'Policy Characteristics'!$C:$C,0)))</f>
        <v>indst shift to electricity</v>
      </c>
      <c r="L567" s="283">
        <f>IF(ISBLANK(INDEX('Policy Characteristics'!F:F,MATCH($C567,'Policy Characteristics'!$C:$C,0))),"",INDEX('Policy Characteristics'!F:F,MATCH($C567,'Policy Characteristics'!$C:$C,0)))</f>
        <v>0</v>
      </c>
      <c r="M567" s="283">
        <f>IF(ISBLANK(INDEX('Policy Characteristics'!G:G,MATCH($C567,'Policy Characteristics'!$C:$C,0))),"",INDEX('Policy Characteristics'!G:G,MATCH($C567,'Policy Characteristics'!$C:$C,0)))</f>
        <v>1</v>
      </c>
      <c r="N567" s="283">
        <f>IF(ISBLANK(INDEX('Policy Characteristics'!H:H,MATCH($C567,'Policy Characteristics'!$C:$C,0))),"",INDEX('Policy Characteristics'!H:H,MATCH($C567,'Policy Characteristics'!$C:$C,0)))</f>
        <v>0.01</v>
      </c>
      <c r="O567" s="275" t="str">
        <f>IF(ISBLANK(INDEX('Policy Characteristics'!I:I,MATCH($C567,'Policy Characteristics'!$C:$C,0))),"",INDEX('Policy Characteristics'!I:I,MATCH($C567,'Policy Characteristics'!$C:$C,0)))</f>
        <v>% of fuel shifted</v>
      </c>
      <c r="P567" s="275" t="str">
        <f>IF(ISBLANK(INDEX('Policy Characteristics'!J:J,MATCH($C567,'Policy Characteristics'!$C:$C,0))),"",INDEX('Policy Characteristics'!J:J,MATCH($C567,'Policy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7" s="275" t="str">
        <f>IF(ISBLANK(INDEX('Policy Characteristics'!K:K,MATCH($C567,'Policy Characteristics'!$C:$C,0))),"",INDEX('Policy Characteristics'!K:K,MATCH($C567,'Policy Characteristics'!$C:$C,0)))</f>
        <v>industry-ag-main.html#fuel-switching</v>
      </c>
      <c r="R567" s="275" t="str">
        <f>IF(ISBLANK(INDEX('Policy Characteristics'!L:L,MATCH($C567,'Policy Characteristics'!$C:$C,0))),"",INDEX('Policy Characteristics'!L:L,MATCH($C567,'Policy Characteristics'!$C:$C,0)))</f>
        <v>industry-elec-and-hydrogen.html</v>
      </c>
    </row>
    <row r="568" spans="1:18" x14ac:dyDescent="0.25">
      <c r="A568" s="275" t="str">
        <f>IF(ISBLANK(INDEX('Policy Characteristics'!A:A,MATCH($C568,'Policy Characteristics'!$C:$C,0))),"",INDEX('Policy Characteristics'!A:A,MATCH($C568,'Policy Characteristics'!$C:$C,0)))</f>
        <v>Industry</v>
      </c>
      <c r="B568" s="284" t="str">
        <f>IF(ISBLANK(INDEX('Policy Characteristics'!B:B,MATCH($C568,'Policy Characteristics'!$C:$C,0))),"",INDEX('Policy Characteristics'!B:B,MATCH($C568,'Policy Characteristics'!$C:$C,0)))</f>
        <v>Electrification</v>
      </c>
      <c r="C568" s="275" t="str">
        <f t="shared" ref="C568:C593" si="31">C$567</f>
        <v>Fraction of Eligible Industrial Energy Use Shifted to Electricity</v>
      </c>
      <c r="D568" s="47" t="s">
        <v>3070</v>
      </c>
      <c r="E568" s="1" t="s">
        <v>3548</v>
      </c>
      <c r="F568" t="s">
        <v>3095</v>
      </c>
      <c r="G568" s="47" t="s">
        <v>3555</v>
      </c>
      <c r="H568" s="44">
        <v>1835</v>
      </c>
      <c r="I568" s="346" t="s">
        <v>43</v>
      </c>
      <c r="J568" s="276" t="str">
        <f>IF(ISBLANK(INDEX('Policy Characteristics'!D:D,MATCH($C568,'Policy Characteristics'!$C:$C,0))),"",INDEX('Policy Characteristics'!D:D,MATCH($C568,'Policy Characteristics'!$C:$C,0)))</f>
        <v>Electrification</v>
      </c>
      <c r="K568" s="275" t="str">
        <f>IF(ISBLANK(INDEX('Policy Characteristics'!E:E,MATCH($C568,'Policy Characteristics'!$C:$C,0))),"",INDEX('Policy Characteristics'!E:E,MATCH($C568,'Policy Characteristics'!$C:$C,0)))</f>
        <v>indst shift to electricity</v>
      </c>
      <c r="L568" s="283">
        <f>IF(ISBLANK(INDEX('Policy Characteristics'!F:F,MATCH($C568,'Policy Characteristics'!$C:$C,0))),"",INDEX('Policy Characteristics'!F:F,MATCH($C568,'Policy Characteristics'!$C:$C,0)))</f>
        <v>0</v>
      </c>
      <c r="M568" s="283">
        <f>IF(ISBLANK(INDEX('Policy Characteristics'!G:G,MATCH($C568,'Policy Characteristics'!$C:$C,0))),"",INDEX('Policy Characteristics'!G:G,MATCH($C568,'Policy Characteristics'!$C:$C,0)))</f>
        <v>1</v>
      </c>
      <c r="N568" s="283">
        <f>IF(ISBLANK(INDEX('Policy Characteristics'!H:H,MATCH($C568,'Policy Characteristics'!$C:$C,0))),"",INDEX('Policy Characteristics'!H:H,MATCH($C568,'Policy Characteristics'!$C:$C,0)))</f>
        <v>0.01</v>
      </c>
      <c r="O568" s="275" t="str">
        <f>IF(ISBLANK(INDEX('Policy Characteristics'!I:I,MATCH($C568,'Policy Characteristics'!$C:$C,0))),"",INDEX('Policy Characteristics'!I:I,MATCH($C568,'Policy Characteristics'!$C:$C,0)))</f>
        <v>% of fuel shifted</v>
      </c>
      <c r="P568" s="275" t="str">
        <f>IF(ISBLANK(INDEX('Policy Characteristics'!J:J,MATCH($C568,'Policy Characteristics'!$C:$C,0))),"",INDEX('Policy Characteristics'!J:J,MATCH($C568,'Policy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8" s="275" t="str">
        <f>IF(ISBLANK(INDEX('Policy Characteristics'!K:K,MATCH($C568,'Policy Characteristics'!$C:$C,0))),"",INDEX('Policy Characteristics'!K:K,MATCH($C568,'Policy Characteristics'!$C:$C,0)))</f>
        <v>industry-ag-main.html#fuel-switching</v>
      </c>
      <c r="R568" s="275" t="str">
        <f>IF(ISBLANK(INDEX('Policy Characteristics'!L:L,MATCH($C568,'Policy Characteristics'!$C:$C,0))),"",INDEX('Policy Characteristics'!L:L,MATCH($C568,'Policy Characteristics'!$C:$C,0)))</f>
        <v>industry-elec-and-hydrogen.html</v>
      </c>
    </row>
    <row r="569" spans="1:18" x14ac:dyDescent="0.25">
      <c r="A569" s="275" t="str">
        <f>IF(ISBLANK(INDEX('Policy Characteristics'!A:A,MATCH($C569,'Policy Characteristics'!$C:$C,0))),"",INDEX('Policy Characteristics'!A:A,MATCH($C569,'Policy Characteristics'!$C:$C,0)))</f>
        <v>Industry</v>
      </c>
      <c r="B569" s="284" t="str">
        <f>IF(ISBLANK(INDEX('Policy Characteristics'!B:B,MATCH($C569,'Policy Characteristics'!$C:$C,0))),"",INDEX('Policy Characteristics'!B:B,MATCH($C569,'Policy Characteristics'!$C:$C,0)))</f>
        <v>Electrification</v>
      </c>
      <c r="C569" s="275" t="str">
        <f t="shared" si="31"/>
        <v>Fraction of Eligible Industrial Energy Use Shifted to Electricity</v>
      </c>
      <c r="D569" s="47" t="s">
        <v>3070</v>
      </c>
      <c r="E569" s="1" t="s">
        <v>3549</v>
      </c>
      <c r="F569" t="s">
        <v>3095</v>
      </c>
      <c r="G569" s="47" t="s">
        <v>3556</v>
      </c>
      <c r="H569" s="44">
        <v>1836</v>
      </c>
      <c r="I569" s="346" t="s">
        <v>44</v>
      </c>
      <c r="J569" s="276" t="str">
        <f>IF(ISBLANK(INDEX('Policy Characteristics'!D:D,MATCH($C569,'Policy Characteristics'!$C:$C,0))),"",INDEX('Policy Characteristics'!D:D,MATCH($C569,'Policy Characteristics'!$C:$C,0)))</f>
        <v>Electrification</v>
      </c>
      <c r="K569" s="275" t="str">
        <f>IF(ISBLANK(INDEX('Policy Characteristics'!E:E,MATCH($C569,'Policy Characteristics'!$C:$C,0))),"",INDEX('Policy Characteristics'!E:E,MATCH($C569,'Policy Characteristics'!$C:$C,0)))</f>
        <v>indst shift to electricity</v>
      </c>
      <c r="L569" s="283">
        <f>IF(ISBLANK(INDEX('Policy Characteristics'!F:F,MATCH($C569,'Policy Characteristics'!$C:$C,0))),"",INDEX('Policy Characteristics'!F:F,MATCH($C569,'Policy Characteristics'!$C:$C,0)))</f>
        <v>0</v>
      </c>
      <c r="M569" s="283">
        <f>IF(ISBLANK(INDEX('Policy Characteristics'!G:G,MATCH($C569,'Policy Characteristics'!$C:$C,0))),"",INDEX('Policy Characteristics'!G:G,MATCH($C569,'Policy Characteristics'!$C:$C,0)))</f>
        <v>1</v>
      </c>
      <c r="N569" s="283">
        <f>IF(ISBLANK(INDEX('Policy Characteristics'!H:H,MATCH($C569,'Policy Characteristics'!$C:$C,0))),"",INDEX('Policy Characteristics'!H:H,MATCH($C569,'Policy Characteristics'!$C:$C,0)))</f>
        <v>0.01</v>
      </c>
      <c r="O569" s="275" t="str">
        <f>IF(ISBLANK(INDEX('Policy Characteristics'!I:I,MATCH($C569,'Policy Characteristics'!$C:$C,0))),"",INDEX('Policy Characteristics'!I:I,MATCH($C569,'Policy Characteristics'!$C:$C,0)))</f>
        <v>% of fuel shifted</v>
      </c>
      <c r="P569" s="275" t="str">
        <f>IF(ISBLANK(INDEX('Policy Characteristics'!J:J,MATCH($C569,'Policy Characteristics'!$C:$C,0))),"",INDEX('Policy Characteristics'!J:J,MATCH($C569,'Policy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9" s="275" t="str">
        <f>IF(ISBLANK(INDEX('Policy Characteristics'!K:K,MATCH($C569,'Policy Characteristics'!$C:$C,0))),"",INDEX('Policy Characteristics'!K:K,MATCH($C569,'Policy Characteristics'!$C:$C,0)))</f>
        <v>industry-ag-main.html#fuel-switching</v>
      </c>
      <c r="R569" s="275" t="str">
        <f>IF(ISBLANK(INDEX('Policy Characteristics'!L:L,MATCH($C569,'Policy Characteristics'!$C:$C,0))),"",INDEX('Policy Characteristics'!L:L,MATCH($C569,'Policy Characteristics'!$C:$C,0)))</f>
        <v>industry-elec-and-hydrogen.html</v>
      </c>
    </row>
    <row r="570" spans="1:18" x14ac:dyDescent="0.25">
      <c r="A570" s="275" t="str">
        <f>IF(ISBLANK(INDEX('Policy Characteristics'!A:A,MATCH($C570,'Policy Characteristics'!$C:$C,0))),"",INDEX('Policy Characteristics'!A:A,MATCH($C570,'Policy Characteristics'!$C:$C,0)))</f>
        <v>Industry</v>
      </c>
      <c r="B570" s="284" t="str">
        <f>IF(ISBLANK(INDEX('Policy Characteristics'!B:B,MATCH($C570,'Policy Characteristics'!$C:$C,0))),"",INDEX('Policy Characteristics'!B:B,MATCH($C570,'Policy Characteristics'!$C:$C,0)))</f>
        <v>Electrification</v>
      </c>
      <c r="C570" s="275" t="str">
        <f t="shared" si="31"/>
        <v>Fraction of Eligible Industrial Energy Use Shifted to Electricity</v>
      </c>
      <c r="D570" s="47" t="s">
        <v>3070</v>
      </c>
      <c r="E570" s="1" t="s">
        <v>3550</v>
      </c>
      <c r="F570" t="s">
        <v>3095</v>
      </c>
      <c r="G570" s="47" t="s">
        <v>3557</v>
      </c>
      <c r="H570" s="44">
        <v>1837</v>
      </c>
      <c r="I570" s="346" t="s">
        <v>44</v>
      </c>
      <c r="J570" s="276" t="str">
        <f>IF(ISBLANK(INDEX('Policy Characteristics'!D:D,MATCH($C570,'Policy Characteristics'!$C:$C,0))),"",INDEX('Policy Characteristics'!D:D,MATCH($C570,'Policy Characteristics'!$C:$C,0)))</f>
        <v>Electrification</v>
      </c>
      <c r="K570" s="275" t="str">
        <f>IF(ISBLANK(INDEX('Policy Characteristics'!E:E,MATCH($C570,'Policy Characteristics'!$C:$C,0))),"",INDEX('Policy Characteristics'!E:E,MATCH($C570,'Policy Characteristics'!$C:$C,0)))</f>
        <v>indst shift to electricity</v>
      </c>
      <c r="L570" s="283">
        <f>IF(ISBLANK(INDEX('Policy Characteristics'!F:F,MATCH($C570,'Policy Characteristics'!$C:$C,0))),"",INDEX('Policy Characteristics'!F:F,MATCH($C570,'Policy Characteristics'!$C:$C,0)))</f>
        <v>0</v>
      </c>
      <c r="M570" s="283">
        <f>IF(ISBLANK(INDEX('Policy Characteristics'!G:G,MATCH($C570,'Policy Characteristics'!$C:$C,0))),"",INDEX('Policy Characteristics'!G:G,MATCH($C570,'Policy Characteristics'!$C:$C,0)))</f>
        <v>1</v>
      </c>
      <c r="N570" s="283">
        <f>IF(ISBLANK(INDEX('Policy Characteristics'!H:H,MATCH($C570,'Policy Characteristics'!$C:$C,0))),"",INDEX('Policy Characteristics'!H:H,MATCH($C570,'Policy Characteristics'!$C:$C,0)))</f>
        <v>0.01</v>
      </c>
      <c r="O570" s="275" t="str">
        <f>IF(ISBLANK(INDEX('Policy Characteristics'!I:I,MATCH($C570,'Policy Characteristics'!$C:$C,0))),"",INDEX('Policy Characteristics'!I:I,MATCH($C570,'Policy Characteristics'!$C:$C,0)))</f>
        <v>% of fuel shifted</v>
      </c>
      <c r="P570" s="275" t="str">
        <f>IF(ISBLANK(INDEX('Policy Characteristics'!J:J,MATCH($C570,'Policy Characteristics'!$C:$C,0))),"",INDEX('Policy Characteristics'!J:J,MATCH($C570,'Policy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0" s="275" t="str">
        <f>IF(ISBLANK(INDEX('Policy Characteristics'!K:K,MATCH($C570,'Policy Characteristics'!$C:$C,0))),"",INDEX('Policy Characteristics'!K:K,MATCH($C570,'Policy Characteristics'!$C:$C,0)))</f>
        <v>industry-ag-main.html#fuel-switching</v>
      </c>
      <c r="R570" s="275" t="str">
        <f>IF(ISBLANK(INDEX('Policy Characteristics'!L:L,MATCH($C570,'Policy Characteristics'!$C:$C,0))),"",INDEX('Policy Characteristics'!L:L,MATCH($C570,'Policy Characteristics'!$C:$C,0)))</f>
        <v>industry-elec-and-hydrogen.html</v>
      </c>
    </row>
    <row r="571" spans="1:18" x14ac:dyDescent="0.25">
      <c r="A571" s="275" t="str">
        <f>IF(ISBLANK(INDEX('Policy Characteristics'!A:A,MATCH($C571,'Policy Characteristics'!$C:$C,0))),"",INDEX('Policy Characteristics'!A:A,MATCH($C571,'Policy Characteristics'!$C:$C,0)))</f>
        <v>Industry</v>
      </c>
      <c r="B571" s="284" t="str">
        <f>IF(ISBLANK(INDEX('Policy Characteristics'!B:B,MATCH($C571,'Policy Characteristics'!$C:$C,0))),"",INDEX('Policy Characteristics'!B:B,MATCH($C571,'Policy Characteristics'!$C:$C,0)))</f>
        <v>Electrification</v>
      </c>
      <c r="C571" s="275" t="str">
        <f t="shared" si="31"/>
        <v>Fraction of Eligible Industrial Energy Use Shifted to Electricity</v>
      </c>
      <c r="D571" s="47" t="s">
        <v>3070</v>
      </c>
      <c r="E571" s="1" t="s">
        <v>3551</v>
      </c>
      <c r="F571" t="s">
        <v>3095</v>
      </c>
      <c r="G571" s="47" t="s">
        <v>3558</v>
      </c>
      <c r="H571" s="44">
        <v>1838</v>
      </c>
      <c r="I571" s="346" t="s">
        <v>44</v>
      </c>
      <c r="J571" s="276" t="str">
        <f>IF(ISBLANK(INDEX('Policy Characteristics'!D:D,MATCH($C571,'Policy Characteristics'!$C:$C,0))),"",INDEX('Policy Characteristics'!D:D,MATCH($C571,'Policy Characteristics'!$C:$C,0)))</f>
        <v>Electrification</v>
      </c>
      <c r="K571" s="275" t="str">
        <f>IF(ISBLANK(INDEX('Policy Characteristics'!E:E,MATCH($C571,'Policy Characteristics'!$C:$C,0))),"",INDEX('Policy Characteristics'!E:E,MATCH($C571,'Policy Characteristics'!$C:$C,0)))</f>
        <v>indst shift to electricity</v>
      </c>
      <c r="L571" s="283">
        <f>IF(ISBLANK(INDEX('Policy Characteristics'!F:F,MATCH($C571,'Policy Characteristics'!$C:$C,0))),"",INDEX('Policy Characteristics'!F:F,MATCH($C571,'Policy Characteristics'!$C:$C,0)))</f>
        <v>0</v>
      </c>
      <c r="M571" s="283">
        <f>IF(ISBLANK(INDEX('Policy Characteristics'!G:G,MATCH($C571,'Policy Characteristics'!$C:$C,0))),"",INDEX('Policy Characteristics'!G:G,MATCH($C571,'Policy Characteristics'!$C:$C,0)))</f>
        <v>1</v>
      </c>
      <c r="N571" s="283">
        <f>IF(ISBLANK(INDEX('Policy Characteristics'!H:H,MATCH($C571,'Policy Characteristics'!$C:$C,0))),"",INDEX('Policy Characteristics'!H:H,MATCH($C571,'Policy Characteristics'!$C:$C,0)))</f>
        <v>0.01</v>
      </c>
      <c r="O571" s="275" t="str">
        <f>IF(ISBLANK(INDEX('Policy Characteristics'!I:I,MATCH($C571,'Policy Characteristics'!$C:$C,0))),"",INDEX('Policy Characteristics'!I:I,MATCH($C571,'Policy Characteristics'!$C:$C,0)))</f>
        <v>% of fuel shifted</v>
      </c>
      <c r="P571" s="275" t="str">
        <f>IF(ISBLANK(INDEX('Policy Characteristics'!J:J,MATCH($C571,'Policy Characteristics'!$C:$C,0))),"",INDEX('Policy Characteristics'!J:J,MATCH($C571,'Policy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1" s="275" t="str">
        <f>IF(ISBLANK(INDEX('Policy Characteristics'!K:K,MATCH($C571,'Policy Characteristics'!$C:$C,0))),"",INDEX('Policy Characteristics'!K:K,MATCH($C571,'Policy Characteristics'!$C:$C,0)))</f>
        <v>industry-ag-main.html#fuel-switching</v>
      </c>
      <c r="R571" s="275" t="str">
        <f>IF(ISBLANK(INDEX('Policy Characteristics'!L:L,MATCH($C571,'Policy Characteristics'!$C:$C,0))),"",INDEX('Policy Characteristics'!L:L,MATCH($C571,'Policy Characteristics'!$C:$C,0)))</f>
        <v>industry-elec-and-hydrogen.html</v>
      </c>
    </row>
    <row r="572" spans="1:18" x14ac:dyDescent="0.25">
      <c r="A572" s="275" t="str">
        <f>IF(ISBLANK(INDEX('Policy Characteristics'!A:A,MATCH($C572,'Policy Characteristics'!$C:$C,0))),"",INDEX('Policy Characteristics'!A:A,MATCH($C572,'Policy Characteristics'!$C:$C,0)))</f>
        <v>Industry</v>
      </c>
      <c r="B572" s="284" t="str">
        <f>IF(ISBLANK(INDEX('Policy Characteristics'!B:B,MATCH($C572,'Policy Characteristics'!$C:$C,0))),"",INDEX('Policy Characteristics'!B:B,MATCH($C572,'Policy Characteristics'!$C:$C,0)))</f>
        <v>Electrification</v>
      </c>
      <c r="C572" s="275" t="str">
        <f t="shared" si="31"/>
        <v>Fraction of Eligible Industrial Energy Use Shifted to Electricity</v>
      </c>
      <c r="D572" s="47" t="s">
        <v>3070</v>
      </c>
      <c r="E572" s="1" t="s">
        <v>3552</v>
      </c>
      <c r="F572" t="s">
        <v>3095</v>
      </c>
      <c r="G572" s="47" t="s">
        <v>3559</v>
      </c>
      <c r="H572" s="44">
        <v>1839</v>
      </c>
      <c r="I572" s="346" t="s">
        <v>43</v>
      </c>
      <c r="J572" s="276" t="str">
        <f>IF(ISBLANK(INDEX('Policy Characteristics'!D:D,MATCH($C572,'Policy Characteristics'!$C:$C,0))),"",INDEX('Policy Characteristics'!D:D,MATCH($C572,'Policy Characteristics'!$C:$C,0)))</f>
        <v>Electrification</v>
      </c>
      <c r="K572" s="275" t="str">
        <f>IF(ISBLANK(INDEX('Policy Characteristics'!E:E,MATCH($C572,'Policy Characteristics'!$C:$C,0))),"",INDEX('Policy Characteristics'!E:E,MATCH($C572,'Policy Characteristics'!$C:$C,0)))</f>
        <v>indst shift to electricity</v>
      </c>
      <c r="L572" s="283">
        <f>IF(ISBLANK(INDEX('Policy Characteristics'!F:F,MATCH($C572,'Policy Characteristics'!$C:$C,0))),"",INDEX('Policy Characteristics'!F:F,MATCH($C572,'Policy Characteristics'!$C:$C,0)))</f>
        <v>0</v>
      </c>
      <c r="M572" s="283">
        <f>IF(ISBLANK(INDEX('Policy Characteristics'!G:G,MATCH($C572,'Policy Characteristics'!$C:$C,0))),"",INDEX('Policy Characteristics'!G:G,MATCH($C572,'Policy Characteristics'!$C:$C,0)))</f>
        <v>1</v>
      </c>
      <c r="N572" s="283">
        <f>IF(ISBLANK(INDEX('Policy Characteristics'!H:H,MATCH($C572,'Policy Characteristics'!$C:$C,0))),"",INDEX('Policy Characteristics'!H:H,MATCH($C572,'Policy Characteristics'!$C:$C,0)))</f>
        <v>0.01</v>
      </c>
      <c r="O572" s="275" t="str">
        <f>IF(ISBLANK(INDEX('Policy Characteristics'!I:I,MATCH($C572,'Policy Characteristics'!$C:$C,0))),"",INDEX('Policy Characteristics'!I:I,MATCH($C572,'Policy Characteristics'!$C:$C,0)))</f>
        <v>% of fuel shifted</v>
      </c>
      <c r="P572" s="275" t="str">
        <f>IF(ISBLANK(INDEX('Policy Characteristics'!J:J,MATCH($C572,'Policy Characteristics'!$C:$C,0))),"",INDEX('Policy Characteristics'!J:J,MATCH($C572,'Policy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2" s="275" t="str">
        <f>IF(ISBLANK(INDEX('Policy Characteristics'!K:K,MATCH($C572,'Policy Characteristics'!$C:$C,0))),"",INDEX('Policy Characteristics'!K:K,MATCH($C572,'Policy Characteristics'!$C:$C,0)))</f>
        <v>industry-ag-main.html#fuel-switching</v>
      </c>
      <c r="R572" s="275" t="str">
        <f>IF(ISBLANK(INDEX('Policy Characteristics'!L:L,MATCH($C572,'Policy Characteristics'!$C:$C,0))),"",INDEX('Policy Characteristics'!L:L,MATCH($C572,'Policy Characteristics'!$C:$C,0)))</f>
        <v>industry-elec-and-hydrogen.html</v>
      </c>
    </row>
    <row r="573" spans="1:18" x14ac:dyDescent="0.25">
      <c r="A573" s="275" t="str">
        <f>IF(ISBLANK(INDEX('Policy Characteristics'!A:A,MATCH($C573,'Policy Characteristics'!$C:$C,0))),"",INDEX('Policy Characteristics'!A:A,MATCH($C573,'Policy Characteristics'!$C:$C,0)))</f>
        <v>Industry</v>
      </c>
      <c r="B573" s="284" t="str">
        <f>IF(ISBLANK(INDEX('Policy Characteristics'!B:B,MATCH($C573,'Policy Characteristics'!$C:$C,0))),"",INDEX('Policy Characteristics'!B:B,MATCH($C573,'Policy Characteristics'!$C:$C,0)))</f>
        <v>Electrification</v>
      </c>
      <c r="C573" s="275" t="str">
        <f t="shared" si="31"/>
        <v>Fraction of Eligible Industrial Energy Use Shifted to Electricity</v>
      </c>
      <c r="D573" s="47" t="s">
        <v>3070</v>
      </c>
      <c r="E573" s="1" t="s">
        <v>3553</v>
      </c>
      <c r="F573" t="s">
        <v>3095</v>
      </c>
      <c r="G573" s="47" t="s">
        <v>3560</v>
      </c>
      <c r="H573" s="44">
        <v>1840</v>
      </c>
      <c r="I573" s="346" t="s">
        <v>44</v>
      </c>
      <c r="J573" s="276" t="str">
        <f>IF(ISBLANK(INDEX('Policy Characteristics'!D:D,MATCH($C573,'Policy Characteristics'!$C:$C,0))),"",INDEX('Policy Characteristics'!D:D,MATCH($C573,'Policy Characteristics'!$C:$C,0)))</f>
        <v>Electrification</v>
      </c>
      <c r="K573" s="275" t="str">
        <f>IF(ISBLANK(INDEX('Policy Characteristics'!E:E,MATCH($C573,'Policy Characteristics'!$C:$C,0))),"",INDEX('Policy Characteristics'!E:E,MATCH($C573,'Policy Characteristics'!$C:$C,0)))</f>
        <v>indst shift to electricity</v>
      </c>
      <c r="L573" s="283">
        <f>IF(ISBLANK(INDEX('Policy Characteristics'!F:F,MATCH($C573,'Policy Characteristics'!$C:$C,0))),"",INDEX('Policy Characteristics'!F:F,MATCH($C573,'Policy Characteristics'!$C:$C,0)))</f>
        <v>0</v>
      </c>
      <c r="M573" s="283">
        <f>IF(ISBLANK(INDEX('Policy Characteristics'!G:G,MATCH($C573,'Policy Characteristics'!$C:$C,0))),"",INDEX('Policy Characteristics'!G:G,MATCH($C573,'Policy Characteristics'!$C:$C,0)))</f>
        <v>1</v>
      </c>
      <c r="N573" s="283">
        <f>IF(ISBLANK(INDEX('Policy Characteristics'!H:H,MATCH($C573,'Policy Characteristics'!$C:$C,0))),"",INDEX('Policy Characteristics'!H:H,MATCH($C573,'Policy Characteristics'!$C:$C,0)))</f>
        <v>0.01</v>
      </c>
      <c r="O573" s="275" t="str">
        <f>IF(ISBLANK(INDEX('Policy Characteristics'!I:I,MATCH($C573,'Policy Characteristics'!$C:$C,0))),"",INDEX('Policy Characteristics'!I:I,MATCH($C573,'Policy Characteristics'!$C:$C,0)))</f>
        <v>% of fuel shifted</v>
      </c>
      <c r="P573" s="275" t="str">
        <f>IF(ISBLANK(INDEX('Policy Characteristics'!J:J,MATCH($C573,'Policy Characteristics'!$C:$C,0))),"",INDEX('Policy Characteristics'!J:J,MATCH($C573,'Policy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3" s="275" t="str">
        <f>IF(ISBLANK(INDEX('Policy Characteristics'!K:K,MATCH($C573,'Policy Characteristics'!$C:$C,0))),"",INDEX('Policy Characteristics'!K:K,MATCH($C573,'Policy Characteristics'!$C:$C,0)))</f>
        <v>industry-ag-main.html#fuel-switching</v>
      </c>
      <c r="R573" s="275" t="str">
        <f>IF(ISBLANK(INDEX('Policy Characteristics'!L:L,MATCH($C573,'Policy Characteristics'!$C:$C,0))),"",INDEX('Policy Characteristics'!L:L,MATCH($C573,'Policy Characteristics'!$C:$C,0)))</f>
        <v>industry-elec-and-hydrogen.html</v>
      </c>
    </row>
    <row r="574" spans="1:18" x14ac:dyDescent="0.25">
      <c r="A574" s="275" t="str">
        <f>IF(ISBLANK(INDEX('Policy Characteristics'!A:A,MATCH($C574,'Policy Characteristics'!$C:$C,0))),"",INDEX('Policy Characteristics'!A:A,MATCH($C574,'Policy Characteristics'!$C:$C,0)))</f>
        <v>Industry</v>
      </c>
      <c r="B574" s="284" t="str">
        <f>IF(ISBLANK(INDEX('Policy Characteristics'!B:B,MATCH($C574,'Policy Characteristics'!$C:$C,0))),"",INDEX('Policy Characteristics'!B:B,MATCH($C574,'Policy Characteristics'!$C:$C,0)))</f>
        <v>Electrification</v>
      </c>
      <c r="C574" s="275" t="str">
        <f t="shared" si="31"/>
        <v>Fraction of Eligible Industrial Energy Use Shifted to Electricity</v>
      </c>
      <c r="D574" s="47" t="s">
        <v>3070</v>
      </c>
      <c r="E574" s="1" t="s">
        <v>3738</v>
      </c>
      <c r="F574" t="s">
        <v>3095</v>
      </c>
      <c r="G574" s="47" t="s">
        <v>3738</v>
      </c>
      <c r="H574" s="44">
        <v>1841</v>
      </c>
      <c r="I574" s="346" t="s">
        <v>44</v>
      </c>
      <c r="J574" s="276" t="str">
        <f>IF(ISBLANK(INDEX('Policy Characteristics'!D:D,MATCH($C574,'Policy Characteristics'!$C:$C,0))),"",INDEX('Policy Characteristics'!D:D,MATCH($C574,'Policy Characteristics'!$C:$C,0)))</f>
        <v>Electrification</v>
      </c>
      <c r="K574" s="275" t="str">
        <f>IF(ISBLANK(INDEX('Policy Characteristics'!E:E,MATCH($C574,'Policy Characteristics'!$C:$C,0))),"",INDEX('Policy Characteristics'!E:E,MATCH($C574,'Policy Characteristics'!$C:$C,0)))</f>
        <v>indst shift to electricity</v>
      </c>
      <c r="L574" s="283">
        <f>IF(ISBLANK(INDEX('Policy Characteristics'!F:F,MATCH($C574,'Policy Characteristics'!$C:$C,0))),"",INDEX('Policy Characteristics'!F:F,MATCH($C574,'Policy Characteristics'!$C:$C,0)))</f>
        <v>0</v>
      </c>
      <c r="M574" s="283">
        <f>IF(ISBLANK(INDEX('Policy Characteristics'!G:G,MATCH($C574,'Policy Characteristics'!$C:$C,0))),"",INDEX('Policy Characteristics'!G:G,MATCH($C574,'Policy Characteristics'!$C:$C,0)))</f>
        <v>1</v>
      </c>
      <c r="N574" s="283">
        <f>IF(ISBLANK(INDEX('Policy Characteristics'!H:H,MATCH($C574,'Policy Characteristics'!$C:$C,0))),"",INDEX('Policy Characteristics'!H:H,MATCH($C574,'Policy Characteristics'!$C:$C,0)))</f>
        <v>0.01</v>
      </c>
      <c r="O574" s="275" t="str">
        <f>IF(ISBLANK(INDEX('Policy Characteristics'!I:I,MATCH($C574,'Policy Characteristics'!$C:$C,0))),"",INDEX('Policy Characteristics'!I:I,MATCH($C574,'Policy Characteristics'!$C:$C,0)))</f>
        <v>% of fuel shifted</v>
      </c>
      <c r="P574" s="275" t="str">
        <f>IF(ISBLANK(INDEX('Policy Characteristics'!J:J,MATCH($C574,'Policy Characteristics'!$C:$C,0))),"",INDEX('Policy Characteristics'!J:J,MATCH($C574,'Policy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4" s="275" t="str">
        <f>IF(ISBLANK(INDEX('Policy Characteristics'!K:K,MATCH($C574,'Policy Characteristics'!$C:$C,0))),"",INDEX('Policy Characteristics'!K:K,MATCH($C574,'Policy Characteristics'!$C:$C,0)))</f>
        <v>industry-ag-main.html#fuel-switching</v>
      </c>
      <c r="R574" s="275" t="str">
        <f>IF(ISBLANK(INDEX('Policy Characteristics'!L:L,MATCH($C574,'Policy Characteristics'!$C:$C,0))),"",INDEX('Policy Characteristics'!L:L,MATCH($C574,'Policy Characteristics'!$C:$C,0)))</f>
        <v>industry-elec-and-hydrogen.html</v>
      </c>
    </row>
    <row r="575" spans="1:18" x14ac:dyDescent="0.25">
      <c r="A575" s="275" t="str">
        <f>IF(ISBLANK(INDEX('Policy Characteristics'!A:A,MATCH($C575,'Policy Characteristics'!$C:$C,0))),"",INDEX('Policy Characteristics'!A:A,MATCH($C575,'Policy Characteristics'!$C:$C,0)))</f>
        <v>Industry</v>
      </c>
      <c r="B575" s="284" t="str">
        <f>IF(ISBLANK(INDEX('Policy Characteristics'!B:B,MATCH($C575,'Policy Characteristics'!$C:$C,0))),"",INDEX('Policy Characteristics'!B:B,MATCH($C575,'Policy Characteristics'!$C:$C,0)))</f>
        <v>Electrification</v>
      </c>
      <c r="C575" s="275" t="str">
        <f t="shared" si="31"/>
        <v>Fraction of Eligible Industrial Energy Use Shifted to Electricity</v>
      </c>
      <c r="D575" s="6" t="s">
        <v>3071</v>
      </c>
      <c r="E575" s="1" t="s">
        <v>3547</v>
      </c>
      <c r="F575" t="s">
        <v>2763</v>
      </c>
      <c r="G575" s="47" t="s">
        <v>3554</v>
      </c>
      <c r="H575" s="44">
        <v>1842</v>
      </c>
      <c r="I575" s="346" t="s">
        <v>44</v>
      </c>
      <c r="J575" s="276" t="str">
        <f>IF(ISBLANK(INDEX('Policy Characteristics'!D:D,MATCH($C575,'Policy Characteristics'!$C:$C,0))),"",INDEX('Policy Characteristics'!D:D,MATCH($C575,'Policy Characteristics'!$C:$C,0)))</f>
        <v>Electrification</v>
      </c>
      <c r="K575" s="275" t="str">
        <f>IF(ISBLANK(INDEX('Policy Characteristics'!E:E,MATCH($C575,'Policy Characteristics'!$C:$C,0))),"",INDEX('Policy Characteristics'!E:E,MATCH($C575,'Policy Characteristics'!$C:$C,0)))</f>
        <v>indst shift to electricity</v>
      </c>
      <c r="L575" s="283">
        <f>IF(ISBLANK(INDEX('Policy Characteristics'!F:F,MATCH($C575,'Policy Characteristics'!$C:$C,0))),"",INDEX('Policy Characteristics'!F:F,MATCH($C575,'Policy Characteristics'!$C:$C,0)))</f>
        <v>0</v>
      </c>
      <c r="M575" s="283">
        <f>IF(ISBLANK(INDEX('Policy Characteristics'!G:G,MATCH($C575,'Policy Characteristics'!$C:$C,0))),"",INDEX('Policy Characteristics'!G:G,MATCH($C575,'Policy Characteristics'!$C:$C,0)))</f>
        <v>1</v>
      </c>
      <c r="N575" s="283">
        <f>IF(ISBLANK(INDEX('Policy Characteristics'!H:H,MATCH($C575,'Policy Characteristics'!$C:$C,0))),"",INDEX('Policy Characteristics'!H:H,MATCH($C575,'Policy Characteristics'!$C:$C,0)))</f>
        <v>0.01</v>
      </c>
      <c r="O575" s="275" t="str">
        <f>IF(ISBLANK(INDEX('Policy Characteristics'!I:I,MATCH($C575,'Policy Characteristics'!$C:$C,0))),"",INDEX('Policy Characteristics'!I:I,MATCH($C575,'Policy Characteristics'!$C:$C,0)))</f>
        <v>% of fuel shifted</v>
      </c>
      <c r="P575" s="275" t="str">
        <f>IF(ISBLANK(INDEX('Policy Characteristics'!J:J,MATCH($C575,'Policy Characteristics'!$C:$C,0))),"",INDEX('Policy Characteristics'!J:J,MATCH($C575,'Policy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5" s="275" t="str">
        <f>IF(ISBLANK(INDEX('Policy Characteristics'!K:K,MATCH($C575,'Policy Characteristics'!$C:$C,0))),"",INDEX('Policy Characteristics'!K:K,MATCH($C575,'Policy Characteristics'!$C:$C,0)))</f>
        <v>industry-ag-main.html#fuel-switching</v>
      </c>
      <c r="R575" s="275" t="str">
        <f>IF(ISBLANK(INDEX('Policy Characteristics'!L:L,MATCH($C575,'Policy Characteristics'!$C:$C,0))),"",INDEX('Policy Characteristics'!L:L,MATCH($C575,'Policy Characteristics'!$C:$C,0)))</f>
        <v>industry-elec-and-hydrogen.html</v>
      </c>
    </row>
    <row r="576" spans="1:18" x14ac:dyDescent="0.25">
      <c r="A576" s="275" t="str">
        <f>IF(ISBLANK(INDEX('Policy Characteristics'!A:A,MATCH($C576,'Policy Characteristics'!$C:$C,0))),"",INDEX('Policy Characteristics'!A:A,MATCH($C576,'Policy Characteristics'!$C:$C,0)))</f>
        <v>Industry</v>
      </c>
      <c r="B576" s="284" t="str">
        <f>IF(ISBLANK(INDEX('Policy Characteristics'!B:B,MATCH($C576,'Policy Characteristics'!$C:$C,0))),"",INDEX('Policy Characteristics'!B:B,MATCH($C576,'Policy Characteristics'!$C:$C,0)))</f>
        <v>Electrification</v>
      </c>
      <c r="C576" s="275" t="str">
        <f t="shared" si="31"/>
        <v>Fraction of Eligible Industrial Energy Use Shifted to Electricity</v>
      </c>
      <c r="D576" s="6" t="s">
        <v>3071</v>
      </c>
      <c r="E576" s="1" t="s">
        <v>3548</v>
      </c>
      <c r="F576" t="s">
        <v>2763</v>
      </c>
      <c r="G576" s="47" t="s">
        <v>3555</v>
      </c>
      <c r="H576" s="44">
        <v>1843</v>
      </c>
      <c r="I576" s="346" t="s">
        <v>43</v>
      </c>
      <c r="J576" s="276" t="str">
        <f>IF(ISBLANK(INDEX('Policy Characteristics'!D:D,MATCH($C576,'Policy Characteristics'!$C:$C,0))),"",INDEX('Policy Characteristics'!D:D,MATCH($C576,'Policy Characteristics'!$C:$C,0)))</f>
        <v>Electrification</v>
      </c>
      <c r="K576" s="275" t="str">
        <f>IF(ISBLANK(INDEX('Policy Characteristics'!E:E,MATCH($C576,'Policy Characteristics'!$C:$C,0))),"",INDEX('Policy Characteristics'!E:E,MATCH($C576,'Policy Characteristics'!$C:$C,0)))</f>
        <v>indst shift to electricity</v>
      </c>
      <c r="L576" s="283">
        <f>IF(ISBLANK(INDEX('Policy Characteristics'!F:F,MATCH($C576,'Policy Characteristics'!$C:$C,0))),"",INDEX('Policy Characteristics'!F:F,MATCH($C576,'Policy Characteristics'!$C:$C,0)))</f>
        <v>0</v>
      </c>
      <c r="M576" s="283">
        <f>IF(ISBLANK(INDEX('Policy Characteristics'!G:G,MATCH($C576,'Policy Characteristics'!$C:$C,0))),"",INDEX('Policy Characteristics'!G:G,MATCH($C576,'Policy Characteristics'!$C:$C,0)))</f>
        <v>1</v>
      </c>
      <c r="N576" s="283">
        <f>IF(ISBLANK(INDEX('Policy Characteristics'!H:H,MATCH($C576,'Policy Characteristics'!$C:$C,0))),"",INDEX('Policy Characteristics'!H:H,MATCH($C576,'Policy Characteristics'!$C:$C,0)))</f>
        <v>0.01</v>
      </c>
      <c r="O576" s="275" t="str">
        <f>IF(ISBLANK(INDEX('Policy Characteristics'!I:I,MATCH($C576,'Policy Characteristics'!$C:$C,0))),"",INDEX('Policy Characteristics'!I:I,MATCH($C576,'Policy Characteristics'!$C:$C,0)))</f>
        <v>% of fuel shifted</v>
      </c>
      <c r="P576" s="275" t="str">
        <f>IF(ISBLANK(INDEX('Policy Characteristics'!J:J,MATCH($C576,'Policy Characteristics'!$C:$C,0))),"",INDEX('Policy Characteristics'!J:J,MATCH($C576,'Policy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6" s="275" t="str">
        <f>IF(ISBLANK(INDEX('Policy Characteristics'!K:K,MATCH($C576,'Policy Characteristics'!$C:$C,0))),"",INDEX('Policy Characteristics'!K:K,MATCH($C576,'Policy Characteristics'!$C:$C,0)))</f>
        <v>industry-ag-main.html#fuel-switching</v>
      </c>
      <c r="R576" s="275" t="str">
        <f>IF(ISBLANK(INDEX('Policy Characteristics'!L:L,MATCH($C576,'Policy Characteristics'!$C:$C,0))),"",INDEX('Policy Characteristics'!L:L,MATCH($C576,'Policy Characteristics'!$C:$C,0)))</f>
        <v>industry-elec-and-hydrogen.html</v>
      </c>
    </row>
    <row r="577" spans="1:18" x14ac:dyDescent="0.25">
      <c r="A577" s="275" t="str">
        <f>IF(ISBLANK(INDEX('Policy Characteristics'!A:A,MATCH($C577,'Policy Characteristics'!$C:$C,0))),"",INDEX('Policy Characteristics'!A:A,MATCH($C577,'Policy Characteristics'!$C:$C,0)))</f>
        <v>Industry</v>
      </c>
      <c r="B577" s="284" t="str">
        <f>IF(ISBLANK(INDEX('Policy Characteristics'!B:B,MATCH($C577,'Policy Characteristics'!$C:$C,0))),"",INDEX('Policy Characteristics'!B:B,MATCH($C577,'Policy Characteristics'!$C:$C,0)))</f>
        <v>Electrification</v>
      </c>
      <c r="C577" s="275" t="str">
        <f t="shared" si="31"/>
        <v>Fraction of Eligible Industrial Energy Use Shifted to Electricity</v>
      </c>
      <c r="D577" s="6" t="s">
        <v>3071</v>
      </c>
      <c r="E577" s="1" t="s">
        <v>3549</v>
      </c>
      <c r="F577" t="s">
        <v>2763</v>
      </c>
      <c r="G577" s="47" t="s">
        <v>3556</v>
      </c>
      <c r="H577" s="44">
        <v>1844</v>
      </c>
      <c r="I577" s="346" t="s">
        <v>44</v>
      </c>
      <c r="J577" s="276" t="str">
        <f>IF(ISBLANK(INDEX('Policy Characteristics'!D:D,MATCH($C577,'Policy Characteristics'!$C:$C,0))),"",INDEX('Policy Characteristics'!D:D,MATCH($C577,'Policy Characteristics'!$C:$C,0)))</f>
        <v>Electrification</v>
      </c>
      <c r="K577" s="275" t="str">
        <f>IF(ISBLANK(INDEX('Policy Characteristics'!E:E,MATCH($C577,'Policy Characteristics'!$C:$C,0))),"",INDEX('Policy Characteristics'!E:E,MATCH($C577,'Policy Characteristics'!$C:$C,0)))</f>
        <v>indst shift to electricity</v>
      </c>
      <c r="L577" s="283">
        <f>IF(ISBLANK(INDEX('Policy Characteristics'!F:F,MATCH($C577,'Policy Characteristics'!$C:$C,0))),"",INDEX('Policy Characteristics'!F:F,MATCH($C577,'Policy Characteristics'!$C:$C,0)))</f>
        <v>0</v>
      </c>
      <c r="M577" s="283">
        <f>IF(ISBLANK(INDEX('Policy Characteristics'!G:G,MATCH($C577,'Policy Characteristics'!$C:$C,0))),"",INDEX('Policy Characteristics'!G:G,MATCH($C577,'Policy Characteristics'!$C:$C,0)))</f>
        <v>1</v>
      </c>
      <c r="N577" s="283">
        <f>IF(ISBLANK(INDEX('Policy Characteristics'!H:H,MATCH($C577,'Policy Characteristics'!$C:$C,0))),"",INDEX('Policy Characteristics'!H:H,MATCH($C577,'Policy Characteristics'!$C:$C,0)))</f>
        <v>0.01</v>
      </c>
      <c r="O577" s="275" t="str">
        <f>IF(ISBLANK(INDEX('Policy Characteristics'!I:I,MATCH($C577,'Policy Characteristics'!$C:$C,0))),"",INDEX('Policy Characteristics'!I:I,MATCH($C577,'Policy Characteristics'!$C:$C,0)))</f>
        <v>% of fuel shifted</v>
      </c>
      <c r="P577" s="275" t="str">
        <f>IF(ISBLANK(INDEX('Policy Characteristics'!J:J,MATCH($C577,'Policy Characteristics'!$C:$C,0))),"",INDEX('Policy Characteristics'!J:J,MATCH($C577,'Policy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7" s="275" t="str">
        <f>IF(ISBLANK(INDEX('Policy Characteristics'!K:K,MATCH($C577,'Policy Characteristics'!$C:$C,0))),"",INDEX('Policy Characteristics'!K:K,MATCH($C577,'Policy Characteristics'!$C:$C,0)))</f>
        <v>industry-ag-main.html#fuel-switching</v>
      </c>
      <c r="R577" s="275" t="str">
        <f>IF(ISBLANK(INDEX('Policy Characteristics'!L:L,MATCH($C577,'Policy Characteristics'!$C:$C,0))),"",INDEX('Policy Characteristics'!L:L,MATCH($C577,'Policy Characteristics'!$C:$C,0)))</f>
        <v>industry-elec-and-hydrogen.html</v>
      </c>
    </row>
    <row r="578" spans="1:18" x14ac:dyDescent="0.25">
      <c r="A578" s="275" t="str">
        <f>IF(ISBLANK(INDEX('Policy Characteristics'!A:A,MATCH($C578,'Policy Characteristics'!$C:$C,0))),"",INDEX('Policy Characteristics'!A:A,MATCH($C578,'Policy Characteristics'!$C:$C,0)))</f>
        <v>Industry</v>
      </c>
      <c r="B578" s="284" t="str">
        <f>IF(ISBLANK(INDEX('Policy Characteristics'!B:B,MATCH($C578,'Policy Characteristics'!$C:$C,0))),"",INDEX('Policy Characteristics'!B:B,MATCH($C578,'Policy Characteristics'!$C:$C,0)))</f>
        <v>Electrification</v>
      </c>
      <c r="C578" s="275" t="str">
        <f t="shared" si="31"/>
        <v>Fraction of Eligible Industrial Energy Use Shifted to Electricity</v>
      </c>
      <c r="D578" s="6" t="s">
        <v>3071</v>
      </c>
      <c r="E578" s="1" t="s">
        <v>3550</v>
      </c>
      <c r="F578" t="s">
        <v>2763</v>
      </c>
      <c r="G578" s="47" t="s">
        <v>3557</v>
      </c>
      <c r="H578" s="44">
        <v>1845</v>
      </c>
      <c r="I578" s="346" t="s">
        <v>44</v>
      </c>
      <c r="J578" s="276" t="str">
        <f>IF(ISBLANK(INDEX('Policy Characteristics'!D:D,MATCH($C578,'Policy Characteristics'!$C:$C,0))),"",INDEX('Policy Characteristics'!D:D,MATCH($C578,'Policy Characteristics'!$C:$C,0)))</f>
        <v>Electrification</v>
      </c>
      <c r="K578" s="275" t="str">
        <f>IF(ISBLANK(INDEX('Policy Characteristics'!E:E,MATCH($C578,'Policy Characteristics'!$C:$C,0))),"",INDEX('Policy Characteristics'!E:E,MATCH($C578,'Policy Characteristics'!$C:$C,0)))</f>
        <v>indst shift to electricity</v>
      </c>
      <c r="L578" s="283">
        <f>IF(ISBLANK(INDEX('Policy Characteristics'!F:F,MATCH($C578,'Policy Characteristics'!$C:$C,0))),"",INDEX('Policy Characteristics'!F:F,MATCH($C578,'Policy Characteristics'!$C:$C,0)))</f>
        <v>0</v>
      </c>
      <c r="M578" s="283">
        <f>IF(ISBLANK(INDEX('Policy Characteristics'!G:G,MATCH($C578,'Policy Characteristics'!$C:$C,0))),"",INDEX('Policy Characteristics'!G:G,MATCH($C578,'Policy Characteristics'!$C:$C,0)))</f>
        <v>1</v>
      </c>
      <c r="N578" s="283">
        <f>IF(ISBLANK(INDEX('Policy Characteristics'!H:H,MATCH($C578,'Policy Characteristics'!$C:$C,0))),"",INDEX('Policy Characteristics'!H:H,MATCH($C578,'Policy Characteristics'!$C:$C,0)))</f>
        <v>0.01</v>
      </c>
      <c r="O578" s="275" t="str">
        <f>IF(ISBLANK(INDEX('Policy Characteristics'!I:I,MATCH($C578,'Policy Characteristics'!$C:$C,0))),"",INDEX('Policy Characteristics'!I:I,MATCH($C578,'Policy Characteristics'!$C:$C,0)))</f>
        <v>% of fuel shifted</v>
      </c>
      <c r="P578" s="275" t="str">
        <f>IF(ISBLANK(INDEX('Policy Characteristics'!J:J,MATCH($C578,'Policy Characteristics'!$C:$C,0))),"",INDEX('Policy Characteristics'!J:J,MATCH($C578,'Policy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8" s="275" t="str">
        <f>IF(ISBLANK(INDEX('Policy Characteristics'!K:K,MATCH($C578,'Policy Characteristics'!$C:$C,0))),"",INDEX('Policy Characteristics'!K:K,MATCH($C578,'Policy Characteristics'!$C:$C,0)))</f>
        <v>industry-ag-main.html#fuel-switching</v>
      </c>
      <c r="R578" s="275" t="str">
        <f>IF(ISBLANK(INDEX('Policy Characteristics'!L:L,MATCH($C578,'Policy Characteristics'!$C:$C,0))),"",INDEX('Policy Characteristics'!L:L,MATCH($C578,'Policy Characteristics'!$C:$C,0)))</f>
        <v>industry-elec-and-hydrogen.html</v>
      </c>
    </row>
    <row r="579" spans="1:18" x14ac:dyDescent="0.25">
      <c r="A579" s="275" t="str">
        <f>IF(ISBLANK(INDEX('Policy Characteristics'!A:A,MATCH($C579,'Policy Characteristics'!$C:$C,0))),"",INDEX('Policy Characteristics'!A:A,MATCH($C579,'Policy Characteristics'!$C:$C,0)))</f>
        <v>Industry</v>
      </c>
      <c r="B579" s="284" t="str">
        <f>IF(ISBLANK(INDEX('Policy Characteristics'!B:B,MATCH($C579,'Policy Characteristics'!$C:$C,0))),"",INDEX('Policy Characteristics'!B:B,MATCH($C579,'Policy Characteristics'!$C:$C,0)))</f>
        <v>Electrification</v>
      </c>
      <c r="C579" s="275" t="str">
        <f t="shared" si="31"/>
        <v>Fraction of Eligible Industrial Energy Use Shifted to Electricity</v>
      </c>
      <c r="D579" s="6" t="s">
        <v>3071</v>
      </c>
      <c r="E579" s="1" t="s">
        <v>3551</v>
      </c>
      <c r="F579" t="s">
        <v>2763</v>
      </c>
      <c r="G579" s="47" t="s">
        <v>3558</v>
      </c>
      <c r="H579" s="44">
        <v>1846</v>
      </c>
      <c r="I579" s="346" t="s">
        <v>44</v>
      </c>
      <c r="J579" s="276" t="str">
        <f>IF(ISBLANK(INDEX('Policy Characteristics'!D:D,MATCH($C579,'Policy Characteristics'!$C:$C,0))),"",INDEX('Policy Characteristics'!D:D,MATCH($C579,'Policy Characteristics'!$C:$C,0)))</f>
        <v>Electrification</v>
      </c>
      <c r="K579" s="275" t="str">
        <f>IF(ISBLANK(INDEX('Policy Characteristics'!E:E,MATCH($C579,'Policy Characteristics'!$C:$C,0))),"",INDEX('Policy Characteristics'!E:E,MATCH($C579,'Policy Characteristics'!$C:$C,0)))</f>
        <v>indst shift to electricity</v>
      </c>
      <c r="L579" s="283">
        <f>IF(ISBLANK(INDEX('Policy Characteristics'!F:F,MATCH($C579,'Policy Characteristics'!$C:$C,0))),"",INDEX('Policy Characteristics'!F:F,MATCH($C579,'Policy Characteristics'!$C:$C,0)))</f>
        <v>0</v>
      </c>
      <c r="M579" s="283">
        <f>IF(ISBLANK(INDEX('Policy Characteristics'!G:G,MATCH($C579,'Policy Characteristics'!$C:$C,0))),"",INDEX('Policy Characteristics'!G:G,MATCH($C579,'Policy Characteristics'!$C:$C,0)))</f>
        <v>1</v>
      </c>
      <c r="N579" s="283">
        <f>IF(ISBLANK(INDEX('Policy Characteristics'!H:H,MATCH($C579,'Policy Characteristics'!$C:$C,0))),"",INDEX('Policy Characteristics'!H:H,MATCH($C579,'Policy Characteristics'!$C:$C,0)))</f>
        <v>0.01</v>
      </c>
      <c r="O579" s="275" t="str">
        <f>IF(ISBLANK(INDEX('Policy Characteristics'!I:I,MATCH($C579,'Policy Characteristics'!$C:$C,0))),"",INDEX('Policy Characteristics'!I:I,MATCH($C579,'Policy Characteristics'!$C:$C,0)))</f>
        <v>% of fuel shifted</v>
      </c>
      <c r="P579" s="275" t="str">
        <f>IF(ISBLANK(INDEX('Policy Characteristics'!J:J,MATCH($C579,'Policy Characteristics'!$C:$C,0))),"",INDEX('Policy Characteristics'!J:J,MATCH($C579,'Policy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9" s="275" t="str">
        <f>IF(ISBLANK(INDEX('Policy Characteristics'!K:K,MATCH($C579,'Policy Characteristics'!$C:$C,0))),"",INDEX('Policy Characteristics'!K:K,MATCH($C579,'Policy Characteristics'!$C:$C,0)))</f>
        <v>industry-ag-main.html#fuel-switching</v>
      </c>
      <c r="R579" s="275" t="str">
        <f>IF(ISBLANK(INDEX('Policy Characteristics'!L:L,MATCH($C579,'Policy Characteristics'!$C:$C,0))),"",INDEX('Policy Characteristics'!L:L,MATCH($C579,'Policy Characteristics'!$C:$C,0)))</f>
        <v>industry-elec-and-hydrogen.html</v>
      </c>
    </row>
    <row r="580" spans="1:18" x14ac:dyDescent="0.25">
      <c r="A580" s="275" t="str">
        <f>IF(ISBLANK(INDEX('Policy Characteristics'!A:A,MATCH($C580,'Policy Characteristics'!$C:$C,0))),"",INDEX('Policy Characteristics'!A:A,MATCH($C580,'Policy Characteristics'!$C:$C,0)))</f>
        <v>Industry</v>
      </c>
      <c r="B580" s="284" t="str">
        <f>IF(ISBLANK(INDEX('Policy Characteristics'!B:B,MATCH($C580,'Policy Characteristics'!$C:$C,0))),"",INDEX('Policy Characteristics'!B:B,MATCH($C580,'Policy Characteristics'!$C:$C,0)))</f>
        <v>Electrification</v>
      </c>
      <c r="C580" s="275" t="str">
        <f t="shared" si="31"/>
        <v>Fraction of Eligible Industrial Energy Use Shifted to Electricity</v>
      </c>
      <c r="D580" s="6" t="s">
        <v>3071</v>
      </c>
      <c r="E580" s="1" t="s">
        <v>3552</v>
      </c>
      <c r="F580" t="s">
        <v>2763</v>
      </c>
      <c r="G580" s="47" t="s">
        <v>3559</v>
      </c>
      <c r="H580" s="44">
        <v>1847</v>
      </c>
      <c r="I580" s="346" t="s">
        <v>44</v>
      </c>
      <c r="J580" s="276" t="str">
        <f>IF(ISBLANK(INDEX('Policy Characteristics'!D:D,MATCH($C580,'Policy Characteristics'!$C:$C,0))),"",INDEX('Policy Characteristics'!D:D,MATCH($C580,'Policy Characteristics'!$C:$C,0)))</f>
        <v>Electrification</v>
      </c>
      <c r="K580" s="275" t="str">
        <f>IF(ISBLANK(INDEX('Policy Characteristics'!E:E,MATCH($C580,'Policy Characteristics'!$C:$C,0))),"",INDEX('Policy Characteristics'!E:E,MATCH($C580,'Policy Characteristics'!$C:$C,0)))</f>
        <v>indst shift to electricity</v>
      </c>
      <c r="L580" s="283">
        <f>IF(ISBLANK(INDEX('Policy Characteristics'!F:F,MATCH($C580,'Policy Characteristics'!$C:$C,0))),"",INDEX('Policy Characteristics'!F:F,MATCH($C580,'Policy Characteristics'!$C:$C,0)))</f>
        <v>0</v>
      </c>
      <c r="M580" s="283">
        <f>IF(ISBLANK(INDEX('Policy Characteristics'!G:G,MATCH($C580,'Policy Characteristics'!$C:$C,0))),"",INDEX('Policy Characteristics'!G:G,MATCH($C580,'Policy Characteristics'!$C:$C,0)))</f>
        <v>1</v>
      </c>
      <c r="N580" s="283">
        <f>IF(ISBLANK(INDEX('Policy Characteristics'!H:H,MATCH($C580,'Policy Characteristics'!$C:$C,0))),"",INDEX('Policy Characteristics'!H:H,MATCH($C580,'Policy Characteristics'!$C:$C,0)))</f>
        <v>0.01</v>
      </c>
      <c r="O580" s="275" t="str">
        <f>IF(ISBLANK(INDEX('Policy Characteristics'!I:I,MATCH($C580,'Policy Characteristics'!$C:$C,0))),"",INDEX('Policy Characteristics'!I:I,MATCH($C580,'Policy Characteristics'!$C:$C,0)))</f>
        <v>% of fuel shifted</v>
      </c>
      <c r="P580" s="275" t="str">
        <f>IF(ISBLANK(INDEX('Policy Characteristics'!J:J,MATCH($C580,'Policy Characteristics'!$C:$C,0))),"",INDEX('Policy Characteristics'!J:J,MATCH($C580,'Policy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0" s="275" t="str">
        <f>IF(ISBLANK(INDEX('Policy Characteristics'!K:K,MATCH($C580,'Policy Characteristics'!$C:$C,0))),"",INDEX('Policy Characteristics'!K:K,MATCH($C580,'Policy Characteristics'!$C:$C,0)))</f>
        <v>industry-ag-main.html#fuel-switching</v>
      </c>
      <c r="R580" s="275" t="str">
        <f>IF(ISBLANK(INDEX('Policy Characteristics'!L:L,MATCH($C580,'Policy Characteristics'!$C:$C,0))),"",INDEX('Policy Characteristics'!L:L,MATCH($C580,'Policy Characteristics'!$C:$C,0)))</f>
        <v>industry-elec-and-hydrogen.html</v>
      </c>
    </row>
    <row r="581" spans="1:18" x14ac:dyDescent="0.25">
      <c r="A581" s="275" t="str">
        <f>IF(ISBLANK(INDEX('Policy Characteristics'!A:A,MATCH($C581,'Policy Characteristics'!$C:$C,0))),"",INDEX('Policy Characteristics'!A:A,MATCH($C581,'Policy Characteristics'!$C:$C,0)))</f>
        <v>Industry</v>
      </c>
      <c r="B581" s="284" t="str">
        <f>IF(ISBLANK(INDEX('Policy Characteristics'!B:B,MATCH($C581,'Policy Characteristics'!$C:$C,0))),"",INDEX('Policy Characteristics'!B:B,MATCH($C581,'Policy Characteristics'!$C:$C,0)))</f>
        <v>Electrification</v>
      </c>
      <c r="C581" s="275" t="str">
        <f t="shared" si="31"/>
        <v>Fraction of Eligible Industrial Energy Use Shifted to Electricity</v>
      </c>
      <c r="D581" s="6" t="s">
        <v>3071</v>
      </c>
      <c r="E581" s="1" t="s">
        <v>3553</v>
      </c>
      <c r="F581" t="s">
        <v>2763</v>
      </c>
      <c r="G581" s="47" t="s">
        <v>3560</v>
      </c>
      <c r="H581" s="44">
        <v>1848</v>
      </c>
      <c r="I581" s="346" t="s">
        <v>44</v>
      </c>
      <c r="J581" s="276" t="str">
        <f>IF(ISBLANK(INDEX('Policy Characteristics'!D:D,MATCH($C581,'Policy Characteristics'!$C:$C,0))),"",INDEX('Policy Characteristics'!D:D,MATCH($C581,'Policy Characteristics'!$C:$C,0)))</f>
        <v>Electrification</v>
      </c>
      <c r="K581" s="275" t="str">
        <f>IF(ISBLANK(INDEX('Policy Characteristics'!E:E,MATCH($C581,'Policy Characteristics'!$C:$C,0))),"",INDEX('Policy Characteristics'!E:E,MATCH($C581,'Policy Characteristics'!$C:$C,0)))</f>
        <v>indst shift to electricity</v>
      </c>
      <c r="L581" s="283">
        <f>IF(ISBLANK(INDEX('Policy Characteristics'!F:F,MATCH($C581,'Policy Characteristics'!$C:$C,0))),"",INDEX('Policy Characteristics'!F:F,MATCH($C581,'Policy Characteristics'!$C:$C,0)))</f>
        <v>0</v>
      </c>
      <c r="M581" s="283">
        <f>IF(ISBLANK(INDEX('Policy Characteristics'!G:G,MATCH($C581,'Policy Characteristics'!$C:$C,0))),"",INDEX('Policy Characteristics'!G:G,MATCH($C581,'Policy Characteristics'!$C:$C,0)))</f>
        <v>1</v>
      </c>
      <c r="N581" s="283">
        <f>IF(ISBLANK(INDEX('Policy Characteristics'!H:H,MATCH($C581,'Policy Characteristics'!$C:$C,0))),"",INDEX('Policy Characteristics'!H:H,MATCH($C581,'Policy Characteristics'!$C:$C,0)))</f>
        <v>0.01</v>
      </c>
      <c r="O581" s="275" t="str">
        <f>IF(ISBLANK(INDEX('Policy Characteristics'!I:I,MATCH($C581,'Policy Characteristics'!$C:$C,0))),"",INDEX('Policy Characteristics'!I:I,MATCH($C581,'Policy Characteristics'!$C:$C,0)))</f>
        <v>% of fuel shifted</v>
      </c>
      <c r="P581" s="275" t="str">
        <f>IF(ISBLANK(INDEX('Policy Characteristics'!J:J,MATCH($C581,'Policy Characteristics'!$C:$C,0))),"",INDEX('Policy Characteristics'!J:J,MATCH($C581,'Policy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1" s="275" t="str">
        <f>IF(ISBLANK(INDEX('Policy Characteristics'!K:K,MATCH($C581,'Policy Characteristics'!$C:$C,0))),"",INDEX('Policy Characteristics'!K:K,MATCH($C581,'Policy Characteristics'!$C:$C,0)))</f>
        <v>industry-ag-main.html#fuel-switching</v>
      </c>
      <c r="R581" s="275" t="str">
        <f>IF(ISBLANK(INDEX('Policy Characteristics'!L:L,MATCH($C581,'Policy Characteristics'!$C:$C,0))),"",INDEX('Policy Characteristics'!L:L,MATCH($C581,'Policy Characteristics'!$C:$C,0)))</f>
        <v>industry-elec-and-hydrogen.html</v>
      </c>
    </row>
    <row r="582" spans="1:18" x14ac:dyDescent="0.25">
      <c r="A582" s="275" t="str">
        <f>IF(ISBLANK(INDEX('Policy Characteristics'!A:A,MATCH($C582,'Policy Characteristics'!$C:$C,0))),"",INDEX('Policy Characteristics'!A:A,MATCH($C582,'Policy Characteristics'!$C:$C,0)))</f>
        <v>Industry</v>
      </c>
      <c r="B582" s="284" t="str">
        <f>IF(ISBLANK(INDEX('Policy Characteristics'!B:B,MATCH($C582,'Policy Characteristics'!$C:$C,0))),"",INDEX('Policy Characteristics'!B:B,MATCH($C582,'Policy Characteristics'!$C:$C,0)))</f>
        <v>Electrification</v>
      </c>
      <c r="C582" s="275" t="str">
        <f t="shared" si="31"/>
        <v>Fraction of Eligible Industrial Energy Use Shifted to Electricity</v>
      </c>
      <c r="D582" s="6" t="s">
        <v>3071</v>
      </c>
      <c r="E582" s="1" t="s">
        <v>3738</v>
      </c>
      <c r="F582" t="s">
        <v>2763</v>
      </c>
      <c r="G582" s="47" t="s">
        <v>3738</v>
      </c>
      <c r="H582" s="44">
        <v>1849</v>
      </c>
      <c r="I582" s="346" t="s">
        <v>44</v>
      </c>
      <c r="J582" s="276" t="str">
        <f>IF(ISBLANK(INDEX('Policy Characteristics'!D:D,MATCH($C582,'Policy Characteristics'!$C:$C,0))),"",INDEX('Policy Characteristics'!D:D,MATCH($C582,'Policy Characteristics'!$C:$C,0)))</f>
        <v>Electrification</v>
      </c>
      <c r="K582" s="275" t="str">
        <f>IF(ISBLANK(INDEX('Policy Characteristics'!E:E,MATCH($C582,'Policy Characteristics'!$C:$C,0))),"",INDEX('Policy Characteristics'!E:E,MATCH($C582,'Policy Characteristics'!$C:$C,0)))</f>
        <v>indst shift to electricity</v>
      </c>
      <c r="L582" s="283">
        <f>IF(ISBLANK(INDEX('Policy Characteristics'!F:F,MATCH($C582,'Policy Characteristics'!$C:$C,0))),"",INDEX('Policy Characteristics'!F:F,MATCH($C582,'Policy Characteristics'!$C:$C,0)))</f>
        <v>0</v>
      </c>
      <c r="M582" s="283">
        <f>IF(ISBLANK(INDEX('Policy Characteristics'!G:G,MATCH($C582,'Policy Characteristics'!$C:$C,0))),"",INDEX('Policy Characteristics'!G:G,MATCH($C582,'Policy Characteristics'!$C:$C,0)))</f>
        <v>1</v>
      </c>
      <c r="N582" s="283">
        <f>IF(ISBLANK(INDEX('Policy Characteristics'!H:H,MATCH($C582,'Policy Characteristics'!$C:$C,0))),"",INDEX('Policy Characteristics'!H:H,MATCH($C582,'Policy Characteristics'!$C:$C,0)))</f>
        <v>0.01</v>
      </c>
      <c r="O582" s="275" t="str">
        <f>IF(ISBLANK(INDEX('Policy Characteristics'!I:I,MATCH($C582,'Policy Characteristics'!$C:$C,0))),"",INDEX('Policy Characteristics'!I:I,MATCH($C582,'Policy Characteristics'!$C:$C,0)))</f>
        <v>% of fuel shifted</v>
      </c>
      <c r="P582" s="275" t="str">
        <f>IF(ISBLANK(INDEX('Policy Characteristics'!J:J,MATCH($C582,'Policy Characteristics'!$C:$C,0))),"",INDEX('Policy Characteristics'!J:J,MATCH($C582,'Policy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2" s="275" t="str">
        <f>IF(ISBLANK(INDEX('Policy Characteristics'!K:K,MATCH($C582,'Policy Characteristics'!$C:$C,0))),"",INDEX('Policy Characteristics'!K:K,MATCH($C582,'Policy Characteristics'!$C:$C,0)))</f>
        <v>industry-ag-main.html#fuel-switching</v>
      </c>
      <c r="R582" s="275" t="str">
        <f>IF(ISBLANK(INDEX('Policy Characteristics'!L:L,MATCH($C582,'Policy Characteristics'!$C:$C,0))),"",INDEX('Policy Characteristics'!L:L,MATCH($C582,'Policy Characteristics'!$C:$C,0)))</f>
        <v>industry-elec-and-hydrogen.html</v>
      </c>
    </row>
    <row r="583" spans="1:18" x14ac:dyDescent="0.25">
      <c r="A583" s="275" t="str">
        <f>IF(ISBLANK(INDEX('Policy Characteristics'!A:A,MATCH($C583,'Policy Characteristics'!$C:$C,0))),"",INDEX('Policy Characteristics'!A:A,MATCH($C583,'Policy Characteristics'!$C:$C,0)))</f>
        <v>Industry</v>
      </c>
      <c r="B583" s="284" t="str">
        <f>IF(ISBLANK(INDEX('Policy Characteristics'!B:B,MATCH($C583,'Policy Characteristics'!$C:$C,0))),"",INDEX('Policy Characteristics'!B:B,MATCH($C583,'Policy Characteristics'!$C:$C,0)))</f>
        <v>Electrification</v>
      </c>
      <c r="C583" s="275" t="str">
        <f t="shared" si="31"/>
        <v>Fraction of Eligible Industrial Energy Use Shifted to Electricity</v>
      </c>
      <c r="D583" s="6" t="s">
        <v>3072</v>
      </c>
      <c r="E583" s="1" t="s">
        <v>3547</v>
      </c>
      <c r="F583" t="s">
        <v>3036</v>
      </c>
      <c r="G583" s="47" t="s">
        <v>3554</v>
      </c>
      <c r="H583" s="44">
        <v>1850</v>
      </c>
      <c r="I583" s="346" t="s">
        <v>43</v>
      </c>
      <c r="J583" s="276" t="str">
        <f>IF(ISBLANK(INDEX('Policy Characteristics'!D:D,MATCH($C583,'Policy Characteristics'!$C:$C,0))),"",INDEX('Policy Characteristics'!D:D,MATCH($C583,'Policy Characteristics'!$C:$C,0)))</f>
        <v>Electrification</v>
      </c>
      <c r="K583" s="275" t="str">
        <f>IF(ISBLANK(INDEX('Policy Characteristics'!E:E,MATCH($C583,'Policy Characteristics'!$C:$C,0))),"",INDEX('Policy Characteristics'!E:E,MATCH($C583,'Policy Characteristics'!$C:$C,0)))</f>
        <v>indst shift to electricity</v>
      </c>
      <c r="L583" s="283">
        <f>IF(ISBLANK(INDEX('Policy Characteristics'!F:F,MATCH($C583,'Policy Characteristics'!$C:$C,0))),"",INDEX('Policy Characteristics'!F:F,MATCH($C583,'Policy Characteristics'!$C:$C,0)))</f>
        <v>0</v>
      </c>
      <c r="M583" s="283">
        <f>IF(ISBLANK(INDEX('Policy Characteristics'!G:G,MATCH($C583,'Policy Characteristics'!$C:$C,0))),"",INDEX('Policy Characteristics'!G:G,MATCH($C583,'Policy Characteristics'!$C:$C,0)))</f>
        <v>1</v>
      </c>
      <c r="N583" s="283">
        <f>IF(ISBLANK(INDEX('Policy Characteristics'!H:H,MATCH($C583,'Policy Characteristics'!$C:$C,0))),"",INDEX('Policy Characteristics'!H:H,MATCH($C583,'Policy Characteristics'!$C:$C,0)))</f>
        <v>0.01</v>
      </c>
      <c r="O583" s="275" t="str">
        <f>IF(ISBLANK(INDEX('Policy Characteristics'!I:I,MATCH($C583,'Policy Characteristics'!$C:$C,0))),"",INDEX('Policy Characteristics'!I:I,MATCH($C583,'Policy Characteristics'!$C:$C,0)))</f>
        <v>% of fuel shifted</v>
      </c>
      <c r="P583" s="275" t="str">
        <f>IF(ISBLANK(INDEX('Policy Characteristics'!J:J,MATCH($C583,'Policy Characteristics'!$C:$C,0))),"",INDEX('Policy Characteristics'!J:J,MATCH($C583,'Policy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3" s="275" t="str">
        <f>IF(ISBLANK(INDEX('Policy Characteristics'!K:K,MATCH($C583,'Policy Characteristics'!$C:$C,0))),"",INDEX('Policy Characteristics'!K:K,MATCH($C583,'Policy Characteristics'!$C:$C,0)))</f>
        <v>industry-ag-main.html#fuel-switching</v>
      </c>
      <c r="R583" s="275" t="str">
        <f>IF(ISBLANK(INDEX('Policy Characteristics'!L:L,MATCH($C583,'Policy Characteristics'!$C:$C,0))),"",INDEX('Policy Characteristics'!L:L,MATCH($C583,'Policy Characteristics'!$C:$C,0)))</f>
        <v>industry-elec-and-hydrogen.html</v>
      </c>
    </row>
    <row r="584" spans="1:18" x14ac:dyDescent="0.25">
      <c r="A584" s="275" t="str">
        <f>IF(ISBLANK(INDEX('Policy Characteristics'!A:A,MATCH($C584,'Policy Characteristics'!$C:$C,0))),"",INDEX('Policy Characteristics'!A:A,MATCH($C584,'Policy Characteristics'!$C:$C,0)))</f>
        <v>Industry</v>
      </c>
      <c r="B584" s="284" t="str">
        <f>IF(ISBLANK(INDEX('Policy Characteristics'!B:B,MATCH($C584,'Policy Characteristics'!$C:$C,0))),"",INDEX('Policy Characteristics'!B:B,MATCH($C584,'Policy Characteristics'!$C:$C,0)))</f>
        <v>Electrification</v>
      </c>
      <c r="C584" s="275" t="str">
        <f t="shared" si="31"/>
        <v>Fraction of Eligible Industrial Energy Use Shifted to Electricity</v>
      </c>
      <c r="D584" s="6" t="s">
        <v>3072</v>
      </c>
      <c r="E584" s="1" t="s">
        <v>3548</v>
      </c>
      <c r="F584" t="s">
        <v>3036</v>
      </c>
      <c r="G584" s="47" t="s">
        <v>3555</v>
      </c>
      <c r="H584" s="44">
        <v>1851</v>
      </c>
      <c r="I584" s="346" t="s">
        <v>43</v>
      </c>
      <c r="J584" s="276" t="str">
        <f>IF(ISBLANK(INDEX('Policy Characteristics'!D:D,MATCH($C584,'Policy Characteristics'!$C:$C,0))),"",INDEX('Policy Characteristics'!D:D,MATCH($C584,'Policy Characteristics'!$C:$C,0)))</f>
        <v>Electrification</v>
      </c>
      <c r="K584" s="275" t="str">
        <f>IF(ISBLANK(INDEX('Policy Characteristics'!E:E,MATCH($C584,'Policy Characteristics'!$C:$C,0))),"",INDEX('Policy Characteristics'!E:E,MATCH($C584,'Policy Characteristics'!$C:$C,0)))</f>
        <v>indst shift to electricity</v>
      </c>
      <c r="L584" s="283">
        <f>IF(ISBLANK(INDEX('Policy Characteristics'!F:F,MATCH($C584,'Policy Characteristics'!$C:$C,0))),"",INDEX('Policy Characteristics'!F:F,MATCH($C584,'Policy Characteristics'!$C:$C,0)))</f>
        <v>0</v>
      </c>
      <c r="M584" s="283">
        <f>IF(ISBLANK(INDEX('Policy Characteristics'!G:G,MATCH($C584,'Policy Characteristics'!$C:$C,0))),"",INDEX('Policy Characteristics'!G:G,MATCH($C584,'Policy Characteristics'!$C:$C,0)))</f>
        <v>1</v>
      </c>
      <c r="N584" s="283">
        <f>IF(ISBLANK(INDEX('Policy Characteristics'!H:H,MATCH($C584,'Policy Characteristics'!$C:$C,0))),"",INDEX('Policy Characteristics'!H:H,MATCH($C584,'Policy Characteristics'!$C:$C,0)))</f>
        <v>0.01</v>
      </c>
      <c r="O584" s="275" t="str">
        <f>IF(ISBLANK(INDEX('Policy Characteristics'!I:I,MATCH($C584,'Policy Characteristics'!$C:$C,0))),"",INDEX('Policy Characteristics'!I:I,MATCH($C584,'Policy Characteristics'!$C:$C,0)))</f>
        <v>% of fuel shifted</v>
      </c>
      <c r="P584" s="275" t="str">
        <f>IF(ISBLANK(INDEX('Policy Characteristics'!J:J,MATCH($C584,'Policy Characteristics'!$C:$C,0))),"",INDEX('Policy Characteristics'!J:J,MATCH($C584,'Policy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4" s="275" t="str">
        <f>IF(ISBLANK(INDEX('Policy Characteristics'!K:K,MATCH($C584,'Policy Characteristics'!$C:$C,0))),"",INDEX('Policy Characteristics'!K:K,MATCH($C584,'Policy Characteristics'!$C:$C,0)))</f>
        <v>industry-ag-main.html#fuel-switching</v>
      </c>
      <c r="R584" s="275" t="str">
        <f>IF(ISBLANK(INDEX('Policy Characteristics'!L:L,MATCH($C584,'Policy Characteristics'!$C:$C,0))),"",INDEX('Policy Characteristics'!L:L,MATCH($C584,'Policy Characteristics'!$C:$C,0)))</f>
        <v>industry-elec-and-hydrogen.html</v>
      </c>
    </row>
    <row r="585" spans="1:18" x14ac:dyDescent="0.25">
      <c r="A585" s="275" t="str">
        <f>IF(ISBLANK(INDEX('Policy Characteristics'!A:A,MATCH($C585,'Policy Characteristics'!$C:$C,0))),"",INDEX('Policy Characteristics'!A:A,MATCH($C585,'Policy Characteristics'!$C:$C,0)))</f>
        <v>Industry</v>
      </c>
      <c r="B585" s="284" t="str">
        <f>IF(ISBLANK(INDEX('Policy Characteristics'!B:B,MATCH($C585,'Policy Characteristics'!$C:$C,0))),"",INDEX('Policy Characteristics'!B:B,MATCH($C585,'Policy Characteristics'!$C:$C,0)))</f>
        <v>Electrification</v>
      </c>
      <c r="C585" s="275" t="str">
        <f t="shared" si="31"/>
        <v>Fraction of Eligible Industrial Energy Use Shifted to Electricity</v>
      </c>
      <c r="D585" s="6" t="s">
        <v>3072</v>
      </c>
      <c r="E585" s="1" t="s">
        <v>3549</v>
      </c>
      <c r="F585" t="s">
        <v>3036</v>
      </c>
      <c r="G585" s="47" t="s">
        <v>3556</v>
      </c>
      <c r="H585" s="44">
        <v>1852</v>
      </c>
      <c r="I585" s="346" t="s">
        <v>43</v>
      </c>
      <c r="J585" s="276" t="str">
        <f>IF(ISBLANK(INDEX('Policy Characteristics'!D:D,MATCH($C585,'Policy Characteristics'!$C:$C,0))),"",INDEX('Policy Characteristics'!D:D,MATCH($C585,'Policy Characteristics'!$C:$C,0)))</f>
        <v>Electrification</v>
      </c>
      <c r="K585" s="275" t="str">
        <f>IF(ISBLANK(INDEX('Policy Characteristics'!E:E,MATCH($C585,'Policy Characteristics'!$C:$C,0))),"",INDEX('Policy Characteristics'!E:E,MATCH($C585,'Policy Characteristics'!$C:$C,0)))</f>
        <v>indst shift to electricity</v>
      </c>
      <c r="L585" s="283">
        <f>IF(ISBLANK(INDEX('Policy Characteristics'!F:F,MATCH($C585,'Policy Characteristics'!$C:$C,0))),"",INDEX('Policy Characteristics'!F:F,MATCH($C585,'Policy Characteristics'!$C:$C,0)))</f>
        <v>0</v>
      </c>
      <c r="M585" s="283">
        <f>IF(ISBLANK(INDEX('Policy Characteristics'!G:G,MATCH($C585,'Policy Characteristics'!$C:$C,0))),"",INDEX('Policy Characteristics'!G:G,MATCH($C585,'Policy Characteristics'!$C:$C,0)))</f>
        <v>1</v>
      </c>
      <c r="N585" s="283">
        <f>IF(ISBLANK(INDEX('Policy Characteristics'!H:H,MATCH($C585,'Policy Characteristics'!$C:$C,0))),"",INDEX('Policy Characteristics'!H:H,MATCH($C585,'Policy Characteristics'!$C:$C,0)))</f>
        <v>0.01</v>
      </c>
      <c r="O585" s="275" t="str">
        <f>IF(ISBLANK(INDEX('Policy Characteristics'!I:I,MATCH($C585,'Policy Characteristics'!$C:$C,0))),"",INDEX('Policy Characteristics'!I:I,MATCH($C585,'Policy Characteristics'!$C:$C,0)))</f>
        <v>% of fuel shifted</v>
      </c>
      <c r="P585" s="275" t="str">
        <f>IF(ISBLANK(INDEX('Policy Characteristics'!J:J,MATCH($C585,'Policy Characteristics'!$C:$C,0))),"",INDEX('Policy Characteristics'!J:J,MATCH($C585,'Policy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5" s="275" t="str">
        <f>IF(ISBLANK(INDEX('Policy Characteristics'!K:K,MATCH($C585,'Policy Characteristics'!$C:$C,0))),"",INDEX('Policy Characteristics'!K:K,MATCH($C585,'Policy Characteristics'!$C:$C,0)))</f>
        <v>industry-ag-main.html#fuel-switching</v>
      </c>
      <c r="R585" s="275" t="str">
        <f>IF(ISBLANK(INDEX('Policy Characteristics'!L:L,MATCH($C585,'Policy Characteristics'!$C:$C,0))),"",INDEX('Policy Characteristics'!L:L,MATCH($C585,'Policy Characteristics'!$C:$C,0)))</f>
        <v>industry-elec-and-hydrogen.html</v>
      </c>
    </row>
    <row r="586" spans="1:18" x14ac:dyDescent="0.25">
      <c r="A586" s="275" t="str">
        <f>IF(ISBLANK(INDEX('Policy Characteristics'!A:A,MATCH($C586,'Policy Characteristics'!$C:$C,0))),"",INDEX('Policy Characteristics'!A:A,MATCH($C586,'Policy Characteristics'!$C:$C,0)))</f>
        <v>Industry</v>
      </c>
      <c r="B586" s="284" t="str">
        <f>IF(ISBLANK(INDEX('Policy Characteristics'!B:B,MATCH($C586,'Policy Characteristics'!$C:$C,0))),"",INDEX('Policy Characteristics'!B:B,MATCH($C586,'Policy Characteristics'!$C:$C,0)))</f>
        <v>Electrification</v>
      </c>
      <c r="C586" s="275" t="str">
        <f t="shared" si="31"/>
        <v>Fraction of Eligible Industrial Energy Use Shifted to Electricity</v>
      </c>
      <c r="D586" s="6" t="s">
        <v>3072</v>
      </c>
      <c r="E586" s="1" t="s">
        <v>3550</v>
      </c>
      <c r="F586" t="s">
        <v>3036</v>
      </c>
      <c r="G586" s="47" t="s">
        <v>3557</v>
      </c>
      <c r="H586" s="44">
        <v>1853</v>
      </c>
      <c r="I586" s="346" t="s">
        <v>43</v>
      </c>
      <c r="J586" s="276" t="str">
        <f>IF(ISBLANK(INDEX('Policy Characteristics'!D:D,MATCH($C586,'Policy Characteristics'!$C:$C,0))),"",INDEX('Policy Characteristics'!D:D,MATCH($C586,'Policy Characteristics'!$C:$C,0)))</f>
        <v>Electrification</v>
      </c>
      <c r="K586" s="275" t="str">
        <f>IF(ISBLANK(INDEX('Policy Characteristics'!E:E,MATCH($C586,'Policy Characteristics'!$C:$C,0))),"",INDEX('Policy Characteristics'!E:E,MATCH($C586,'Policy Characteristics'!$C:$C,0)))</f>
        <v>indst shift to electricity</v>
      </c>
      <c r="L586" s="283">
        <f>IF(ISBLANK(INDEX('Policy Characteristics'!F:F,MATCH($C586,'Policy Characteristics'!$C:$C,0))),"",INDEX('Policy Characteristics'!F:F,MATCH($C586,'Policy Characteristics'!$C:$C,0)))</f>
        <v>0</v>
      </c>
      <c r="M586" s="283">
        <f>IF(ISBLANK(INDEX('Policy Characteristics'!G:G,MATCH($C586,'Policy Characteristics'!$C:$C,0))),"",INDEX('Policy Characteristics'!G:G,MATCH($C586,'Policy Characteristics'!$C:$C,0)))</f>
        <v>1</v>
      </c>
      <c r="N586" s="283">
        <f>IF(ISBLANK(INDEX('Policy Characteristics'!H:H,MATCH($C586,'Policy Characteristics'!$C:$C,0))),"",INDEX('Policy Characteristics'!H:H,MATCH($C586,'Policy Characteristics'!$C:$C,0)))</f>
        <v>0.01</v>
      </c>
      <c r="O586" s="275" t="str">
        <f>IF(ISBLANK(INDEX('Policy Characteristics'!I:I,MATCH($C586,'Policy Characteristics'!$C:$C,0))),"",INDEX('Policy Characteristics'!I:I,MATCH($C586,'Policy Characteristics'!$C:$C,0)))</f>
        <v>% of fuel shifted</v>
      </c>
      <c r="P586" s="275" t="str">
        <f>IF(ISBLANK(INDEX('Policy Characteristics'!J:J,MATCH($C586,'Policy Characteristics'!$C:$C,0))),"",INDEX('Policy Characteristics'!J:J,MATCH($C586,'Policy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6" s="275" t="str">
        <f>IF(ISBLANK(INDEX('Policy Characteristics'!K:K,MATCH($C586,'Policy Characteristics'!$C:$C,0))),"",INDEX('Policy Characteristics'!K:K,MATCH($C586,'Policy Characteristics'!$C:$C,0)))</f>
        <v>industry-ag-main.html#fuel-switching</v>
      </c>
      <c r="R586" s="275" t="str">
        <f>IF(ISBLANK(INDEX('Policy Characteristics'!L:L,MATCH($C586,'Policy Characteristics'!$C:$C,0))),"",INDEX('Policy Characteristics'!L:L,MATCH($C586,'Policy Characteristics'!$C:$C,0)))</f>
        <v>industry-elec-and-hydrogen.html</v>
      </c>
    </row>
    <row r="587" spans="1:18" x14ac:dyDescent="0.25">
      <c r="A587" s="275" t="str">
        <f>IF(ISBLANK(INDEX('Policy Characteristics'!A:A,MATCH($C587,'Policy Characteristics'!$C:$C,0))),"",INDEX('Policy Characteristics'!A:A,MATCH($C587,'Policy Characteristics'!$C:$C,0)))</f>
        <v>Industry</v>
      </c>
      <c r="B587" s="284" t="str">
        <f>IF(ISBLANK(INDEX('Policy Characteristics'!B:B,MATCH($C587,'Policy Characteristics'!$C:$C,0))),"",INDEX('Policy Characteristics'!B:B,MATCH($C587,'Policy Characteristics'!$C:$C,0)))</f>
        <v>Electrification</v>
      </c>
      <c r="C587" s="275" t="str">
        <f t="shared" si="31"/>
        <v>Fraction of Eligible Industrial Energy Use Shifted to Electricity</v>
      </c>
      <c r="D587" s="6" t="s">
        <v>3072</v>
      </c>
      <c r="E587" s="1" t="s">
        <v>3551</v>
      </c>
      <c r="F587" t="s">
        <v>3036</v>
      </c>
      <c r="G587" s="47" t="s">
        <v>3558</v>
      </c>
      <c r="H587" s="44">
        <v>1854</v>
      </c>
      <c r="I587" s="346" t="s">
        <v>44</v>
      </c>
      <c r="J587" s="276" t="str">
        <f>IF(ISBLANK(INDEX('Policy Characteristics'!D:D,MATCH($C587,'Policy Characteristics'!$C:$C,0))),"",INDEX('Policy Characteristics'!D:D,MATCH($C587,'Policy Characteristics'!$C:$C,0)))</f>
        <v>Electrification</v>
      </c>
      <c r="K587" s="275" t="str">
        <f>IF(ISBLANK(INDEX('Policy Characteristics'!E:E,MATCH($C587,'Policy Characteristics'!$C:$C,0))),"",INDEX('Policy Characteristics'!E:E,MATCH($C587,'Policy Characteristics'!$C:$C,0)))</f>
        <v>indst shift to electricity</v>
      </c>
      <c r="L587" s="283">
        <f>IF(ISBLANK(INDEX('Policy Characteristics'!F:F,MATCH($C587,'Policy Characteristics'!$C:$C,0))),"",INDEX('Policy Characteristics'!F:F,MATCH($C587,'Policy Characteristics'!$C:$C,0)))</f>
        <v>0</v>
      </c>
      <c r="M587" s="283">
        <f>IF(ISBLANK(INDEX('Policy Characteristics'!G:G,MATCH($C587,'Policy Characteristics'!$C:$C,0))),"",INDEX('Policy Characteristics'!G:G,MATCH($C587,'Policy Characteristics'!$C:$C,0)))</f>
        <v>1</v>
      </c>
      <c r="N587" s="283">
        <f>IF(ISBLANK(INDEX('Policy Characteristics'!H:H,MATCH($C587,'Policy Characteristics'!$C:$C,0))),"",INDEX('Policy Characteristics'!H:H,MATCH($C587,'Policy Characteristics'!$C:$C,0)))</f>
        <v>0.01</v>
      </c>
      <c r="O587" s="275" t="str">
        <f>IF(ISBLANK(INDEX('Policy Characteristics'!I:I,MATCH($C587,'Policy Characteristics'!$C:$C,0))),"",INDEX('Policy Characteristics'!I:I,MATCH($C587,'Policy Characteristics'!$C:$C,0)))</f>
        <v>% of fuel shifted</v>
      </c>
      <c r="P587" s="275" t="str">
        <f>IF(ISBLANK(INDEX('Policy Characteristics'!J:J,MATCH($C587,'Policy Characteristics'!$C:$C,0))),"",INDEX('Policy Characteristics'!J:J,MATCH($C587,'Policy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7" s="275" t="str">
        <f>IF(ISBLANK(INDEX('Policy Characteristics'!K:K,MATCH($C587,'Policy Characteristics'!$C:$C,0))),"",INDEX('Policy Characteristics'!K:K,MATCH($C587,'Policy Characteristics'!$C:$C,0)))</f>
        <v>industry-ag-main.html#fuel-switching</v>
      </c>
      <c r="R587" s="275" t="str">
        <f>IF(ISBLANK(INDEX('Policy Characteristics'!L:L,MATCH($C587,'Policy Characteristics'!$C:$C,0))),"",INDEX('Policy Characteristics'!L:L,MATCH($C587,'Policy Characteristics'!$C:$C,0)))</f>
        <v>industry-elec-and-hydrogen.html</v>
      </c>
    </row>
    <row r="588" spans="1:18" x14ac:dyDescent="0.25">
      <c r="A588" s="275" t="str">
        <f>IF(ISBLANK(INDEX('Policy Characteristics'!A:A,MATCH($C588,'Policy Characteristics'!$C:$C,0))),"",INDEX('Policy Characteristics'!A:A,MATCH($C588,'Policy Characteristics'!$C:$C,0)))</f>
        <v>Industry</v>
      </c>
      <c r="B588" s="284" t="str">
        <f>IF(ISBLANK(INDEX('Policy Characteristics'!B:B,MATCH($C588,'Policy Characteristics'!$C:$C,0))),"",INDEX('Policy Characteristics'!B:B,MATCH($C588,'Policy Characteristics'!$C:$C,0)))</f>
        <v>Electrification</v>
      </c>
      <c r="C588" s="275" t="str">
        <f t="shared" si="31"/>
        <v>Fraction of Eligible Industrial Energy Use Shifted to Electricity</v>
      </c>
      <c r="D588" s="6" t="s">
        <v>3072</v>
      </c>
      <c r="E588" s="1" t="s">
        <v>3552</v>
      </c>
      <c r="F588" t="s">
        <v>3036</v>
      </c>
      <c r="G588" s="47" t="s">
        <v>3559</v>
      </c>
      <c r="H588" s="44">
        <v>1855</v>
      </c>
      <c r="I588" s="346" t="s">
        <v>44</v>
      </c>
      <c r="J588" s="276" t="str">
        <f>IF(ISBLANK(INDEX('Policy Characteristics'!D:D,MATCH($C588,'Policy Characteristics'!$C:$C,0))),"",INDEX('Policy Characteristics'!D:D,MATCH($C588,'Policy Characteristics'!$C:$C,0)))</f>
        <v>Electrification</v>
      </c>
      <c r="K588" s="275" t="str">
        <f>IF(ISBLANK(INDEX('Policy Characteristics'!E:E,MATCH($C588,'Policy Characteristics'!$C:$C,0))),"",INDEX('Policy Characteristics'!E:E,MATCH($C588,'Policy Characteristics'!$C:$C,0)))</f>
        <v>indst shift to electricity</v>
      </c>
      <c r="L588" s="283">
        <f>IF(ISBLANK(INDEX('Policy Characteristics'!F:F,MATCH($C588,'Policy Characteristics'!$C:$C,0))),"",INDEX('Policy Characteristics'!F:F,MATCH($C588,'Policy Characteristics'!$C:$C,0)))</f>
        <v>0</v>
      </c>
      <c r="M588" s="283">
        <f>IF(ISBLANK(INDEX('Policy Characteristics'!G:G,MATCH($C588,'Policy Characteristics'!$C:$C,0))),"",INDEX('Policy Characteristics'!G:G,MATCH($C588,'Policy Characteristics'!$C:$C,0)))</f>
        <v>1</v>
      </c>
      <c r="N588" s="283">
        <f>IF(ISBLANK(INDEX('Policy Characteristics'!H:H,MATCH($C588,'Policy Characteristics'!$C:$C,0))),"",INDEX('Policy Characteristics'!H:H,MATCH($C588,'Policy Characteristics'!$C:$C,0)))</f>
        <v>0.01</v>
      </c>
      <c r="O588" s="275" t="str">
        <f>IF(ISBLANK(INDEX('Policy Characteristics'!I:I,MATCH($C588,'Policy Characteristics'!$C:$C,0))),"",INDEX('Policy Characteristics'!I:I,MATCH($C588,'Policy Characteristics'!$C:$C,0)))</f>
        <v>% of fuel shifted</v>
      </c>
      <c r="P588" s="275" t="str">
        <f>IF(ISBLANK(INDEX('Policy Characteristics'!J:J,MATCH($C588,'Policy Characteristics'!$C:$C,0))),"",INDEX('Policy Characteristics'!J:J,MATCH($C588,'Policy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8" s="275" t="str">
        <f>IF(ISBLANK(INDEX('Policy Characteristics'!K:K,MATCH($C588,'Policy Characteristics'!$C:$C,0))),"",INDEX('Policy Characteristics'!K:K,MATCH($C588,'Policy Characteristics'!$C:$C,0)))</f>
        <v>industry-ag-main.html#fuel-switching</v>
      </c>
      <c r="R588" s="275" t="str">
        <f>IF(ISBLANK(INDEX('Policy Characteristics'!L:L,MATCH($C588,'Policy Characteristics'!$C:$C,0))),"",INDEX('Policy Characteristics'!L:L,MATCH($C588,'Policy Characteristics'!$C:$C,0)))</f>
        <v>industry-elec-and-hydrogen.html</v>
      </c>
    </row>
    <row r="589" spans="1:18" x14ac:dyDescent="0.25">
      <c r="A589" s="275" t="str">
        <f>IF(ISBLANK(INDEX('Policy Characteristics'!A:A,MATCH($C589,'Policy Characteristics'!$C:$C,0))),"",INDEX('Policy Characteristics'!A:A,MATCH($C589,'Policy Characteristics'!$C:$C,0)))</f>
        <v>Industry</v>
      </c>
      <c r="B589" s="284" t="str">
        <f>IF(ISBLANK(INDEX('Policy Characteristics'!B:B,MATCH($C589,'Policy Characteristics'!$C:$C,0))),"",INDEX('Policy Characteristics'!B:B,MATCH($C589,'Policy Characteristics'!$C:$C,0)))</f>
        <v>Electrification</v>
      </c>
      <c r="C589" s="275" t="str">
        <f t="shared" si="31"/>
        <v>Fraction of Eligible Industrial Energy Use Shifted to Electricity</v>
      </c>
      <c r="D589" s="6" t="s">
        <v>3072</v>
      </c>
      <c r="E589" s="1" t="s">
        <v>3553</v>
      </c>
      <c r="F589" t="s">
        <v>3036</v>
      </c>
      <c r="G589" s="47" t="s">
        <v>3560</v>
      </c>
      <c r="H589" s="44">
        <v>1856</v>
      </c>
      <c r="I589" s="346" t="s">
        <v>44</v>
      </c>
      <c r="J589" s="276" t="str">
        <f>IF(ISBLANK(INDEX('Policy Characteristics'!D:D,MATCH($C589,'Policy Characteristics'!$C:$C,0))),"",INDEX('Policy Characteristics'!D:D,MATCH($C589,'Policy Characteristics'!$C:$C,0)))</f>
        <v>Electrification</v>
      </c>
      <c r="K589" s="275" t="str">
        <f>IF(ISBLANK(INDEX('Policy Characteristics'!E:E,MATCH($C589,'Policy Characteristics'!$C:$C,0))),"",INDEX('Policy Characteristics'!E:E,MATCH($C589,'Policy Characteristics'!$C:$C,0)))</f>
        <v>indst shift to electricity</v>
      </c>
      <c r="L589" s="283">
        <f>IF(ISBLANK(INDEX('Policy Characteristics'!F:F,MATCH($C589,'Policy Characteristics'!$C:$C,0))),"",INDEX('Policy Characteristics'!F:F,MATCH($C589,'Policy Characteristics'!$C:$C,0)))</f>
        <v>0</v>
      </c>
      <c r="M589" s="283">
        <f>IF(ISBLANK(INDEX('Policy Characteristics'!G:G,MATCH($C589,'Policy Characteristics'!$C:$C,0))),"",INDEX('Policy Characteristics'!G:G,MATCH($C589,'Policy Characteristics'!$C:$C,0)))</f>
        <v>1</v>
      </c>
      <c r="N589" s="283">
        <f>IF(ISBLANK(INDEX('Policy Characteristics'!H:H,MATCH($C589,'Policy Characteristics'!$C:$C,0))),"",INDEX('Policy Characteristics'!H:H,MATCH($C589,'Policy Characteristics'!$C:$C,0)))</f>
        <v>0.01</v>
      </c>
      <c r="O589" s="275" t="str">
        <f>IF(ISBLANK(INDEX('Policy Characteristics'!I:I,MATCH($C589,'Policy Characteristics'!$C:$C,0))),"",INDEX('Policy Characteristics'!I:I,MATCH($C589,'Policy Characteristics'!$C:$C,0)))</f>
        <v>% of fuel shifted</v>
      </c>
      <c r="P589" s="275" t="str">
        <f>IF(ISBLANK(INDEX('Policy Characteristics'!J:J,MATCH($C589,'Policy Characteristics'!$C:$C,0))),"",INDEX('Policy Characteristics'!J:J,MATCH($C589,'Policy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9" s="275" t="str">
        <f>IF(ISBLANK(INDEX('Policy Characteristics'!K:K,MATCH($C589,'Policy Characteristics'!$C:$C,0))),"",INDEX('Policy Characteristics'!K:K,MATCH($C589,'Policy Characteristics'!$C:$C,0)))</f>
        <v>industry-ag-main.html#fuel-switching</v>
      </c>
      <c r="R589" s="275" t="str">
        <f>IF(ISBLANK(INDEX('Policy Characteristics'!L:L,MATCH($C589,'Policy Characteristics'!$C:$C,0))),"",INDEX('Policy Characteristics'!L:L,MATCH($C589,'Policy Characteristics'!$C:$C,0)))</f>
        <v>industry-elec-and-hydrogen.html</v>
      </c>
    </row>
    <row r="590" spans="1:18" x14ac:dyDescent="0.25">
      <c r="A590" s="275" t="str">
        <f>IF(ISBLANK(INDEX('Policy Characteristics'!A:A,MATCH($C590,'Policy Characteristics'!$C:$C,0))),"",INDEX('Policy Characteristics'!A:A,MATCH($C590,'Policy Characteristics'!$C:$C,0)))</f>
        <v>Industry</v>
      </c>
      <c r="B590" s="284" t="str">
        <f>IF(ISBLANK(INDEX('Policy Characteristics'!B:B,MATCH($C590,'Policy Characteristics'!$C:$C,0))),"",INDEX('Policy Characteristics'!B:B,MATCH($C590,'Policy Characteristics'!$C:$C,0)))</f>
        <v>Electrification</v>
      </c>
      <c r="C590" s="275" t="str">
        <f t="shared" si="31"/>
        <v>Fraction of Eligible Industrial Energy Use Shifted to Electricity</v>
      </c>
      <c r="D590" s="6" t="s">
        <v>3072</v>
      </c>
      <c r="E590" s="1" t="s">
        <v>3738</v>
      </c>
      <c r="F590" t="s">
        <v>3036</v>
      </c>
      <c r="G590" s="47" t="s">
        <v>3738</v>
      </c>
      <c r="H590" s="44">
        <v>1857</v>
      </c>
      <c r="I590" s="346" t="s">
        <v>44</v>
      </c>
      <c r="J590" s="276" t="str">
        <f>IF(ISBLANK(INDEX('Policy Characteristics'!D:D,MATCH($C590,'Policy Characteristics'!$C:$C,0))),"",INDEX('Policy Characteristics'!D:D,MATCH($C590,'Policy Characteristics'!$C:$C,0)))</f>
        <v>Electrification</v>
      </c>
      <c r="K590" s="275" t="str">
        <f>IF(ISBLANK(INDEX('Policy Characteristics'!E:E,MATCH($C590,'Policy Characteristics'!$C:$C,0))),"",INDEX('Policy Characteristics'!E:E,MATCH($C590,'Policy Characteristics'!$C:$C,0)))</f>
        <v>indst shift to electricity</v>
      </c>
      <c r="L590" s="283">
        <f>IF(ISBLANK(INDEX('Policy Characteristics'!F:F,MATCH($C590,'Policy Characteristics'!$C:$C,0))),"",INDEX('Policy Characteristics'!F:F,MATCH($C590,'Policy Characteristics'!$C:$C,0)))</f>
        <v>0</v>
      </c>
      <c r="M590" s="283">
        <f>IF(ISBLANK(INDEX('Policy Characteristics'!G:G,MATCH($C590,'Policy Characteristics'!$C:$C,0))),"",INDEX('Policy Characteristics'!G:G,MATCH($C590,'Policy Characteristics'!$C:$C,0)))</f>
        <v>1</v>
      </c>
      <c r="N590" s="283">
        <f>IF(ISBLANK(INDEX('Policy Characteristics'!H:H,MATCH($C590,'Policy Characteristics'!$C:$C,0))),"",INDEX('Policy Characteristics'!H:H,MATCH($C590,'Policy Characteristics'!$C:$C,0)))</f>
        <v>0.01</v>
      </c>
      <c r="O590" s="275" t="str">
        <f>IF(ISBLANK(INDEX('Policy Characteristics'!I:I,MATCH($C590,'Policy Characteristics'!$C:$C,0))),"",INDEX('Policy Characteristics'!I:I,MATCH($C590,'Policy Characteristics'!$C:$C,0)))</f>
        <v>% of fuel shifted</v>
      </c>
      <c r="P590" s="275" t="str">
        <f>IF(ISBLANK(INDEX('Policy Characteristics'!J:J,MATCH($C590,'Policy Characteristics'!$C:$C,0))),"",INDEX('Policy Characteristics'!J:J,MATCH($C590,'Policy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0" s="275" t="str">
        <f>IF(ISBLANK(INDEX('Policy Characteristics'!K:K,MATCH($C590,'Policy Characteristics'!$C:$C,0))),"",INDEX('Policy Characteristics'!K:K,MATCH($C590,'Policy Characteristics'!$C:$C,0)))</f>
        <v>industry-ag-main.html#fuel-switching</v>
      </c>
      <c r="R590" s="275" t="str">
        <f>IF(ISBLANK(INDEX('Policy Characteristics'!L:L,MATCH($C590,'Policy Characteristics'!$C:$C,0))),"",INDEX('Policy Characteristics'!L:L,MATCH($C590,'Policy Characteristics'!$C:$C,0)))</f>
        <v>industry-elec-and-hydrogen.html</v>
      </c>
    </row>
    <row r="591" spans="1:18" x14ac:dyDescent="0.25">
      <c r="A591" s="275" t="str">
        <f>IF(ISBLANK(INDEX('Policy Characteristics'!A:A,MATCH($C591,'Policy Characteristics'!$C:$C,0))),"",INDEX('Policy Characteristics'!A:A,MATCH($C591,'Policy Characteristics'!$C:$C,0)))</f>
        <v>Industry</v>
      </c>
      <c r="B591" s="284" t="str">
        <f>IF(ISBLANK(INDEX('Policy Characteristics'!B:B,MATCH($C591,'Policy Characteristics'!$C:$C,0))),"",INDEX('Policy Characteristics'!B:B,MATCH($C591,'Policy Characteristics'!$C:$C,0)))</f>
        <v>Electrification</v>
      </c>
      <c r="C591" s="275" t="str">
        <f t="shared" si="31"/>
        <v>Fraction of Eligible Industrial Energy Use Shifted to Electricity</v>
      </c>
      <c r="D591" s="6" t="s">
        <v>3073</v>
      </c>
      <c r="E591" s="1" t="s">
        <v>3547</v>
      </c>
      <c r="F591" t="s">
        <v>3037</v>
      </c>
      <c r="G591" s="47" t="s">
        <v>3554</v>
      </c>
      <c r="H591" s="44">
        <v>1858</v>
      </c>
      <c r="I591" s="346" t="s">
        <v>43</v>
      </c>
      <c r="J591" s="276" t="str">
        <f>IF(ISBLANK(INDEX('Policy Characteristics'!D:D,MATCH($C591,'Policy Characteristics'!$C:$C,0))),"",INDEX('Policy Characteristics'!D:D,MATCH($C591,'Policy Characteristics'!$C:$C,0)))</f>
        <v>Electrification</v>
      </c>
      <c r="K591" s="275" t="str">
        <f>IF(ISBLANK(INDEX('Policy Characteristics'!E:E,MATCH($C591,'Policy Characteristics'!$C:$C,0))),"",INDEX('Policy Characteristics'!E:E,MATCH($C591,'Policy Characteristics'!$C:$C,0)))</f>
        <v>indst shift to electricity</v>
      </c>
      <c r="L591" s="283">
        <f>IF(ISBLANK(INDEX('Policy Characteristics'!F:F,MATCH($C591,'Policy Characteristics'!$C:$C,0))),"",INDEX('Policy Characteristics'!F:F,MATCH($C591,'Policy Characteristics'!$C:$C,0)))</f>
        <v>0</v>
      </c>
      <c r="M591" s="283">
        <f>IF(ISBLANK(INDEX('Policy Characteristics'!G:G,MATCH($C591,'Policy Characteristics'!$C:$C,0))),"",INDEX('Policy Characteristics'!G:G,MATCH($C591,'Policy Characteristics'!$C:$C,0)))</f>
        <v>1</v>
      </c>
      <c r="N591" s="283">
        <f>IF(ISBLANK(INDEX('Policy Characteristics'!H:H,MATCH($C591,'Policy Characteristics'!$C:$C,0))),"",INDEX('Policy Characteristics'!H:H,MATCH($C591,'Policy Characteristics'!$C:$C,0)))</f>
        <v>0.01</v>
      </c>
      <c r="O591" s="275" t="str">
        <f>IF(ISBLANK(INDEX('Policy Characteristics'!I:I,MATCH($C591,'Policy Characteristics'!$C:$C,0))),"",INDEX('Policy Characteristics'!I:I,MATCH($C591,'Policy Characteristics'!$C:$C,0)))</f>
        <v>% of fuel shifted</v>
      </c>
      <c r="P591" s="275" t="str">
        <f>IF(ISBLANK(INDEX('Policy Characteristics'!J:J,MATCH($C591,'Policy Characteristics'!$C:$C,0))),"",INDEX('Policy Characteristics'!J:J,MATCH($C591,'Policy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1" s="275" t="str">
        <f>IF(ISBLANK(INDEX('Policy Characteristics'!K:K,MATCH($C591,'Policy Characteristics'!$C:$C,0))),"",INDEX('Policy Characteristics'!K:K,MATCH($C591,'Policy Characteristics'!$C:$C,0)))</f>
        <v>industry-ag-main.html#fuel-switching</v>
      </c>
      <c r="R591" s="275" t="str">
        <f>IF(ISBLANK(INDEX('Policy Characteristics'!L:L,MATCH($C591,'Policy Characteristics'!$C:$C,0))),"",INDEX('Policy Characteristics'!L:L,MATCH($C591,'Policy Characteristics'!$C:$C,0)))</f>
        <v>industry-elec-and-hydrogen.html</v>
      </c>
    </row>
    <row r="592" spans="1:18" x14ac:dyDescent="0.25">
      <c r="A592" s="275" t="str">
        <f>IF(ISBLANK(INDEX('Policy Characteristics'!A:A,MATCH($C592,'Policy Characteristics'!$C:$C,0))),"",INDEX('Policy Characteristics'!A:A,MATCH($C592,'Policy Characteristics'!$C:$C,0)))</f>
        <v>Industry</v>
      </c>
      <c r="B592" s="284" t="str">
        <f>IF(ISBLANK(INDEX('Policy Characteristics'!B:B,MATCH($C592,'Policy Characteristics'!$C:$C,0))),"",INDEX('Policy Characteristics'!B:B,MATCH($C592,'Policy Characteristics'!$C:$C,0)))</f>
        <v>Electrification</v>
      </c>
      <c r="C592" s="275" t="str">
        <f t="shared" si="31"/>
        <v>Fraction of Eligible Industrial Energy Use Shifted to Electricity</v>
      </c>
      <c r="D592" s="6" t="s">
        <v>3073</v>
      </c>
      <c r="E592" s="1" t="s">
        <v>3548</v>
      </c>
      <c r="F592" t="s">
        <v>3037</v>
      </c>
      <c r="G592" s="47" t="s">
        <v>3555</v>
      </c>
      <c r="H592" s="44">
        <v>1859</v>
      </c>
      <c r="I592" s="346" t="s">
        <v>43</v>
      </c>
      <c r="J592" s="276" t="str">
        <f>IF(ISBLANK(INDEX('Policy Characteristics'!D:D,MATCH($C592,'Policy Characteristics'!$C:$C,0))),"",INDEX('Policy Characteristics'!D:D,MATCH($C592,'Policy Characteristics'!$C:$C,0)))</f>
        <v>Electrification</v>
      </c>
      <c r="K592" s="275" t="str">
        <f>IF(ISBLANK(INDEX('Policy Characteristics'!E:E,MATCH($C592,'Policy Characteristics'!$C:$C,0))),"",INDEX('Policy Characteristics'!E:E,MATCH($C592,'Policy Characteristics'!$C:$C,0)))</f>
        <v>indst shift to electricity</v>
      </c>
      <c r="L592" s="283">
        <f>IF(ISBLANK(INDEX('Policy Characteristics'!F:F,MATCH($C592,'Policy Characteristics'!$C:$C,0))),"",INDEX('Policy Characteristics'!F:F,MATCH($C592,'Policy Characteristics'!$C:$C,0)))</f>
        <v>0</v>
      </c>
      <c r="M592" s="283">
        <f>IF(ISBLANK(INDEX('Policy Characteristics'!G:G,MATCH($C592,'Policy Characteristics'!$C:$C,0))),"",INDEX('Policy Characteristics'!G:G,MATCH($C592,'Policy Characteristics'!$C:$C,0)))</f>
        <v>1</v>
      </c>
      <c r="N592" s="283">
        <f>IF(ISBLANK(INDEX('Policy Characteristics'!H:H,MATCH($C592,'Policy Characteristics'!$C:$C,0))),"",INDEX('Policy Characteristics'!H:H,MATCH($C592,'Policy Characteristics'!$C:$C,0)))</f>
        <v>0.01</v>
      </c>
      <c r="O592" s="275" t="str">
        <f>IF(ISBLANK(INDEX('Policy Characteristics'!I:I,MATCH($C592,'Policy Characteristics'!$C:$C,0))),"",INDEX('Policy Characteristics'!I:I,MATCH($C592,'Policy Characteristics'!$C:$C,0)))</f>
        <v>% of fuel shifted</v>
      </c>
      <c r="P592" s="275" t="str">
        <f>IF(ISBLANK(INDEX('Policy Characteristics'!J:J,MATCH($C592,'Policy Characteristics'!$C:$C,0))),"",INDEX('Policy Characteristics'!J:J,MATCH($C592,'Policy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2" s="275" t="str">
        <f>IF(ISBLANK(INDEX('Policy Characteristics'!K:K,MATCH($C592,'Policy Characteristics'!$C:$C,0))),"",INDEX('Policy Characteristics'!K:K,MATCH($C592,'Policy Characteristics'!$C:$C,0)))</f>
        <v>industry-ag-main.html#fuel-switching</v>
      </c>
      <c r="R592" s="275" t="str">
        <f>IF(ISBLANK(INDEX('Policy Characteristics'!L:L,MATCH($C592,'Policy Characteristics'!$C:$C,0))),"",INDEX('Policy Characteristics'!L:L,MATCH($C592,'Policy Characteristics'!$C:$C,0)))</f>
        <v>industry-elec-and-hydrogen.html</v>
      </c>
    </row>
    <row r="593" spans="1:18" x14ac:dyDescent="0.25">
      <c r="A593" s="275" t="str">
        <f>IF(ISBLANK(INDEX('Policy Characteristics'!A:A,MATCH($C593,'Policy Characteristics'!$C:$C,0))),"",INDEX('Policy Characteristics'!A:A,MATCH($C593,'Policy Characteristics'!$C:$C,0)))</f>
        <v>Industry</v>
      </c>
      <c r="B593" s="284" t="str">
        <f>IF(ISBLANK(INDEX('Policy Characteristics'!B:B,MATCH($C593,'Policy Characteristics'!$C:$C,0))),"",INDEX('Policy Characteristics'!B:B,MATCH($C593,'Policy Characteristics'!$C:$C,0)))</f>
        <v>Electrification</v>
      </c>
      <c r="C593" s="275" t="str">
        <f t="shared" si="31"/>
        <v>Fraction of Eligible Industrial Energy Use Shifted to Electricity</v>
      </c>
      <c r="D593" s="6" t="s">
        <v>3073</v>
      </c>
      <c r="E593" s="1" t="s">
        <v>3549</v>
      </c>
      <c r="F593" t="s">
        <v>3037</v>
      </c>
      <c r="G593" s="47" t="s">
        <v>3556</v>
      </c>
      <c r="H593" s="44">
        <v>1860</v>
      </c>
      <c r="I593" s="346" t="s">
        <v>44</v>
      </c>
      <c r="J593" s="276" t="str">
        <f>IF(ISBLANK(INDEX('Policy Characteristics'!D:D,MATCH($C593,'Policy Characteristics'!$C:$C,0))),"",INDEX('Policy Characteristics'!D:D,MATCH($C593,'Policy Characteristics'!$C:$C,0)))</f>
        <v>Electrification</v>
      </c>
      <c r="K593" s="275" t="str">
        <f>IF(ISBLANK(INDEX('Policy Characteristics'!E:E,MATCH($C593,'Policy Characteristics'!$C:$C,0))),"",INDEX('Policy Characteristics'!E:E,MATCH($C593,'Policy Characteristics'!$C:$C,0)))</f>
        <v>indst shift to electricity</v>
      </c>
      <c r="L593" s="283">
        <f>IF(ISBLANK(INDEX('Policy Characteristics'!F:F,MATCH($C593,'Policy Characteristics'!$C:$C,0))),"",INDEX('Policy Characteristics'!F:F,MATCH($C593,'Policy Characteristics'!$C:$C,0)))</f>
        <v>0</v>
      </c>
      <c r="M593" s="283">
        <f>IF(ISBLANK(INDEX('Policy Characteristics'!G:G,MATCH($C593,'Policy Characteristics'!$C:$C,0))),"",INDEX('Policy Characteristics'!G:G,MATCH($C593,'Policy Characteristics'!$C:$C,0)))</f>
        <v>1</v>
      </c>
      <c r="N593" s="283">
        <f>IF(ISBLANK(INDEX('Policy Characteristics'!H:H,MATCH($C593,'Policy Characteristics'!$C:$C,0))),"",INDEX('Policy Characteristics'!H:H,MATCH($C593,'Policy Characteristics'!$C:$C,0)))</f>
        <v>0.01</v>
      </c>
      <c r="O593" s="275" t="str">
        <f>IF(ISBLANK(INDEX('Policy Characteristics'!I:I,MATCH($C593,'Policy Characteristics'!$C:$C,0))),"",INDEX('Policy Characteristics'!I:I,MATCH($C593,'Policy Characteristics'!$C:$C,0)))</f>
        <v>% of fuel shifted</v>
      </c>
      <c r="P593" s="275" t="str">
        <f>IF(ISBLANK(INDEX('Policy Characteristics'!J:J,MATCH($C593,'Policy Characteristics'!$C:$C,0))),"",INDEX('Policy Characteristics'!J:J,MATCH($C593,'Policy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3" s="275" t="str">
        <f>IF(ISBLANK(INDEX('Policy Characteristics'!K:K,MATCH($C593,'Policy Characteristics'!$C:$C,0))),"",INDEX('Policy Characteristics'!K:K,MATCH($C593,'Policy Characteristics'!$C:$C,0)))</f>
        <v>industry-ag-main.html#fuel-switching</v>
      </c>
      <c r="R593" s="275" t="str">
        <f>IF(ISBLANK(INDEX('Policy Characteristics'!L:L,MATCH($C593,'Policy Characteristics'!$C:$C,0))),"",INDEX('Policy Characteristics'!L:L,MATCH($C593,'Policy Characteristics'!$C:$C,0)))</f>
        <v>industry-elec-and-hydrogen.html</v>
      </c>
    </row>
    <row r="594" spans="1:18" x14ac:dyDescent="0.25">
      <c r="A594" s="275" t="str">
        <f>IF(ISBLANK(INDEX('Policy Characteristics'!A:A,MATCH($C594,'Policy Characteristics'!$C:$C,0))),"",INDEX('Policy Characteristics'!A:A,MATCH($C594,'Policy Characteristics'!$C:$C,0)))</f>
        <v>Industry</v>
      </c>
      <c r="B594" s="284" t="str">
        <f>IF(ISBLANK(INDEX('Policy Characteristics'!B:B,MATCH($C594,'Policy Characteristics'!$C:$C,0))),"",INDEX('Policy Characteristics'!B:B,MATCH($C594,'Policy Characteristics'!$C:$C,0)))</f>
        <v>Electrification</v>
      </c>
      <c r="C594" s="275" t="str">
        <f t="shared" ref="C594:C595" si="32">C$567</f>
        <v>Fraction of Eligible Industrial Energy Use Shifted to Electricity</v>
      </c>
      <c r="D594" s="6" t="s">
        <v>3073</v>
      </c>
      <c r="E594" s="1" t="s">
        <v>3550</v>
      </c>
      <c r="F594" t="s">
        <v>3037</v>
      </c>
      <c r="G594" s="47" t="s">
        <v>3557</v>
      </c>
      <c r="H594" s="44">
        <v>1861</v>
      </c>
      <c r="I594" s="346" t="s">
        <v>44</v>
      </c>
      <c r="J594" s="276" t="str">
        <f>IF(ISBLANK(INDEX('Policy Characteristics'!D:D,MATCH($C594,'Policy Characteristics'!$C:$C,0))),"",INDEX('Policy Characteristics'!D:D,MATCH($C594,'Policy Characteristics'!$C:$C,0)))</f>
        <v>Electrification</v>
      </c>
      <c r="K594" s="275" t="str">
        <f>IF(ISBLANK(INDEX('Policy Characteristics'!E:E,MATCH($C594,'Policy Characteristics'!$C:$C,0))),"",INDEX('Policy Characteristics'!E:E,MATCH($C594,'Policy Characteristics'!$C:$C,0)))</f>
        <v>indst shift to electricity</v>
      </c>
      <c r="L594" s="283">
        <f>IF(ISBLANK(INDEX('Policy Characteristics'!F:F,MATCH($C594,'Policy Characteristics'!$C:$C,0))),"",INDEX('Policy Characteristics'!F:F,MATCH($C594,'Policy Characteristics'!$C:$C,0)))</f>
        <v>0</v>
      </c>
      <c r="M594" s="283">
        <f>IF(ISBLANK(INDEX('Policy Characteristics'!G:G,MATCH($C594,'Policy Characteristics'!$C:$C,0))),"",INDEX('Policy Characteristics'!G:G,MATCH($C594,'Policy Characteristics'!$C:$C,0)))</f>
        <v>1</v>
      </c>
      <c r="N594" s="283">
        <f>IF(ISBLANK(INDEX('Policy Characteristics'!H:H,MATCH($C594,'Policy Characteristics'!$C:$C,0))),"",INDEX('Policy Characteristics'!H:H,MATCH($C594,'Policy Characteristics'!$C:$C,0)))</f>
        <v>0.01</v>
      </c>
      <c r="O594" s="275" t="str">
        <f>IF(ISBLANK(INDEX('Policy Characteristics'!I:I,MATCH($C594,'Policy Characteristics'!$C:$C,0))),"",INDEX('Policy Characteristics'!I:I,MATCH($C594,'Policy Characteristics'!$C:$C,0)))</f>
        <v>% of fuel shifted</v>
      </c>
      <c r="P594" s="275" t="str">
        <f>IF(ISBLANK(INDEX('Policy Characteristics'!J:J,MATCH($C594,'Policy Characteristics'!$C:$C,0))),"",INDEX('Policy Characteristics'!J:J,MATCH($C594,'Policy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4" s="275" t="str">
        <f>IF(ISBLANK(INDEX('Policy Characteristics'!K:K,MATCH($C594,'Policy Characteristics'!$C:$C,0))),"",INDEX('Policy Characteristics'!K:K,MATCH($C594,'Policy Characteristics'!$C:$C,0)))</f>
        <v>industry-ag-main.html#fuel-switching</v>
      </c>
      <c r="R594" s="275" t="str">
        <f>IF(ISBLANK(INDEX('Policy Characteristics'!L:L,MATCH($C594,'Policy Characteristics'!$C:$C,0))),"",INDEX('Policy Characteristics'!L:L,MATCH($C594,'Policy Characteristics'!$C:$C,0)))</f>
        <v>industry-elec-and-hydrogen.html</v>
      </c>
    </row>
    <row r="595" spans="1:18" x14ac:dyDescent="0.25">
      <c r="A595" s="275" t="str">
        <f>IF(ISBLANK(INDEX('Policy Characteristics'!A:A,MATCH($C595,'Policy Characteristics'!$C:$C,0))),"",INDEX('Policy Characteristics'!A:A,MATCH($C595,'Policy Characteristics'!$C:$C,0)))</f>
        <v>Industry</v>
      </c>
      <c r="B595" s="284" t="str">
        <f>IF(ISBLANK(INDEX('Policy Characteristics'!B:B,MATCH($C595,'Policy Characteristics'!$C:$C,0))),"",INDEX('Policy Characteristics'!B:B,MATCH($C595,'Policy Characteristics'!$C:$C,0)))</f>
        <v>Electrification</v>
      </c>
      <c r="C595" s="275" t="str">
        <f t="shared" si="32"/>
        <v>Fraction of Eligible Industrial Energy Use Shifted to Electricity</v>
      </c>
      <c r="D595" s="6" t="s">
        <v>3073</v>
      </c>
      <c r="E595" s="1" t="s">
        <v>3551</v>
      </c>
      <c r="F595" t="s">
        <v>3037</v>
      </c>
      <c r="G595" s="47" t="s">
        <v>3558</v>
      </c>
      <c r="H595" s="44">
        <v>1862</v>
      </c>
      <c r="I595" s="346" t="s">
        <v>44</v>
      </c>
      <c r="J595" s="276" t="str">
        <f>IF(ISBLANK(INDEX('Policy Characteristics'!D:D,MATCH($C595,'Policy Characteristics'!$C:$C,0))),"",INDEX('Policy Characteristics'!D:D,MATCH($C595,'Policy Characteristics'!$C:$C,0)))</f>
        <v>Electrification</v>
      </c>
      <c r="K595" s="275" t="str">
        <f>IF(ISBLANK(INDEX('Policy Characteristics'!E:E,MATCH($C595,'Policy Characteristics'!$C:$C,0))),"",INDEX('Policy Characteristics'!E:E,MATCH($C595,'Policy Characteristics'!$C:$C,0)))</f>
        <v>indst shift to electricity</v>
      </c>
      <c r="L595" s="283">
        <f>IF(ISBLANK(INDEX('Policy Characteristics'!F:F,MATCH($C595,'Policy Characteristics'!$C:$C,0))),"",INDEX('Policy Characteristics'!F:F,MATCH($C595,'Policy Characteristics'!$C:$C,0)))</f>
        <v>0</v>
      </c>
      <c r="M595" s="283">
        <f>IF(ISBLANK(INDEX('Policy Characteristics'!G:G,MATCH($C595,'Policy Characteristics'!$C:$C,0))),"",INDEX('Policy Characteristics'!G:G,MATCH($C595,'Policy Characteristics'!$C:$C,0)))</f>
        <v>1</v>
      </c>
      <c r="N595" s="283">
        <f>IF(ISBLANK(INDEX('Policy Characteristics'!H:H,MATCH($C595,'Policy Characteristics'!$C:$C,0))),"",INDEX('Policy Characteristics'!H:H,MATCH($C595,'Policy Characteristics'!$C:$C,0)))</f>
        <v>0.01</v>
      </c>
      <c r="O595" s="275" t="str">
        <f>IF(ISBLANK(INDEX('Policy Characteristics'!I:I,MATCH($C595,'Policy Characteristics'!$C:$C,0))),"",INDEX('Policy Characteristics'!I:I,MATCH($C595,'Policy Characteristics'!$C:$C,0)))</f>
        <v>% of fuel shifted</v>
      </c>
      <c r="P595" s="275" t="str">
        <f>IF(ISBLANK(INDEX('Policy Characteristics'!J:J,MATCH($C595,'Policy Characteristics'!$C:$C,0))),"",INDEX('Policy Characteristics'!J:J,MATCH($C595,'Policy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5" s="275" t="str">
        <f>IF(ISBLANK(INDEX('Policy Characteristics'!K:K,MATCH($C595,'Policy Characteristics'!$C:$C,0))),"",INDEX('Policy Characteristics'!K:K,MATCH($C595,'Policy Characteristics'!$C:$C,0)))</f>
        <v>industry-ag-main.html#fuel-switching</v>
      </c>
      <c r="R595" s="275" t="str">
        <f>IF(ISBLANK(INDEX('Policy Characteristics'!L:L,MATCH($C595,'Policy Characteristics'!$C:$C,0))),"",INDEX('Policy Characteristics'!L:L,MATCH($C595,'Policy Characteristics'!$C:$C,0)))</f>
        <v>industry-elec-and-hydrogen.html</v>
      </c>
    </row>
    <row r="596" spans="1:18" x14ac:dyDescent="0.25">
      <c r="A596" s="275" t="str">
        <f>IF(ISBLANK(INDEX('Policy Characteristics'!A:A,MATCH($C596,'Policy Characteristics'!$C:$C,0))),"",INDEX('Policy Characteristics'!A:A,MATCH($C596,'Policy Characteristics'!$C:$C,0)))</f>
        <v>Industry</v>
      </c>
      <c r="B596" s="284" t="str">
        <f>IF(ISBLANK(INDEX('Policy Characteristics'!B:B,MATCH($C596,'Policy Characteristics'!$C:$C,0))),"",INDEX('Policy Characteristics'!B:B,MATCH($C596,'Policy Characteristics'!$C:$C,0)))</f>
        <v>Electrification</v>
      </c>
      <c r="C596" s="275" t="str">
        <f t="shared" ref="C596:C631" si="33">C$567</f>
        <v>Fraction of Eligible Industrial Energy Use Shifted to Electricity</v>
      </c>
      <c r="D596" s="6" t="s">
        <v>3073</v>
      </c>
      <c r="E596" s="1" t="s">
        <v>3552</v>
      </c>
      <c r="F596" t="s">
        <v>3037</v>
      </c>
      <c r="G596" s="47" t="s">
        <v>3559</v>
      </c>
      <c r="H596" s="44">
        <v>1863</v>
      </c>
      <c r="I596" s="346" t="s">
        <v>44</v>
      </c>
      <c r="J596" s="276" t="str">
        <f>IF(ISBLANK(INDEX('Policy Characteristics'!D:D,MATCH($C596,'Policy Characteristics'!$C:$C,0))),"",INDEX('Policy Characteristics'!D:D,MATCH($C596,'Policy Characteristics'!$C:$C,0)))</f>
        <v>Electrification</v>
      </c>
      <c r="K596" s="275" t="str">
        <f>IF(ISBLANK(INDEX('Policy Characteristics'!E:E,MATCH($C596,'Policy Characteristics'!$C:$C,0))),"",INDEX('Policy Characteristics'!E:E,MATCH($C596,'Policy Characteristics'!$C:$C,0)))</f>
        <v>indst shift to electricity</v>
      </c>
      <c r="L596" s="283">
        <f>IF(ISBLANK(INDEX('Policy Characteristics'!F:F,MATCH($C596,'Policy Characteristics'!$C:$C,0))),"",INDEX('Policy Characteristics'!F:F,MATCH($C596,'Policy Characteristics'!$C:$C,0)))</f>
        <v>0</v>
      </c>
      <c r="M596" s="283">
        <f>IF(ISBLANK(INDEX('Policy Characteristics'!G:G,MATCH($C596,'Policy Characteristics'!$C:$C,0))),"",INDEX('Policy Characteristics'!G:G,MATCH($C596,'Policy Characteristics'!$C:$C,0)))</f>
        <v>1</v>
      </c>
      <c r="N596" s="283">
        <f>IF(ISBLANK(INDEX('Policy Characteristics'!H:H,MATCH($C596,'Policy Characteristics'!$C:$C,0))),"",INDEX('Policy Characteristics'!H:H,MATCH($C596,'Policy Characteristics'!$C:$C,0)))</f>
        <v>0.01</v>
      </c>
      <c r="O596" s="275" t="str">
        <f>IF(ISBLANK(INDEX('Policy Characteristics'!I:I,MATCH($C596,'Policy Characteristics'!$C:$C,0))),"",INDEX('Policy Characteristics'!I:I,MATCH($C596,'Policy Characteristics'!$C:$C,0)))</f>
        <v>% of fuel shifted</v>
      </c>
      <c r="P596" s="275" t="str">
        <f>IF(ISBLANK(INDEX('Policy Characteristics'!J:J,MATCH($C596,'Policy Characteristics'!$C:$C,0))),"",INDEX('Policy Characteristics'!J:J,MATCH($C596,'Policy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6" s="275" t="str">
        <f>IF(ISBLANK(INDEX('Policy Characteristics'!K:K,MATCH($C596,'Policy Characteristics'!$C:$C,0))),"",INDEX('Policy Characteristics'!K:K,MATCH($C596,'Policy Characteristics'!$C:$C,0)))</f>
        <v>industry-ag-main.html#fuel-switching</v>
      </c>
      <c r="R596" s="275" t="str">
        <f>IF(ISBLANK(INDEX('Policy Characteristics'!L:L,MATCH($C596,'Policy Characteristics'!$C:$C,0))),"",INDEX('Policy Characteristics'!L:L,MATCH($C596,'Policy Characteristics'!$C:$C,0)))</f>
        <v>industry-elec-and-hydrogen.html</v>
      </c>
    </row>
    <row r="597" spans="1:18" x14ac:dyDescent="0.25">
      <c r="A597" s="275" t="str">
        <f>IF(ISBLANK(INDEX('Policy Characteristics'!A:A,MATCH($C597,'Policy Characteristics'!$C:$C,0))),"",INDEX('Policy Characteristics'!A:A,MATCH($C597,'Policy Characteristics'!$C:$C,0)))</f>
        <v>Industry</v>
      </c>
      <c r="B597" s="284" t="str">
        <f>IF(ISBLANK(INDEX('Policy Characteristics'!B:B,MATCH($C597,'Policy Characteristics'!$C:$C,0))),"",INDEX('Policy Characteristics'!B:B,MATCH($C597,'Policy Characteristics'!$C:$C,0)))</f>
        <v>Electrification</v>
      </c>
      <c r="C597" s="275" t="str">
        <f t="shared" si="33"/>
        <v>Fraction of Eligible Industrial Energy Use Shifted to Electricity</v>
      </c>
      <c r="D597" s="6" t="s">
        <v>3073</v>
      </c>
      <c r="E597" s="1" t="s">
        <v>3553</v>
      </c>
      <c r="F597" t="s">
        <v>3037</v>
      </c>
      <c r="G597" s="47" t="s">
        <v>3560</v>
      </c>
      <c r="H597" s="44">
        <v>1864</v>
      </c>
      <c r="I597" s="346" t="s">
        <v>44</v>
      </c>
      <c r="J597" s="276" t="str">
        <f>IF(ISBLANK(INDEX('Policy Characteristics'!D:D,MATCH($C597,'Policy Characteristics'!$C:$C,0))),"",INDEX('Policy Characteristics'!D:D,MATCH($C597,'Policy Characteristics'!$C:$C,0)))</f>
        <v>Electrification</v>
      </c>
      <c r="K597" s="275" t="str">
        <f>IF(ISBLANK(INDEX('Policy Characteristics'!E:E,MATCH($C597,'Policy Characteristics'!$C:$C,0))),"",INDEX('Policy Characteristics'!E:E,MATCH($C597,'Policy Characteristics'!$C:$C,0)))</f>
        <v>indst shift to electricity</v>
      </c>
      <c r="L597" s="283">
        <f>IF(ISBLANK(INDEX('Policy Characteristics'!F:F,MATCH($C597,'Policy Characteristics'!$C:$C,0))),"",INDEX('Policy Characteristics'!F:F,MATCH($C597,'Policy Characteristics'!$C:$C,0)))</f>
        <v>0</v>
      </c>
      <c r="M597" s="283">
        <f>IF(ISBLANK(INDEX('Policy Characteristics'!G:G,MATCH($C597,'Policy Characteristics'!$C:$C,0))),"",INDEX('Policy Characteristics'!G:G,MATCH($C597,'Policy Characteristics'!$C:$C,0)))</f>
        <v>1</v>
      </c>
      <c r="N597" s="283">
        <f>IF(ISBLANK(INDEX('Policy Characteristics'!H:H,MATCH($C597,'Policy Characteristics'!$C:$C,0))),"",INDEX('Policy Characteristics'!H:H,MATCH($C597,'Policy Characteristics'!$C:$C,0)))</f>
        <v>0.01</v>
      </c>
      <c r="O597" s="275" t="str">
        <f>IF(ISBLANK(INDEX('Policy Characteristics'!I:I,MATCH($C597,'Policy Characteristics'!$C:$C,0))),"",INDEX('Policy Characteristics'!I:I,MATCH($C597,'Policy Characteristics'!$C:$C,0)))</f>
        <v>% of fuel shifted</v>
      </c>
      <c r="P597" s="275" t="str">
        <f>IF(ISBLANK(INDEX('Policy Characteristics'!J:J,MATCH($C597,'Policy Characteristics'!$C:$C,0))),"",INDEX('Policy Characteristics'!J:J,MATCH($C597,'Policy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7" s="275" t="str">
        <f>IF(ISBLANK(INDEX('Policy Characteristics'!K:K,MATCH($C597,'Policy Characteristics'!$C:$C,0))),"",INDEX('Policy Characteristics'!K:K,MATCH($C597,'Policy Characteristics'!$C:$C,0)))</f>
        <v>industry-ag-main.html#fuel-switching</v>
      </c>
      <c r="R597" s="275" t="str">
        <f>IF(ISBLANK(INDEX('Policy Characteristics'!L:L,MATCH($C597,'Policy Characteristics'!$C:$C,0))),"",INDEX('Policy Characteristics'!L:L,MATCH($C597,'Policy Characteristics'!$C:$C,0)))</f>
        <v>industry-elec-and-hydrogen.html</v>
      </c>
    </row>
    <row r="598" spans="1:18" x14ac:dyDescent="0.25">
      <c r="A598" s="275" t="str">
        <f>IF(ISBLANK(INDEX('Policy Characteristics'!A:A,MATCH($C598,'Policy Characteristics'!$C:$C,0))),"",INDEX('Policy Characteristics'!A:A,MATCH($C598,'Policy Characteristics'!$C:$C,0)))</f>
        <v>Industry</v>
      </c>
      <c r="B598" s="284" t="str">
        <f>IF(ISBLANK(INDEX('Policy Characteristics'!B:B,MATCH($C598,'Policy Characteristics'!$C:$C,0))),"",INDEX('Policy Characteristics'!B:B,MATCH($C598,'Policy Characteristics'!$C:$C,0)))</f>
        <v>Electrification</v>
      </c>
      <c r="C598" s="275" t="str">
        <f t="shared" si="33"/>
        <v>Fraction of Eligible Industrial Energy Use Shifted to Electricity</v>
      </c>
      <c r="D598" s="6" t="s">
        <v>3073</v>
      </c>
      <c r="E598" s="1" t="s">
        <v>3737</v>
      </c>
      <c r="F598" t="s">
        <v>3037</v>
      </c>
      <c r="G598" s="47" t="s">
        <v>3738</v>
      </c>
      <c r="H598" s="44">
        <v>1865</v>
      </c>
      <c r="I598" s="346" t="s">
        <v>44</v>
      </c>
      <c r="J598" s="276" t="str">
        <f>IF(ISBLANK(INDEX('Policy Characteristics'!D:D,MATCH($C598,'Policy Characteristics'!$C:$C,0))),"",INDEX('Policy Characteristics'!D:D,MATCH($C598,'Policy Characteristics'!$C:$C,0)))</f>
        <v>Electrification</v>
      </c>
      <c r="K598" s="275" t="str">
        <f>IF(ISBLANK(INDEX('Policy Characteristics'!E:E,MATCH($C598,'Policy Characteristics'!$C:$C,0))),"",INDEX('Policy Characteristics'!E:E,MATCH($C598,'Policy Characteristics'!$C:$C,0)))</f>
        <v>indst shift to electricity</v>
      </c>
      <c r="L598" s="283">
        <f>IF(ISBLANK(INDEX('Policy Characteristics'!F:F,MATCH($C598,'Policy Characteristics'!$C:$C,0))),"",INDEX('Policy Characteristics'!F:F,MATCH($C598,'Policy Characteristics'!$C:$C,0)))</f>
        <v>0</v>
      </c>
      <c r="M598" s="283">
        <f>IF(ISBLANK(INDEX('Policy Characteristics'!G:G,MATCH($C598,'Policy Characteristics'!$C:$C,0))),"",INDEX('Policy Characteristics'!G:G,MATCH($C598,'Policy Characteristics'!$C:$C,0)))</f>
        <v>1</v>
      </c>
      <c r="N598" s="283">
        <f>IF(ISBLANK(INDEX('Policy Characteristics'!H:H,MATCH($C598,'Policy Characteristics'!$C:$C,0))),"",INDEX('Policy Characteristics'!H:H,MATCH($C598,'Policy Characteristics'!$C:$C,0)))</f>
        <v>0.01</v>
      </c>
      <c r="O598" s="275" t="str">
        <f>IF(ISBLANK(INDEX('Policy Characteristics'!I:I,MATCH($C598,'Policy Characteristics'!$C:$C,0))),"",INDEX('Policy Characteristics'!I:I,MATCH($C598,'Policy Characteristics'!$C:$C,0)))</f>
        <v>% of fuel shifted</v>
      </c>
      <c r="P598" s="275" t="str">
        <f>IF(ISBLANK(INDEX('Policy Characteristics'!J:J,MATCH($C598,'Policy Characteristics'!$C:$C,0))),"",INDEX('Policy Characteristics'!J:J,MATCH($C598,'Policy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8" s="275" t="str">
        <f>IF(ISBLANK(INDEX('Policy Characteristics'!K:K,MATCH($C598,'Policy Characteristics'!$C:$C,0))),"",INDEX('Policy Characteristics'!K:K,MATCH($C598,'Policy Characteristics'!$C:$C,0)))</f>
        <v>industry-ag-main.html#fuel-switching</v>
      </c>
      <c r="R598" s="275" t="str">
        <f>IF(ISBLANK(INDEX('Policy Characteristics'!L:L,MATCH($C598,'Policy Characteristics'!$C:$C,0))),"",INDEX('Policy Characteristics'!L:L,MATCH($C598,'Policy Characteristics'!$C:$C,0)))</f>
        <v>industry-elec-and-hydrogen.html</v>
      </c>
    </row>
    <row r="599" spans="1:18" x14ac:dyDescent="0.25">
      <c r="A599" s="275" t="str">
        <f>IF(ISBLANK(INDEX('Policy Characteristics'!A:A,MATCH($C599,'Policy Characteristics'!$C:$C,0))),"",INDEX('Policy Characteristics'!A:A,MATCH($C599,'Policy Characteristics'!$C:$C,0)))</f>
        <v>Industry</v>
      </c>
      <c r="B599" s="284" t="str">
        <f>IF(ISBLANK(INDEX('Policy Characteristics'!B:B,MATCH($C599,'Policy Characteristics'!$C:$C,0))),"",INDEX('Policy Characteristics'!B:B,MATCH($C599,'Policy Characteristics'!$C:$C,0)))</f>
        <v>Electrification</v>
      </c>
      <c r="C599" s="275" t="str">
        <f t="shared" si="33"/>
        <v>Fraction of Eligible Industrial Energy Use Shifted to Electricity</v>
      </c>
      <c r="D599" s="6" t="s">
        <v>3074</v>
      </c>
      <c r="E599" s="1" t="s">
        <v>3547</v>
      </c>
      <c r="F599" t="s">
        <v>3038</v>
      </c>
      <c r="G599" s="47" t="s">
        <v>3554</v>
      </c>
      <c r="H599" s="44">
        <v>1866</v>
      </c>
      <c r="I599" s="346" t="s">
        <v>43</v>
      </c>
      <c r="J599" s="276" t="str">
        <f>IF(ISBLANK(INDEX('Policy Characteristics'!D:D,MATCH($C599,'Policy Characteristics'!$C:$C,0))),"",INDEX('Policy Characteristics'!D:D,MATCH($C599,'Policy Characteristics'!$C:$C,0)))</f>
        <v>Electrification</v>
      </c>
      <c r="K599" s="275" t="str">
        <f>IF(ISBLANK(INDEX('Policy Characteristics'!E:E,MATCH($C599,'Policy Characteristics'!$C:$C,0))),"",INDEX('Policy Characteristics'!E:E,MATCH($C599,'Policy Characteristics'!$C:$C,0)))</f>
        <v>indst shift to electricity</v>
      </c>
      <c r="L599" s="283">
        <f>IF(ISBLANK(INDEX('Policy Characteristics'!F:F,MATCH($C599,'Policy Characteristics'!$C:$C,0))),"",INDEX('Policy Characteristics'!F:F,MATCH($C599,'Policy Characteristics'!$C:$C,0)))</f>
        <v>0</v>
      </c>
      <c r="M599" s="283">
        <f>IF(ISBLANK(INDEX('Policy Characteristics'!G:G,MATCH($C599,'Policy Characteristics'!$C:$C,0))),"",INDEX('Policy Characteristics'!G:G,MATCH($C599,'Policy Characteristics'!$C:$C,0)))</f>
        <v>1</v>
      </c>
      <c r="N599" s="283">
        <f>IF(ISBLANK(INDEX('Policy Characteristics'!H:H,MATCH($C599,'Policy Characteristics'!$C:$C,0))),"",INDEX('Policy Characteristics'!H:H,MATCH($C599,'Policy Characteristics'!$C:$C,0)))</f>
        <v>0.01</v>
      </c>
      <c r="O599" s="275" t="str">
        <f>IF(ISBLANK(INDEX('Policy Characteristics'!I:I,MATCH($C599,'Policy Characteristics'!$C:$C,0))),"",INDEX('Policy Characteristics'!I:I,MATCH($C599,'Policy Characteristics'!$C:$C,0)))</f>
        <v>% of fuel shifted</v>
      </c>
      <c r="P599" s="275" t="str">
        <f>IF(ISBLANK(INDEX('Policy Characteristics'!J:J,MATCH($C599,'Policy Characteristics'!$C:$C,0))),"",INDEX('Policy Characteristics'!J:J,MATCH($C599,'Policy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9" s="275" t="str">
        <f>IF(ISBLANK(INDEX('Policy Characteristics'!K:K,MATCH($C599,'Policy Characteristics'!$C:$C,0))),"",INDEX('Policy Characteristics'!K:K,MATCH($C599,'Policy Characteristics'!$C:$C,0)))</f>
        <v>industry-ag-main.html#fuel-switching</v>
      </c>
      <c r="R599" s="275" t="str">
        <f>IF(ISBLANK(INDEX('Policy Characteristics'!L:L,MATCH($C599,'Policy Characteristics'!$C:$C,0))),"",INDEX('Policy Characteristics'!L:L,MATCH($C599,'Policy Characteristics'!$C:$C,0)))</f>
        <v>industry-elec-and-hydrogen.html</v>
      </c>
    </row>
    <row r="600" spans="1:18" x14ac:dyDescent="0.25">
      <c r="A600" s="275" t="str">
        <f>IF(ISBLANK(INDEX('Policy Characteristics'!A:A,MATCH($C600,'Policy Characteristics'!$C:$C,0))),"",INDEX('Policy Characteristics'!A:A,MATCH($C600,'Policy Characteristics'!$C:$C,0)))</f>
        <v>Industry</v>
      </c>
      <c r="B600" s="284" t="str">
        <f>IF(ISBLANK(INDEX('Policy Characteristics'!B:B,MATCH($C600,'Policy Characteristics'!$C:$C,0))),"",INDEX('Policy Characteristics'!B:B,MATCH($C600,'Policy Characteristics'!$C:$C,0)))</f>
        <v>Electrification</v>
      </c>
      <c r="C600" s="275" t="str">
        <f t="shared" si="33"/>
        <v>Fraction of Eligible Industrial Energy Use Shifted to Electricity</v>
      </c>
      <c r="D600" s="6" t="s">
        <v>3074</v>
      </c>
      <c r="E600" s="1" t="s">
        <v>3548</v>
      </c>
      <c r="F600" t="s">
        <v>3038</v>
      </c>
      <c r="G600" s="47" t="s">
        <v>3555</v>
      </c>
      <c r="H600" s="44">
        <v>1867</v>
      </c>
      <c r="I600" s="346" t="s">
        <v>43</v>
      </c>
      <c r="J600" s="276" t="str">
        <f>IF(ISBLANK(INDEX('Policy Characteristics'!D:D,MATCH($C600,'Policy Characteristics'!$C:$C,0))),"",INDEX('Policy Characteristics'!D:D,MATCH($C600,'Policy Characteristics'!$C:$C,0)))</f>
        <v>Electrification</v>
      </c>
      <c r="K600" s="275" t="str">
        <f>IF(ISBLANK(INDEX('Policy Characteristics'!E:E,MATCH($C600,'Policy Characteristics'!$C:$C,0))),"",INDEX('Policy Characteristics'!E:E,MATCH($C600,'Policy Characteristics'!$C:$C,0)))</f>
        <v>indst shift to electricity</v>
      </c>
      <c r="L600" s="283">
        <f>IF(ISBLANK(INDEX('Policy Characteristics'!F:F,MATCH($C600,'Policy Characteristics'!$C:$C,0))),"",INDEX('Policy Characteristics'!F:F,MATCH($C600,'Policy Characteristics'!$C:$C,0)))</f>
        <v>0</v>
      </c>
      <c r="M600" s="283">
        <f>IF(ISBLANK(INDEX('Policy Characteristics'!G:G,MATCH($C600,'Policy Characteristics'!$C:$C,0))),"",INDEX('Policy Characteristics'!G:G,MATCH($C600,'Policy Characteristics'!$C:$C,0)))</f>
        <v>1</v>
      </c>
      <c r="N600" s="283">
        <f>IF(ISBLANK(INDEX('Policy Characteristics'!H:H,MATCH($C600,'Policy Characteristics'!$C:$C,0))),"",INDEX('Policy Characteristics'!H:H,MATCH($C600,'Policy Characteristics'!$C:$C,0)))</f>
        <v>0.01</v>
      </c>
      <c r="O600" s="275" t="str">
        <f>IF(ISBLANK(INDEX('Policy Characteristics'!I:I,MATCH($C600,'Policy Characteristics'!$C:$C,0))),"",INDEX('Policy Characteristics'!I:I,MATCH($C600,'Policy Characteristics'!$C:$C,0)))</f>
        <v>% of fuel shifted</v>
      </c>
      <c r="P600" s="275" t="str">
        <f>IF(ISBLANK(INDEX('Policy Characteristics'!J:J,MATCH($C600,'Policy Characteristics'!$C:$C,0))),"",INDEX('Policy Characteristics'!J:J,MATCH($C600,'Policy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0" s="275" t="str">
        <f>IF(ISBLANK(INDEX('Policy Characteristics'!K:K,MATCH($C600,'Policy Characteristics'!$C:$C,0))),"",INDEX('Policy Characteristics'!K:K,MATCH($C600,'Policy Characteristics'!$C:$C,0)))</f>
        <v>industry-ag-main.html#fuel-switching</v>
      </c>
      <c r="R600" s="275" t="str">
        <f>IF(ISBLANK(INDEX('Policy Characteristics'!L:L,MATCH($C600,'Policy Characteristics'!$C:$C,0))),"",INDEX('Policy Characteristics'!L:L,MATCH($C600,'Policy Characteristics'!$C:$C,0)))</f>
        <v>industry-elec-and-hydrogen.html</v>
      </c>
    </row>
    <row r="601" spans="1:18" x14ac:dyDescent="0.25">
      <c r="A601" s="275" t="str">
        <f>IF(ISBLANK(INDEX('Policy Characteristics'!A:A,MATCH($C601,'Policy Characteristics'!$C:$C,0))),"",INDEX('Policy Characteristics'!A:A,MATCH($C601,'Policy Characteristics'!$C:$C,0)))</f>
        <v>Industry</v>
      </c>
      <c r="B601" s="284" t="str">
        <f>IF(ISBLANK(INDEX('Policy Characteristics'!B:B,MATCH($C601,'Policy Characteristics'!$C:$C,0))),"",INDEX('Policy Characteristics'!B:B,MATCH($C601,'Policy Characteristics'!$C:$C,0)))</f>
        <v>Electrification</v>
      </c>
      <c r="C601" s="275" t="str">
        <f t="shared" si="33"/>
        <v>Fraction of Eligible Industrial Energy Use Shifted to Electricity</v>
      </c>
      <c r="D601" s="6" t="s">
        <v>3074</v>
      </c>
      <c r="E601" s="1" t="s">
        <v>3549</v>
      </c>
      <c r="F601" t="s">
        <v>3038</v>
      </c>
      <c r="G601" s="47" t="s">
        <v>3556</v>
      </c>
      <c r="H601" s="44">
        <v>1868</v>
      </c>
      <c r="I601" s="346" t="s">
        <v>43</v>
      </c>
      <c r="J601" s="276" t="str">
        <f>IF(ISBLANK(INDEX('Policy Characteristics'!D:D,MATCH($C601,'Policy Characteristics'!$C:$C,0))),"",INDEX('Policy Characteristics'!D:D,MATCH($C601,'Policy Characteristics'!$C:$C,0)))</f>
        <v>Electrification</v>
      </c>
      <c r="K601" s="275" t="str">
        <f>IF(ISBLANK(INDEX('Policy Characteristics'!E:E,MATCH($C601,'Policy Characteristics'!$C:$C,0))),"",INDEX('Policy Characteristics'!E:E,MATCH($C601,'Policy Characteristics'!$C:$C,0)))</f>
        <v>indst shift to electricity</v>
      </c>
      <c r="L601" s="283">
        <f>IF(ISBLANK(INDEX('Policy Characteristics'!F:F,MATCH($C601,'Policy Characteristics'!$C:$C,0))),"",INDEX('Policy Characteristics'!F:F,MATCH($C601,'Policy Characteristics'!$C:$C,0)))</f>
        <v>0</v>
      </c>
      <c r="M601" s="283">
        <f>IF(ISBLANK(INDEX('Policy Characteristics'!G:G,MATCH($C601,'Policy Characteristics'!$C:$C,0))),"",INDEX('Policy Characteristics'!G:G,MATCH($C601,'Policy Characteristics'!$C:$C,0)))</f>
        <v>1</v>
      </c>
      <c r="N601" s="283">
        <f>IF(ISBLANK(INDEX('Policy Characteristics'!H:H,MATCH($C601,'Policy Characteristics'!$C:$C,0))),"",INDEX('Policy Characteristics'!H:H,MATCH($C601,'Policy Characteristics'!$C:$C,0)))</f>
        <v>0.01</v>
      </c>
      <c r="O601" s="275" t="str">
        <f>IF(ISBLANK(INDEX('Policy Characteristics'!I:I,MATCH($C601,'Policy Characteristics'!$C:$C,0))),"",INDEX('Policy Characteristics'!I:I,MATCH($C601,'Policy Characteristics'!$C:$C,0)))</f>
        <v>% of fuel shifted</v>
      </c>
      <c r="P601" s="275" t="str">
        <f>IF(ISBLANK(INDEX('Policy Characteristics'!J:J,MATCH($C601,'Policy Characteristics'!$C:$C,0))),"",INDEX('Policy Characteristics'!J:J,MATCH($C601,'Policy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1" s="275" t="str">
        <f>IF(ISBLANK(INDEX('Policy Characteristics'!K:K,MATCH($C601,'Policy Characteristics'!$C:$C,0))),"",INDEX('Policy Characteristics'!K:K,MATCH($C601,'Policy Characteristics'!$C:$C,0)))</f>
        <v>industry-ag-main.html#fuel-switching</v>
      </c>
      <c r="R601" s="275" t="str">
        <f>IF(ISBLANK(INDEX('Policy Characteristics'!L:L,MATCH($C601,'Policy Characteristics'!$C:$C,0))),"",INDEX('Policy Characteristics'!L:L,MATCH($C601,'Policy Characteristics'!$C:$C,0)))</f>
        <v>industry-elec-and-hydrogen.html</v>
      </c>
    </row>
    <row r="602" spans="1:18" x14ac:dyDescent="0.25">
      <c r="A602" s="275" t="str">
        <f>IF(ISBLANK(INDEX('Policy Characteristics'!A:A,MATCH($C602,'Policy Characteristics'!$C:$C,0))),"",INDEX('Policy Characteristics'!A:A,MATCH($C602,'Policy Characteristics'!$C:$C,0)))</f>
        <v>Industry</v>
      </c>
      <c r="B602" s="284" t="str">
        <f>IF(ISBLANK(INDEX('Policy Characteristics'!B:B,MATCH($C602,'Policy Characteristics'!$C:$C,0))),"",INDEX('Policy Characteristics'!B:B,MATCH($C602,'Policy Characteristics'!$C:$C,0)))</f>
        <v>Electrification</v>
      </c>
      <c r="C602" s="275" t="str">
        <f t="shared" si="33"/>
        <v>Fraction of Eligible Industrial Energy Use Shifted to Electricity</v>
      </c>
      <c r="D602" s="6" t="s">
        <v>3074</v>
      </c>
      <c r="E602" s="1" t="s">
        <v>3550</v>
      </c>
      <c r="F602" t="s">
        <v>3038</v>
      </c>
      <c r="G602" s="47" t="s">
        <v>3557</v>
      </c>
      <c r="H602" s="44">
        <v>1869</v>
      </c>
      <c r="I602" s="346" t="s">
        <v>44</v>
      </c>
      <c r="J602" s="276" t="str">
        <f>IF(ISBLANK(INDEX('Policy Characteristics'!D:D,MATCH($C602,'Policy Characteristics'!$C:$C,0))),"",INDEX('Policy Characteristics'!D:D,MATCH($C602,'Policy Characteristics'!$C:$C,0)))</f>
        <v>Electrification</v>
      </c>
      <c r="K602" s="275" t="str">
        <f>IF(ISBLANK(INDEX('Policy Characteristics'!E:E,MATCH($C602,'Policy Characteristics'!$C:$C,0))),"",INDEX('Policy Characteristics'!E:E,MATCH($C602,'Policy Characteristics'!$C:$C,0)))</f>
        <v>indst shift to electricity</v>
      </c>
      <c r="L602" s="283">
        <f>IF(ISBLANK(INDEX('Policy Characteristics'!F:F,MATCH($C602,'Policy Characteristics'!$C:$C,0))),"",INDEX('Policy Characteristics'!F:F,MATCH($C602,'Policy Characteristics'!$C:$C,0)))</f>
        <v>0</v>
      </c>
      <c r="M602" s="283">
        <f>IF(ISBLANK(INDEX('Policy Characteristics'!G:G,MATCH($C602,'Policy Characteristics'!$C:$C,0))),"",INDEX('Policy Characteristics'!G:G,MATCH($C602,'Policy Characteristics'!$C:$C,0)))</f>
        <v>1</v>
      </c>
      <c r="N602" s="283">
        <f>IF(ISBLANK(INDEX('Policy Characteristics'!H:H,MATCH($C602,'Policy Characteristics'!$C:$C,0))),"",INDEX('Policy Characteristics'!H:H,MATCH($C602,'Policy Characteristics'!$C:$C,0)))</f>
        <v>0.01</v>
      </c>
      <c r="O602" s="275" t="str">
        <f>IF(ISBLANK(INDEX('Policy Characteristics'!I:I,MATCH($C602,'Policy Characteristics'!$C:$C,0))),"",INDEX('Policy Characteristics'!I:I,MATCH($C602,'Policy Characteristics'!$C:$C,0)))</f>
        <v>% of fuel shifted</v>
      </c>
      <c r="P602" s="275" t="str">
        <f>IF(ISBLANK(INDEX('Policy Characteristics'!J:J,MATCH($C602,'Policy Characteristics'!$C:$C,0))),"",INDEX('Policy Characteristics'!J:J,MATCH($C602,'Policy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2" s="275" t="str">
        <f>IF(ISBLANK(INDEX('Policy Characteristics'!K:K,MATCH($C602,'Policy Characteristics'!$C:$C,0))),"",INDEX('Policy Characteristics'!K:K,MATCH($C602,'Policy Characteristics'!$C:$C,0)))</f>
        <v>industry-ag-main.html#fuel-switching</v>
      </c>
      <c r="R602" s="275" t="str">
        <f>IF(ISBLANK(INDEX('Policy Characteristics'!L:L,MATCH($C602,'Policy Characteristics'!$C:$C,0))),"",INDEX('Policy Characteristics'!L:L,MATCH($C602,'Policy Characteristics'!$C:$C,0)))</f>
        <v>industry-elec-and-hydrogen.html</v>
      </c>
    </row>
    <row r="603" spans="1:18" x14ac:dyDescent="0.25">
      <c r="A603" s="275" t="str">
        <f>IF(ISBLANK(INDEX('Policy Characteristics'!A:A,MATCH($C603,'Policy Characteristics'!$C:$C,0))),"",INDEX('Policy Characteristics'!A:A,MATCH($C603,'Policy Characteristics'!$C:$C,0)))</f>
        <v>Industry</v>
      </c>
      <c r="B603" s="284" t="str">
        <f>IF(ISBLANK(INDEX('Policy Characteristics'!B:B,MATCH($C603,'Policy Characteristics'!$C:$C,0))),"",INDEX('Policy Characteristics'!B:B,MATCH($C603,'Policy Characteristics'!$C:$C,0)))</f>
        <v>Electrification</v>
      </c>
      <c r="C603" s="275" t="str">
        <f t="shared" si="33"/>
        <v>Fraction of Eligible Industrial Energy Use Shifted to Electricity</v>
      </c>
      <c r="D603" s="6" t="s">
        <v>3074</v>
      </c>
      <c r="E603" s="1" t="s">
        <v>3551</v>
      </c>
      <c r="F603" t="s">
        <v>3038</v>
      </c>
      <c r="G603" s="47" t="s">
        <v>3558</v>
      </c>
      <c r="H603" s="44">
        <v>1870</v>
      </c>
      <c r="I603" s="346" t="s">
        <v>43</v>
      </c>
      <c r="J603" s="276" t="str">
        <f>IF(ISBLANK(INDEX('Policy Characteristics'!D:D,MATCH($C603,'Policy Characteristics'!$C:$C,0))),"",INDEX('Policy Characteristics'!D:D,MATCH($C603,'Policy Characteristics'!$C:$C,0)))</f>
        <v>Electrification</v>
      </c>
      <c r="K603" s="275" t="str">
        <f>IF(ISBLANK(INDEX('Policy Characteristics'!E:E,MATCH($C603,'Policy Characteristics'!$C:$C,0))),"",INDEX('Policy Characteristics'!E:E,MATCH($C603,'Policy Characteristics'!$C:$C,0)))</f>
        <v>indst shift to electricity</v>
      </c>
      <c r="L603" s="283">
        <f>IF(ISBLANK(INDEX('Policy Characteristics'!F:F,MATCH($C603,'Policy Characteristics'!$C:$C,0))),"",INDEX('Policy Characteristics'!F:F,MATCH($C603,'Policy Characteristics'!$C:$C,0)))</f>
        <v>0</v>
      </c>
      <c r="M603" s="283">
        <f>IF(ISBLANK(INDEX('Policy Characteristics'!G:G,MATCH($C603,'Policy Characteristics'!$C:$C,0))),"",INDEX('Policy Characteristics'!G:G,MATCH($C603,'Policy Characteristics'!$C:$C,0)))</f>
        <v>1</v>
      </c>
      <c r="N603" s="283">
        <f>IF(ISBLANK(INDEX('Policy Characteristics'!H:H,MATCH($C603,'Policy Characteristics'!$C:$C,0))),"",INDEX('Policy Characteristics'!H:H,MATCH($C603,'Policy Characteristics'!$C:$C,0)))</f>
        <v>0.01</v>
      </c>
      <c r="O603" s="275" t="str">
        <f>IF(ISBLANK(INDEX('Policy Characteristics'!I:I,MATCH($C603,'Policy Characteristics'!$C:$C,0))),"",INDEX('Policy Characteristics'!I:I,MATCH($C603,'Policy Characteristics'!$C:$C,0)))</f>
        <v>% of fuel shifted</v>
      </c>
      <c r="P603" s="275" t="str">
        <f>IF(ISBLANK(INDEX('Policy Characteristics'!J:J,MATCH($C603,'Policy Characteristics'!$C:$C,0))),"",INDEX('Policy Characteristics'!J:J,MATCH($C603,'Policy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3" s="275" t="str">
        <f>IF(ISBLANK(INDEX('Policy Characteristics'!K:K,MATCH($C603,'Policy Characteristics'!$C:$C,0))),"",INDEX('Policy Characteristics'!K:K,MATCH($C603,'Policy Characteristics'!$C:$C,0)))</f>
        <v>industry-ag-main.html#fuel-switching</v>
      </c>
      <c r="R603" s="275" t="str">
        <f>IF(ISBLANK(INDEX('Policy Characteristics'!L:L,MATCH($C603,'Policy Characteristics'!$C:$C,0))),"",INDEX('Policy Characteristics'!L:L,MATCH($C603,'Policy Characteristics'!$C:$C,0)))</f>
        <v>industry-elec-and-hydrogen.html</v>
      </c>
    </row>
    <row r="604" spans="1:18" x14ac:dyDescent="0.25">
      <c r="A604" s="275" t="str">
        <f>IF(ISBLANK(INDEX('Policy Characteristics'!A:A,MATCH($C604,'Policy Characteristics'!$C:$C,0))),"",INDEX('Policy Characteristics'!A:A,MATCH($C604,'Policy Characteristics'!$C:$C,0)))</f>
        <v>Industry</v>
      </c>
      <c r="B604" s="284" t="str">
        <f>IF(ISBLANK(INDEX('Policy Characteristics'!B:B,MATCH($C604,'Policy Characteristics'!$C:$C,0))),"",INDEX('Policy Characteristics'!B:B,MATCH($C604,'Policy Characteristics'!$C:$C,0)))</f>
        <v>Electrification</v>
      </c>
      <c r="C604" s="275" t="str">
        <f t="shared" si="33"/>
        <v>Fraction of Eligible Industrial Energy Use Shifted to Electricity</v>
      </c>
      <c r="D604" s="6" t="s">
        <v>3074</v>
      </c>
      <c r="E604" s="1" t="s">
        <v>3552</v>
      </c>
      <c r="F604" t="s">
        <v>3038</v>
      </c>
      <c r="G604" s="47" t="s">
        <v>3559</v>
      </c>
      <c r="H604" s="44">
        <v>1871</v>
      </c>
      <c r="I604" s="346" t="s">
        <v>43</v>
      </c>
      <c r="J604" s="276" t="str">
        <f>IF(ISBLANK(INDEX('Policy Characteristics'!D:D,MATCH($C604,'Policy Characteristics'!$C:$C,0))),"",INDEX('Policy Characteristics'!D:D,MATCH($C604,'Policy Characteristics'!$C:$C,0)))</f>
        <v>Electrification</v>
      </c>
      <c r="K604" s="275" t="str">
        <f>IF(ISBLANK(INDEX('Policy Characteristics'!E:E,MATCH($C604,'Policy Characteristics'!$C:$C,0))),"",INDEX('Policy Characteristics'!E:E,MATCH($C604,'Policy Characteristics'!$C:$C,0)))</f>
        <v>indst shift to electricity</v>
      </c>
      <c r="L604" s="283">
        <f>IF(ISBLANK(INDEX('Policy Characteristics'!F:F,MATCH($C604,'Policy Characteristics'!$C:$C,0))),"",INDEX('Policy Characteristics'!F:F,MATCH($C604,'Policy Characteristics'!$C:$C,0)))</f>
        <v>0</v>
      </c>
      <c r="M604" s="283">
        <f>IF(ISBLANK(INDEX('Policy Characteristics'!G:G,MATCH($C604,'Policy Characteristics'!$C:$C,0))),"",INDEX('Policy Characteristics'!G:G,MATCH($C604,'Policy Characteristics'!$C:$C,0)))</f>
        <v>1</v>
      </c>
      <c r="N604" s="283">
        <f>IF(ISBLANK(INDEX('Policy Characteristics'!H:H,MATCH($C604,'Policy Characteristics'!$C:$C,0))),"",INDEX('Policy Characteristics'!H:H,MATCH($C604,'Policy Characteristics'!$C:$C,0)))</f>
        <v>0.01</v>
      </c>
      <c r="O604" s="275" t="str">
        <f>IF(ISBLANK(INDEX('Policy Characteristics'!I:I,MATCH($C604,'Policy Characteristics'!$C:$C,0))),"",INDEX('Policy Characteristics'!I:I,MATCH($C604,'Policy Characteristics'!$C:$C,0)))</f>
        <v>% of fuel shifted</v>
      </c>
      <c r="P604" s="275" t="str">
        <f>IF(ISBLANK(INDEX('Policy Characteristics'!J:J,MATCH($C604,'Policy Characteristics'!$C:$C,0))),"",INDEX('Policy Characteristics'!J:J,MATCH($C604,'Policy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4" s="275" t="str">
        <f>IF(ISBLANK(INDEX('Policy Characteristics'!K:K,MATCH($C604,'Policy Characteristics'!$C:$C,0))),"",INDEX('Policy Characteristics'!K:K,MATCH($C604,'Policy Characteristics'!$C:$C,0)))</f>
        <v>industry-ag-main.html#fuel-switching</v>
      </c>
      <c r="R604" s="275" t="str">
        <f>IF(ISBLANK(INDEX('Policy Characteristics'!L:L,MATCH($C604,'Policy Characteristics'!$C:$C,0))),"",INDEX('Policy Characteristics'!L:L,MATCH($C604,'Policy Characteristics'!$C:$C,0)))</f>
        <v>industry-elec-and-hydrogen.html</v>
      </c>
    </row>
    <row r="605" spans="1:18" x14ac:dyDescent="0.25">
      <c r="A605" s="275" t="str">
        <f>IF(ISBLANK(INDEX('Policy Characteristics'!A:A,MATCH($C605,'Policy Characteristics'!$C:$C,0))),"",INDEX('Policy Characteristics'!A:A,MATCH($C605,'Policy Characteristics'!$C:$C,0)))</f>
        <v>Industry</v>
      </c>
      <c r="B605" s="284" t="str">
        <f>IF(ISBLANK(INDEX('Policy Characteristics'!B:B,MATCH($C605,'Policy Characteristics'!$C:$C,0))),"",INDEX('Policy Characteristics'!B:B,MATCH($C605,'Policy Characteristics'!$C:$C,0)))</f>
        <v>Electrification</v>
      </c>
      <c r="C605" s="275" t="str">
        <f t="shared" si="33"/>
        <v>Fraction of Eligible Industrial Energy Use Shifted to Electricity</v>
      </c>
      <c r="D605" s="6" t="s">
        <v>3074</v>
      </c>
      <c r="E605" s="1" t="s">
        <v>3553</v>
      </c>
      <c r="F605" t="s">
        <v>3038</v>
      </c>
      <c r="G605" s="47" t="s">
        <v>3560</v>
      </c>
      <c r="H605" s="44">
        <v>1872</v>
      </c>
      <c r="I605" s="346" t="s">
        <v>44</v>
      </c>
      <c r="J605" s="276" t="str">
        <f>IF(ISBLANK(INDEX('Policy Characteristics'!D:D,MATCH($C605,'Policy Characteristics'!$C:$C,0))),"",INDEX('Policy Characteristics'!D:D,MATCH($C605,'Policy Characteristics'!$C:$C,0)))</f>
        <v>Electrification</v>
      </c>
      <c r="K605" s="275" t="str">
        <f>IF(ISBLANK(INDEX('Policy Characteristics'!E:E,MATCH($C605,'Policy Characteristics'!$C:$C,0))),"",INDEX('Policy Characteristics'!E:E,MATCH($C605,'Policy Characteristics'!$C:$C,0)))</f>
        <v>indst shift to electricity</v>
      </c>
      <c r="L605" s="283">
        <f>IF(ISBLANK(INDEX('Policy Characteristics'!F:F,MATCH($C605,'Policy Characteristics'!$C:$C,0))),"",INDEX('Policy Characteristics'!F:F,MATCH($C605,'Policy Characteristics'!$C:$C,0)))</f>
        <v>0</v>
      </c>
      <c r="M605" s="283">
        <f>IF(ISBLANK(INDEX('Policy Characteristics'!G:G,MATCH($C605,'Policy Characteristics'!$C:$C,0))),"",INDEX('Policy Characteristics'!G:G,MATCH($C605,'Policy Characteristics'!$C:$C,0)))</f>
        <v>1</v>
      </c>
      <c r="N605" s="283">
        <f>IF(ISBLANK(INDEX('Policy Characteristics'!H:H,MATCH($C605,'Policy Characteristics'!$C:$C,0))),"",INDEX('Policy Characteristics'!H:H,MATCH($C605,'Policy Characteristics'!$C:$C,0)))</f>
        <v>0.01</v>
      </c>
      <c r="O605" s="275" t="str">
        <f>IF(ISBLANK(INDEX('Policy Characteristics'!I:I,MATCH($C605,'Policy Characteristics'!$C:$C,0))),"",INDEX('Policy Characteristics'!I:I,MATCH($C605,'Policy Characteristics'!$C:$C,0)))</f>
        <v>% of fuel shifted</v>
      </c>
      <c r="P605" s="275" t="str">
        <f>IF(ISBLANK(INDEX('Policy Characteristics'!J:J,MATCH($C605,'Policy Characteristics'!$C:$C,0))),"",INDEX('Policy Characteristics'!J:J,MATCH($C605,'Policy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5" s="275" t="str">
        <f>IF(ISBLANK(INDEX('Policy Characteristics'!K:K,MATCH($C605,'Policy Characteristics'!$C:$C,0))),"",INDEX('Policy Characteristics'!K:K,MATCH($C605,'Policy Characteristics'!$C:$C,0)))</f>
        <v>industry-ag-main.html#fuel-switching</v>
      </c>
      <c r="R605" s="275" t="str">
        <f>IF(ISBLANK(INDEX('Policy Characteristics'!L:L,MATCH($C605,'Policy Characteristics'!$C:$C,0))),"",INDEX('Policy Characteristics'!L:L,MATCH($C605,'Policy Characteristics'!$C:$C,0)))</f>
        <v>industry-elec-and-hydrogen.html</v>
      </c>
    </row>
    <row r="606" spans="1:18" x14ac:dyDescent="0.25">
      <c r="A606" s="275" t="str">
        <f>IF(ISBLANK(INDEX('Policy Characteristics'!A:A,MATCH($C606,'Policy Characteristics'!$C:$C,0))),"",INDEX('Policy Characteristics'!A:A,MATCH($C606,'Policy Characteristics'!$C:$C,0)))</f>
        <v>Industry</v>
      </c>
      <c r="B606" s="284" t="str">
        <f>IF(ISBLANK(INDEX('Policy Characteristics'!B:B,MATCH($C606,'Policy Characteristics'!$C:$C,0))),"",INDEX('Policy Characteristics'!B:B,MATCH($C606,'Policy Characteristics'!$C:$C,0)))</f>
        <v>Electrification</v>
      </c>
      <c r="C606" s="275" t="str">
        <f t="shared" si="33"/>
        <v>Fraction of Eligible Industrial Energy Use Shifted to Electricity</v>
      </c>
      <c r="D606" s="6" t="s">
        <v>3074</v>
      </c>
      <c r="E606" s="1" t="s">
        <v>3737</v>
      </c>
      <c r="F606" t="s">
        <v>3038</v>
      </c>
      <c r="G606" s="47" t="s">
        <v>3738</v>
      </c>
      <c r="H606" s="44">
        <v>1873</v>
      </c>
      <c r="I606" s="346" t="s">
        <v>43</v>
      </c>
      <c r="J606" s="276" t="str">
        <f>IF(ISBLANK(INDEX('Policy Characteristics'!D:D,MATCH($C606,'Policy Characteristics'!$C:$C,0))),"",INDEX('Policy Characteristics'!D:D,MATCH($C606,'Policy Characteristics'!$C:$C,0)))</f>
        <v>Electrification</v>
      </c>
      <c r="K606" s="275" t="str">
        <f>IF(ISBLANK(INDEX('Policy Characteristics'!E:E,MATCH($C606,'Policy Characteristics'!$C:$C,0))),"",INDEX('Policy Characteristics'!E:E,MATCH($C606,'Policy Characteristics'!$C:$C,0)))</f>
        <v>indst shift to electricity</v>
      </c>
      <c r="L606" s="283">
        <f>IF(ISBLANK(INDEX('Policy Characteristics'!F:F,MATCH($C606,'Policy Characteristics'!$C:$C,0))),"",INDEX('Policy Characteristics'!F:F,MATCH($C606,'Policy Characteristics'!$C:$C,0)))</f>
        <v>0</v>
      </c>
      <c r="M606" s="283">
        <f>IF(ISBLANK(INDEX('Policy Characteristics'!G:G,MATCH($C606,'Policy Characteristics'!$C:$C,0))),"",INDEX('Policy Characteristics'!G:G,MATCH($C606,'Policy Characteristics'!$C:$C,0)))</f>
        <v>1</v>
      </c>
      <c r="N606" s="283">
        <f>IF(ISBLANK(INDEX('Policy Characteristics'!H:H,MATCH($C606,'Policy Characteristics'!$C:$C,0))),"",INDEX('Policy Characteristics'!H:H,MATCH($C606,'Policy Characteristics'!$C:$C,0)))</f>
        <v>0.01</v>
      </c>
      <c r="O606" s="275" t="str">
        <f>IF(ISBLANK(INDEX('Policy Characteristics'!I:I,MATCH($C606,'Policy Characteristics'!$C:$C,0))),"",INDEX('Policy Characteristics'!I:I,MATCH($C606,'Policy Characteristics'!$C:$C,0)))</f>
        <v>% of fuel shifted</v>
      </c>
      <c r="P606" s="275" t="str">
        <f>IF(ISBLANK(INDEX('Policy Characteristics'!J:J,MATCH($C606,'Policy Characteristics'!$C:$C,0))),"",INDEX('Policy Characteristics'!J:J,MATCH($C606,'Policy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6" s="275" t="str">
        <f>IF(ISBLANK(INDEX('Policy Characteristics'!K:K,MATCH($C606,'Policy Characteristics'!$C:$C,0))),"",INDEX('Policy Characteristics'!K:K,MATCH($C606,'Policy Characteristics'!$C:$C,0)))</f>
        <v>industry-ag-main.html#fuel-switching</v>
      </c>
      <c r="R606" s="275" t="str">
        <f>IF(ISBLANK(INDEX('Policy Characteristics'!L:L,MATCH($C606,'Policy Characteristics'!$C:$C,0))),"",INDEX('Policy Characteristics'!L:L,MATCH($C606,'Policy Characteristics'!$C:$C,0)))</f>
        <v>industry-elec-and-hydrogen.html</v>
      </c>
    </row>
    <row r="607" spans="1:18" x14ac:dyDescent="0.25">
      <c r="A607" s="275" t="str">
        <f>IF(ISBLANK(INDEX('Policy Characteristics'!A:A,MATCH($C607,'Policy Characteristics'!$C:$C,0))),"",INDEX('Policy Characteristics'!A:A,MATCH($C607,'Policy Characteristics'!$C:$C,0)))</f>
        <v>Industry</v>
      </c>
      <c r="B607" s="284" t="str">
        <f>IF(ISBLANK(INDEX('Policy Characteristics'!B:B,MATCH($C607,'Policy Characteristics'!$C:$C,0))),"",INDEX('Policy Characteristics'!B:B,MATCH($C607,'Policy Characteristics'!$C:$C,0)))</f>
        <v>Electrification</v>
      </c>
      <c r="C607" s="275" t="str">
        <f t="shared" si="33"/>
        <v>Fraction of Eligible Industrial Energy Use Shifted to Electricity</v>
      </c>
      <c r="D607" s="6" t="s">
        <v>3075</v>
      </c>
      <c r="E607" s="1" t="s">
        <v>3547</v>
      </c>
      <c r="F607" t="s">
        <v>3039</v>
      </c>
      <c r="G607" s="47" t="s">
        <v>3554</v>
      </c>
      <c r="H607" s="44">
        <v>1874</v>
      </c>
      <c r="I607" s="346" t="s">
        <v>43</v>
      </c>
      <c r="J607" s="276" t="str">
        <f>IF(ISBLANK(INDEX('Policy Characteristics'!D:D,MATCH($C607,'Policy Characteristics'!$C:$C,0))),"",INDEX('Policy Characteristics'!D:D,MATCH($C607,'Policy Characteristics'!$C:$C,0)))</f>
        <v>Electrification</v>
      </c>
      <c r="K607" s="275" t="str">
        <f>IF(ISBLANK(INDEX('Policy Characteristics'!E:E,MATCH($C607,'Policy Characteristics'!$C:$C,0))),"",INDEX('Policy Characteristics'!E:E,MATCH($C607,'Policy Characteristics'!$C:$C,0)))</f>
        <v>indst shift to electricity</v>
      </c>
      <c r="L607" s="283">
        <f>IF(ISBLANK(INDEX('Policy Characteristics'!F:F,MATCH($C607,'Policy Characteristics'!$C:$C,0))),"",INDEX('Policy Characteristics'!F:F,MATCH($C607,'Policy Characteristics'!$C:$C,0)))</f>
        <v>0</v>
      </c>
      <c r="M607" s="283">
        <f>IF(ISBLANK(INDEX('Policy Characteristics'!G:G,MATCH($C607,'Policy Characteristics'!$C:$C,0))),"",INDEX('Policy Characteristics'!G:G,MATCH($C607,'Policy Characteristics'!$C:$C,0)))</f>
        <v>1</v>
      </c>
      <c r="N607" s="283">
        <f>IF(ISBLANK(INDEX('Policy Characteristics'!H:H,MATCH($C607,'Policy Characteristics'!$C:$C,0))),"",INDEX('Policy Characteristics'!H:H,MATCH($C607,'Policy Characteristics'!$C:$C,0)))</f>
        <v>0.01</v>
      </c>
      <c r="O607" s="275" t="str">
        <f>IF(ISBLANK(INDEX('Policy Characteristics'!I:I,MATCH($C607,'Policy Characteristics'!$C:$C,0))),"",INDEX('Policy Characteristics'!I:I,MATCH($C607,'Policy Characteristics'!$C:$C,0)))</f>
        <v>% of fuel shifted</v>
      </c>
      <c r="P607" s="275" t="str">
        <f>IF(ISBLANK(INDEX('Policy Characteristics'!J:J,MATCH($C607,'Policy Characteristics'!$C:$C,0))),"",INDEX('Policy Characteristics'!J:J,MATCH($C607,'Policy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7" s="275" t="str">
        <f>IF(ISBLANK(INDEX('Policy Characteristics'!K:K,MATCH($C607,'Policy Characteristics'!$C:$C,0))),"",INDEX('Policy Characteristics'!K:K,MATCH($C607,'Policy Characteristics'!$C:$C,0)))</f>
        <v>industry-ag-main.html#fuel-switching</v>
      </c>
      <c r="R607" s="275" t="str">
        <f>IF(ISBLANK(INDEX('Policy Characteristics'!L:L,MATCH($C607,'Policy Characteristics'!$C:$C,0))),"",INDEX('Policy Characteristics'!L:L,MATCH($C607,'Policy Characteristics'!$C:$C,0)))</f>
        <v>industry-elec-and-hydrogen.html</v>
      </c>
    </row>
    <row r="608" spans="1:18" x14ac:dyDescent="0.25">
      <c r="A608" s="275" t="str">
        <f>IF(ISBLANK(INDEX('Policy Characteristics'!A:A,MATCH($C608,'Policy Characteristics'!$C:$C,0))),"",INDEX('Policy Characteristics'!A:A,MATCH($C608,'Policy Characteristics'!$C:$C,0)))</f>
        <v>Industry</v>
      </c>
      <c r="B608" s="284" t="str">
        <f>IF(ISBLANK(INDEX('Policy Characteristics'!B:B,MATCH($C608,'Policy Characteristics'!$C:$C,0))),"",INDEX('Policy Characteristics'!B:B,MATCH($C608,'Policy Characteristics'!$C:$C,0)))</f>
        <v>Electrification</v>
      </c>
      <c r="C608" s="275" t="str">
        <f t="shared" si="33"/>
        <v>Fraction of Eligible Industrial Energy Use Shifted to Electricity</v>
      </c>
      <c r="D608" s="6" t="s">
        <v>3075</v>
      </c>
      <c r="E608" s="1" t="s">
        <v>3548</v>
      </c>
      <c r="F608" t="s">
        <v>3039</v>
      </c>
      <c r="G608" s="47" t="s">
        <v>3555</v>
      </c>
      <c r="H608" s="44">
        <v>1875</v>
      </c>
      <c r="I608" s="346" t="s">
        <v>43</v>
      </c>
      <c r="J608" s="276" t="str">
        <f>IF(ISBLANK(INDEX('Policy Characteristics'!D:D,MATCH($C608,'Policy Characteristics'!$C:$C,0))),"",INDEX('Policy Characteristics'!D:D,MATCH($C608,'Policy Characteristics'!$C:$C,0)))</f>
        <v>Electrification</v>
      </c>
      <c r="K608" s="275" t="str">
        <f>IF(ISBLANK(INDEX('Policy Characteristics'!E:E,MATCH($C608,'Policy Characteristics'!$C:$C,0))),"",INDEX('Policy Characteristics'!E:E,MATCH($C608,'Policy Characteristics'!$C:$C,0)))</f>
        <v>indst shift to electricity</v>
      </c>
      <c r="L608" s="283">
        <f>IF(ISBLANK(INDEX('Policy Characteristics'!F:F,MATCH($C608,'Policy Characteristics'!$C:$C,0))),"",INDEX('Policy Characteristics'!F:F,MATCH($C608,'Policy Characteristics'!$C:$C,0)))</f>
        <v>0</v>
      </c>
      <c r="M608" s="283">
        <f>IF(ISBLANK(INDEX('Policy Characteristics'!G:G,MATCH($C608,'Policy Characteristics'!$C:$C,0))),"",INDEX('Policy Characteristics'!G:G,MATCH($C608,'Policy Characteristics'!$C:$C,0)))</f>
        <v>1</v>
      </c>
      <c r="N608" s="283">
        <f>IF(ISBLANK(INDEX('Policy Characteristics'!H:H,MATCH($C608,'Policy Characteristics'!$C:$C,0))),"",INDEX('Policy Characteristics'!H:H,MATCH($C608,'Policy Characteristics'!$C:$C,0)))</f>
        <v>0.01</v>
      </c>
      <c r="O608" s="275" t="str">
        <f>IF(ISBLANK(INDEX('Policy Characteristics'!I:I,MATCH($C608,'Policy Characteristics'!$C:$C,0))),"",INDEX('Policy Characteristics'!I:I,MATCH($C608,'Policy Characteristics'!$C:$C,0)))</f>
        <v>% of fuel shifted</v>
      </c>
      <c r="P608" s="275" t="str">
        <f>IF(ISBLANK(INDEX('Policy Characteristics'!J:J,MATCH($C608,'Policy Characteristics'!$C:$C,0))),"",INDEX('Policy Characteristics'!J:J,MATCH($C608,'Policy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8" s="275" t="str">
        <f>IF(ISBLANK(INDEX('Policy Characteristics'!K:K,MATCH($C608,'Policy Characteristics'!$C:$C,0))),"",INDEX('Policy Characteristics'!K:K,MATCH($C608,'Policy Characteristics'!$C:$C,0)))</f>
        <v>industry-ag-main.html#fuel-switching</v>
      </c>
      <c r="R608" s="275" t="str">
        <f>IF(ISBLANK(INDEX('Policy Characteristics'!L:L,MATCH($C608,'Policy Characteristics'!$C:$C,0))),"",INDEX('Policy Characteristics'!L:L,MATCH($C608,'Policy Characteristics'!$C:$C,0)))</f>
        <v>industry-elec-and-hydrogen.html</v>
      </c>
    </row>
    <row r="609" spans="1:18" x14ac:dyDescent="0.25">
      <c r="A609" s="275" t="str">
        <f>IF(ISBLANK(INDEX('Policy Characteristics'!A:A,MATCH($C609,'Policy Characteristics'!$C:$C,0))),"",INDEX('Policy Characteristics'!A:A,MATCH($C609,'Policy Characteristics'!$C:$C,0)))</f>
        <v>Industry</v>
      </c>
      <c r="B609" s="284" t="str">
        <f>IF(ISBLANK(INDEX('Policy Characteristics'!B:B,MATCH($C609,'Policy Characteristics'!$C:$C,0))),"",INDEX('Policy Characteristics'!B:B,MATCH($C609,'Policy Characteristics'!$C:$C,0)))</f>
        <v>Electrification</v>
      </c>
      <c r="C609" s="275" t="str">
        <f t="shared" si="33"/>
        <v>Fraction of Eligible Industrial Energy Use Shifted to Electricity</v>
      </c>
      <c r="D609" s="6" t="s">
        <v>3075</v>
      </c>
      <c r="E609" s="1" t="s">
        <v>3549</v>
      </c>
      <c r="F609" t="s">
        <v>3039</v>
      </c>
      <c r="G609" s="47" t="s">
        <v>3556</v>
      </c>
      <c r="H609" s="44">
        <v>1876</v>
      </c>
      <c r="I609" s="346" t="s">
        <v>43</v>
      </c>
      <c r="J609" s="276" t="str">
        <f>IF(ISBLANK(INDEX('Policy Characteristics'!D:D,MATCH($C609,'Policy Characteristics'!$C:$C,0))),"",INDEX('Policy Characteristics'!D:D,MATCH($C609,'Policy Characteristics'!$C:$C,0)))</f>
        <v>Electrification</v>
      </c>
      <c r="K609" s="275" t="str">
        <f>IF(ISBLANK(INDEX('Policy Characteristics'!E:E,MATCH($C609,'Policy Characteristics'!$C:$C,0))),"",INDEX('Policy Characteristics'!E:E,MATCH($C609,'Policy Characteristics'!$C:$C,0)))</f>
        <v>indst shift to electricity</v>
      </c>
      <c r="L609" s="283">
        <f>IF(ISBLANK(INDEX('Policy Characteristics'!F:F,MATCH($C609,'Policy Characteristics'!$C:$C,0))),"",INDEX('Policy Characteristics'!F:F,MATCH($C609,'Policy Characteristics'!$C:$C,0)))</f>
        <v>0</v>
      </c>
      <c r="M609" s="283">
        <f>IF(ISBLANK(INDEX('Policy Characteristics'!G:G,MATCH($C609,'Policy Characteristics'!$C:$C,0))),"",INDEX('Policy Characteristics'!G:G,MATCH($C609,'Policy Characteristics'!$C:$C,0)))</f>
        <v>1</v>
      </c>
      <c r="N609" s="283">
        <f>IF(ISBLANK(INDEX('Policy Characteristics'!H:H,MATCH($C609,'Policy Characteristics'!$C:$C,0))),"",INDEX('Policy Characteristics'!H:H,MATCH($C609,'Policy Characteristics'!$C:$C,0)))</f>
        <v>0.01</v>
      </c>
      <c r="O609" s="275" t="str">
        <f>IF(ISBLANK(INDEX('Policy Characteristics'!I:I,MATCH($C609,'Policy Characteristics'!$C:$C,0))),"",INDEX('Policy Characteristics'!I:I,MATCH($C609,'Policy Characteristics'!$C:$C,0)))</f>
        <v>% of fuel shifted</v>
      </c>
      <c r="P609" s="275" t="str">
        <f>IF(ISBLANK(INDEX('Policy Characteristics'!J:J,MATCH($C609,'Policy Characteristics'!$C:$C,0))),"",INDEX('Policy Characteristics'!J:J,MATCH($C609,'Policy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9" s="275" t="str">
        <f>IF(ISBLANK(INDEX('Policy Characteristics'!K:K,MATCH($C609,'Policy Characteristics'!$C:$C,0))),"",INDEX('Policy Characteristics'!K:K,MATCH($C609,'Policy Characteristics'!$C:$C,0)))</f>
        <v>industry-ag-main.html#fuel-switching</v>
      </c>
      <c r="R609" s="275" t="str">
        <f>IF(ISBLANK(INDEX('Policy Characteristics'!L:L,MATCH($C609,'Policy Characteristics'!$C:$C,0))),"",INDEX('Policy Characteristics'!L:L,MATCH($C609,'Policy Characteristics'!$C:$C,0)))</f>
        <v>industry-elec-and-hydrogen.html</v>
      </c>
    </row>
    <row r="610" spans="1:18" x14ac:dyDescent="0.25">
      <c r="A610" s="275" t="str">
        <f>IF(ISBLANK(INDEX('Policy Characteristics'!A:A,MATCH($C610,'Policy Characteristics'!$C:$C,0))),"",INDEX('Policy Characteristics'!A:A,MATCH($C610,'Policy Characteristics'!$C:$C,0)))</f>
        <v>Industry</v>
      </c>
      <c r="B610" s="284" t="str">
        <f>IF(ISBLANK(INDEX('Policy Characteristics'!B:B,MATCH($C610,'Policy Characteristics'!$C:$C,0))),"",INDEX('Policy Characteristics'!B:B,MATCH($C610,'Policy Characteristics'!$C:$C,0)))</f>
        <v>Electrification</v>
      </c>
      <c r="C610" s="275" t="str">
        <f t="shared" si="33"/>
        <v>Fraction of Eligible Industrial Energy Use Shifted to Electricity</v>
      </c>
      <c r="D610" s="6" t="s">
        <v>3075</v>
      </c>
      <c r="E610" s="1" t="s">
        <v>3550</v>
      </c>
      <c r="F610" t="s">
        <v>3039</v>
      </c>
      <c r="G610" s="47" t="s">
        <v>3557</v>
      </c>
      <c r="H610" s="44">
        <v>1877</v>
      </c>
      <c r="I610" s="346" t="s">
        <v>44</v>
      </c>
      <c r="J610" s="276" t="str">
        <f>IF(ISBLANK(INDEX('Policy Characteristics'!D:D,MATCH($C610,'Policy Characteristics'!$C:$C,0))),"",INDEX('Policy Characteristics'!D:D,MATCH($C610,'Policy Characteristics'!$C:$C,0)))</f>
        <v>Electrification</v>
      </c>
      <c r="K610" s="275" t="str">
        <f>IF(ISBLANK(INDEX('Policy Characteristics'!E:E,MATCH($C610,'Policy Characteristics'!$C:$C,0))),"",INDEX('Policy Characteristics'!E:E,MATCH($C610,'Policy Characteristics'!$C:$C,0)))</f>
        <v>indst shift to electricity</v>
      </c>
      <c r="L610" s="283">
        <f>IF(ISBLANK(INDEX('Policy Characteristics'!F:F,MATCH($C610,'Policy Characteristics'!$C:$C,0))),"",INDEX('Policy Characteristics'!F:F,MATCH($C610,'Policy Characteristics'!$C:$C,0)))</f>
        <v>0</v>
      </c>
      <c r="M610" s="283">
        <f>IF(ISBLANK(INDEX('Policy Characteristics'!G:G,MATCH($C610,'Policy Characteristics'!$C:$C,0))),"",INDEX('Policy Characteristics'!G:G,MATCH($C610,'Policy Characteristics'!$C:$C,0)))</f>
        <v>1</v>
      </c>
      <c r="N610" s="283">
        <f>IF(ISBLANK(INDEX('Policy Characteristics'!H:H,MATCH($C610,'Policy Characteristics'!$C:$C,0))),"",INDEX('Policy Characteristics'!H:H,MATCH($C610,'Policy Characteristics'!$C:$C,0)))</f>
        <v>0.01</v>
      </c>
      <c r="O610" s="275" t="str">
        <f>IF(ISBLANK(INDEX('Policy Characteristics'!I:I,MATCH($C610,'Policy Characteristics'!$C:$C,0))),"",INDEX('Policy Characteristics'!I:I,MATCH($C610,'Policy Characteristics'!$C:$C,0)))</f>
        <v>% of fuel shifted</v>
      </c>
      <c r="P610" s="275" t="str">
        <f>IF(ISBLANK(INDEX('Policy Characteristics'!J:J,MATCH($C610,'Policy Characteristics'!$C:$C,0))),"",INDEX('Policy Characteristics'!J:J,MATCH($C610,'Policy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0" s="275" t="str">
        <f>IF(ISBLANK(INDEX('Policy Characteristics'!K:K,MATCH($C610,'Policy Characteristics'!$C:$C,0))),"",INDEX('Policy Characteristics'!K:K,MATCH($C610,'Policy Characteristics'!$C:$C,0)))</f>
        <v>industry-ag-main.html#fuel-switching</v>
      </c>
      <c r="R610" s="275" t="str">
        <f>IF(ISBLANK(INDEX('Policy Characteristics'!L:L,MATCH($C610,'Policy Characteristics'!$C:$C,0))),"",INDEX('Policy Characteristics'!L:L,MATCH($C610,'Policy Characteristics'!$C:$C,0)))</f>
        <v>industry-elec-and-hydrogen.html</v>
      </c>
    </row>
    <row r="611" spans="1:18" x14ac:dyDescent="0.25">
      <c r="A611" s="275" t="str">
        <f>IF(ISBLANK(INDEX('Policy Characteristics'!A:A,MATCH($C611,'Policy Characteristics'!$C:$C,0))),"",INDEX('Policy Characteristics'!A:A,MATCH($C611,'Policy Characteristics'!$C:$C,0)))</f>
        <v>Industry</v>
      </c>
      <c r="B611" s="284" t="str">
        <f>IF(ISBLANK(INDEX('Policy Characteristics'!B:B,MATCH($C611,'Policy Characteristics'!$C:$C,0))),"",INDEX('Policy Characteristics'!B:B,MATCH($C611,'Policy Characteristics'!$C:$C,0)))</f>
        <v>Electrification</v>
      </c>
      <c r="C611" s="275" t="str">
        <f t="shared" si="33"/>
        <v>Fraction of Eligible Industrial Energy Use Shifted to Electricity</v>
      </c>
      <c r="D611" s="6" t="s">
        <v>3075</v>
      </c>
      <c r="E611" s="1" t="s">
        <v>3551</v>
      </c>
      <c r="F611" t="s">
        <v>3039</v>
      </c>
      <c r="G611" s="47" t="s">
        <v>3558</v>
      </c>
      <c r="H611" s="44">
        <v>1878</v>
      </c>
      <c r="I611" s="346" t="s">
        <v>44</v>
      </c>
      <c r="J611" s="276" t="str">
        <f>IF(ISBLANK(INDEX('Policy Characteristics'!D:D,MATCH($C611,'Policy Characteristics'!$C:$C,0))),"",INDEX('Policy Characteristics'!D:D,MATCH($C611,'Policy Characteristics'!$C:$C,0)))</f>
        <v>Electrification</v>
      </c>
      <c r="K611" s="275" t="str">
        <f>IF(ISBLANK(INDEX('Policy Characteristics'!E:E,MATCH($C611,'Policy Characteristics'!$C:$C,0))),"",INDEX('Policy Characteristics'!E:E,MATCH($C611,'Policy Characteristics'!$C:$C,0)))</f>
        <v>indst shift to electricity</v>
      </c>
      <c r="L611" s="283">
        <f>IF(ISBLANK(INDEX('Policy Characteristics'!F:F,MATCH($C611,'Policy Characteristics'!$C:$C,0))),"",INDEX('Policy Characteristics'!F:F,MATCH($C611,'Policy Characteristics'!$C:$C,0)))</f>
        <v>0</v>
      </c>
      <c r="M611" s="283">
        <f>IF(ISBLANK(INDEX('Policy Characteristics'!G:G,MATCH($C611,'Policy Characteristics'!$C:$C,0))),"",INDEX('Policy Characteristics'!G:G,MATCH($C611,'Policy Characteristics'!$C:$C,0)))</f>
        <v>1</v>
      </c>
      <c r="N611" s="283">
        <f>IF(ISBLANK(INDEX('Policy Characteristics'!H:H,MATCH($C611,'Policy Characteristics'!$C:$C,0))),"",INDEX('Policy Characteristics'!H:H,MATCH($C611,'Policy Characteristics'!$C:$C,0)))</f>
        <v>0.01</v>
      </c>
      <c r="O611" s="275" t="str">
        <f>IF(ISBLANK(INDEX('Policy Characteristics'!I:I,MATCH($C611,'Policy Characteristics'!$C:$C,0))),"",INDEX('Policy Characteristics'!I:I,MATCH($C611,'Policy Characteristics'!$C:$C,0)))</f>
        <v>% of fuel shifted</v>
      </c>
      <c r="P611" s="275" t="str">
        <f>IF(ISBLANK(INDEX('Policy Characteristics'!J:J,MATCH($C611,'Policy Characteristics'!$C:$C,0))),"",INDEX('Policy Characteristics'!J:J,MATCH($C611,'Policy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1" s="275" t="str">
        <f>IF(ISBLANK(INDEX('Policy Characteristics'!K:K,MATCH($C611,'Policy Characteristics'!$C:$C,0))),"",INDEX('Policy Characteristics'!K:K,MATCH($C611,'Policy Characteristics'!$C:$C,0)))</f>
        <v>industry-ag-main.html#fuel-switching</v>
      </c>
      <c r="R611" s="275" t="str">
        <f>IF(ISBLANK(INDEX('Policy Characteristics'!L:L,MATCH($C611,'Policy Characteristics'!$C:$C,0))),"",INDEX('Policy Characteristics'!L:L,MATCH($C611,'Policy Characteristics'!$C:$C,0)))</f>
        <v>industry-elec-and-hydrogen.html</v>
      </c>
    </row>
    <row r="612" spans="1:18" x14ac:dyDescent="0.25">
      <c r="A612" s="275" t="str">
        <f>IF(ISBLANK(INDEX('Policy Characteristics'!A:A,MATCH($C612,'Policy Characteristics'!$C:$C,0))),"",INDEX('Policy Characteristics'!A:A,MATCH($C612,'Policy Characteristics'!$C:$C,0)))</f>
        <v>Industry</v>
      </c>
      <c r="B612" s="284" t="str">
        <f>IF(ISBLANK(INDEX('Policy Characteristics'!B:B,MATCH($C612,'Policy Characteristics'!$C:$C,0))),"",INDEX('Policy Characteristics'!B:B,MATCH($C612,'Policy Characteristics'!$C:$C,0)))</f>
        <v>Electrification</v>
      </c>
      <c r="C612" s="275" t="str">
        <f t="shared" si="33"/>
        <v>Fraction of Eligible Industrial Energy Use Shifted to Electricity</v>
      </c>
      <c r="D612" s="6" t="s">
        <v>3075</v>
      </c>
      <c r="E612" s="1" t="s">
        <v>3552</v>
      </c>
      <c r="F612" t="s">
        <v>3039</v>
      </c>
      <c r="G612" s="47" t="s">
        <v>3559</v>
      </c>
      <c r="H612" s="44">
        <v>1879</v>
      </c>
      <c r="I612" s="346" t="s">
        <v>43</v>
      </c>
      <c r="J612" s="276" t="str">
        <f>IF(ISBLANK(INDEX('Policy Characteristics'!D:D,MATCH($C612,'Policy Characteristics'!$C:$C,0))),"",INDEX('Policy Characteristics'!D:D,MATCH($C612,'Policy Characteristics'!$C:$C,0)))</f>
        <v>Electrification</v>
      </c>
      <c r="K612" s="275" t="str">
        <f>IF(ISBLANK(INDEX('Policy Characteristics'!E:E,MATCH($C612,'Policy Characteristics'!$C:$C,0))),"",INDEX('Policy Characteristics'!E:E,MATCH($C612,'Policy Characteristics'!$C:$C,0)))</f>
        <v>indst shift to electricity</v>
      </c>
      <c r="L612" s="283">
        <f>IF(ISBLANK(INDEX('Policy Characteristics'!F:F,MATCH($C612,'Policy Characteristics'!$C:$C,0))),"",INDEX('Policy Characteristics'!F:F,MATCH($C612,'Policy Characteristics'!$C:$C,0)))</f>
        <v>0</v>
      </c>
      <c r="M612" s="283">
        <f>IF(ISBLANK(INDEX('Policy Characteristics'!G:G,MATCH($C612,'Policy Characteristics'!$C:$C,0))),"",INDEX('Policy Characteristics'!G:G,MATCH($C612,'Policy Characteristics'!$C:$C,0)))</f>
        <v>1</v>
      </c>
      <c r="N612" s="283">
        <f>IF(ISBLANK(INDEX('Policy Characteristics'!H:H,MATCH($C612,'Policy Characteristics'!$C:$C,0))),"",INDEX('Policy Characteristics'!H:H,MATCH($C612,'Policy Characteristics'!$C:$C,0)))</f>
        <v>0.01</v>
      </c>
      <c r="O612" s="275" t="str">
        <f>IF(ISBLANK(INDEX('Policy Characteristics'!I:I,MATCH($C612,'Policy Characteristics'!$C:$C,0))),"",INDEX('Policy Characteristics'!I:I,MATCH($C612,'Policy Characteristics'!$C:$C,0)))</f>
        <v>% of fuel shifted</v>
      </c>
      <c r="P612" s="275" t="str">
        <f>IF(ISBLANK(INDEX('Policy Characteristics'!J:J,MATCH($C612,'Policy Characteristics'!$C:$C,0))),"",INDEX('Policy Characteristics'!J:J,MATCH($C612,'Policy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2" s="275" t="str">
        <f>IF(ISBLANK(INDEX('Policy Characteristics'!K:K,MATCH($C612,'Policy Characteristics'!$C:$C,0))),"",INDEX('Policy Characteristics'!K:K,MATCH($C612,'Policy Characteristics'!$C:$C,0)))</f>
        <v>industry-ag-main.html#fuel-switching</v>
      </c>
      <c r="R612" s="275" t="str">
        <f>IF(ISBLANK(INDEX('Policy Characteristics'!L:L,MATCH($C612,'Policy Characteristics'!$C:$C,0))),"",INDEX('Policy Characteristics'!L:L,MATCH($C612,'Policy Characteristics'!$C:$C,0)))</f>
        <v>industry-elec-and-hydrogen.html</v>
      </c>
    </row>
    <row r="613" spans="1:18" x14ac:dyDescent="0.25">
      <c r="A613" s="275" t="str">
        <f>IF(ISBLANK(INDEX('Policy Characteristics'!A:A,MATCH($C613,'Policy Characteristics'!$C:$C,0))),"",INDEX('Policy Characteristics'!A:A,MATCH($C613,'Policy Characteristics'!$C:$C,0)))</f>
        <v>Industry</v>
      </c>
      <c r="B613" s="284" t="str">
        <f>IF(ISBLANK(INDEX('Policy Characteristics'!B:B,MATCH($C613,'Policy Characteristics'!$C:$C,0))),"",INDEX('Policy Characteristics'!B:B,MATCH($C613,'Policy Characteristics'!$C:$C,0)))</f>
        <v>Electrification</v>
      </c>
      <c r="C613" s="275" t="str">
        <f t="shared" si="33"/>
        <v>Fraction of Eligible Industrial Energy Use Shifted to Electricity</v>
      </c>
      <c r="D613" s="6" t="s">
        <v>3075</v>
      </c>
      <c r="E613" s="1" t="s">
        <v>3553</v>
      </c>
      <c r="F613" t="s">
        <v>3039</v>
      </c>
      <c r="G613" s="47" t="s">
        <v>3560</v>
      </c>
      <c r="H613" s="44">
        <v>1880</v>
      </c>
      <c r="I613" s="346" t="s">
        <v>44</v>
      </c>
      <c r="J613" s="276" t="str">
        <f>IF(ISBLANK(INDEX('Policy Characteristics'!D:D,MATCH($C613,'Policy Characteristics'!$C:$C,0))),"",INDEX('Policy Characteristics'!D:D,MATCH($C613,'Policy Characteristics'!$C:$C,0)))</f>
        <v>Electrification</v>
      </c>
      <c r="K613" s="275" t="str">
        <f>IF(ISBLANK(INDEX('Policy Characteristics'!E:E,MATCH($C613,'Policy Characteristics'!$C:$C,0))),"",INDEX('Policy Characteristics'!E:E,MATCH($C613,'Policy Characteristics'!$C:$C,0)))</f>
        <v>indst shift to electricity</v>
      </c>
      <c r="L613" s="283">
        <f>IF(ISBLANK(INDEX('Policy Characteristics'!F:F,MATCH($C613,'Policy Characteristics'!$C:$C,0))),"",INDEX('Policy Characteristics'!F:F,MATCH($C613,'Policy Characteristics'!$C:$C,0)))</f>
        <v>0</v>
      </c>
      <c r="M613" s="283">
        <f>IF(ISBLANK(INDEX('Policy Characteristics'!G:G,MATCH($C613,'Policy Characteristics'!$C:$C,0))),"",INDEX('Policy Characteristics'!G:G,MATCH($C613,'Policy Characteristics'!$C:$C,0)))</f>
        <v>1</v>
      </c>
      <c r="N613" s="283">
        <f>IF(ISBLANK(INDEX('Policy Characteristics'!H:H,MATCH($C613,'Policy Characteristics'!$C:$C,0))),"",INDEX('Policy Characteristics'!H:H,MATCH($C613,'Policy Characteristics'!$C:$C,0)))</f>
        <v>0.01</v>
      </c>
      <c r="O613" s="275" t="str">
        <f>IF(ISBLANK(INDEX('Policy Characteristics'!I:I,MATCH($C613,'Policy Characteristics'!$C:$C,0))),"",INDEX('Policy Characteristics'!I:I,MATCH($C613,'Policy Characteristics'!$C:$C,0)))</f>
        <v>% of fuel shifted</v>
      </c>
      <c r="P613" s="275" t="str">
        <f>IF(ISBLANK(INDEX('Policy Characteristics'!J:J,MATCH($C613,'Policy Characteristics'!$C:$C,0))),"",INDEX('Policy Characteristics'!J:J,MATCH($C613,'Policy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3" s="275" t="str">
        <f>IF(ISBLANK(INDEX('Policy Characteristics'!K:K,MATCH($C613,'Policy Characteristics'!$C:$C,0))),"",INDEX('Policy Characteristics'!K:K,MATCH($C613,'Policy Characteristics'!$C:$C,0)))</f>
        <v>industry-ag-main.html#fuel-switching</v>
      </c>
      <c r="R613" s="275" t="str">
        <f>IF(ISBLANK(INDEX('Policy Characteristics'!L:L,MATCH($C613,'Policy Characteristics'!$C:$C,0))),"",INDEX('Policy Characteristics'!L:L,MATCH($C613,'Policy Characteristics'!$C:$C,0)))</f>
        <v>industry-elec-and-hydrogen.html</v>
      </c>
    </row>
    <row r="614" spans="1:18" x14ac:dyDescent="0.25">
      <c r="A614" s="275" t="str">
        <f>IF(ISBLANK(INDEX('Policy Characteristics'!A:A,MATCH($C614,'Policy Characteristics'!$C:$C,0))),"",INDEX('Policy Characteristics'!A:A,MATCH($C614,'Policy Characteristics'!$C:$C,0)))</f>
        <v>Industry</v>
      </c>
      <c r="B614" s="284" t="str">
        <f>IF(ISBLANK(INDEX('Policy Characteristics'!B:B,MATCH($C614,'Policy Characteristics'!$C:$C,0))),"",INDEX('Policy Characteristics'!B:B,MATCH($C614,'Policy Characteristics'!$C:$C,0)))</f>
        <v>Electrification</v>
      </c>
      <c r="C614" s="275" t="str">
        <f t="shared" si="33"/>
        <v>Fraction of Eligible Industrial Energy Use Shifted to Electricity</v>
      </c>
      <c r="D614" s="6" t="s">
        <v>3075</v>
      </c>
      <c r="E614" s="1" t="s">
        <v>3737</v>
      </c>
      <c r="F614" t="s">
        <v>3039</v>
      </c>
      <c r="G614" s="47" t="s">
        <v>3738</v>
      </c>
      <c r="H614" s="44">
        <v>1881</v>
      </c>
      <c r="I614" s="346" t="s">
        <v>44</v>
      </c>
      <c r="J614" s="276" t="str">
        <f>IF(ISBLANK(INDEX('Policy Characteristics'!D:D,MATCH($C614,'Policy Characteristics'!$C:$C,0))),"",INDEX('Policy Characteristics'!D:D,MATCH($C614,'Policy Characteristics'!$C:$C,0)))</f>
        <v>Electrification</v>
      </c>
      <c r="K614" s="275" t="str">
        <f>IF(ISBLANK(INDEX('Policy Characteristics'!E:E,MATCH($C614,'Policy Characteristics'!$C:$C,0))),"",INDEX('Policy Characteristics'!E:E,MATCH($C614,'Policy Characteristics'!$C:$C,0)))</f>
        <v>indst shift to electricity</v>
      </c>
      <c r="L614" s="283">
        <f>IF(ISBLANK(INDEX('Policy Characteristics'!F:F,MATCH($C614,'Policy Characteristics'!$C:$C,0))),"",INDEX('Policy Characteristics'!F:F,MATCH($C614,'Policy Characteristics'!$C:$C,0)))</f>
        <v>0</v>
      </c>
      <c r="M614" s="283">
        <f>IF(ISBLANK(INDEX('Policy Characteristics'!G:G,MATCH($C614,'Policy Characteristics'!$C:$C,0))),"",INDEX('Policy Characteristics'!G:G,MATCH($C614,'Policy Characteristics'!$C:$C,0)))</f>
        <v>1</v>
      </c>
      <c r="N614" s="283">
        <f>IF(ISBLANK(INDEX('Policy Characteristics'!H:H,MATCH($C614,'Policy Characteristics'!$C:$C,0))),"",INDEX('Policy Characteristics'!H:H,MATCH($C614,'Policy Characteristics'!$C:$C,0)))</f>
        <v>0.01</v>
      </c>
      <c r="O614" s="275" t="str">
        <f>IF(ISBLANK(INDEX('Policy Characteristics'!I:I,MATCH($C614,'Policy Characteristics'!$C:$C,0))),"",INDEX('Policy Characteristics'!I:I,MATCH($C614,'Policy Characteristics'!$C:$C,0)))</f>
        <v>% of fuel shifted</v>
      </c>
      <c r="P614" s="275" t="str">
        <f>IF(ISBLANK(INDEX('Policy Characteristics'!J:J,MATCH($C614,'Policy Characteristics'!$C:$C,0))),"",INDEX('Policy Characteristics'!J:J,MATCH($C614,'Policy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4" s="275" t="str">
        <f>IF(ISBLANK(INDEX('Policy Characteristics'!K:K,MATCH($C614,'Policy Characteristics'!$C:$C,0))),"",INDEX('Policy Characteristics'!K:K,MATCH($C614,'Policy Characteristics'!$C:$C,0)))</f>
        <v>industry-ag-main.html#fuel-switching</v>
      </c>
      <c r="R614" s="275" t="str">
        <f>IF(ISBLANK(INDEX('Policy Characteristics'!L:L,MATCH($C614,'Policy Characteristics'!$C:$C,0))),"",INDEX('Policy Characteristics'!L:L,MATCH($C614,'Policy Characteristics'!$C:$C,0)))</f>
        <v>industry-elec-and-hydrogen.html</v>
      </c>
    </row>
    <row r="615" spans="1:18" x14ac:dyDescent="0.25">
      <c r="A615" s="275" t="str">
        <f>IF(ISBLANK(INDEX('Policy Characteristics'!A:A,MATCH($C615,'Policy Characteristics'!$C:$C,0))),"",INDEX('Policy Characteristics'!A:A,MATCH($C615,'Policy Characteristics'!$C:$C,0)))</f>
        <v>Industry</v>
      </c>
      <c r="B615" s="284" t="str">
        <f>IF(ISBLANK(INDEX('Policy Characteristics'!B:B,MATCH($C615,'Policy Characteristics'!$C:$C,0))),"",INDEX('Policy Characteristics'!B:B,MATCH($C615,'Policy Characteristics'!$C:$C,0)))</f>
        <v>Electrification</v>
      </c>
      <c r="C615" s="275" t="str">
        <f t="shared" si="33"/>
        <v>Fraction of Eligible Industrial Energy Use Shifted to Electricity</v>
      </c>
      <c r="D615" s="6" t="s">
        <v>3076</v>
      </c>
      <c r="E615" s="1" t="s">
        <v>3547</v>
      </c>
      <c r="F615" t="s">
        <v>3040</v>
      </c>
      <c r="G615" s="47" t="s">
        <v>3554</v>
      </c>
      <c r="H615" s="44">
        <v>1882</v>
      </c>
      <c r="I615" s="346" t="s">
        <v>43</v>
      </c>
      <c r="J615" s="276" t="str">
        <f>IF(ISBLANK(INDEX('Policy Characteristics'!D:D,MATCH($C615,'Policy Characteristics'!$C:$C,0))),"",INDEX('Policy Characteristics'!D:D,MATCH($C615,'Policy Characteristics'!$C:$C,0)))</f>
        <v>Electrification</v>
      </c>
      <c r="K615" s="275" t="str">
        <f>IF(ISBLANK(INDEX('Policy Characteristics'!E:E,MATCH($C615,'Policy Characteristics'!$C:$C,0))),"",INDEX('Policy Characteristics'!E:E,MATCH($C615,'Policy Characteristics'!$C:$C,0)))</f>
        <v>indst shift to electricity</v>
      </c>
      <c r="L615" s="283">
        <f>IF(ISBLANK(INDEX('Policy Characteristics'!F:F,MATCH($C615,'Policy Characteristics'!$C:$C,0))),"",INDEX('Policy Characteristics'!F:F,MATCH($C615,'Policy Characteristics'!$C:$C,0)))</f>
        <v>0</v>
      </c>
      <c r="M615" s="283">
        <f>IF(ISBLANK(INDEX('Policy Characteristics'!G:G,MATCH($C615,'Policy Characteristics'!$C:$C,0))),"",INDEX('Policy Characteristics'!G:G,MATCH($C615,'Policy Characteristics'!$C:$C,0)))</f>
        <v>1</v>
      </c>
      <c r="N615" s="283">
        <f>IF(ISBLANK(INDEX('Policy Characteristics'!H:H,MATCH($C615,'Policy Characteristics'!$C:$C,0))),"",INDEX('Policy Characteristics'!H:H,MATCH($C615,'Policy Characteristics'!$C:$C,0)))</f>
        <v>0.01</v>
      </c>
      <c r="O615" s="275" t="str">
        <f>IF(ISBLANK(INDEX('Policy Characteristics'!I:I,MATCH($C615,'Policy Characteristics'!$C:$C,0))),"",INDEX('Policy Characteristics'!I:I,MATCH($C615,'Policy Characteristics'!$C:$C,0)))</f>
        <v>% of fuel shifted</v>
      </c>
      <c r="P615" s="275" t="str">
        <f>IF(ISBLANK(INDEX('Policy Characteristics'!J:J,MATCH($C615,'Policy Characteristics'!$C:$C,0))),"",INDEX('Policy Characteristics'!J:J,MATCH($C615,'Policy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5" s="275" t="str">
        <f>IF(ISBLANK(INDEX('Policy Characteristics'!K:K,MATCH($C615,'Policy Characteristics'!$C:$C,0))),"",INDEX('Policy Characteristics'!K:K,MATCH($C615,'Policy Characteristics'!$C:$C,0)))</f>
        <v>industry-ag-main.html#fuel-switching</v>
      </c>
      <c r="R615" s="275" t="str">
        <f>IF(ISBLANK(INDEX('Policy Characteristics'!L:L,MATCH($C615,'Policy Characteristics'!$C:$C,0))),"",INDEX('Policy Characteristics'!L:L,MATCH($C615,'Policy Characteristics'!$C:$C,0)))</f>
        <v>industry-elec-and-hydrogen.html</v>
      </c>
    </row>
    <row r="616" spans="1:18" x14ac:dyDescent="0.25">
      <c r="A616" s="275" t="str">
        <f>IF(ISBLANK(INDEX('Policy Characteristics'!A:A,MATCH($C616,'Policy Characteristics'!$C:$C,0))),"",INDEX('Policy Characteristics'!A:A,MATCH($C616,'Policy Characteristics'!$C:$C,0)))</f>
        <v>Industry</v>
      </c>
      <c r="B616" s="284" t="str">
        <f>IF(ISBLANK(INDEX('Policy Characteristics'!B:B,MATCH($C616,'Policy Characteristics'!$C:$C,0))),"",INDEX('Policy Characteristics'!B:B,MATCH($C616,'Policy Characteristics'!$C:$C,0)))</f>
        <v>Electrification</v>
      </c>
      <c r="C616" s="275" t="str">
        <f t="shared" si="33"/>
        <v>Fraction of Eligible Industrial Energy Use Shifted to Electricity</v>
      </c>
      <c r="D616" s="6" t="s">
        <v>3076</v>
      </c>
      <c r="E616" s="1" t="s">
        <v>3548</v>
      </c>
      <c r="F616" t="s">
        <v>3040</v>
      </c>
      <c r="G616" s="47" t="s">
        <v>3555</v>
      </c>
      <c r="H616" s="44">
        <v>1883</v>
      </c>
      <c r="I616" s="346" t="s">
        <v>43</v>
      </c>
      <c r="J616" s="276" t="str">
        <f>IF(ISBLANK(INDEX('Policy Characteristics'!D:D,MATCH($C616,'Policy Characteristics'!$C:$C,0))),"",INDEX('Policy Characteristics'!D:D,MATCH($C616,'Policy Characteristics'!$C:$C,0)))</f>
        <v>Electrification</v>
      </c>
      <c r="K616" s="275" t="str">
        <f>IF(ISBLANK(INDEX('Policy Characteristics'!E:E,MATCH($C616,'Policy Characteristics'!$C:$C,0))),"",INDEX('Policy Characteristics'!E:E,MATCH($C616,'Policy Characteristics'!$C:$C,0)))</f>
        <v>indst shift to electricity</v>
      </c>
      <c r="L616" s="283">
        <f>IF(ISBLANK(INDEX('Policy Characteristics'!F:F,MATCH($C616,'Policy Characteristics'!$C:$C,0))),"",INDEX('Policy Characteristics'!F:F,MATCH($C616,'Policy Characteristics'!$C:$C,0)))</f>
        <v>0</v>
      </c>
      <c r="M616" s="283">
        <f>IF(ISBLANK(INDEX('Policy Characteristics'!G:G,MATCH($C616,'Policy Characteristics'!$C:$C,0))),"",INDEX('Policy Characteristics'!G:G,MATCH($C616,'Policy Characteristics'!$C:$C,0)))</f>
        <v>1</v>
      </c>
      <c r="N616" s="283">
        <f>IF(ISBLANK(INDEX('Policy Characteristics'!H:H,MATCH($C616,'Policy Characteristics'!$C:$C,0))),"",INDEX('Policy Characteristics'!H:H,MATCH($C616,'Policy Characteristics'!$C:$C,0)))</f>
        <v>0.01</v>
      </c>
      <c r="O616" s="275" t="str">
        <f>IF(ISBLANK(INDEX('Policy Characteristics'!I:I,MATCH($C616,'Policy Characteristics'!$C:$C,0))),"",INDEX('Policy Characteristics'!I:I,MATCH($C616,'Policy Characteristics'!$C:$C,0)))</f>
        <v>% of fuel shifted</v>
      </c>
      <c r="P616" s="275" t="str">
        <f>IF(ISBLANK(INDEX('Policy Characteristics'!J:J,MATCH($C616,'Policy Characteristics'!$C:$C,0))),"",INDEX('Policy Characteristics'!J:J,MATCH($C616,'Policy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6" s="275" t="str">
        <f>IF(ISBLANK(INDEX('Policy Characteristics'!K:K,MATCH($C616,'Policy Characteristics'!$C:$C,0))),"",INDEX('Policy Characteristics'!K:K,MATCH($C616,'Policy Characteristics'!$C:$C,0)))</f>
        <v>industry-ag-main.html#fuel-switching</v>
      </c>
      <c r="R616" s="275" t="str">
        <f>IF(ISBLANK(INDEX('Policy Characteristics'!L:L,MATCH($C616,'Policy Characteristics'!$C:$C,0))),"",INDEX('Policy Characteristics'!L:L,MATCH($C616,'Policy Characteristics'!$C:$C,0)))</f>
        <v>industry-elec-and-hydrogen.html</v>
      </c>
    </row>
    <row r="617" spans="1:18" x14ac:dyDescent="0.25">
      <c r="A617" s="275" t="str">
        <f>IF(ISBLANK(INDEX('Policy Characteristics'!A:A,MATCH($C617,'Policy Characteristics'!$C:$C,0))),"",INDEX('Policy Characteristics'!A:A,MATCH($C617,'Policy Characteristics'!$C:$C,0)))</f>
        <v>Industry</v>
      </c>
      <c r="B617" s="284" t="str">
        <f>IF(ISBLANK(INDEX('Policy Characteristics'!B:B,MATCH($C617,'Policy Characteristics'!$C:$C,0))),"",INDEX('Policy Characteristics'!B:B,MATCH($C617,'Policy Characteristics'!$C:$C,0)))</f>
        <v>Electrification</v>
      </c>
      <c r="C617" s="275" t="str">
        <f t="shared" si="33"/>
        <v>Fraction of Eligible Industrial Energy Use Shifted to Electricity</v>
      </c>
      <c r="D617" s="6" t="s">
        <v>3076</v>
      </c>
      <c r="E617" s="1" t="s">
        <v>3549</v>
      </c>
      <c r="F617" t="s">
        <v>3040</v>
      </c>
      <c r="G617" s="47" t="s">
        <v>3556</v>
      </c>
      <c r="H617" s="44">
        <v>1884</v>
      </c>
      <c r="I617" s="346" t="s">
        <v>43</v>
      </c>
      <c r="J617" s="276" t="str">
        <f>IF(ISBLANK(INDEX('Policy Characteristics'!D:D,MATCH($C617,'Policy Characteristics'!$C:$C,0))),"",INDEX('Policy Characteristics'!D:D,MATCH($C617,'Policy Characteristics'!$C:$C,0)))</f>
        <v>Electrification</v>
      </c>
      <c r="K617" s="275" t="str">
        <f>IF(ISBLANK(INDEX('Policy Characteristics'!E:E,MATCH($C617,'Policy Characteristics'!$C:$C,0))),"",INDEX('Policy Characteristics'!E:E,MATCH($C617,'Policy Characteristics'!$C:$C,0)))</f>
        <v>indst shift to electricity</v>
      </c>
      <c r="L617" s="283">
        <f>IF(ISBLANK(INDEX('Policy Characteristics'!F:F,MATCH($C617,'Policy Characteristics'!$C:$C,0))),"",INDEX('Policy Characteristics'!F:F,MATCH($C617,'Policy Characteristics'!$C:$C,0)))</f>
        <v>0</v>
      </c>
      <c r="M617" s="283">
        <f>IF(ISBLANK(INDEX('Policy Characteristics'!G:G,MATCH($C617,'Policy Characteristics'!$C:$C,0))),"",INDEX('Policy Characteristics'!G:G,MATCH($C617,'Policy Characteristics'!$C:$C,0)))</f>
        <v>1</v>
      </c>
      <c r="N617" s="283">
        <f>IF(ISBLANK(INDEX('Policy Characteristics'!H:H,MATCH($C617,'Policy Characteristics'!$C:$C,0))),"",INDEX('Policy Characteristics'!H:H,MATCH($C617,'Policy Characteristics'!$C:$C,0)))</f>
        <v>0.01</v>
      </c>
      <c r="O617" s="275" t="str">
        <f>IF(ISBLANK(INDEX('Policy Characteristics'!I:I,MATCH($C617,'Policy Characteristics'!$C:$C,0))),"",INDEX('Policy Characteristics'!I:I,MATCH($C617,'Policy Characteristics'!$C:$C,0)))</f>
        <v>% of fuel shifted</v>
      </c>
      <c r="P617" s="275" t="str">
        <f>IF(ISBLANK(INDEX('Policy Characteristics'!J:J,MATCH($C617,'Policy Characteristics'!$C:$C,0))),"",INDEX('Policy Characteristics'!J:J,MATCH($C617,'Policy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7" s="275" t="str">
        <f>IF(ISBLANK(INDEX('Policy Characteristics'!K:K,MATCH($C617,'Policy Characteristics'!$C:$C,0))),"",INDEX('Policy Characteristics'!K:K,MATCH($C617,'Policy Characteristics'!$C:$C,0)))</f>
        <v>industry-ag-main.html#fuel-switching</v>
      </c>
      <c r="R617" s="275" t="str">
        <f>IF(ISBLANK(INDEX('Policy Characteristics'!L:L,MATCH($C617,'Policy Characteristics'!$C:$C,0))),"",INDEX('Policy Characteristics'!L:L,MATCH($C617,'Policy Characteristics'!$C:$C,0)))</f>
        <v>industry-elec-and-hydrogen.html</v>
      </c>
    </row>
    <row r="618" spans="1:18" x14ac:dyDescent="0.25">
      <c r="A618" s="275" t="str">
        <f>IF(ISBLANK(INDEX('Policy Characteristics'!A:A,MATCH($C618,'Policy Characteristics'!$C:$C,0))),"",INDEX('Policy Characteristics'!A:A,MATCH($C618,'Policy Characteristics'!$C:$C,0)))</f>
        <v>Industry</v>
      </c>
      <c r="B618" s="284" t="str">
        <f>IF(ISBLANK(INDEX('Policy Characteristics'!B:B,MATCH($C618,'Policy Characteristics'!$C:$C,0))),"",INDEX('Policy Characteristics'!B:B,MATCH($C618,'Policy Characteristics'!$C:$C,0)))</f>
        <v>Electrification</v>
      </c>
      <c r="C618" s="275" t="str">
        <f t="shared" si="33"/>
        <v>Fraction of Eligible Industrial Energy Use Shifted to Electricity</v>
      </c>
      <c r="D618" s="6" t="s">
        <v>3076</v>
      </c>
      <c r="E618" s="1" t="s">
        <v>3550</v>
      </c>
      <c r="F618" t="s">
        <v>3040</v>
      </c>
      <c r="G618" s="47" t="s">
        <v>3557</v>
      </c>
      <c r="H618" s="44">
        <v>1885</v>
      </c>
      <c r="I618" s="346" t="s">
        <v>44</v>
      </c>
      <c r="J618" s="276" t="str">
        <f>IF(ISBLANK(INDEX('Policy Characteristics'!D:D,MATCH($C618,'Policy Characteristics'!$C:$C,0))),"",INDEX('Policy Characteristics'!D:D,MATCH($C618,'Policy Characteristics'!$C:$C,0)))</f>
        <v>Electrification</v>
      </c>
      <c r="K618" s="275" t="str">
        <f>IF(ISBLANK(INDEX('Policy Characteristics'!E:E,MATCH($C618,'Policy Characteristics'!$C:$C,0))),"",INDEX('Policy Characteristics'!E:E,MATCH($C618,'Policy Characteristics'!$C:$C,0)))</f>
        <v>indst shift to electricity</v>
      </c>
      <c r="L618" s="283">
        <f>IF(ISBLANK(INDEX('Policy Characteristics'!F:F,MATCH($C618,'Policy Characteristics'!$C:$C,0))),"",INDEX('Policy Characteristics'!F:F,MATCH($C618,'Policy Characteristics'!$C:$C,0)))</f>
        <v>0</v>
      </c>
      <c r="M618" s="283">
        <f>IF(ISBLANK(INDEX('Policy Characteristics'!G:G,MATCH($C618,'Policy Characteristics'!$C:$C,0))),"",INDEX('Policy Characteristics'!G:G,MATCH($C618,'Policy Characteristics'!$C:$C,0)))</f>
        <v>1</v>
      </c>
      <c r="N618" s="283">
        <f>IF(ISBLANK(INDEX('Policy Characteristics'!H:H,MATCH($C618,'Policy Characteristics'!$C:$C,0))),"",INDEX('Policy Characteristics'!H:H,MATCH($C618,'Policy Characteristics'!$C:$C,0)))</f>
        <v>0.01</v>
      </c>
      <c r="O618" s="275" t="str">
        <f>IF(ISBLANK(INDEX('Policy Characteristics'!I:I,MATCH($C618,'Policy Characteristics'!$C:$C,0))),"",INDEX('Policy Characteristics'!I:I,MATCH($C618,'Policy Characteristics'!$C:$C,0)))</f>
        <v>% of fuel shifted</v>
      </c>
      <c r="P618" s="275" t="str">
        <f>IF(ISBLANK(INDEX('Policy Characteristics'!J:J,MATCH($C618,'Policy Characteristics'!$C:$C,0))),"",INDEX('Policy Characteristics'!J:J,MATCH($C618,'Policy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8" s="275" t="str">
        <f>IF(ISBLANK(INDEX('Policy Characteristics'!K:K,MATCH($C618,'Policy Characteristics'!$C:$C,0))),"",INDEX('Policy Characteristics'!K:K,MATCH($C618,'Policy Characteristics'!$C:$C,0)))</f>
        <v>industry-ag-main.html#fuel-switching</v>
      </c>
      <c r="R618" s="275" t="str">
        <f>IF(ISBLANK(INDEX('Policy Characteristics'!L:L,MATCH($C618,'Policy Characteristics'!$C:$C,0))),"",INDEX('Policy Characteristics'!L:L,MATCH($C618,'Policy Characteristics'!$C:$C,0)))</f>
        <v>industry-elec-and-hydrogen.html</v>
      </c>
    </row>
    <row r="619" spans="1:18" x14ac:dyDescent="0.25">
      <c r="A619" s="275" t="str">
        <f>IF(ISBLANK(INDEX('Policy Characteristics'!A:A,MATCH($C619,'Policy Characteristics'!$C:$C,0))),"",INDEX('Policy Characteristics'!A:A,MATCH($C619,'Policy Characteristics'!$C:$C,0)))</f>
        <v>Industry</v>
      </c>
      <c r="B619" s="284" t="str">
        <f>IF(ISBLANK(INDEX('Policy Characteristics'!B:B,MATCH($C619,'Policy Characteristics'!$C:$C,0))),"",INDEX('Policy Characteristics'!B:B,MATCH($C619,'Policy Characteristics'!$C:$C,0)))</f>
        <v>Electrification</v>
      </c>
      <c r="C619" s="275" t="str">
        <f t="shared" si="33"/>
        <v>Fraction of Eligible Industrial Energy Use Shifted to Electricity</v>
      </c>
      <c r="D619" s="6" t="s">
        <v>3076</v>
      </c>
      <c r="E619" s="1" t="s">
        <v>3551</v>
      </c>
      <c r="F619" t="s">
        <v>3040</v>
      </c>
      <c r="G619" s="47" t="s">
        <v>3558</v>
      </c>
      <c r="H619" s="44">
        <v>1886</v>
      </c>
      <c r="I619" s="346" t="s">
        <v>44</v>
      </c>
      <c r="J619" s="276" t="str">
        <f>IF(ISBLANK(INDEX('Policy Characteristics'!D:D,MATCH($C619,'Policy Characteristics'!$C:$C,0))),"",INDEX('Policy Characteristics'!D:D,MATCH($C619,'Policy Characteristics'!$C:$C,0)))</f>
        <v>Electrification</v>
      </c>
      <c r="K619" s="275" t="str">
        <f>IF(ISBLANK(INDEX('Policy Characteristics'!E:E,MATCH($C619,'Policy Characteristics'!$C:$C,0))),"",INDEX('Policy Characteristics'!E:E,MATCH($C619,'Policy Characteristics'!$C:$C,0)))</f>
        <v>indst shift to electricity</v>
      </c>
      <c r="L619" s="283">
        <f>IF(ISBLANK(INDEX('Policy Characteristics'!F:F,MATCH($C619,'Policy Characteristics'!$C:$C,0))),"",INDEX('Policy Characteristics'!F:F,MATCH($C619,'Policy Characteristics'!$C:$C,0)))</f>
        <v>0</v>
      </c>
      <c r="M619" s="283">
        <f>IF(ISBLANK(INDEX('Policy Characteristics'!G:G,MATCH($C619,'Policy Characteristics'!$C:$C,0))),"",INDEX('Policy Characteristics'!G:G,MATCH($C619,'Policy Characteristics'!$C:$C,0)))</f>
        <v>1</v>
      </c>
      <c r="N619" s="283">
        <f>IF(ISBLANK(INDEX('Policy Characteristics'!H:H,MATCH($C619,'Policy Characteristics'!$C:$C,0))),"",INDEX('Policy Characteristics'!H:H,MATCH($C619,'Policy Characteristics'!$C:$C,0)))</f>
        <v>0.01</v>
      </c>
      <c r="O619" s="275" t="str">
        <f>IF(ISBLANK(INDEX('Policy Characteristics'!I:I,MATCH($C619,'Policy Characteristics'!$C:$C,0))),"",INDEX('Policy Characteristics'!I:I,MATCH($C619,'Policy Characteristics'!$C:$C,0)))</f>
        <v>% of fuel shifted</v>
      </c>
      <c r="P619" s="275" t="str">
        <f>IF(ISBLANK(INDEX('Policy Characteristics'!J:J,MATCH($C619,'Policy Characteristics'!$C:$C,0))),"",INDEX('Policy Characteristics'!J:J,MATCH($C619,'Policy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9" s="275" t="str">
        <f>IF(ISBLANK(INDEX('Policy Characteristics'!K:K,MATCH($C619,'Policy Characteristics'!$C:$C,0))),"",INDEX('Policy Characteristics'!K:K,MATCH($C619,'Policy Characteristics'!$C:$C,0)))</f>
        <v>industry-ag-main.html#fuel-switching</v>
      </c>
      <c r="R619" s="275" t="str">
        <f>IF(ISBLANK(INDEX('Policy Characteristics'!L:L,MATCH($C619,'Policy Characteristics'!$C:$C,0))),"",INDEX('Policy Characteristics'!L:L,MATCH($C619,'Policy Characteristics'!$C:$C,0)))</f>
        <v>industry-elec-and-hydrogen.html</v>
      </c>
    </row>
    <row r="620" spans="1:18" x14ac:dyDescent="0.25">
      <c r="A620" s="275" t="str">
        <f>IF(ISBLANK(INDEX('Policy Characteristics'!A:A,MATCH($C620,'Policy Characteristics'!$C:$C,0))),"",INDEX('Policy Characteristics'!A:A,MATCH($C620,'Policy Characteristics'!$C:$C,0)))</f>
        <v>Industry</v>
      </c>
      <c r="B620" s="284" t="str">
        <f>IF(ISBLANK(INDEX('Policy Characteristics'!B:B,MATCH($C620,'Policy Characteristics'!$C:$C,0))),"",INDEX('Policy Characteristics'!B:B,MATCH($C620,'Policy Characteristics'!$C:$C,0)))</f>
        <v>Electrification</v>
      </c>
      <c r="C620" s="275" t="str">
        <f t="shared" si="33"/>
        <v>Fraction of Eligible Industrial Energy Use Shifted to Electricity</v>
      </c>
      <c r="D620" s="6" t="s">
        <v>3076</v>
      </c>
      <c r="E620" s="1" t="s">
        <v>3552</v>
      </c>
      <c r="F620" t="s">
        <v>3040</v>
      </c>
      <c r="G620" s="47" t="s">
        <v>3559</v>
      </c>
      <c r="H620" s="44">
        <v>1887</v>
      </c>
      <c r="I620" s="346" t="s">
        <v>43</v>
      </c>
      <c r="J620" s="276" t="str">
        <f>IF(ISBLANK(INDEX('Policy Characteristics'!D:D,MATCH($C620,'Policy Characteristics'!$C:$C,0))),"",INDEX('Policy Characteristics'!D:D,MATCH($C620,'Policy Characteristics'!$C:$C,0)))</f>
        <v>Electrification</v>
      </c>
      <c r="K620" s="275" t="str">
        <f>IF(ISBLANK(INDEX('Policy Characteristics'!E:E,MATCH($C620,'Policy Characteristics'!$C:$C,0))),"",INDEX('Policy Characteristics'!E:E,MATCH($C620,'Policy Characteristics'!$C:$C,0)))</f>
        <v>indst shift to electricity</v>
      </c>
      <c r="L620" s="283">
        <f>IF(ISBLANK(INDEX('Policy Characteristics'!F:F,MATCH($C620,'Policy Characteristics'!$C:$C,0))),"",INDEX('Policy Characteristics'!F:F,MATCH($C620,'Policy Characteristics'!$C:$C,0)))</f>
        <v>0</v>
      </c>
      <c r="M620" s="283">
        <f>IF(ISBLANK(INDEX('Policy Characteristics'!G:G,MATCH($C620,'Policy Characteristics'!$C:$C,0))),"",INDEX('Policy Characteristics'!G:G,MATCH($C620,'Policy Characteristics'!$C:$C,0)))</f>
        <v>1</v>
      </c>
      <c r="N620" s="283">
        <f>IF(ISBLANK(INDEX('Policy Characteristics'!H:H,MATCH($C620,'Policy Characteristics'!$C:$C,0))),"",INDEX('Policy Characteristics'!H:H,MATCH($C620,'Policy Characteristics'!$C:$C,0)))</f>
        <v>0.01</v>
      </c>
      <c r="O620" s="275" t="str">
        <f>IF(ISBLANK(INDEX('Policy Characteristics'!I:I,MATCH($C620,'Policy Characteristics'!$C:$C,0))),"",INDEX('Policy Characteristics'!I:I,MATCH($C620,'Policy Characteristics'!$C:$C,0)))</f>
        <v>% of fuel shifted</v>
      </c>
      <c r="P620" s="275" t="str">
        <f>IF(ISBLANK(INDEX('Policy Characteristics'!J:J,MATCH($C620,'Policy Characteristics'!$C:$C,0))),"",INDEX('Policy Characteristics'!J:J,MATCH($C620,'Policy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0" s="275" t="str">
        <f>IF(ISBLANK(INDEX('Policy Characteristics'!K:K,MATCH($C620,'Policy Characteristics'!$C:$C,0))),"",INDEX('Policy Characteristics'!K:K,MATCH($C620,'Policy Characteristics'!$C:$C,0)))</f>
        <v>industry-ag-main.html#fuel-switching</v>
      </c>
      <c r="R620" s="275" t="str">
        <f>IF(ISBLANK(INDEX('Policy Characteristics'!L:L,MATCH($C620,'Policy Characteristics'!$C:$C,0))),"",INDEX('Policy Characteristics'!L:L,MATCH($C620,'Policy Characteristics'!$C:$C,0)))</f>
        <v>industry-elec-and-hydrogen.html</v>
      </c>
    </row>
    <row r="621" spans="1:18" x14ac:dyDescent="0.25">
      <c r="A621" s="275" t="str">
        <f>IF(ISBLANK(INDEX('Policy Characteristics'!A:A,MATCH($C621,'Policy Characteristics'!$C:$C,0))),"",INDEX('Policy Characteristics'!A:A,MATCH($C621,'Policy Characteristics'!$C:$C,0)))</f>
        <v>Industry</v>
      </c>
      <c r="B621" s="284" t="str">
        <f>IF(ISBLANK(INDEX('Policy Characteristics'!B:B,MATCH($C621,'Policy Characteristics'!$C:$C,0))),"",INDEX('Policy Characteristics'!B:B,MATCH($C621,'Policy Characteristics'!$C:$C,0)))</f>
        <v>Electrification</v>
      </c>
      <c r="C621" s="275" t="str">
        <f t="shared" si="33"/>
        <v>Fraction of Eligible Industrial Energy Use Shifted to Electricity</v>
      </c>
      <c r="D621" s="6" t="s">
        <v>3076</v>
      </c>
      <c r="E621" s="1" t="s">
        <v>3553</v>
      </c>
      <c r="F621" t="s">
        <v>3040</v>
      </c>
      <c r="G621" s="47" t="s">
        <v>3560</v>
      </c>
      <c r="H621" s="44">
        <v>1888</v>
      </c>
      <c r="I621" s="346" t="s">
        <v>44</v>
      </c>
      <c r="J621" s="276" t="str">
        <f>IF(ISBLANK(INDEX('Policy Characteristics'!D:D,MATCH($C621,'Policy Characteristics'!$C:$C,0))),"",INDEX('Policy Characteristics'!D:D,MATCH($C621,'Policy Characteristics'!$C:$C,0)))</f>
        <v>Electrification</v>
      </c>
      <c r="K621" s="275" t="str">
        <f>IF(ISBLANK(INDEX('Policy Characteristics'!E:E,MATCH($C621,'Policy Characteristics'!$C:$C,0))),"",INDEX('Policy Characteristics'!E:E,MATCH($C621,'Policy Characteristics'!$C:$C,0)))</f>
        <v>indst shift to electricity</v>
      </c>
      <c r="L621" s="283">
        <f>IF(ISBLANK(INDEX('Policy Characteristics'!F:F,MATCH($C621,'Policy Characteristics'!$C:$C,0))),"",INDEX('Policy Characteristics'!F:F,MATCH($C621,'Policy Characteristics'!$C:$C,0)))</f>
        <v>0</v>
      </c>
      <c r="M621" s="283">
        <f>IF(ISBLANK(INDEX('Policy Characteristics'!G:G,MATCH($C621,'Policy Characteristics'!$C:$C,0))),"",INDEX('Policy Characteristics'!G:G,MATCH($C621,'Policy Characteristics'!$C:$C,0)))</f>
        <v>1</v>
      </c>
      <c r="N621" s="283">
        <f>IF(ISBLANK(INDEX('Policy Characteristics'!H:H,MATCH($C621,'Policy Characteristics'!$C:$C,0))),"",INDEX('Policy Characteristics'!H:H,MATCH($C621,'Policy Characteristics'!$C:$C,0)))</f>
        <v>0.01</v>
      </c>
      <c r="O621" s="275" t="str">
        <f>IF(ISBLANK(INDEX('Policy Characteristics'!I:I,MATCH($C621,'Policy Characteristics'!$C:$C,0))),"",INDEX('Policy Characteristics'!I:I,MATCH($C621,'Policy Characteristics'!$C:$C,0)))</f>
        <v>% of fuel shifted</v>
      </c>
      <c r="P621" s="275" t="str">
        <f>IF(ISBLANK(INDEX('Policy Characteristics'!J:J,MATCH($C621,'Policy Characteristics'!$C:$C,0))),"",INDEX('Policy Characteristics'!J:J,MATCH($C621,'Policy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1" s="275" t="str">
        <f>IF(ISBLANK(INDEX('Policy Characteristics'!K:K,MATCH($C621,'Policy Characteristics'!$C:$C,0))),"",INDEX('Policy Characteristics'!K:K,MATCH($C621,'Policy Characteristics'!$C:$C,0)))</f>
        <v>industry-ag-main.html#fuel-switching</v>
      </c>
      <c r="R621" s="275" t="str">
        <f>IF(ISBLANK(INDEX('Policy Characteristics'!L:L,MATCH($C621,'Policy Characteristics'!$C:$C,0))),"",INDEX('Policy Characteristics'!L:L,MATCH($C621,'Policy Characteristics'!$C:$C,0)))</f>
        <v>industry-elec-and-hydrogen.html</v>
      </c>
    </row>
    <row r="622" spans="1:18" x14ac:dyDescent="0.25">
      <c r="A622" s="275" t="str">
        <f>IF(ISBLANK(INDEX('Policy Characteristics'!A:A,MATCH($C622,'Policy Characteristics'!$C:$C,0))),"",INDEX('Policy Characteristics'!A:A,MATCH($C622,'Policy Characteristics'!$C:$C,0)))</f>
        <v>Industry</v>
      </c>
      <c r="B622" s="284" t="str">
        <f>IF(ISBLANK(INDEX('Policy Characteristics'!B:B,MATCH($C622,'Policy Characteristics'!$C:$C,0))),"",INDEX('Policy Characteristics'!B:B,MATCH($C622,'Policy Characteristics'!$C:$C,0)))</f>
        <v>Electrification</v>
      </c>
      <c r="C622" s="275" t="str">
        <f t="shared" si="33"/>
        <v>Fraction of Eligible Industrial Energy Use Shifted to Electricity</v>
      </c>
      <c r="D622" s="6" t="s">
        <v>3076</v>
      </c>
      <c r="E622" s="1" t="s">
        <v>3737</v>
      </c>
      <c r="F622" t="s">
        <v>3040</v>
      </c>
      <c r="G622" s="47" t="s">
        <v>3738</v>
      </c>
      <c r="H622" s="44">
        <v>1889</v>
      </c>
      <c r="I622" s="346" t="s">
        <v>43</v>
      </c>
      <c r="J622" s="276" t="str">
        <f>IF(ISBLANK(INDEX('Policy Characteristics'!D:D,MATCH($C622,'Policy Characteristics'!$C:$C,0))),"",INDEX('Policy Characteristics'!D:D,MATCH($C622,'Policy Characteristics'!$C:$C,0)))</f>
        <v>Electrification</v>
      </c>
      <c r="K622" s="275" t="str">
        <f>IF(ISBLANK(INDEX('Policy Characteristics'!E:E,MATCH($C622,'Policy Characteristics'!$C:$C,0))),"",INDEX('Policy Characteristics'!E:E,MATCH($C622,'Policy Characteristics'!$C:$C,0)))</f>
        <v>indst shift to electricity</v>
      </c>
      <c r="L622" s="283">
        <f>IF(ISBLANK(INDEX('Policy Characteristics'!F:F,MATCH($C622,'Policy Characteristics'!$C:$C,0))),"",INDEX('Policy Characteristics'!F:F,MATCH($C622,'Policy Characteristics'!$C:$C,0)))</f>
        <v>0</v>
      </c>
      <c r="M622" s="283">
        <f>IF(ISBLANK(INDEX('Policy Characteristics'!G:G,MATCH($C622,'Policy Characteristics'!$C:$C,0))),"",INDEX('Policy Characteristics'!G:G,MATCH($C622,'Policy Characteristics'!$C:$C,0)))</f>
        <v>1</v>
      </c>
      <c r="N622" s="283">
        <f>IF(ISBLANK(INDEX('Policy Characteristics'!H:H,MATCH($C622,'Policy Characteristics'!$C:$C,0))),"",INDEX('Policy Characteristics'!H:H,MATCH($C622,'Policy Characteristics'!$C:$C,0)))</f>
        <v>0.01</v>
      </c>
      <c r="O622" s="275" t="str">
        <f>IF(ISBLANK(INDEX('Policy Characteristics'!I:I,MATCH($C622,'Policy Characteristics'!$C:$C,0))),"",INDEX('Policy Characteristics'!I:I,MATCH($C622,'Policy Characteristics'!$C:$C,0)))</f>
        <v>% of fuel shifted</v>
      </c>
      <c r="P622" s="275" t="str">
        <f>IF(ISBLANK(INDEX('Policy Characteristics'!J:J,MATCH($C622,'Policy Characteristics'!$C:$C,0))),"",INDEX('Policy Characteristics'!J:J,MATCH($C622,'Policy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2" s="275" t="str">
        <f>IF(ISBLANK(INDEX('Policy Characteristics'!K:K,MATCH($C622,'Policy Characteristics'!$C:$C,0))),"",INDEX('Policy Characteristics'!K:K,MATCH($C622,'Policy Characteristics'!$C:$C,0)))</f>
        <v>industry-ag-main.html#fuel-switching</v>
      </c>
      <c r="R622" s="275" t="str">
        <f>IF(ISBLANK(INDEX('Policy Characteristics'!L:L,MATCH($C622,'Policy Characteristics'!$C:$C,0))),"",INDEX('Policy Characteristics'!L:L,MATCH($C622,'Policy Characteristics'!$C:$C,0)))</f>
        <v>industry-elec-and-hydrogen.html</v>
      </c>
    </row>
    <row r="623" spans="1:18" x14ac:dyDescent="0.25">
      <c r="A623" s="275" t="str">
        <f>IF(ISBLANK(INDEX('Policy Characteristics'!A:A,MATCH($C623,'Policy Characteristics'!$C:$C,0))),"",INDEX('Policy Characteristics'!A:A,MATCH($C623,'Policy Characteristics'!$C:$C,0)))</f>
        <v>Industry</v>
      </c>
      <c r="B623" s="284" t="str">
        <f>IF(ISBLANK(INDEX('Policy Characteristics'!B:B,MATCH($C623,'Policy Characteristics'!$C:$C,0))),"",INDEX('Policy Characteristics'!B:B,MATCH($C623,'Policy Characteristics'!$C:$C,0)))</f>
        <v>Electrification</v>
      </c>
      <c r="C623" s="275" t="str">
        <f t="shared" si="33"/>
        <v>Fraction of Eligible Industrial Energy Use Shifted to Electricity</v>
      </c>
      <c r="D623" s="6" t="s">
        <v>3077</v>
      </c>
      <c r="E623" s="1" t="s">
        <v>3547</v>
      </c>
      <c r="F623" t="s">
        <v>3041</v>
      </c>
      <c r="G623" s="47" t="s">
        <v>3554</v>
      </c>
      <c r="H623" s="44">
        <v>1890</v>
      </c>
      <c r="I623" s="346" t="s">
        <v>43</v>
      </c>
      <c r="J623" s="276" t="str">
        <f>IF(ISBLANK(INDEX('Policy Characteristics'!D:D,MATCH($C623,'Policy Characteristics'!$C:$C,0))),"",INDEX('Policy Characteristics'!D:D,MATCH($C623,'Policy Characteristics'!$C:$C,0)))</f>
        <v>Electrification</v>
      </c>
      <c r="K623" s="275" t="str">
        <f>IF(ISBLANK(INDEX('Policy Characteristics'!E:E,MATCH($C623,'Policy Characteristics'!$C:$C,0))),"",INDEX('Policy Characteristics'!E:E,MATCH($C623,'Policy Characteristics'!$C:$C,0)))</f>
        <v>indst shift to electricity</v>
      </c>
      <c r="L623" s="283">
        <f>IF(ISBLANK(INDEX('Policy Characteristics'!F:F,MATCH($C623,'Policy Characteristics'!$C:$C,0))),"",INDEX('Policy Characteristics'!F:F,MATCH($C623,'Policy Characteristics'!$C:$C,0)))</f>
        <v>0</v>
      </c>
      <c r="M623" s="283">
        <f>IF(ISBLANK(INDEX('Policy Characteristics'!G:G,MATCH($C623,'Policy Characteristics'!$C:$C,0))),"",INDEX('Policy Characteristics'!G:G,MATCH($C623,'Policy Characteristics'!$C:$C,0)))</f>
        <v>1</v>
      </c>
      <c r="N623" s="283">
        <f>IF(ISBLANK(INDEX('Policy Characteristics'!H:H,MATCH($C623,'Policy Characteristics'!$C:$C,0))),"",INDEX('Policy Characteristics'!H:H,MATCH($C623,'Policy Characteristics'!$C:$C,0)))</f>
        <v>0.01</v>
      </c>
      <c r="O623" s="275" t="str">
        <f>IF(ISBLANK(INDEX('Policy Characteristics'!I:I,MATCH($C623,'Policy Characteristics'!$C:$C,0))),"",INDEX('Policy Characteristics'!I:I,MATCH($C623,'Policy Characteristics'!$C:$C,0)))</f>
        <v>% of fuel shifted</v>
      </c>
      <c r="P623" s="275" t="str">
        <f>IF(ISBLANK(INDEX('Policy Characteristics'!J:J,MATCH($C623,'Policy Characteristics'!$C:$C,0))),"",INDEX('Policy Characteristics'!J:J,MATCH($C623,'Policy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3" s="275" t="str">
        <f>IF(ISBLANK(INDEX('Policy Characteristics'!K:K,MATCH($C623,'Policy Characteristics'!$C:$C,0))),"",INDEX('Policy Characteristics'!K:K,MATCH($C623,'Policy Characteristics'!$C:$C,0)))</f>
        <v>industry-ag-main.html#fuel-switching</v>
      </c>
      <c r="R623" s="275" t="str">
        <f>IF(ISBLANK(INDEX('Policy Characteristics'!L:L,MATCH($C623,'Policy Characteristics'!$C:$C,0))),"",INDEX('Policy Characteristics'!L:L,MATCH($C623,'Policy Characteristics'!$C:$C,0)))</f>
        <v>industry-elec-and-hydrogen.html</v>
      </c>
    </row>
    <row r="624" spans="1:18" x14ac:dyDescent="0.25">
      <c r="A624" s="275" t="str">
        <f>IF(ISBLANK(INDEX('Policy Characteristics'!A:A,MATCH($C624,'Policy Characteristics'!$C:$C,0))),"",INDEX('Policy Characteristics'!A:A,MATCH($C624,'Policy Characteristics'!$C:$C,0)))</f>
        <v>Industry</v>
      </c>
      <c r="B624" s="284" t="str">
        <f>IF(ISBLANK(INDEX('Policy Characteristics'!B:B,MATCH($C624,'Policy Characteristics'!$C:$C,0))),"",INDEX('Policy Characteristics'!B:B,MATCH($C624,'Policy Characteristics'!$C:$C,0)))</f>
        <v>Electrification</v>
      </c>
      <c r="C624" s="275" t="str">
        <f t="shared" si="33"/>
        <v>Fraction of Eligible Industrial Energy Use Shifted to Electricity</v>
      </c>
      <c r="D624" s="6" t="s">
        <v>3077</v>
      </c>
      <c r="E624" s="1" t="s">
        <v>3548</v>
      </c>
      <c r="F624" t="s">
        <v>3041</v>
      </c>
      <c r="G624" s="47" t="s">
        <v>3555</v>
      </c>
      <c r="H624" s="44">
        <v>1891</v>
      </c>
      <c r="I624" s="346" t="s">
        <v>43</v>
      </c>
      <c r="J624" s="276" t="str">
        <f>IF(ISBLANK(INDEX('Policy Characteristics'!D:D,MATCH($C624,'Policy Characteristics'!$C:$C,0))),"",INDEX('Policy Characteristics'!D:D,MATCH($C624,'Policy Characteristics'!$C:$C,0)))</f>
        <v>Electrification</v>
      </c>
      <c r="K624" s="275" t="str">
        <f>IF(ISBLANK(INDEX('Policy Characteristics'!E:E,MATCH($C624,'Policy Characteristics'!$C:$C,0))),"",INDEX('Policy Characteristics'!E:E,MATCH($C624,'Policy Characteristics'!$C:$C,0)))</f>
        <v>indst shift to electricity</v>
      </c>
      <c r="L624" s="283">
        <f>IF(ISBLANK(INDEX('Policy Characteristics'!F:F,MATCH($C624,'Policy Characteristics'!$C:$C,0))),"",INDEX('Policy Characteristics'!F:F,MATCH($C624,'Policy Characteristics'!$C:$C,0)))</f>
        <v>0</v>
      </c>
      <c r="M624" s="283">
        <f>IF(ISBLANK(INDEX('Policy Characteristics'!G:G,MATCH($C624,'Policy Characteristics'!$C:$C,0))),"",INDEX('Policy Characteristics'!G:G,MATCH($C624,'Policy Characteristics'!$C:$C,0)))</f>
        <v>1</v>
      </c>
      <c r="N624" s="283">
        <f>IF(ISBLANK(INDEX('Policy Characteristics'!H:H,MATCH($C624,'Policy Characteristics'!$C:$C,0))),"",INDEX('Policy Characteristics'!H:H,MATCH($C624,'Policy Characteristics'!$C:$C,0)))</f>
        <v>0.01</v>
      </c>
      <c r="O624" s="275" t="str">
        <f>IF(ISBLANK(INDEX('Policy Characteristics'!I:I,MATCH($C624,'Policy Characteristics'!$C:$C,0))),"",INDEX('Policy Characteristics'!I:I,MATCH($C624,'Policy Characteristics'!$C:$C,0)))</f>
        <v>% of fuel shifted</v>
      </c>
      <c r="P624" s="275" t="str">
        <f>IF(ISBLANK(INDEX('Policy Characteristics'!J:J,MATCH($C624,'Policy Characteristics'!$C:$C,0))),"",INDEX('Policy Characteristics'!J:J,MATCH($C624,'Policy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4" s="275" t="str">
        <f>IF(ISBLANK(INDEX('Policy Characteristics'!K:K,MATCH($C624,'Policy Characteristics'!$C:$C,0))),"",INDEX('Policy Characteristics'!K:K,MATCH($C624,'Policy Characteristics'!$C:$C,0)))</f>
        <v>industry-ag-main.html#fuel-switching</v>
      </c>
      <c r="R624" s="275" t="str">
        <f>IF(ISBLANK(INDEX('Policy Characteristics'!L:L,MATCH($C624,'Policy Characteristics'!$C:$C,0))),"",INDEX('Policy Characteristics'!L:L,MATCH($C624,'Policy Characteristics'!$C:$C,0)))</f>
        <v>industry-elec-and-hydrogen.html</v>
      </c>
    </row>
    <row r="625" spans="1:18" x14ac:dyDescent="0.25">
      <c r="A625" s="275" t="str">
        <f>IF(ISBLANK(INDEX('Policy Characteristics'!A:A,MATCH($C625,'Policy Characteristics'!$C:$C,0))),"",INDEX('Policy Characteristics'!A:A,MATCH($C625,'Policy Characteristics'!$C:$C,0)))</f>
        <v>Industry</v>
      </c>
      <c r="B625" s="284" t="str">
        <f>IF(ISBLANK(INDEX('Policy Characteristics'!B:B,MATCH($C625,'Policy Characteristics'!$C:$C,0))),"",INDEX('Policy Characteristics'!B:B,MATCH($C625,'Policy Characteristics'!$C:$C,0)))</f>
        <v>Electrification</v>
      </c>
      <c r="C625" s="275" t="str">
        <f t="shared" si="33"/>
        <v>Fraction of Eligible Industrial Energy Use Shifted to Electricity</v>
      </c>
      <c r="D625" s="6" t="s">
        <v>3077</v>
      </c>
      <c r="E625" s="1" t="s">
        <v>3549</v>
      </c>
      <c r="F625" t="s">
        <v>3041</v>
      </c>
      <c r="G625" s="47" t="s">
        <v>3556</v>
      </c>
      <c r="H625" s="44">
        <v>1892</v>
      </c>
      <c r="I625" s="346" t="s">
        <v>43</v>
      </c>
      <c r="J625" s="276" t="str">
        <f>IF(ISBLANK(INDEX('Policy Characteristics'!D:D,MATCH($C625,'Policy Characteristics'!$C:$C,0))),"",INDEX('Policy Characteristics'!D:D,MATCH($C625,'Policy Characteristics'!$C:$C,0)))</f>
        <v>Electrification</v>
      </c>
      <c r="K625" s="275" t="str">
        <f>IF(ISBLANK(INDEX('Policy Characteristics'!E:E,MATCH($C625,'Policy Characteristics'!$C:$C,0))),"",INDEX('Policy Characteristics'!E:E,MATCH($C625,'Policy Characteristics'!$C:$C,0)))</f>
        <v>indst shift to electricity</v>
      </c>
      <c r="L625" s="283">
        <f>IF(ISBLANK(INDEX('Policy Characteristics'!F:F,MATCH($C625,'Policy Characteristics'!$C:$C,0))),"",INDEX('Policy Characteristics'!F:F,MATCH($C625,'Policy Characteristics'!$C:$C,0)))</f>
        <v>0</v>
      </c>
      <c r="M625" s="283">
        <f>IF(ISBLANK(INDEX('Policy Characteristics'!G:G,MATCH($C625,'Policy Characteristics'!$C:$C,0))),"",INDEX('Policy Characteristics'!G:G,MATCH($C625,'Policy Characteristics'!$C:$C,0)))</f>
        <v>1</v>
      </c>
      <c r="N625" s="283">
        <f>IF(ISBLANK(INDEX('Policy Characteristics'!H:H,MATCH($C625,'Policy Characteristics'!$C:$C,0))),"",INDEX('Policy Characteristics'!H:H,MATCH($C625,'Policy Characteristics'!$C:$C,0)))</f>
        <v>0.01</v>
      </c>
      <c r="O625" s="275" t="str">
        <f>IF(ISBLANK(INDEX('Policy Characteristics'!I:I,MATCH($C625,'Policy Characteristics'!$C:$C,0))),"",INDEX('Policy Characteristics'!I:I,MATCH($C625,'Policy Characteristics'!$C:$C,0)))</f>
        <v>% of fuel shifted</v>
      </c>
      <c r="P625" s="275" t="str">
        <f>IF(ISBLANK(INDEX('Policy Characteristics'!J:J,MATCH($C625,'Policy Characteristics'!$C:$C,0))),"",INDEX('Policy Characteristics'!J:J,MATCH($C625,'Policy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5" s="275" t="str">
        <f>IF(ISBLANK(INDEX('Policy Characteristics'!K:K,MATCH($C625,'Policy Characteristics'!$C:$C,0))),"",INDEX('Policy Characteristics'!K:K,MATCH($C625,'Policy Characteristics'!$C:$C,0)))</f>
        <v>industry-ag-main.html#fuel-switching</v>
      </c>
      <c r="R625" s="275" t="str">
        <f>IF(ISBLANK(INDEX('Policy Characteristics'!L:L,MATCH($C625,'Policy Characteristics'!$C:$C,0))),"",INDEX('Policy Characteristics'!L:L,MATCH($C625,'Policy Characteristics'!$C:$C,0)))</f>
        <v>industry-elec-and-hydrogen.html</v>
      </c>
    </row>
    <row r="626" spans="1:18" x14ac:dyDescent="0.25">
      <c r="A626" s="275" t="str">
        <f>IF(ISBLANK(INDEX('Policy Characteristics'!A:A,MATCH($C626,'Policy Characteristics'!$C:$C,0))),"",INDEX('Policy Characteristics'!A:A,MATCH($C626,'Policy Characteristics'!$C:$C,0)))</f>
        <v>Industry</v>
      </c>
      <c r="B626" s="284" t="str">
        <f>IF(ISBLANK(INDEX('Policy Characteristics'!B:B,MATCH($C626,'Policy Characteristics'!$C:$C,0))),"",INDEX('Policy Characteristics'!B:B,MATCH($C626,'Policy Characteristics'!$C:$C,0)))</f>
        <v>Electrification</v>
      </c>
      <c r="C626" s="275" t="str">
        <f t="shared" si="33"/>
        <v>Fraction of Eligible Industrial Energy Use Shifted to Electricity</v>
      </c>
      <c r="D626" s="6" t="s">
        <v>3077</v>
      </c>
      <c r="E626" s="1" t="s">
        <v>3550</v>
      </c>
      <c r="F626" t="s">
        <v>3041</v>
      </c>
      <c r="G626" s="47" t="s">
        <v>3557</v>
      </c>
      <c r="H626" s="44">
        <v>1893</v>
      </c>
      <c r="I626" s="346" t="s">
        <v>43</v>
      </c>
      <c r="J626" s="276" t="str">
        <f>IF(ISBLANK(INDEX('Policy Characteristics'!D:D,MATCH($C626,'Policy Characteristics'!$C:$C,0))),"",INDEX('Policy Characteristics'!D:D,MATCH($C626,'Policy Characteristics'!$C:$C,0)))</f>
        <v>Electrification</v>
      </c>
      <c r="K626" s="275" t="str">
        <f>IF(ISBLANK(INDEX('Policy Characteristics'!E:E,MATCH($C626,'Policy Characteristics'!$C:$C,0))),"",INDEX('Policy Characteristics'!E:E,MATCH($C626,'Policy Characteristics'!$C:$C,0)))</f>
        <v>indst shift to electricity</v>
      </c>
      <c r="L626" s="283">
        <f>IF(ISBLANK(INDEX('Policy Characteristics'!F:F,MATCH($C626,'Policy Characteristics'!$C:$C,0))),"",INDEX('Policy Characteristics'!F:F,MATCH($C626,'Policy Characteristics'!$C:$C,0)))</f>
        <v>0</v>
      </c>
      <c r="M626" s="283">
        <f>IF(ISBLANK(INDEX('Policy Characteristics'!G:G,MATCH($C626,'Policy Characteristics'!$C:$C,0))),"",INDEX('Policy Characteristics'!G:G,MATCH($C626,'Policy Characteristics'!$C:$C,0)))</f>
        <v>1</v>
      </c>
      <c r="N626" s="283">
        <f>IF(ISBLANK(INDEX('Policy Characteristics'!H:H,MATCH($C626,'Policy Characteristics'!$C:$C,0))),"",INDEX('Policy Characteristics'!H:H,MATCH($C626,'Policy Characteristics'!$C:$C,0)))</f>
        <v>0.01</v>
      </c>
      <c r="O626" s="275" t="str">
        <f>IF(ISBLANK(INDEX('Policy Characteristics'!I:I,MATCH($C626,'Policy Characteristics'!$C:$C,0))),"",INDEX('Policy Characteristics'!I:I,MATCH($C626,'Policy Characteristics'!$C:$C,0)))</f>
        <v>% of fuel shifted</v>
      </c>
      <c r="P626" s="275" t="str">
        <f>IF(ISBLANK(INDEX('Policy Characteristics'!J:J,MATCH($C626,'Policy Characteristics'!$C:$C,0))),"",INDEX('Policy Characteristics'!J:J,MATCH($C626,'Policy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6" s="275" t="str">
        <f>IF(ISBLANK(INDEX('Policy Characteristics'!K:K,MATCH($C626,'Policy Characteristics'!$C:$C,0))),"",INDEX('Policy Characteristics'!K:K,MATCH($C626,'Policy Characteristics'!$C:$C,0)))</f>
        <v>industry-ag-main.html#fuel-switching</v>
      </c>
      <c r="R626" s="275" t="str">
        <f>IF(ISBLANK(INDEX('Policy Characteristics'!L:L,MATCH($C626,'Policy Characteristics'!$C:$C,0))),"",INDEX('Policy Characteristics'!L:L,MATCH($C626,'Policy Characteristics'!$C:$C,0)))</f>
        <v>industry-elec-and-hydrogen.html</v>
      </c>
    </row>
    <row r="627" spans="1:18" x14ac:dyDescent="0.25">
      <c r="A627" s="275" t="str">
        <f>IF(ISBLANK(INDEX('Policy Characteristics'!A:A,MATCH($C627,'Policy Characteristics'!$C:$C,0))),"",INDEX('Policy Characteristics'!A:A,MATCH($C627,'Policy Characteristics'!$C:$C,0)))</f>
        <v>Industry</v>
      </c>
      <c r="B627" s="284" t="str">
        <f>IF(ISBLANK(INDEX('Policy Characteristics'!B:B,MATCH($C627,'Policy Characteristics'!$C:$C,0))),"",INDEX('Policy Characteristics'!B:B,MATCH($C627,'Policy Characteristics'!$C:$C,0)))</f>
        <v>Electrification</v>
      </c>
      <c r="C627" s="275" t="str">
        <f t="shared" si="33"/>
        <v>Fraction of Eligible Industrial Energy Use Shifted to Electricity</v>
      </c>
      <c r="D627" s="6" t="s">
        <v>3077</v>
      </c>
      <c r="E627" s="1" t="s">
        <v>3551</v>
      </c>
      <c r="F627" t="s">
        <v>3041</v>
      </c>
      <c r="G627" s="47" t="s">
        <v>3558</v>
      </c>
      <c r="H627" s="44">
        <v>1894</v>
      </c>
      <c r="I627" s="346" t="s">
        <v>44</v>
      </c>
      <c r="J627" s="276" t="str">
        <f>IF(ISBLANK(INDEX('Policy Characteristics'!D:D,MATCH($C627,'Policy Characteristics'!$C:$C,0))),"",INDEX('Policy Characteristics'!D:D,MATCH($C627,'Policy Characteristics'!$C:$C,0)))</f>
        <v>Electrification</v>
      </c>
      <c r="K627" s="275" t="str">
        <f>IF(ISBLANK(INDEX('Policy Characteristics'!E:E,MATCH($C627,'Policy Characteristics'!$C:$C,0))),"",INDEX('Policy Characteristics'!E:E,MATCH($C627,'Policy Characteristics'!$C:$C,0)))</f>
        <v>indst shift to electricity</v>
      </c>
      <c r="L627" s="283">
        <f>IF(ISBLANK(INDEX('Policy Characteristics'!F:F,MATCH($C627,'Policy Characteristics'!$C:$C,0))),"",INDEX('Policy Characteristics'!F:F,MATCH($C627,'Policy Characteristics'!$C:$C,0)))</f>
        <v>0</v>
      </c>
      <c r="M627" s="283">
        <f>IF(ISBLANK(INDEX('Policy Characteristics'!G:G,MATCH($C627,'Policy Characteristics'!$C:$C,0))),"",INDEX('Policy Characteristics'!G:G,MATCH($C627,'Policy Characteristics'!$C:$C,0)))</f>
        <v>1</v>
      </c>
      <c r="N627" s="283">
        <f>IF(ISBLANK(INDEX('Policy Characteristics'!H:H,MATCH($C627,'Policy Characteristics'!$C:$C,0))),"",INDEX('Policy Characteristics'!H:H,MATCH($C627,'Policy Characteristics'!$C:$C,0)))</f>
        <v>0.01</v>
      </c>
      <c r="O627" s="275" t="str">
        <f>IF(ISBLANK(INDEX('Policy Characteristics'!I:I,MATCH($C627,'Policy Characteristics'!$C:$C,0))),"",INDEX('Policy Characteristics'!I:I,MATCH($C627,'Policy Characteristics'!$C:$C,0)))</f>
        <v>% of fuel shifted</v>
      </c>
      <c r="P627" s="275" t="str">
        <f>IF(ISBLANK(INDEX('Policy Characteristics'!J:J,MATCH($C627,'Policy Characteristics'!$C:$C,0))),"",INDEX('Policy Characteristics'!J:J,MATCH($C627,'Policy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7" s="275" t="str">
        <f>IF(ISBLANK(INDEX('Policy Characteristics'!K:K,MATCH($C627,'Policy Characteristics'!$C:$C,0))),"",INDEX('Policy Characteristics'!K:K,MATCH($C627,'Policy Characteristics'!$C:$C,0)))</f>
        <v>industry-ag-main.html#fuel-switching</v>
      </c>
      <c r="R627" s="275" t="str">
        <f>IF(ISBLANK(INDEX('Policy Characteristics'!L:L,MATCH($C627,'Policy Characteristics'!$C:$C,0))),"",INDEX('Policy Characteristics'!L:L,MATCH($C627,'Policy Characteristics'!$C:$C,0)))</f>
        <v>industry-elec-and-hydrogen.html</v>
      </c>
    </row>
    <row r="628" spans="1:18" x14ac:dyDescent="0.25">
      <c r="A628" s="275" t="str">
        <f>IF(ISBLANK(INDEX('Policy Characteristics'!A:A,MATCH($C628,'Policy Characteristics'!$C:$C,0))),"",INDEX('Policy Characteristics'!A:A,MATCH($C628,'Policy Characteristics'!$C:$C,0)))</f>
        <v>Industry</v>
      </c>
      <c r="B628" s="284" t="str">
        <f>IF(ISBLANK(INDEX('Policy Characteristics'!B:B,MATCH($C628,'Policy Characteristics'!$C:$C,0))),"",INDEX('Policy Characteristics'!B:B,MATCH($C628,'Policy Characteristics'!$C:$C,0)))</f>
        <v>Electrification</v>
      </c>
      <c r="C628" s="275" t="str">
        <f t="shared" si="33"/>
        <v>Fraction of Eligible Industrial Energy Use Shifted to Electricity</v>
      </c>
      <c r="D628" s="6" t="s">
        <v>3077</v>
      </c>
      <c r="E628" s="1" t="s">
        <v>3552</v>
      </c>
      <c r="F628" t="s">
        <v>3041</v>
      </c>
      <c r="G628" s="47" t="s">
        <v>3559</v>
      </c>
      <c r="H628" s="44">
        <v>1895</v>
      </c>
      <c r="I628" s="346" t="s">
        <v>43</v>
      </c>
      <c r="J628" s="276" t="str">
        <f>IF(ISBLANK(INDEX('Policy Characteristics'!D:D,MATCH($C628,'Policy Characteristics'!$C:$C,0))),"",INDEX('Policy Characteristics'!D:D,MATCH($C628,'Policy Characteristics'!$C:$C,0)))</f>
        <v>Electrification</v>
      </c>
      <c r="K628" s="275" t="str">
        <f>IF(ISBLANK(INDEX('Policy Characteristics'!E:E,MATCH($C628,'Policy Characteristics'!$C:$C,0))),"",INDEX('Policy Characteristics'!E:E,MATCH($C628,'Policy Characteristics'!$C:$C,0)))</f>
        <v>indst shift to electricity</v>
      </c>
      <c r="L628" s="283">
        <f>IF(ISBLANK(INDEX('Policy Characteristics'!F:F,MATCH($C628,'Policy Characteristics'!$C:$C,0))),"",INDEX('Policy Characteristics'!F:F,MATCH($C628,'Policy Characteristics'!$C:$C,0)))</f>
        <v>0</v>
      </c>
      <c r="M628" s="283">
        <f>IF(ISBLANK(INDEX('Policy Characteristics'!G:G,MATCH($C628,'Policy Characteristics'!$C:$C,0))),"",INDEX('Policy Characteristics'!G:G,MATCH($C628,'Policy Characteristics'!$C:$C,0)))</f>
        <v>1</v>
      </c>
      <c r="N628" s="283">
        <f>IF(ISBLANK(INDEX('Policy Characteristics'!H:H,MATCH($C628,'Policy Characteristics'!$C:$C,0))),"",INDEX('Policy Characteristics'!H:H,MATCH($C628,'Policy Characteristics'!$C:$C,0)))</f>
        <v>0.01</v>
      </c>
      <c r="O628" s="275" t="str">
        <f>IF(ISBLANK(INDEX('Policy Characteristics'!I:I,MATCH($C628,'Policy Characteristics'!$C:$C,0))),"",INDEX('Policy Characteristics'!I:I,MATCH($C628,'Policy Characteristics'!$C:$C,0)))</f>
        <v>% of fuel shifted</v>
      </c>
      <c r="P628" s="275" t="str">
        <f>IF(ISBLANK(INDEX('Policy Characteristics'!J:J,MATCH($C628,'Policy Characteristics'!$C:$C,0))),"",INDEX('Policy Characteristics'!J:J,MATCH($C628,'Policy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8" s="275" t="str">
        <f>IF(ISBLANK(INDEX('Policy Characteristics'!K:K,MATCH($C628,'Policy Characteristics'!$C:$C,0))),"",INDEX('Policy Characteristics'!K:K,MATCH($C628,'Policy Characteristics'!$C:$C,0)))</f>
        <v>industry-ag-main.html#fuel-switching</v>
      </c>
      <c r="R628" s="275" t="str">
        <f>IF(ISBLANK(INDEX('Policy Characteristics'!L:L,MATCH($C628,'Policy Characteristics'!$C:$C,0))),"",INDEX('Policy Characteristics'!L:L,MATCH($C628,'Policy Characteristics'!$C:$C,0)))</f>
        <v>industry-elec-and-hydrogen.html</v>
      </c>
    </row>
    <row r="629" spans="1:18" x14ac:dyDescent="0.25">
      <c r="A629" s="275" t="str">
        <f>IF(ISBLANK(INDEX('Policy Characteristics'!A:A,MATCH($C629,'Policy Characteristics'!$C:$C,0))),"",INDEX('Policy Characteristics'!A:A,MATCH($C629,'Policy Characteristics'!$C:$C,0)))</f>
        <v>Industry</v>
      </c>
      <c r="B629" s="284" t="str">
        <f>IF(ISBLANK(INDEX('Policy Characteristics'!B:B,MATCH($C629,'Policy Characteristics'!$C:$C,0))),"",INDEX('Policy Characteristics'!B:B,MATCH($C629,'Policy Characteristics'!$C:$C,0)))</f>
        <v>Electrification</v>
      </c>
      <c r="C629" s="275" t="str">
        <f t="shared" si="33"/>
        <v>Fraction of Eligible Industrial Energy Use Shifted to Electricity</v>
      </c>
      <c r="D629" s="6" t="s">
        <v>3077</v>
      </c>
      <c r="E629" s="1" t="s">
        <v>3553</v>
      </c>
      <c r="F629" t="s">
        <v>3041</v>
      </c>
      <c r="G629" s="47" t="s">
        <v>3560</v>
      </c>
      <c r="H629" s="44">
        <v>1896</v>
      </c>
      <c r="I629" s="346" t="s">
        <v>44</v>
      </c>
      <c r="J629" s="276" t="str">
        <f>IF(ISBLANK(INDEX('Policy Characteristics'!D:D,MATCH($C629,'Policy Characteristics'!$C:$C,0))),"",INDEX('Policy Characteristics'!D:D,MATCH($C629,'Policy Characteristics'!$C:$C,0)))</f>
        <v>Electrification</v>
      </c>
      <c r="K629" s="275" t="str">
        <f>IF(ISBLANK(INDEX('Policy Characteristics'!E:E,MATCH($C629,'Policy Characteristics'!$C:$C,0))),"",INDEX('Policy Characteristics'!E:E,MATCH($C629,'Policy Characteristics'!$C:$C,0)))</f>
        <v>indst shift to electricity</v>
      </c>
      <c r="L629" s="283">
        <f>IF(ISBLANK(INDEX('Policy Characteristics'!F:F,MATCH($C629,'Policy Characteristics'!$C:$C,0))),"",INDEX('Policy Characteristics'!F:F,MATCH($C629,'Policy Characteristics'!$C:$C,0)))</f>
        <v>0</v>
      </c>
      <c r="M629" s="283">
        <f>IF(ISBLANK(INDEX('Policy Characteristics'!G:G,MATCH($C629,'Policy Characteristics'!$C:$C,0))),"",INDEX('Policy Characteristics'!G:G,MATCH($C629,'Policy Characteristics'!$C:$C,0)))</f>
        <v>1</v>
      </c>
      <c r="N629" s="283">
        <f>IF(ISBLANK(INDEX('Policy Characteristics'!H:H,MATCH($C629,'Policy Characteristics'!$C:$C,0))),"",INDEX('Policy Characteristics'!H:H,MATCH($C629,'Policy Characteristics'!$C:$C,0)))</f>
        <v>0.01</v>
      </c>
      <c r="O629" s="275" t="str">
        <f>IF(ISBLANK(INDEX('Policy Characteristics'!I:I,MATCH($C629,'Policy Characteristics'!$C:$C,0))),"",INDEX('Policy Characteristics'!I:I,MATCH($C629,'Policy Characteristics'!$C:$C,0)))</f>
        <v>% of fuel shifted</v>
      </c>
      <c r="P629" s="275" t="str">
        <f>IF(ISBLANK(INDEX('Policy Characteristics'!J:J,MATCH($C629,'Policy Characteristics'!$C:$C,0))),"",INDEX('Policy Characteristics'!J:J,MATCH($C629,'Policy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9" s="275" t="str">
        <f>IF(ISBLANK(INDEX('Policy Characteristics'!K:K,MATCH($C629,'Policy Characteristics'!$C:$C,0))),"",INDEX('Policy Characteristics'!K:K,MATCH($C629,'Policy Characteristics'!$C:$C,0)))</f>
        <v>industry-ag-main.html#fuel-switching</v>
      </c>
      <c r="R629" s="275" t="str">
        <f>IF(ISBLANK(INDEX('Policy Characteristics'!L:L,MATCH($C629,'Policy Characteristics'!$C:$C,0))),"",INDEX('Policy Characteristics'!L:L,MATCH($C629,'Policy Characteristics'!$C:$C,0)))</f>
        <v>industry-elec-and-hydrogen.html</v>
      </c>
    </row>
    <row r="630" spans="1:18" x14ac:dyDescent="0.25">
      <c r="A630" s="275" t="str">
        <f>IF(ISBLANK(INDEX('Policy Characteristics'!A:A,MATCH($C630,'Policy Characteristics'!$C:$C,0))),"",INDEX('Policy Characteristics'!A:A,MATCH($C630,'Policy Characteristics'!$C:$C,0)))</f>
        <v>Industry</v>
      </c>
      <c r="B630" s="284" t="str">
        <f>IF(ISBLANK(INDEX('Policy Characteristics'!B:B,MATCH($C630,'Policy Characteristics'!$C:$C,0))),"",INDEX('Policy Characteristics'!B:B,MATCH($C630,'Policy Characteristics'!$C:$C,0)))</f>
        <v>Electrification</v>
      </c>
      <c r="C630" s="275" t="str">
        <f t="shared" si="33"/>
        <v>Fraction of Eligible Industrial Energy Use Shifted to Electricity</v>
      </c>
      <c r="D630" s="6" t="s">
        <v>3077</v>
      </c>
      <c r="E630" s="1" t="s">
        <v>3737</v>
      </c>
      <c r="F630" t="s">
        <v>3041</v>
      </c>
      <c r="G630" s="47" t="s">
        <v>3738</v>
      </c>
      <c r="H630" s="44">
        <v>1897</v>
      </c>
      <c r="I630" s="346" t="s">
        <v>43</v>
      </c>
      <c r="J630" s="276" t="str">
        <f>IF(ISBLANK(INDEX('Policy Characteristics'!D:D,MATCH($C630,'Policy Characteristics'!$C:$C,0))),"",INDEX('Policy Characteristics'!D:D,MATCH($C630,'Policy Characteristics'!$C:$C,0)))</f>
        <v>Electrification</v>
      </c>
      <c r="K630" s="275" t="str">
        <f>IF(ISBLANK(INDEX('Policy Characteristics'!E:E,MATCH($C630,'Policy Characteristics'!$C:$C,0))),"",INDEX('Policy Characteristics'!E:E,MATCH($C630,'Policy Characteristics'!$C:$C,0)))</f>
        <v>indst shift to electricity</v>
      </c>
      <c r="L630" s="283">
        <f>IF(ISBLANK(INDEX('Policy Characteristics'!F:F,MATCH($C630,'Policy Characteristics'!$C:$C,0))),"",INDEX('Policy Characteristics'!F:F,MATCH($C630,'Policy Characteristics'!$C:$C,0)))</f>
        <v>0</v>
      </c>
      <c r="M630" s="283">
        <f>IF(ISBLANK(INDEX('Policy Characteristics'!G:G,MATCH($C630,'Policy Characteristics'!$C:$C,0))),"",INDEX('Policy Characteristics'!G:G,MATCH($C630,'Policy Characteristics'!$C:$C,0)))</f>
        <v>1</v>
      </c>
      <c r="N630" s="283">
        <f>IF(ISBLANK(INDEX('Policy Characteristics'!H:H,MATCH($C630,'Policy Characteristics'!$C:$C,0))),"",INDEX('Policy Characteristics'!H:H,MATCH($C630,'Policy Characteristics'!$C:$C,0)))</f>
        <v>0.01</v>
      </c>
      <c r="O630" s="275" t="str">
        <f>IF(ISBLANK(INDEX('Policy Characteristics'!I:I,MATCH($C630,'Policy Characteristics'!$C:$C,0))),"",INDEX('Policy Characteristics'!I:I,MATCH($C630,'Policy Characteristics'!$C:$C,0)))</f>
        <v>% of fuel shifted</v>
      </c>
      <c r="P630" s="275"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275" t="str">
        <f>IF(ISBLANK(INDEX('Policy Characteristics'!K:K,MATCH($C630,'Policy Characteristics'!$C:$C,0))),"",INDEX('Policy Characteristics'!K:K,MATCH($C630,'Policy Characteristics'!$C:$C,0)))</f>
        <v>industry-ag-main.html#fuel-switching</v>
      </c>
      <c r="R630" s="275" t="str">
        <f>IF(ISBLANK(INDEX('Policy Characteristics'!L:L,MATCH($C630,'Policy Characteristics'!$C:$C,0))),"",INDEX('Policy Characteristics'!L:L,MATCH($C630,'Policy Characteristics'!$C:$C,0)))</f>
        <v>industry-elec-and-hydrogen.html</v>
      </c>
    </row>
    <row r="631" spans="1:18" x14ac:dyDescent="0.25">
      <c r="A631" s="275" t="str">
        <f>IF(ISBLANK(INDEX('Policy Characteristics'!A:A,MATCH($C631,'Policy Characteristics'!$C:$C,0))),"",INDEX('Policy Characteristics'!A:A,MATCH($C631,'Policy Characteristics'!$C:$C,0)))</f>
        <v>Industry</v>
      </c>
      <c r="B631" s="284" t="str">
        <f>IF(ISBLANK(INDEX('Policy Characteristics'!B:B,MATCH($C631,'Policy Characteristics'!$C:$C,0))),"",INDEX('Policy Characteristics'!B:B,MATCH($C631,'Policy Characteristics'!$C:$C,0)))</f>
        <v>Electrification</v>
      </c>
      <c r="C631" s="275" t="str">
        <f t="shared" si="33"/>
        <v>Fraction of Eligible Industrial Energy Use Shifted to Electricity</v>
      </c>
      <c r="D631" s="6" t="s">
        <v>3078</v>
      </c>
      <c r="E631" s="1" t="s">
        <v>3547</v>
      </c>
      <c r="F631" t="s">
        <v>3042</v>
      </c>
      <c r="G631" s="47" t="s">
        <v>3554</v>
      </c>
      <c r="H631" s="44">
        <v>1898</v>
      </c>
      <c r="I631" s="346" t="s">
        <v>43</v>
      </c>
      <c r="J631" s="276" t="str">
        <f>IF(ISBLANK(INDEX('Policy Characteristics'!D:D,MATCH($C631,'Policy Characteristics'!$C:$C,0))),"",INDEX('Policy Characteristics'!D:D,MATCH($C631,'Policy Characteristics'!$C:$C,0)))</f>
        <v>Electrification</v>
      </c>
      <c r="K631" s="275" t="str">
        <f>IF(ISBLANK(INDEX('Policy Characteristics'!E:E,MATCH($C631,'Policy Characteristics'!$C:$C,0))),"",INDEX('Policy Characteristics'!E:E,MATCH($C631,'Policy Characteristics'!$C:$C,0)))</f>
        <v>indst shift to electricity</v>
      </c>
      <c r="L631" s="283">
        <f>IF(ISBLANK(INDEX('Policy Characteristics'!F:F,MATCH($C631,'Policy Characteristics'!$C:$C,0))),"",INDEX('Policy Characteristics'!F:F,MATCH($C631,'Policy Characteristics'!$C:$C,0)))</f>
        <v>0</v>
      </c>
      <c r="M631" s="283">
        <f>IF(ISBLANK(INDEX('Policy Characteristics'!G:G,MATCH($C631,'Policy Characteristics'!$C:$C,0))),"",INDEX('Policy Characteristics'!G:G,MATCH($C631,'Policy Characteristics'!$C:$C,0)))</f>
        <v>1</v>
      </c>
      <c r="N631" s="283">
        <f>IF(ISBLANK(INDEX('Policy Characteristics'!H:H,MATCH($C631,'Policy Characteristics'!$C:$C,0))),"",INDEX('Policy Characteristics'!H:H,MATCH($C631,'Policy Characteristics'!$C:$C,0)))</f>
        <v>0.01</v>
      </c>
      <c r="O631" s="275" t="str">
        <f>IF(ISBLANK(INDEX('Policy Characteristics'!I:I,MATCH($C631,'Policy Characteristics'!$C:$C,0))),"",INDEX('Policy Characteristics'!I:I,MATCH($C631,'Policy Characteristics'!$C:$C,0)))</f>
        <v>% of fuel shifted</v>
      </c>
      <c r="P631" s="275"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275" t="str">
        <f>IF(ISBLANK(INDEX('Policy Characteristics'!K:K,MATCH($C631,'Policy Characteristics'!$C:$C,0))),"",INDEX('Policy Characteristics'!K:K,MATCH($C631,'Policy Characteristics'!$C:$C,0)))</f>
        <v>industry-ag-main.html#fuel-switching</v>
      </c>
      <c r="R631" s="275" t="str">
        <f>IF(ISBLANK(INDEX('Policy Characteristics'!L:L,MATCH($C631,'Policy Characteristics'!$C:$C,0))),"",INDEX('Policy Characteristics'!L:L,MATCH($C631,'Policy Characteristics'!$C:$C,0)))</f>
        <v>industry-elec-and-hydrogen.html</v>
      </c>
    </row>
    <row r="632" spans="1:18" x14ac:dyDescent="0.25">
      <c r="A632" s="275" t="str">
        <f>IF(ISBLANK(INDEX('Policy Characteristics'!A:A,MATCH($C632,'Policy Characteristics'!$C:$C,0))),"",INDEX('Policy Characteristics'!A:A,MATCH($C632,'Policy Characteristics'!$C:$C,0)))</f>
        <v>Industry</v>
      </c>
      <c r="B632" s="284" t="str">
        <f>IF(ISBLANK(INDEX('Policy Characteristics'!B:B,MATCH($C632,'Policy Characteristics'!$C:$C,0))),"",INDEX('Policy Characteristics'!B:B,MATCH($C632,'Policy Characteristics'!$C:$C,0)))</f>
        <v>Electrification</v>
      </c>
      <c r="C632" s="275" t="str">
        <f t="shared" ref="C632:C683" si="34">C$567</f>
        <v>Fraction of Eligible Industrial Energy Use Shifted to Electricity</v>
      </c>
      <c r="D632" s="6" t="s">
        <v>3078</v>
      </c>
      <c r="E632" s="1" t="s">
        <v>3548</v>
      </c>
      <c r="F632" t="s">
        <v>3042</v>
      </c>
      <c r="G632" s="47" t="s">
        <v>3555</v>
      </c>
      <c r="H632" s="44">
        <v>1899</v>
      </c>
      <c r="I632" s="346" t="s">
        <v>43</v>
      </c>
      <c r="J632" s="276" t="str">
        <f>IF(ISBLANK(INDEX('Policy Characteristics'!D:D,MATCH($C632,'Policy Characteristics'!$C:$C,0))),"",INDEX('Policy Characteristics'!D:D,MATCH($C632,'Policy Characteristics'!$C:$C,0)))</f>
        <v>Electrification</v>
      </c>
      <c r="K632" s="275" t="str">
        <f>IF(ISBLANK(INDEX('Policy Characteristics'!E:E,MATCH($C632,'Policy Characteristics'!$C:$C,0))),"",INDEX('Policy Characteristics'!E:E,MATCH($C632,'Policy Characteristics'!$C:$C,0)))</f>
        <v>indst shift to electricity</v>
      </c>
      <c r="L632" s="283">
        <f>IF(ISBLANK(INDEX('Policy Characteristics'!F:F,MATCH($C632,'Policy Characteristics'!$C:$C,0))),"",INDEX('Policy Characteristics'!F:F,MATCH($C632,'Policy Characteristics'!$C:$C,0)))</f>
        <v>0</v>
      </c>
      <c r="M632" s="283">
        <f>IF(ISBLANK(INDEX('Policy Characteristics'!G:G,MATCH($C632,'Policy Characteristics'!$C:$C,0))),"",INDEX('Policy Characteristics'!G:G,MATCH($C632,'Policy Characteristics'!$C:$C,0)))</f>
        <v>1</v>
      </c>
      <c r="N632" s="283">
        <f>IF(ISBLANK(INDEX('Policy Characteristics'!H:H,MATCH($C632,'Policy Characteristics'!$C:$C,0))),"",INDEX('Policy Characteristics'!H:H,MATCH($C632,'Policy Characteristics'!$C:$C,0)))</f>
        <v>0.01</v>
      </c>
      <c r="O632" s="275" t="str">
        <f>IF(ISBLANK(INDEX('Policy Characteristics'!I:I,MATCH($C632,'Policy Characteristics'!$C:$C,0))),"",INDEX('Policy Characteristics'!I:I,MATCH($C632,'Policy Characteristics'!$C:$C,0)))</f>
        <v>% of fuel shifted</v>
      </c>
      <c r="P632" s="275"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275" t="str">
        <f>IF(ISBLANK(INDEX('Policy Characteristics'!K:K,MATCH($C632,'Policy Characteristics'!$C:$C,0))),"",INDEX('Policy Characteristics'!K:K,MATCH($C632,'Policy Characteristics'!$C:$C,0)))</f>
        <v>industry-ag-main.html#fuel-switching</v>
      </c>
      <c r="R632" s="275" t="str">
        <f>IF(ISBLANK(INDEX('Policy Characteristics'!L:L,MATCH($C632,'Policy Characteristics'!$C:$C,0))),"",INDEX('Policy Characteristics'!L:L,MATCH($C632,'Policy Characteristics'!$C:$C,0)))</f>
        <v>industry-elec-and-hydrogen.html</v>
      </c>
    </row>
    <row r="633" spans="1:18" x14ac:dyDescent="0.25">
      <c r="A633" s="275" t="str">
        <f>IF(ISBLANK(INDEX('Policy Characteristics'!A:A,MATCH($C633,'Policy Characteristics'!$C:$C,0))),"",INDEX('Policy Characteristics'!A:A,MATCH($C633,'Policy Characteristics'!$C:$C,0)))</f>
        <v>Industry</v>
      </c>
      <c r="B633" s="284" t="str">
        <f>IF(ISBLANK(INDEX('Policy Characteristics'!B:B,MATCH($C633,'Policy Characteristics'!$C:$C,0))),"",INDEX('Policy Characteristics'!B:B,MATCH($C633,'Policy Characteristics'!$C:$C,0)))</f>
        <v>Electrification</v>
      </c>
      <c r="C633" s="275" t="str">
        <f t="shared" si="34"/>
        <v>Fraction of Eligible Industrial Energy Use Shifted to Electricity</v>
      </c>
      <c r="D633" s="6" t="s">
        <v>3078</v>
      </c>
      <c r="E633" s="1" t="s">
        <v>3549</v>
      </c>
      <c r="F633" t="s">
        <v>3042</v>
      </c>
      <c r="G633" s="47" t="s">
        <v>3556</v>
      </c>
      <c r="H633" s="44">
        <v>1900</v>
      </c>
      <c r="I633" s="346" t="s">
        <v>43</v>
      </c>
      <c r="J633" s="276" t="str">
        <f>IF(ISBLANK(INDEX('Policy Characteristics'!D:D,MATCH($C633,'Policy Characteristics'!$C:$C,0))),"",INDEX('Policy Characteristics'!D:D,MATCH($C633,'Policy Characteristics'!$C:$C,0)))</f>
        <v>Electrification</v>
      </c>
      <c r="K633" s="275" t="str">
        <f>IF(ISBLANK(INDEX('Policy Characteristics'!E:E,MATCH($C633,'Policy Characteristics'!$C:$C,0))),"",INDEX('Policy Characteristics'!E:E,MATCH($C633,'Policy Characteristics'!$C:$C,0)))</f>
        <v>indst shift to electricity</v>
      </c>
      <c r="L633" s="283">
        <f>IF(ISBLANK(INDEX('Policy Characteristics'!F:F,MATCH($C633,'Policy Characteristics'!$C:$C,0))),"",INDEX('Policy Characteristics'!F:F,MATCH($C633,'Policy Characteristics'!$C:$C,0)))</f>
        <v>0</v>
      </c>
      <c r="M633" s="283">
        <f>IF(ISBLANK(INDEX('Policy Characteristics'!G:G,MATCH($C633,'Policy Characteristics'!$C:$C,0))),"",INDEX('Policy Characteristics'!G:G,MATCH($C633,'Policy Characteristics'!$C:$C,0)))</f>
        <v>1</v>
      </c>
      <c r="N633" s="283">
        <f>IF(ISBLANK(INDEX('Policy Characteristics'!H:H,MATCH($C633,'Policy Characteristics'!$C:$C,0))),"",INDEX('Policy Characteristics'!H:H,MATCH($C633,'Policy Characteristics'!$C:$C,0)))</f>
        <v>0.01</v>
      </c>
      <c r="O633" s="275" t="str">
        <f>IF(ISBLANK(INDEX('Policy Characteristics'!I:I,MATCH($C633,'Policy Characteristics'!$C:$C,0))),"",INDEX('Policy Characteristics'!I:I,MATCH($C633,'Policy Characteristics'!$C:$C,0)))</f>
        <v>% of fuel shifted</v>
      </c>
      <c r="P633" s="275"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275" t="str">
        <f>IF(ISBLANK(INDEX('Policy Characteristics'!K:K,MATCH($C633,'Policy Characteristics'!$C:$C,0))),"",INDEX('Policy Characteristics'!K:K,MATCH($C633,'Policy Characteristics'!$C:$C,0)))</f>
        <v>industry-ag-main.html#fuel-switching</v>
      </c>
      <c r="R633" s="275" t="str">
        <f>IF(ISBLANK(INDEX('Policy Characteristics'!L:L,MATCH($C633,'Policy Characteristics'!$C:$C,0))),"",INDEX('Policy Characteristics'!L:L,MATCH($C633,'Policy Characteristics'!$C:$C,0)))</f>
        <v>industry-elec-and-hydrogen.html</v>
      </c>
    </row>
    <row r="634" spans="1:18" x14ac:dyDescent="0.25">
      <c r="A634" s="275" t="str">
        <f>IF(ISBLANK(INDEX('Policy Characteristics'!A:A,MATCH($C634,'Policy Characteristics'!$C:$C,0))),"",INDEX('Policy Characteristics'!A:A,MATCH($C634,'Policy Characteristics'!$C:$C,0)))</f>
        <v>Industry</v>
      </c>
      <c r="B634" s="284" t="str">
        <f>IF(ISBLANK(INDEX('Policy Characteristics'!B:B,MATCH($C634,'Policy Characteristics'!$C:$C,0))),"",INDEX('Policy Characteristics'!B:B,MATCH($C634,'Policy Characteristics'!$C:$C,0)))</f>
        <v>Electrification</v>
      </c>
      <c r="C634" s="275" t="str">
        <f t="shared" si="34"/>
        <v>Fraction of Eligible Industrial Energy Use Shifted to Electricity</v>
      </c>
      <c r="D634" s="6" t="s">
        <v>3078</v>
      </c>
      <c r="E634" s="1" t="s">
        <v>3550</v>
      </c>
      <c r="F634" t="s">
        <v>3042</v>
      </c>
      <c r="G634" s="47" t="s">
        <v>3557</v>
      </c>
      <c r="H634" s="44">
        <v>1901</v>
      </c>
      <c r="I634" s="346" t="s">
        <v>43</v>
      </c>
      <c r="J634" s="276" t="str">
        <f>IF(ISBLANK(INDEX('Policy Characteristics'!D:D,MATCH($C634,'Policy Characteristics'!$C:$C,0))),"",INDEX('Policy Characteristics'!D:D,MATCH($C634,'Policy Characteristics'!$C:$C,0)))</f>
        <v>Electrification</v>
      </c>
      <c r="K634" s="275" t="str">
        <f>IF(ISBLANK(INDEX('Policy Characteristics'!E:E,MATCH($C634,'Policy Characteristics'!$C:$C,0))),"",INDEX('Policy Characteristics'!E:E,MATCH($C634,'Policy Characteristics'!$C:$C,0)))</f>
        <v>indst shift to electricity</v>
      </c>
      <c r="L634" s="283">
        <f>IF(ISBLANK(INDEX('Policy Characteristics'!F:F,MATCH($C634,'Policy Characteristics'!$C:$C,0))),"",INDEX('Policy Characteristics'!F:F,MATCH($C634,'Policy Characteristics'!$C:$C,0)))</f>
        <v>0</v>
      </c>
      <c r="M634" s="283">
        <f>IF(ISBLANK(INDEX('Policy Characteristics'!G:G,MATCH($C634,'Policy Characteristics'!$C:$C,0))),"",INDEX('Policy Characteristics'!G:G,MATCH($C634,'Policy Characteristics'!$C:$C,0)))</f>
        <v>1</v>
      </c>
      <c r="N634" s="283">
        <f>IF(ISBLANK(INDEX('Policy Characteristics'!H:H,MATCH($C634,'Policy Characteristics'!$C:$C,0))),"",INDEX('Policy Characteristics'!H:H,MATCH($C634,'Policy Characteristics'!$C:$C,0)))</f>
        <v>0.01</v>
      </c>
      <c r="O634" s="275" t="str">
        <f>IF(ISBLANK(INDEX('Policy Characteristics'!I:I,MATCH($C634,'Policy Characteristics'!$C:$C,0))),"",INDEX('Policy Characteristics'!I:I,MATCH($C634,'Policy Characteristics'!$C:$C,0)))</f>
        <v>% of fuel shifted</v>
      </c>
      <c r="P634" s="275"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275" t="str">
        <f>IF(ISBLANK(INDEX('Policy Characteristics'!K:K,MATCH($C634,'Policy Characteristics'!$C:$C,0))),"",INDEX('Policy Characteristics'!K:K,MATCH($C634,'Policy Characteristics'!$C:$C,0)))</f>
        <v>industry-ag-main.html#fuel-switching</v>
      </c>
      <c r="R634" s="275" t="str">
        <f>IF(ISBLANK(INDEX('Policy Characteristics'!L:L,MATCH($C634,'Policy Characteristics'!$C:$C,0))),"",INDEX('Policy Characteristics'!L:L,MATCH($C634,'Policy Characteristics'!$C:$C,0)))</f>
        <v>industry-elec-and-hydrogen.html</v>
      </c>
    </row>
    <row r="635" spans="1:18" x14ac:dyDescent="0.25">
      <c r="A635" s="275" t="str">
        <f>IF(ISBLANK(INDEX('Policy Characteristics'!A:A,MATCH($C635,'Policy Characteristics'!$C:$C,0))),"",INDEX('Policy Characteristics'!A:A,MATCH($C635,'Policy Characteristics'!$C:$C,0)))</f>
        <v>Industry</v>
      </c>
      <c r="B635" s="284" t="str">
        <f>IF(ISBLANK(INDEX('Policy Characteristics'!B:B,MATCH($C635,'Policy Characteristics'!$C:$C,0))),"",INDEX('Policy Characteristics'!B:B,MATCH($C635,'Policy Characteristics'!$C:$C,0)))</f>
        <v>Electrification</v>
      </c>
      <c r="C635" s="275" t="str">
        <f t="shared" si="34"/>
        <v>Fraction of Eligible Industrial Energy Use Shifted to Electricity</v>
      </c>
      <c r="D635" s="6" t="s">
        <v>3078</v>
      </c>
      <c r="E635" s="1" t="s">
        <v>3551</v>
      </c>
      <c r="F635" t="s">
        <v>3042</v>
      </c>
      <c r="G635" s="47" t="s">
        <v>3558</v>
      </c>
      <c r="H635" s="44">
        <v>1902</v>
      </c>
      <c r="I635" s="346" t="s">
        <v>43</v>
      </c>
      <c r="J635" s="276" t="str">
        <f>IF(ISBLANK(INDEX('Policy Characteristics'!D:D,MATCH($C635,'Policy Characteristics'!$C:$C,0))),"",INDEX('Policy Characteristics'!D:D,MATCH($C635,'Policy Characteristics'!$C:$C,0)))</f>
        <v>Electrification</v>
      </c>
      <c r="K635" s="275" t="str">
        <f>IF(ISBLANK(INDEX('Policy Characteristics'!E:E,MATCH($C635,'Policy Characteristics'!$C:$C,0))),"",INDEX('Policy Characteristics'!E:E,MATCH($C635,'Policy Characteristics'!$C:$C,0)))</f>
        <v>indst shift to electricity</v>
      </c>
      <c r="L635" s="283">
        <f>IF(ISBLANK(INDEX('Policy Characteristics'!F:F,MATCH($C635,'Policy Characteristics'!$C:$C,0))),"",INDEX('Policy Characteristics'!F:F,MATCH($C635,'Policy Characteristics'!$C:$C,0)))</f>
        <v>0</v>
      </c>
      <c r="M635" s="283">
        <f>IF(ISBLANK(INDEX('Policy Characteristics'!G:G,MATCH($C635,'Policy Characteristics'!$C:$C,0))),"",INDEX('Policy Characteristics'!G:G,MATCH($C635,'Policy Characteristics'!$C:$C,0)))</f>
        <v>1</v>
      </c>
      <c r="N635" s="283">
        <f>IF(ISBLANK(INDEX('Policy Characteristics'!H:H,MATCH($C635,'Policy Characteristics'!$C:$C,0))),"",INDEX('Policy Characteristics'!H:H,MATCH($C635,'Policy Characteristics'!$C:$C,0)))</f>
        <v>0.01</v>
      </c>
      <c r="O635" s="275" t="str">
        <f>IF(ISBLANK(INDEX('Policy Characteristics'!I:I,MATCH($C635,'Policy Characteristics'!$C:$C,0))),"",INDEX('Policy Characteristics'!I:I,MATCH($C635,'Policy Characteristics'!$C:$C,0)))</f>
        <v>% of fuel shifted</v>
      </c>
      <c r="P635" s="275"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275" t="str">
        <f>IF(ISBLANK(INDEX('Policy Characteristics'!K:K,MATCH($C635,'Policy Characteristics'!$C:$C,0))),"",INDEX('Policy Characteristics'!K:K,MATCH($C635,'Policy Characteristics'!$C:$C,0)))</f>
        <v>industry-ag-main.html#fuel-switching</v>
      </c>
      <c r="R635" s="275" t="str">
        <f>IF(ISBLANK(INDEX('Policy Characteristics'!L:L,MATCH($C635,'Policy Characteristics'!$C:$C,0))),"",INDEX('Policy Characteristics'!L:L,MATCH($C635,'Policy Characteristics'!$C:$C,0)))</f>
        <v>industry-elec-and-hydrogen.html</v>
      </c>
    </row>
    <row r="636" spans="1:18" x14ac:dyDescent="0.25">
      <c r="A636" s="275" t="str">
        <f>IF(ISBLANK(INDEX('Policy Characteristics'!A:A,MATCH($C636,'Policy Characteristics'!$C:$C,0))),"",INDEX('Policy Characteristics'!A:A,MATCH($C636,'Policy Characteristics'!$C:$C,0)))</f>
        <v>Industry</v>
      </c>
      <c r="B636" s="284" t="str">
        <f>IF(ISBLANK(INDEX('Policy Characteristics'!B:B,MATCH($C636,'Policy Characteristics'!$C:$C,0))),"",INDEX('Policy Characteristics'!B:B,MATCH($C636,'Policy Characteristics'!$C:$C,0)))</f>
        <v>Electrification</v>
      </c>
      <c r="C636" s="275" t="str">
        <f t="shared" si="34"/>
        <v>Fraction of Eligible Industrial Energy Use Shifted to Electricity</v>
      </c>
      <c r="D636" s="6" t="s">
        <v>3078</v>
      </c>
      <c r="E636" s="1" t="s">
        <v>3552</v>
      </c>
      <c r="F636" t="s">
        <v>3042</v>
      </c>
      <c r="G636" s="47" t="s">
        <v>3559</v>
      </c>
      <c r="H636" s="44">
        <v>1903</v>
      </c>
      <c r="I636" s="346" t="s">
        <v>43</v>
      </c>
      <c r="J636" s="276" t="str">
        <f>IF(ISBLANK(INDEX('Policy Characteristics'!D:D,MATCH($C636,'Policy Characteristics'!$C:$C,0))),"",INDEX('Policy Characteristics'!D:D,MATCH($C636,'Policy Characteristics'!$C:$C,0)))</f>
        <v>Electrification</v>
      </c>
      <c r="K636" s="275" t="str">
        <f>IF(ISBLANK(INDEX('Policy Characteristics'!E:E,MATCH($C636,'Policy Characteristics'!$C:$C,0))),"",INDEX('Policy Characteristics'!E:E,MATCH($C636,'Policy Characteristics'!$C:$C,0)))</f>
        <v>indst shift to electricity</v>
      </c>
      <c r="L636" s="283">
        <f>IF(ISBLANK(INDEX('Policy Characteristics'!F:F,MATCH($C636,'Policy Characteristics'!$C:$C,0))),"",INDEX('Policy Characteristics'!F:F,MATCH($C636,'Policy Characteristics'!$C:$C,0)))</f>
        <v>0</v>
      </c>
      <c r="M636" s="283">
        <f>IF(ISBLANK(INDEX('Policy Characteristics'!G:G,MATCH($C636,'Policy Characteristics'!$C:$C,0))),"",INDEX('Policy Characteristics'!G:G,MATCH($C636,'Policy Characteristics'!$C:$C,0)))</f>
        <v>1</v>
      </c>
      <c r="N636" s="283">
        <f>IF(ISBLANK(INDEX('Policy Characteristics'!H:H,MATCH($C636,'Policy Characteristics'!$C:$C,0))),"",INDEX('Policy Characteristics'!H:H,MATCH($C636,'Policy Characteristics'!$C:$C,0)))</f>
        <v>0.01</v>
      </c>
      <c r="O636" s="275" t="str">
        <f>IF(ISBLANK(INDEX('Policy Characteristics'!I:I,MATCH($C636,'Policy Characteristics'!$C:$C,0))),"",INDEX('Policy Characteristics'!I:I,MATCH($C636,'Policy Characteristics'!$C:$C,0)))</f>
        <v>% of fuel shifted</v>
      </c>
      <c r="P636" s="275"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275" t="str">
        <f>IF(ISBLANK(INDEX('Policy Characteristics'!K:K,MATCH($C636,'Policy Characteristics'!$C:$C,0))),"",INDEX('Policy Characteristics'!K:K,MATCH($C636,'Policy Characteristics'!$C:$C,0)))</f>
        <v>industry-ag-main.html#fuel-switching</v>
      </c>
      <c r="R636" s="275" t="str">
        <f>IF(ISBLANK(INDEX('Policy Characteristics'!L:L,MATCH($C636,'Policy Characteristics'!$C:$C,0))),"",INDEX('Policy Characteristics'!L:L,MATCH($C636,'Policy Characteristics'!$C:$C,0)))</f>
        <v>industry-elec-and-hydrogen.html</v>
      </c>
    </row>
    <row r="637" spans="1:18" x14ac:dyDescent="0.25">
      <c r="A637" s="275" t="str">
        <f>IF(ISBLANK(INDEX('Policy Characteristics'!A:A,MATCH($C637,'Policy Characteristics'!$C:$C,0))),"",INDEX('Policy Characteristics'!A:A,MATCH($C637,'Policy Characteristics'!$C:$C,0)))</f>
        <v>Industry</v>
      </c>
      <c r="B637" s="284" t="str">
        <f>IF(ISBLANK(INDEX('Policy Characteristics'!B:B,MATCH($C637,'Policy Characteristics'!$C:$C,0))),"",INDEX('Policy Characteristics'!B:B,MATCH($C637,'Policy Characteristics'!$C:$C,0)))</f>
        <v>Electrification</v>
      </c>
      <c r="C637" s="275" t="str">
        <f t="shared" si="34"/>
        <v>Fraction of Eligible Industrial Energy Use Shifted to Electricity</v>
      </c>
      <c r="D637" s="6" t="s">
        <v>3078</v>
      </c>
      <c r="E637" s="1" t="s">
        <v>3553</v>
      </c>
      <c r="F637" t="s">
        <v>3042</v>
      </c>
      <c r="G637" s="47" t="s">
        <v>3560</v>
      </c>
      <c r="H637" s="44">
        <v>1904</v>
      </c>
      <c r="I637" s="346" t="s">
        <v>44</v>
      </c>
      <c r="J637" s="276" t="str">
        <f>IF(ISBLANK(INDEX('Policy Characteristics'!D:D,MATCH($C637,'Policy Characteristics'!$C:$C,0))),"",INDEX('Policy Characteristics'!D:D,MATCH($C637,'Policy Characteristics'!$C:$C,0)))</f>
        <v>Electrification</v>
      </c>
      <c r="K637" s="275" t="str">
        <f>IF(ISBLANK(INDEX('Policy Characteristics'!E:E,MATCH($C637,'Policy Characteristics'!$C:$C,0))),"",INDEX('Policy Characteristics'!E:E,MATCH($C637,'Policy Characteristics'!$C:$C,0)))</f>
        <v>indst shift to electricity</v>
      </c>
      <c r="L637" s="283">
        <f>IF(ISBLANK(INDEX('Policy Characteristics'!F:F,MATCH($C637,'Policy Characteristics'!$C:$C,0))),"",INDEX('Policy Characteristics'!F:F,MATCH($C637,'Policy Characteristics'!$C:$C,0)))</f>
        <v>0</v>
      </c>
      <c r="M637" s="283">
        <f>IF(ISBLANK(INDEX('Policy Characteristics'!G:G,MATCH($C637,'Policy Characteristics'!$C:$C,0))),"",INDEX('Policy Characteristics'!G:G,MATCH($C637,'Policy Characteristics'!$C:$C,0)))</f>
        <v>1</v>
      </c>
      <c r="N637" s="283">
        <f>IF(ISBLANK(INDEX('Policy Characteristics'!H:H,MATCH($C637,'Policy Characteristics'!$C:$C,0))),"",INDEX('Policy Characteristics'!H:H,MATCH($C637,'Policy Characteristics'!$C:$C,0)))</f>
        <v>0.01</v>
      </c>
      <c r="O637" s="275" t="str">
        <f>IF(ISBLANK(INDEX('Policy Characteristics'!I:I,MATCH($C637,'Policy Characteristics'!$C:$C,0))),"",INDEX('Policy Characteristics'!I:I,MATCH($C637,'Policy Characteristics'!$C:$C,0)))</f>
        <v>% of fuel shifted</v>
      </c>
      <c r="P637" s="275"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275" t="str">
        <f>IF(ISBLANK(INDEX('Policy Characteristics'!K:K,MATCH($C637,'Policy Characteristics'!$C:$C,0))),"",INDEX('Policy Characteristics'!K:K,MATCH($C637,'Policy Characteristics'!$C:$C,0)))</f>
        <v>industry-ag-main.html#fuel-switching</v>
      </c>
      <c r="R637" s="275" t="str">
        <f>IF(ISBLANK(INDEX('Policy Characteristics'!L:L,MATCH($C637,'Policy Characteristics'!$C:$C,0))),"",INDEX('Policy Characteristics'!L:L,MATCH($C637,'Policy Characteristics'!$C:$C,0)))</f>
        <v>industry-elec-and-hydrogen.html</v>
      </c>
    </row>
    <row r="638" spans="1:18" x14ac:dyDescent="0.25">
      <c r="A638" s="275" t="str">
        <f>IF(ISBLANK(INDEX('Policy Characteristics'!A:A,MATCH($C638,'Policy Characteristics'!$C:$C,0))),"",INDEX('Policy Characteristics'!A:A,MATCH($C638,'Policy Characteristics'!$C:$C,0)))</f>
        <v>Industry</v>
      </c>
      <c r="B638" s="284" t="str">
        <f>IF(ISBLANK(INDEX('Policy Characteristics'!B:B,MATCH($C638,'Policy Characteristics'!$C:$C,0))),"",INDEX('Policy Characteristics'!B:B,MATCH($C638,'Policy Characteristics'!$C:$C,0)))</f>
        <v>Electrification</v>
      </c>
      <c r="C638" s="275" t="str">
        <f t="shared" si="34"/>
        <v>Fraction of Eligible Industrial Energy Use Shifted to Electricity</v>
      </c>
      <c r="D638" s="6" t="s">
        <v>3078</v>
      </c>
      <c r="E638" s="1" t="s">
        <v>3737</v>
      </c>
      <c r="F638" t="s">
        <v>3042</v>
      </c>
      <c r="G638" s="47" t="s">
        <v>3738</v>
      </c>
      <c r="H638" s="44">
        <v>1905</v>
      </c>
      <c r="I638" s="346" t="s">
        <v>43</v>
      </c>
      <c r="J638" s="276" t="str">
        <f>IF(ISBLANK(INDEX('Policy Characteristics'!D:D,MATCH($C638,'Policy Characteristics'!$C:$C,0))),"",INDEX('Policy Characteristics'!D:D,MATCH($C638,'Policy Characteristics'!$C:$C,0)))</f>
        <v>Electrification</v>
      </c>
      <c r="K638" s="275" t="str">
        <f>IF(ISBLANK(INDEX('Policy Characteristics'!E:E,MATCH($C638,'Policy Characteristics'!$C:$C,0))),"",INDEX('Policy Characteristics'!E:E,MATCH($C638,'Policy Characteristics'!$C:$C,0)))</f>
        <v>indst shift to electricity</v>
      </c>
      <c r="L638" s="283">
        <f>IF(ISBLANK(INDEX('Policy Characteristics'!F:F,MATCH($C638,'Policy Characteristics'!$C:$C,0))),"",INDEX('Policy Characteristics'!F:F,MATCH($C638,'Policy Characteristics'!$C:$C,0)))</f>
        <v>0</v>
      </c>
      <c r="M638" s="283">
        <f>IF(ISBLANK(INDEX('Policy Characteristics'!G:G,MATCH($C638,'Policy Characteristics'!$C:$C,0))),"",INDEX('Policy Characteristics'!G:G,MATCH($C638,'Policy Characteristics'!$C:$C,0)))</f>
        <v>1</v>
      </c>
      <c r="N638" s="283">
        <f>IF(ISBLANK(INDEX('Policy Characteristics'!H:H,MATCH($C638,'Policy Characteristics'!$C:$C,0))),"",INDEX('Policy Characteristics'!H:H,MATCH($C638,'Policy Characteristics'!$C:$C,0)))</f>
        <v>0.01</v>
      </c>
      <c r="O638" s="275" t="str">
        <f>IF(ISBLANK(INDEX('Policy Characteristics'!I:I,MATCH($C638,'Policy Characteristics'!$C:$C,0))),"",INDEX('Policy Characteristics'!I:I,MATCH($C638,'Policy Characteristics'!$C:$C,0)))</f>
        <v>% of fuel shifted</v>
      </c>
      <c r="P638" s="275"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275" t="str">
        <f>IF(ISBLANK(INDEX('Policy Characteristics'!K:K,MATCH($C638,'Policy Characteristics'!$C:$C,0))),"",INDEX('Policy Characteristics'!K:K,MATCH($C638,'Policy Characteristics'!$C:$C,0)))</f>
        <v>industry-ag-main.html#fuel-switching</v>
      </c>
      <c r="R638" s="275" t="str">
        <f>IF(ISBLANK(INDEX('Policy Characteristics'!L:L,MATCH($C638,'Policy Characteristics'!$C:$C,0))),"",INDEX('Policy Characteristics'!L:L,MATCH($C638,'Policy Characteristics'!$C:$C,0)))</f>
        <v>industry-elec-and-hydrogen.html</v>
      </c>
    </row>
    <row r="639" spans="1:18" x14ac:dyDescent="0.25">
      <c r="A639" s="275" t="str">
        <f>IF(ISBLANK(INDEX('Policy Characteristics'!A:A,MATCH($C639,'Policy Characteristics'!$C:$C,0))),"",INDEX('Policy Characteristics'!A:A,MATCH($C639,'Policy Characteristics'!$C:$C,0)))</f>
        <v>Industry</v>
      </c>
      <c r="B639" s="284" t="str">
        <f>IF(ISBLANK(INDEX('Policy Characteristics'!B:B,MATCH($C639,'Policy Characteristics'!$C:$C,0))),"",INDEX('Policy Characteristics'!B:B,MATCH($C639,'Policy Characteristics'!$C:$C,0)))</f>
        <v>Electrification</v>
      </c>
      <c r="C639" s="275" t="str">
        <f t="shared" si="34"/>
        <v>Fraction of Eligible Industrial Energy Use Shifted to Electricity</v>
      </c>
      <c r="D639" s="6" t="s">
        <v>3079</v>
      </c>
      <c r="E639" s="1" t="s">
        <v>3547</v>
      </c>
      <c r="F639" t="s">
        <v>2582</v>
      </c>
      <c r="G639" s="47" t="s">
        <v>3554</v>
      </c>
      <c r="H639" s="44">
        <v>1906</v>
      </c>
      <c r="I639" s="346" t="s">
        <v>43</v>
      </c>
      <c r="J639" s="276" t="str">
        <f>IF(ISBLANK(INDEX('Policy Characteristics'!D:D,MATCH($C639,'Policy Characteristics'!$C:$C,0))),"",INDEX('Policy Characteristics'!D:D,MATCH($C639,'Policy Characteristics'!$C:$C,0)))</f>
        <v>Electrification</v>
      </c>
      <c r="K639" s="275" t="str">
        <f>IF(ISBLANK(INDEX('Policy Characteristics'!E:E,MATCH($C639,'Policy Characteristics'!$C:$C,0))),"",INDEX('Policy Characteristics'!E:E,MATCH($C639,'Policy Characteristics'!$C:$C,0)))</f>
        <v>indst shift to electricity</v>
      </c>
      <c r="L639" s="283">
        <f>IF(ISBLANK(INDEX('Policy Characteristics'!F:F,MATCH($C639,'Policy Characteristics'!$C:$C,0))),"",INDEX('Policy Characteristics'!F:F,MATCH($C639,'Policy Characteristics'!$C:$C,0)))</f>
        <v>0</v>
      </c>
      <c r="M639" s="283">
        <f>IF(ISBLANK(INDEX('Policy Characteristics'!G:G,MATCH($C639,'Policy Characteristics'!$C:$C,0))),"",INDEX('Policy Characteristics'!G:G,MATCH($C639,'Policy Characteristics'!$C:$C,0)))</f>
        <v>1</v>
      </c>
      <c r="N639" s="283">
        <f>IF(ISBLANK(INDEX('Policy Characteristics'!H:H,MATCH($C639,'Policy Characteristics'!$C:$C,0))),"",INDEX('Policy Characteristics'!H:H,MATCH($C639,'Policy Characteristics'!$C:$C,0)))</f>
        <v>0.01</v>
      </c>
      <c r="O639" s="275" t="str">
        <f>IF(ISBLANK(INDEX('Policy Characteristics'!I:I,MATCH($C639,'Policy Characteristics'!$C:$C,0))),"",INDEX('Policy Characteristics'!I:I,MATCH($C639,'Policy Characteristics'!$C:$C,0)))</f>
        <v>% of fuel shifted</v>
      </c>
      <c r="P639" s="275"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275" t="str">
        <f>IF(ISBLANK(INDEX('Policy Characteristics'!K:K,MATCH($C639,'Policy Characteristics'!$C:$C,0))),"",INDEX('Policy Characteristics'!K:K,MATCH($C639,'Policy Characteristics'!$C:$C,0)))</f>
        <v>industry-ag-main.html#fuel-switching</v>
      </c>
      <c r="R639" s="275" t="str">
        <f>IF(ISBLANK(INDEX('Policy Characteristics'!L:L,MATCH($C639,'Policy Characteristics'!$C:$C,0))),"",INDEX('Policy Characteristics'!L:L,MATCH($C639,'Policy Characteristics'!$C:$C,0)))</f>
        <v>industry-elec-and-hydrogen.html</v>
      </c>
    </row>
    <row r="640" spans="1:18" x14ac:dyDescent="0.25">
      <c r="A640" s="275" t="str">
        <f>IF(ISBLANK(INDEX('Policy Characteristics'!A:A,MATCH($C640,'Policy Characteristics'!$C:$C,0))),"",INDEX('Policy Characteristics'!A:A,MATCH($C640,'Policy Characteristics'!$C:$C,0)))</f>
        <v>Industry</v>
      </c>
      <c r="B640" s="284" t="str">
        <f>IF(ISBLANK(INDEX('Policy Characteristics'!B:B,MATCH($C640,'Policy Characteristics'!$C:$C,0))),"",INDEX('Policy Characteristics'!B:B,MATCH($C640,'Policy Characteristics'!$C:$C,0)))</f>
        <v>Electrification</v>
      </c>
      <c r="C640" s="275" t="str">
        <f t="shared" si="34"/>
        <v>Fraction of Eligible Industrial Energy Use Shifted to Electricity</v>
      </c>
      <c r="D640" s="6" t="s">
        <v>3079</v>
      </c>
      <c r="E640" s="1" t="s">
        <v>3548</v>
      </c>
      <c r="F640" t="s">
        <v>2582</v>
      </c>
      <c r="G640" s="47" t="s">
        <v>3555</v>
      </c>
      <c r="H640" s="44">
        <v>1907</v>
      </c>
      <c r="I640" s="346" t="s">
        <v>43</v>
      </c>
      <c r="J640" s="276" t="str">
        <f>IF(ISBLANK(INDEX('Policy Characteristics'!D:D,MATCH($C640,'Policy Characteristics'!$C:$C,0))),"",INDEX('Policy Characteristics'!D:D,MATCH($C640,'Policy Characteristics'!$C:$C,0)))</f>
        <v>Electrification</v>
      </c>
      <c r="K640" s="275" t="str">
        <f>IF(ISBLANK(INDEX('Policy Characteristics'!E:E,MATCH($C640,'Policy Characteristics'!$C:$C,0))),"",INDEX('Policy Characteristics'!E:E,MATCH($C640,'Policy Characteristics'!$C:$C,0)))</f>
        <v>indst shift to electricity</v>
      </c>
      <c r="L640" s="283">
        <f>IF(ISBLANK(INDEX('Policy Characteristics'!F:F,MATCH($C640,'Policy Characteristics'!$C:$C,0))),"",INDEX('Policy Characteristics'!F:F,MATCH($C640,'Policy Characteristics'!$C:$C,0)))</f>
        <v>0</v>
      </c>
      <c r="M640" s="283">
        <f>IF(ISBLANK(INDEX('Policy Characteristics'!G:G,MATCH($C640,'Policy Characteristics'!$C:$C,0))),"",INDEX('Policy Characteristics'!G:G,MATCH($C640,'Policy Characteristics'!$C:$C,0)))</f>
        <v>1</v>
      </c>
      <c r="N640" s="283">
        <f>IF(ISBLANK(INDEX('Policy Characteristics'!H:H,MATCH($C640,'Policy Characteristics'!$C:$C,0))),"",INDEX('Policy Characteristics'!H:H,MATCH($C640,'Policy Characteristics'!$C:$C,0)))</f>
        <v>0.01</v>
      </c>
      <c r="O640" s="275" t="str">
        <f>IF(ISBLANK(INDEX('Policy Characteristics'!I:I,MATCH($C640,'Policy Characteristics'!$C:$C,0))),"",INDEX('Policy Characteristics'!I:I,MATCH($C640,'Policy Characteristics'!$C:$C,0)))</f>
        <v>% of fuel shifted</v>
      </c>
      <c r="P640" s="275"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275" t="str">
        <f>IF(ISBLANK(INDEX('Policy Characteristics'!K:K,MATCH($C640,'Policy Characteristics'!$C:$C,0))),"",INDEX('Policy Characteristics'!K:K,MATCH($C640,'Policy Characteristics'!$C:$C,0)))</f>
        <v>industry-ag-main.html#fuel-switching</v>
      </c>
      <c r="R640" s="275" t="str">
        <f>IF(ISBLANK(INDEX('Policy Characteristics'!L:L,MATCH($C640,'Policy Characteristics'!$C:$C,0))),"",INDEX('Policy Characteristics'!L:L,MATCH($C640,'Policy Characteristics'!$C:$C,0)))</f>
        <v>industry-elec-and-hydrogen.html</v>
      </c>
    </row>
    <row r="641" spans="1:18" x14ac:dyDescent="0.25">
      <c r="A641" s="275" t="str">
        <f>IF(ISBLANK(INDEX('Policy Characteristics'!A:A,MATCH($C641,'Policy Characteristics'!$C:$C,0))),"",INDEX('Policy Characteristics'!A:A,MATCH($C641,'Policy Characteristics'!$C:$C,0)))</f>
        <v>Industry</v>
      </c>
      <c r="B641" s="284" t="str">
        <f>IF(ISBLANK(INDEX('Policy Characteristics'!B:B,MATCH($C641,'Policy Characteristics'!$C:$C,0))),"",INDEX('Policy Characteristics'!B:B,MATCH($C641,'Policy Characteristics'!$C:$C,0)))</f>
        <v>Electrification</v>
      </c>
      <c r="C641" s="275" t="str">
        <f t="shared" si="34"/>
        <v>Fraction of Eligible Industrial Energy Use Shifted to Electricity</v>
      </c>
      <c r="D641" s="6" t="s">
        <v>3079</v>
      </c>
      <c r="E641" s="1" t="s">
        <v>3549</v>
      </c>
      <c r="F641" t="s">
        <v>2582</v>
      </c>
      <c r="G641" s="47" t="s">
        <v>3556</v>
      </c>
      <c r="H641" s="44">
        <v>1908</v>
      </c>
      <c r="I641" s="346" t="s">
        <v>43</v>
      </c>
      <c r="J641" s="276" t="str">
        <f>IF(ISBLANK(INDEX('Policy Characteristics'!D:D,MATCH($C641,'Policy Characteristics'!$C:$C,0))),"",INDEX('Policy Characteristics'!D:D,MATCH($C641,'Policy Characteristics'!$C:$C,0)))</f>
        <v>Electrification</v>
      </c>
      <c r="K641" s="275" t="str">
        <f>IF(ISBLANK(INDEX('Policy Characteristics'!E:E,MATCH($C641,'Policy Characteristics'!$C:$C,0))),"",INDEX('Policy Characteristics'!E:E,MATCH($C641,'Policy Characteristics'!$C:$C,0)))</f>
        <v>indst shift to electricity</v>
      </c>
      <c r="L641" s="283">
        <f>IF(ISBLANK(INDEX('Policy Characteristics'!F:F,MATCH($C641,'Policy Characteristics'!$C:$C,0))),"",INDEX('Policy Characteristics'!F:F,MATCH($C641,'Policy Characteristics'!$C:$C,0)))</f>
        <v>0</v>
      </c>
      <c r="M641" s="283">
        <f>IF(ISBLANK(INDEX('Policy Characteristics'!G:G,MATCH($C641,'Policy Characteristics'!$C:$C,0))),"",INDEX('Policy Characteristics'!G:G,MATCH($C641,'Policy Characteristics'!$C:$C,0)))</f>
        <v>1</v>
      </c>
      <c r="N641" s="283">
        <f>IF(ISBLANK(INDEX('Policy Characteristics'!H:H,MATCH($C641,'Policy Characteristics'!$C:$C,0))),"",INDEX('Policy Characteristics'!H:H,MATCH($C641,'Policy Characteristics'!$C:$C,0)))</f>
        <v>0.01</v>
      </c>
      <c r="O641" s="275" t="str">
        <f>IF(ISBLANK(INDEX('Policy Characteristics'!I:I,MATCH($C641,'Policy Characteristics'!$C:$C,0))),"",INDEX('Policy Characteristics'!I:I,MATCH($C641,'Policy Characteristics'!$C:$C,0)))</f>
        <v>% of fuel shifted</v>
      </c>
      <c r="P641" s="275"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275" t="str">
        <f>IF(ISBLANK(INDEX('Policy Characteristics'!K:K,MATCH($C641,'Policy Characteristics'!$C:$C,0))),"",INDEX('Policy Characteristics'!K:K,MATCH($C641,'Policy Characteristics'!$C:$C,0)))</f>
        <v>industry-ag-main.html#fuel-switching</v>
      </c>
      <c r="R641" s="275" t="str">
        <f>IF(ISBLANK(INDEX('Policy Characteristics'!L:L,MATCH($C641,'Policy Characteristics'!$C:$C,0))),"",INDEX('Policy Characteristics'!L:L,MATCH($C641,'Policy Characteristics'!$C:$C,0)))</f>
        <v>industry-elec-and-hydrogen.html</v>
      </c>
    </row>
    <row r="642" spans="1:18" x14ac:dyDescent="0.25">
      <c r="A642" s="275" t="str">
        <f>IF(ISBLANK(INDEX('Policy Characteristics'!A:A,MATCH($C642,'Policy Characteristics'!$C:$C,0))),"",INDEX('Policy Characteristics'!A:A,MATCH($C642,'Policy Characteristics'!$C:$C,0)))</f>
        <v>Industry</v>
      </c>
      <c r="B642" s="284" t="str">
        <f>IF(ISBLANK(INDEX('Policy Characteristics'!B:B,MATCH($C642,'Policy Characteristics'!$C:$C,0))),"",INDEX('Policy Characteristics'!B:B,MATCH($C642,'Policy Characteristics'!$C:$C,0)))</f>
        <v>Electrification</v>
      </c>
      <c r="C642" s="275" t="str">
        <f t="shared" si="34"/>
        <v>Fraction of Eligible Industrial Energy Use Shifted to Electricity</v>
      </c>
      <c r="D642" s="6" t="s">
        <v>3079</v>
      </c>
      <c r="E642" s="1" t="s">
        <v>3550</v>
      </c>
      <c r="F642" t="s">
        <v>2582</v>
      </c>
      <c r="G642" s="47" t="s">
        <v>3557</v>
      </c>
      <c r="H642" s="44">
        <v>1909</v>
      </c>
      <c r="I642" s="346" t="s">
        <v>43</v>
      </c>
      <c r="J642" s="276" t="str">
        <f>IF(ISBLANK(INDEX('Policy Characteristics'!D:D,MATCH($C642,'Policy Characteristics'!$C:$C,0))),"",INDEX('Policy Characteristics'!D:D,MATCH($C642,'Policy Characteristics'!$C:$C,0)))</f>
        <v>Electrification</v>
      </c>
      <c r="K642" s="275" t="str">
        <f>IF(ISBLANK(INDEX('Policy Characteristics'!E:E,MATCH($C642,'Policy Characteristics'!$C:$C,0))),"",INDEX('Policy Characteristics'!E:E,MATCH($C642,'Policy Characteristics'!$C:$C,0)))</f>
        <v>indst shift to electricity</v>
      </c>
      <c r="L642" s="283">
        <f>IF(ISBLANK(INDEX('Policy Characteristics'!F:F,MATCH($C642,'Policy Characteristics'!$C:$C,0))),"",INDEX('Policy Characteristics'!F:F,MATCH($C642,'Policy Characteristics'!$C:$C,0)))</f>
        <v>0</v>
      </c>
      <c r="M642" s="283">
        <f>IF(ISBLANK(INDEX('Policy Characteristics'!G:G,MATCH($C642,'Policy Characteristics'!$C:$C,0))),"",INDEX('Policy Characteristics'!G:G,MATCH($C642,'Policy Characteristics'!$C:$C,0)))</f>
        <v>1</v>
      </c>
      <c r="N642" s="283">
        <f>IF(ISBLANK(INDEX('Policy Characteristics'!H:H,MATCH($C642,'Policy Characteristics'!$C:$C,0))),"",INDEX('Policy Characteristics'!H:H,MATCH($C642,'Policy Characteristics'!$C:$C,0)))</f>
        <v>0.01</v>
      </c>
      <c r="O642" s="275" t="str">
        <f>IF(ISBLANK(INDEX('Policy Characteristics'!I:I,MATCH($C642,'Policy Characteristics'!$C:$C,0))),"",INDEX('Policy Characteristics'!I:I,MATCH($C642,'Policy Characteristics'!$C:$C,0)))</f>
        <v>% of fuel shifted</v>
      </c>
      <c r="P642" s="275"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275" t="str">
        <f>IF(ISBLANK(INDEX('Policy Characteristics'!K:K,MATCH($C642,'Policy Characteristics'!$C:$C,0))),"",INDEX('Policy Characteristics'!K:K,MATCH($C642,'Policy Characteristics'!$C:$C,0)))</f>
        <v>industry-ag-main.html#fuel-switching</v>
      </c>
      <c r="R642" s="275" t="str">
        <f>IF(ISBLANK(INDEX('Policy Characteristics'!L:L,MATCH($C642,'Policy Characteristics'!$C:$C,0))),"",INDEX('Policy Characteristics'!L:L,MATCH($C642,'Policy Characteristics'!$C:$C,0)))</f>
        <v>industry-elec-and-hydrogen.html</v>
      </c>
    </row>
    <row r="643" spans="1:18" x14ac:dyDescent="0.25">
      <c r="A643" s="275" t="str">
        <f>IF(ISBLANK(INDEX('Policy Characteristics'!A:A,MATCH($C643,'Policy Characteristics'!$C:$C,0))),"",INDEX('Policy Characteristics'!A:A,MATCH($C643,'Policy Characteristics'!$C:$C,0)))</f>
        <v>Industry</v>
      </c>
      <c r="B643" s="284" t="str">
        <f>IF(ISBLANK(INDEX('Policy Characteristics'!B:B,MATCH($C643,'Policy Characteristics'!$C:$C,0))),"",INDEX('Policy Characteristics'!B:B,MATCH($C643,'Policy Characteristics'!$C:$C,0)))</f>
        <v>Electrification</v>
      </c>
      <c r="C643" s="275" t="str">
        <f t="shared" si="34"/>
        <v>Fraction of Eligible Industrial Energy Use Shifted to Electricity</v>
      </c>
      <c r="D643" s="6" t="s">
        <v>3079</v>
      </c>
      <c r="E643" s="1" t="s">
        <v>3551</v>
      </c>
      <c r="F643" t="s">
        <v>2582</v>
      </c>
      <c r="G643" s="47" t="s">
        <v>3558</v>
      </c>
      <c r="H643" s="44">
        <v>1910</v>
      </c>
      <c r="I643" s="346" t="s">
        <v>43</v>
      </c>
      <c r="J643" s="276" t="str">
        <f>IF(ISBLANK(INDEX('Policy Characteristics'!D:D,MATCH($C643,'Policy Characteristics'!$C:$C,0))),"",INDEX('Policy Characteristics'!D:D,MATCH($C643,'Policy Characteristics'!$C:$C,0)))</f>
        <v>Electrification</v>
      </c>
      <c r="K643" s="275" t="str">
        <f>IF(ISBLANK(INDEX('Policy Characteristics'!E:E,MATCH($C643,'Policy Characteristics'!$C:$C,0))),"",INDEX('Policy Characteristics'!E:E,MATCH($C643,'Policy Characteristics'!$C:$C,0)))</f>
        <v>indst shift to electricity</v>
      </c>
      <c r="L643" s="283">
        <f>IF(ISBLANK(INDEX('Policy Characteristics'!F:F,MATCH($C643,'Policy Characteristics'!$C:$C,0))),"",INDEX('Policy Characteristics'!F:F,MATCH($C643,'Policy Characteristics'!$C:$C,0)))</f>
        <v>0</v>
      </c>
      <c r="M643" s="283">
        <f>IF(ISBLANK(INDEX('Policy Characteristics'!G:G,MATCH($C643,'Policy Characteristics'!$C:$C,0))),"",INDEX('Policy Characteristics'!G:G,MATCH($C643,'Policy Characteristics'!$C:$C,0)))</f>
        <v>1</v>
      </c>
      <c r="N643" s="283">
        <f>IF(ISBLANK(INDEX('Policy Characteristics'!H:H,MATCH($C643,'Policy Characteristics'!$C:$C,0))),"",INDEX('Policy Characteristics'!H:H,MATCH($C643,'Policy Characteristics'!$C:$C,0)))</f>
        <v>0.01</v>
      </c>
      <c r="O643" s="275" t="str">
        <f>IF(ISBLANK(INDEX('Policy Characteristics'!I:I,MATCH($C643,'Policy Characteristics'!$C:$C,0))),"",INDEX('Policy Characteristics'!I:I,MATCH($C643,'Policy Characteristics'!$C:$C,0)))</f>
        <v>% of fuel shifted</v>
      </c>
      <c r="P643" s="275"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275" t="str">
        <f>IF(ISBLANK(INDEX('Policy Characteristics'!K:K,MATCH($C643,'Policy Characteristics'!$C:$C,0))),"",INDEX('Policy Characteristics'!K:K,MATCH($C643,'Policy Characteristics'!$C:$C,0)))</f>
        <v>industry-ag-main.html#fuel-switching</v>
      </c>
      <c r="R643" s="275" t="str">
        <f>IF(ISBLANK(INDEX('Policy Characteristics'!L:L,MATCH($C643,'Policy Characteristics'!$C:$C,0))),"",INDEX('Policy Characteristics'!L:L,MATCH($C643,'Policy Characteristics'!$C:$C,0)))</f>
        <v>industry-elec-and-hydrogen.html</v>
      </c>
    </row>
    <row r="644" spans="1:18" x14ac:dyDescent="0.25">
      <c r="A644" s="275" t="str">
        <f>IF(ISBLANK(INDEX('Policy Characteristics'!A:A,MATCH($C644,'Policy Characteristics'!$C:$C,0))),"",INDEX('Policy Characteristics'!A:A,MATCH($C644,'Policy Characteristics'!$C:$C,0)))</f>
        <v>Industry</v>
      </c>
      <c r="B644" s="284" t="str">
        <f>IF(ISBLANK(INDEX('Policy Characteristics'!B:B,MATCH($C644,'Policy Characteristics'!$C:$C,0))),"",INDEX('Policy Characteristics'!B:B,MATCH($C644,'Policy Characteristics'!$C:$C,0)))</f>
        <v>Electrification</v>
      </c>
      <c r="C644" s="275" t="str">
        <f t="shared" si="34"/>
        <v>Fraction of Eligible Industrial Energy Use Shifted to Electricity</v>
      </c>
      <c r="D644" s="6" t="s">
        <v>3079</v>
      </c>
      <c r="E644" s="1" t="s">
        <v>3552</v>
      </c>
      <c r="F644" t="s">
        <v>2582</v>
      </c>
      <c r="G644" s="47" t="s">
        <v>3559</v>
      </c>
      <c r="H644" s="44">
        <v>1911</v>
      </c>
      <c r="I644" s="346" t="s">
        <v>43</v>
      </c>
      <c r="J644" s="276" t="str">
        <f>IF(ISBLANK(INDEX('Policy Characteristics'!D:D,MATCH($C644,'Policy Characteristics'!$C:$C,0))),"",INDEX('Policy Characteristics'!D:D,MATCH($C644,'Policy Characteristics'!$C:$C,0)))</f>
        <v>Electrification</v>
      </c>
      <c r="K644" s="275" t="str">
        <f>IF(ISBLANK(INDEX('Policy Characteristics'!E:E,MATCH($C644,'Policy Characteristics'!$C:$C,0))),"",INDEX('Policy Characteristics'!E:E,MATCH($C644,'Policy Characteristics'!$C:$C,0)))</f>
        <v>indst shift to electricity</v>
      </c>
      <c r="L644" s="283">
        <f>IF(ISBLANK(INDEX('Policy Characteristics'!F:F,MATCH($C644,'Policy Characteristics'!$C:$C,0))),"",INDEX('Policy Characteristics'!F:F,MATCH($C644,'Policy Characteristics'!$C:$C,0)))</f>
        <v>0</v>
      </c>
      <c r="M644" s="283">
        <f>IF(ISBLANK(INDEX('Policy Characteristics'!G:G,MATCH($C644,'Policy Characteristics'!$C:$C,0))),"",INDEX('Policy Characteristics'!G:G,MATCH($C644,'Policy Characteristics'!$C:$C,0)))</f>
        <v>1</v>
      </c>
      <c r="N644" s="283">
        <f>IF(ISBLANK(INDEX('Policy Characteristics'!H:H,MATCH($C644,'Policy Characteristics'!$C:$C,0))),"",INDEX('Policy Characteristics'!H:H,MATCH($C644,'Policy Characteristics'!$C:$C,0)))</f>
        <v>0.01</v>
      </c>
      <c r="O644" s="275" t="str">
        <f>IF(ISBLANK(INDEX('Policy Characteristics'!I:I,MATCH($C644,'Policy Characteristics'!$C:$C,0))),"",INDEX('Policy Characteristics'!I:I,MATCH($C644,'Policy Characteristics'!$C:$C,0)))</f>
        <v>% of fuel shifted</v>
      </c>
      <c r="P644" s="275"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275" t="str">
        <f>IF(ISBLANK(INDEX('Policy Characteristics'!K:K,MATCH($C644,'Policy Characteristics'!$C:$C,0))),"",INDEX('Policy Characteristics'!K:K,MATCH($C644,'Policy Characteristics'!$C:$C,0)))</f>
        <v>industry-ag-main.html#fuel-switching</v>
      </c>
      <c r="R644" s="275" t="str">
        <f>IF(ISBLANK(INDEX('Policy Characteristics'!L:L,MATCH($C644,'Policy Characteristics'!$C:$C,0))),"",INDEX('Policy Characteristics'!L:L,MATCH($C644,'Policy Characteristics'!$C:$C,0)))</f>
        <v>industry-elec-and-hydrogen.html</v>
      </c>
    </row>
    <row r="645" spans="1:18" x14ac:dyDescent="0.25">
      <c r="A645" s="275" t="str">
        <f>IF(ISBLANK(INDEX('Policy Characteristics'!A:A,MATCH($C645,'Policy Characteristics'!$C:$C,0))),"",INDEX('Policy Characteristics'!A:A,MATCH($C645,'Policy Characteristics'!$C:$C,0)))</f>
        <v>Industry</v>
      </c>
      <c r="B645" s="284" t="str">
        <f>IF(ISBLANK(INDEX('Policy Characteristics'!B:B,MATCH($C645,'Policy Characteristics'!$C:$C,0))),"",INDEX('Policy Characteristics'!B:B,MATCH($C645,'Policy Characteristics'!$C:$C,0)))</f>
        <v>Electrification</v>
      </c>
      <c r="C645" s="275" t="str">
        <f t="shared" si="34"/>
        <v>Fraction of Eligible Industrial Energy Use Shifted to Electricity</v>
      </c>
      <c r="D645" s="6" t="s">
        <v>3079</v>
      </c>
      <c r="E645" s="1" t="s">
        <v>3553</v>
      </c>
      <c r="F645" t="s">
        <v>2582</v>
      </c>
      <c r="G645" s="47" t="s">
        <v>3560</v>
      </c>
      <c r="H645" s="44">
        <v>1912</v>
      </c>
      <c r="I645" s="346" t="s">
        <v>44</v>
      </c>
      <c r="J645" s="276" t="str">
        <f>IF(ISBLANK(INDEX('Policy Characteristics'!D:D,MATCH($C645,'Policy Characteristics'!$C:$C,0))),"",INDEX('Policy Characteristics'!D:D,MATCH($C645,'Policy Characteristics'!$C:$C,0)))</f>
        <v>Electrification</v>
      </c>
      <c r="K645" s="275" t="str">
        <f>IF(ISBLANK(INDEX('Policy Characteristics'!E:E,MATCH($C645,'Policy Characteristics'!$C:$C,0))),"",INDEX('Policy Characteristics'!E:E,MATCH($C645,'Policy Characteristics'!$C:$C,0)))</f>
        <v>indst shift to electricity</v>
      </c>
      <c r="L645" s="283">
        <f>IF(ISBLANK(INDEX('Policy Characteristics'!F:F,MATCH($C645,'Policy Characteristics'!$C:$C,0))),"",INDEX('Policy Characteristics'!F:F,MATCH($C645,'Policy Characteristics'!$C:$C,0)))</f>
        <v>0</v>
      </c>
      <c r="M645" s="283">
        <f>IF(ISBLANK(INDEX('Policy Characteristics'!G:G,MATCH($C645,'Policy Characteristics'!$C:$C,0))),"",INDEX('Policy Characteristics'!G:G,MATCH($C645,'Policy Characteristics'!$C:$C,0)))</f>
        <v>1</v>
      </c>
      <c r="N645" s="283">
        <f>IF(ISBLANK(INDEX('Policy Characteristics'!H:H,MATCH($C645,'Policy Characteristics'!$C:$C,0))),"",INDEX('Policy Characteristics'!H:H,MATCH($C645,'Policy Characteristics'!$C:$C,0)))</f>
        <v>0.01</v>
      </c>
      <c r="O645" s="275" t="str">
        <f>IF(ISBLANK(INDEX('Policy Characteristics'!I:I,MATCH($C645,'Policy Characteristics'!$C:$C,0))),"",INDEX('Policy Characteristics'!I:I,MATCH($C645,'Policy Characteristics'!$C:$C,0)))</f>
        <v>% of fuel shifted</v>
      </c>
      <c r="P645" s="275"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275" t="str">
        <f>IF(ISBLANK(INDEX('Policy Characteristics'!K:K,MATCH($C645,'Policy Characteristics'!$C:$C,0))),"",INDEX('Policy Characteristics'!K:K,MATCH($C645,'Policy Characteristics'!$C:$C,0)))</f>
        <v>industry-ag-main.html#fuel-switching</v>
      </c>
      <c r="R645" s="275" t="str">
        <f>IF(ISBLANK(INDEX('Policy Characteristics'!L:L,MATCH($C645,'Policy Characteristics'!$C:$C,0))),"",INDEX('Policy Characteristics'!L:L,MATCH($C645,'Policy Characteristics'!$C:$C,0)))</f>
        <v>industry-elec-and-hydrogen.html</v>
      </c>
    </row>
    <row r="646" spans="1:18" x14ac:dyDescent="0.25">
      <c r="A646" s="275" t="str">
        <f>IF(ISBLANK(INDEX('Policy Characteristics'!A:A,MATCH($C646,'Policy Characteristics'!$C:$C,0))),"",INDEX('Policy Characteristics'!A:A,MATCH($C646,'Policy Characteristics'!$C:$C,0)))</f>
        <v>Industry</v>
      </c>
      <c r="B646" s="284" t="str">
        <f>IF(ISBLANK(INDEX('Policy Characteristics'!B:B,MATCH($C646,'Policy Characteristics'!$C:$C,0))),"",INDEX('Policy Characteristics'!B:B,MATCH($C646,'Policy Characteristics'!$C:$C,0)))</f>
        <v>Electrification</v>
      </c>
      <c r="C646" s="275" t="str">
        <f t="shared" si="34"/>
        <v>Fraction of Eligible Industrial Energy Use Shifted to Electricity</v>
      </c>
      <c r="D646" s="6" t="s">
        <v>3079</v>
      </c>
      <c r="E646" s="1" t="s">
        <v>3737</v>
      </c>
      <c r="F646" t="s">
        <v>2582</v>
      </c>
      <c r="G646" s="47" t="s">
        <v>3738</v>
      </c>
      <c r="H646" s="44">
        <v>1913</v>
      </c>
      <c r="I646" s="346" t="s">
        <v>43</v>
      </c>
      <c r="J646" s="276" t="str">
        <f>IF(ISBLANK(INDEX('Policy Characteristics'!D:D,MATCH($C646,'Policy Characteristics'!$C:$C,0))),"",INDEX('Policy Characteristics'!D:D,MATCH($C646,'Policy Characteristics'!$C:$C,0)))</f>
        <v>Electrification</v>
      </c>
      <c r="K646" s="275" t="str">
        <f>IF(ISBLANK(INDEX('Policy Characteristics'!E:E,MATCH($C646,'Policy Characteristics'!$C:$C,0))),"",INDEX('Policy Characteristics'!E:E,MATCH($C646,'Policy Characteristics'!$C:$C,0)))</f>
        <v>indst shift to electricity</v>
      </c>
      <c r="L646" s="283">
        <f>IF(ISBLANK(INDEX('Policy Characteristics'!F:F,MATCH($C646,'Policy Characteristics'!$C:$C,0))),"",INDEX('Policy Characteristics'!F:F,MATCH($C646,'Policy Characteristics'!$C:$C,0)))</f>
        <v>0</v>
      </c>
      <c r="M646" s="283">
        <f>IF(ISBLANK(INDEX('Policy Characteristics'!G:G,MATCH($C646,'Policy Characteristics'!$C:$C,0))),"",INDEX('Policy Characteristics'!G:G,MATCH($C646,'Policy Characteristics'!$C:$C,0)))</f>
        <v>1</v>
      </c>
      <c r="N646" s="283">
        <f>IF(ISBLANK(INDEX('Policy Characteristics'!H:H,MATCH($C646,'Policy Characteristics'!$C:$C,0))),"",INDEX('Policy Characteristics'!H:H,MATCH($C646,'Policy Characteristics'!$C:$C,0)))</f>
        <v>0.01</v>
      </c>
      <c r="O646" s="275" t="str">
        <f>IF(ISBLANK(INDEX('Policy Characteristics'!I:I,MATCH($C646,'Policy Characteristics'!$C:$C,0))),"",INDEX('Policy Characteristics'!I:I,MATCH($C646,'Policy Characteristics'!$C:$C,0)))</f>
        <v>% of fuel shifted</v>
      </c>
      <c r="P646" s="275"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275" t="str">
        <f>IF(ISBLANK(INDEX('Policy Characteristics'!K:K,MATCH($C646,'Policy Characteristics'!$C:$C,0))),"",INDEX('Policy Characteristics'!K:K,MATCH($C646,'Policy Characteristics'!$C:$C,0)))</f>
        <v>industry-ag-main.html#fuel-switching</v>
      </c>
      <c r="R646" s="275" t="str">
        <f>IF(ISBLANK(INDEX('Policy Characteristics'!L:L,MATCH($C646,'Policy Characteristics'!$C:$C,0))),"",INDEX('Policy Characteristics'!L:L,MATCH($C646,'Policy Characteristics'!$C:$C,0)))</f>
        <v>industry-elec-and-hydrogen.html</v>
      </c>
    </row>
    <row r="647" spans="1:18" x14ac:dyDescent="0.25">
      <c r="A647" s="275" t="str">
        <f>IF(ISBLANK(INDEX('Policy Characteristics'!A:A,MATCH($C647,'Policy Characteristics'!$C:$C,0))),"",INDEX('Policy Characteristics'!A:A,MATCH($C647,'Policy Characteristics'!$C:$C,0)))</f>
        <v>Industry</v>
      </c>
      <c r="B647" s="284" t="str">
        <f>IF(ISBLANK(INDEX('Policy Characteristics'!B:B,MATCH($C647,'Policy Characteristics'!$C:$C,0))),"",INDEX('Policy Characteristics'!B:B,MATCH($C647,'Policy Characteristics'!$C:$C,0)))</f>
        <v>Electrification</v>
      </c>
      <c r="C647" s="275" t="str">
        <f t="shared" si="34"/>
        <v>Fraction of Eligible Industrial Energy Use Shifted to Electricity</v>
      </c>
      <c r="D647" s="6" t="s">
        <v>3080</v>
      </c>
      <c r="E647" s="1" t="s">
        <v>3547</v>
      </c>
      <c r="F647" t="s">
        <v>3043</v>
      </c>
      <c r="G647" s="47" t="s">
        <v>3554</v>
      </c>
      <c r="H647" s="44">
        <v>1914</v>
      </c>
      <c r="I647" s="346" t="s">
        <v>43</v>
      </c>
      <c r="J647" s="276" t="str">
        <f>IF(ISBLANK(INDEX('Policy Characteristics'!D:D,MATCH($C647,'Policy Characteristics'!$C:$C,0))),"",INDEX('Policy Characteristics'!D:D,MATCH($C647,'Policy Characteristics'!$C:$C,0)))</f>
        <v>Electrification</v>
      </c>
      <c r="K647" s="275" t="str">
        <f>IF(ISBLANK(INDEX('Policy Characteristics'!E:E,MATCH($C647,'Policy Characteristics'!$C:$C,0))),"",INDEX('Policy Characteristics'!E:E,MATCH($C647,'Policy Characteristics'!$C:$C,0)))</f>
        <v>indst shift to electricity</v>
      </c>
      <c r="L647" s="283">
        <f>IF(ISBLANK(INDEX('Policy Characteristics'!F:F,MATCH($C647,'Policy Characteristics'!$C:$C,0))),"",INDEX('Policy Characteristics'!F:F,MATCH($C647,'Policy Characteristics'!$C:$C,0)))</f>
        <v>0</v>
      </c>
      <c r="M647" s="283">
        <f>IF(ISBLANK(INDEX('Policy Characteristics'!G:G,MATCH($C647,'Policy Characteristics'!$C:$C,0))),"",INDEX('Policy Characteristics'!G:G,MATCH($C647,'Policy Characteristics'!$C:$C,0)))</f>
        <v>1</v>
      </c>
      <c r="N647" s="283">
        <f>IF(ISBLANK(INDEX('Policy Characteristics'!H:H,MATCH($C647,'Policy Characteristics'!$C:$C,0))),"",INDEX('Policy Characteristics'!H:H,MATCH($C647,'Policy Characteristics'!$C:$C,0)))</f>
        <v>0.01</v>
      </c>
      <c r="O647" s="275" t="str">
        <f>IF(ISBLANK(INDEX('Policy Characteristics'!I:I,MATCH($C647,'Policy Characteristics'!$C:$C,0))),"",INDEX('Policy Characteristics'!I:I,MATCH($C647,'Policy Characteristics'!$C:$C,0)))</f>
        <v>% of fuel shifted</v>
      </c>
      <c r="P647" s="275"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275" t="str">
        <f>IF(ISBLANK(INDEX('Policy Characteristics'!K:K,MATCH($C647,'Policy Characteristics'!$C:$C,0))),"",INDEX('Policy Characteristics'!K:K,MATCH($C647,'Policy Characteristics'!$C:$C,0)))</f>
        <v>industry-ag-main.html#fuel-switching</v>
      </c>
      <c r="R647" s="275" t="str">
        <f>IF(ISBLANK(INDEX('Policy Characteristics'!L:L,MATCH($C647,'Policy Characteristics'!$C:$C,0))),"",INDEX('Policy Characteristics'!L:L,MATCH($C647,'Policy Characteristics'!$C:$C,0)))</f>
        <v>industry-elec-and-hydrogen.html</v>
      </c>
    </row>
    <row r="648" spans="1:18" x14ac:dyDescent="0.25">
      <c r="A648" s="275" t="str">
        <f>IF(ISBLANK(INDEX('Policy Characteristics'!A:A,MATCH($C648,'Policy Characteristics'!$C:$C,0))),"",INDEX('Policy Characteristics'!A:A,MATCH($C648,'Policy Characteristics'!$C:$C,0)))</f>
        <v>Industry</v>
      </c>
      <c r="B648" s="284" t="str">
        <f>IF(ISBLANK(INDEX('Policy Characteristics'!B:B,MATCH($C648,'Policy Characteristics'!$C:$C,0))),"",INDEX('Policy Characteristics'!B:B,MATCH($C648,'Policy Characteristics'!$C:$C,0)))</f>
        <v>Electrification</v>
      </c>
      <c r="C648" s="275" t="str">
        <f t="shared" si="34"/>
        <v>Fraction of Eligible Industrial Energy Use Shifted to Electricity</v>
      </c>
      <c r="D648" s="6" t="s">
        <v>3080</v>
      </c>
      <c r="E648" s="1" t="s">
        <v>3548</v>
      </c>
      <c r="F648" t="s">
        <v>3043</v>
      </c>
      <c r="G648" s="47" t="s">
        <v>3555</v>
      </c>
      <c r="H648" s="44">
        <v>1915</v>
      </c>
      <c r="I648" s="346" t="s">
        <v>43</v>
      </c>
      <c r="J648" s="276" t="str">
        <f>IF(ISBLANK(INDEX('Policy Characteristics'!D:D,MATCH($C648,'Policy Characteristics'!$C:$C,0))),"",INDEX('Policy Characteristics'!D:D,MATCH($C648,'Policy Characteristics'!$C:$C,0)))</f>
        <v>Electrification</v>
      </c>
      <c r="K648" s="275" t="str">
        <f>IF(ISBLANK(INDEX('Policy Characteristics'!E:E,MATCH($C648,'Policy Characteristics'!$C:$C,0))),"",INDEX('Policy Characteristics'!E:E,MATCH($C648,'Policy Characteristics'!$C:$C,0)))</f>
        <v>indst shift to electricity</v>
      </c>
      <c r="L648" s="283">
        <f>IF(ISBLANK(INDEX('Policy Characteristics'!F:F,MATCH($C648,'Policy Characteristics'!$C:$C,0))),"",INDEX('Policy Characteristics'!F:F,MATCH($C648,'Policy Characteristics'!$C:$C,0)))</f>
        <v>0</v>
      </c>
      <c r="M648" s="283">
        <f>IF(ISBLANK(INDEX('Policy Characteristics'!G:G,MATCH($C648,'Policy Characteristics'!$C:$C,0))),"",INDEX('Policy Characteristics'!G:G,MATCH($C648,'Policy Characteristics'!$C:$C,0)))</f>
        <v>1</v>
      </c>
      <c r="N648" s="283">
        <f>IF(ISBLANK(INDEX('Policy Characteristics'!H:H,MATCH($C648,'Policy Characteristics'!$C:$C,0))),"",INDEX('Policy Characteristics'!H:H,MATCH($C648,'Policy Characteristics'!$C:$C,0)))</f>
        <v>0.01</v>
      </c>
      <c r="O648" s="275" t="str">
        <f>IF(ISBLANK(INDEX('Policy Characteristics'!I:I,MATCH($C648,'Policy Characteristics'!$C:$C,0))),"",INDEX('Policy Characteristics'!I:I,MATCH($C648,'Policy Characteristics'!$C:$C,0)))</f>
        <v>% of fuel shifted</v>
      </c>
      <c r="P648" s="275"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275" t="str">
        <f>IF(ISBLANK(INDEX('Policy Characteristics'!K:K,MATCH($C648,'Policy Characteristics'!$C:$C,0))),"",INDEX('Policy Characteristics'!K:K,MATCH($C648,'Policy Characteristics'!$C:$C,0)))</f>
        <v>industry-ag-main.html#fuel-switching</v>
      </c>
      <c r="R648" s="275" t="str">
        <f>IF(ISBLANK(INDEX('Policy Characteristics'!L:L,MATCH($C648,'Policy Characteristics'!$C:$C,0))),"",INDEX('Policy Characteristics'!L:L,MATCH($C648,'Policy Characteristics'!$C:$C,0)))</f>
        <v>industry-elec-and-hydrogen.html</v>
      </c>
    </row>
    <row r="649" spans="1:18" x14ac:dyDescent="0.25">
      <c r="A649" s="275" t="str">
        <f>IF(ISBLANK(INDEX('Policy Characteristics'!A:A,MATCH($C649,'Policy Characteristics'!$C:$C,0))),"",INDEX('Policy Characteristics'!A:A,MATCH($C649,'Policy Characteristics'!$C:$C,0)))</f>
        <v>Industry</v>
      </c>
      <c r="B649" s="284" t="str">
        <f>IF(ISBLANK(INDEX('Policy Characteristics'!B:B,MATCH($C649,'Policy Characteristics'!$C:$C,0))),"",INDEX('Policy Characteristics'!B:B,MATCH($C649,'Policy Characteristics'!$C:$C,0)))</f>
        <v>Electrification</v>
      </c>
      <c r="C649" s="275" t="str">
        <f t="shared" si="34"/>
        <v>Fraction of Eligible Industrial Energy Use Shifted to Electricity</v>
      </c>
      <c r="D649" s="6" t="s">
        <v>3080</v>
      </c>
      <c r="E649" s="1" t="s">
        <v>3549</v>
      </c>
      <c r="F649" t="s">
        <v>3043</v>
      </c>
      <c r="G649" s="47" t="s">
        <v>3556</v>
      </c>
      <c r="H649" s="44">
        <v>1916</v>
      </c>
      <c r="I649" s="346" t="s">
        <v>43</v>
      </c>
      <c r="J649" s="276" t="str">
        <f>IF(ISBLANK(INDEX('Policy Characteristics'!D:D,MATCH($C649,'Policy Characteristics'!$C:$C,0))),"",INDEX('Policy Characteristics'!D:D,MATCH($C649,'Policy Characteristics'!$C:$C,0)))</f>
        <v>Electrification</v>
      </c>
      <c r="K649" s="275" t="str">
        <f>IF(ISBLANK(INDEX('Policy Characteristics'!E:E,MATCH($C649,'Policy Characteristics'!$C:$C,0))),"",INDEX('Policy Characteristics'!E:E,MATCH($C649,'Policy Characteristics'!$C:$C,0)))</f>
        <v>indst shift to electricity</v>
      </c>
      <c r="L649" s="283">
        <f>IF(ISBLANK(INDEX('Policy Characteristics'!F:F,MATCH($C649,'Policy Characteristics'!$C:$C,0))),"",INDEX('Policy Characteristics'!F:F,MATCH($C649,'Policy Characteristics'!$C:$C,0)))</f>
        <v>0</v>
      </c>
      <c r="M649" s="283">
        <f>IF(ISBLANK(INDEX('Policy Characteristics'!G:G,MATCH($C649,'Policy Characteristics'!$C:$C,0))),"",INDEX('Policy Characteristics'!G:G,MATCH($C649,'Policy Characteristics'!$C:$C,0)))</f>
        <v>1</v>
      </c>
      <c r="N649" s="283">
        <f>IF(ISBLANK(INDEX('Policy Characteristics'!H:H,MATCH($C649,'Policy Characteristics'!$C:$C,0))),"",INDEX('Policy Characteristics'!H:H,MATCH($C649,'Policy Characteristics'!$C:$C,0)))</f>
        <v>0.01</v>
      </c>
      <c r="O649" s="275" t="str">
        <f>IF(ISBLANK(INDEX('Policy Characteristics'!I:I,MATCH($C649,'Policy Characteristics'!$C:$C,0))),"",INDEX('Policy Characteristics'!I:I,MATCH($C649,'Policy Characteristics'!$C:$C,0)))</f>
        <v>% of fuel shifted</v>
      </c>
      <c r="P649" s="275"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275" t="str">
        <f>IF(ISBLANK(INDEX('Policy Characteristics'!K:K,MATCH($C649,'Policy Characteristics'!$C:$C,0))),"",INDEX('Policy Characteristics'!K:K,MATCH($C649,'Policy Characteristics'!$C:$C,0)))</f>
        <v>industry-ag-main.html#fuel-switching</v>
      </c>
      <c r="R649" s="275" t="str">
        <f>IF(ISBLANK(INDEX('Policy Characteristics'!L:L,MATCH($C649,'Policy Characteristics'!$C:$C,0))),"",INDEX('Policy Characteristics'!L:L,MATCH($C649,'Policy Characteristics'!$C:$C,0)))</f>
        <v>industry-elec-and-hydrogen.html</v>
      </c>
    </row>
    <row r="650" spans="1:18" x14ac:dyDescent="0.25">
      <c r="A650" s="275" t="str">
        <f>IF(ISBLANK(INDEX('Policy Characteristics'!A:A,MATCH($C650,'Policy Characteristics'!$C:$C,0))),"",INDEX('Policy Characteristics'!A:A,MATCH($C650,'Policy Characteristics'!$C:$C,0)))</f>
        <v>Industry</v>
      </c>
      <c r="B650" s="284" t="str">
        <f>IF(ISBLANK(INDEX('Policy Characteristics'!B:B,MATCH($C650,'Policy Characteristics'!$C:$C,0))),"",INDEX('Policy Characteristics'!B:B,MATCH($C650,'Policy Characteristics'!$C:$C,0)))</f>
        <v>Electrification</v>
      </c>
      <c r="C650" s="275" t="str">
        <f t="shared" si="34"/>
        <v>Fraction of Eligible Industrial Energy Use Shifted to Electricity</v>
      </c>
      <c r="D650" s="6" t="s">
        <v>3080</v>
      </c>
      <c r="E650" s="1" t="s">
        <v>3550</v>
      </c>
      <c r="F650" t="s">
        <v>3043</v>
      </c>
      <c r="G650" s="47" t="s">
        <v>3557</v>
      </c>
      <c r="H650" s="44">
        <v>1917</v>
      </c>
      <c r="I650" s="346" t="s">
        <v>43</v>
      </c>
      <c r="J650" s="276" t="str">
        <f>IF(ISBLANK(INDEX('Policy Characteristics'!D:D,MATCH($C650,'Policy Characteristics'!$C:$C,0))),"",INDEX('Policy Characteristics'!D:D,MATCH($C650,'Policy Characteristics'!$C:$C,0)))</f>
        <v>Electrification</v>
      </c>
      <c r="K650" s="275" t="str">
        <f>IF(ISBLANK(INDEX('Policy Characteristics'!E:E,MATCH($C650,'Policy Characteristics'!$C:$C,0))),"",INDEX('Policy Characteristics'!E:E,MATCH($C650,'Policy Characteristics'!$C:$C,0)))</f>
        <v>indst shift to electricity</v>
      </c>
      <c r="L650" s="283">
        <f>IF(ISBLANK(INDEX('Policy Characteristics'!F:F,MATCH($C650,'Policy Characteristics'!$C:$C,0))),"",INDEX('Policy Characteristics'!F:F,MATCH($C650,'Policy Characteristics'!$C:$C,0)))</f>
        <v>0</v>
      </c>
      <c r="M650" s="283">
        <f>IF(ISBLANK(INDEX('Policy Characteristics'!G:G,MATCH($C650,'Policy Characteristics'!$C:$C,0))),"",INDEX('Policy Characteristics'!G:G,MATCH($C650,'Policy Characteristics'!$C:$C,0)))</f>
        <v>1</v>
      </c>
      <c r="N650" s="283">
        <f>IF(ISBLANK(INDEX('Policy Characteristics'!H:H,MATCH($C650,'Policy Characteristics'!$C:$C,0))),"",INDEX('Policy Characteristics'!H:H,MATCH($C650,'Policy Characteristics'!$C:$C,0)))</f>
        <v>0.01</v>
      </c>
      <c r="O650" s="275" t="str">
        <f>IF(ISBLANK(INDEX('Policy Characteristics'!I:I,MATCH($C650,'Policy Characteristics'!$C:$C,0))),"",INDEX('Policy Characteristics'!I:I,MATCH($C650,'Policy Characteristics'!$C:$C,0)))</f>
        <v>% of fuel shifted</v>
      </c>
      <c r="P650" s="275"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275" t="str">
        <f>IF(ISBLANK(INDEX('Policy Characteristics'!K:K,MATCH($C650,'Policy Characteristics'!$C:$C,0))),"",INDEX('Policy Characteristics'!K:K,MATCH($C650,'Policy Characteristics'!$C:$C,0)))</f>
        <v>industry-ag-main.html#fuel-switching</v>
      </c>
      <c r="R650" s="275" t="str">
        <f>IF(ISBLANK(INDEX('Policy Characteristics'!L:L,MATCH($C650,'Policy Characteristics'!$C:$C,0))),"",INDEX('Policy Characteristics'!L:L,MATCH($C650,'Policy Characteristics'!$C:$C,0)))</f>
        <v>industry-elec-and-hydrogen.html</v>
      </c>
    </row>
    <row r="651" spans="1:18" x14ac:dyDescent="0.25">
      <c r="A651" s="275" t="str">
        <f>IF(ISBLANK(INDEX('Policy Characteristics'!A:A,MATCH($C651,'Policy Characteristics'!$C:$C,0))),"",INDEX('Policy Characteristics'!A:A,MATCH($C651,'Policy Characteristics'!$C:$C,0)))</f>
        <v>Industry</v>
      </c>
      <c r="B651" s="284" t="str">
        <f>IF(ISBLANK(INDEX('Policy Characteristics'!B:B,MATCH($C651,'Policy Characteristics'!$C:$C,0))),"",INDEX('Policy Characteristics'!B:B,MATCH($C651,'Policy Characteristics'!$C:$C,0)))</f>
        <v>Electrification</v>
      </c>
      <c r="C651" s="275" t="str">
        <f t="shared" si="34"/>
        <v>Fraction of Eligible Industrial Energy Use Shifted to Electricity</v>
      </c>
      <c r="D651" s="6" t="s">
        <v>3080</v>
      </c>
      <c r="E651" s="1" t="s">
        <v>3551</v>
      </c>
      <c r="F651" t="s">
        <v>3043</v>
      </c>
      <c r="G651" s="47" t="s">
        <v>3558</v>
      </c>
      <c r="H651" s="44">
        <v>1918</v>
      </c>
      <c r="I651" s="346" t="s">
        <v>44</v>
      </c>
      <c r="J651" s="276" t="str">
        <f>IF(ISBLANK(INDEX('Policy Characteristics'!D:D,MATCH($C651,'Policy Characteristics'!$C:$C,0))),"",INDEX('Policy Characteristics'!D:D,MATCH($C651,'Policy Characteristics'!$C:$C,0)))</f>
        <v>Electrification</v>
      </c>
      <c r="K651" s="275" t="str">
        <f>IF(ISBLANK(INDEX('Policy Characteristics'!E:E,MATCH($C651,'Policy Characteristics'!$C:$C,0))),"",INDEX('Policy Characteristics'!E:E,MATCH($C651,'Policy Characteristics'!$C:$C,0)))</f>
        <v>indst shift to electricity</v>
      </c>
      <c r="L651" s="283">
        <f>IF(ISBLANK(INDEX('Policy Characteristics'!F:F,MATCH($C651,'Policy Characteristics'!$C:$C,0))),"",INDEX('Policy Characteristics'!F:F,MATCH($C651,'Policy Characteristics'!$C:$C,0)))</f>
        <v>0</v>
      </c>
      <c r="M651" s="283">
        <f>IF(ISBLANK(INDEX('Policy Characteristics'!G:G,MATCH($C651,'Policy Characteristics'!$C:$C,0))),"",INDEX('Policy Characteristics'!G:G,MATCH($C651,'Policy Characteristics'!$C:$C,0)))</f>
        <v>1</v>
      </c>
      <c r="N651" s="283">
        <f>IF(ISBLANK(INDEX('Policy Characteristics'!H:H,MATCH($C651,'Policy Characteristics'!$C:$C,0))),"",INDEX('Policy Characteristics'!H:H,MATCH($C651,'Policy Characteristics'!$C:$C,0)))</f>
        <v>0.01</v>
      </c>
      <c r="O651" s="275" t="str">
        <f>IF(ISBLANK(INDEX('Policy Characteristics'!I:I,MATCH($C651,'Policy Characteristics'!$C:$C,0))),"",INDEX('Policy Characteristics'!I:I,MATCH($C651,'Policy Characteristics'!$C:$C,0)))</f>
        <v>% of fuel shifted</v>
      </c>
      <c r="P651" s="275"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275" t="str">
        <f>IF(ISBLANK(INDEX('Policy Characteristics'!K:K,MATCH($C651,'Policy Characteristics'!$C:$C,0))),"",INDEX('Policy Characteristics'!K:K,MATCH($C651,'Policy Characteristics'!$C:$C,0)))</f>
        <v>industry-ag-main.html#fuel-switching</v>
      </c>
      <c r="R651" s="275" t="str">
        <f>IF(ISBLANK(INDEX('Policy Characteristics'!L:L,MATCH($C651,'Policy Characteristics'!$C:$C,0))),"",INDEX('Policy Characteristics'!L:L,MATCH($C651,'Policy Characteristics'!$C:$C,0)))</f>
        <v>industry-elec-and-hydrogen.html</v>
      </c>
    </row>
    <row r="652" spans="1:18" x14ac:dyDescent="0.25">
      <c r="A652" s="275" t="str">
        <f>IF(ISBLANK(INDEX('Policy Characteristics'!A:A,MATCH($C652,'Policy Characteristics'!$C:$C,0))),"",INDEX('Policy Characteristics'!A:A,MATCH($C652,'Policy Characteristics'!$C:$C,0)))</f>
        <v>Industry</v>
      </c>
      <c r="B652" s="284" t="str">
        <f>IF(ISBLANK(INDEX('Policy Characteristics'!B:B,MATCH($C652,'Policy Characteristics'!$C:$C,0))),"",INDEX('Policy Characteristics'!B:B,MATCH($C652,'Policy Characteristics'!$C:$C,0)))</f>
        <v>Electrification</v>
      </c>
      <c r="C652" s="275" t="str">
        <f t="shared" si="34"/>
        <v>Fraction of Eligible Industrial Energy Use Shifted to Electricity</v>
      </c>
      <c r="D652" s="6" t="s">
        <v>3080</v>
      </c>
      <c r="E652" s="1" t="s">
        <v>3552</v>
      </c>
      <c r="F652" t="s">
        <v>3043</v>
      </c>
      <c r="G652" s="47" t="s">
        <v>3559</v>
      </c>
      <c r="H652" s="44">
        <v>1919</v>
      </c>
      <c r="I652" s="346" t="s">
        <v>44</v>
      </c>
      <c r="J652" s="276" t="str">
        <f>IF(ISBLANK(INDEX('Policy Characteristics'!D:D,MATCH($C652,'Policy Characteristics'!$C:$C,0))),"",INDEX('Policy Characteristics'!D:D,MATCH($C652,'Policy Characteristics'!$C:$C,0)))</f>
        <v>Electrification</v>
      </c>
      <c r="K652" s="275" t="str">
        <f>IF(ISBLANK(INDEX('Policy Characteristics'!E:E,MATCH($C652,'Policy Characteristics'!$C:$C,0))),"",INDEX('Policy Characteristics'!E:E,MATCH($C652,'Policy Characteristics'!$C:$C,0)))</f>
        <v>indst shift to electricity</v>
      </c>
      <c r="L652" s="283">
        <f>IF(ISBLANK(INDEX('Policy Characteristics'!F:F,MATCH($C652,'Policy Characteristics'!$C:$C,0))),"",INDEX('Policy Characteristics'!F:F,MATCH($C652,'Policy Characteristics'!$C:$C,0)))</f>
        <v>0</v>
      </c>
      <c r="M652" s="283">
        <f>IF(ISBLANK(INDEX('Policy Characteristics'!G:G,MATCH($C652,'Policy Characteristics'!$C:$C,0))),"",INDEX('Policy Characteristics'!G:G,MATCH($C652,'Policy Characteristics'!$C:$C,0)))</f>
        <v>1</v>
      </c>
      <c r="N652" s="283">
        <f>IF(ISBLANK(INDEX('Policy Characteristics'!H:H,MATCH($C652,'Policy Characteristics'!$C:$C,0))),"",INDEX('Policy Characteristics'!H:H,MATCH($C652,'Policy Characteristics'!$C:$C,0)))</f>
        <v>0.01</v>
      </c>
      <c r="O652" s="275" t="str">
        <f>IF(ISBLANK(INDEX('Policy Characteristics'!I:I,MATCH($C652,'Policy Characteristics'!$C:$C,0))),"",INDEX('Policy Characteristics'!I:I,MATCH($C652,'Policy Characteristics'!$C:$C,0)))</f>
        <v>% of fuel shifted</v>
      </c>
      <c r="P652" s="275"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275" t="str">
        <f>IF(ISBLANK(INDEX('Policy Characteristics'!K:K,MATCH($C652,'Policy Characteristics'!$C:$C,0))),"",INDEX('Policy Characteristics'!K:K,MATCH($C652,'Policy Characteristics'!$C:$C,0)))</f>
        <v>industry-ag-main.html#fuel-switching</v>
      </c>
      <c r="R652" s="275" t="str">
        <f>IF(ISBLANK(INDEX('Policy Characteristics'!L:L,MATCH($C652,'Policy Characteristics'!$C:$C,0))),"",INDEX('Policy Characteristics'!L:L,MATCH($C652,'Policy Characteristics'!$C:$C,0)))</f>
        <v>industry-elec-and-hydrogen.html</v>
      </c>
    </row>
    <row r="653" spans="1:18" x14ac:dyDescent="0.25">
      <c r="A653" s="275" t="str">
        <f>IF(ISBLANK(INDEX('Policy Characteristics'!A:A,MATCH($C653,'Policy Characteristics'!$C:$C,0))),"",INDEX('Policy Characteristics'!A:A,MATCH($C653,'Policy Characteristics'!$C:$C,0)))</f>
        <v>Industry</v>
      </c>
      <c r="B653" s="284" t="str">
        <f>IF(ISBLANK(INDEX('Policy Characteristics'!B:B,MATCH($C653,'Policy Characteristics'!$C:$C,0))),"",INDEX('Policy Characteristics'!B:B,MATCH($C653,'Policy Characteristics'!$C:$C,0)))</f>
        <v>Electrification</v>
      </c>
      <c r="C653" s="275" t="str">
        <f t="shared" si="34"/>
        <v>Fraction of Eligible Industrial Energy Use Shifted to Electricity</v>
      </c>
      <c r="D653" s="6" t="s">
        <v>3080</v>
      </c>
      <c r="E653" s="1" t="s">
        <v>3553</v>
      </c>
      <c r="F653" t="s">
        <v>3043</v>
      </c>
      <c r="G653" s="47" t="s">
        <v>3560</v>
      </c>
      <c r="H653" s="44">
        <v>1920</v>
      </c>
      <c r="I653" s="346" t="s">
        <v>44</v>
      </c>
      <c r="J653" s="276" t="str">
        <f>IF(ISBLANK(INDEX('Policy Characteristics'!D:D,MATCH($C653,'Policy Characteristics'!$C:$C,0))),"",INDEX('Policy Characteristics'!D:D,MATCH($C653,'Policy Characteristics'!$C:$C,0)))</f>
        <v>Electrification</v>
      </c>
      <c r="K653" s="275" t="str">
        <f>IF(ISBLANK(INDEX('Policy Characteristics'!E:E,MATCH($C653,'Policy Characteristics'!$C:$C,0))),"",INDEX('Policy Characteristics'!E:E,MATCH($C653,'Policy Characteristics'!$C:$C,0)))</f>
        <v>indst shift to electricity</v>
      </c>
      <c r="L653" s="283">
        <f>IF(ISBLANK(INDEX('Policy Characteristics'!F:F,MATCH($C653,'Policy Characteristics'!$C:$C,0))),"",INDEX('Policy Characteristics'!F:F,MATCH($C653,'Policy Characteristics'!$C:$C,0)))</f>
        <v>0</v>
      </c>
      <c r="M653" s="283">
        <f>IF(ISBLANK(INDEX('Policy Characteristics'!G:G,MATCH($C653,'Policy Characteristics'!$C:$C,0))),"",INDEX('Policy Characteristics'!G:G,MATCH($C653,'Policy Characteristics'!$C:$C,0)))</f>
        <v>1</v>
      </c>
      <c r="N653" s="283">
        <f>IF(ISBLANK(INDEX('Policy Characteristics'!H:H,MATCH($C653,'Policy Characteristics'!$C:$C,0))),"",INDEX('Policy Characteristics'!H:H,MATCH($C653,'Policy Characteristics'!$C:$C,0)))</f>
        <v>0.01</v>
      </c>
      <c r="O653" s="275" t="str">
        <f>IF(ISBLANK(INDEX('Policy Characteristics'!I:I,MATCH($C653,'Policy Characteristics'!$C:$C,0))),"",INDEX('Policy Characteristics'!I:I,MATCH($C653,'Policy Characteristics'!$C:$C,0)))</f>
        <v>% of fuel shifted</v>
      </c>
      <c r="P653" s="275"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275" t="str">
        <f>IF(ISBLANK(INDEX('Policy Characteristics'!K:K,MATCH($C653,'Policy Characteristics'!$C:$C,0))),"",INDEX('Policy Characteristics'!K:K,MATCH($C653,'Policy Characteristics'!$C:$C,0)))</f>
        <v>industry-ag-main.html#fuel-switching</v>
      </c>
      <c r="R653" s="275" t="str">
        <f>IF(ISBLANK(INDEX('Policy Characteristics'!L:L,MATCH($C653,'Policy Characteristics'!$C:$C,0))),"",INDEX('Policy Characteristics'!L:L,MATCH($C653,'Policy Characteristics'!$C:$C,0)))</f>
        <v>industry-elec-and-hydrogen.html</v>
      </c>
    </row>
    <row r="654" spans="1:18" x14ac:dyDescent="0.25">
      <c r="A654" s="275" t="str">
        <f>IF(ISBLANK(INDEX('Policy Characteristics'!A:A,MATCH($C654,'Policy Characteristics'!$C:$C,0))),"",INDEX('Policy Characteristics'!A:A,MATCH($C654,'Policy Characteristics'!$C:$C,0)))</f>
        <v>Industry</v>
      </c>
      <c r="B654" s="284" t="str">
        <f>IF(ISBLANK(INDEX('Policy Characteristics'!B:B,MATCH($C654,'Policy Characteristics'!$C:$C,0))),"",INDEX('Policy Characteristics'!B:B,MATCH($C654,'Policy Characteristics'!$C:$C,0)))</f>
        <v>Electrification</v>
      </c>
      <c r="C654" s="275" t="str">
        <f t="shared" si="34"/>
        <v>Fraction of Eligible Industrial Energy Use Shifted to Electricity</v>
      </c>
      <c r="D654" s="6" t="s">
        <v>3080</v>
      </c>
      <c r="E654" s="1" t="s">
        <v>3737</v>
      </c>
      <c r="F654" t="s">
        <v>3043</v>
      </c>
      <c r="G654" s="47" t="s">
        <v>3738</v>
      </c>
      <c r="H654" s="44">
        <v>1921</v>
      </c>
      <c r="I654" s="346" t="s">
        <v>44</v>
      </c>
      <c r="J654" s="276" t="str">
        <f>IF(ISBLANK(INDEX('Policy Characteristics'!D:D,MATCH($C654,'Policy Characteristics'!$C:$C,0))),"",INDEX('Policy Characteristics'!D:D,MATCH($C654,'Policy Characteristics'!$C:$C,0)))</f>
        <v>Electrification</v>
      </c>
      <c r="K654" s="275" t="str">
        <f>IF(ISBLANK(INDEX('Policy Characteristics'!E:E,MATCH($C654,'Policy Characteristics'!$C:$C,0))),"",INDEX('Policy Characteristics'!E:E,MATCH($C654,'Policy Characteristics'!$C:$C,0)))</f>
        <v>indst shift to electricity</v>
      </c>
      <c r="L654" s="283">
        <f>IF(ISBLANK(INDEX('Policy Characteristics'!F:F,MATCH($C654,'Policy Characteristics'!$C:$C,0))),"",INDEX('Policy Characteristics'!F:F,MATCH($C654,'Policy Characteristics'!$C:$C,0)))</f>
        <v>0</v>
      </c>
      <c r="M654" s="283">
        <f>IF(ISBLANK(INDEX('Policy Characteristics'!G:G,MATCH($C654,'Policy Characteristics'!$C:$C,0))),"",INDEX('Policy Characteristics'!G:G,MATCH($C654,'Policy Characteristics'!$C:$C,0)))</f>
        <v>1</v>
      </c>
      <c r="N654" s="283">
        <f>IF(ISBLANK(INDEX('Policy Characteristics'!H:H,MATCH($C654,'Policy Characteristics'!$C:$C,0))),"",INDEX('Policy Characteristics'!H:H,MATCH($C654,'Policy Characteristics'!$C:$C,0)))</f>
        <v>0.01</v>
      </c>
      <c r="O654" s="275" t="str">
        <f>IF(ISBLANK(INDEX('Policy Characteristics'!I:I,MATCH($C654,'Policy Characteristics'!$C:$C,0))),"",INDEX('Policy Characteristics'!I:I,MATCH($C654,'Policy Characteristics'!$C:$C,0)))</f>
        <v>% of fuel shifted</v>
      </c>
      <c r="P654" s="275"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275" t="str">
        <f>IF(ISBLANK(INDEX('Policy Characteristics'!K:K,MATCH($C654,'Policy Characteristics'!$C:$C,0))),"",INDEX('Policy Characteristics'!K:K,MATCH($C654,'Policy Characteristics'!$C:$C,0)))</f>
        <v>industry-ag-main.html#fuel-switching</v>
      </c>
      <c r="R654" s="275" t="str">
        <f>IF(ISBLANK(INDEX('Policy Characteristics'!L:L,MATCH($C654,'Policy Characteristics'!$C:$C,0))),"",INDEX('Policy Characteristics'!L:L,MATCH($C654,'Policy Characteristics'!$C:$C,0)))</f>
        <v>industry-elec-and-hydrogen.html</v>
      </c>
    </row>
    <row r="655" spans="1:18" x14ac:dyDescent="0.25">
      <c r="A655" s="275" t="str">
        <f>IF(ISBLANK(INDEX('Policy Characteristics'!A:A,MATCH($C655,'Policy Characteristics'!$C:$C,0))),"",INDEX('Policy Characteristics'!A:A,MATCH($C655,'Policy Characteristics'!$C:$C,0)))</f>
        <v>Industry</v>
      </c>
      <c r="B655" s="284" t="str">
        <f>IF(ISBLANK(INDEX('Policy Characteristics'!B:B,MATCH($C655,'Policy Characteristics'!$C:$C,0))),"",INDEX('Policy Characteristics'!B:B,MATCH($C655,'Policy Characteristics'!$C:$C,0)))</f>
        <v>Electrification</v>
      </c>
      <c r="C655" s="275" t="str">
        <f t="shared" si="34"/>
        <v>Fraction of Eligible Industrial Energy Use Shifted to Electricity</v>
      </c>
      <c r="D655" s="6" t="s">
        <v>3081</v>
      </c>
      <c r="E655" s="1" t="s">
        <v>3547</v>
      </c>
      <c r="F655" t="s">
        <v>3044</v>
      </c>
      <c r="G655" s="47" t="s">
        <v>3554</v>
      </c>
      <c r="H655" s="44">
        <v>1922</v>
      </c>
      <c r="I655" s="346" t="s">
        <v>44</v>
      </c>
      <c r="J655" s="276" t="str">
        <f>IF(ISBLANK(INDEX('Policy Characteristics'!D:D,MATCH($C655,'Policy Characteristics'!$C:$C,0))),"",INDEX('Policy Characteristics'!D:D,MATCH($C655,'Policy Characteristics'!$C:$C,0)))</f>
        <v>Electrification</v>
      </c>
      <c r="K655" s="275" t="str">
        <f>IF(ISBLANK(INDEX('Policy Characteristics'!E:E,MATCH($C655,'Policy Characteristics'!$C:$C,0))),"",INDEX('Policy Characteristics'!E:E,MATCH($C655,'Policy Characteristics'!$C:$C,0)))</f>
        <v>indst shift to electricity</v>
      </c>
      <c r="L655" s="283">
        <f>IF(ISBLANK(INDEX('Policy Characteristics'!F:F,MATCH($C655,'Policy Characteristics'!$C:$C,0))),"",INDEX('Policy Characteristics'!F:F,MATCH($C655,'Policy Characteristics'!$C:$C,0)))</f>
        <v>0</v>
      </c>
      <c r="M655" s="283">
        <f>IF(ISBLANK(INDEX('Policy Characteristics'!G:G,MATCH($C655,'Policy Characteristics'!$C:$C,0))),"",INDEX('Policy Characteristics'!G:G,MATCH($C655,'Policy Characteristics'!$C:$C,0)))</f>
        <v>1</v>
      </c>
      <c r="N655" s="283">
        <f>IF(ISBLANK(INDEX('Policy Characteristics'!H:H,MATCH($C655,'Policy Characteristics'!$C:$C,0))),"",INDEX('Policy Characteristics'!H:H,MATCH($C655,'Policy Characteristics'!$C:$C,0)))</f>
        <v>0.01</v>
      </c>
      <c r="O655" s="275" t="str">
        <f>IF(ISBLANK(INDEX('Policy Characteristics'!I:I,MATCH($C655,'Policy Characteristics'!$C:$C,0))),"",INDEX('Policy Characteristics'!I:I,MATCH($C655,'Policy Characteristics'!$C:$C,0)))</f>
        <v>% of fuel shifted</v>
      </c>
      <c r="P655" s="275"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275" t="str">
        <f>IF(ISBLANK(INDEX('Policy Characteristics'!K:K,MATCH($C655,'Policy Characteristics'!$C:$C,0))),"",INDEX('Policy Characteristics'!K:K,MATCH($C655,'Policy Characteristics'!$C:$C,0)))</f>
        <v>industry-ag-main.html#fuel-switching</v>
      </c>
      <c r="R655" s="275" t="str">
        <f>IF(ISBLANK(INDEX('Policy Characteristics'!L:L,MATCH($C655,'Policy Characteristics'!$C:$C,0))),"",INDEX('Policy Characteristics'!L:L,MATCH($C655,'Policy Characteristics'!$C:$C,0)))</f>
        <v>industry-elec-and-hydrogen.html</v>
      </c>
    </row>
    <row r="656" spans="1:18" x14ac:dyDescent="0.25">
      <c r="A656" s="275" t="str">
        <f>IF(ISBLANK(INDEX('Policy Characteristics'!A:A,MATCH($C656,'Policy Characteristics'!$C:$C,0))),"",INDEX('Policy Characteristics'!A:A,MATCH($C656,'Policy Characteristics'!$C:$C,0)))</f>
        <v>Industry</v>
      </c>
      <c r="B656" s="284" t="str">
        <f>IF(ISBLANK(INDEX('Policy Characteristics'!B:B,MATCH($C656,'Policy Characteristics'!$C:$C,0))),"",INDEX('Policy Characteristics'!B:B,MATCH($C656,'Policy Characteristics'!$C:$C,0)))</f>
        <v>Electrification</v>
      </c>
      <c r="C656" s="275" t="str">
        <f t="shared" si="34"/>
        <v>Fraction of Eligible Industrial Energy Use Shifted to Electricity</v>
      </c>
      <c r="D656" s="6" t="s">
        <v>3081</v>
      </c>
      <c r="E656" s="1" t="s">
        <v>3548</v>
      </c>
      <c r="F656" t="s">
        <v>3044</v>
      </c>
      <c r="G656" s="47" t="s">
        <v>3555</v>
      </c>
      <c r="H656" s="44">
        <v>1923</v>
      </c>
      <c r="I656" s="346" t="s">
        <v>44</v>
      </c>
      <c r="J656" s="276" t="str">
        <f>IF(ISBLANK(INDEX('Policy Characteristics'!D:D,MATCH($C656,'Policy Characteristics'!$C:$C,0))),"",INDEX('Policy Characteristics'!D:D,MATCH($C656,'Policy Characteristics'!$C:$C,0)))</f>
        <v>Electrification</v>
      </c>
      <c r="K656" s="275" t="str">
        <f>IF(ISBLANK(INDEX('Policy Characteristics'!E:E,MATCH($C656,'Policy Characteristics'!$C:$C,0))),"",INDEX('Policy Characteristics'!E:E,MATCH($C656,'Policy Characteristics'!$C:$C,0)))</f>
        <v>indst shift to electricity</v>
      </c>
      <c r="L656" s="283">
        <f>IF(ISBLANK(INDEX('Policy Characteristics'!F:F,MATCH($C656,'Policy Characteristics'!$C:$C,0))),"",INDEX('Policy Characteristics'!F:F,MATCH($C656,'Policy Characteristics'!$C:$C,0)))</f>
        <v>0</v>
      </c>
      <c r="M656" s="283">
        <f>IF(ISBLANK(INDEX('Policy Characteristics'!G:G,MATCH($C656,'Policy Characteristics'!$C:$C,0))),"",INDEX('Policy Characteristics'!G:G,MATCH($C656,'Policy Characteristics'!$C:$C,0)))</f>
        <v>1</v>
      </c>
      <c r="N656" s="283">
        <f>IF(ISBLANK(INDEX('Policy Characteristics'!H:H,MATCH($C656,'Policy Characteristics'!$C:$C,0))),"",INDEX('Policy Characteristics'!H:H,MATCH($C656,'Policy Characteristics'!$C:$C,0)))</f>
        <v>0.01</v>
      </c>
      <c r="O656" s="275" t="str">
        <f>IF(ISBLANK(INDEX('Policy Characteristics'!I:I,MATCH($C656,'Policy Characteristics'!$C:$C,0))),"",INDEX('Policy Characteristics'!I:I,MATCH($C656,'Policy Characteristics'!$C:$C,0)))</f>
        <v>% of fuel shifted</v>
      </c>
      <c r="P656" s="275"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275" t="str">
        <f>IF(ISBLANK(INDEX('Policy Characteristics'!K:K,MATCH($C656,'Policy Characteristics'!$C:$C,0))),"",INDEX('Policy Characteristics'!K:K,MATCH($C656,'Policy Characteristics'!$C:$C,0)))</f>
        <v>industry-ag-main.html#fuel-switching</v>
      </c>
      <c r="R656" s="275" t="str">
        <f>IF(ISBLANK(INDEX('Policy Characteristics'!L:L,MATCH($C656,'Policy Characteristics'!$C:$C,0))),"",INDEX('Policy Characteristics'!L:L,MATCH($C656,'Policy Characteristics'!$C:$C,0)))</f>
        <v>industry-elec-and-hydrogen.html</v>
      </c>
    </row>
    <row r="657" spans="1:18" x14ac:dyDescent="0.25">
      <c r="A657" s="275" t="str">
        <f>IF(ISBLANK(INDEX('Policy Characteristics'!A:A,MATCH($C657,'Policy Characteristics'!$C:$C,0))),"",INDEX('Policy Characteristics'!A:A,MATCH($C657,'Policy Characteristics'!$C:$C,0)))</f>
        <v>Industry</v>
      </c>
      <c r="B657" s="284" t="str">
        <f>IF(ISBLANK(INDEX('Policy Characteristics'!B:B,MATCH($C657,'Policy Characteristics'!$C:$C,0))),"",INDEX('Policy Characteristics'!B:B,MATCH($C657,'Policy Characteristics'!$C:$C,0)))</f>
        <v>Electrification</v>
      </c>
      <c r="C657" s="275" t="str">
        <f t="shared" si="34"/>
        <v>Fraction of Eligible Industrial Energy Use Shifted to Electricity</v>
      </c>
      <c r="D657" s="6" t="s">
        <v>3081</v>
      </c>
      <c r="E657" s="1" t="s">
        <v>3549</v>
      </c>
      <c r="F657" t="s">
        <v>3044</v>
      </c>
      <c r="G657" s="47" t="s">
        <v>3556</v>
      </c>
      <c r="H657" s="44">
        <v>1924</v>
      </c>
      <c r="I657" s="346" t="s">
        <v>44</v>
      </c>
      <c r="J657" s="276" t="str">
        <f>IF(ISBLANK(INDEX('Policy Characteristics'!D:D,MATCH($C657,'Policy Characteristics'!$C:$C,0))),"",INDEX('Policy Characteristics'!D:D,MATCH($C657,'Policy Characteristics'!$C:$C,0)))</f>
        <v>Electrification</v>
      </c>
      <c r="K657" s="275" t="str">
        <f>IF(ISBLANK(INDEX('Policy Characteristics'!E:E,MATCH($C657,'Policy Characteristics'!$C:$C,0))),"",INDEX('Policy Characteristics'!E:E,MATCH($C657,'Policy Characteristics'!$C:$C,0)))</f>
        <v>indst shift to electricity</v>
      </c>
      <c r="L657" s="283">
        <f>IF(ISBLANK(INDEX('Policy Characteristics'!F:F,MATCH($C657,'Policy Characteristics'!$C:$C,0))),"",INDEX('Policy Characteristics'!F:F,MATCH($C657,'Policy Characteristics'!$C:$C,0)))</f>
        <v>0</v>
      </c>
      <c r="M657" s="283">
        <f>IF(ISBLANK(INDEX('Policy Characteristics'!G:G,MATCH($C657,'Policy Characteristics'!$C:$C,0))),"",INDEX('Policy Characteristics'!G:G,MATCH($C657,'Policy Characteristics'!$C:$C,0)))</f>
        <v>1</v>
      </c>
      <c r="N657" s="283">
        <f>IF(ISBLANK(INDEX('Policy Characteristics'!H:H,MATCH($C657,'Policy Characteristics'!$C:$C,0))),"",INDEX('Policy Characteristics'!H:H,MATCH($C657,'Policy Characteristics'!$C:$C,0)))</f>
        <v>0.01</v>
      </c>
      <c r="O657" s="275" t="str">
        <f>IF(ISBLANK(INDEX('Policy Characteristics'!I:I,MATCH($C657,'Policy Characteristics'!$C:$C,0))),"",INDEX('Policy Characteristics'!I:I,MATCH($C657,'Policy Characteristics'!$C:$C,0)))</f>
        <v>% of fuel shifted</v>
      </c>
      <c r="P657" s="275"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275" t="str">
        <f>IF(ISBLANK(INDEX('Policy Characteristics'!K:K,MATCH($C657,'Policy Characteristics'!$C:$C,0))),"",INDEX('Policy Characteristics'!K:K,MATCH($C657,'Policy Characteristics'!$C:$C,0)))</f>
        <v>industry-ag-main.html#fuel-switching</v>
      </c>
      <c r="R657" s="275" t="str">
        <f>IF(ISBLANK(INDEX('Policy Characteristics'!L:L,MATCH($C657,'Policy Characteristics'!$C:$C,0))),"",INDEX('Policy Characteristics'!L:L,MATCH($C657,'Policy Characteristics'!$C:$C,0)))</f>
        <v>industry-elec-and-hydrogen.html</v>
      </c>
    </row>
    <row r="658" spans="1:18" x14ac:dyDescent="0.25">
      <c r="A658" s="275" t="str">
        <f>IF(ISBLANK(INDEX('Policy Characteristics'!A:A,MATCH($C658,'Policy Characteristics'!$C:$C,0))),"",INDEX('Policy Characteristics'!A:A,MATCH($C658,'Policy Characteristics'!$C:$C,0)))</f>
        <v>Industry</v>
      </c>
      <c r="B658" s="284" t="str">
        <f>IF(ISBLANK(INDEX('Policy Characteristics'!B:B,MATCH($C658,'Policy Characteristics'!$C:$C,0))),"",INDEX('Policy Characteristics'!B:B,MATCH($C658,'Policy Characteristics'!$C:$C,0)))</f>
        <v>Electrification</v>
      </c>
      <c r="C658" s="275" t="str">
        <f t="shared" si="34"/>
        <v>Fraction of Eligible Industrial Energy Use Shifted to Electricity</v>
      </c>
      <c r="D658" s="6" t="s">
        <v>3081</v>
      </c>
      <c r="E658" s="1" t="s">
        <v>3550</v>
      </c>
      <c r="F658" t="s">
        <v>3044</v>
      </c>
      <c r="G658" s="47" t="s">
        <v>3557</v>
      </c>
      <c r="H658" s="44">
        <v>1925</v>
      </c>
      <c r="I658" s="346" t="s">
        <v>43</v>
      </c>
      <c r="J658" s="276" t="str">
        <f>IF(ISBLANK(INDEX('Policy Characteristics'!D:D,MATCH($C658,'Policy Characteristics'!$C:$C,0))),"",INDEX('Policy Characteristics'!D:D,MATCH($C658,'Policy Characteristics'!$C:$C,0)))</f>
        <v>Electrification</v>
      </c>
      <c r="K658" s="275" t="str">
        <f>IF(ISBLANK(INDEX('Policy Characteristics'!E:E,MATCH($C658,'Policy Characteristics'!$C:$C,0))),"",INDEX('Policy Characteristics'!E:E,MATCH($C658,'Policy Characteristics'!$C:$C,0)))</f>
        <v>indst shift to electricity</v>
      </c>
      <c r="L658" s="283">
        <f>IF(ISBLANK(INDEX('Policy Characteristics'!F:F,MATCH($C658,'Policy Characteristics'!$C:$C,0))),"",INDEX('Policy Characteristics'!F:F,MATCH($C658,'Policy Characteristics'!$C:$C,0)))</f>
        <v>0</v>
      </c>
      <c r="M658" s="283">
        <f>IF(ISBLANK(INDEX('Policy Characteristics'!G:G,MATCH($C658,'Policy Characteristics'!$C:$C,0))),"",INDEX('Policy Characteristics'!G:G,MATCH($C658,'Policy Characteristics'!$C:$C,0)))</f>
        <v>1</v>
      </c>
      <c r="N658" s="283">
        <f>IF(ISBLANK(INDEX('Policy Characteristics'!H:H,MATCH($C658,'Policy Characteristics'!$C:$C,0))),"",INDEX('Policy Characteristics'!H:H,MATCH($C658,'Policy Characteristics'!$C:$C,0)))</f>
        <v>0.01</v>
      </c>
      <c r="O658" s="275" t="str">
        <f>IF(ISBLANK(INDEX('Policy Characteristics'!I:I,MATCH($C658,'Policy Characteristics'!$C:$C,0))),"",INDEX('Policy Characteristics'!I:I,MATCH($C658,'Policy Characteristics'!$C:$C,0)))</f>
        <v>% of fuel shifted</v>
      </c>
      <c r="P658" s="275"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275" t="str">
        <f>IF(ISBLANK(INDEX('Policy Characteristics'!K:K,MATCH($C658,'Policy Characteristics'!$C:$C,0))),"",INDEX('Policy Characteristics'!K:K,MATCH($C658,'Policy Characteristics'!$C:$C,0)))</f>
        <v>industry-ag-main.html#fuel-switching</v>
      </c>
      <c r="R658" s="275" t="str">
        <f>IF(ISBLANK(INDEX('Policy Characteristics'!L:L,MATCH($C658,'Policy Characteristics'!$C:$C,0))),"",INDEX('Policy Characteristics'!L:L,MATCH($C658,'Policy Characteristics'!$C:$C,0)))</f>
        <v>industry-elec-and-hydrogen.html</v>
      </c>
    </row>
    <row r="659" spans="1:18" x14ac:dyDescent="0.25">
      <c r="A659" s="275" t="str">
        <f>IF(ISBLANK(INDEX('Policy Characteristics'!A:A,MATCH($C659,'Policy Characteristics'!$C:$C,0))),"",INDEX('Policy Characteristics'!A:A,MATCH($C659,'Policy Characteristics'!$C:$C,0)))</f>
        <v>Industry</v>
      </c>
      <c r="B659" s="284" t="str">
        <f>IF(ISBLANK(INDEX('Policy Characteristics'!B:B,MATCH($C659,'Policy Characteristics'!$C:$C,0))),"",INDEX('Policy Characteristics'!B:B,MATCH($C659,'Policy Characteristics'!$C:$C,0)))</f>
        <v>Electrification</v>
      </c>
      <c r="C659" s="275" t="str">
        <f t="shared" si="34"/>
        <v>Fraction of Eligible Industrial Energy Use Shifted to Electricity</v>
      </c>
      <c r="D659" s="6" t="s">
        <v>3081</v>
      </c>
      <c r="E659" s="1" t="s">
        <v>3551</v>
      </c>
      <c r="F659" t="s">
        <v>3044</v>
      </c>
      <c r="G659" s="47" t="s">
        <v>3558</v>
      </c>
      <c r="H659" s="44">
        <v>1926</v>
      </c>
      <c r="I659" s="346" t="s">
        <v>44</v>
      </c>
      <c r="J659" s="276" t="str">
        <f>IF(ISBLANK(INDEX('Policy Characteristics'!D:D,MATCH($C659,'Policy Characteristics'!$C:$C,0))),"",INDEX('Policy Characteristics'!D:D,MATCH($C659,'Policy Characteristics'!$C:$C,0)))</f>
        <v>Electrification</v>
      </c>
      <c r="K659" s="275" t="str">
        <f>IF(ISBLANK(INDEX('Policy Characteristics'!E:E,MATCH($C659,'Policy Characteristics'!$C:$C,0))),"",INDEX('Policy Characteristics'!E:E,MATCH($C659,'Policy Characteristics'!$C:$C,0)))</f>
        <v>indst shift to electricity</v>
      </c>
      <c r="L659" s="283">
        <f>IF(ISBLANK(INDEX('Policy Characteristics'!F:F,MATCH($C659,'Policy Characteristics'!$C:$C,0))),"",INDEX('Policy Characteristics'!F:F,MATCH($C659,'Policy Characteristics'!$C:$C,0)))</f>
        <v>0</v>
      </c>
      <c r="M659" s="283">
        <f>IF(ISBLANK(INDEX('Policy Characteristics'!G:G,MATCH($C659,'Policy Characteristics'!$C:$C,0))),"",INDEX('Policy Characteristics'!G:G,MATCH($C659,'Policy Characteristics'!$C:$C,0)))</f>
        <v>1</v>
      </c>
      <c r="N659" s="283">
        <f>IF(ISBLANK(INDEX('Policy Characteristics'!H:H,MATCH($C659,'Policy Characteristics'!$C:$C,0))),"",INDEX('Policy Characteristics'!H:H,MATCH($C659,'Policy Characteristics'!$C:$C,0)))</f>
        <v>0.01</v>
      </c>
      <c r="O659" s="275" t="str">
        <f>IF(ISBLANK(INDEX('Policy Characteristics'!I:I,MATCH($C659,'Policy Characteristics'!$C:$C,0))),"",INDEX('Policy Characteristics'!I:I,MATCH($C659,'Policy Characteristics'!$C:$C,0)))</f>
        <v>% of fuel shifted</v>
      </c>
      <c r="P659" s="275"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75" t="str">
        <f>IF(ISBLANK(INDEX('Policy Characteristics'!K:K,MATCH($C659,'Policy Characteristics'!$C:$C,0))),"",INDEX('Policy Characteristics'!K:K,MATCH($C659,'Policy Characteristics'!$C:$C,0)))</f>
        <v>industry-ag-main.html#fuel-switching</v>
      </c>
      <c r="R659" s="275" t="str">
        <f>IF(ISBLANK(INDEX('Policy Characteristics'!L:L,MATCH($C659,'Policy Characteristics'!$C:$C,0))),"",INDEX('Policy Characteristics'!L:L,MATCH($C659,'Policy Characteristics'!$C:$C,0)))</f>
        <v>industry-elec-and-hydrogen.html</v>
      </c>
    </row>
    <row r="660" spans="1:18" x14ac:dyDescent="0.25">
      <c r="A660" s="275" t="str">
        <f>IF(ISBLANK(INDEX('Policy Characteristics'!A:A,MATCH($C660,'Policy Characteristics'!$C:$C,0))),"",INDEX('Policy Characteristics'!A:A,MATCH($C660,'Policy Characteristics'!$C:$C,0)))</f>
        <v>Industry</v>
      </c>
      <c r="B660" s="284" t="str">
        <f>IF(ISBLANK(INDEX('Policy Characteristics'!B:B,MATCH($C660,'Policy Characteristics'!$C:$C,0))),"",INDEX('Policy Characteristics'!B:B,MATCH($C660,'Policy Characteristics'!$C:$C,0)))</f>
        <v>Electrification</v>
      </c>
      <c r="C660" s="275" t="str">
        <f t="shared" si="34"/>
        <v>Fraction of Eligible Industrial Energy Use Shifted to Electricity</v>
      </c>
      <c r="D660" s="6" t="s">
        <v>3081</v>
      </c>
      <c r="E660" s="1" t="s">
        <v>3552</v>
      </c>
      <c r="F660" t="s">
        <v>3044</v>
      </c>
      <c r="G660" s="47" t="s">
        <v>3559</v>
      </c>
      <c r="H660" s="44">
        <v>1927</v>
      </c>
      <c r="I660" s="346" t="s">
        <v>43</v>
      </c>
      <c r="J660" s="276" t="str">
        <f>IF(ISBLANK(INDEX('Policy Characteristics'!D:D,MATCH($C660,'Policy Characteristics'!$C:$C,0))),"",INDEX('Policy Characteristics'!D:D,MATCH($C660,'Policy Characteristics'!$C:$C,0)))</f>
        <v>Electrification</v>
      </c>
      <c r="K660" s="275" t="str">
        <f>IF(ISBLANK(INDEX('Policy Characteristics'!E:E,MATCH($C660,'Policy Characteristics'!$C:$C,0))),"",INDEX('Policy Characteristics'!E:E,MATCH($C660,'Policy Characteristics'!$C:$C,0)))</f>
        <v>indst shift to electricity</v>
      </c>
      <c r="L660" s="283">
        <f>IF(ISBLANK(INDEX('Policy Characteristics'!F:F,MATCH($C660,'Policy Characteristics'!$C:$C,0))),"",INDEX('Policy Characteristics'!F:F,MATCH($C660,'Policy Characteristics'!$C:$C,0)))</f>
        <v>0</v>
      </c>
      <c r="M660" s="283">
        <f>IF(ISBLANK(INDEX('Policy Characteristics'!G:G,MATCH($C660,'Policy Characteristics'!$C:$C,0))),"",INDEX('Policy Characteristics'!G:G,MATCH($C660,'Policy Characteristics'!$C:$C,0)))</f>
        <v>1</v>
      </c>
      <c r="N660" s="283">
        <f>IF(ISBLANK(INDEX('Policy Characteristics'!H:H,MATCH($C660,'Policy Characteristics'!$C:$C,0))),"",INDEX('Policy Characteristics'!H:H,MATCH($C660,'Policy Characteristics'!$C:$C,0)))</f>
        <v>0.01</v>
      </c>
      <c r="O660" s="275" t="str">
        <f>IF(ISBLANK(INDEX('Policy Characteristics'!I:I,MATCH($C660,'Policy Characteristics'!$C:$C,0))),"",INDEX('Policy Characteristics'!I:I,MATCH($C660,'Policy Characteristics'!$C:$C,0)))</f>
        <v>% of fuel shifted</v>
      </c>
      <c r="P660" s="275"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75" t="str">
        <f>IF(ISBLANK(INDEX('Policy Characteristics'!K:K,MATCH($C660,'Policy Characteristics'!$C:$C,0))),"",INDEX('Policy Characteristics'!K:K,MATCH($C660,'Policy Characteristics'!$C:$C,0)))</f>
        <v>industry-ag-main.html#fuel-switching</v>
      </c>
      <c r="R660" s="275" t="str">
        <f>IF(ISBLANK(INDEX('Policy Characteristics'!L:L,MATCH($C660,'Policy Characteristics'!$C:$C,0))),"",INDEX('Policy Characteristics'!L:L,MATCH($C660,'Policy Characteristics'!$C:$C,0)))</f>
        <v>industry-elec-and-hydrogen.html</v>
      </c>
    </row>
    <row r="661" spans="1:18" x14ac:dyDescent="0.25">
      <c r="A661" s="275" t="str">
        <f>IF(ISBLANK(INDEX('Policy Characteristics'!A:A,MATCH($C661,'Policy Characteristics'!$C:$C,0))),"",INDEX('Policy Characteristics'!A:A,MATCH($C661,'Policy Characteristics'!$C:$C,0)))</f>
        <v>Industry</v>
      </c>
      <c r="B661" s="284" t="str">
        <f>IF(ISBLANK(INDEX('Policy Characteristics'!B:B,MATCH($C661,'Policy Characteristics'!$C:$C,0))),"",INDEX('Policy Characteristics'!B:B,MATCH($C661,'Policy Characteristics'!$C:$C,0)))</f>
        <v>Electrification</v>
      </c>
      <c r="C661" s="275" t="str">
        <f t="shared" si="34"/>
        <v>Fraction of Eligible Industrial Energy Use Shifted to Electricity</v>
      </c>
      <c r="D661" s="6" t="s">
        <v>3081</v>
      </c>
      <c r="E661" s="1" t="s">
        <v>3553</v>
      </c>
      <c r="F661" t="s">
        <v>3044</v>
      </c>
      <c r="G661" s="47" t="s">
        <v>3560</v>
      </c>
      <c r="H661" s="44">
        <v>1928</v>
      </c>
      <c r="I661" s="346" t="s">
        <v>44</v>
      </c>
      <c r="J661" s="276" t="str">
        <f>IF(ISBLANK(INDEX('Policy Characteristics'!D:D,MATCH($C661,'Policy Characteristics'!$C:$C,0))),"",INDEX('Policy Characteristics'!D:D,MATCH($C661,'Policy Characteristics'!$C:$C,0)))</f>
        <v>Electrification</v>
      </c>
      <c r="K661" s="275" t="str">
        <f>IF(ISBLANK(INDEX('Policy Characteristics'!E:E,MATCH($C661,'Policy Characteristics'!$C:$C,0))),"",INDEX('Policy Characteristics'!E:E,MATCH($C661,'Policy Characteristics'!$C:$C,0)))</f>
        <v>indst shift to electricity</v>
      </c>
      <c r="L661" s="283">
        <f>IF(ISBLANK(INDEX('Policy Characteristics'!F:F,MATCH($C661,'Policy Characteristics'!$C:$C,0))),"",INDEX('Policy Characteristics'!F:F,MATCH($C661,'Policy Characteristics'!$C:$C,0)))</f>
        <v>0</v>
      </c>
      <c r="M661" s="283">
        <f>IF(ISBLANK(INDEX('Policy Characteristics'!G:G,MATCH($C661,'Policy Characteristics'!$C:$C,0))),"",INDEX('Policy Characteristics'!G:G,MATCH($C661,'Policy Characteristics'!$C:$C,0)))</f>
        <v>1</v>
      </c>
      <c r="N661" s="283">
        <f>IF(ISBLANK(INDEX('Policy Characteristics'!H:H,MATCH($C661,'Policy Characteristics'!$C:$C,0))),"",INDEX('Policy Characteristics'!H:H,MATCH($C661,'Policy Characteristics'!$C:$C,0)))</f>
        <v>0.01</v>
      </c>
      <c r="O661" s="275" t="str">
        <f>IF(ISBLANK(INDEX('Policy Characteristics'!I:I,MATCH($C661,'Policy Characteristics'!$C:$C,0))),"",INDEX('Policy Characteristics'!I:I,MATCH($C661,'Policy Characteristics'!$C:$C,0)))</f>
        <v>% of fuel shifted</v>
      </c>
      <c r="P661" s="275"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75" t="str">
        <f>IF(ISBLANK(INDEX('Policy Characteristics'!K:K,MATCH($C661,'Policy Characteristics'!$C:$C,0))),"",INDEX('Policy Characteristics'!K:K,MATCH($C661,'Policy Characteristics'!$C:$C,0)))</f>
        <v>industry-ag-main.html#fuel-switching</v>
      </c>
      <c r="R661" s="275" t="str">
        <f>IF(ISBLANK(INDEX('Policy Characteristics'!L:L,MATCH($C661,'Policy Characteristics'!$C:$C,0))),"",INDEX('Policy Characteristics'!L:L,MATCH($C661,'Policy Characteristics'!$C:$C,0)))</f>
        <v>industry-elec-and-hydrogen.html</v>
      </c>
    </row>
    <row r="662" spans="1:18" x14ac:dyDescent="0.25">
      <c r="A662" s="275" t="str">
        <f>IF(ISBLANK(INDEX('Policy Characteristics'!A:A,MATCH($C662,'Policy Characteristics'!$C:$C,0))),"",INDEX('Policy Characteristics'!A:A,MATCH($C662,'Policy Characteristics'!$C:$C,0)))</f>
        <v>Industry</v>
      </c>
      <c r="B662" s="284" t="str">
        <f>IF(ISBLANK(INDEX('Policy Characteristics'!B:B,MATCH($C662,'Policy Characteristics'!$C:$C,0))),"",INDEX('Policy Characteristics'!B:B,MATCH($C662,'Policy Characteristics'!$C:$C,0)))</f>
        <v>Electrification</v>
      </c>
      <c r="C662" s="275" t="str">
        <f t="shared" si="34"/>
        <v>Fraction of Eligible Industrial Energy Use Shifted to Electricity</v>
      </c>
      <c r="D662" s="6" t="s">
        <v>3081</v>
      </c>
      <c r="E662" s="1" t="s">
        <v>3737</v>
      </c>
      <c r="F662" t="s">
        <v>3044</v>
      </c>
      <c r="G662" s="47" t="s">
        <v>3738</v>
      </c>
      <c r="H662" s="44">
        <v>1929</v>
      </c>
      <c r="I662" s="346" t="s">
        <v>44</v>
      </c>
      <c r="J662" s="276" t="str">
        <f>IF(ISBLANK(INDEX('Policy Characteristics'!D:D,MATCH($C662,'Policy Characteristics'!$C:$C,0))),"",INDEX('Policy Characteristics'!D:D,MATCH($C662,'Policy Characteristics'!$C:$C,0)))</f>
        <v>Electrification</v>
      </c>
      <c r="K662" s="275" t="str">
        <f>IF(ISBLANK(INDEX('Policy Characteristics'!E:E,MATCH($C662,'Policy Characteristics'!$C:$C,0))),"",INDEX('Policy Characteristics'!E:E,MATCH($C662,'Policy Characteristics'!$C:$C,0)))</f>
        <v>indst shift to electricity</v>
      </c>
      <c r="L662" s="283">
        <f>IF(ISBLANK(INDEX('Policy Characteristics'!F:F,MATCH($C662,'Policy Characteristics'!$C:$C,0))),"",INDEX('Policy Characteristics'!F:F,MATCH($C662,'Policy Characteristics'!$C:$C,0)))</f>
        <v>0</v>
      </c>
      <c r="M662" s="283">
        <f>IF(ISBLANK(INDEX('Policy Characteristics'!G:G,MATCH($C662,'Policy Characteristics'!$C:$C,0))),"",INDEX('Policy Characteristics'!G:G,MATCH($C662,'Policy Characteristics'!$C:$C,0)))</f>
        <v>1</v>
      </c>
      <c r="N662" s="283">
        <f>IF(ISBLANK(INDEX('Policy Characteristics'!H:H,MATCH($C662,'Policy Characteristics'!$C:$C,0))),"",INDEX('Policy Characteristics'!H:H,MATCH($C662,'Policy Characteristics'!$C:$C,0)))</f>
        <v>0.01</v>
      </c>
      <c r="O662" s="275" t="str">
        <f>IF(ISBLANK(INDEX('Policy Characteristics'!I:I,MATCH($C662,'Policy Characteristics'!$C:$C,0))),"",INDEX('Policy Characteristics'!I:I,MATCH($C662,'Policy Characteristics'!$C:$C,0)))</f>
        <v>% of fuel shifted</v>
      </c>
      <c r="P662" s="275"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75" t="str">
        <f>IF(ISBLANK(INDEX('Policy Characteristics'!K:K,MATCH($C662,'Policy Characteristics'!$C:$C,0))),"",INDEX('Policy Characteristics'!K:K,MATCH($C662,'Policy Characteristics'!$C:$C,0)))</f>
        <v>industry-ag-main.html#fuel-switching</v>
      </c>
      <c r="R662" s="275" t="str">
        <f>IF(ISBLANK(INDEX('Policy Characteristics'!L:L,MATCH($C662,'Policy Characteristics'!$C:$C,0))),"",INDEX('Policy Characteristics'!L:L,MATCH($C662,'Policy Characteristics'!$C:$C,0)))</f>
        <v>industry-elec-and-hydrogen.html</v>
      </c>
    </row>
    <row r="663" spans="1:18" x14ac:dyDescent="0.25">
      <c r="A663" s="275" t="str">
        <f>IF(ISBLANK(INDEX('Policy Characteristics'!A:A,MATCH($C663,'Policy Characteristics'!$C:$C,0))),"",INDEX('Policy Characteristics'!A:A,MATCH($C663,'Policy Characteristics'!$C:$C,0)))</f>
        <v>Industry</v>
      </c>
      <c r="B663" s="284" t="str">
        <f>IF(ISBLANK(INDEX('Policy Characteristics'!B:B,MATCH($C663,'Policy Characteristics'!$C:$C,0))),"",INDEX('Policy Characteristics'!B:B,MATCH($C663,'Policy Characteristics'!$C:$C,0)))</f>
        <v>Electrification</v>
      </c>
      <c r="C663" s="275" t="str">
        <f t="shared" si="34"/>
        <v>Fraction of Eligible Industrial Energy Use Shifted to Electricity</v>
      </c>
      <c r="D663" s="6" t="s">
        <v>3082</v>
      </c>
      <c r="E663" s="1" t="s">
        <v>3547</v>
      </c>
      <c r="F663" t="s">
        <v>3045</v>
      </c>
      <c r="G663" s="47" t="s">
        <v>3554</v>
      </c>
      <c r="H663" s="44">
        <v>1930</v>
      </c>
      <c r="I663" s="346" t="s">
        <v>43</v>
      </c>
      <c r="J663" s="276" t="str">
        <f>IF(ISBLANK(INDEX('Policy Characteristics'!D:D,MATCH($C663,'Policy Characteristics'!$C:$C,0))),"",INDEX('Policy Characteristics'!D:D,MATCH($C663,'Policy Characteristics'!$C:$C,0)))</f>
        <v>Electrification</v>
      </c>
      <c r="K663" s="275" t="str">
        <f>IF(ISBLANK(INDEX('Policy Characteristics'!E:E,MATCH($C663,'Policy Characteristics'!$C:$C,0))),"",INDEX('Policy Characteristics'!E:E,MATCH($C663,'Policy Characteristics'!$C:$C,0)))</f>
        <v>indst shift to electricity</v>
      </c>
      <c r="L663" s="283">
        <f>IF(ISBLANK(INDEX('Policy Characteristics'!F:F,MATCH($C663,'Policy Characteristics'!$C:$C,0))),"",INDEX('Policy Characteristics'!F:F,MATCH($C663,'Policy Characteristics'!$C:$C,0)))</f>
        <v>0</v>
      </c>
      <c r="M663" s="283">
        <f>IF(ISBLANK(INDEX('Policy Characteristics'!G:G,MATCH($C663,'Policy Characteristics'!$C:$C,0))),"",INDEX('Policy Characteristics'!G:G,MATCH($C663,'Policy Characteristics'!$C:$C,0)))</f>
        <v>1</v>
      </c>
      <c r="N663" s="283">
        <f>IF(ISBLANK(INDEX('Policy Characteristics'!H:H,MATCH($C663,'Policy Characteristics'!$C:$C,0))),"",INDEX('Policy Characteristics'!H:H,MATCH($C663,'Policy Characteristics'!$C:$C,0)))</f>
        <v>0.01</v>
      </c>
      <c r="O663" s="275" t="str">
        <f>IF(ISBLANK(INDEX('Policy Characteristics'!I:I,MATCH($C663,'Policy Characteristics'!$C:$C,0))),"",INDEX('Policy Characteristics'!I:I,MATCH($C663,'Policy Characteristics'!$C:$C,0)))</f>
        <v>% of fuel shifted</v>
      </c>
      <c r="P663" s="275"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75" t="str">
        <f>IF(ISBLANK(INDEX('Policy Characteristics'!K:K,MATCH($C663,'Policy Characteristics'!$C:$C,0))),"",INDEX('Policy Characteristics'!K:K,MATCH($C663,'Policy Characteristics'!$C:$C,0)))</f>
        <v>industry-ag-main.html#fuel-switching</v>
      </c>
      <c r="R663" s="275" t="str">
        <f>IF(ISBLANK(INDEX('Policy Characteristics'!L:L,MATCH($C663,'Policy Characteristics'!$C:$C,0))),"",INDEX('Policy Characteristics'!L:L,MATCH($C663,'Policy Characteristics'!$C:$C,0)))</f>
        <v>industry-elec-and-hydrogen.html</v>
      </c>
    </row>
    <row r="664" spans="1:18" x14ac:dyDescent="0.25">
      <c r="A664" s="275" t="str">
        <f>IF(ISBLANK(INDEX('Policy Characteristics'!A:A,MATCH($C664,'Policy Characteristics'!$C:$C,0))),"",INDEX('Policy Characteristics'!A:A,MATCH($C664,'Policy Characteristics'!$C:$C,0)))</f>
        <v>Industry</v>
      </c>
      <c r="B664" s="284" t="str">
        <f>IF(ISBLANK(INDEX('Policy Characteristics'!B:B,MATCH($C664,'Policy Characteristics'!$C:$C,0))),"",INDEX('Policy Characteristics'!B:B,MATCH($C664,'Policy Characteristics'!$C:$C,0)))</f>
        <v>Electrification</v>
      </c>
      <c r="C664" s="275" t="str">
        <f t="shared" si="34"/>
        <v>Fraction of Eligible Industrial Energy Use Shifted to Electricity</v>
      </c>
      <c r="D664" s="6" t="s">
        <v>3082</v>
      </c>
      <c r="E664" s="1" t="s">
        <v>3548</v>
      </c>
      <c r="F664" t="s">
        <v>3045</v>
      </c>
      <c r="G664" s="47" t="s">
        <v>3555</v>
      </c>
      <c r="H664" s="44">
        <v>1931</v>
      </c>
      <c r="I664" s="346" t="s">
        <v>43</v>
      </c>
      <c r="J664" s="276" t="str">
        <f>IF(ISBLANK(INDEX('Policy Characteristics'!D:D,MATCH($C664,'Policy Characteristics'!$C:$C,0))),"",INDEX('Policy Characteristics'!D:D,MATCH($C664,'Policy Characteristics'!$C:$C,0)))</f>
        <v>Electrification</v>
      </c>
      <c r="K664" s="275" t="str">
        <f>IF(ISBLANK(INDEX('Policy Characteristics'!E:E,MATCH($C664,'Policy Characteristics'!$C:$C,0))),"",INDEX('Policy Characteristics'!E:E,MATCH($C664,'Policy Characteristics'!$C:$C,0)))</f>
        <v>indst shift to electricity</v>
      </c>
      <c r="L664" s="283">
        <f>IF(ISBLANK(INDEX('Policy Characteristics'!F:F,MATCH($C664,'Policy Characteristics'!$C:$C,0))),"",INDEX('Policy Characteristics'!F:F,MATCH($C664,'Policy Characteristics'!$C:$C,0)))</f>
        <v>0</v>
      </c>
      <c r="M664" s="283">
        <f>IF(ISBLANK(INDEX('Policy Characteristics'!G:G,MATCH($C664,'Policy Characteristics'!$C:$C,0))),"",INDEX('Policy Characteristics'!G:G,MATCH($C664,'Policy Characteristics'!$C:$C,0)))</f>
        <v>1</v>
      </c>
      <c r="N664" s="283">
        <f>IF(ISBLANK(INDEX('Policy Characteristics'!H:H,MATCH($C664,'Policy Characteristics'!$C:$C,0))),"",INDEX('Policy Characteristics'!H:H,MATCH($C664,'Policy Characteristics'!$C:$C,0)))</f>
        <v>0.01</v>
      </c>
      <c r="O664" s="275" t="str">
        <f>IF(ISBLANK(INDEX('Policy Characteristics'!I:I,MATCH($C664,'Policy Characteristics'!$C:$C,0))),"",INDEX('Policy Characteristics'!I:I,MATCH($C664,'Policy Characteristics'!$C:$C,0)))</f>
        <v>% of fuel shifted</v>
      </c>
      <c r="P664" s="275"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75" t="str">
        <f>IF(ISBLANK(INDEX('Policy Characteristics'!K:K,MATCH($C664,'Policy Characteristics'!$C:$C,0))),"",INDEX('Policy Characteristics'!K:K,MATCH($C664,'Policy Characteristics'!$C:$C,0)))</f>
        <v>industry-ag-main.html#fuel-switching</v>
      </c>
      <c r="R664" s="275" t="str">
        <f>IF(ISBLANK(INDEX('Policy Characteristics'!L:L,MATCH($C664,'Policy Characteristics'!$C:$C,0))),"",INDEX('Policy Characteristics'!L:L,MATCH($C664,'Policy Characteristics'!$C:$C,0)))</f>
        <v>industry-elec-and-hydrogen.html</v>
      </c>
    </row>
    <row r="665" spans="1:18" x14ac:dyDescent="0.25">
      <c r="A665" s="275" t="str">
        <f>IF(ISBLANK(INDEX('Policy Characteristics'!A:A,MATCH($C665,'Policy Characteristics'!$C:$C,0))),"",INDEX('Policy Characteristics'!A:A,MATCH($C665,'Policy Characteristics'!$C:$C,0)))</f>
        <v>Industry</v>
      </c>
      <c r="B665" s="284" t="str">
        <f>IF(ISBLANK(INDEX('Policy Characteristics'!B:B,MATCH($C665,'Policy Characteristics'!$C:$C,0))),"",INDEX('Policy Characteristics'!B:B,MATCH($C665,'Policy Characteristics'!$C:$C,0)))</f>
        <v>Electrification</v>
      </c>
      <c r="C665" s="275" t="str">
        <f t="shared" si="34"/>
        <v>Fraction of Eligible Industrial Energy Use Shifted to Electricity</v>
      </c>
      <c r="D665" s="6" t="s">
        <v>3082</v>
      </c>
      <c r="E665" s="1" t="s">
        <v>3549</v>
      </c>
      <c r="F665" t="s">
        <v>3045</v>
      </c>
      <c r="G665" s="47" t="s">
        <v>3556</v>
      </c>
      <c r="H665" s="44">
        <v>1932</v>
      </c>
      <c r="I665" s="346" t="s">
        <v>44</v>
      </c>
      <c r="J665" s="276" t="str">
        <f>IF(ISBLANK(INDEX('Policy Characteristics'!D:D,MATCH($C665,'Policy Characteristics'!$C:$C,0))),"",INDEX('Policy Characteristics'!D:D,MATCH($C665,'Policy Characteristics'!$C:$C,0)))</f>
        <v>Electrification</v>
      </c>
      <c r="K665" s="275" t="str">
        <f>IF(ISBLANK(INDEX('Policy Characteristics'!E:E,MATCH($C665,'Policy Characteristics'!$C:$C,0))),"",INDEX('Policy Characteristics'!E:E,MATCH($C665,'Policy Characteristics'!$C:$C,0)))</f>
        <v>indst shift to electricity</v>
      </c>
      <c r="L665" s="283">
        <f>IF(ISBLANK(INDEX('Policy Characteristics'!F:F,MATCH($C665,'Policy Characteristics'!$C:$C,0))),"",INDEX('Policy Characteristics'!F:F,MATCH($C665,'Policy Characteristics'!$C:$C,0)))</f>
        <v>0</v>
      </c>
      <c r="M665" s="283">
        <f>IF(ISBLANK(INDEX('Policy Characteristics'!G:G,MATCH($C665,'Policy Characteristics'!$C:$C,0))),"",INDEX('Policy Characteristics'!G:G,MATCH($C665,'Policy Characteristics'!$C:$C,0)))</f>
        <v>1</v>
      </c>
      <c r="N665" s="283">
        <f>IF(ISBLANK(INDEX('Policy Characteristics'!H:H,MATCH($C665,'Policy Characteristics'!$C:$C,0))),"",INDEX('Policy Characteristics'!H:H,MATCH($C665,'Policy Characteristics'!$C:$C,0)))</f>
        <v>0.01</v>
      </c>
      <c r="O665" s="275" t="str">
        <f>IF(ISBLANK(INDEX('Policy Characteristics'!I:I,MATCH($C665,'Policy Characteristics'!$C:$C,0))),"",INDEX('Policy Characteristics'!I:I,MATCH($C665,'Policy Characteristics'!$C:$C,0)))</f>
        <v>% of fuel shifted</v>
      </c>
      <c r="P665" s="275"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75" t="str">
        <f>IF(ISBLANK(INDEX('Policy Characteristics'!K:K,MATCH($C665,'Policy Characteristics'!$C:$C,0))),"",INDEX('Policy Characteristics'!K:K,MATCH($C665,'Policy Characteristics'!$C:$C,0)))</f>
        <v>industry-ag-main.html#fuel-switching</v>
      </c>
      <c r="R665" s="275" t="str">
        <f>IF(ISBLANK(INDEX('Policy Characteristics'!L:L,MATCH($C665,'Policy Characteristics'!$C:$C,0))),"",INDEX('Policy Characteristics'!L:L,MATCH($C665,'Policy Characteristics'!$C:$C,0)))</f>
        <v>industry-elec-and-hydrogen.html</v>
      </c>
    </row>
    <row r="666" spans="1:18" x14ac:dyDescent="0.25">
      <c r="A666" s="275" t="str">
        <f>IF(ISBLANK(INDEX('Policy Characteristics'!A:A,MATCH($C666,'Policy Characteristics'!$C:$C,0))),"",INDEX('Policy Characteristics'!A:A,MATCH($C666,'Policy Characteristics'!$C:$C,0)))</f>
        <v>Industry</v>
      </c>
      <c r="B666" s="284" t="str">
        <f>IF(ISBLANK(INDEX('Policy Characteristics'!B:B,MATCH($C666,'Policy Characteristics'!$C:$C,0))),"",INDEX('Policy Characteristics'!B:B,MATCH($C666,'Policy Characteristics'!$C:$C,0)))</f>
        <v>Electrification</v>
      </c>
      <c r="C666" s="275" t="str">
        <f t="shared" si="34"/>
        <v>Fraction of Eligible Industrial Energy Use Shifted to Electricity</v>
      </c>
      <c r="D666" s="6" t="s">
        <v>3082</v>
      </c>
      <c r="E666" s="1" t="s">
        <v>3550</v>
      </c>
      <c r="F666" t="s">
        <v>3045</v>
      </c>
      <c r="G666" s="47" t="s">
        <v>3557</v>
      </c>
      <c r="H666" s="44">
        <v>1933</v>
      </c>
      <c r="I666" s="346" t="s">
        <v>43</v>
      </c>
      <c r="J666" s="276" t="str">
        <f>IF(ISBLANK(INDEX('Policy Characteristics'!D:D,MATCH($C666,'Policy Characteristics'!$C:$C,0))),"",INDEX('Policy Characteristics'!D:D,MATCH($C666,'Policy Characteristics'!$C:$C,0)))</f>
        <v>Electrification</v>
      </c>
      <c r="K666" s="275" t="str">
        <f>IF(ISBLANK(INDEX('Policy Characteristics'!E:E,MATCH($C666,'Policy Characteristics'!$C:$C,0))),"",INDEX('Policy Characteristics'!E:E,MATCH($C666,'Policy Characteristics'!$C:$C,0)))</f>
        <v>indst shift to electricity</v>
      </c>
      <c r="L666" s="283">
        <f>IF(ISBLANK(INDEX('Policy Characteristics'!F:F,MATCH($C666,'Policy Characteristics'!$C:$C,0))),"",INDEX('Policy Characteristics'!F:F,MATCH($C666,'Policy Characteristics'!$C:$C,0)))</f>
        <v>0</v>
      </c>
      <c r="M666" s="283">
        <f>IF(ISBLANK(INDEX('Policy Characteristics'!G:G,MATCH($C666,'Policy Characteristics'!$C:$C,0))),"",INDEX('Policy Characteristics'!G:G,MATCH($C666,'Policy Characteristics'!$C:$C,0)))</f>
        <v>1</v>
      </c>
      <c r="N666" s="283">
        <f>IF(ISBLANK(INDEX('Policy Characteristics'!H:H,MATCH($C666,'Policy Characteristics'!$C:$C,0))),"",INDEX('Policy Characteristics'!H:H,MATCH($C666,'Policy Characteristics'!$C:$C,0)))</f>
        <v>0.01</v>
      </c>
      <c r="O666" s="275" t="str">
        <f>IF(ISBLANK(INDEX('Policy Characteristics'!I:I,MATCH($C666,'Policy Characteristics'!$C:$C,0))),"",INDEX('Policy Characteristics'!I:I,MATCH($C666,'Policy Characteristics'!$C:$C,0)))</f>
        <v>% of fuel shifted</v>
      </c>
      <c r="P666" s="275"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75" t="str">
        <f>IF(ISBLANK(INDEX('Policy Characteristics'!K:K,MATCH($C666,'Policy Characteristics'!$C:$C,0))),"",INDEX('Policy Characteristics'!K:K,MATCH($C666,'Policy Characteristics'!$C:$C,0)))</f>
        <v>industry-ag-main.html#fuel-switching</v>
      </c>
      <c r="R666" s="275" t="str">
        <f>IF(ISBLANK(INDEX('Policy Characteristics'!L:L,MATCH($C666,'Policy Characteristics'!$C:$C,0))),"",INDEX('Policy Characteristics'!L:L,MATCH($C666,'Policy Characteristics'!$C:$C,0)))</f>
        <v>industry-elec-and-hydrogen.html</v>
      </c>
    </row>
    <row r="667" spans="1:18" x14ac:dyDescent="0.25">
      <c r="A667" s="275" t="str">
        <f>IF(ISBLANK(INDEX('Policy Characteristics'!A:A,MATCH($C667,'Policy Characteristics'!$C:$C,0))),"",INDEX('Policy Characteristics'!A:A,MATCH($C667,'Policy Characteristics'!$C:$C,0)))</f>
        <v>Industry</v>
      </c>
      <c r="B667" s="284" t="str">
        <f>IF(ISBLANK(INDEX('Policy Characteristics'!B:B,MATCH($C667,'Policy Characteristics'!$C:$C,0))),"",INDEX('Policy Characteristics'!B:B,MATCH($C667,'Policy Characteristics'!$C:$C,0)))</f>
        <v>Electrification</v>
      </c>
      <c r="C667" s="275" t="str">
        <f t="shared" si="34"/>
        <v>Fraction of Eligible Industrial Energy Use Shifted to Electricity</v>
      </c>
      <c r="D667" s="6" t="s">
        <v>3082</v>
      </c>
      <c r="E667" s="1" t="s">
        <v>3551</v>
      </c>
      <c r="F667" t="s">
        <v>3045</v>
      </c>
      <c r="G667" s="47" t="s">
        <v>3558</v>
      </c>
      <c r="H667" s="44">
        <v>1934</v>
      </c>
      <c r="I667" s="346" t="s">
        <v>43</v>
      </c>
      <c r="J667" s="276" t="str">
        <f>IF(ISBLANK(INDEX('Policy Characteristics'!D:D,MATCH($C667,'Policy Characteristics'!$C:$C,0))),"",INDEX('Policy Characteristics'!D:D,MATCH($C667,'Policy Characteristics'!$C:$C,0)))</f>
        <v>Electrification</v>
      </c>
      <c r="K667" s="275" t="str">
        <f>IF(ISBLANK(INDEX('Policy Characteristics'!E:E,MATCH($C667,'Policy Characteristics'!$C:$C,0))),"",INDEX('Policy Characteristics'!E:E,MATCH($C667,'Policy Characteristics'!$C:$C,0)))</f>
        <v>indst shift to electricity</v>
      </c>
      <c r="L667" s="283">
        <f>IF(ISBLANK(INDEX('Policy Characteristics'!F:F,MATCH($C667,'Policy Characteristics'!$C:$C,0))),"",INDEX('Policy Characteristics'!F:F,MATCH($C667,'Policy Characteristics'!$C:$C,0)))</f>
        <v>0</v>
      </c>
      <c r="M667" s="283">
        <f>IF(ISBLANK(INDEX('Policy Characteristics'!G:G,MATCH($C667,'Policy Characteristics'!$C:$C,0))),"",INDEX('Policy Characteristics'!G:G,MATCH($C667,'Policy Characteristics'!$C:$C,0)))</f>
        <v>1</v>
      </c>
      <c r="N667" s="283">
        <f>IF(ISBLANK(INDEX('Policy Characteristics'!H:H,MATCH($C667,'Policy Characteristics'!$C:$C,0))),"",INDEX('Policy Characteristics'!H:H,MATCH($C667,'Policy Characteristics'!$C:$C,0)))</f>
        <v>0.01</v>
      </c>
      <c r="O667" s="275" t="str">
        <f>IF(ISBLANK(INDEX('Policy Characteristics'!I:I,MATCH($C667,'Policy Characteristics'!$C:$C,0))),"",INDEX('Policy Characteristics'!I:I,MATCH($C667,'Policy Characteristics'!$C:$C,0)))</f>
        <v>% of fuel shifted</v>
      </c>
      <c r="P667" s="275"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75" t="str">
        <f>IF(ISBLANK(INDEX('Policy Characteristics'!K:K,MATCH($C667,'Policy Characteristics'!$C:$C,0))),"",INDEX('Policy Characteristics'!K:K,MATCH($C667,'Policy Characteristics'!$C:$C,0)))</f>
        <v>industry-ag-main.html#fuel-switching</v>
      </c>
      <c r="R667" s="275" t="str">
        <f>IF(ISBLANK(INDEX('Policy Characteristics'!L:L,MATCH($C667,'Policy Characteristics'!$C:$C,0))),"",INDEX('Policy Characteristics'!L:L,MATCH($C667,'Policy Characteristics'!$C:$C,0)))</f>
        <v>industry-elec-and-hydrogen.html</v>
      </c>
    </row>
    <row r="668" spans="1:18" x14ac:dyDescent="0.25">
      <c r="A668" s="275" t="str">
        <f>IF(ISBLANK(INDEX('Policy Characteristics'!A:A,MATCH($C668,'Policy Characteristics'!$C:$C,0))),"",INDEX('Policy Characteristics'!A:A,MATCH($C668,'Policy Characteristics'!$C:$C,0)))</f>
        <v>Industry</v>
      </c>
      <c r="B668" s="284" t="str">
        <f>IF(ISBLANK(INDEX('Policy Characteristics'!B:B,MATCH($C668,'Policy Characteristics'!$C:$C,0))),"",INDEX('Policy Characteristics'!B:B,MATCH($C668,'Policy Characteristics'!$C:$C,0)))</f>
        <v>Electrification</v>
      </c>
      <c r="C668" s="275" t="str">
        <f t="shared" si="34"/>
        <v>Fraction of Eligible Industrial Energy Use Shifted to Electricity</v>
      </c>
      <c r="D668" s="6" t="s">
        <v>3082</v>
      </c>
      <c r="E668" s="1" t="s">
        <v>3552</v>
      </c>
      <c r="F668" t="s">
        <v>3045</v>
      </c>
      <c r="G668" s="47" t="s">
        <v>3559</v>
      </c>
      <c r="H668" s="44">
        <v>1935</v>
      </c>
      <c r="I668" s="346" t="s">
        <v>43</v>
      </c>
      <c r="J668" s="276" t="str">
        <f>IF(ISBLANK(INDEX('Policy Characteristics'!D:D,MATCH($C668,'Policy Characteristics'!$C:$C,0))),"",INDEX('Policy Characteristics'!D:D,MATCH($C668,'Policy Characteristics'!$C:$C,0)))</f>
        <v>Electrification</v>
      </c>
      <c r="K668" s="275" t="str">
        <f>IF(ISBLANK(INDEX('Policy Characteristics'!E:E,MATCH($C668,'Policy Characteristics'!$C:$C,0))),"",INDEX('Policy Characteristics'!E:E,MATCH($C668,'Policy Characteristics'!$C:$C,0)))</f>
        <v>indst shift to electricity</v>
      </c>
      <c r="L668" s="283">
        <f>IF(ISBLANK(INDEX('Policy Characteristics'!F:F,MATCH($C668,'Policy Characteristics'!$C:$C,0))),"",INDEX('Policy Characteristics'!F:F,MATCH($C668,'Policy Characteristics'!$C:$C,0)))</f>
        <v>0</v>
      </c>
      <c r="M668" s="283">
        <f>IF(ISBLANK(INDEX('Policy Characteristics'!G:G,MATCH($C668,'Policy Characteristics'!$C:$C,0))),"",INDEX('Policy Characteristics'!G:G,MATCH($C668,'Policy Characteristics'!$C:$C,0)))</f>
        <v>1</v>
      </c>
      <c r="N668" s="283">
        <f>IF(ISBLANK(INDEX('Policy Characteristics'!H:H,MATCH($C668,'Policy Characteristics'!$C:$C,0))),"",INDEX('Policy Characteristics'!H:H,MATCH($C668,'Policy Characteristics'!$C:$C,0)))</f>
        <v>0.01</v>
      </c>
      <c r="O668" s="275" t="str">
        <f>IF(ISBLANK(INDEX('Policy Characteristics'!I:I,MATCH($C668,'Policy Characteristics'!$C:$C,0))),"",INDEX('Policy Characteristics'!I:I,MATCH($C668,'Policy Characteristics'!$C:$C,0)))</f>
        <v>% of fuel shifted</v>
      </c>
      <c r="P668" s="275"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75" t="str">
        <f>IF(ISBLANK(INDEX('Policy Characteristics'!K:K,MATCH($C668,'Policy Characteristics'!$C:$C,0))),"",INDEX('Policy Characteristics'!K:K,MATCH($C668,'Policy Characteristics'!$C:$C,0)))</f>
        <v>industry-ag-main.html#fuel-switching</v>
      </c>
      <c r="R668" s="275" t="str">
        <f>IF(ISBLANK(INDEX('Policy Characteristics'!L:L,MATCH($C668,'Policy Characteristics'!$C:$C,0))),"",INDEX('Policy Characteristics'!L:L,MATCH($C668,'Policy Characteristics'!$C:$C,0)))</f>
        <v>industry-elec-and-hydrogen.html</v>
      </c>
    </row>
    <row r="669" spans="1:18" x14ac:dyDescent="0.25">
      <c r="A669" s="275" t="str">
        <f>IF(ISBLANK(INDEX('Policy Characteristics'!A:A,MATCH($C669,'Policy Characteristics'!$C:$C,0))),"",INDEX('Policy Characteristics'!A:A,MATCH($C669,'Policy Characteristics'!$C:$C,0)))</f>
        <v>Industry</v>
      </c>
      <c r="B669" s="284" t="str">
        <f>IF(ISBLANK(INDEX('Policy Characteristics'!B:B,MATCH($C669,'Policy Characteristics'!$C:$C,0))),"",INDEX('Policy Characteristics'!B:B,MATCH($C669,'Policy Characteristics'!$C:$C,0)))</f>
        <v>Electrification</v>
      </c>
      <c r="C669" s="275" t="str">
        <f t="shared" si="34"/>
        <v>Fraction of Eligible Industrial Energy Use Shifted to Electricity</v>
      </c>
      <c r="D669" s="6" t="s">
        <v>3082</v>
      </c>
      <c r="E669" s="1" t="s">
        <v>3553</v>
      </c>
      <c r="F669" t="s">
        <v>3045</v>
      </c>
      <c r="G669" s="47" t="s">
        <v>3560</v>
      </c>
      <c r="H669" s="44">
        <v>1936</v>
      </c>
      <c r="I669" s="346" t="s">
        <v>44</v>
      </c>
      <c r="J669" s="276" t="str">
        <f>IF(ISBLANK(INDEX('Policy Characteristics'!D:D,MATCH($C669,'Policy Characteristics'!$C:$C,0))),"",INDEX('Policy Characteristics'!D:D,MATCH($C669,'Policy Characteristics'!$C:$C,0)))</f>
        <v>Electrification</v>
      </c>
      <c r="K669" s="275" t="str">
        <f>IF(ISBLANK(INDEX('Policy Characteristics'!E:E,MATCH($C669,'Policy Characteristics'!$C:$C,0))),"",INDEX('Policy Characteristics'!E:E,MATCH($C669,'Policy Characteristics'!$C:$C,0)))</f>
        <v>indst shift to electricity</v>
      </c>
      <c r="L669" s="283">
        <f>IF(ISBLANK(INDEX('Policy Characteristics'!F:F,MATCH($C669,'Policy Characteristics'!$C:$C,0))),"",INDEX('Policy Characteristics'!F:F,MATCH($C669,'Policy Characteristics'!$C:$C,0)))</f>
        <v>0</v>
      </c>
      <c r="M669" s="283">
        <f>IF(ISBLANK(INDEX('Policy Characteristics'!G:G,MATCH($C669,'Policy Characteristics'!$C:$C,0))),"",INDEX('Policy Characteristics'!G:G,MATCH($C669,'Policy Characteristics'!$C:$C,0)))</f>
        <v>1</v>
      </c>
      <c r="N669" s="283">
        <f>IF(ISBLANK(INDEX('Policy Characteristics'!H:H,MATCH($C669,'Policy Characteristics'!$C:$C,0))),"",INDEX('Policy Characteristics'!H:H,MATCH($C669,'Policy Characteristics'!$C:$C,0)))</f>
        <v>0.01</v>
      </c>
      <c r="O669" s="275" t="str">
        <f>IF(ISBLANK(INDEX('Policy Characteristics'!I:I,MATCH($C669,'Policy Characteristics'!$C:$C,0))),"",INDEX('Policy Characteristics'!I:I,MATCH($C669,'Policy Characteristics'!$C:$C,0)))</f>
        <v>% of fuel shifted</v>
      </c>
      <c r="P669" s="275"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75" t="str">
        <f>IF(ISBLANK(INDEX('Policy Characteristics'!K:K,MATCH($C669,'Policy Characteristics'!$C:$C,0))),"",INDEX('Policy Characteristics'!K:K,MATCH($C669,'Policy Characteristics'!$C:$C,0)))</f>
        <v>industry-ag-main.html#fuel-switching</v>
      </c>
      <c r="R669" s="275" t="str">
        <f>IF(ISBLANK(INDEX('Policy Characteristics'!L:L,MATCH($C669,'Policy Characteristics'!$C:$C,0))),"",INDEX('Policy Characteristics'!L:L,MATCH($C669,'Policy Characteristics'!$C:$C,0)))</f>
        <v>industry-elec-and-hydrogen.html</v>
      </c>
    </row>
    <row r="670" spans="1:18" x14ac:dyDescent="0.25">
      <c r="A670" s="275" t="str">
        <f>IF(ISBLANK(INDEX('Policy Characteristics'!A:A,MATCH($C670,'Policy Characteristics'!$C:$C,0))),"",INDEX('Policy Characteristics'!A:A,MATCH($C670,'Policy Characteristics'!$C:$C,0)))</f>
        <v>Industry</v>
      </c>
      <c r="B670" s="284" t="str">
        <f>IF(ISBLANK(INDEX('Policy Characteristics'!B:B,MATCH($C670,'Policy Characteristics'!$C:$C,0))),"",INDEX('Policy Characteristics'!B:B,MATCH($C670,'Policy Characteristics'!$C:$C,0)))</f>
        <v>Electrification</v>
      </c>
      <c r="C670" s="275" t="str">
        <f t="shared" si="34"/>
        <v>Fraction of Eligible Industrial Energy Use Shifted to Electricity</v>
      </c>
      <c r="D670" s="6" t="s">
        <v>3082</v>
      </c>
      <c r="E670" s="1" t="s">
        <v>3737</v>
      </c>
      <c r="F670" t="s">
        <v>3045</v>
      </c>
      <c r="G670" s="47" t="s">
        <v>3738</v>
      </c>
      <c r="H670" s="44">
        <v>1937</v>
      </c>
      <c r="I670" s="346" t="s">
        <v>44</v>
      </c>
      <c r="J670" s="276" t="str">
        <f>IF(ISBLANK(INDEX('Policy Characteristics'!D:D,MATCH($C670,'Policy Characteristics'!$C:$C,0))),"",INDEX('Policy Characteristics'!D:D,MATCH($C670,'Policy Characteristics'!$C:$C,0)))</f>
        <v>Electrification</v>
      </c>
      <c r="K670" s="275" t="str">
        <f>IF(ISBLANK(INDEX('Policy Characteristics'!E:E,MATCH($C670,'Policy Characteristics'!$C:$C,0))),"",INDEX('Policy Characteristics'!E:E,MATCH($C670,'Policy Characteristics'!$C:$C,0)))</f>
        <v>indst shift to electricity</v>
      </c>
      <c r="L670" s="283">
        <f>IF(ISBLANK(INDEX('Policy Characteristics'!F:F,MATCH($C670,'Policy Characteristics'!$C:$C,0))),"",INDEX('Policy Characteristics'!F:F,MATCH($C670,'Policy Characteristics'!$C:$C,0)))</f>
        <v>0</v>
      </c>
      <c r="M670" s="283">
        <f>IF(ISBLANK(INDEX('Policy Characteristics'!G:G,MATCH($C670,'Policy Characteristics'!$C:$C,0))),"",INDEX('Policy Characteristics'!G:G,MATCH($C670,'Policy Characteristics'!$C:$C,0)))</f>
        <v>1</v>
      </c>
      <c r="N670" s="283">
        <f>IF(ISBLANK(INDEX('Policy Characteristics'!H:H,MATCH($C670,'Policy Characteristics'!$C:$C,0))),"",INDEX('Policy Characteristics'!H:H,MATCH($C670,'Policy Characteristics'!$C:$C,0)))</f>
        <v>0.01</v>
      </c>
      <c r="O670" s="275" t="str">
        <f>IF(ISBLANK(INDEX('Policy Characteristics'!I:I,MATCH($C670,'Policy Characteristics'!$C:$C,0))),"",INDEX('Policy Characteristics'!I:I,MATCH($C670,'Policy Characteristics'!$C:$C,0)))</f>
        <v>% of fuel shifted</v>
      </c>
      <c r="P670" s="275"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75" t="str">
        <f>IF(ISBLANK(INDEX('Policy Characteristics'!K:K,MATCH($C670,'Policy Characteristics'!$C:$C,0))),"",INDEX('Policy Characteristics'!K:K,MATCH($C670,'Policy Characteristics'!$C:$C,0)))</f>
        <v>industry-ag-main.html#fuel-switching</v>
      </c>
      <c r="R670" s="275" t="str">
        <f>IF(ISBLANK(INDEX('Policy Characteristics'!L:L,MATCH($C670,'Policy Characteristics'!$C:$C,0))),"",INDEX('Policy Characteristics'!L:L,MATCH($C670,'Policy Characteristics'!$C:$C,0)))</f>
        <v>industry-elec-and-hydrogen.html</v>
      </c>
    </row>
    <row r="671" spans="1:18" x14ac:dyDescent="0.25">
      <c r="A671" s="275" t="str">
        <f>IF(ISBLANK(INDEX('Policy Characteristics'!A:A,MATCH($C671,'Policy Characteristics'!$C:$C,0))),"",INDEX('Policy Characteristics'!A:A,MATCH($C671,'Policy Characteristics'!$C:$C,0)))</f>
        <v>Industry</v>
      </c>
      <c r="B671" s="284" t="str">
        <f>IF(ISBLANK(INDEX('Policy Characteristics'!B:B,MATCH($C671,'Policy Characteristics'!$C:$C,0))),"",INDEX('Policy Characteristics'!B:B,MATCH($C671,'Policy Characteristics'!$C:$C,0)))</f>
        <v>Electrification</v>
      </c>
      <c r="C671" s="275" t="str">
        <f t="shared" si="34"/>
        <v>Fraction of Eligible Industrial Energy Use Shifted to Electricity</v>
      </c>
      <c r="D671" s="6" t="s">
        <v>3083</v>
      </c>
      <c r="E671" s="1" t="s">
        <v>3547</v>
      </c>
      <c r="F671" t="s">
        <v>2583</v>
      </c>
      <c r="G671" s="47" t="s">
        <v>3554</v>
      </c>
      <c r="H671" s="44">
        <v>1938</v>
      </c>
      <c r="I671" s="346" t="s">
        <v>43</v>
      </c>
      <c r="J671" s="276" t="str">
        <f>IF(ISBLANK(INDEX('Policy Characteristics'!D:D,MATCH($C671,'Policy Characteristics'!$C:$C,0))),"",INDEX('Policy Characteristics'!D:D,MATCH($C671,'Policy Characteristics'!$C:$C,0)))</f>
        <v>Electrification</v>
      </c>
      <c r="K671" s="275" t="str">
        <f>IF(ISBLANK(INDEX('Policy Characteristics'!E:E,MATCH($C671,'Policy Characteristics'!$C:$C,0))),"",INDEX('Policy Characteristics'!E:E,MATCH($C671,'Policy Characteristics'!$C:$C,0)))</f>
        <v>indst shift to electricity</v>
      </c>
      <c r="L671" s="283">
        <f>IF(ISBLANK(INDEX('Policy Characteristics'!F:F,MATCH($C671,'Policy Characteristics'!$C:$C,0))),"",INDEX('Policy Characteristics'!F:F,MATCH($C671,'Policy Characteristics'!$C:$C,0)))</f>
        <v>0</v>
      </c>
      <c r="M671" s="283">
        <f>IF(ISBLANK(INDEX('Policy Characteristics'!G:G,MATCH($C671,'Policy Characteristics'!$C:$C,0))),"",INDEX('Policy Characteristics'!G:G,MATCH($C671,'Policy Characteristics'!$C:$C,0)))</f>
        <v>1</v>
      </c>
      <c r="N671" s="283">
        <f>IF(ISBLANK(INDEX('Policy Characteristics'!H:H,MATCH($C671,'Policy Characteristics'!$C:$C,0))),"",INDEX('Policy Characteristics'!H:H,MATCH($C671,'Policy Characteristics'!$C:$C,0)))</f>
        <v>0.01</v>
      </c>
      <c r="O671" s="275" t="str">
        <f>IF(ISBLANK(INDEX('Policy Characteristics'!I:I,MATCH($C671,'Policy Characteristics'!$C:$C,0))),"",INDEX('Policy Characteristics'!I:I,MATCH($C671,'Policy Characteristics'!$C:$C,0)))</f>
        <v>% of fuel shifted</v>
      </c>
      <c r="P671" s="275"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75" t="str">
        <f>IF(ISBLANK(INDEX('Policy Characteristics'!K:K,MATCH($C671,'Policy Characteristics'!$C:$C,0))),"",INDEX('Policy Characteristics'!K:K,MATCH($C671,'Policy Characteristics'!$C:$C,0)))</f>
        <v>industry-ag-main.html#fuel-switching</v>
      </c>
      <c r="R671" s="275" t="str">
        <f>IF(ISBLANK(INDEX('Policy Characteristics'!L:L,MATCH($C671,'Policy Characteristics'!$C:$C,0))),"",INDEX('Policy Characteristics'!L:L,MATCH($C671,'Policy Characteristics'!$C:$C,0)))</f>
        <v>industry-elec-and-hydrogen.html</v>
      </c>
    </row>
    <row r="672" spans="1:18" x14ac:dyDescent="0.25">
      <c r="A672" s="275" t="str">
        <f>IF(ISBLANK(INDEX('Policy Characteristics'!A:A,MATCH($C672,'Policy Characteristics'!$C:$C,0))),"",INDEX('Policy Characteristics'!A:A,MATCH($C672,'Policy Characteristics'!$C:$C,0)))</f>
        <v>Industry</v>
      </c>
      <c r="B672" s="284" t="str">
        <f>IF(ISBLANK(INDEX('Policy Characteristics'!B:B,MATCH($C672,'Policy Characteristics'!$C:$C,0))),"",INDEX('Policy Characteristics'!B:B,MATCH($C672,'Policy Characteristics'!$C:$C,0)))</f>
        <v>Electrification</v>
      </c>
      <c r="C672" s="275" t="str">
        <f t="shared" si="34"/>
        <v>Fraction of Eligible Industrial Energy Use Shifted to Electricity</v>
      </c>
      <c r="D672" s="6" t="s">
        <v>3083</v>
      </c>
      <c r="E672" s="1" t="s">
        <v>3548</v>
      </c>
      <c r="F672" t="s">
        <v>2583</v>
      </c>
      <c r="G672" s="47" t="s">
        <v>3555</v>
      </c>
      <c r="H672" s="44">
        <v>1939</v>
      </c>
      <c r="I672" s="346" t="s">
        <v>43</v>
      </c>
      <c r="J672" s="276" t="str">
        <f>IF(ISBLANK(INDEX('Policy Characteristics'!D:D,MATCH($C672,'Policy Characteristics'!$C:$C,0))),"",INDEX('Policy Characteristics'!D:D,MATCH($C672,'Policy Characteristics'!$C:$C,0)))</f>
        <v>Electrification</v>
      </c>
      <c r="K672" s="275" t="str">
        <f>IF(ISBLANK(INDEX('Policy Characteristics'!E:E,MATCH($C672,'Policy Characteristics'!$C:$C,0))),"",INDEX('Policy Characteristics'!E:E,MATCH($C672,'Policy Characteristics'!$C:$C,0)))</f>
        <v>indst shift to electricity</v>
      </c>
      <c r="L672" s="283">
        <f>IF(ISBLANK(INDEX('Policy Characteristics'!F:F,MATCH($C672,'Policy Characteristics'!$C:$C,0))),"",INDEX('Policy Characteristics'!F:F,MATCH($C672,'Policy Characteristics'!$C:$C,0)))</f>
        <v>0</v>
      </c>
      <c r="M672" s="283">
        <f>IF(ISBLANK(INDEX('Policy Characteristics'!G:G,MATCH($C672,'Policy Characteristics'!$C:$C,0))),"",INDEX('Policy Characteristics'!G:G,MATCH($C672,'Policy Characteristics'!$C:$C,0)))</f>
        <v>1</v>
      </c>
      <c r="N672" s="283">
        <f>IF(ISBLANK(INDEX('Policy Characteristics'!H:H,MATCH($C672,'Policy Characteristics'!$C:$C,0))),"",INDEX('Policy Characteristics'!H:H,MATCH($C672,'Policy Characteristics'!$C:$C,0)))</f>
        <v>0.01</v>
      </c>
      <c r="O672" s="275" t="str">
        <f>IF(ISBLANK(INDEX('Policy Characteristics'!I:I,MATCH($C672,'Policy Characteristics'!$C:$C,0))),"",INDEX('Policy Characteristics'!I:I,MATCH($C672,'Policy Characteristics'!$C:$C,0)))</f>
        <v>% of fuel shifted</v>
      </c>
      <c r="P672" s="275"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75" t="str">
        <f>IF(ISBLANK(INDEX('Policy Characteristics'!K:K,MATCH($C672,'Policy Characteristics'!$C:$C,0))),"",INDEX('Policy Characteristics'!K:K,MATCH($C672,'Policy Characteristics'!$C:$C,0)))</f>
        <v>industry-ag-main.html#fuel-switching</v>
      </c>
      <c r="R672" s="275" t="str">
        <f>IF(ISBLANK(INDEX('Policy Characteristics'!L:L,MATCH($C672,'Policy Characteristics'!$C:$C,0))),"",INDEX('Policy Characteristics'!L:L,MATCH($C672,'Policy Characteristics'!$C:$C,0)))</f>
        <v>industry-elec-and-hydrogen.html</v>
      </c>
    </row>
    <row r="673" spans="1:18" x14ac:dyDescent="0.25">
      <c r="A673" s="275" t="str">
        <f>IF(ISBLANK(INDEX('Policy Characteristics'!A:A,MATCH($C673,'Policy Characteristics'!$C:$C,0))),"",INDEX('Policy Characteristics'!A:A,MATCH($C673,'Policy Characteristics'!$C:$C,0)))</f>
        <v>Industry</v>
      </c>
      <c r="B673" s="284" t="str">
        <f>IF(ISBLANK(INDEX('Policy Characteristics'!B:B,MATCH($C673,'Policy Characteristics'!$C:$C,0))),"",INDEX('Policy Characteristics'!B:B,MATCH($C673,'Policy Characteristics'!$C:$C,0)))</f>
        <v>Electrification</v>
      </c>
      <c r="C673" s="275" t="str">
        <f t="shared" si="34"/>
        <v>Fraction of Eligible Industrial Energy Use Shifted to Electricity</v>
      </c>
      <c r="D673" s="6" t="s">
        <v>3083</v>
      </c>
      <c r="E673" s="1" t="s">
        <v>3549</v>
      </c>
      <c r="F673" t="s">
        <v>2583</v>
      </c>
      <c r="G673" s="47" t="s">
        <v>3556</v>
      </c>
      <c r="H673" s="44">
        <v>1940</v>
      </c>
      <c r="I673" s="346" t="s">
        <v>43</v>
      </c>
      <c r="J673" s="276" t="str">
        <f>IF(ISBLANK(INDEX('Policy Characteristics'!D:D,MATCH($C673,'Policy Characteristics'!$C:$C,0))),"",INDEX('Policy Characteristics'!D:D,MATCH($C673,'Policy Characteristics'!$C:$C,0)))</f>
        <v>Electrification</v>
      </c>
      <c r="K673" s="275" t="str">
        <f>IF(ISBLANK(INDEX('Policy Characteristics'!E:E,MATCH($C673,'Policy Characteristics'!$C:$C,0))),"",INDEX('Policy Characteristics'!E:E,MATCH($C673,'Policy Characteristics'!$C:$C,0)))</f>
        <v>indst shift to electricity</v>
      </c>
      <c r="L673" s="283">
        <f>IF(ISBLANK(INDEX('Policy Characteristics'!F:F,MATCH($C673,'Policy Characteristics'!$C:$C,0))),"",INDEX('Policy Characteristics'!F:F,MATCH($C673,'Policy Characteristics'!$C:$C,0)))</f>
        <v>0</v>
      </c>
      <c r="M673" s="283">
        <f>IF(ISBLANK(INDEX('Policy Characteristics'!G:G,MATCH($C673,'Policy Characteristics'!$C:$C,0))),"",INDEX('Policy Characteristics'!G:G,MATCH($C673,'Policy Characteristics'!$C:$C,0)))</f>
        <v>1</v>
      </c>
      <c r="N673" s="283">
        <f>IF(ISBLANK(INDEX('Policy Characteristics'!H:H,MATCH($C673,'Policy Characteristics'!$C:$C,0))),"",INDEX('Policy Characteristics'!H:H,MATCH($C673,'Policy Characteristics'!$C:$C,0)))</f>
        <v>0.01</v>
      </c>
      <c r="O673" s="275" t="str">
        <f>IF(ISBLANK(INDEX('Policy Characteristics'!I:I,MATCH($C673,'Policy Characteristics'!$C:$C,0))),"",INDEX('Policy Characteristics'!I:I,MATCH($C673,'Policy Characteristics'!$C:$C,0)))</f>
        <v>% of fuel shifted</v>
      </c>
      <c r="P673" s="275"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75" t="str">
        <f>IF(ISBLANK(INDEX('Policy Characteristics'!K:K,MATCH($C673,'Policy Characteristics'!$C:$C,0))),"",INDEX('Policy Characteristics'!K:K,MATCH($C673,'Policy Characteristics'!$C:$C,0)))</f>
        <v>industry-ag-main.html#fuel-switching</v>
      </c>
      <c r="R673" s="275" t="str">
        <f>IF(ISBLANK(INDEX('Policy Characteristics'!L:L,MATCH($C673,'Policy Characteristics'!$C:$C,0))),"",INDEX('Policy Characteristics'!L:L,MATCH($C673,'Policy Characteristics'!$C:$C,0)))</f>
        <v>industry-elec-and-hydrogen.html</v>
      </c>
    </row>
    <row r="674" spans="1:18" x14ac:dyDescent="0.25">
      <c r="A674" s="275" t="str">
        <f>IF(ISBLANK(INDEX('Policy Characteristics'!A:A,MATCH($C674,'Policy Characteristics'!$C:$C,0))),"",INDEX('Policy Characteristics'!A:A,MATCH($C674,'Policy Characteristics'!$C:$C,0)))</f>
        <v>Industry</v>
      </c>
      <c r="B674" s="284" t="str">
        <f>IF(ISBLANK(INDEX('Policy Characteristics'!B:B,MATCH($C674,'Policy Characteristics'!$C:$C,0))),"",INDEX('Policy Characteristics'!B:B,MATCH($C674,'Policy Characteristics'!$C:$C,0)))</f>
        <v>Electrification</v>
      </c>
      <c r="C674" s="275" t="str">
        <f t="shared" si="34"/>
        <v>Fraction of Eligible Industrial Energy Use Shifted to Electricity</v>
      </c>
      <c r="D674" s="6" t="s">
        <v>3083</v>
      </c>
      <c r="E674" s="1" t="s">
        <v>3550</v>
      </c>
      <c r="F674" t="s">
        <v>2583</v>
      </c>
      <c r="G674" s="47" t="s">
        <v>3557</v>
      </c>
      <c r="H674" s="44">
        <v>1941</v>
      </c>
      <c r="I674" s="346" t="s">
        <v>43</v>
      </c>
      <c r="J674" s="276" t="str">
        <f>IF(ISBLANK(INDEX('Policy Characteristics'!D:D,MATCH($C674,'Policy Characteristics'!$C:$C,0))),"",INDEX('Policy Characteristics'!D:D,MATCH($C674,'Policy Characteristics'!$C:$C,0)))</f>
        <v>Electrification</v>
      </c>
      <c r="K674" s="275" t="str">
        <f>IF(ISBLANK(INDEX('Policy Characteristics'!E:E,MATCH($C674,'Policy Characteristics'!$C:$C,0))),"",INDEX('Policy Characteristics'!E:E,MATCH($C674,'Policy Characteristics'!$C:$C,0)))</f>
        <v>indst shift to electricity</v>
      </c>
      <c r="L674" s="283">
        <f>IF(ISBLANK(INDEX('Policy Characteristics'!F:F,MATCH($C674,'Policy Characteristics'!$C:$C,0))),"",INDEX('Policy Characteristics'!F:F,MATCH($C674,'Policy Characteristics'!$C:$C,0)))</f>
        <v>0</v>
      </c>
      <c r="M674" s="283">
        <f>IF(ISBLANK(INDEX('Policy Characteristics'!G:G,MATCH($C674,'Policy Characteristics'!$C:$C,0))),"",INDEX('Policy Characteristics'!G:G,MATCH($C674,'Policy Characteristics'!$C:$C,0)))</f>
        <v>1</v>
      </c>
      <c r="N674" s="283">
        <f>IF(ISBLANK(INDEX('Policy Characteristics'!H:H,MATCH($C674,'Policy Characteristics'!$C:$C,0))),"",INDEX('Policy Characteristics'!H:H,MATCH($C674,'Policy Characteristics'!$C:$C,0)))</f>
        <v>0.01</v>
      </c>
      <c r="O674" s="275" t="str">
        <f>IF(ISBLANK(INDEX('Policy Characteristics'!I:I,MATCH($C674,'Policy Characteristics'!$C:$C,0))),"",INDEX('Policy Characteristics'!I:I,MATCH($C674,'Policy Characteristics'!$C:$C,0)))</f>
        <v>% of fuel shifted</v>
      </c>
      <c r="P674" s="275"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75" t="str">
        <f>IF(ISBLANK(INDEX('Policy Characteristics'!K:K,MATCH($C674,'Policy Characteristics'!$C:$C,0))),"",INDEX('Policy Characteristics'!K:K,MATCH($C674,'Policy Characteristics'!$C:$C,0)))</f>
        <v>industry-ag-main.html#fuel-switching</v>
      </c>
      <c r="R674" s="275" t="str">
        <f>IF(ISBLANK(INDEX('Policy Characteristics'!L:L,MATCH($C674,'Policy Characteristics'!$C:$C,0))),"",INDEX('Policy Characteristics'!L:L,MATCH($C674,'Policy Characteristics'!$C:$C,0)))</f>
        <v>industry-elec-and-hydrogen.html</v>
      </c>
    </row>
    <row r="675" spans="1:18" x14ac:dyDescent="0.25">
      <c r="A675" s="275" t="str">
        <f>IF(ISBLANK(INDEX('Policy Characteristics'!A:A,MATCH($C675,'Policy Characteristics'!$C:$C,0))),"",INDEX('Policy Characteristics'!A:A,MATCH($C675,'Policy Characteristics'!$C:$C,0)))</f>
        <v>Industry</v>
      </c>
      <c r="B675" s="284" t="str">
        <f>IF(ISBLANK(INDEX('Policy Characteristics'!B:B,MATCH($C675,'Policy Characteristics'!$C:$C,0))),"",INDEX('Policy Characteristics'!B:B,MATCH($C675,'Policy Characteristics'!$C:$C,0)))</f>
        <v>Electrification</v>
      </c>
      <c r="C675" s="275" t="str">
        <f t="shared" si="34"/>
        <v>Fraction of Eligible Industrial Energy Use Shifted to Electricity</v>
      </c>
      <c r="D675" s="6" t="s">
        <v>3083</v>
      </c>
      <c r="E675" s="1" t="s">
        <v>3551</v>
      </c>
      <c r="F675" t="s">
        <v>2583</v>
      </c>
      <c r="G675" s="47" t="s">
        <v>3558</v>
      </c>
      <c r="H675" s="44">
        <v>1942</v>
      </c>
      <c r="I675" s="346" t="s">
        <v>43</v>
      </c>
      <c r="J675" s="276" t="str">
        <f>IF(ISBLANK(INDEX('Policy Characteristics'!D:D,MATCH($C675,'Policy Characteristics'!$C:$C,0))),"",INDEX('Policy Characteristics'!D:D,MATCH($C675,'Policy Characteristics'!$C:$C,0)))</f>
        <v>Electrification</v>
      </c>
      <c r="K675" s="275" t="str">
        <f>IF(ISBLANK(INDEX('Policy Characteristics'!E:E,MATCH($C675,'Policy Characteristics'!$C:$C,0))),"",INDEX('Policy Characteristics'!E:E,MATCH($C675,'Policy Characteristics'!$C:$C,0)))</f>
        <v>indst shift to electricity</v>
      </c>
      <c r="L675" s="283">
        <f>IF(ISBLANK(INDEX('Policy Characteristics'!F:F,MATCH($C675,'Policy Characteristics'!$C:$C,0))),"",INDEX('Policy Characteristics'!F:F,MATCH($C675,'Policy Characteristics'!$C:$C,0)))</f>
        <v>0</v>
      </c>
      <c r="M675" s="283">
        <f>IF(ISBLANK(INDEX('Policy Characteristics'!G:G,MATCH($C675,'Policy Characteristics'!$C:$C,0))),"",INDEX('Policy Characteristics'!G:G,MATCH($C675,'Policy Characteristics'!$C:$C,0)))</f>
        <v>1</v>
      </c>
      <c r="N675" s="283">
        <f>IF(ISBLANK(INDEX('Policy Characteristics'!H:H,MATCH($C675,'Policy Characteristics'!$C:$C,0))),"",INDEX('Policy Characteristics'!H:H,MATCH($C675,'Policy Characteristics'!$C:$C,0)))</f>
        <v>0.01</v>
      </c>
      <c r="O675" s="275" t="str">
        <f>IF(ISBLANK(INDEX('Policy Characteristics'!I:I,MATCH($C675,'Policy Characteristics'!$C:$C,0))),"",INDEX('Policy Characteristics'!I:I,MATCH($C675,'Policy Characteristics'!$C:$C,0)))</f>
        <v>% of fuel shifted</v>
      </c>
      <c r="P675" s="275"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75" t="str">
        <f>IF(ISBLANK(INDEX('Policy Characteristics'!K:K,MATCH($C675,'Policy Characteristics'!$C:$C,0))),"",INDEX('Policy Characteristics'!K:K,MATCH($C675,'Policy Characteristics'!$C:$C,0)))</f>
        <v>industry-ag-main.html#fuel-switching</v>
      </c>
      <c r="R675" s="275" t="str">
        <f>IF(ISBLANK(INDEX('Policy Characteristics'!L:L,MATCH($C675,'Policy Characteristics'!$C:$C,0))),"",INDEX('Policy Characteristics'!L:L,MATCH($C675,'Policy Characteristics'!$C:$C,0)))</f>
        <v>industry-elec-and-hydrogen.html</v>
      </c>
    </row>
    <row r="676" spans="1:18" x14ac:dyDescent="0.25">
      <c r="A676" s="275" t="str">
        <f>IF(ISBLANK(INDEX('Policy Characteristics'!A:A,MATCH($C676,'Policy Characteristics'!$C:$C,0))),"",INDEX('Policy Characteristics'!A:A,MATCH($C676,'Policy Characteristics'!$C:$C,0)))</f>
        <v>Industry</v>
      </c>
      <c r="B676" s="284" t="str">
        <f>IF(ISBLANK(INDEX('Policy Characteristics'!B:B,MATCH($C676,'Policy Characteristics'!$C:$C,0))),"",INDEX('Policy Characteristics'!B:B,MATCH($C676,'Policy Characteristics'!$C:$C,0)))</f>
        <v>Electrification</v>
      </c>
      <c r="C676" s="275" t="str">
        <f t="shared" si="34"/>
        <v>Fraction of Eligible Industrial Energy Use Shifted to Electricity</v>
      </c>
      <c r="D676" s="6" t="s">
        <v>3083</v>
      </c>
      <c r="E676" s="1" t="s">
        <v>3552</v>
      </c>
      <c r="F676" t="s">
        <v>2583</v>
      </c>
      <c r="G676" s="47" t="s">
        <v>3559</v>
      </c>
      <c r="H676" s="44">
        <v>1943</v>
      </c>
      <c r="I676" s="346" t="s">
        <v>43</v>
      </c>
      <c r="J676" s="276" t="str">
        <f>IF(ISBLANK(INDEX('Policy Characteristics'!D:D,MATCH($C676,'Policy Characteristics'!$C:$C,0))),"",INDEX('Policy Characteristics'!D:D,MATCH($C676,'Policy Characteristics'!$C:$C,0)))</f>
        <v>Electrification</v>
      </c>
      <c r="K676" s="275" t="str">
        <f>IF(ISBLANK(INDEX('Policy Characteristics'!E:E,MATCH($C676,'Policy Characteristics'!$C:$C,0))),"",INDEX('Policy Characteristics'!E:E,MATCH($C676,'Policy Characteristics'!$C:$C,0)))</f>
        <v>indst shift to electricity</v>
      </c>
      <c r="L676" s="283">
        <f>IF(ISBLANK(INDEX('Policy Characteristics'!F:F,MATCH($C676,'Policy Characteristics'!$C:$C,0))),"",INDEX('Policy Characteristics'!F:F,MATCH($C676,'Policy Characteristics'!$C:$C,0)))</f>
        <v>0</v>
      </c>
      <c r="M676" s="283">
        <f>IF(ISBLANK(INDEX('Policy Characteristics'!G:G,MATCH($C676,'Policy Characteristics'!$C:$C,0))),"",INDEX('Policy Characteristics'!G:G,MATCH($C676,'Policy Characteristics'!$C:$C,0)))</f>
        <v>1</v>
      </c>
      <c r="N676" s="283">
        <f>IF(ISBLANK(INDEX('Policy Characteristics'!H:H,MATCH($C676,'Policy Characteristics'!$C:$C,0))),"",INDEX('Policy Characteristics'!H:H,MATCH($C676,'Policy Characteristics'!$C:$C,0)))</f>
        <v>0.01</v>
      </c>
      <c r="O676" s="275" t="str">
        <f>IF(ISBLANK(INDEX('Policy Characteristics'!I:I,MATCH($C676,'Policy Characteristics'!$C:$C,0))),"",INDEX('Policy Characteristics'!I:I,MATCH($C676,'Policy Characteristics'!$C:$C,0)))</f>
        <v>% of fuel shifted</v>
      </c>
      <c r="P676" s="275"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75" t="str">
        <f>IF(ISBLANK(INDEX('Policy Characteristics'!K:K,MATCH($C676,'Policy Characteristics'!$C:$C,0))),"",INDEX('Policy Characteristics'!K:K,MATCH($C676,'Policy Characteristics'!$C:$C,0)))</f>
        <v>industry-ag-main.html#fuel-switching</v>
      </c>
      <c r="R676" s="275" t="str">
        <f>IF(ISBLANK(INDEX('Policy Characteristics'!L:L,MATCH($C676,'Policy Characteristics'!$C:$C,0))),"",INDEX('Policy Characteristics'!L:L,MATCH($C676,'Policy Characteristics'!$C:$C,0)))</f>
        <v>industry-elec-and-hydrogen.html</v>
      </c>
    </row>
    <row r="677" spans="1:18" x14ac:dyDescent="0.25">
      <c r="A677" s="275" t="str">
        <f>IF(ISBLANK(INDEX('Policy Characteristics'!A:A,MATCH($C677,'Policy Characteristics'!$C:$C,0))),"",INDEX('Policy Characteristics'!A:A,MATCH($C677,'Policy Characteristics'!$C:$C,0)))</f>
        <v>Industry</v>
      </c>
      <c r="B677" s="284" t="str">
        <f>IF(ISBLANK(INDEX('Policy Characteristics'!B:B,MATCH($C677,'Policy Characteristics'!$C:$C,0))),"",INDEX('Policy Characteristics'!B:B,MATCH($C677,'Policy Characteristics'!$C:$C,0)))</f>
        <v>Electrification</v>
      </c>
      <c r="C677" s="275" t="str">
        <f t="shared" si="34"/>
        <v>Fraction of Eligible Industrial Energy Use Shifted to Electricity</v>
      </c>
      <c r="D677" s="6" t="s">
        <v>3083</v>
      </c>
      <c r="E677" s="1" t="s">
        <v>3553</v>
      </c>
      <c r="F677" t="s">
        <v>2583</v>
      </c>
      <c r="G677" s="47" t="s">
        <v>3560</v>
      </c>
      <c r="H677" s="44">
        <v>1944</v>
      </c>
      <c r="I677" s="346" t="s">
        <v>44</v>
      </c>
      <c r="J677" s="276" t="str">
        <f>IF(ISBLANK(INDEX('Policy Characteristics'!D:D,MATCH($C677,'Policy Characteristics'!$C:$C,0))),"",INDEX('Policy Characteristics'!D:D,MATCH($C677,'Policy Characteristics'!$C:$C,0)))</f>
        <v>Electrification</v>
      </c>
      <c r="K677" s="275" t="str">
        <f>IF(ISBLANK(INDEX('Policy Characteristics'!E:E,MATCH($C677,'Policy Characteristics'!$C:$C,0))),"",INDEX('Policy Characteristics'!E:E,MATCH($C677,'Policy Characteristics'!$C:$C,0)))</f>
        <v>indst shift to electricity</v>
      </c>
      <c r="L677" s="283">
        <f>IF(ISBLANK(INDEX('Policy Characteristics'!F:F,MATCH($C677,'Policy Characteristics'!$C:$C,0))),"",INDEX('Policy Characteristics'!F:F,MATCH($C677,'Policy Characteristics'!$C:$C,0)))</f>
        <v>0</v>
      </c>
      <c r="M677" s="283">
        <f>IF(ISBLANK(INDEX('Policy Characteristics'!G:G,MATCH($C677,'Policy Characteristics'!$C:$C,0))),"",INDEX('Policy Characteristics'!G:G,MATCH($C677,'Policy Characteristics'!$C:$C,0)))</f>
        <v>1</v>
      </c>
      <c r="N677" s="283">
        <f>IF(ISBLANK(INDEX('Policy Characteristics'!H:H,MATCH($C677,'Policy Characteristics'!$C:$C,0))),"",INDEX('Policy Characteristics'!H:H,MATCH($C677,'Policy Characteristics'!$C:$C,0)))</f>
        <v>0.01</v>
      </c>
      <c r="O677" s="275" t="str">
        <f>IF(ISBLANK(INDEX('Policy Characteristics'!I:I,MATCH($C677,'Policy Characteristics'!$C:$C,0))),"",INDEX('Policy Characteristics'!I:I,MATCH($C677,'Policy Characteristics'!$C:$C,0)))</f>
        <v>% of fuel shifted</v>
      </c>
      <c r="P677" s="275"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75" t="str">
        <f>IF(ISBLANK(INDEX('Policy Characteristics'!K:K,MATCH($C677,'Policy Characteristics'!$C:$C,0))),"",INDEX('Policy Characteristics'!K:K,MATCH($C677,'Policy Characteristics'!$C:$C,0)))</f>
        <v>industry-ag-main.html#fuel-switching</v>
      </c>
      <c r="R677" s="275" t="str">
        <f>IF(ISBLANK(INDEX('Policy Characteristics'!L:L,MATCH($C677,'Policy Characteristics'!$C:$C,0))),"",INDEX('Policy Characteristics'!L:L,MATCH($C677,'Policy Characteristics'!$C:$C,0)))</f>
        <v>industry-elec-and-hydrogen.html</v>
      </c>
    </row>
    <row r="678" spans="1:18" x14ac:dyDescent="0.25">
      <c r="A678" s="275" t="str">
        <f>IF(ISBLANK(INDEX('Policy Characteristics'!A:A,MATCH($C678,'Policy Characteristics'!$C:$C,0))),"",INDEX('Policy Characteristics'!A:A,MATCH($C678,'Policy Characteristics'!$C:$C,0)))</f>
        <v>Industry</v>
      </c>
      <c r="B678" s="284" t="str">
        <f>IF(ISBLANK(INDEX('Policy Characteristics'!B:B,MATCH($C678,'Policy Characteristics'!$C:$C,0))),"",INDEX('Policy Characteristics'!B:B,MATCH($C678,'Policy Characteristics'!$C:$C,0)))</f>
        <v>Electrification</v>
      </c>
      <c r="C678" s="275" t="str">
        <f t="shared" si="34"/>
        <v>Fraction of Eligible Industrial Energy Use Shifted to Electricity</v>
      </c>
      <c r="D678" s="6" t="s">
        <v>3083</v>
      </c>
      <c r="E678" s="1" t="s">
        <v>3737</v>
      </c>
      <c r="F678" t="s">
        <v>2583</v>
      </c>
      <c r="G678" s="47" t="s">
        <v>3738</v>
      </c>
      <c r="H678" s="44">
        <v>1945</v>
      </c>
      <c r="I678" s="346" t="s">
        <v>43</v>
      </c>
      <c r="J678" s="276" t="str">
        <f>IF(ISBLANK(INDEX('Policy Characteristics'!D:D,MATCH($C678,'Policy Characteristics'!$C:$C,0))),"",INDEX('Policy Characteristics'!D:D,MATCH($C678,'Policy Characteristics'!$C:$C,0)))</f>
        <v>Electrification</v>
      </c>
      <c r="K678" s="275" t="str">
        <f>IF(ISBLANK(INDEX('Policy Characteristics'!E:E,MATCH($C678,'Policy Characteristics'!$C:$C,0))),"",INDEX('Policy Characteristics'!E:E,MATCH($C678,'Policy Characteristics'!$C:$C,0)))</f>
        <v>indst shift to electricity</v>
      </c>
      <c r="L678" s="283">
        <f>IF(ISBLANK(INDEX('Policy Characteristics'!F:F,MATCH($C678,'Policy Characteristics'!$C:$C,0))),"",INDEX('Policy Characteristics'!F:F,MATCH($C678,'Policy Characteristics'!$C:$C,0)))</f>
        <v>0</v>
      </c>
      <c r="M678" s="283">
        <f>IF(ISBLANK(INDEX('Policy Characteristics'!G:G,MATCH($C678,'Policy Characteristics'!$C:$C,0))),"",INDEX('Policy Characteristics'!G:G,MATCH($C678,'Policy Characteristics'!$C:$C,0)))</f>
        <v>1</v>
      </c>
      <c r="N678" s="283">
        <f>IF(ISBLANK(INDEX('Policy Characteristics'!H:H,MATCH($C678,'Policy Characteristics'!$C:$C,0))),"",INDEX('Policy Characteristics'!H:H,MATCH($C678,'Policy Characteristics'!$C:$C,0)))</f>
        <v>0.01</v>
      </c>
      <c r="O678" s="275" t="str">
        <f>IF(ISBLANK(INDEX('Policy Characteristics'!I:I,MATCH($C678,'Policy Characteristics'!$C:$C,0))),"",INDEX('Policy Characteristics'!I:I,MATCH($C678,'Policy Characteristics'!$C:$C,0)))</f>
        <v>% of fuel shifted</v>
      </c>
      <c r="P678" s="275"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75" t="str">
        <f>IF(ISBLANK(INDEX('Policy Characteristics'!K:K,MATCH($C678,'Policy Characteristics'!$C:$C,0))),"",INDEX('Policy Characteristics'!K:K,MATCH($C678,'Policy Characteristics'!$C:$C,0)))</f>
        <v>industry-ag-main.html#fuel-switching</v>
      </c>
      <c r="R678" s="275" t="str">
        <f>IF(ISBLANK(INDEX('Policy Characteristics'!L:L,MATCH($C678,'Policy Characteristics'!$C:$C,0))),"",INDEX('Policy Characteristics'!L:L,MATCH($C678,'Policy Characteristics'!$C:$C,0)))</f>
        <v>industry-elec-and-hydrogen.html</v>
      </c>
    </row>
    <row r="679" spans="1:18" x14ac:dyDescent="0.25">
      <c r="A679" s="275" t="str">
        <f>IF(ISBLANK(INDEX('Policy Characteristics'!A:A,MATCH($C679,'Policy Characteristics'!$C:$C,0))),"",INDEX('Policy Characteristics'!A:A,MATCH($C679,'Policy Characteristics'!$C:$C,0)))</f>
        <v>Industry</v>
      </c>
      <c r="B679" s="284" t="str">
        <f>IF(ISBLANK(INDEX('Policy Characteristics'!B:B,MATCH($C679,'Policy Characteristics'!$C:$C,0))),"",INDEX('Policy Characteristics'!B:B,MATCH($C679,'Policy Characteristics'!$C:$C,0)))</f>
        <v>Electrification</v>
      </c>
      <c r="C679" s="275" t="str">
        <f t="shared" si="34"/>
        <v>Fraction of Eligible Industrial Energy Use Shifted to Electricity</v>
      </c>
      <c r="D679" s="6" t="s">
        <v>3084</v>
      </c>
      <c r="E679" s="1" t="s">
        <v>3547</v>
      </c>
      <c r="F679" t="s">
        <v>3046</v>
      </c>
      <c r="G679" s="47" t="s">
        <v>3554</v>
      </c>
      <c r="H679" s="44">
        <v>1946</v>
      </c>
      <c r="I679" s="346" t="s">
        <v>43</v>
      </c>
      <c r="J679" s="276" t="str">
        <f>IF(ISBLANK(INDEX('Policy Characteristics'!D:D,MATCH($C679,'Policy Characteristics'!$C:$C,0))),"",INDEX('Policy Characteristics'!D:D,MATCH($C679,'Policy Characteristics'!$C:$C,0)))</f>
        <v>Electrification</v>
      </c>
      <c r="K679" s="275" t="str">
        <f>IF(ISBLANK(INDEX('Policy Characteristics'!E:E,MATCH($C679,'Policy Characteristics'!$C:$C,0))),"",INDEX('Policy Characteristics'!E:E,MATCH($C679,'Policy Characteristics'!$C:$C,0)))</f>
        <v>indst shift to electricity</v>
      </c>
      <c r="L679" s="283">
        <f>IF(ISBLANK(INDEX('Policy Characteristics'!F:F,MATCH($C679,'Policy Characteristics'!$C:$C,0))),"",INDEX('Policy Characteristics'!F:F,MATCH($C679,'Policy Characteristics'!$C:$C,0)))</f>
        <v>0</v>
      </c>
      <c r="M679" s="283">
        <f>IF(ISBLANK(INDEX('Policy Characteristics'!G:G,MATCH($C679,'Policy Characteristics'!$C:$C,0))),"",INDEX('Policy Characteristics'!G:G,MATCH($C679,'Policy Characteristics'!$C:$C,0)))</f>
        <v>1</v>
      </c>
      <c r="N679" s="283">
        <f>IF(ISBLANK(INDEX('Policy Characteristics'!H:H,MATCH($C679,'Policy Characteristics'!$C:$C,0))),"",INDEX('Policy Characteristics'!H:H,MATCH($C679,'Policy Characteristics'!$C:$C,0)))</f>
        <v>0.01</v>
      </c>
      <c r="O679" s="275" t="str">
        <f>IF(ISBLANK(INDEX('Policy Characteristics'!I:I,MATCH($C679,'Policy Characteristics'!$C:$C,0))),"",INDEX('Policy Characteristics'!I:I,MATCH($C679,'Policy Characteristics'!$C:$C,0)))</f>
        <v>% of fuel shifted</v>
      </c>
      <c r="P679" s="275"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75" t="str">
        <f>IF(ISBLANK(INDEX('Policy Characteristics'!K:K,MATCH($C679,'Policy Characteristics'!$C:$C,0))),"",INDEX('Policy Characteristics'!K:K,MATCH($C679,'Policy Characteristics'!$C:$C,0)))</f>
        <v>industry-ag-main.html#fuel-switching</v>
      </c>
      <c r="R679" s="275" t="str">
        <f>IF(ISBLANK(INDEX('Policy Characteristics'!L:L,MATCH($C679,'Policy Characteristics'!$C:$C,0))),"",INDEX('Policy Characteristics'!L:L,MATCH($C679,'Policy Characteristics'!$C:$C,0)))</f>
        <v>industry-elec-and-hydrogen.html</v>
      </c>
    </row>
    <row r="680" spans="1:18" x14ac:dyDescent="0.25">
      <c r="A680" s="275" t="str">
        <f>IF(ISBLANK(INDEX('Policy Characteristics'!A:A,MATCH($C680,'Policy Characteristics'!$C:$C,0))),"",INDEX('Policy Characteristics'!A:A,MATCH($C680,'Policy Characteristics'!$C:$C,0)))</f>
        <v>Industry</v>
      </c>
      <c r="B680" s="284" t="str">
        <f>IF(ISBLANK(INDEX('Policy Characteristics'!B:B,MATCH($C680,'Policy Characteristics'!$C:$C,0))),"",INDEX('Policy Characteristics'!B:B,MATCH($C680,'Policy Characteristics'!$C:$C,0)))</f>
        <v>Electrification</v>
      </c>
      <c r="C680" s="275" t="str">
        <f t="shared" si="34"/>
        <v>Fraction of Eligible Industrial Energy Use Shifted to Electricity</v>
      </c>
      <c r="D680" s="6" t="s">
        <v>3084</v>
      </c>
      <c r="E680" s="1" t="s">
        <v>3548</v>
      </c>
      <c r="F680" t="s">
        <v>3046</v>
      </c>
      <c r="G680" s="47" t="s">
        <v>3555</v>
      </c>
      <c r="H680" s="44">
        <v>1947</v>
      </c>
      <c r="I680" s="346" t="s">
        <v>43</v>
      </c>
      <c r="J680" s="276" t="str">
        <f>IF(ISBLANK(INDEX('Policy Characteristics'!D:D,MATCH($C680,'Policy Characteristics'!$C:$C,0))),"",INDEX('Policy Characteristics'!D:D,MATCH($C680,'Policy Characteristics'!$C:$C,0)))</f>
        <v>Electrification</v>
      </c>
      <c r="K680" s="275" t="str">
        <f>IF(ISBLANK(INDEX('Policy Characteristics'!E:E,MATCH($C680,'Policy Characteristics'!$C:$C,0))),"",INDEX('Policy Characteristics'!E:E,MATCH($C680,'Policy Characteristics'!$C:$C,0)))</f>
        <v>indst shift to electricity</v>
      </c>
      <c r="L680" s="283">
        <f>IF(ISBLANK(INDEX('Policy Characteristics'!F:F,MATCH($C680,'Policy Characteristics'!$C:$C,0))),"",INDEX('Policy Characteristics'!F:F,MATCH($C680,'Policy Characteristics'!$C:$C,0)))</f>
        <v>0</v>
      </c>
      <c r="M680" s="283">
        <f>IF(ISBLANK(INDEX('Policy Characteristics'!G:G,MATCH($C680,'Policy Characteristics'!$C:$C,0))),"",INDEX('Policy Characteristics'!G:G,MATCH($C680,'Policy Characteristics'!$C:$C,0)))</f>
        <v>1</v>
      </c>
      <c r="N680" s="283">
        <f>IF(ISBLANK(INDEX('Policy Characteristics'!H:H,MATCH($C680,'Policy Characteristics'!$C:$C,0))),"",INDEX('Policy Characteristics'!H:H,MATCH($C680,'Policy Characteristics'!$C:$C,0)))</f>
        <v>0.01</v>
      </c>
      <c r="O680" s="275" t="str">
        <f>IF(ISBLANK(INDEX('Policy Characteristics'!I:I,MATCH($C680,'Policy Characteristics'!$C:$C,0))),"",INDEX('Policy Characteristics'!I:I,MATCH($C680,'Policy Characteristics'!$C:$C,0)))</f>
        <v>% of fuel shifted</v>
      </c>
      <c r="P680" s="275"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75" t="str">
        <f>IF(ISBLANK(INDEX('Policy Characteristics'!K:K,MATCH($C680,'Policy Characteristics'!$C:$C,0))),"",INDEX('Policy Characteristics'!K:K,MATCH($C680,'Policy Characteristics'!$C:$C,0)))</f>
        <v>industry-ag-main.html#fuel-switching</v>
      </c>
      <c r="R680" s="275" t="str">
        <f>IF(ISBLANK(INDEX('Policy Characteristics'!L:L,MATCH($C680,'Policy Characteristics'!$C:$C,0))),"",INDEX('Policy Characteristics'!L:L,MATCH($C680,'Policy Characteristics'!$C:$C,0)))</f>
        <v>industry-elec-and-hydrogen.html</v>
      </c>
    </row>
    <row r="681" spans="1:18" x14ac:dyDescent="0.25">
      <c r="A681" s="275" t="str">
        <f>IF(ISBLANK(INDEX('Policy Characteristics'!A:A,MATCH($C681,'Policy Characteristics'!$C:$C,0))),"",INDEX('Policy Characteristics'!A:A,MATCH($C681,'Policy Characteristics'!$C:$C,0)))</f>
        <v>Industry</v>
      </c>
      <c r="B681" s="284" t="str">
        <f>IF(ISBLANK(INDEX('Policy Characteristics'!B:B,MATCH($C681,'Policy Characteristics'!$C:$C,0))),"",INDEX('Policy Characteristics'!B:B,MATCH($C681,'Policy Characteristics'!$C:$C,0)))</f>
        <v>Electrification</v>
      </c>
      <c r="C681" s="275" t="str">
        <f t="shared" si="34"/>
        <v>Fraction of Eligible Industrial Energy Use Shifted to Electricity</v>
      </c>
      <c r="D681" s="6" t="s">
        <v>3084</v>
      </c>
      <c r="E681" s="1" t="s">
        <v>3549</v>
      </c>
      <c r="F681" t="s">
        <v>3046</v>
      </c>
      <c r="G681" s="47" t="s">
        <v>3556</v>
      </c>
      <c r="H681" s="44">
        <v>1948</v>
      </c>
      <c r="I681" s="346" t="s">
        <v>43</v>
      </c>
      <c r="J681" s="276" t="str">
        <f>IF(ISBLANK(INDEX('Policy Characteristics'!D:D,MATCH($C681,'Policy Characteristics'!$C:$C,0))),"",INDEX('Policy Characteristics'!D:D,MATCH($C681,'Policy Characteristics'!$C:$C,0)))</f>
        <v>Electrification</v>
      </c>
      <c r="K681" s="275" t="str">
        <f>IF(ISBLANK(INDEX('Policy Characteristics'!E:E,MATCH($C681,'Policy Characteristics'!$C:$C,0))),"",INDEX('Policy Characteristics'!E:E,MATCH($C681,'Policy Characteristics'!$C:$C,0)))</f>
        <v>indst shift to electricity</v>
      </c>
      <c r="L681" s="283">
        <f>IF(ISBLANK(INDEX('Policy Characteristics'!F:F,MATCH($C681,'Policy Characteristics'!$C:$C,0))),"",INDEX('Policy Characteristics'!F:F,MATCH($C681,'Policy Characteristics'!$C:$C,0)))</f>
        <v>0</v>
      </c>
      <c r="M681" s="283">
        <f>IF(ISBLANK(INDEX('Policy Characteristics'!G:G,MATCH($C681,'Policy Characteristics'!$C:$C,0))),"",INDEX('Policy Characteristics'!G:G,MATCH($C681,'Policy Characteristics'!$C:$C,0)))</f>
        <v>1</v>
      </c>
      <c r="N681" s="283">
        <f>IF(ISBLANK(INDEX('Policy Characteristics'!H:H,MATCH($C681,'Policy Characteristics'!$C:$C,0))),"",INDEX('Policy Characteristics'!H:H,MATCH($C681,'Policy Characteristics'!$C:$C,0)))</f>
        <v>0.01</v>
      </c>
      <c r="O681" s="275" t="str">
        <f>IF(ISBLANK(INDEX('Policy Characteristics'!I:I,MATCH($C681,'Policy Characteristics'!$C:$C,0))),"",INDEX('Policy Characteristics'!I:I,MATCH($C681,'Policy Characteristics'!$C:$C,0)))</f>
        <v>% of fuel shifted</v>
      </c>
      <c r="P681" s="275"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75" t="str">
        <f>IF(ISBLANK(INDEX('Policy Characteristics'!K:K,MATCH($C681,'Policy Characteristics'!$C:$C,0))),"",INDEX('Policy Characteristics'!K:K,MATCH($C681,'Policy Characteristics'!$C:$C,0)))</f>
        <v>industry-ag-main.html#fuel-switching</v>
      </c>
      <c r="R681" s="275" t="str">
        <f>IF(ISBLANK(INDEX('Policy Characteristics'!L:L,MATCH($C681,'Policy Characteristics'!$C:$C,0))),"",INDEX('Policy Characteristics'!L:L,MATCH($C681,'Policy Characteristics'!$C:$C,0)))</f>
        <v>industry-elec-and-hydrogen.html</v>
      </c>
    </row>
    <row r="682" spans="1:18" x14ac:dyDescent="0.25">
      <c r="A682" s="275" t="str">
        <f>IF(ISBLANK(INDEX('Policy Characteristics'!A:A,MATCH($C682,'Policy Characteristics'!$C:$C,0))),"",INDEX('Policy Characteristics'!A:A,MATCH($C682,'Policy Characteristics'!$C:$C,0)))</f>
        <v>Industry</v>
      </c>
      <c r="B682" s="284" t="str">
        <f>IF(ISBLANK(INDEX('Policy Characteristics'!B:B,MATCH($C682,'Policy Characteristics'!$C:$C,0))),"",INDEX('Policy Characteristics'!B:B,MATCH($C682,'Policy Characteristics'!$C:$C,0)))</f>
        <v>Electrification</v>
      </c>
      <c r="C682" s="275" t="str">
        <f t="shared" si="34"/>
        <v>Fraction of Eligible Industrial Energy Use Shifted to Electricity</v>
      </c>
      <c r="D682" s="6" t="s">
        <v>3084</v>
      </c>
      <c r="E682" s="1" t="s">
        <v>3550</v>
      </c>
      <c r="F682" t="s">
        <v>3046</v>
      </c>
      <c r="G682" s="47" t="s">
        <v>3557</v>
      </c>
      <c r="H682" s="44">
        <v>1949</v>
      </c>
      <c r="I682" s="346" t="s">
        <v>43</v>
      </c>
      <c r="J682" s="276" t="str">
        <f>IF(ISBLANK(INDEX('Policy Characteristics'!D:D,MATCH($C682,'Policy Characteristics'!$C:$C,0))),"",INDEX('Policy Characteristics'!D:D,MATCH($C682,'Policy Characteristics'!$C:$C,0)))</f>
        <v>Electrification</v>
      </c>
      <c r="K682" s="275" t="str">
        <f>IF(ISBLANK(INDEX('Policy Characteristics'!E:E,MATCH($C682,'Policy Characteristics'!$C:$C,0))),"",INDEX('Policy Characteristics'!E:E,MATCH($C682,'Policy Characteristics'!$C:$C,0)))</f>
        <v>indst shift to electricity</v>
      </c>
      <c r="L682" s="283">
        <f>IF(ISBLANK(INDEX('Policy Characteristics'!F:F,MATCH($C682,'Policy Characteristics'!$C:$C,0))),"",INDEX('Policy Characteristics'!F:F,MATCH($C682,'Policy Characteristics'!$C:$C,0)))</f>
        <v>0</v>
      </c>
      <c r="M682" s="283">
        <f>IF(ISBLANK(INDEX('Policy Characteristics'!G:G,MATCH($C682,'Policy Characteristics'!$C:$C,0))),"",INDEX('Policy Characteristics'!G:G,MATCH($C682,'Policy Characteristics'!$C:$C,0)))</f>
        <v>1</v>
      </c>
      <c r="N682" s="283">
        <f>IF(ISBLANK(INDEX('Policy Characteristics'!H:H,MATCH($C682,'Policy Characteristics'!$C:$C,0))),"",INDEX('Policy Characteristics'!H:H,MATCH($C682,'Policy Characteristics'!$C:$C,0)))</f>
        <v>0.01</v>
      </c>
      <c r="O682" s="275" t="str">
        <f>IF(ISBLANK(INDEX('Policy Characteristics'!I:I,MATCH($C682,'Policy Characteristics'!$C:$C,0))),"",INDEX('Policy Characteristics'!I:I,MATCH($C682,'Policy Characteristics'!$C:$C,0)))</f>
        <v>% of fuel shifted</v>
      </c>
      <c r="P682" s="275"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75" t="str">
        <f>IF(ISBLANK(INDEX('Policy Characteristics'!K:K,MATCH($C682,'Policy Characteristics'!$C:$C,0))),"",INDEX('Policy Characteristics'!K:K,MATCH($C682,'Policy Characteristics'!$C:$C,0)))</f>
        <v>industry-ag-main.html#fuel-switching</v>
      </c>
      <c r="R682" s="275" t="str">
        <f>IF(ISBLANK(INDEX('Policy Characteristics'!L:L,MATCH($C682,'Policy Characteristics'!$C:$C,0))),"",INDEX('Policy Characteristics'!L:L,MATCH($C682,'Policy Characteristics'!$C:$C,0)))</f>
        <v>industry-elec-and-hydrogen.html</v>
      </c>
    </row>
    <row r="683" spans="1:18" x14ac:dyDescent="0.25">
      <c r="A683" s="275" t="str">
        <f>IF(ISBLANK(INDEX('Policy Characteristics'!A:A,MATCH($C683,'Policy Characteristics'!$C:$C,0))),"",INDEX('Policy Characteristics'!A:A,MATCH($C683,'Policy Characteristics'!$C:$C,0)))</f>
        <v>Industry</v>
      </c>
      <c r="B683" s="284" t="str">
        <f>IF(ISBLANK(INDEX('Policy Characteristics'!B:B,MATCH($C683,'Policy Characteristics'!$C:$C,0))),"",INDEX('Policy Characteristics'!B:B,MATCH($C683,'Policy Characteristics'!$C:$C,0)))</f>
        <v>Electrification</v>
      </c>
      <c r="C683" s="275" t="str">
        <f t="shared" si="34"/>
        <v>Fraction of Eligible Industrial Energy Use Shifted to Electricity</v>
      </c>
      <c r="D683" s="6" t="s">
        <v>3084</v>
      </c>
      <c r="E683" s="1" t="s">
        <v>3551</v>
      </c>
      <c r="F683" t="s">
        <v>3046</v>
      </c>
      <c r="G683" s="47" t="s">
        <v>3558</v>
      </c>
      <c r="H683" s="44">
        <v>1950</v>
      </c>
      <c r="I683" s="346" t="s">
        <v>44</v>
      </c>
      <c r="J683" s="276" t="str">
        <f>IF(ISBLANK(INDEX('Policy Characteristics'!D:D,MATCH($C683,'Policy Characteristics'!$C:$C,0))),"",INDEX('Policy Characteristics'!D:D,MATCH($C683,'Policy Characteristics'!$C:$C,0)))</f>
        <v>Electrification</v>
      </c>
      <c r="K683" s="275" t="str">
        <f>IF(ISBLANK(INDEX('Policy Characteristics'!E:E,MATCH($C683,'Policy Characteristics'!$C:$C,0))),"",INDEX('Policy Characteristics'!E:E,MATCH($C683,'Policy Characteristics'!$C:$C,0)))</f>
        <v>indst shift to electricity</v>
      </c>
      <c r="L683" s="283">
        <f>IF(ISBLANK(INDEX('Policy Characteristics'!F:F,MATCH($C683,'Policy Characteristics'!$C:$C,0))),"",INDEX('Policy Characteristics'!F:F,MATCH($C683,'Policy Characteristics'!$C:$C,0)))</f>
        <v>0</v>
      </c>
      <c r="M683" s="283">
        <f>IF(ISBLANK(INDEX('Policy Characteristics'!G:G,MATCH($C683,'Policy Characteristics'!$C:$C,0))),"",INDEX('Policy Characteristics'!G:G,MATCH($C683,'Policy Characteristics'!$C:$C,0)))</f>
        <v>1</v>
      </c>
      <c r="N683" s="283">
        <f>IF(ISBLANK(INDEX('Policy Characteristics'!H:H,MATCH($C683,'Policy Characteristics'!$C:$C,0))),"",INDEX('Policy Characteristics'!H:H,MATCH($C683,'Policy Characteristics'!$C:$C,0)))</f>
        <v>0.01</v>
      </c>
      <c r="O683" s="275" t="str">
        <f>IF(ISBLANK(INDEX('Policy Characteristics'!I:I,MATCH($C683,'Policy Characteristics'!$C:$C,0))),"",INDEX('Policy Characteristics'!I:I,MATCH($C683,'Policy Characteristics'!$C:$C,0)))</f>
        <v>% of fuel shifted</v>
      </c>
      <c r="P683" s="275"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75" t="str">
        <f>IF(ISBLANK(INDEX('Policy Characteristics'!K:K,MATCH($C683,'Policy Characteristics'!$C:$C,0))),"",INDEX('Policy Characteristics'!K:K,MATCH($C683,'Policy Characteristics'!$C:$C,0)))</f>
        <v>industry-ag-main.html#fuel-switching</v>
      </c>
      <c r="R683" s="275" t="str">
        <f>IF(ISBLANK(INDEX('Policy Characteristics'!L:L,MATCH($C683,'Policy Characteristics'!$C:$C,0))),"",INDEX('Policy Characteristics'!L:L,MATCH($C683,'Policy Characteristics'!$C:$C,0)))</f>
        <v>industry-elec-and-hydrogen.html</v>
      </c>
    </row>
    <row r="684" spans="1:18" x14ac:dyDescent="0.25">
      <c r="A684" s="275" t="str">
        <f>IF(ISBLANK(INDEX('Policy Characteristics'!A:A,MATCH($C684,'Policy Characteristics'!$C:$C,0))),"",INDEX('Policy Characteristics'!A:A,MATCH($C684,'Policy Characteristics'!$C:$C,0)))</f>
        <v>Industry</v>
      </c>
      <c r="B684" s="284" t="str">
        <f>IF(ISBLANK(INDEX('Policy Characteristics'!B:B,MATCH($C684,'Policy Characteristics'!$C:$C,0))),"",INDEX('Policy Characteristics'!B:B,MATCH($C684,'Policy Characteristics'!$C:$C,0)))</f>
        <v>Electrification</v>
      </c>
      <c r="C684" s="275" t="str">
        <f t="shared" ref="C684:C734" si="35">C$567</f>
        <v>Fraction of Eligible Industrial Energy Use Shifted to Electricity</v>
      </c>
      <c r="D684" s="6" t="s">
        <v>3084</v>
      </c>
      <c r="E684" s="1" t="s">
        <v>3552</v>
      </c>
      <c r="F684" t="s">
        <v>3046</v>
      </c>
      <c r="G684" s="47" t="s">
        <v>3559</v>
      </c>
      <c r="H684" s="44">
        <v>1951</v>
      </c>
      <c r="I684" s="346" t="s">
        <v>44</v>
      </c>
      <c r="J684" s="276" t="str">
        <f>IF(ISBLANK(INDEX('Policy Characteristics'!D:D,MATCH($C684,'Policy Characteristics'!$C:$C,0))),"",INDEX('Policy Characteristics'!D:D,MATCH($C684,'Policy Characteristics'!$C:$C,0)))</f>
        <v>Electrification</v>
      </c>
      <c r="K684" s="275" t="str">
        <f>IF(ISBLANK(INDEX('Policy Characteristics'!E:E,MATCH($C684,'Policy Characteristics'!$C:$C,0))),"",INDEX('Policy Characteristics'!E:E,MATCH($C684,'Policy Characteristics'!$C:$C,0)))</f>
        <v>indst shift to electricity</v>
      </c>
      <c r="L684" s="283">
        <f>IF(ISBLANK(INDEX('Policy Characteristics'!F:F,MATCH($C684,'Policy Characteristics'!$C:$C,0))),"",INDEX('Policy Characteristics'!F:F,MATCH($C684,'Policy Characteristics'!$C:$C,0)))</f>
        <v>0</v>
      </c>
      <c r="M684" s="283">
        <f>IF(ISBLANK(INDEX('Policy Characteristics'!G:G,MATCH($C684,'Policy Characteristics'!$C:$C,0))),"",INDEX('Policy Characteristics'!G:G,MATCH($C684,'Policy Characteristics'!$C:$C,0)))</f>
        <v>1</v>
      </c>
      <c r="N684" s="283">
        <f>IF(ISBLANK(INDEX('Policy Characteristics'!H:H,MATCH($C684,'Policy Characteristics'!$C:$C,0))),"",INDEX('Policy Characteristics'!H:H,MATCH($C684,'Policy Characteristics'!$C:$C,0)))</f>
        <v>0.01</v>
      </c>
      <c r="O684" s="275" t="str">
        <f>IF(ISBLANK(INDEX('Policy Characteristics'!I:I,MATCH($C684,'Policy Characteristics'!$C:$C,0))),"",INDEX('Policy Characteristics'!I:I,MATCH($C684,'Policy Characteristics'!$C:$C,0)))</f>
        <v>% of fuel shifted</v>
      </c>
      <c r="P684" s="275"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75" t="str">
        <f>IF(ISBLANK(INDEX('Policy Characteristics'!K:K,MATCH($C684,'Policy Characteristics'!$C:$C,0))),"",INDEX('Policy Characteristics'!K:K,MATCH($C684,'Policy Characteristics'!$C:$C,0)))</f>
        <v>industry-ag-main.html#fuel-switching</v>
      </c>
      <c r="R684" s="275" t="str">
        <f>IF(ISBLANK(INDEX('Policy Characteristics'!L:L,MATCH($C684,'Policy Characteristics'!$C:$C,0))),"",INDEX('Policy Characteristics'!L:L,MATCH($C684,'Policy Characteristics'!$C:$C,0)))</f>
        <v>industry-elec-and-hydrogen.html</v>
      </c>
    </row>
    <row r="685" spans="1:18" x14ac:dyDescent="0.25">
      <c r="A685" s="275" t="str">
        <f>IF(ISBLANK(INDEX('Policy Characteristics'!A:A,MATCH($C685,'Policy Characteristics'!$C:$C,0))),"",INDEX('Policy Characteristics'!A:A,MATCH($C685,'Policy Characteristics'!$C:$C,0)))</f>
        <v>Industry</v>
      </c>
      <c r="B685" s="284" t="str">
        <f>IF(ISBLANK(INDEX('Policy Characteristics'!B:B,MATCH($C685,'Policy Characteristics'!$C:$C,0))),"",INDEX('Policy Characteristics'!B:B,MATCH($C685,'Policy Characteristics'!$C:$C,0)))</f>
        <v>Electrification</v>
      </c>
      <c r="C685" s="275" t="str">
        <f t="shared" si="35"/>
        <v>Fraction of Eligible Industrial Energy Use Shifted to Electricity</v>
      </c>
      <c r="D685" s="6" t="s">
        <v>3084</v>
      </c>
      <c r="E685" s="1" t="s">
        <v>3553</v>
      </c>
      <c r="F685" t="s">
        <v>3046</v>
      </c>
      <c r="G685" s="47" t="s">
        <v>3560</v>
      </c>
      <c r="H685" s="44">
        <v>1952</v>
      </c>
      <c r="I685" s="346" t="s">
        <v>44</v>
      </c>
      <c r="J685" s="276" t="str">
        <f>IF(ISBLANK(INDEX('Policy Characteristics'!D:D,MATCH($C685,'Policy Characteristics'!$C:$C,0))),"",INDEX('Policy Characteristics'!D:D,MATCH($C685,'Policy Characteristics'!$C:$C,0)))</f>
        <v>Electrification</v>
      </c>
      <c r="K685" s="275" t="str">
        <f>IF(ISBLANK(INDEX('Policy Characteristics'!E:E,MATCH($C685,'Policy Characteristics'!$C:$C,0))),"",INDEX('Policy Characteristics'!E:E,MATCH($C685,'Policy Characteristics'!$C:$C,0)))</f>
        <v>indst shift to electricity</v>
      </c>
      <c r="L685" s="283">
        <f>IF(ISBLANK(INDEX('Policy Characteristics'!F:F,MATCH($C685,'Policy Characteristics'!$C:$C,0))),"",INDEX('Policy Characteristics'!F:F,MATCH($C685,'Policy Characteristics'!$C:$C,0)))</f>
        <v>0</v>
      </c>
      <c r="M685" s="283">
        <f>IF(ISBLANK(INDEX('Policy Characteristics'!G:G,MATCH($C685,'Policy Characteristics'!$C:$C,0))),"",INDEX('Policy Characteristics'!G:G,MATCH($C685,'Policy Characteristics'!$C:$C,0)))</f>
        <v>1</v>
      </c>
      <c r="N685" s="283">
        <f>IF(ISBLANK(INDEX('Policy Characteristics'!H:H,MATCH($C685,'Policy Characteristics'!$C:$C,0))),"",INDEX('Policy Characteristics'!H:H,MATCH($C685,'Policy Characteristics'!$C:$C,0)))</f>
        <v>0.01</v>
      </c>
      <c r="O685" s="275" t="str">
        <f>IF(ISBLANK(INDEX('Policy Characteristics'!I:I,MATCH($C685,'Policy Characteristics'!$C:$C,0))),"",INDEX('Policy Characteristics'!I:I,MATCH($C685,'Policy Characteristics'!$C:$C,0)))</f>
        <v>% of fuel shifted</v>
      </c>
      <c r="P685" s="275"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75" t="str">
        <f>IF(ISBLANK(INDEX('Policy Characteristics'!K:K,MATCH($C685,'Policy Characteristics'!$C:$C,0))),"",INDEX('Policy Characteristics'!K:K,MATCH($C685,'Policy Characteristics'!$C:$C,0)))</f>
        <v>industry-ag-main.html#fuel-switching</v>
      </c>
      <c r="R685" s="275" t="str">
        <f>IF(ISBLANK(INDEX('Policy Characteristics'!L:L,MATCH($C685,'Policy Characteristics'!$C:$C,0))),"",INDEX('Policy Characteristics'!L:L,MATCH($C685,'Policy Characteristics'!$C:$C,0)))</f>
        <v>industry-elec-and-hydrogen.html</v>
      </c>
    </row>
    <row r="686" spans="1:18" x14ac:dyDescent="0.25">
      <c r="A686" s="275" t="str">
        <f>IF(ISBLANK(INDEX('Policy Characteristics'!A:A,MATCH($C686,'Policy Characteristics'!$C:$C,0))),"",INDEX('Policy Characteristics'!A:A,MATCH($C686,'Policy Characteristics'!$C:$C,0)))</f>
        <v>Industry</v>
      </c>
      <c r="B686" s="284" t="str">
        <f>IF(ISBLANK(INDEX('Policy Characteristics'!B:B,MATCH($C686,'Policy Characteristics'!$C:$C,0))),"",INDEX('Policy Characteristics'!B:B,MATCH($C686,'Policy Characteristics'!$C:$C,0)))</f>
        <v>Electrification</v>
      </c>
      <c r="C686" s="275" t="str">
        <f t="shared" si="35"/>
        <v>Fraction of Eligible Industrial Energy Use Shifted to Electricity</v>
      </c>
      <c r="D686" s="6" t="s">
        <v>3084</v>
      </c>
      <c r="E686" s="1" t="s">
        <v>3737</v>
      </c>
      <c r="F686" t="s">
        <v>3046</v>
      </c>
      <c r="G686" s="47" t="s">
        <v>3738</v>
      </c>
      <c r="H686" s="44">
        <v>1953</v>
      </c>
      <c r="I686" s="346" t="s">
        <v>44</v>
      </c>
      <c r="J686" s="276" t="str">
        <f>IF(ISBLANK(INDEX('Policy Characteristics'!D:D,MATCH($C686,'Policy Characteristics'!$C:$C,0))),"",INDEX('Policy Characteristics'!D:D,MATCH($C686,'Policy Characteristics'!$C:$C,0)))</f>
        <v>Electrification</v>
      </c>
      <c r="K686" s="275" t="str">
        <f>IF(ISBLANK(INDEX('Policy Characteristics'!E:E,MATCH($C686,'Policy Characteristics'!$C:$C,0))),"",INDEX('Policy Characteristics'!E:E,MATCH($C686,'Policy Characteristics'!$C:$C,0)))</f>
        <v>indst shift to electricity</v>
      </c>
      <c r="L686" s="283">
        <f>IF(ISBLANK(INDEX('Policy Characteristics'!F:F,MATCH($C686,'Policy Characteristics'!$C:$C,0))),"",INDEX('Policy Characteristics'!F:F,MATCH($C686,'Policy Characteristics'!$C:$C,0)))</f>
        <v>0</v>
      </c>
      <c r="M686" s="283">
        <f>IF(ISBLANK(INDEX('Policy Characteristics'!G:G,MATCH($C686,'Policy Characteristics'!$C:$C,0))),"",INDEX('Policy Characteristics'!G:G,MATCH($C686,'Policy Characteristics'!$C:$C,0)))</f>
        <v>1</v>
      </c>
      <c r="N686" s="283">
        <f>IF(ISBLANK(INDEX('Policy Characteristics'!H:H,MATCH($C686,'Policy Characteristics'!$C:$C,0))),"",INDEX('Policy Characteristics'!H:H,MATCH($C686,'Policy Characteristics'!$C:$C,0)))</f>
        <v>0.01</v>
      </c>
      <c r="O686" s="275" t="str">
        <f>IF(ISBLANK(INDEX('Policy Characteristics'!I:I,MATCH($C686,'Policy Characteristics'!$C:$C,0))),"",INDEX('Policy Characteristics'!I:I,MATCH($C686,'Policy Characteristics'!$C:$C,0)))</f>
        <v>% of fuel shifted</v>
      </c>
      <c r="P686" s="275"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75" t="str">
        <f>IF(ISBLANK(INDEX('Policy Characteristics'!K:K,MATCH($C686,'Policy Characteristics'!$C:$C,0))),"",INDEX('Policy Characteristics'!K:K,MATCH($C686,'Policy Characteristics'!$C:$C,0)))</f>
        <v>industry-ag-main.html#fuel-switching</v>
      </c>
      <c r="R686" s="275" t="str">
        <f>IF(ISBLANK(INDEX('Policy Characteristics'!L:L,MATCH($C686,'Policy Characteristics'!$C:$C,0))),"",INDEX('Policy Characteristics'!L:L,MATCH($C686,'Policy Characteristics'!$C:$C,0)))</f>
        <v>industry-elec-and-hydrogen.html</v>
      </c>
    </row>
    <row r="687" spans="1:18" x14ac:dyDescent="0.25">
      <c r="A687" s="275" t="str">
        <f>IF(ISBLANK(INDEX('Policy Characteristics'!A:A,MATCH($C687,'Policy Characteristics'!$C:$C,0))),"",INDEX('Policy Characteristics'!A:A,MATCH($C687,'Policy Characteristics'!$C:$C,0)))</f>
        <v>Industry</v>
      </c>
      <c r="B687" s="284" t="str">
        <f>IF(ISBLANK(INDEX('Policy Characteristics'!B:B,MATCH($C687,'Policy Characteristics'!$C:$C,0))),"",INDEX('Policy Characteristics'!B:B,MATCH($C687,'Policy Characteristics'!$C:$C,0)))</f>
        <v>Electrification</v>
      </c>
      <c r="C687" s="275" t="str">
        <f t="shared" si="35"/>
        <v>Fraction of Eligible Industrial Energy Use Shifted to Electricity</v>
      </c>
      <c r="D687" s="6" t="s">
        <v>3085</v>
      </c>
      <c r="E687" s="1" t="s">
        <v>3547</v>
      </c>
      <c r="F687" t="s">
        <v>3047</v>
      </c>
      <c r="G687" s="47" t="s">
        <v>3554</v>
      </c>
      <c r="H687" s="44">
        <v>1954</v>
      </c>
      <c r="I687" s="346" t="s">
        <v>43</v>
      </c>
      <c r="J687" s="276" t="str">
        <f>IF(ISBLANK(INDEX('Policy Characteristics'!D:D,MATCH($C687,'Policy Characteristics'!$C:$C,0))),"",INDEX('Policy Characteristics'!D:D,MATCH($C687,'Policy Characteristics'!$C:$C,0)))</f>
        <v>Electrification</v>
      </c>
      <c r="K687" s="275" t="str">
        <f>IF(ISBLANK(INDEX('Policy Characteristics'!E:E,MATCH($C687,'Policy Characteristics'!$C:$C,0))),"",INDEX('Policy Characteristics'!E:E,MATCH($C687,'Policy Characteristics'!$C:$C,0)))</f>
        <v>indst shift to electricity</v>
      </c>
      <c r="L687" s="283">
        <f>IF(ISBLANK(INDEX('Policy Characteristics'!F:F,MATCH($C687,'Policy Characteristics'!$C:$C,0))),"",INDEX('Policy Characteristics'!F:F,MATCH($C687,'Policy Characteristics'!$C:$C,0)))</f>
        <v>0</v>
      </c>
      <c r="M687" s="283">
        <f>IF(ISBLANK(INDEX('Policy Characteristics'!G:G,MATCH($C687,'Policy Characteristics'!$C:$C,0))),"",INDEX('Policy Characteristics'!G:G,MATCH($C687,'Policy Characteristics'!$C:$C,0)))</f>
        <v>1</v>
      </c>
      <c r="N687" s="283">
        <f>IF(ISBLANK(INDEX('Policy Characteristics'!H:H,MATCH($C687,'Policy Characteristics'!$C:$C,0))),"",INDEX('Policy Characteristics'!H:H,MATCH($C687,'Policy Characteristics'!$C:$C,0)))</f>
        <v>0.01</v>
      </c>
      <c r="O687" s="275" t="str">
        <f>IF(ISBLANK(INDEX('Policy Characteristics'!I:I,MATCH($C687,'Policy Characteristics'!$C:$C,0))),"",INDEX('Policy Characteristics'!I:I,MATCH($C687,'Policy Characteristics'!$C:$C,0)))</f>
        <v>% of fuel shifted</v>
      </c>
      <c r="P687" s="275"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75" t="str">
        <f>IF(ISBLANK(INDEX('Policy Characteristics'!K:K,MATCH($C687,'Policy Characteristics'!$C:$C,0))),"",INDEX('Policy Characteristics'!K:K,MATCH($C687,'Policy Characteristics'!$C:$C,0)))</f>
        <v>industry-ag-main.html#fuel-switching</v>
      </c>
      <c r="R687" s="275" t="str">
        <f>IF(ISBLANK(INDEX('Policy Characteristics'!L:L,MATCH($C687,'Policy Characteristics'!$C:$C,0))),"",INDEX('Policy Characteristics'!L:L,MATCH($C687,'Policy Characteristics'!$C:$C,0)))</f>
        <v>industry-elec-and-hydrogen.html</v>
      </c>
    </row>
    <row r="688" spans="1:18" x14ac:dyDescent="0.25">
      <c r="A688" s="275" t="str">
        <f>IF(ISBLANK(INDEX('Policy Characteristics'!A:A,MATCH($C688,'Policy Characteristics'!$C:$C,0))),"",INDEX('Policy Characteristics'!A:A,MATCH($C688,'Policy Characteristics'!$C:$C,0)))</f>
        <v>Industry</v>
      </c>
      <c r="B688" s="284" t="str">
        <f>IF(ISBLANK(INDEX('Policy Characteristics'!B:B,MATCH($C688,'Policy Characteristics'!$C:$C,0))),"",INDEX('Policy Characteristics'!B:B,MATCH($C688,'Policy Characteristics'!$C:$C,0)))</f>
        <v>Electrification</v>
      </c>
      <c r="C688" s="275" t="str">
        <f t="shared" si="35"/>
        <v>Fraction of Eligible Industrial Energy Use Shifted to Electricity</v>
      </c>
      <c r="D688" s="6" t="s">
        <v>3085</v>
      </c>
      <c r="E688" s="1" t="s">
        <v>3548</v>
      </c>
      <c r="F688" t="s">
        <v>3047</v>
      </c>
      <c r="G688" s="47" t="s">
        <v>3555</v>
      </c>
      <c r="H688" s="44">
        <v>1955</v>
      </c>
      <c r="I688" s="346" t="s">
        <v>43</v>
      </c>
      <c r="J688" s="276" t="str">
        <f>IF(ISBLANK(INDEX('Policy Characteristics'!D:D,MATCH($C688,'Policy Characteristics'!$C:$C,0))),"",INDEX('Policy Characteristics'!D:D,MATCH($C688,'Policy Characteristics'!$C:$C,0)))</f>
        <v>Electrification</v>
      </c>
      <c r="K688" s="275" t="str">
        <f>IF(ISBLANK(INDEX('Policy Characteristics'!E:E,MATCH($C688,'Policy Characteristics'!$C:$C,0))),"",INDEX('Policy Characteristics'!E:E,MATCH($C688,'Policy Characteristics'!$C:$C,0)))</f>
        <v>indst shift to electricity</v>
      </c>
      <c r="L688" s="283">
        <f>IF(ISBLANK(INDEX('Policy Characteristics'!F:F,MATCH($C688,'Policy Characteristics'!$C:$C,0))),"",INDEX('Policy Characteristics'!F:F,MATCH($C688,'Policy Characteristics'!$C:$C,0)))</f>
        <v>0</v>
      </c>
      <c r="M688" s="283">
        <f>IF(ISBLANK(INDEX('Policy Characteristics'!G:G,MATCH($C688,'Policy Characteristics'!$C:$C,0))),"",INDEX('Policy Characteristics'!G:G,MATCH($C688,'Policy Characteristics'!$C:$C,0)))</f>
        <v>1</v>
      </c>
      <c r="N688" s="283">
        <f>IF(ISBLANK(INDEX('Policy Characteristics'!H:H,MATCH($C688,'Policy Characteristics'!$C:$C,0))),"",INDEX('Policy Characteristics'!H:H,MATCH($C688,'Policy Characteristics'!$C:$C,0)))</f>
        <v>0.01</v>
      </c>
      <c r="O688" s="275" t="str">
        <f>IF(ISBLANK(INDEX('Policy Characteristics'!I:I,MATCH($C688,'Policy Characteristics'!$C:$C,0))),"",INDEX('Policy Characteristics'!I:I,MATCH($C688,'Policy Characteristics'!$C:$C,0)))</f>
        <v>% of fuel shifted</v>
      </c>
      <c r="P688" s="275"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75" t="str">
        <f>IF(ISBLANK(INDEX('Policy Characteristics'!K:K,MATCH($C688,'Policy Characteristics'!$C:$C,0))),"",INDEX('Policy Characteristics'!K:K,MATCH($C688,'Policy Characteristics'!$C:$C,0)))</f>
        <v>industry-ag-main.html#fuel-switching</v>
      </c>
      <c r="R688" s="275" t="str">
        <f>IF(ISBLANK(INDEX('Policy Characteristics'!L:L,MATCH($C688,'Policy Characteristics'!$C:$C,0))),"",INDEX('Policy Characteristics'!L:L,MATCH($C688,'Policy Characteristics'!$C:$C,0)))</f>
        <v>industry-elec-and-hydrogen.html</v>
      </c>
    </row>
    <row r="689" spans="1:18" x14ac:dyDescent="0.25">
      <c r="A689" s="275" t="str">
        <f>IF(ISBLANK(INDEX('Policy Characteristics'!A:A,MATCH($C689,'Policy Characteristics'!$C:$C,0))),"",INDEX('Policy Characteristics'!A:A,MATCH($C689,'Policy Characteristics'!$C:$C,0)))</f>
        <v>Industry</v>
      </c>
      <c r="B689" s="284" t="str">
        <f>IF(ISBLANK(INDEX('Policy Characteristics'!B:B,MATCH($C689,'Policy Characteristics'!$C:$C,0))),"",INDEX('Policy Characteristics'!B:B,MATCH($C689,'Policy Characteristics'!$C:$C,0)))</f>
        <v>Electrification</v>
      </c>
      <c r="C689" s="275" t="str">
        <f t="shared" si="35"/>
        <v>Fraction of Eligible Industrial Energy Use Shifted to Electricity</v>
      </c>
      <c r="D689" s="6" t="s">
        <v>3085</v>
      </c>
      <c r="E689" s="1" t="s">
        <v>3549</v>
      </c>
      <c r="F689" t="s">
        <v>3047</v>
      </c>
      <c r="G689" s="47" t="s">
        <v>3556</v>
      </c>
      <c r="H689" s="44">
        <v>1956</v>
      </c>
      <c r="I689" s="346" t="s">
        <v>43</v>
      </c>
      <c r="J689" s="276" t="str">
        <f>IF(ISBLANK(INDEX('Policy Characteristics'!D:D,MATCH($C689,'Policy Characteristics'!$C:$C,0))),"",INDEX('Policy Characteristics'!D:D,MATCH($C689,'Policy Characteristics'!$C:$C,0)))</f>
        <v>Electrification</v>
      </c>
      <c r="K689" s="275" t="str">
        <f>IF(ISBLANK(INDEX('Policy Characteristics'!E:E,MATCH($C689,'Policy Characteristics'!$C:$C,0))),"",INDEX('Policy Characteristics'!E:E,MATCH($C689,'Policy Characteristics'!$C:$C,0)))</f>
        <v>indst shift to electricity</v>
      </c>
      <c r="L689" s="283">
        <f>IF(ISBLANK(INDEX('Policy Characteristics'!F:F,MATCH($C689,'Policy Characteristics'!$C:$C,0))),"",INDEX('Policy Characteristics'!F:F,MATCH($C689,'Policy Characteristics'!$C:$C,0)))</f>
        <v>0</v>
      </c>
      <c r="M689" s="283">
        <f>IF(ISBLANK(INDEX('Policy Characteristics'!G:G,MATCH($C689,'Policy Characteristics'!$C:$C,0))),"",INDEX('Policy Characteristics'!G:G,MATCH($C689,'Policy Characteristics'!$C:$C,0)))</f>
        <v>1</v>
      </c>
      <c r="N689" s="283">
        <f>IF(ISBLANK(INDEX('Policy Characteristics'!H:H,MATCH($C689,'Policy Characteristics'!$C:$C,0))),"",INDEX('Policy Characteristics'!H:H,MATCH($C689,'Policy Characteristics'!$C:$C,0)))</f>
        <v>0.01</v>
      </c>
      <c r="O689" s="275" t="str">
        <f>IF(ISBLANK(INDEX('Policy Characteristics'!I:I,MATCH($C689,'Policy Characteristics'!$C:$C,0))),"",INDEX('Policy Characteristics'!I:I,MATCH($C689,'Policy Characteristics'!$C:$C,0)))</f>
        <v>% of fuel shifted</v>
      </c>
      <c r="P689" s="275"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75" t="str">
        <f>IF(ISBLANK(INDEX('Policy Characteristics'!K:K,MATCH($C689,'Policy Characteristics'!$C:$C,0))),"",INDEX('Policy Characteristics'!K:K,MATCH($C689,'Policy Characteristics'!$C:$C,0)))</f>
        <v>industry-ag-main.html#fuel-switching</v>
      </c>
      <c r="R689" s="275" t="str">
        <f>IF(ISBLANK(INDEX('Policy Characteristics'!L:L,MATCH($C689,'Policy Characteristics'!$C:$C,0))),"",INDEX('Policy Characteristics'!L:L,MATCH($C689,'Policy Characteristics'!$C:$C,0)))</f>
        <v>industry-elec-and-hydrogen.html</v>
      </c>
    </row>
    <row r="690" spans="1:18" x14ac:dyDescent="0.25">
      <c r="A690" s="275" t="str">
        <f>IF(ISBLANK(INDEX('Policy Characteristics'!A:A,MATCH($C690,'Policy Characteristics'!$C:$C,0))),"",INDEX('Policy Characteristics'!A:A,MATCH($C690,'Policy Characteristics'!$C:$C,0)))</f>
        <v>Industry</v>
      </c>
      <c r="B690" s="284" t="str">
        <f>IF(ISBLANK(INDEX('Policy Characteristics'!B:B,MATCH($C690,'Policy Characteristics'!$C:$C,0))),"",INDEX('Policy Characteristics'!B:B,MATCH($C690,'Policy Characteristics'!$C:$C,0)))</f>
        <v>Electrification</v>
      </c>
      <c r="C690" s="275" t="str">
        <f t="shared" si="35"/>
        <v>Fraction of Eligible Industrial Energy Use Shifted to Electricity</v>
      </c>
      <c r="D690" s="6" t="s">
        <v>3085</v>
      </c>
      <c r="E690" s="1" t="s">
        <v>3550</v>
      </c>
      <c r="F690" t="s">
        <v>3047</v>
      </c>
      <c r="G690" s="47" t="s">
        <v>3557</v>
      </c>
      <c r="H690" s="44">
        <v>1957</v>
      </c>
      <c r="I690" s="346" t="s">
        <v>43</v>
      </c>
      <c r="J690" s="276" t="str">
        <f>IF(ISBLANK(INDEX('Policy Characteristics'!D:D,MATCH($C690,'Policy Characteristics'!$C:$C,0))),"",INDEX('Policy Characteristics'!D:D,MATCH($C690,'Policy Characteristics'!$C:$C,0)))</f>
        <v>Electrification</v>
      </c>
      <c r="K690" s="275" t="str">
        <f>IF(ISBLANK(INDEX('Policy Characteristics'!E:E,MATCH($C690,'Policy Characteristics'!$C:$C,0))),"",INDEX('Policy Characteristics'!E:E,MATCH($C690,'Policy Characteristics'!$C:$C,0)))</f>
        <v>indst shift to electricity</v>
      </c>
      <c r="L690" s="283">
        <f>IF(ISBLANK(INDEX('Policy Characteristics'!F:F,MATCH($C690,'Policy Characteristics'!$C:$C,0))),"",INDEX('Policy Characteristics'!F:F,MATCH($C690,'Policy Characteristics'!$C:$C,0)))</f>
        <v>0</v>
      </c>
      <c r="M690" s="283">
        <f>IF(ISBLANK(INDEX('Policy Characteristics'!G:G,MATCH($C690,'Policy Characteristics'!$C:$C,0))),"",INDEX('Policy Characteristics'!G:G,MATCH($C690,'Policy Characteristics'!$C:$C,0)))</f>
        <v>1</v>
      </c>
      <c r="N690" s="283">
        <f>IF(ISBLANK(INDEX('Policy Characteristics'!H:H,MATCH($C690,'Policy Characteristics'!$C:$C,0))),"",INDEX('Policy Characteristics'!H:H,MATCH($C690,'Policy Characteristics'!$C:$C,0)))</f>
        <v>0.01</v>
      </c>
      <c r="O690" s="275" t="str">
        <f>IF(ISBLANK(INDEX('Policy Characteristics'!I:I,MATCH($C690,'Policy Characteristics'!$C:$C,0))),"",INDEX('Policy Characteristics'!I:I,MATCH($C690,'Policy Characteristics'!$C:$C,0)))</f>
        <v>% of fuel shifted</v>
      </c>
      <c r="P690" s="275"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75" t="str">
        <f>IF(ISBLANK(INDEX('Policy Characteristics'!K:K,MATCH($C690,'Policy Characteristics'!$C:$C,0))),"",INDEX('Policy Characteristics'!K:K,MATCH($C690,'Policy Characteristics'!$C:$C,0)))</f>
        <v>industry-ag-main.html#fuel-switching</v>
      </c>
      <c r="R690" s="275" t="str">
        <f>IF(ISBLANK(INDEX('Policy Characteristics'!L:L,MATCH($C690,'Policy Characteristics'!$C:$C,0))),"",INDEX('Policy Characteristics'!L:L,MATCH($C690,'Policy Characteristics'!$C:$C,0)))</f>
        <v>industry-elec-and-hydrogen.html</v>
      </c>
    </row>
    <row r="691" spans="1:18" x14ac:dyDescent="0.25">
      <c r="A691" s="275" t="str">
        <f>IF(ISBLANK(INDEX('Policy Characteristics'!A:A,MATCH($C691,'Policy Characteristics'!$C:$C,0))),"",INDEX('Policy Characteristics'!A:A,MATCH($C691,'Policy Characteristics'!$C:$C,0)))</f>
        <v>Industry</v>
      </c>
      <c r="B691" s="284" t="str">
        <f>IF(ISBLANK(INDEX('Policy Characteristics'!B:B,MATCH($C691,'Policy Characteristics'!$C:$C,0))),"",INDEX('Policy Characteristics'!B:B,MATCH($C691,'Policy Characteristics'!$C:$C,0)))</f>
        <v>Electrification</v>
      </c>
      <c r="C691" s="275" t="str">
        <f t="shared" si="35"/>
        <v>Fraction of Eligible Industrial Energy Use Shifted to Electricity</v>
      </c>
      <c r="D691" s="6" t="s">
        <v>3085</v>
      </c>
      <c r="E691" s="1" t="s">
        <v>3551</v>
      </c>
      <c r="F691" t="s">
        <v>3047</v>
      </c>
      <c r="G691" s="47" t="s">
        <v>3558</v>
      </c>
      <c r="H691" s="44">
        <v>1958</v>
      </c>
      <c r="I691" s="346" t="s">
        <v>44</v>
      </c>
      <c r="J691" s="276" t="str">
        <f>IF(ISBLANK(INDEX('Policy Characteristics'!D:D,MATCH($C691,'Policy Characteristics'!$C:$C,0))),"",INDEX('Policy Characteristics'!D:D,MATCH($C691,'Policy Characteristics'!$C:$C,0)))</f>
        <v>Electrification</v>
      </c>
      <c r="K691" s="275" t="str">
        <f>IF(ISBLANK(INDEX('Policy Characteristics'!E:E,MATCH($C691,'Policy Characteristics'!$C:$C,0))),"",INDEX('Policy Characteristics'!E:E,MATCH($C691,'Policy Characteristics'!$C:$C,0)))</f>
        <v>indst shift to electricity</v>
      </c>
      <c r="L691" s="283">
        <f>IF(ISBLANK(INDEX('Policy Characteristics'!F:F,MATCH($C691,'Policy Characteristics'!$C:$C,0))),"",INDEX('Policy Characteristics'!F:F,MATCH($C691,'Policy Characteristics'!$C:$C,0)))</f>
        <v>0</v>
      </c>
      <c r="M691" s="283">
        <f>IF(ISBLANK(INDEX('Policy Characteristics'!G:G,MATCH($C691,'Policy Characteristics'!$C:$C,0))),"",INDEX('Policy Characteristics'!G:G,MATCH($C691,'Policy Characteristics'!$C:$C,0)))</f>
        <v>1</v>
      </c>
      <c r="N691" s="283">
        <f>IF(ISBLANK(INDEX('Policy Characteristics'!H:H,MATCH($C691,'Policy Characteristics'!$C:$C,0))),"",INDEX('Policy Characteristics'!H:H,MATCH($C691,'Policy Characteristics'!$C:$C,0)))</f>
        <v>0.01</v>
      </c>
      <c r="O691" s="275" t="str">
        <f>IF(ISBLANK(INDEX('Policy Characteristics'!I:I,MATCH($C691,'Policy Characteristics'!$C:$C,0))),"",INDEX('Policy Characteristics'!I:I,MATCH($C691,'Policy Characteristics'!$C:$C,0)))</f>
        <v>% of fuel shifted</v>
      </c>
      <c r="P691" s="275"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75" t="str">
        <f>IF(ISBLANK(INDEX('Policy Characteristics'!K:K,MATCH($C691,'Policy Characteristics'!$C:$C,0))),"",INDEX('Policy Characteristics'!K:K,MATCH($C691,'Policy Characteristics'!$C:$C,0)))</f>
        <v>industry-ag-main.html#fuel-switching</v>
      </c>
      <c r="R691" s="275" t="str">
        <f>IF(ISBLANK(INDEX('Policy Characteristics'!L:L,MATCH($C691,'Policy Characteristics'!$C:$C,0))),"",INDEX('Policy Characteristics'!L:L,MATCH($C691,'Policy Characteristics'!$C:$C,0)))</f>
        <v>industry-elec-and-hydrogen.html</v>
      </c>
    </row>
    <row r="692" spans="1:18" x14ac:dyDescent="0.25">
      <c r="A692" s="275" t="str">
        <f>IF(ISBLANK(INDEX('Policy Characteristics'!A:A,MATCH($C692,'Policy Characteristics'!$C:$C,0))),"",INDEX('Policy Characteristics'!A:A,MATCH($C692,'Policy Characteristics'!$C:$C,0)))</f>
        <v>Industry</v>
      </c>
      <c r="B692" s="284" t="str">
        <f>IF(ISBLANK(INDEX('Policy Characteristics'!B:B,MATCH($C692,'Policy Characteristics'!$C:$C,0))),"",INDEX('Policy Characteristics'!B:B,MATCH($C692,'Policy Characteristics'!$C:$C,0)))</f>
        <v>Electrification</v>
      </c>
      <c r="C692" s="275" t="str">
        <f t="shared" si="35"/>
        <v>Fraction of Eligible Industrial Energy Use Shifted to Electricity</v>
      </c>
      <c r="D692" s="6" t="s">
        <v>3085</v>
      </c>
      <c r="E692" s="1" t="s">
        <v>3552</v>
      </c>
      <c r="F692" t="s">
        <v>3047</v>
      </c>
      <c r="G692" s="47" t="s">
        <v>3559</v>
      </c>
      <c r="H692" s="44">
        <v>1959</v>
      </c>
      <c r="I692" s="346" t="s">
        <v>44</v>
      </c>
      <c r="J692" s="276" t="str">
        <f>IF(ISBLANK(INDEX('Policy Characteristics'!D:D,MATCH($C692,'Policy Characteristics'!$C:$C,0))),"",INDEX('Policy Characteristics'!D:D,MATCH($C692,'Policy Characteristics'!$C:$C,0)))</f>
        <v>Electrification</v>
      </c>
      <c r="K692" s="275" t="str">
        <f>IF(ISBLANK(INDEX('Policy Characteristics'!E:E,MATCH($C692,'Policy Characteristics'!$C:$C,0))),"",INDEX('Policy Characteristics'!E:E,MATCH($C692,'Policy Characteristics'!$C:$C,0)))</f>
        <v>indst shift to electricity</v>
      </c>
      <c r="L692" s="283">
        <f>IF(ISBLANK(INDEX('Policy Characteristics'!F:F,MATCH($C692,'Policy Characteristics'!$C:$C,0))),"",INDEX('Policy Characteristics'!F:F,MATCH($C692,'Policy Characteristics'!$C:$C,0)))</f>
        <v>0</v>
      </c>
      <c r="M692" s="283">
        <f>IF(ISBLANK(INDEX('Policy Characteristics'!G:G,MATCH($C692,'Policy Characteristics'!$C:$C,0))),"",INDEX('Policy Characteristics'!G:G,MATCH($C692,'Policy Characteristics'!$C:$C,0)))</f>
        <v>1</v>
      </c>
      <c r="N692" s="283">
        <f>IF(ISBLANK(INDEX('Policy Characteristics'!H:H,MATCH($C692,'Policy Characteristics'!$C:$C,0))),"",INDEX('Policy Characteristics'!H:H,MATCH($C692,'Policy Characteristics'!$C:$C,0)))</f>
        <v>0.01</v>
      </c>
      <c r="O692" s="275" t="str">
        <f>IF(ISBLANK(INDEX('Policy Characteristics'!I:I,MATCH($C692,'Policy Characteristics'!$C:$C,0))),"",INDEX('Policy Characteristics'!I:I,MATCH($C692,'Policy Characteristics'!$C:$C,0)))</f>
        <v>% of fuel shifted</v>
      </c>
      <c r="P692" s="275"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75" t="str">
        <f>IF(ISBLANK(INDEX('Policy Characteristics'!K:K,MATCH($C692,'Policy Characteristics'!$C:$C,0))),"",INDEX('Policy Characteristics'!K:K,MATCH($C692,'Policy Characteristics'!$C:$C,0)))</f>
        <v>industry-ag-main.html#fuel-switching</v>
      </c>
      <c r="R692" s="275" t="str">
        <f>IF(ISBLANK(INDEX('Policy Characteristics'!L:L,MATCH($C692,'Policy Characteristics'!$C:$C,0))),"",INDEX('Policy Characteristics'!L:L,MATCH($C692,'Policy Characteristics'!$C:$C,0)))</f>
        <v>industry-elec-and-hydrogen.html</v>
      </c>
    </row>
    <row r="693" spans="1:18" x14ac:dyDescent="0.25">
      <c r="A693" s="275" t="str">
        <f>IF(ISBLANK(INDEX('Policy Characteristics'!A:A,MATCH($C693,'Policy Characteristics'!$C:$C,0))),"",INDEX('Policy Characteristics'!A:A,MATCH($C693,'Policy Characteristics'!$C:$C,0)))</f>
        <v>Industry</v>
      </c>
      <c r="B693" s="284" t="str">
        <f>IF(ISBLANK(INDEX('Policy Characteristics'!B:B,MATCH($C693,'Policy Characteristics'!$C:$C,0))),"",INDEX('Policy Characteristics'!B:B,MATCH($C693,'Policy Characteristics'!$C:$C,0)))</f>
        <v>Electrification</v>
      </c>
      <c r="C693" s="275" t="str">
        <f t="shared" si="35"/>
        <v>Fraction of Eligible Industrial Energy Use Shifted to Electricity</v>
      </c>
      <c r="D693" s="6" t="s">
        <v>3085</v>
      </c>
      <c r="E693" s="1" t="s">
        <v>3553</v>
      </c>
      <c r="F693" t="s">
        <v>3047</v>
      </c>
      <c r="G693" s="47" t="s">
        <v>3560</v>
      </c>
      <c r="H693" s="44">
        <v>1960</v>
      </c>
      <c r="I693" s="346" t="s">
        <v>44</v>
      </c>
      <c r="J693" s="276" t="str">
        <f>IF(ISBLANK(INDEX('Policy Characteristics'!D:D,MATCH($C693,'Policy Characteristics'!$C:$C,0))),"",INDEX('Policy Characteristics'!D:D,MATCH($C693,'Policy Characteristics'!$C:$C,0)))</f>
        <v>Electrification</v>
      </c>
      <c r="K693" s="275" t="str">
        <f>IF(ISBLANK(INDEX('Policy Characteristics'!E:E,MATCH($C693,'Policy Characteristics'!$C:$C,0))),"",INDEX('Policy Characteristics'!E:E,MATCH($C693,'Policy Characteristics'!$C:$C,0)))</f>
        <v>indst shift to electricity</v>
      </c>
      <c r="L693" s="283">
        <f>IF(ISBLANK(INDEX('Policy Characteristics'!F:F,MATCH($C693,'Policy Characteristics'!$C:$C,0))),"",INDEX('Policy Characteristics'!F:F,MATCH($C693,'Policy Characteristics'!$C:$C,0)))</f>
        <v>0</v>
      </c>
      <c r="M693" s="283">
        <f>IF(ISBLANK(INDEX('Policy Characteristics'!G:G,MATCH($C693,'Policy Characteristics'!$C:$C,0))),"",INDEX('Policy Characteristics'!G:G,MATCH($C693,'Policy Characteristics'!$C:$C,0)))</f>
        <v>1</v>
      </c>
      <c r="N693" s="283">
        <f>IF(ISBLANK(INDEX('Policy Characteristics'!H:H,MATCH($C693,'Policy Characteristics'!$C:$C,0))),"",INDEX('Policy Characteristics'!H:H,MATCH($C693,'Policy Characteristics'!$C:$C,0)))</f>
        <v>0.01</v>
      </c>
      <c r="O693" s="275" t="str">
        <f>IF(ISBLANK(INDEX('Policy Characteristics'!I:I,MATCH($C693,'Policy Characteristics'!$C:$C,0))),"",INDEX('Policy Characteristics'!I:I,MATCH($C693,'Policy Characteristics'!$C:$C,0)))</f>
        <v>% of fuel shifted</v>
      </c>
      <c r="P693" s="275"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75" t="str">
        <f>IF(ISBLANK(INDEX('Policy Characteristics'!K:K,MATCH($C693,'Policy Characteristics'!$C:$C,0))),"",INDEX('Policy Characteristics'!K:K,MATCH($C693,'Policy Characteristics'!$C:$C,0)))</f>
        <v>industry-ag-main.html#fuel-switching</v>
      </c>
      <c r="R693" s="275" t="str">
        <f>IF(ISBLANK(INDEX('Policy Characteristics'!L:L,MATCH($C693,'Policy Characteristics'!$C:$C,0))),"",INDEX('Policy Characteristics'!L:L,MATCH($C693,'Policy Characteristics'!$C:$C,0)))</f>
        <v>industry-elec-and-hydrogen.html</v>
      </c>
    </row>
    <row r="694" spans="1:18" x14ac:dyDescent="0.25">
      <c r="A694" s="275" t="str">
        <f>IF(ISBLANK(INDEX('Policy Characteristics'!A:A,MATCH($C694,'Policy Characteristics'!$C:$C,0))),"",INDEX('Policy Characteristics'!A:A,MATCH($C694,'Policy Characteristics'!$C:$C,0)))</f>
        <v>Industry</v>
      </c>
      <c r="B694" s="284" t="str">
        <f>IF(ISBLANK(INDEX('Policy Characteristics'!B:B,MATCH($C694,'Policy Characteristics'!$C:$C,0))),"",INDEX('Policy Characteristics'!B:B,MATCH($C694,'Policy Characteristics'!$C:$C,0)))</f>
        <v>Electrification</v>
      </c>
      <c r="C694" s="275" t="str">
        <f t="shared" si="35"/>
        <v>Fraction of Eligible Industrial Energy Use Shifted to Electricity</v>
      </c>
      <c r="D694" s="6" t="s">
        <v>3085</v>
      </c>
      <c r="E694" s="1" t="s">
        <v>3737</v>
      </c>
      <c r="F694" t="s">
        <v>3047</v>
      </c>
      <c r="G694" s="47" t="s">
        <v>3738</v>
      </c>
      <c r="H694" s="44">
        <v>1961</v>
      </c>
      <c r="I694" s="346" t="s">
        <v>44</v>
      </c>
      <c r="J694" s="276" t="str">
        <f>IF(ISBLANK(INDEX('Policy Characteristics'!D:D,MATCH($C694,'Policy Characteristics'!$C:$C,0))),"",INDEX('Policy Characteristics'!D:D,MATCH($C694,'Policy Characteristics'!$C:$C,0)))</f>
        <v>Electrification</v>
      </c>
      <c r="K694" s="275" t="str">
        <f>IF(ISBLANK(INDEX('Policy Characteristics'!E:E,MATCH($C694,'Policy Characteristics'!$C:$C,0))),"",INDEX('Policy Characteristics'!E:E,MATCH($C694,'Policy Characteristics'!$C:$C,0)))</f>
        <v>indst shift to electricity</v>
      </c>
      <c r="L694" s="283">
        <f>IF(ISBLANK(INDEX('Policy Characteristics'!F:F,MATCH($C694,'Policy Characteristics'!$C:$C,0))),"",INDEX('Policy Characteristics'!F:F,MATCH($C694,'Policy Characteristics'!$C:$C,0)))</f>
        <v>0</v>
      </c>
      <c r="M694" s="283">
        <f>IF(ISBLANK(INDEX('Policy Characteristics'!G:G,MATCH($C694,'Policy Characteristics'!$C:$C,0))),"",INDEX('Policy Characteristics'!G:G,MATCH($C694,'Policy Characteristics'!$C:$C,0)))</f>
        <v>1</v>
      </c>
      <c r="N694" s="283">
        <f>IF(ISBLANK(INDEX('Policy Characteristics'!H:H,MATCH($C694,'Policy Characteristics'!$C:$C,0))),"",INDEX('Policy Characteristics'!H:H,MATCH($C694,'Policy Characteristics'!$C:$C,0)))</f>
        <v>0.01</v>
      </c>
      <c r="O694" s="275" t="str">
        <f>IF(ISBLANK(INDEX('Policy Characteristics'!I:I,MATCH($C694,'Policy Characteristics'!$C:$C,0))),"",INDEX('Policy Characteristics'!I:I,MATCH($C694,'Policy Characteristics'!$C:$C,0)))</f>
        <v>% of fuel shifted</v>
      </c>
      <c r="P694" s="275"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75" t="str">
        <f>IF(ISBLANK(INDEX('Policy Characteristics'!K:K,MATCH($C694,'Policy Characteristics'!$C:$C,0))),"",INDEX('Policy Characteristics'!K:K,MATCH($C694,'Policy Characteristics'!$C:$C,0)))</f>
        <v>industry-ag-main.html#fuel-switching</v>
      </c>
      <c r="R694" s="275" t="str">
        <f>IF(ISBLANK(INDEX('Policy Characteristics'!L:L,MATCH($C694,'Policy Characteristics'!$C:$C,0))),"",INDEX('Policy Characteristics'!L:L,MATCH($C694,'Policy Characteristics'!$C:$C,0)))</f>
        <v>industry-elec-and-hydrogen.html</v>
      </c>
    </row>
    <row r="695" spans="1:18" x14ac:dyDescent="0.25">
      <c r="A695" s="275" t="str">
        <f>IF(ISBLANK(INDEX('Policy Characteristics'!A:A,MATCH($C695,'Policy Characteristics'!$C:$C,0))),"",INDEX('Policy Characteristics'!A:A,MATCH($C695,'Policy Characteristics'!$C:$C,0)))</f>
        <v>Industry</v>
      </c>
      <c r="B695" s="284" t="str">
        <f>IF(ISBLANK(INDEX('Policy Characteristics'!B:B,MATCH($C695,'Policy Characteristics'!$C:$C,0))),"",INDEX('Policy Characteristics'!B:B,MATCH($C695,'Policy Characteristics'!$C:$C,0)))</f>
        <v>Electrification</v>
      </c>
      <c r="C695" s="275" t="str">
        <f t="shared" si="35"/>
        <v>Fraction of Eligible Industrial Energy Use Shifted to Electricity</v>
      </c>
      <c r="D695" s="6" t="s">
        <v>3086</v>
      </c>
      <c r="E695" s="1" t="s">
        <v>3547</v>
      </c>
      <c r="F695" t="s">
        <v>3048</v>
      </c>
      <c r="G695" s="47" t="s">
        <v>3554</v>
      </c>
      <c r="H695" s="44">
        <v>1962</v>
      </c>
      <c r="I695" s="346" t="s">
        <v>43</v>
      </c>
      <c r="J695" s="276" t="str">
        <f>IF(ISBLANK(INDEX('Policy Characteristics'!D:D,MATCH($C695,'Policy Characteristics'!$C:$C,0))),"",INDEX('Policy Characteristics'!D:D,MATCH($C695,'Policy Characteristics'!$C:$C,0)))</f>
        <v>Electrification</v>
      </c>
      <c r="K695" s="275" t="str">
        <f>IF(ISBLANK(INDEX('Policy Characteristics'!E:E,MATCH($C695,'Policy Characteristics'!$C:$C,0))),"",INDEX('Policy Characteristics'!E:E,MATCH($C695,'Policy Characteristics'!$C:$C,0)))</f>
        <v>indst shift to electricity</v>
      </c>
      <c r="L695" s="283">
        <f>IF(ISBLANK(INDEX('Policy Characteristics'!F:F,MATCH($C695,'Policy Characteristics'!$C:$C,0))),"",INDEX('Policy Characteristics'!F:F,MATCH($C695,'Policy Characteristics'!$C:$C,0)))</f>
        <v>0</v>
      </c>
      <c r="M695" s="283">
        <f>IF(ISBLANK(INDEX('Policy Characteristics'!G:G,MATCH($C695,'Policy Characteristics'!$C:$C,0))),"",INDEX('Policy Characteristics'!G:G,MATCH($C695,'Policy Characteristics'!$C:$C,0)))</f>
        <v>1</v>
      </c>
      <c r="N695" s="283">
        <f>IF(ISBLANK(INDEX('Policy Characteristics'!H:H,MATCH($C695,'Policy Characteristics'!$C:$C,0))),"",INDEX('Policy Characteristics'!H:H,MATCH($C695,'Policy Characteristics'!$C:$C,0)))</f>
        <v>0.01</v>
      </c>
      <c r="O695" s="275" t="str">
        <f>IF(ISBLANK(INDEX('Policy Characteristics'!I:I,MATCH($C695,'Policy Characteristics'!$C:$C,0))),"",INDEX('Policy Characteristics'!I:I,MATCH($C695,'Policy Characteristics'!$C:$C,0)))</f>
        <v>% of fuel shifted</v>
      </c>
      <c r="P695" s="275"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75" t="str">
        <f>IF(ISBLANK(INDEX('Policy Characteristics'!K:K,MATCH($C695,'Policy Characteristics'!$C:$C,0))),"",INDEX('Policy Characteristics'!K:K,MATCH($C695,'Policy Characteristics'!$C:$C,0)))</f>
        <v>industry-ag-main.html#fuel-switching</v>
      </c>
      <c r="R695" s="275" t="str">
        <f>IF(ISBLANK(INDEX('Policy Characteristics'!L:L,MATCH($C695,'Policy Characteristics'!$C:$C,0))),"",INDEX('Policy Characteristics'!L:L,MATCH($C695,'Policy Characteristics'!$C:$C,0)))</f>
        <v>industry-elec-and-hydrogen.html</v>
      </c>
    </row>
    <row r="696" spans="1:18" x14ac:dyDescent="0.25">
      <c r="A696" s="275" t="str">
        <f>IF(ISBLANK(INDEX('Policy Characteristics'!A:A,MATCH($C696,'Policy Characteristics'!$C:$C,0))),"",INDEX('Policy Characteristics'!A:A,MATCH($C696,'Policy Characteristics'!$C:$C,0)))</f>
        <v>Industry</v>
      </c>
      <c r="B696" s="284" t="str">
        <f>IF(ISBLANK(INDEX('Policy Characteristics'!B:B,MATCH($C696,'Policy Characteristics'!$C:$C,0))),"",INDEX('Policy Characteristics'!B:B,MATCH($C696,'Policy Characteristics'!$C:$C,0)))</f>
        <v>Electrification</v>
      </c>
      <c r="C696" s="275" t="str">
        <f t="shared" si="35"/>
        <v>Fraction of Eligible Industrial Energy Use Shifted to Electricity</v>
      </c>
      <c r="D696" s="6" t="s">
        <v>3086</v>
      </c>
      <c r="E696" s="1" t="s">
        <v>3548</v>
      </c>
      <c r="F696" t="s">
        <v>3048</v>
      </c>
      <c r="G696" s="47" t="s">
        <v>3555</v>
      </c>
      <c r="H696" s="44">
        <v>1963</v>
      </c>
      <c r="I696" s="346" t="s">
        <v>43</v>
      </c>
      <c r="J696" s="276" t="str">
        <f>IF(ISBLANK(INDEX('Policy Characteristics'!D:D,MATCH($C696,'Policy Characteristics'!$C:$C,0))),"",INDEX('Policy Characteristics'!D:D,MATCH($C696,'Policy Characteristics'!$C:$C,0)))</f>
        <v>Electrification</v>
      </c>
      <c r="K696" s="275" t="str">
        <f>IF(ISBLANK(INDEX('Policy Characteristics'!E:E,MATCH($C696,'Policy Characteristics'!$C:$C,0))),"",INDEX('Policy Characteristics'!E:E,MATCH($C696,'Policy Characteristics'!$C:$C,0)))</f>
        <v>indst shift to electricity</v>
      </c>
      <c r="L696" s="283">
        <f>IF(ISBLANK(INDEX('Policy Characteristics'!F:F,MATCH($C696,'Policy Characteristics'!$C:$C,0))),"",INDEX('Policy Characteristics'!F:F,MATCH($C696,'Policy Characteristics'!$C:$C,0)))</f>
        <v>0</v>
      </c>
      <c r="M696" s="283">
        <f>IF(ISBLANK(INDEX('Policy Characteristics'!G:G,MATCH($C696,'Policy Characteristics'!$C:$C,0))),"",INDEX('Policy Characteristics'!G:G,MATCH($C696,'Policy Characteristics'!$C:$C,0)))</f>
        <v>1</v>
      </c>
      <c r="N696" s="283">
        <f>IF(ISBLANK(INDEX('Policy Characteristics'!H:H,MATCH($C696,'Policy Characteristics'!$C:$C,0))),"",INDEX('Policy Characteristics'!H:H,MATCH($C696,'Policy Characteristics'!$C:$C,0)))</f>
        <v>0.01</v>
      </c>
      <c r="O696" s="275" t="str">
        <f>IF(ISBLANK(INDEX('Policy Characteristics'!I:I,MATCH($C696,'Policy Characteristics'!$C:$C,0))),"",INDEX('Policy Characteristics'!I:I,MATCH($C696,'Policy Characteristics'!$C:$C,0)))</f>
        <v>% of fuel shifted</v>
      </c>
      <c r="P696" s="275"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75" t="str">
        <f>IF(ISBLANK(INDEX('Policy Characteristics'!K:K,MATCH($C696,'Policy Characteristics'!$C:$C,0))),"",INDEX('Policy Characteristics'!K:K,MATCH($C696,'Policy Characteristics'!$C:$C,0)))</f>
        <v>industry-ag-main.html#fuel-switching</v>
      </c>
      <c r="R696" s="275" t="str">
        <f>IF(ISBLANK(INDEX('Policy Characteristics'!L:L,MATCH($C696,'Policy Characteristics'!$C:$C,0))),"",INDEX('Policy Characteristics'!L:L,MATCH($C696,'Policy Characteristics'!$C:$C,0)))</f>
        <v>industry-elec-and-hydrogen.html</v>
      </c>
    </row>
    <row r="697" spans="1:18" x14ac:dyDescent="0.25">
      <c r="A697" s="275" t="str">
        <f>IF(ISBLANK(INDEX('Policy Characteristics'!A:A,MATCH($C697,'Policy Characteristics'!$C:$C,0))),"",INDEX('Policy Characteristics'!A:A,MATCH($C697,'Policy Characteristics'!$C:$C,0)))</f>
        <v>Industry</v>
      </c>
      <c r="B697" s="284" t="str">
        <f>IF(ISBLANK(INDEX('Policy Characteristics'!B:B,MATCH($C697,'Policy Characteristics'!$C:$C,0))),"",INDEX('Policy Characteristics'!B:B,MATCH($C697,'Policy Characteristics'!$C:$C,0)))</f>
        <v>Electrification</v>
      </c>
      <c r="C697" s="275" t="str">
        <f t="shared" si="35"/>
        <v>Fraction of Eligible Industrial Energy Use Shifted to Electricity</v>
      </c>
      <c r="D697" s="6" t="s">
        <v>3086</v>
      </c>
      <c r="E697" s="1" t="s">
        <v>3549</v>
      </c>
      <c r="F697" t="s">
        <v>3048</v>
      </c>
      <c r="G697" s="47" t="s">
        <v>3556</v>
      </c>
      <c r="H697" s="44">
        <v>1964</v>
      </c>
      <c r="I697" s="346" t="s">
        <v>43</v>
      </c>
      <c r="J697" s="276" t="str">
        <f>IF(ISBLANK(INDEX('Policy Characteristics'!D:D,MATCH($C697,'Policy Characteristics'!$C:$C,0))),"",INDEX('Policy Characteristics'!D:D,MATCH($C697,'Policy Characteristics'!$C:$C,0)))</f>
        <v>Electrification</v>
      </c>
      <c r="K697" s="275" t="str">
        <f>IF(ISBLANK(INDEX('Policy Characteristics'!E:E,MATCH($C697,'Policy Characteristics'!$C:$C,0))),"",INDEX('Policy Characteristics'!E:E,MATCH($C697,'Policy Characteristics'!$C:$C,0)))</f>
        <v>indst shift to electricity</v>
      </c>
      <c r="L697" s="283">
        <f>IF(ISBLANK(INDEX('Policy Characteristics'!F:F,MATCH($C697,'Policy Characteristics'!$C:$C,0))),"",INDEX('Policy Characteristics'!F:F,MATCH($C697,'Policy Characteristics'!$C:$C,0)))</f>
        <v>0</v>
      </c>
      <c r="M697" s="283">
        <f>IF(ISBLANK(INDEX('Policy Characteristics'!G:G,MATCH($C697,'Policy Characteristics'!$C:$C,0))),"",INDEX('Policy Characteristics'!G:G,MATCH($C697,'Policy Characteristics'!$C:$C,0)))</f>
        <v>1</v>
      </c>
      <c r="N697" s="283">
        <f>IF(ISBLANK(INDEX('Policy Characteristics'!H:H,MATCH($C697,'Policy Characteristics'!$C:$C,0))),"",INDEX('Policy Characteristics'!H:H,MATCH($C697,'Policy Characteristics'!$C:$C,0)))</f>
        <v>0.01</v>
      </c>
      <c r="O697" s="275" t="str">
        <f>IF(ISBLANK(INDEX('Policy Characteristics'!I:I,MATCH($C697,'Policy Characteristics'!$C:$C,0))),"",INDEX('Policy Characteristics'!I:I,MATCH($C697,'Policy Characteristics'!$C:$C,0)))</f>
        <v>% of fuel shifted</v>
      </c>
      <c r="P697" s="275"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75" t="str">
        <f>IF(ISBLANK(INDEX('Policy Characteristics'!K:K,MATCH($C697,'Policy Characteristics'!$C:$C,0))),"",INDEX('Policy Characteristics'!K:K,MATCH($C697,'Policy Characteristics'!$C:$C,0)))</f>
        <v>industry-ag-main.html#fuel-switching</v>
      </c>
      <c r="R697" s="275" t="str">
        <f>IF(ISBLANK(INDEX('Policy Characteristics'!L:L,MATCH($C697,'Policy Characteristics'!$C:$C,0))),"",INDEX('Policy Characteristics'!L:L,MATCH($C697,'Policy Characteristics'!$C:$C,0)))</f>
        <v>industry-elec-and-hydrogen.html</v>
      </c>
    </row>
    <row r="698" spans="1:18" x14ac:dyDescent="0.25">
      <c r="A698" s="275" t="str">
        <f>IF(ISBLANK(INDEX('Policy Characteristics'!A:A,MATCH($C698,'Policy Characteristics'!$C:$C,0))),"",INDEX('Policy Characteristics'!A:A,MATCH($C698,'Policy Characteristics'!$C:$C,0)))</f>
        <v>Industry</v>
      </c>
      <c r="B698" s="284" t="str">
        <f>IF(ISBLANK(INDEX('Policy Characteristics'!B:B,MATCH($C698,'Policy Characteristics'!$C:$C,0))),"",INDEX('Policy Characteristics'!B:B,MATCH($C698,'Policy Characteristics'!$C:$C,0)))</f>
        <v>Electrification</v>
      </c>
      <c r="C698" s="275" t="str">
        <f t="shared" si="35"/>
        <v>Fraction of Eligible Industrial Energy Use Shifted to Electricity</v>
      </c>
      <c r="D698" s="6" t="s">
        <v>3086</v>
      </c>
      <c r="E698" s="1" t="s">
        <v>3550</v>
      </c>
      <c r="F698" t="s">
        <v>3048</v>
      </c>
      <c r="G698" s="47" t="s">
        <v>3557</v>
      </c>
      <c r="H698" s="44">
        <v>1965</v>
      </c>
      <c r="I698" s="346" t="s">
        <v>43</v>
      </c>
      <c r="J698" s="276" t="str">
        <f>IF(ISBLANK(INDEX('Policy Characteristics'!D:D,MATCH($C698,'Policy Characteristics'!$C:$C,0))),"",INDEX('Policy Characteristics'!D:D,MATCH($C698,'Policy Characteristics'!$C:$C,0)))</f>
        <v>Electrification</v>
      </c>
      <c r="K698" s="275" t="str">
        <f>IF(ISBLANK(INDEX('Policy Characteristics'!E:E,MATCH($C698,'Policy Characteristics'!$C:$C,0))),"",INDEX('Policy Characteristics'!E:E,MATCH($C698,'Policy Characteristics'!$C:$C,0)))</f>
        <v>indst shift to electricity</v>
      </c>
      <c r="L698" s="283">
        <f>IF(ISBLANK(INDEX('Policy Characteristics'!F:F,MATCH($C698,'Policy Characteristics'!$C:$C,0))),"",INDEX('Policy Characteristics'!F:F,MATCH($C698,'Policy Characteristics'!$C:$C,0)))</f>
        <v>0</v>
      </c>
      <c r="M698" s="283">
        <f>IF(ISBLANK(INDEX('Policy Characteristics'!G:G,MATCH($C698,'Policy Characteristics'!$C:$C,0))),"",INDEX('Policy Characteristics'!G:G,MATCH($C698,'Policy Characteristics'!$C:$C,0)))</f>
        <v>1</v>
      </c>
      <c r="N698" s="283">
        <f>IF(ISBLANK(INDEX('Policy Characteristics'!H:H,MATCH($C698,'Policy Characteristics'!$C:$C,0))),"",INDEX('Policy Characteristics'!H:H,MATCH($C698,'Policy Characteristics'!$C:$C,0)))</f>
        <v>0.01</v>
      </c>
      <c r="O698" s="275" t="str">
        <f>IF(ISBLANK(INDEX('Policy Characteristics'!I:I,MATCH($C698,'Policy Characteristics'!$C:$C,0))),"",INDEX('Policy Characteristics'!I:I,MATCH($C698,'Policy Characteristics'!$C:$C,0)))</f>
        <v>% of fuel shifted</v>
      </c>
      <c r="P698" s="275"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75" t="str">
        <f>IF(ISBLANK(INDEX('Policy Characteristics'!K:K,MATCH($C698,'Policy Characteristics'!$C:$C,0))),"",INDEX('Policy Characteristics'!K:K,MATCH($C698,'Policy Characteristics'!$C:$C,0)))</f>
        <v>industry-ag-main.html#fuel-switching</v>
      </c>
      <c r="R698" s="275" t="str">
        <f>IF(ISBLANK(INDEX('Policy Characteristics'!L:L,MATCH($C698,'Policy Characteristics'!$C:$C,0))),"",INDEX('Policy Characteristics'!L:L,MATCH($C698,'Policy Characteristics'!$C:$C,0)))</f>
        <v>industry-elec-and-hydrogen.html</v>
      </c>
    </row>
    <row r="699" spans="1:18" x14ac:dyDescent="0.25">
      <c r="A699" s="275" t="str">
        <f>IF(ISBLANK(INDEX('Policy Characteristics'!A:A,MATCH($C699,'Policy Characteristics'!$C:$C,0))),"",INDEX('Policy Characteristics'!A:A,MATCH($C699,'Policy Characteristics'!$C:$C,0)))</f>
        <v>Industry</v>
      </c>
      <c r="B699" s="284" t="str">
        <f>IF(ISBLANK(INDEX('Policy Characteristics'!B:B,MATCH($C699,'Policy Characteristics'!$C:$C,0))),"",INDEX('Policy Characteristics'!B:B,MATCH($C699,'Policy Characteristics'!$C:$C,0)))</f>
        <v>Electrification</v>
      </c>
      <c r="C699" s="275" t="str">
        <f t="shared" si="35"/>
        <v>Fraction of Eligible Industrial Energy Use Shifted to Electricity</v>
      </c>
      <c r="D699" s="6" t="s">
        <v>3086</v>
      </c>
      <c r="E699" s="1" t="s">
        <v>3551</v>
      </c>
      <c r="F699" t="s">
        <v>3048</v>
      </c>
      <c r="G699" s="47" t="s">
        <v>3558</v>
      </c>
      <c r="H699" s="44">
        <v>1966</v>
      </c>
      <c r="I699" s="346" t="s">
        <v>44</v>
      </c>
      <c r="J699" s="276" t="str">
        <f>IF(ISBLANK(INDEX('Policy Characteristics'!D:D,MATCH($C699,'Policy Characteristics'!$C:$C,0))),"",INDEX('Policy Characteristics'!D:D,MATCH($C699,'Policy Characteristics'!$C:$C,0)))</f>
        <v>Electrification</v>
      </c>
      <c r="K699" s="275" t="str">
        <f>IF(ISBLANK(INDEX('Policy Characteristics'!E:E,MATCH($C699,'Policy Characteristics'!$C:$C,0))),"",INDEX('Policy Characteristics'!E:E,MATCH($C699,'Policy Characteristics'!$C:$C,0)))</f>
        <v>indst shift to electricity</v>
      </c>
      <c r="L699" s="283">
        <f>IF(ISBLANK(INDEX('Policy Characteristics'!F:F,MATCH($C699,'Policy Characteristics'!$C:$C,0))),"",INDEX('Policy Characteristics'!F:F,MATCH($C699,'Policy Characteristics'!$C:$C,0)))</f>
        <v>0</v>
      </c>
      <c r="M699" s="283">
        <f>IF(ISBLANK(INDEX('Policy Characteristics'!G:G,MATCH($C699,'Policy Characteristics'!$C:$C,0))),"",INDEX('Policy Characteristics'!G:G,MATCH($C699,'Policy Characteristics'!$C:$C,0)))</f>
        <v>1</v>
      </c>
      <c r="N699" s="283">
        <f>IF(ISBLANK(INDEX('Policy Characteristics'!H:H,MATCH($C699,'Policy Characteristics'!$C:$C,0))),"",INDEX('Policy Characteristics'!H:H,MATCH($C699,'Policy Characteristics'!$C:$C,0)))</f>
        <v>0.01</v>
      </c>
      <c r="O699" s="275" t="str">
        <f>IF(ISBLANK(INDEX('Policy Characteristics'!I:I,MATCH($C699,'Policy Characteristics'!$C:$C,0))),"",INDEX('Policy Characteristics'!I:I,MATCH($C699,'Policy Characteristics'!$C:$C,0)))</f>
        <v>% of fuel shifted</v>
      </c>
      <c r="P699" s="275"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75" t="str">
        <f>IF(ISBLANK(INDEX('Policy Characteristics'!K:K,MATCH($C699,'Policy Characteristics'!$C:$C,0))),"",INDEX('Policy Characteristics'!K:K,MATCH($C699,'Policy Characteristics'!$C:$C,0)))</f>
        <v>industry-ag-main.html#fuel-switching</v>
      </c>
      <c r="R699" s="275" t="str">
        <f>IF(ISBLANK(INDEX('Policy Characteristics'!L:L,MATCH($C699,'Policy Characteristics'!$C:$C,0))),"",INDEX('Policy Characteristics'!L:L,MATCH($C699,'Policy Characteristics'!$C:$C,0)))</f>
        <v>industry-elec-and-hydrogen.html</v>
      </c>
    </row>
    <row r="700" spans="1:18" x14ac:dyDescent="0.25">
      <c r="A700" s="275" t="str">
        <f>IF(ISBLANK(INDEX('Policy Characteristics'!A:A,MATCH($C700,'Policy Characteristics'!$C:$C,0))),"",INDEX('Policy Characteristics'!A:A,MATCH($C700,'Policy Characteristics'!$C:$C,0)))</f>
        <v>Industry</v>
      </c>
      <c r="B700" s="284" t="str">
        <f>IF(ISBLANK(INDEX('Policy Characteristics'!B:B,MATCH($C700,'Policy Characteristics'!$C:$C,0))),"",INDEX('Policy Characteristics'!B:B,MATCH($C700,'Policy Characteristics'!$C:$C,0)))</f>
        <v>Electrification</v>
      </c>
      <c r="C700" s="275" t="str">
        <f t="shared" si="35"/>
        <v>Fraction of Eligible Industrial Energy Use Shifted to Electricity</v>
      </c>
      <c r="D700" s="6" t="s">
        <v>3086</v>
      </c>
      <c r="E700" s="1" t="s">
        <v>3552</v>
      </c>
      <c r="F700" t="s">
        <v>3048</v>
      </c>
      <c r="G700" s="47" t="s">
        <v>3559</v>
      </c>
      <c r="H700" s="44">
        <v>1967</v>
      </c>
      <c r="I700" s="346" t="s">
        <v>44</v>
      </c>
      <c r="J700" s="276" t="str">
        <f>IF(ISBLANK(INDEX('Policy Characteristics'!D:D,MATCH($C700,'Policy Characteristics'!$C:$C,0))),"",INDEX('Policy Characteristics'!D:D,MATCH($C700,'Policy Characteristics'!$C:$C,0)))</f>
        <v>Electrification</v>
      </c>
      <c r="K700" s="275" t="str">
        <f>IF(ISBLANK(INDEX('Policy Characteristics'!E:E,MATCH($C700,'Policy Characteristics'!$C:$C,0))),"",INDEX('Policy Characteristics'!E:E,MATCH($C700,'Policy Characteristics'!$C:$C,0)))</f>
        <v>indst shift to electricity</v>
      </c>
      <c r="L700" s="283">
        <f>IF(ISBLANK(INDEX('Policy Characteristics'!F:F,MATCH($C700,'Policy Characteristics'!$C:$C,0))),"",INDEX('Policy Characteristics'!F:F,MATCH($C700,'Policy Characteristics'!$C:$C,0)))</f>
        <v>0</v>
      </c>
      <c r="M700" s="283">
        <f>IF(ISBLANK(INDEX('Policy Characteristics'!G:G,MATCH($C700,'Policy Characteristics'!$C:$C,0))),"",INDEX('Policy Characteristics'!G:G,MATCH($C700,'Policy Characteristics'!$C:$C,0)))</f>
        <v>1</v>
      </c>
      <c r="N700" s="283">
        <f>IF(ISBLANK(INDEX('Policy Characteristics'!H:H,MATCH($C700,'Policy Characteristics'!$C:$C,0))),"",INDEX('Policy Characteristics'!H:H,MATCH($C700,'Policy Characteristics'!$C:$C,0)))</f>
        <v>0.01</v>
      </c>
      <c r="O700" s="275" t="str">
        <f>IF(ISBLANK(INDEX('Policy Characteristics'!I:I,MATCH($C700,'Policy Characteristics'!$C:$C,0))),"",INDEX('Policy Characteristics'!I:I,MATCH($C700,'Policy Characteristics'!$C:$C,0)))</f>
        <v>% of fuel shifted</v>
      </c>
      <c r="P700" s="275"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75" t="str">
        <f>IF(ISBLANK(INDEX('Policy Characteristics'!K:K,MATCH($C700,'Policy Characteristics'!$C:$C,0))),"",INDEX('Policy Characteristics'!K:K,MATCH($C700,'Policy Characteristics'!$C:$C,0)))</f>
        <v>industry-ag-main.html#fuel-switching</v>
      </c>
      <c r="R700" s="275" t="str">
        <f>IF(ISBLANK(INDEX('Policy Characteristics'!L:L,MATCH($C700,'Policy Characteristics'!$C:$C,0))),"",INDEX('Policy Characteristics'!L:L,MATCH($C700,'Policy Characteristics'!$C:$C,0)))</f>
        <v>industry-elec-and-hydrogen.html</v>
      </c>
    </row>
    <row r="701" spans="1:18" x14ac:dyDescent="0.25">
      <c r="A701" s="275" t="str">
        <f>IF(ISBLANK(INDEX('Policy Characteristics'!A:A,MATCH($C701,'Policy Characteristics'!$C:$C,0))),"",INDEX('Policy Characteristics'!A:A,MATCH($C701,'Policy Characteristics'!$C:$C,0)))</f>
        <v>Industry</v>
      </c>
      <c r="B701" s="284" t="str">
        <f>IF(ISBLANK(INDEX('Policy Characteristics'!B:B,MATCH($C701,'Policy Characteristics'!$C:$C,0))),"",INDEX('Policy Characteristics'!B:B,MATCH($C701,'Policy Characteristics'!$C:$C,0)))</f>
        <v>Electrification</v>
      </c>
      <c r="C701" s="275" t="str">
        <f t="shared" si="35"/>
        <v>Fraction of Eligible Industrial Energy Use Shifted to Electricity</v>
      </c>
      <c r="D701" s="6" t="s">
        <v>3086</v>
      </c>
      <c r="E701" s="1" t="s">
        <v>3553</v>
      </c>
      <c r="F701" t="s">
        <v>3048</v>
      </c>
      <c r="G701" s="47" t="s">
        <v>3560</v>
      </c>
      <c r="H701" s="44">
        <v>1968</v>
      </c>
      <c r="I701" s="346" t="s">
        <v>44</v>
      </c>
      <c r="J701" s="276" t="str">
        <f>IF(ISBLANK(INDEX('Policy Characteristics'!D:D,MATCH($C701,'Policy Characteristics'!$C:$C,0))),"",INDEX('Policy Characteristics'!D:D,MATCH($C701,'Policy Characteristics'!$C:$C,0)))</f>
        <v>Electrification</v>
      </c>
      <c r="K701" s="275" t="str">
        <f>IF(ISBLANK(INDEX('Policy Characteristics'!E:E,MATCH($C701,'Policy Characteristics'!$C:$C,0))),"",INDEX('Policy Characteristics'!E:E,MATCH($C701,'Policy Characteristics'!$C:$C,0)))</f>
        <v>indst shift to electricity</v>
      </c>
      <c r="L701" s="283">
        <f>IF(ISBLANK(INDEX('Policy Characteristics'!F:F,MATCH($C701,'Policy Characteristics'!$C:$C,0))),"",INDEX('Policy Characteristics'!F:F,MATCH($C701,'Policy Characteristics'!$C:$C,0)))</f>
        <v>0</v>
      </c>
      <c r="M701" s="283">
        <f>IF(ISBLANK(INDEX('Policy Characteristics'!G:G,MATCH($C701,'Policy Characteristics'!$C:$C,0))),"",INDEX('Policy Characteristics'!G:G,MATCH($C701,'Policy Characteristics'!$C:$C,0)))</f>
        <v>1</v>
      </c>
      <c r="N701" s="283">
        <f>IF(ISBLANK(INDEX('Policy Characteristics'!H:H,MATCH($C701,'Policy Characteristics'!$C:$C,0))),"",INDEX('Policy Characteristics'!H:H,MATCH($C701,'Policy Characteristics'!$C:$C,0)))</f>
        <v>0.01</v>
      </c>
      <c r="O701" s="275" t="str">
        <f>IF(ISBLANK(INDEX('Policy Characteristics'!I:I,MATCH($C701,'Policy Characteristics'!$C:$C,0))),"",INDEX('Policy Characteristics'!I:I,MATCH($C701,'Policy Characteristics'!$C:$C,0)))</f>
        <v>% of fuel shifted</v>
      </c>
      <c r="P701" s="275"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75" t="str">
        <f>IF(ISBLANK(INDEX('Policy Characteristics'!K:K,MATCH($C701,'Policy Characteristics'!$C:$C,0))),"",INDEX('Policy Characteristics'!K:K,MATCH($C701,'Policy Characteristics'!$C:$C,0)))</f>
        <v>industry-ag-main.html#fuel-switching</v>
      </c>
      <c r="R701" s="275" t="str">
        <f>IF(ISBLANK(INDEX('Policy Characteristics'!L:L,MATCH($C701,'Policy Characteristics'!$C:$C,0))),"",INDEX('Policy Characteristics'!L:L,MATCH($C701,'Policy Characteristics'!$C:$C,0)))</f>
        <v>industry-elec-and-hydrogen.html</v>
      </c>
    </row>
    <row r="702" spans="1:18" x14ac:dyDescent="0.25">
      <c r="A702" s="275" t="str">
        <f>IF(ISBLANK(INDEX('Policy Characteristics'!A:A,MATCH($C702,'Policy Characteristics'!$C:$C,0))),"",INDEX('Policy Characteristics'!A:A,MATCH($C702,'Policy Characteristics'!$C:$C,0)))</f>
        <v>Industry</v>
      </c>
      <c r="B702" s="284" t="str">
        <f>IF(ISBLANK(INDEX('Policy Characteristics'!B:B,MATCH($C702,'Policy Characteristics'!$C:$C,0))),"",INDEX('Policy Characteristics'!B:B,MATCH($C702,'Policy Characteristics'!$C:$C,0)))</f>
        <v>Electrification</v>
      </c>
      <c r="C702" s="275" t="str">
        <f t="shared" si="35"/>
        <v>Fraction of Eligible Industrial Energy Use Shifted to Electricity</v>
      </c>
      <c r="D702" s="6" t="s">
        <v>3086</v>
      </c>
      <c r="E702" s="1" t="s">
        <v>3737</v>
      </c>
      <c r="F702" t="s">
        <v>3048</v>
      </c>
      <c r="G702" s="47" t="s">
        <v>3738</v>
      </c>
      <c r="H702" s="44">
        <v>1969</v>
      </c>
      <c r="I702" s="346" t="s">
        <v>43</v>
      </c>
      <c r="J702" s="276" t="str">
        <f>IF(ISBLANK(INDEX('Policy Characteristics'!D:D,MATCH($C702,'Policy Characteristics'!$C:$C,0))),"",INDEX('Policy Characteristics'!D:D,MATCH($C702,'Policy Characteristics'!$C:$C,0)))</f>
        <v>Electrification</v>
      </c>
      <c r="K702" s="275" t="str">
        <f>IF(ISBLANK(INDEX('Policy Characteristics'!E:E,MATCH($C702,'Policy Characteristics'!$C:$C,0))),"",INDEX('Policy Characteristics'!E:E,MATCH($C702,'Policy Characteristics'!$C:$C,0)))</f>
        <v>indst shift to electricity</v>
      </c>
      <c r="L702" s="283">
        <f>IF(ISBLANK(INDEX('Policy Characteristics'!F:F,MATCH($C702,'Policy Characteristics'!$C:$C,0))),"",INDEX('Policy Characteristics'!F:F,MATCH($C702,'Policy Characteristics'!$C:$C,0)))</f>
        <v>0</v>
      </c>
      <c r="M702" s="283">
        <f>IF(ISBLANK(INDEX('Policy Characteristics'!G:G,MATCH($C702,'Policy Characteristics'!$C:$C,0))),"",INDEX('Policy Characteristics'!G:G,MATCH($C702,'Policy Characteristics'!$C:$C,0)))</f>
        <v>1</v>
      </c>
      <c r="N702" s="283">
        <f>IF(ISBLANK(INDEX('Policy Characteristics'!H:H,MATCH($C702,'Policy Characteristics'!$C:$C,0))),"",INDEX('Policy Characteristics'!H:H,MATCH($C702,'Policy Characteristics'!$C:$C,0)))</f>
        <v>0.01</v>
      </c>
      <c r="O702" s="275" t="str">
        <f>IF(ISBLANK(INDEX('Policy Characteristics'!I:I,MATCH($C702,'Policy Characteristics'!$C:$C,0))),"",INDEX('Policy Characteristics'!I:I,MATCH($C702,'Policy Characteristics'!$C:$C,0)))</f>
        <v>% of fuel shifted</v>
      </c>
      <c r="P702" s="275"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75" t="str">
        <f>IF(ISBLANK(INDEX('Policy Characteristics'!K:K,MATCH($C702,'Policy Characteristics'!$C:$C,0))),"",INDEX('Policy Characteristics'!K:K,MATCH($C702,'Policy Characteristics'!$C:$C,0)))</f>
        <v>industry-ag-main.html#fuel-switching</v>
      </c>
      <c r="R702" s="275" t="str">
        <f>IF(ISBLANK(INDEX('Policy Characteristics'!L:L,MATCH($C702,'Policy Characteristics'!$C:$C,0))),"",INDEX('Policy Characteristics'!L:L,MATCH($C702,'Policy Characteristics'!$C:$C,0)))</f>
        <v>industry-elec-and-hydrogen.html</v>
      </c>
    </row>
    <row r="703" spans="1:18" x14ac:dyDescent="0.25">
      <c r="A703" s="275" t="str">
        <f>IF(ISBLANK(INDEX('Policy Characteristics'!A:A,MATCH($C703,'Policy Characteristics'!$C:$C,0))),"",INDEX('Policy Characteristics'!A:A,MATCH($C703,'Policy Characteristics'!$C:$C,0)))</f>
        <v>Industry</v>
      </c>
      <c r="B703" s="284" t="str">
        <f>IF(ISBLANK(INDEX('Policy Characteristics'!B:B,MATCH($C703,'Policy Characteristics'!$C:$C,0))),"",INDEX('Policy Characteristics'!B:B,MATCH($C703,'Policy Characteristics'!$C:$C,0)))</f>
        <v>Electrification</v>
      </c>
      <c r="C703" s="275" t="str">
        <f t="shared" si="35"/>
        <v>Fraction of Eligible Industrial Energy Use Shifted to Electricity</v>
      </c>
      <c r="D703" s="6" t="s">
        <v>3087</v>
      </c>
      <c r="E703" s="1" t="s">
        <v>3547</v>
      </c>
      <c r="F703" t="s">
        <v>3049</v>
      </c>
      <c r="G703" s="47" t="s">
        <v>3554</v>
      </c>
      <c r="H703" s="44">
        <v>1970</v>
      </c>
      <c r="I703" s="346" t="s">
        <v>43</v>
      </c>
      <c r="J703" s="276" t="str">
        <f>IF(ISBLANK(INDEX('Policy Characteristics'!D:D,MATCH($C703,'Policy Characteristics'!$C:$C,0))),"",INDEX('Policy Characteristics'!D:D,MATCH($C703,'Policy Characteristics'!$C:$C,0)))</f>
        <v>Electrification</v>
      </c>
      <c r="K703" s="275" t="str">
        <f>IF(ISBLANK(INDEX('Policy Characteristics'!E:E,MATCH($C703,'Policy Characteristics'!$C:$C,0))),"",INDEX('Policy Characteristics'!E:E,MATCH($C703,'Policy Characteristics'!$C:$C,0)))</f>
        <v>indst shift to electricity</v>
      </c>
      <c r="L703" s="283">
        <f>IF(ISBLANK(INDEX('Policy Characteristics'!F:F,MATCH($C703,'Policy Characteristics'!$C:$C,0))),"",INDEX('Policy Characteristics'!F:F,MATCH($C703,'Policy Characteristics'!$C:$C,0)))</f>
        <v>0</v>
      </c>
      <c r="M703" s="283">
        <f>IF(ISBLANK(INDEX('Policy Characteristics'!G:G,MATCH($C703,'Policy Characteristics'!$C:$C,0))),"",INDEX('Policy Characteristics'!G:G,MATCH($C703,'Policy Characteristics'!$C:$C,0)))</f>
        <v>1</v>
      </c>
      <c r="N703" s="283">
        <f>IF(ISBLANK(INDEX('Policy Characteristics'!H:H,MATCH($C703,'Policy Characteristics'!$C:$C,0))),"",INDEX('Policy Characteristics'!H:H,MATCH($C703,'Policy Characteristics'!$C:$C,0)))</f>
        <v>0.01</v>
      </c>
      <c r="O703" s="275" t="str">
        <f>IF(ISBLANK(INDEX('Policy Characteristics'!I:I,MATCH($C703,'Policy Characteristics'!$C:$C,0))),"",INDEX('Policy Characteristics'!I:I,MATCH($C703,'Policy Characteristics'!$C:$C,0)))</f>
        <v>% of fuel shifted</v>
      </c>
      <c r="P703" s="275"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75" t="str">
        <f>IF(ISBLANK(INDEX('Policy Characteristics'!K:K,MATCH($C703,'Policy Characteristics'!$C:$C,0))),"",INDEX('Policy Characteristics'!K:K,MATCH($C703,'Policy Characteristics'!$C:$C,0)))</f>
        <v>industry-ag-main.html#fuel-switching</v>
      </c>
      <c r="R703" s="275" t="str">
        <f>IF(ISBLANK(INDEX('Policy Characteristics'!L:L,MATCH($C703,'Policy Characteristics'!$C:$C,0))),"",INDEX('Policy Characteristics'!L:L,MATCH($C703,'Policy Characteristics'!$C:$C,0)))</f>
        <v>industry-elec-and-hydrogen.html</v>
      </c>
    </row>
    <row r="704" spans="1:18" x14ac:dyDescent="0.25">
      <c r="A704" s="275" t="str">
        <f>IF(ISBLANK(INDEX('Policy Characteristics'!A:A,MATCH($C704,'Policy Characteristics'!$C:$C,0))),"",INDEX('Policy Characteristics'!A:A,MATCH($C704,'Policy Characteristics'!$C:$C,0)))</f>
        <v>Industry</v>
      </c>
      <c r="B704" s="284" t="str">
        <f>IF(ISBLANK(INDEX('Policy Characteristics'!B:B,MATCH($C704,'Policy Characteristics'!$C:$C,0))),"",INDEX('Policy Characteristics'!B:B,MATCH($C704,'Policy Characteristics'!$C:$C,0)))</f>
        <v>Electrification</v>
      </c>
      <c r="C704" s="275" t="str">
        <f t="shared" si="35"/>
        <v>Fraction of Eligible Industrial Energy Use Shifted to Electricity</v>
      </c>
      <c r="D704" s="6" t="s">
        <v>3087</v>
      </c>
      <c r="E704" s="1" t="s">
        <v>3548</v>
      </c>
      <c r="F704" t="s">
        <v>3049</v>
      </c>
      <c r="G704" s="47" t="s">
        <v>3555</v>
      </c>
      <c r="H704" s="44">
        <v>1971</v>
      </c>
      <c r="I704" s="346" t="s">
        <v>43</v>
      </c>
      <c r="J704" s="276" t="str">
        <f>IF(ISBLANK(INDEX('Policy Characteristics'!D:D,MATCH($C704,'Policy Characteristics'!$C:$C,0))),"",INDEX('Policy Characteristics'!D:D,MATCH($C704,'Policy Characteristics'!$C:$C,0)))</f>
        <v>Electrification</v>
      </c>
      <c r="K704" s="275" t="str">
        <f>IF(ISBLANK(INDEX('Policy Characteristics'!E:E,MATCH($C704,'Policy Characteristics'!$C:$C,0))),"",INDEX('Policy Characteristics'!E:E,MATCH($C704,'Policy Characteristics'!$C:$C,0)))</f>
        <v>indst shift to electricity</v>
      </c>
      <c r="L704" s="283">
        <f>IF(ISBLANK(INDEX('Policy Characteristics'!F:F,MATCH($C704,'Policy Characteristics'!$C:$C,0))),"",INDEX('Policy Characteristics'!F:F,MATCH($C704,'Policy Characteristics'!$C:$C,0)))</f>
        <v>0</v>
      </c>
      <c r="M704" s="283">
        <f>IF(ISBLANK(INDEX('Policy Characteristics'!G:G,MATCH($C704,'Policy Characteristics'!$C:$C,0))),"",INDEX('Policy Characteristics'!G:G,MATCH($C704,'Policy Characteristics'!$C:$C,0)))</f>
        <v>1</v>
      </c>
      <c r="N704" s="283">
        <f>IF(ISBLANK(INDEX('Policy Characteristics'!H:H,MATCH($C704,'Policy Characteristics'!$C:$C,0))),"",INDEX('Policy Characteristics'!H:H,MATCH($C704,'Policy Characteristics'!$C:$C,0)))</f>
        <v>0.01</v>
      </c>
      <c r="O704" s="275" t="str">
        <f>IF(ISBLANK(INDEX('Policy Characteristics'!I:I,MATCH($C704,'Policy Characteristics'!$C:$C,0))),"",INDEX('Policy Characteristics'!I:I,MATCH($C704,'Policy Characteristics'!$C:$C,0)))</f>
        <v>% of fuel shifted</v>
      </c>
      <c r="P704" s="275"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75" t="str">
        <f>IF(ISBLANK(INDEX('Policy Characteristics'!K:K,MATCH($C704,'Policy Characteristics'!$C:$C,0))),"",INDEX('Policy Characteristics'!K:K,MATCH($C704,'Policy Characteristics'!$C:$C,0)))</f>
        <v>industry-ag-main.html#fuel-switching</v>
      </c>
      <c r="R704" s="275" t="str">
        <f>IF(ISBLANK(INDEX('Policy Characteristics'!L:L,MATCH($C704,'Policy Characteristics'!$C:$C,0))),"",INDEX('Policy Characteristics'!L:L,MATCH($C704,'Policy Characteristics'!$C:$C,0)))</f>
        <v>industry-elec-and-hydrogen.html</v>
      </c>
    </row>
    <row r="705" spans="1:18" x14ac:dyDescent="0.25">
      <c r="A705" s="275" t="str">
        <f>IF(ISBLANK(INDEX('Policy Characteristics'!A:A,MATCH($C705,'Policy Characteristics'!$C:$C,0))),"",INDEX('Policy Characteristics'!A:A,MATCH($C705,'Policy Characteristics'!$C:$C,0)))</f>
        <v>Industry</v>
      </c>
      <c r="B705" s="284" t="str">
        <f>IF(ISBLANK(INDEX('Policy Characteristics'!B:B,MATCH($C705,'Policy Characteristics'!$C:$C,0))),"",INDEX('Policy Characteristics'!B:B,MATCH($C705,'Policy Characteristics'!$C:$C,0)))</f>
        <v>Electrification</v>
      </c>
      <c r="C705" s="275" t="str">
        <f t="shared" si="35"/>
        <v>Fraction of Eligible Industrial Energy Use Shifted to Electricity</v>
      </c>
      <c r="D705" s="6" t="s">
        <v>3087</v>
      </c>
      <c r="E705" s="1" t="s">
        <v>3549</v>
      </c>
      <c r="F705" t="s">
        <v>3049</v>
      </c>
      <c r="G705" s="47" t="s">
        <v>3556</v>
      </c>
      <c r="H705" s="44">
        <v>1972</v>
      </c>
      <c r="I705" s="346" t="s">
        <v>43</v>
      </c>
      <c r="J705" s="276" t="str">
        <f>IF(ISBLANK(INDEX('Policy Characteristics'!D:D,MATCH($C705,'Policy Characteristics'!$C:$C,0))),"",INDEX('Policy Characteristics'!D:D,MATCH($C705,'Policy Characteristics'!$C:$C,0)))</f>
        <v>Electrification</v>
      </c>
      <c r="K705" s="275" t="str">
        <f>IF(ISBLANK(INDEX('Policy Characteristics'!E:E,MATCH($C705,'Policy Characteristics'!$C:$C,0))),"",INDEX('Policy Characteristics'!E:E,MATCH($C705,'Policy Characteristics'!$C:$C,0)))</f>
        <v>indst shift to electricity</v>
      </c>
      <c r="L705" s="283">
        <f>IF(ISBLANK(INDEX('Policy Characteristics'!F:F,MATCH($C705,'Policy Characteristics'!$C:$C,0))),"",INDEX('Policy Characteristics'!F:F,MATCH($C705,'Policy Characteristics'!$C:$C,0)))</f>
        <v>0</v>
      </c>
      <c r="M705" s="283">
        <f>IF(ISBLANK(INDEX('Policy Characteristics'!G:G,MATCH($C705,'Policy Characteristics'!$C:$C,0))),"",INDEX('Policy Characteristics'!G:G,MATCH($C705,'Policy Characteristics'!$C:$C,0)))</f>
        <v>1</v>
      </c>
      <c r="N705" s="283">
        <f>IF(ISBLANK(INDEX('Policy Characteristics'!H:H,MATCH($C705,'Policy Characteristics'!$C:$C,0))),"",INDEX('Policy Characteristics'!H:H,MATCH($C705,'Policy Characteristics'!$C:$C,0)))</f>
        <v>0.01</v>
      </c>
      <c r="O705" s="275" t="str">
        <f>IF(ISBLANK(INDEX('Policy Characteristics'!I:I,MATCH($C705,'Policy Characteristics'!$C:$C,0))),"",INDEX('Policy Characteristics'!I:I,MATCH($C705,'Policy Characteristics'!$C:$C,0)))</f>
        <v>% of fuel shifted</v>
      </c>
      <c r="P705" s="275"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75" t="str">
        <f>IF(ISBLANK(INDEX('Policy Characteristics'!K:K,MATCH($C705,'Policy Characteristics'!$C:$C,0))),"",INDEX('Policy Characteristics'!K:K,MATCH($C705,'Policy Characteristics'!$C:$C,0)))</f>
        <v>industry-ag-main.html#fuel-switching</v>
      </c>
      <c r="R705" s="275" t="str">
        <f>IF(ISBLANK(INDEX('Policy Characteristics'!L:L,MATCH($C705,'Policy Characteristics'!$C:$C,0))),"",INDEX('Policy Characteristics'!L:L,MATCH($C705,'Policy Characteristics'!$C:$C,0)))</f>
        <v>industry-elec-and-hydrogen.html</v>
      </c>
    </row>
    <row r="706" spans="1:18" x14ac:dyDescent="0.25">
      <c r="A706" s="275" t="str">
        <f>IF(ISBLANK(INDEX('Policy Characteristics'!A:A,MATCH($C706,'Policy Characteristics'!$C:$C,0))),"",INDEX('Policy Characteristics'!A:A,MATCH($C706,'Policy Characteristics'!$C:$C,0)))</f>
        <v>Industry</v>
      </c>
      <c r="B706" s="284" t="str">
        <f>IF(ISBLANK(INDEX('Policy Characteristics'!B:B,MATCH($C706,'Policy Characteristics'!$C:$C,0))),"",INDEX('Policy Characteristics'!B:B,MATCH($C706,'Policy Characteristics'!$C:$C,0)))</f>
        <v>Electrification</v>
      </c>
      <c r="C706" s="275" t="str">
        <f t="shared" si="35"/>
        <v>Fraction of Eligible Industrial Energy Use Shifted to Electricity</v>
      </c>
      <c r="D706" s="6" t="s">
        <v>3087</v>
      </c>
      <c r="E706" s="1" t="s">
        <v>3550</v>
      </c>
      <c r="F706" t="s">
        <v>3049</v>
      </c>
      <c r="G706" s="47" t="s">
        <v>3557</v>
      </c>
      <c r="H706" s="44">
        <v>1973</v>
      </c>
      <c r="I706" s="346" t="s">
        <v>43</v>
      </c>
      <c r="J706" s="276" t="str">
        <f>IF(ISBLANK(INDEX('Policy Characteristics'!D:D,MATCH($C706,'Policy Characteristics'!$C:$C,0))),"",INDEX('Policy Characteristics'!D:D,MATCH($C706,'Policy Characteristics'!$C:$C,0)))</f>
        <v>Electrification</v>
      </c>
      <c r="K706" s="275" t="str">
        <f>IF(ISBLANK(INDEX('Policy Characteristics'!E:E,MATCH($C706,'Policy Characteristics'!$C:$C,0))),"",INDEX('Policy Characteristics'!E:E,MATCH($C706,'Policy Characteristics'!$C:$C,0)))</f>
        <v>indst shift to electricity</v>
      </c>
      <c r="L706" s="283">
        <f>IF(ISBLANK(INDEX('Policy Characteristics'!F:F,MATCH($C706,'Policy Characteristics'!$C:$C,0))),"",INDEX('Policy Characteristics'!F:F,MATCH($C706,'Policy Characteristics'!$C:$C,0)))</f>
        <v>0</v>
      </c>
      <c r="M706" s="283">
        <f>IF(ISBLANK(INDEX('Policy Characteristics'!G:G,MATCH($C706,'Policy Characteristics'!$C:$C,0))),"",INDEX('Policy Characteristics'!G:G,MATCH($C706,'Policy Characteristics'!$C:$C,0)))</f>
        <v>1</v>
      </c>
      <c r="N706" s="283">
        <f>IF(ISBLANK(INDEX('Policy Characteristics'!H:H,MATCH($C706,'Policy Characteristics'!$C:$C,0))),"",INDEX('Policy Characteristics'!H:H,MATCH($C706,'Policy Characteristics'!$C:$C,0)))</f>
        <v>0.01</v>
      </c>
      <c r="O706" s="275" t="str">
        <f>IF(ISBLANK(INDEX('Policy Characteristics'!I:I,MATCH($C706,'Policy Characteristics'!$C:$C,0))),"",INDEX('Policy Characteristics'!I:I,MATCH($C706,'Policy Characteristics'!$C:$C,0)))</f>
        <v>% of fuel shifted</v>
      </c>
      <c r="P706" s="275"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75" t="str">
        <f>IF(ISBLANK(INDEX('Policy Characteristics'!K:K,MATCH($C706,'Policy Characteristics'!$C:$C,0))),"",INDEX('Policy Characteristics'!K:K,MATCH($C706,'Policy Characteristics'!$C:$C,0)))</f>
        <v>industry-ag-main.html#fuel-switching</v>
      </c>
      <c r="R706" s="275" t="str">
        <f>IF(ISBLANK(INDEX('Policy Characteristics'!L:L,MATCH($C706,'Policy Characteristics'!$C:$C,0))),"",INDEX('Policy Characteristics'!L:L,MATCH($C706,'Policy Characteristics'!$C:$C,0)))</f>
        <v>industry-elec-and-hydrogen.html</v>
      </c>
    </row>
    <row r="707" spans="1:18" x14ac:dyDescent="0.25">
      <c r="A707" s="275" t="str">
        <f>IF(ISBLANK(INDEX('Policy Characteristics'!A:A,MATCH($C707,'Policy Characteristics'!$C:$C,0))),"",INDEX('Policy Characteristics'!A:A,MATCH($C707,'Policy Characteristics'!$C:$C,0)))</f>
        <v>Industry</v>
      </c>
      <c r="B707" s="284" t="str">
        <f>IF(ISBLANK(INDEX('Policy Characteristics'!B:B,MATCH($C707,'Policy Characteristics'!$C:$C,0))),"",INDEX('Policy Characteristics'!B:B,MATCH($C707,'Policy Characteristics'!$C:$C,0)))</f>
        <v>Electrification</v>
      </c>
      <c r="C707" s="275" t="str">
        <f t="shared" si="35"/>
        <v>Fraction of Eligible Industrial Energy Use Shifted to Electricity</v>
      </c>
      <c r="D707" s="6" t="s">
        <v>3087</v>
      </c>
      <c r="E707" s="1" t="s">
        <v>3551</v>
      </c>
      <c r="F707" t="s">
        <v>3049</v>
      </c>
      <c r="G707" s="47" t="s">
        <v>3558</v>
      </c>
      <c r="H707" s="44">
        <v>1974</v>
      </c>
      <c r="I707" s="346" t="s">
        <v>44</v>
      </c>
      <c r="J707" s="276" t="str">
        <f>IF(ISBLANK(INDEX('Policy Characteristics'!D:D,MATCH($C707,'Policy Characteristics'!$C:$C,0))),"",INDEX('Policy Characteristics'!D:D,MATCH($C707,'Policy Characteristics'!$C:$C,0)))</f>
        <v>Electrification</v>
      </c>
      <c r="K707" s="275" t="str">
        <f>IF(ISBLANK(INDEX('Policy Characteristics'!E:E,MATCH($C707,'Policy Characteristics'!$C:$C,0))),"",INDEX('Policy Characteristics'!E:E,MATCH($C707,'Policy Characteristics'!$C:$C,0)))</f>
        <v>indst shift to electricity</v>
      </c>
      <c r="L707" s="283">
        <f>IF(ISBLANK(INDEX('Policy Characteristics'!F:F,MATCH($C707,'Policy Characteristics'!$C:$C,0))),"",INDEX('Policy Characteristics'!F:F,MATCH($C707,'Policy Characteristics'!$C:$C,0)))</f>
        <v>0</v>
      </c>
      <c r="M707" s="283">
        <f>IF(ISBLANK(INDEX('Policy Characteristics'!G:G,MATCH($C707,'Policy Characteristics'!$C:$C,0))),"",INDEX('Policy Characteristics'!G:G,MATCH($C707,'Policy Characteristics'!$C:$C,0)))</f>
        <v>1</v>
      </c>
      <c r="N707" s="283">
        <f>IF(ISBLANK(INDEX('Policy Characteristics'!H:H,MATCH($C707,'Policy Characteristics'!$C:$C,0))),"",INDEX('Policy Characteristics'!H:H,MATCH($C707,'Policy Characteristics'!$C:$C,0)))</f>
        <v>0.01</v>
      </c>
      <c r="O707" s="275" t="str">
        <f>IF(ISBLANK(INDEX('Policy Characteristics'!I:I,MATCH($C707,'Policy Characteristics'!$C:$C,0))),"",INDEX('Policy Characteristics'!I:I,MATCH($C707,'Policy Characteristics'!$C:$C,0)))</f>
        <v>% of fuel shifted</v>
      </c>
      <c r="P707" s="275"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75" t="str">
        <f>IF(ISBLANK(INDEX('Policy Characteristics'!K:K,MATCH($C707,'Policy Characteristics'!$C:$C,0))),"",INDEX('Policy Characteristics'!K:K,MATCH($C707,'Policy Characteristics'!$C:$C,0)))</f>
        <v>industry-ag-main.html#fuel-switching</v>
      </c>
      <c r="R707" s="275" t="str">
        <f>IF(ISBLANK(INDEX('Policy Characteristics'!L:L,MATCH($C707,'Policy Characteristics'!$C:$C,0))),"",INDEX('Policy Characteristics'!L:L,MATCH($C707,'Policy Characteristics'!$C:$C,0)))</f>
        <v>industry-elec-and-hydrogen.html</v>
      </c>
    </row>
    <row r="708" spans="1:18" x14ac:dyDescent="0.25">
      <c r="A708" s="275" t="str">
        <f>IF(ISBLANK(INDEX('Policy Characteristics'!A:A,MATCH($C708,'Policy Characteristics'!$C:$C,0))),"",INDEX('Policy Characteristics'!A:A,MATCH($C708,'Policy Characteristics'!$C:$C,0)))</f>
        <v>Industry</v>
      </c>
      <c r="B708" s="284" t="str">
        <f>IF(ISBLANK(INDEX('Policy Characteristics'!B:B,MATCH($C708,'Policy Characteristics'!$C:$C,0))),"",INDEX('Policy Characteristics'!B:B,MATCH($C708,'Policy Characteristics'!$C:$C,0)))</f>
        <v>Electrification</v>
      </c>
      <c r="C708" s="275" t="str">
        <f t="shared" si="35"/>
        <v>Fraction of Eligible Industrial Energy Use Shifted to Electricity</v>
      </c>
      <c r="D708" s="6" t="s">
        <v>3087</v>
      </c>
      <c r="E708" s="1" t="s">
        <v>3552</v>
      </c>
      <c r="F708" t="s">
        <v>3049</v>
      </c>
      <c r="G708" s="47" t="s">
        <v>3559</v>
      </c>
      <c r="H708" s="44">
        <v>1975</v>
      </c>
      <c r="I708" s="346" t="s">
        <v>44</v>
      </c>
      <c r="J708" s="276" t="str">
        <f>IF(ISBLANK(INDEX('Policy Characteristics'!D:D,MATCH($C708,'Policy Characteristics'!$C:$C,0))),"",INDEX('Policy Characteristics'!D:D,MATCH($C708,'Policy Characteristics'!$C:$C,0)))</f>
        <v>Electrification</v>
      </c>
      <c r="K708" s="275" t="str">
        <f>IF(ISBLANK(INDEX('Policy Characteristics'!E:E,MATCH($C708,'Policy Characteristics'!$C:$C,0))),"",INDEX('Policy Characteristics'!E:E,MATCH($C708,'Policy Characteristics'!$C:$C,0)))</f>
        <v>indst shift to electricity</v>
      </c>
      <c r="L708" s="283">
        <f>IF(ISBLANK(INDEX('Policy Characteristics'!F:F,MATCH($C708,'Policy Characteristics'!$C:$C,0))),"",INDEX('Policy Characteristics'!F:F,MATCH($C708,'Policy Characteristics'!$C:$C,0)))</f>
        <v>0</v>
      </c>
      <c r="M708" s="283">
        <f>IF(ISBLANK(INDEX('Policy Characteristics'!G:G,MATCH($C708,'Policy Characteristics'!$C:$C,0))),"",INDEX('Policy Characteristics'!G:G,MATCH($C708,'Policy Characteristics'!$C:$C,0)))</f>
        <v>1</v>
      </c>
      <c r="N708" s="283">
        <f>IF(ISBLANK(INDEX('Policy Characteristics'!H:H,MATCH($C708,'Policy Characteristics'!$C:$C,0))),"",INDEX('Policy Characteristics'!H:H,MATCH($C708,'Policy Characteristics'!$C:$C,0)))</f>
        <v>0.01</v>
      </c>
      <c r="O708" s="275" t="str">
        <f>IF(ISBLANK(INDEX('Policy Characteristics'!I:I,MATCH($C708,'Policy Characteristics'!$C:$C,0))),"",INDEX('Policy Characteristics'!I:I,MATCH($C708,'Policy Characteristics'!$C:$C,0)))</f>
        <v>% of fuel shifted</v>
      </c>
      <c r="P708" s="275"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75" t="str">
        <f>IF(ISBLANK(INDEX('Policy Characteristics'!K:K,MATCH($C708,'Policy Characteristics'!$C:$C,0))),"",INDEX('Policy Characteristics'!K:K,MATCH($C708,'Policy Characteristics'!$C:$C,0)))</f>
        <v>industry-ag-main.html#fuel-switching</v>
      </c>
      <c r="R708" s="275" t="str">
        <f>IF(ISBLANK(INDEX('Policy Characteristics'!L:L,MATCH($C708,'Policy Characteristics'!$C:$C,0))),"",INDEX('Policy Characteristics'!L:L,MATCH($C708,'Policy Characteristics'!$C:$C,0)))</f>
        <v>industry-elec-and-hydrogen.html</v>
      </c>
    </row>
    <row r="709" spans="1:18" x14ac:dyDescent="0.25">
      <c r="A709" s="275" t="str">
        <f>IF(ISBLANK(INDEX('Policy Characteristics'!A:A,MATCH($C709,'Policy Characteristics'!$C:$C,0))),"",INDEX('Policy Characteristics'!A:A,MATCH($C709,'Policy Characteristics'!$C:$C,0)))</f>
        <v>Industry</v>
      </c>
      <c r="B709" s="284" t="str">
        <f>IF(ISBLANK(INDEX('Policy Characteristics'!B:B,MATCH($C709,'Policy Characteristics'!$C:$C,0))),"",INDEX('Policy Characteristics'!B:B,MATCH($C709,'Policy Characteristics'!$C:$C,0)))</f>
        <v>Electrification</v>
      </c>
      <c r="C709" s="275" t="str">
        <f t="shared" si="35"/>
        <v>Fraction of Eligible Industrial Energy Use Shifted to Electricity</v>
      </c>
      <c r="D709" s="6" t="s">
        <v>3087</v>
      </c>
      <c r="E709" s="1" t="s">
        <v>3553</v>
      </c>
      <c r="F709" t="s">
        <v>3049</v>
      </c>
      <c r="G709" s="47" t="s">
        <v>3560</v>
      </c>
      <c r="H709" s="44">
        <v>1976</v>
      </c>
      <c r="I709" s="346" t="s">
        <v>44</v>
      </c>
      <c r="J709" s="276" t="str">
        <f>IF(ISBLANK(INDEX('Policy Characteristics'!D:D,MATCH($C709,'Policy Characteristics'!$C:$C,0))),"",INDEX('Policy Characteristics'!D:D,MATCH($C709,'Policy Characteristics'!$C:$C,0)))</f>
        <v>Electrification</v>
      </c>
      <c r="K709" s="275" t="str">
        <f>IF(ISBLANK(INDEX('Policy Characteristics'!E:E,MATCH($C709,'Policy Characteristics'!$C:$C,0))),"",INDEX('Policy Characteristics'!E:E,MATCH($C709,'Policy Characteristics'!$C:$C,0)))</f>
        <v>indst shift to electricity</v>
      </c>
      <c r="L709" s="283">
        <f>IF(ISBLANK(INDEX('Policy Characteristics'!F:F,MATCH($C709,'Policy Characteristics'!$C:$C,0))),"",INDEX('Policy Characteristics'!F:F,MATCH($C709,'Policy Characteristics'!$C:$C,0)))</f>
        <v>0</v>
      </c>
      <c r="M709" s="283">
        <f>IF(ISBLANK(INDEX('Policy Characteristics'!G:G,MATCH($C709,'Policy Characteristics'!$C:$C,0))),"",INDEX('Policy Characteristics'!G:G,MATCH($C709,'Policy Characteristics'!$C:$C,0)))</f>
        <v>1</v>
      </c>
      <c r="N709" s="283">
        <f>IF(ISBLANK(INDEX('Policy Characteristics'!H:H,MATCH($C709,'Policy Characteristics'!$C:$C,0))),"",INDEX('Policy Characteristics'!H:H,MATCH($C709,'Policy Characteristics'!$C:$C,0)))</f>
        <v>0.01</v>
      </c>
      <c r="O709" s="275" t="str">
        <f>IF(ISBLANK(INDEX('Policy Characteristics'!I:I,MATCH($C709,'Policy Characteristics'!$C:$C,0))),"",INDEX('Policy Characteristics'!I:I,MATCH($C709,'Policy Characteristics'!$C:$C,0)))</f>
        <v>% of fuel shifted</v>
      </c>
      <c r="P709" s="275"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75" t="str">
        <f>IF(ISBLANK(INDEX('Policy Characteristics'!K:K,MATCH($C709,'Policy Characteristics'!$C:$C,0))),"",INDEX('Policy Characteristics'!K:K,MATCH($C709,'Policy Characteristics'!$C:$C,0)))</f>
        <v>industry-ag-main.html#fuel-switching</v>
      </c>
      <c r="R709" s="275" t="str">
        <f>IF(ISBLANK(INDEX('Policy Characteristics'!L:L,MATCH($C709,'Policy Characteristics'!$C:$C,0))),"",INDEX('Policy Characteristics'!L:L,MATCH($C709,'Policy Characteristics'!$C:$C,0)))</f>
        <v>industry-elec-and-hydrogen.html</v>
      </c>
    </row>
    <row r="710" spans="1:18" x14ac:dyDescent="0.25">
      <c r="A710" s="275" t="str">
        <f>IF(ISBLANK(INDEX('Policy Characteristics'!A:A,MATCH($C710,'Policy Characteristics'!$C:$C,0))),"",INDEX('Policy Characteristics'!A:A,MATCH($C710,'Policy Characteristics'!$C:$C,0)))</f>
        <v>Industry</v>
      </c>
      <c r="B710" s="284" t="str">
        <f>IF(ISBLANK(INDEX('Policy Characteristics'!B:B,MATCH($C710,'Policy Characteristics'!$C:$C,0))),"",INDEX('Policy Characteristics'!B:B,MATCH($C710,'Policy Characteristics'!$C:$C,0)))</f>
        <v>Electrification</v>
      </c>
      <c r="C710" s="275" t="str">
        <f t="shared" si="35"/>
        <v>Fraction of Eligible Industrial Energy Use Shifted to Electricity</v>
      </c>
      <c r="D710" s="6" t="s">
        <v>3087</v>
      </c>
      <c r="E710" s="1" t="s">
        <v>3737</v>
      </c>
      <c r="F710" t="s">
        <v>3049</v>
      </c>
      <c r="G710" s="47" t="s">
        <v>3738</v>
      </c>
      <c r="H710" s="44">
        <v>1977</v>
      </c>
      <c r="I710" s="346" t="s">
        <v>44</v>
      </c>
      <c r="J710" s="276" t="str">
        <f>IF(ISBLANK(INDEX('Policy Characteristics'!D:D,MATCH($C710,'Policy Characteristics'!$C:$C,0))),"",INDEX('Policy Characteristics'!D:D,MATCH($C710,'Policy Characteristics'!$C:$C,0)))</f>
        <v>Electrification</v>
      </c>
      <c r="K710" s="275" t="str">
        <f>IF(ISBLANK(INDEX('Policy Characteristics'!E:E,MATCH($C710,'Policy Characteristics'!$C:$C,0))),"",INDEX('Policy Characteristics'!E:E,MATCH($C710,'Policy Characteristics'!$C:$C,0)))</f>
        <v>indst shift to electricity</v>
      </c>
      <c r="L710" s="283">
        <f>IF(ISBLANK(INDEX('Policy Characteristics'!F:F,MATCH($C710,'Policy Characteristics'!$C:$C,0))),"",INDEX('Policy Characteristics'!F:F,MATCH($C710,'Policy Characteristics'!$C:$C,0)))</f>
        <v>0</v>
      </c>
      <c r="M710" s="283">
        <f>IF(ISBLANK(INDEX('Policy Characteristics'!G:G,MATCH($C710,'Policy Characteristics'!$C:$C,0))),"",INDEX('Policy Characteristics'!G:G,MATCH($C710,'Policy Characteristics'!$C:$C,0)))</f>
        <v>1</v>
      </c>
      <c r="N710" s="283">
        <f>IF(ISBLANK(INDEX('Policy Characteristics'!H:H,MATCH($C710,'Policy Characteristics'!$C:$C,0))),"",INDEX('Policy Characteristics'!H:H,MATCH($C710,'Policy Characteristics'!$C:$C,0)))</f>
        <v>0.01</v>
      </c>
      <c r="O710" s="275" t="str">
        <f>IF(ISBLANK(INDEX('Policy Characteristics'!I:I,MATCH($C710,'Policy Characteristics'!$C:$C,0))),"",INDEX('Policy Characteristics'!I:I,MATCH($C710,'Policy Characteristics'!$C:$C,0)))</f>
        <v>% of fuel shifted</v>
      </c>
      <c r="P710" s="275"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75" t="str">
        <f>IF(ISBLANK(INDEX('Policy Characteristics'!K:K,MATCH($C710,'Policy Characteristics'!$C:$C,0))),"",INDEX('Policy Characteristics'!K:K,MATCH($C710,'Policy Characteristics'!$C:$C,0)))</f>
        <v>industry-ag-main.html#fuel-switching</v>
      </c>
      <c r="R710" s="275" t="str">
        <f>IF(ISBLANK(INDEX('Policy Characteristics'!L:L,MATCH($C710,'Policy Characteristics'!$C:$C,0))),"",INDEX('Policy Characteristics'!L:L,MATCH($C710,'Policy Characteristics'!$C:$C,0)))</f>
        <v>industry-elec-and-hydrogen.html</v>
      </c>
    </row>
    <row r="711" spans="1:18" x14ac:dyDescent="0.25">
      <c r="A711" s="275" t="str">
        <f>IF(ISBLANK(INDEX('Policy Characteristics'!A:A,MATCH($C711,'Policy Characteristics'!$C:$C,0))),"",INDEX('Policy Characteristics'!A:A,MATCH($C711,'Policy Characteristics'!$C:$C,0)))</f>
        <v>Industry</v>
      </c>
      <c r="B711" s="284" t="str">
        <f>IF(ISBLANK(INDEX('Policy Characteristics'!B:B,MATCH($C711,'Policy Characteristics'!$C:$C,0))),"",INDEX('Policy Characteristics'!B:B,MATCH($C711,'Policy Characteristics'!$C:$C,0)))</f>
        <v>Electrification</v>
      </c>
      <c r="C711" s="275" t="str">
        <f t="shared" si="35"/>
        <v>Fraction of Eligible Industrial Energy Use Shifted to Electricity</v>
      </c>
      <c r="D711" s="6" t="s">
        <v>3088</v>
      </c>
      <c r="E711" s="1" t="s">
        <v>3547</v>
      </c>
      <c r="F711" t="s">
        <v>3050</v>
      </c>
      <c r="G711" s="47" t="s">
        <v>3554</v>
      </c>
      <c r="H711" s="44">
        <v>1978</v>
      </c>
      <c r="I711" s="346" t="s">
        <v>43</v>
      </c>
      <c r="J711" s="276" t="str">
        <f>IF(ISBLANK(INDEX('Policy Characteristics'!D:D,MATCH($C711,'Policy Characteristics'!$C:$C,0))),"",INDEX('Policy Characteristics'!D:D,MATCH($C711,'Policy Characteristics'!$C:$C,0)))</f>
        <v>Electrification</v>
      </c>
      <c r="K711" s="275" t="str">
        <f>IF(ISBLANK(INDEX('Policy Characteristics'!E:E,MATCH($C711,'Policy Characteristics'!$C:$C,0))),"",INDEX('Policy Characteristics'!E:E,MATCH($C711,'Policy Characteristics'!$C:$C,0)))</f>
        <v>indst shift to electricity</v>
      </c>
      <c r="L711" s="283">
        <f>IF(ISBLANK(INDEX('Policy Characteristics'!F:F,MATCH($C711,'Policy Characteristics'!$C:$C,0))),"",INDEX('Policy Characteristics'!F:F,MATCH($C711,'Policy Characteristics'!$C:$C,0)))</f>
        <v>0</v>
      </c>
      <c r="M711" s="283">
        <f>IF(ISBLANK(INDEX('Policy Characteristics'!G:G,MATCH($C711,'Policy Characteristics'!$C:$C,0))),"",INDEX('Policy Characteristics'!G:G,MATCH($C711,'Policy Characteristics'!$C:$C,0)))</f>
        <v>1</v>
      </c>
      <c r="N711" s="283">
        <f>IF(ISBLANK(INDEX('Policy Characteristics'!H:H,MATCH($C711,'Policy Characteristics'!$C:$C,0))),"",INDEX('Policy Characteristics'!H:H,MATCH($C711,'Policy Characteristics'!$C:$C,0)))</f>
        <v>0.01</v>
      </c>
      <c r="O711" s="275" t="str">
        <f>IF(ISBLANK(INDEX('Policy Characteristics'!I:I,MATCH($C711,'Policy Characteristics'!$C:$C,0))),"",INDEX('Policy Characteristics'!I:I,MATCH($C711,'Policy Characteristics'!$C:$C,0)))</f>
        <v>% of fuel shifted</v>
      </c>
      <c r="P711" s="275"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75" t="str">
        <f>IF(ISBLANK(INDEX('Policy Characteristics'!K:K,MATCH($C711,'Policy Characteristics'!$C:$C,0))),"",INDEX('Policy Characteristics'!K:K,MATCH($C711,'Policy Characteristics'!$C:$C,0)))</f>
        <v>industry-ag-main.html#fuel-switching</v>
      </c>
      <c r="R711" s="275" t="str">
        <f>IF(ISBLANK(INDEX('Policy Characteristics'!L:L,MATCH($C711,'Policy Characteristics'!$C:$C,0))),"",INDEX('Policy Characteristics'!L:L,MATCH($C711,'Policy Characteristics'!$C:$C,0)))</f>
        <v>industry-elec-and-hydrogen.html</v>
      </c>
    </row>
    <row r="712" spans="1:18" x14ac:dyDescent="0.25">
      <c r="A712" s="275" t="str">
        <f>IF(ISBLANK(INDEX('Policy Characteristics'!A:A,MATCH($C712,'Policy Characteristics'!$C:$C,0))),"",INDEX('Policy Characteristics'!A:A,MATCH($C712,'Policy Characteristics'!$C:$C,0)))</f>
        <v>Industry</v>
      </c>
      <c r="B712" s="284" t="str">
        <f>IF(ISBLANK(INDEX('Policy Characteristics'!B:B,MATCH($C712,'Policy Characteristics'!$C:$C,0))),"",INDEX('Policy Characteristics'!B:B,MATCH($C712,'Policy Characteristics'!$C:$C,0)))</f>
        <v>Electrification</v>
      </c>
      <c r="C712" s="275" t="str">
        <f t="shared" si="35"/>
        <v>Fraction of Eligible Industrial Energy Use Shifted to Electricity</v>
      </c>
      <c r="D712" s="6" t="s">
        <v>3088</v>
      </c>
      <c r="E712" s="1" t="s">
        <v>3548</v>
      </c>
      <c r="F712" t="s">
        <v>3050</v>
      </c>
      <c r="G712" s="47" t="s">
        <v>3555</v>
      </c>
      <c r="H712" s="44">
        <v>1979</v>
      </c>
      <c r="I712" s="346" t="s">
        <v>43</v>
      </c>
      <c r="J712" s="276" t="str">
        <f>IF(ISBLANK(INDEX('Policy Characteristics'!D:D,MATCH($C712,'Policy Characteristics'!$C:$C,0))),"",INDEX('Policy Characteristics'!D:D,MATCH($C712,'Policy Characteristics'!$C:$C,0)))</f>
        <v>Electrification</v>
      </c>
      <c r="K712" s="275" t="str">
        <f>IF(ISBLANK(INDEX('Policy Characteristics'!E:E,MATCH($C712,'Policy Characteristics'!$C:$C,0))),"",INDEX('Policy Characteristics'!E:E,MATCH($C712,'Policy Characteristics'!$C:$C,0)))</f>
        <v>indst shift to electricity</v>
      </c>
      <c r="L712" s="283">
        <f>IF(ISBLANK(INDEX('Policy Characteristics'!F:F,MATCH($C712,'Policy Characteristics'!$C:$C,0))),"",INDEX('Policy Characteristics'!F:F,MATCH($C712,'Policy Characteristics'!$C:$C,0)))</f>
        <v>0</v>
      </c>
      <c r="M712" s="283">
        <f>IF(ISBLANK(INDEX('Policy Characteristics'!G:G,MATCH($C712,'Policy Characteristics'!$C:$C,0))),"",INDEX('Policy Characteristics'!G:G,MATCH($C712,'Policy Characteristics'!$C:$C,0)))</f>
        <v>1</v>
      </c>
      <c r="N712" s="283">
        <f>IF(ISBLANK(INDEX('Policy Characteristics'!H:H,MATCH($C712,'Policy Characteristics'!$C:$C,0))),"",INDEX('Policy Characteristics'!H:H,MATCH($C712,'Policy Characteristics'!$C:$C,0)))</f>
        <v>0.01</v>
      </c>
      <c r="O712" s="275" t="str">
        <f>IF(ISBLANK(INDEX('Policy Characteristics'!I:I,MATCH($C712,'Policy Characteristics'!$C:$C,0))),"",INDEX('Policy Characteristics'!I:I,MATCH($C712,'Policy Characteristics'!$C:$C,0)))</f>
        <v>% of fuel shifted</v>
      </c>
      <c r="P712" s="275"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75" t="str">
        <f>IF(ISBLANK(INDEX('Policy Characteristics'!K:K,MATCH($C712,'Policy Characteristics'!$C:$C,0))),"",INDEX('Policy Characteristics'!K:K,MATCH($C712,'Policy Characteristics'!$C:$C,0)))</f>
        <v>industry-ag-main.html#fuel-switching</v>
      </c>
      <c r="R712" s="275" t="str">
        <f>IF(ISBLANK(INDEX('Policy Characteristics'!L:L,MATCH($C712,'Policy Characteristics'!$C:$C,0))),"",INDEX('Policy Characteristics'!L:L,MATCH($C712,'Policy Characteristics'!$C:$C,0)))</f>
        <v>industry-elec-and-hydrogen.html</v>
      </c>
    </row>
    <row r="713" spans="1:18" x14ac:dyDescent="0.25">
      <c r="A713" s="275" t="str">
        <f>IF(ISBLANK(INDEX('Policy Characteristics'!A:A,MATCH($C713,'Policy Characteristics'!$C:$C,0))),"",INDEX('Policy Characteristics'!A:A,MATCH($C713,'Policy Characteristics'!$C:$C,0)))</f>
        <v>Industry</v>
      </c>
      <c r="B713" s="284" t="str">
        <f>IF(ISBLANK(INDEX('Policy Characteristics'!B:B,MATCH($C713,'Policy Characteristics'!$C:$C,0))),"",INDEX('Policy Characteristics'!B:B,MATCH($C713,'Policy Characteristics'!$C:$C,0)))</f>
        <v>Electrification</v>
      </c>
      <c r="C713" s="275" t="str">
        <f t="shared" si="35"/>
        <v>Fraction of Eligible Industrial Energy Use Shifted to Electricity</v>
      </c>
      <c r="D713" s="6" t="s">
        <v>3088</v>
      </c>
      <c r="E713" s="1" t="s">
        <v>3549</v>
      </c>
      <c r="F713" t="s">
        <v>3050</v>
      </c>
      <c r="G713" s="47" t="s">
        <v>3556</v>
      </c>
      <c r="H713" s="44">
        <v>1980</v>
      </c>
      <c r="I713" s="346" t="s">
        <v>43</v>
      </c>
      <c r="J713" s="276" t="str">
        <f>IF(ISBLANK(INDEX('Policy Characteristics'!D:D,MATCH($C713,'Policy Characteristics'!$C:$C,0))),"",INDEX('Policy Characteristics'!D:D,MATCH($C713,'Policy Characteristics'!$C:$C,0)))</f>
        <v>Electrification</v>
      </c>
      <c r="K713" s="275" t="str">
        <f>IF(ISBLANK(INDEX('Policy Characteristics'!E:E,MATCH($C713,'Policy Characteristics'!$C:$C,0))),"",INDEX('Policy Characteristics'!E:E,MATCH($C713,'Policy Characteristics'!$C:$C,0)))</f>
        <v>indst shift to electricity</v>
      </c>
      <c r="L713" s="283">
        <f>IF(ISBLANK(INDEX('Policy Characteristics'!F:F,MATCH($C713,'Policy Characteristics'!$C:$C,0))),"",INDEX('Policy Characteristics'!F:F,MATCH($C713,'Policy Characteristics'!$C:$C,0)))</f>
        <v>0</v>
      </c>
      <c r="M713" s="283">
        <f>IF(ISBLANK(INDEX('Policy Characteristics'!G:G,MATCH($C713,'Policy Characteristics'!$C:$C,0))),"",INDEX('Policy Characteristics'!G:G,MATCH($C713,'Policy Characteristics'!$C:$C,0)))</f>
        <v>1</v>
      </c>
      <c r="N713" s="283">
        <f>IF(ISBLANK(INDEX('Policy Characteristics'!H:H,MATCH($C713,'Policy Characteristics'!$C:$C,0))),"",INDEX('Policy Characteristics'!H:H,MATCH($C713,'Policy Characteristics'!$C:$C,0)))</f>
        <v>0.01</v>
      </c>
      <c r="O713" s="275" t="str">
        <f>IF(ISBLANK(INDEX('Policy Characteristics'!I:I,MATCH($C713,'Policy Characteristics'!$C:$C,0))),"",INDEX('Policy Characteristics'!I:I,MATCH($C713,'Policy Characteristics'!$C:$C,0)))</f>
        <v>% of fuel shifted</v>
      </c>
      <c r="P713" s="275"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75" t="str">
        <f>IF(ISBLANK(INDEX('Policy Characteristics'!K:K,MATCH($C713,'Policy Characteristics'!$C:$C,0))),"",INDEX('Policy Characteristics'!K:K,MATCH($C713,'Policy Characteristics'!$C:$C,0)))</f>
        <v>industry-ag-main.html#fuel-switching</v>
      </c>
      <c r="R713" s="275" t="str">
        <f>IF(ISBLANK(INDEX('Policy Characteristics'!L:L,MATCH($C713,'Policy Characteristics'!$C:$C,0))),"",INDEX('Policy Characteristics'!L:L,MATCH($C713,'Policy Characteristics'!$C:$C,0)))</f>
        <v>industry-elec-and-hydrogen.html</v>
      </c>
    </row>
    <row r="714" spans="1:18" x14ac:dyDescent="0.25">
      <c r="A714" s="275" t="str">
        <f>IF(ISBLANK(INDEX('Policy Characteristics'!A:A,MATCH($C714,'Policy Characteristics'!$C:$C,0))),"",INDEX('Policy Characteristics'!A:A,MATCH($C714,'Policy Characteristics'!$C:$C,0)))</f>
        <v>Industry</v>
      </c>
      <c r="B714" s="284" t="str">
        <f>IF(ISBLANK(INDEX('Policy Characteristics'!B:B,MATCH($C714,'Policy Characteristics'!$C:$C,0))),"",INDEX('Policy Characteristics'!B:B,MATCH($C714,'Policy Characteristics'!$C:$C,0)))</f>
        <v>Electrification</v>
      </c>
      <c r="C714" s="275" t="str">
        <f t="shared" si="35"/>
        <v>Fraction of Eligible Industrial Energy Use Shifted to Electricity</v>
      </c>
      <c r="D714" s="6" t="s">
        <v>3088</v>
      </c>
      <c r="E714" s="1" t="s">
        <v>3550</v>
      </c>
      <c r="F714" t="s">
        <v>3050</v>
      </c>
      <c r="G714" s="47" t="s">
        <v>3557</v>
      </c>
      <c r="H714" s="44">
        <v>1981</v>
      </c>
      <c r="I714" s="346" t="s">
        <v>43</v>
      </c>
      <c r="J714" s="276" t="str">
        <f>IF(ISBLANK(INDEX('Policy Characteristics'!D:D,MATCH($C714,'Policy Characteristics'!$C:$C,0))),"",INDEX('Policy Characteristics'!D:D,MATCH($C714,'Policy Characteristics'!$C:$C,0)))</f>
        <v>Electrification</v>
      </c>
      <c r="K714" s="275" t="str">
        <f>IF(ISBLANK(INDEX('Policy Characteristics'!E:E,MATCH($C714,'Policy Characteristics'!$C:$C,0))),"",INDEX('Policy Characteristics'!E:E,MATCH($C714,'Policy Characteristics'!$C:$C,0)))</f>
        <v>indst shift to electricity</v>
      </c>
      <c r="L714" s="283">
        <f>IF(ISBLANK(INDEX('Policy Characteristics'!F:F,MATCH($C714,'Policy Characteristics'!$C:$C,0))),"",INDEX('Policy Characteristics'!F:F,MATCH($C714,'Policy Characteristics'!$C:$C,0)))</f>
        <v>0</v>
      </c>
      <c r="M714" s="283">
        <f>IF(ISBLANK(INDEX('Policy Characteristics'!G:G,MATCH($C714,'Policy Characteristics'!$C:$C,0))),"",INDEX('Policy Characteristics'!G:G,MATCH($C714,'Policy Characteristics'!$C:$C,0)))</f>
        <v>1</v>
      </c>
      <c r="N714" s="283">
        <f>IF(ISBLANK(INDEX('Policy Characteristics'!H:H,MATCH($C714,'Policy Characteristics'!$C:$C,0))),"",INDEX('Policy Characteristics'!H:H,MATCH($C714,'Policy Characteristics'!$C:$C,0)))</f>
        <v>0.01</v>
      </c>
      <c r="O714" s="275" t="str">
        <f>IF(ISBLANK(INDEX('Policy Characteristics'!I:I,MATCH($C714,'Policy Characteristics'!$C:$C,0))),"",INDEX('Policy Characteristics'!I:I,MATCH($C714,'Policy Characteristics'!$C:$C,0)))</f>
        <v>% of fuel shifted</v>
      </c>
      <c r="P714" s="275"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75" t="str">
        <f>IF(ISBLANK(INDEX('Policy Characteristics'!K:K,MATCH($C714,'Policy Characteristics'!$C:$C,0))),"",INDEX('Policy Characteristics'!K:K,MATCH($C714,'Policy Characteristics'!$C:$C,0)))</f>
        <v>industry-ag-main.html#fuel-switching</v>
      </c>
      <c r="R714" s="275" t="str">
        <f>IF(ISBLANK(INDEX('Policy Characteristics'!L:L,MATCH($C714,'Policy Characteristics'!$C:$C,0))),"",INDEX('Policy Characteristics'!L:L,MATCH($C714,'Policy Characteristics'!$C:$C,0)))</f>
        <v>industry-elec-and-hydrogen.html</v>
      </c>
    </row>
    <row r="715" spans="1:18" x14ac:dyDescent="0.25">
      <c r="A715" s="275" t="str">
        <f>IF(ISBLANK(INDEX('Policy Characteristics'!A:A,MATCH($C715,'Policy Characteristics'!$C:$C,0))),"",INDEX('Policy Characteristics'!A:A,MATCH($C715,'Policy Characteristics'!$C:$C,0)))</f>
        <v>Industry</v>
      </c>
      <c r="B715" s="284" t="str">
        <f>IF(ISBLANK(INDEX('Policy Characteristics'!B:B,MATCH($C715,'Policy Characteristics'!$C:$C,0))),"",INDEX('Policy Characteristics'!B:B,MATCH($C715,'Policy Characteristics'!$C:$C,0)))</f>
        <v>Electrification</v>
      </c>
      <c r="C715" s="275" t="str">
        <f t="shared" si="35"/>
        <v>Fraction of Eligible Industrial Energy Use Shifted to Electricity</v>
      </c>
      <c r="D715" s="6" t="s">
        <v>3088</v>
      </c>
      <c r="E715" s="1" t="s">
        <v>3551</v>
      </c>
      <c r="F715" t="s">
        <v>3050</v>
      </c>
      <c r="G715" s="47" t="s">
        <v>3558</v>
      </c>
      <c r="H715" s="44">
        <v>1982</v>
      </c>
      <c r="I715" s="346" t="s">
        <v>44</v>
      </c>
      <c r="J715" s="276" t="str">
        <f>IF(ISBLANK(INDEX('Policy Characteristics'!D:D,MATCH($C715,'Policy Characteristics'!$C:$C,0))),"",INDEX('Policy Characteristics'!D:D,MATCH($C715,'Policy Characteristics'!$C:$C,0)))</f>
        <v>Electrification</v>
      </c>
      <c r="K715" s="275" t="str">
        <f>IF(ISBLANK(INDEX('Policy Characteristics'!E:E,MATCH($C715,'Policy Characteristics'!$C:$C,0))),"",INDEX('Policy Characteristics'!E:E,MATCH($C715,'Policy Characteristics'!$C:$C,0)))</f>
        <v>indst shift to electricity</v>
      </c>
      <c r="L715" s="283">
        <f>IF(ISBLANK(INDEX('Policy Characteristics'!F:F,MATCH($C715,'Policy Characteristics'!$C:$C,0))),"",INDEX('Policy Characteristics'!F:F,MATCH($C715,'Policy Characteristics'!$C:$C,0)))</f>
        <v>0</v>
      </c>
      <c r="M715" s="283">
        <f>IF(ISBLANK(INDEX('Policy Characteristics'!G:G,MATCH($C715,'Policy Characteristics'!$C:$C,0))),"",INDEX('Policy Characteristics'!G:G,MATCH($C715,'Policy Characteristics'!$C:$C,0)))</f>
        <v>1</v>
      </c>
      <c r="N715" s="283">
        <f>IF(ISBLANK(INDEX('Policy Characteristics'!H:H,MATCH($C715,'Policy Characteristics'!$C:$C,0))),"",INDEX('Policy Characteristics'!H:H,MATCH($C715,'Policy Characteristics'!$C:$C,0)))</f>
        <v>0.01</v>
      </c>
      <c r="O715" s="275" t="str">
        <f>IF(ISBLANK(INDEX('Policy Characteristics'!I:I,MATCH($C715,'Policy Characteristics'!$C:$C,0))),"",INDEX('Policy Characteristics'!I:I,MATCH($C715,'Policy Characteristics'!$C:$C,0)))</f>
        <v>% of fuel shifted</v>
      </c>
      <c r="P715" s="275"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75" t="str">
        <f>IF(ISBLANK(INDEX('Policy Characteristics'!K:K,MATCH($C715,'Policy Characteristics'!$C:$C,0))),"",INDEX('Policy Characteristics'!K:K,MATCH($C715,'Policy Characteristics'!$C:$C,0)))</f>
        <v>industry-ag-main.html#fuel-switching</v>
      </c>
      <c r="R715" s="275" t="str">
        <f>IF(ISBLANK(INDEX('Policy Characteristics'!L:L,MATCH($C715,'Policy Characteristics'!$C:$C,0))),"",INDEX('Policy Characteristics'!L:L,MATCH($C715,'Policy Characteristics'!$C:$C,0)))</f>
        <v>industry-elec-and-hydrogen.html</v>
      </c>
    </row>
    <row r="716" spans="1:18" x14ac:dyDescent="0.25">
      <c r="A716" s="275" t="str">
        <f>IF(ISBLANK(INDEX('Policy Characteristics'!A:A,MATCH($C716,'Policy Characteristics'!$C:$C,0))),"",INDEX('Policy Characteristics'!A:A,MATCH($C716,'Policy Characteristics'!$C:$C,0)))</f>
        <v>Industry</v>
      </c>
      <c r="B716" s="284" t="str">
        <f>IF(ISBLANK(INDEX('Policy Characteristics'!B:B,MATCH($C716,'Policy Characteristics'!$C:$C,0))),"",INDEX('Policy Characteristics'!B:B,MATCH($C716,'Policy Characteristics'!$C:$C,0)))</f>
        <v>Electrification</v>
      </c>
      <c r="C716" s="275" t="str">
        <f t="shared" si="35"/>
        <v>Fraction of Eligible Industrial Energy Use Shifted to Electricity</v>
      </c>
      <c r="D716" s="6" t="s">
        <v>3088</v>
      </c>
      <c r="E716" s="1" t="s">
        <v>3552</v>
      </c>
      <c r="F716" t="s">
        <v>3050</v>
      </c>
      <c r="G716" s="47" t="s">
        <v>3559</v>
      </c>
      <c r="H716" s="44">
        <v>1983</v>
      </c>
      <c r="I716" s="346" t="s">
        <v>43</v>
      </c>
      <c r="J716" s="276" t="str">
        <f>IF(ISBLANK(INDEX('Policy Characteristics'!D:D,MATCH($C716,'Policy Characteristics'!$C:$C,0))),"",INDEX('Policy Characteristics'!D:D,MATCH($C716,'Policy Characteristics'!$C:$C,0)))</f>
        <v>Electrification</v>
      </c>
      <c r="K716" s="275" t="str">
        <f>IF(ISBLANK(INDEX('Policy Characteristics'!E:E,MATCH($C716,'Policy Characteristics'!$C:$C,0))),"",INDEX('Policy Characteristics'!E:E,MATCH($C716,'Policy Characteristics'!$C:$C,0)))</f>
        <v>indst shift to electricity</v>
      </c>
      <c r="L716" s="283">
        <f>IF(ISBLANK(INDEX('Policy Characteristics'!F:F,MATCH($C716,'Policy Characteristics'!$C:$C,0))),"",INDEX('Policy Characteristics'!F:F,MATCH($C716,'Policy Characteristics'!$C:$C,0)))</f>
        <v>0</v>
      </c>
      <c r="M716" s="283">
        <f>IF(ISBLANK(INDEX('Policy Characteristics'!G:G,MATCH($C716,'Policy Characteristics'!$C:$C,0))),"",INDEX('Policy Characteristics'!G:G,MATCH($C716,'Policy Characteristics'!$C:$C,0)))</f>
        <v>1</v>
      </c>
      <c r="N716" s="283">
        <f>IF(ISBLANK(INDEX('Policy Characteristics'!H:H,MATCH($C716,'Policy Characteristics'!$C:$C,0))),"",INDEX('Policy Characteristics'!H:H,MATCH($C716,'Policy Characteristics'!$C:$C,0)))</f>
        <v>0.01</v>
      </c>
      <c r="O716" s="275" t="str">
        <f>IF(ISBLANK(INDEX('Policy Characteristics'!I:I,MATCH($C716,'Policy Characteristics'!$C:$C,0))),"",INDEX('Policy Characteristics'!I:I,MATCH($C716,'Policy Characteristics'!$C:$C,0)))</f>
        <v>% of fuel shifted</v>
      </c>
      <c r="P716" s="275"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75" t="str">
        <f>IF(ISBLANK(INDEX('Policy Characteristics'!K:K,MATCH($C716,'Policy Characteristics'!$C:$C,0))),"",INDEX('Policy Characteristics'!K:K,MATCH($C716,'Policy Characteristics'!$C:$C,0)))</f>
        <v>industry-ag-main.html#fuel-switching</v>
      </c>
      <c r="R716" s="275" t="str">
        <f>IF(ISBLANK(INDEX('Policy Characteristics'!L:L,MATCH($C716,'Policy Characteristics'!$C:$C,0))),"",INDEX('Policy Characteristics'!L:L,MATCH($C716,'Policy Characteristics'!$C:$C,0)))</f>
        <v>industry-elec-and-hydrogen.html</v>
      </c>
    </row>
    <row r="717" spans="1:18" x14ac:dyDescent="0.25">
      <c r="A717" s="275" t="str">
        <f>IF(ISBLANK(INDEX('Policy Characteristics'!A:A,MATCH($C717,'Policy Characteristics'!$C:$C,0))),"",INDEX('Policy Characteristics'!A:A,MATCH($C717,'Policy Characteristics'!$C:$C,0)))</f>
        <v>Industry</v>
      </c>
      <c r="B717" s="284" t="str">
        <f>IF(ISBLANK(INDEX('Policy Characteristics'!B:B,MATCH($C717,'Policy Characteristics'!$C:$C,0))),"",INDEX('Policy Characteristics'!B:B,MATCH($C717,'Policy Characteristics'!$C:$C,0)))</f>
        <v>Electrification</v>
      </c>
      <c r="C717" s="275" t="str">
        <f t="shared" si="35"/>
        <v>Fraction of Eligible Industrial Energy Use Shifted to Electricity</v>
      </c>
      <c r="D717" s="6" t="s">
        <v>3088</v>
      </c>
      <c r="E717" s="1" t="s">
        <v>3553</v>
      </c>
      <c r="F717" t="s">
        <v>3050</v>
      </c>
      <c r="G717" s="47" t="s">
        <v>3560</v>
      </c>
      <c r="H717" s="44">
        <v>1984</v>
      </c>
      <c r="I717" s="346" t="s">
        <v>44</v>
      </c>
      <c r="J717" s="276" t="str">
        <f>IF(ISBLANK(INDEX('Policy Characteristics'!D:D,MATCH($C717,'Policy Characteristics'!$C:$C,0))),"",INDEX('Policy Characteristics'!D:D,MATCH($C717,'Policy Characteristics'!$C:$C,0)))</f>
        <v>Electrification</v>
      </c>
      <c r="K717" s="275" t="str">
        <f>IF(ISBLANK(INDEX('Policy Characteristics'!E:E,MATCH($C717,'Policy Characteristics'!$C:$C,0))),"",INDEX('Policy Characteristics'!E:E,MATCH($C717,'Policy Characteristics'!$C:$C,0)))</f>
        <v>indst shift to electricity</v>
      </c>
      <c r="L717" s="283">
        <f>IF(ISBLANK(INDEX('Policy Characteristics'!F:F,MATCH($C717,'Policy Characteristics'!$C:$C,0))),"",INDEX('Policy Characteristics'!F:F,MATCH($C717,'Policy Characteristics'!$C:$C,0)))</f>
        <v>0</v>
      </c>
      <c r="M717" s="283">
        <f>IF(ISBLANK(INDEX('Policy Characteristics'!G:G,MATCH($C717,'Policy Characteristics'!$C:$C,0))),"",INDEX('Policy Characteristics'!G:G,MATCH($C717,'Policy Characteristics'!$C:$C,0)))</f>
        <v>1</v>
      </c>
      <c r="N717" s="283">
        <f>IF(ISBLANK(INDEX('Policy Characteristics'!H:H,MATCH($C717,'Policy Characteristics'!$C:$C,0))),"",INDEX('Policy Characteristics'!H:H,MATCH($C717,'Policy Characteristics'!$C:$C,0)))</f>
        <v>0.01</v>
      </c>
      <c r="O717" s="275" t="str">
        <f>IF(ISBLANK(INDEX('Policy Characteristics'!I:I,MATCH($C717,'Policy Characteristics'!$C:$C,0))),"",INDEX('Policy Characteristics'!I:I,MATCH($C717,'Policy Characteristics'!$C:$C,0)))</f>
        <v>% of fuel shifted</v>
      </c>
      <c r="P717" s="275"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75" t="str">
        <f>IF(ISBLANK(INDEX('Policy Characteristics'!K:K,MATCH($C717,'Policy Characteristics'!$C:$C,0))),"",INDEX('Policy Characteristics'!K:K,MATCH($C717,'Policy Characteristics'!$C:$C,0)))</f>
        <v>industry-ag-main.html#fuel-switching</v>
      </c>
      <c r="R717" s="275" t="str">
        <f>IF(ISBLANK(INDEX('Policy Characteristics'!L:L,MATCH($C717,'Policy Characteristics'!$C:$C,0))),"",INDEX('Policy Characteristics'!L:L,MATCH($C717,'Policy Characteristics'!$C:$C,0)))</f>
        <v>industry-elec-and-hydrogen.html</v>
      </c>
    </row>
    <row r="718" spans="1:18" x14ac:dyDescent="0.25">
      <c r="A718" s="275" t="str">
        <f>IF(ISBLANK(INDEX('Policy Characteristics'!A:A,MATCH($C718,'Policy Characteristics'!$C:$C,0))),"",INDEX('Policy Characteristics'!A:A,MATCH($C718,'Policy Characteristics'!$C:$C,0)))</f>
        <v>Industry</v>
      </c>
      <c r="B718" s="284" t="str">
        <f>IF(ISBLANK(INDEX('Policy Characteristics'!B:B,MATCH($C718,'Policy Characteristics'!$C:$C,0))),"",INDEX('Policy Characteristics'!B:B,MATCH($C718,'Policy Characteristics'!$C:$C,0)))</f>
        <v>Electrification</v>
      </c>
      <c r="C718" s="275" t="str">
        <f t="shared" si="35"/>
        <v>Fraction of Eligible Industrial Energy Use Shifted to Electricity</v>
      </c>
      <c r="D718" s="6" t="s">
        <v>3088</v>
      </c>
      <c r="E718" s="1" t="s">
        <v>3737</v>
      </c>
      <c r="F718" t="s">
        <v>3050</v>
      </c>
      <c r="G718" s="47" t="s">
        <v>3738</v>
      </c>
      <c r="H718" s="44">
        <v>1985</v>
      </c>
      <c r="I718" s="346" t="s">
        <v>43</v>
      </c>
      <c r="J718" s="276" t="str">
        <f>IF(ISBLANK(INDEX('Policy Characteristics'!D:D,MATCH($C718,'Policy Characteristics'!$C:$C,0))),"",INDEX('Policy Characteristics'!D:D,MATCH($C718,'Policy Characteristics'!$C:$C,0)))</f>
        <v>Electrification</v>
      </c>
      <c r="K718" s="275" t="str">
        <f>IF(ISBLANK(INDEX('Policy Characteristics'!E:E,MATCH($C718,'Policy Characteristics'!$C:$C,0))),"",INDEX('Policy Characteristics'!E:E,MATCH($C718,'Policy Characteristics'!$C:$C,0)))</f>
        <v>indst shift to electricity</v>
      </c>
      <c r="L718" s="283">
        <f>IF(ISBLANK(INDEX('Policy Characteristics'!F:F,MATCH($C718,'Policy Characteristics'!$C:$C,0))),"",INDEX('Policy Characteristics'!F:F,MATCH($C718,'Policy Characteristics'!$C:$C,0)))</f>
        <v>0</v>
      </c>
      <c r="M718" s="283">
        <f>IF(ISBLANK(INDEX('Policy Characteristics'!G:G,MATCH($C718,'Policy Characteristics'!$C:$C,0))),"",INDEX('Policy Characteristics'!G:G,MATCH($C718,'Policy Characteristics'!$C:$C,0)))</f>
        <v>1</v>
      </c>
      <c r="N718" s="283">
        <f>IF(ISBLANK(INDEX('Policy Characteristics'!H:H,MATCH($C718,'Policy Characteristics'!$C:$C,0))),"",INDEX('Policy Characteristics'!H:H,MATCH($C718,'Policy Characteristics'!$C:$C,0)))</f>
        <v>0.01</v>
      </c>
      <c r="O718" s="275" t="str">
        <f>IF(ISBLANK(INDEX('Policy Characteristics'!I:I,MATCH($C718,'Policy Characteristics'!$C:$C,0))),"",INDEX('Policy Characteristics'!I:I,MATCH($C718,'Policy Characteristics'!$C:$C,0)))</f>
        <v>% of fuel shifted</v>
      </c>
      <c r="P718" s="275"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75" t="str">
        <f>IF(ISBLANK(INDEX('Policy Characteristics'!K:K,MATCH($C718,'Policy Characteristics'!$C:$C,0))),"",INDEX('Policy Characteristics'!K:K,MATCH($C718,'Policy Characteristics'!$C:$C,0)))</f>
        <v>industry-ag-main.html#fuel-switching</v>
      </c>
      <c r="R718" s="275" t="str">
        <f>IF(ISBLANK(INDEX('Policy Characteristics'!L:L,MATCH($C718,'Policy Characteristics'!$C:$C,0))),"",INDEX('Policy Characteristics'!L:L,MATCH($C718,'Policy Characteristics'!$C:$C,0)))</f>
        <v>industry-elec-and-hydrogen.html</v>
      </c>
    </row>
    <row r="719" spans="1:18" x14ac:dyDescent="0.25">
      <c r="A719" s="275" t="str">
        <f>IF(ISBLANK(INDEX('Policy Characteristics'!A:A,MATCH($C719,'Policy Characteristics'!$C:$C,0))),"",INDEX('Policy Characteristics'!A:A,MATCH($C719,'Policy Characteristics'!$C:$C,0)))</f>
        <v>Industry</v>
      </c>
      <c r="B719" s="284" t="str">
        <f>IF(ISBLANK(INDEX('Policy Characteristics'!B:B,MATCH($C719,'Policy Characteristics'!$C:$C,0))),"",INDEX('Policy Characteristics'!B:B,MATCH($C719,'Policy Characteristics'!$C:$C,0)))</f>
        <v>Electrification</v>
      </c>
      <c r="C719" s="275" t="str">
        <f t="shared" si="35"/>
        <v>Fraction of Eligible Industrial Energy Use Shifted to Electricity</v>
      </c>
      <c r="D719" s="6" t="s">
        <v>3089</v>
      </c>
      <c r="E719" s="1" t="s">
        <v>3547</v>
      </c>
      <c r="F719" t="s">
        <v>3051</v>
      </c>
      <c r="G719" s="47" t="s">
        <v>3554</v>
      </c>
      <c r="H719" s="44">
        <v>1986</v>
      </c>
      <c r="I719" s="346" t="s">
        <v>43</v>
      </c>
      <c r="J719" s="276" t="str">
        <f>IF(ISBLANK(INDEX('Policy Characteristics'!D:D,MATCH($C719,'Policy Characteristics'!$C:$C,0))),"",INDEX('Policy Characteristics'!D:D,MATCH($C719,'Policy Characteristics'!$C:$C,0)))</f>
        <v>Electrification</v>
      </c>
      <c r="K719" s="275" t="str">
        <f>IF(ISBLANK(INDEX('Policy Characteristics'!E:E,MATCH($C719,'Policy Characteristics'!$C:$C,0))),"",INDEX('Policy Characteristics'!E:E,MATCH($C719,'Policy Characteristics'!$C:$C,0)))</f>
        <v>indst shift to electricity</v>
      </c>
      <c r="L719" s="283">
        <f>IF(ISBLANK(INDEX('Policy Characteristics'!F:F,MATCH($C719,'Policy Characteristics'!$C:$C,0))),"",INDEX('Policy Characteristics'!F:F,MATCH($C719,'Policy Characteristics'!$C:$C,0)))</f>
        <v>0</v>
      </c>
      <c r="M719" s="283">
        <f>IF(ISBLANK(INDEX('Policy Characteristics'!G:G,MATCH($C719,'Policy Characteristics'!$C:$C,0))),"",INDEX('Policy Characteristics'!G:G,MATCH($C719,'Policy Characteristics'!$C:$C,0)))</f>
        <v>1</v>
      </c>
      <c r="N719" s="283">
        <f>IF(ISBLANK(INDEX('Policy Characteristics'!H:H,MATCH($C719,'Policy Characteristics'!$C:$C,0))),"",INDEX('Policy Characteristics'!H:H,MATCH($C719,'Policy Characteristics'!$C:$C,0)))</f>
        <v>0.01</v>
      </c>
      <c r="O719" s="275" t="str">
        <f>IF(ISBLANK(INDEX('Policy Characteristics'!I:I,MATCH($C719,'Policy Characteristics'!$C:$C,0))),"",INDEX('Policy Characteristics'!I:I,MATCH($C719,'Policy Characteristics'!$C:$C,0)))</f>
        <v>% of fuel shifted</v>
      </c>
      <c r="P719" s="275"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75" t="str">
        <f>IF(ISBLANK(INDEX('Policy Characteristics'!K:K,MATCH($C719,'Policy Characteristics'!$C:$C,0))),"",INDEX('Policy Characteristics'!K:K,MATCH($C719,'Policy Characteristics'!$C:$C,0)))</f>
        <v>industry-ag-main.html#fuel-switching</v>
      </c>
      <c r="R719" s="275" t="str">
        <f>IF(ISBLANK(INDEX('Policy Characteristics'!L:L,MATCH($C719,'Policy Characteristics'!$C:$C,0))),"",INDEX('Policy Characteristics'!L:L,MATCH($C719,'Policy Characteristics'!$C:$C,0)))</f>
        <v>industry-elec-and-hydrogen.html</v>
      </c>
    </row>
    <row r="720" spans="1:18" x14ac:dyDescent="0.25">
      <c r="A720" s="275" t="str">
        <f>IF(ISBLANK(INDEX('Policy Characteristics'!A:A,MATCH($C720,'Policy Characteristics'!$C:$C,0))),"",INDEX('Policy Characteristics'!A:A,MATCH($C720,'Policy Characteristics'!$C:$C,0)))</f>
        <v>Industry</v>
      </c>
      <c r="B720" s="284" t="str">
        <f>IF(ISBLANK(INDEX('Policy Characteristics'!B:B,MATCH($C720,'Policy Characteristics'!$C:$C,0))),"",INDEX('Policy Characteristics'!B:B,MATCH($C720,'Policy Characteristics'!$C:$C,0)))</f>
        <v>Electrification</v>
      </c>
      <c r="C720" s="275" t="str">
        <f t="shared" si="35"/>
        <v>Fraction of Eligible Industrial Energy Use Shifted to Electricity</v>
      </c>
      <c r="D720" s="6" t="s">
        <v>3089</v>
      </c>
      <c r="E720" s="1" t="s">
        <v>3548</v>
      </c>
      <c r="F720" t="s">
        <v>3051</v>
      </c>
      <c r="G720" s="47" t="s">
        <v>3555</v>
      </c>
      <c r="H720" s="44">
        <v>1987</v>
      </c>
      <c r="I720" s="346" t="s">
        <v>43</v>
      </c>
      <c r="J720" s="276" t="str">
        <f>IF(ISBLANK(INDEX('Policy Characteristics'!D:D,MATCH($C720,'Policy Characteristics'!$C:$C,0))),"",INDEX('Policy Characteristics'!D:D,MATCH($C720,'Policy Characteristics'!$C:$C,0)))</f>
        <v>Electrification</v>
      </c>
      <c r="K720" s="275" t="str">
        <f>IF(ISBLANK(INDEX('Policy Characteristics'!E:E,MATCH($C720,'Policy Characteristics'!$C:$C,0))),"",INDEX('Policy Characteristics'!E:E,MATCH($C720,'Policy Characteristics'!$C:$C,0)))</f>
        <v>indst shift to electricity</v>
      </c>
      <c r="L720" s="283">
        <f>IF(ISBLANK(INDEX('Policy Characteristics'!F:F,MATCH($C720,'Policy Characteristics'!$C:$C,0))),"",INDEX('Policy Characteristics'!F:F,MATCH($C720,'Policy Characteristics'!$C:$C,0)))</f>
        <v>0</v>
      </c>
      <c r="M720" s="283">
        <f>IF(ISBLANK(INDEX('Policy Characteristics'!G:G,MATCH($C720,'Policy Characteristics'!$C:$C,0))),"",INDEX('Policy Characteristics'!G:G,MATCH($C720,'Policy Characteristics'!$C:$C,0)))</f>
        <v>1</v>
      </c>
      <c r="N720" s="283">
        <f>IF(ISBLANK(INDEX('Policy Characteristics'!H:H,MATCH($C720,'Policy Characteristics'!$C:$C,0))),"",INDEX('Policy Characteristics'!H:H,MATCH($C720,'Policy Characteristics'!$C:$C,0)))</f>
        <v>0.01</v>
      </c>
      <c r="O720" s="275" t="str">
        <f>IF(ISBLANK(INDEX('Policy Characteristics'!I:I,MATCH($C720,'Policy Characteristics'!$C:$C,0))),"",INDEX('Policy Characteristics'!I:I,MATCH($C720,'Policy Characteristics'!$C:$C,0)))</f>
        <v>% of fuel shifted</v>
      </c>
      <c r="P720" s="275"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75" t="str">
        <f>IF(ISBLANK(INDEX('Policy Characteristics'!K:K,MATCH($C720,'Policy Characteristics'!$C:$C,0))),"",INDEX('Policy Characteristics'!K:K,MATCH($C720,'Policy Characteristics'!$C:$C,0)))</f>
        <v>industry-ag-main.html#fuel-switching</v>
      </c>
      <c r="R720" s="275" t="str">
        <f>IF(ISBLANK(INDEX('Policy Characteristics'!L:L,MATCH($C720,'Policy Characteristics'!$C:$C,0))),"",INDEX('Policy Characteristics'!L:L,MATCH($C720,'Policy Characteristics'!$C:$C,0)))</f>
        <v>industry-elec-and-hydrogen.html</v>
      </c>
    </row>
    <row r="721" spans="1:18" x14ac:dyDescent="0.25">
      <c r="A721" s="275" t="str">
        <f>IF(ISBLANK(INDEX('Policy Characteristics'!A:A,MATCH($C721,'Policy Characteristics'!$C:$C,0))),"",INDEX('Policy Characteristics'!A:A,MATCH($C721,'Policy Characteristics'!$C:$C,0)))</f>
        <v>Industry</v>
      </c>
      <c r="B721" s="284" t="str">
        <f>IF(ISBLANK(INDEX('Policy Characteristics'!B:B,MATCH($C721,'Policy Characteristics'!$C:$C,0))),"",INDEX('Policy Characteristics'!B:B,MATCH($C721,'Policy Characteristics'!$C:$C,0)))</f>
        <v>Electrification</v>
      </c>
      <c r="C721" s="275" t="str">
        <f t="shared" si="35"/>
        <v>Fraction of Eligible Industrial Energy Use Shifted to Electricity</v>
      </c>
      <c r="D721" s="6" t="s">
        <v>3089</v>
      </c>
      <c r="E721" s="1" t="s">
        <v>3549</v>
      </c>
      <c r="F721" t="s">
        <v>3051</v>
      </c>
      <c r="G721" s="47" t="s">
        <v>3556</v>
      </c>
      <c r="H721" s="44">
        <v>1988</v>
      </c>
      <c r="I721" s="346" t="s">
        <v>43</v>
      </c>
      <c r="J721" s="276" t="str">
        <f>IF(ISBLANK(INDEX('Policy Characteristics'!D:D,MATCH($C721,'Policy Characteristics'!$C:$C,0))),"",INDEX('Policy Characteristics'!D:D,MATCH($C721,'Policy Characteristics'!$C:$C,0)))</f>
        <v>Electrification</v>
      </c>
      <c r="K721" s="275" t="str">
        <f>IF(ISBLANK(INDEX('Policy Characteristics'!E:E,MATCH($C721,'Policy Characteristics'!$C:$C,0))),"",INDEX('Policy Characteristics'!E:E,MATCH($C721,'Policy Characteristics'!$C:$C,0)))</f>
        <v>indst shift to electricity</v>
      </c>
      <c r="L721" s="283">
        <f>IF(ISBLANK(INDEX('Policy Characteristics'!F:F,MATCH($C721,'Policy Characteristics'!$C:$C,0))),"",INDEX('Policy Characteristics'!F:F,MATCH($C721,'Policy Characteristics'!$C:$C,0)))</f>
        <v>0</v>
      </c>
      <c r="M721" s="283">
        <f>IF(ISBLANK(INDEX('Policy Characteristics'!G:G,MATCH($C721,'Policy Characteristics'!$C:$C,0))),"",INDEX('Policy Characteristics'!G:G,MATCH($C721,'Policy Characteristics'!$C:$C,0)))</f>
        <v>1</v>
      </c>
      <c r="N721" s="283">
        <f>IF(ISBLANK(INDEX('Policy Characteristics'!H:H,MATCH($C721,'Policy Characteristics'!$C:$C,0))),"",INDEX('Policy Characteristics'!H:H,MATCH($C721,'Policy Characteristics'!$C:$C,0)))</f>
        <v>0.01</v>
      </c>
      <c r="O721" s="275" t="str">
        <f>IF(ISBLANK(INDEX('Policy Characteristics'!I:I,MATCH($C721,'Policy Characteristics'!$C:$C,0))),"",INDEX('Policy Characteristics'!I:I,MATCH($C721,'Policy Characteristics'!$C:$C,0)))</f>
        <v>% of fuel shifted</v>
      </c>
      <c r="P721" s="275"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75" t="str">
        <f>IF(ISBLANK(INDEX('Policy Characteristics'!K:K,MATCH($C721,'Policy Characteristics'!$C:$C,0))),"",INDEX('Policy Characteristics'!K:K,MATCH($C721,'Policy Characteristics'!$C:$C,0)))</f>
        <v>industry-ag-main.html#fuel-switching</v>
      </c>
      <c r="R721" s="275" t="str">
        <f>IF(ISBLANK(INDEX('Policy Characteristics'!L:L,MATCH($C721,'Policy Characteristics'!$C:$C,0))),"",INDEX('Policy Characteristics'!L:L,MATCH($C721,'Policy Characteristics'!$C:$C,0)))</f>
        <v>industry-elec-and-hydrogen.html</v>
      </c>
    </row>
    <row r="722" spans="1:18" x14ac:dyDescent="0.25">
      <c r="A722" s="275" t="str">
        <f>IF(ISBLANK(INDEX('Policy Characteristics'!A:A,MATCH($C722,'Policy Characteristics'!$C:$C,0))),"",INDEX('Policy Characteristics'!A:A,MATCH($C722,'Policy Characteristics'!$C:$C,0)))</f>
        <v>Industry</v>
      </c>
      <c r="B722" s="284" t="str">
        <f>IF(ISBLANK(INDEX('Policy Characteristics'!B:B,MATCH($C722,'Policy Characteristics'!$C:$C,0))),"",INDEX('Policy Characteristics'!B:B,MATCH($C722,'Policy Characteristics'!$C:$C,0)))</f>
        <v>Electrification</v>
      </c>
      <c r="C722" s="275" t="str">
        <f t="shared" si="35"/>
        <v>Fraction of Eligible Industrial Energy Use Shifted to Electricity</v>
      </c>
      <c r="D722" s="6" t="s">
        <v>3089</v>
      </c>
      <c r="E722" s="1" t="s">
        <v>3550</v>
      </c>
      <c r="F722" t="s">
        <v>3051</v>
      </c>
      <c r="G722" s="47" t="s">
        <v>3557</v>
      </c>
      <c r="H722" s="44">
        <v>1989</v>
      </c>
      <c r="I722" s="346" t="s">
        <v>43</v>
      </c>
      <c r="J722" s="276" t="str">
        <f>IF(ISBLANK(INDEX('Policy Characteristics'!D:D,MATCH($C722,'Policy Characteristics'!$C:$C,0))),"",INDEX('Policy Characteristics'!D:D,MATCH($C722,'Policy Characteristics'!$C:$C,0)))</f>
        <v>Electrification</v>
      </c>
      <c r="K722" s="275" t="str">
        <f>IF(ISBLANK(INDEX('Policy Characteristics'!E:E,MATCH($C722,'Policy Characteristics'!$C:$C,0))),"",INDEX('Policy Characteristics'!E:E,MATCH($C722,'Policy Characteristics'!$C:$C,0)))</f>
        <v>indst shift to electricity</v>
      </c>
      <c r="L722" s="283">
        <f>IF(ISBLANK(INDEX('Policy Characteristics'!F:F,MATCH($C722,'Policy Characteristics'!$C:$C,0))),"",INDEX('Policy Characteristics'!F:F,MATCH($C722,'Policy Characteristics'!$C:$C,0)))</f>
        <v>0</v>
      </c>
      <c r="M722" s="283">
        <f>IF(ISBLANK(INDEX('Policy Characteristics'!G:G,MATCH($C722,'Policy Characteristics'!$C:$C,0))),"",INDEX('Policy Characteristics'!G:G,MATCH($C722,'Policy Characteristics'!$C:$C,0)))</f>
        <v>1</v>
      </c>
      <c r="N722" s="283">
        <f>IF(ISBLANK(INDEX('Policy Characteristics'!H:H,MATCH($C722,'Policy Characteristics'!$C:$C,0))),"",INDEX('Policy Characteristics'!H:H,MATCH($C722,'Policy Characteristics'!$C:$C,0)))</f>
        <v>0.01</v>
      </c>
      <c r="O722" s="275" t="str">
        <f>IF(ISBLANK(INDEX('Policy Characteristics'!I:I,MATCH($C722,'Policy Characteristics'!$C:$C,0))),"",INDEX('Policy Characteristics'!I:I,MATCH($C722,'Policy Characteristics'!$C:$C,0)))</f>
        <v>% of fuel shifted</v>
      </c>
      <c r="P722" s="275"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75" t="str">
        <f>IF(ISBLANK(INDEX('Policy Characteristics'!K:K,MATCH($C722,'Policy Characteristics'!$C:$C,0))),"",INDEX('Policy Characteristics'!K:K,MATCH($C722,'Policy Characteristics'!$C:$C,0)))</f>
        <v>industry-ag-main.html#fuel-switching</v>
      </c>
      <c r="R722" s="275" t="str">
        <f>IF(ISBLANK(INDEX('Policy Characteristics'!L:L,MATCH($C722,'Policy Characteristics'!$C:$C,0))),"",INDEX('Policy Characteristics'!L:L,MATCH($C722,'Policy Characteristics'!$C:$C,0)))</f>
        <v>industry-elec-and-hydrogen.html</v>
      </c>
    </row>
    <row r="723" spans="1:18" x14ac:dyDescent="0.25">
      <c r="A723" s="275" t="str">
        <f>IF(ISBLANK(INDEX('Policy Characteristics'!A:A,MATCH($C723,'Policy Characteristics'!$C:$C,0))),"",INDEX('Policy Characteristics'!A:A,MATCH($C723,'Policy Characteristics'!$C:$C,0)))</f>
        <v>Industry</v>
      </c>
      <c r="B723" s="284" t="str">
        <f>IF(ISBLANK(INDEX('Policy Characteristics'!B:B,MATCH($C723,'Policy Characteristics'!$C:$C,0))),"",INDEX('Policy Characteristics'!B:B,MATCH($C723,'Policy Characteristics'!$C:$C,0)))</f>
        <v>Electrification</v>
      </c>
      <c r="C723" s="275" t="str">
        <f t="shared" si="35"/>
        <v>Fraction of Eligible Industrial Energy Use Shifted to Electricity</v>
      </c>
      <c r="D723" s="6" t="s">
        <v>3089</v>
      </c>
      <c r="E723" s="1" t="s">
        <v>3551</v>
      </c>
      <c r="F723" t="s">
        <v>3051</v>
      </c>
      <c r="G723" s="47" t="s">
        <v>3558</v>
      </c>
      <c r="H723" s="44">
        <v>1990</v>
      </c>
      <c r="I723" s="346" t="s">
        <v>44</v>
      </c>
      <c r="J723" s="276" t="str">
        <f>IF(ISBLANK(INDEX('Policy Characteristics'!D:D,MATCH($C723,'Policy Characteristics'!$C:$C,0))),"",INDEX('Policy Characteristics'!D:D,MATCH($C723,'Policy Characteristics'!$C:$C,0)))</f>
        <v>Electrification</v>
      </c>
      <c r="K723" s="275" t="str">
        <f>IF(ISBLANK(INDEX('Policy Characteristics'!E:E,MATCH($C723,'Policy Characteristics'!$C:$C,0))),"",INDEX('Policy Characteristics'!E:E,MATCH($C723,'Policy Characteristics'!$C:$C,0)))</f>
        <v>indst shift to electricity</v>
      </c>
      <c r="L723" s="283">
        <f>IF(ISBLANK(INDEX('Policy Characteristics'!F:F,MATCH($C723,'Policy Characteristics'!$C:$C,0))),"",INDEX('Policy Characteristics'!F:F,MATCH($C723,'Policy Characteristics'!$C:$C,0)))</f>
        <v>0</v>
      </c>
      <c r="M723" s="283">
        <f>IF(ISBLANK(INDEX('Policy Characteristics'!G:G,MATCH($C723,'Policy Characteristics'!$C:$C,0))),"",INDEX('Policy Characteristics'!G:G,MATCH($C723,'Policy Characteristics'!$C:$C,0)))</f>
        <v>1</v>
      </c>
      <c r="N723" s="283">
        <f>IF(ISBLANK(INDEX('Policy Characteristics'!H:H,MATCH($C723,'Policy Characteristics'!$C:$C,0))),"",INDEX('Policy Characteristics'!H:H,MATCH($C723,'Policy Characteristics'!$C:$C,0)))</f>
        <v>0.01</v>
      </c>
      <c r="O723" s="275" t="str">
        <f>IF(ISBLANK(INDEX('Policy Characteristics'!I:I,MATCH($C723,'Policy Characteristics'!$C:$C,0))),"",INDEX('Policy Characteristics'!I:I,MATCH($C723,'Policy Characteristics'!$C:$C,0)))</f>
        <v>% of fuel shifted</v>
      </c>
      <c r="P723" s="275"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75" t="str">
        <f>IF(ISBLANK(INDEX('Policy Characteristics'!K:K,MATCH($C723,'Policy Characteristics'!$C:$C,0))),"",INDEX('Policy Characteristics'!K:K,MATCH($C723,'Policy Characteristics'!$C:$C,0)))</f>
        <v>industry-ag-main.html#fuel-switching</v>
      </c>
      <c r="R723" s="275" t="str">
        <f>IF(ISBLANK(INDEX('Policy Characteristics'!L:L,MATCH($C723,'Policy Characteristics'!$C:$C,0))),"",INDEX('Policy Characteristics'!L:L,MATCH($C723,'Policy Characteristics'!$C:$C,0)))</f>
        <v>industry-elec-and-hydrogen.html</v>
      </c>
    </row>
    <row r="724" spans="1:18" x14ac:dyDescent="0.25">
      <c r="A724" s="275" t="str">
        <f>IF(ISBLANK(INDEX('Policy Characteristics'!A:A,MATCH($C724,'Policy Characteristics'!$C:$C,0))),"",INDEX('Policy Characteristics'!A:A,MATCH($C724,'Policy Characteristics'!$C:$C,0)))</f>
        <v>Industry</v>
      </c>
      <c r="B724" s="284" t="str">
        <f>IF(ISBLANK(INDEX('Policy Characteristics'!B:B,MATCH($C724,'Policy Characteristics'!$C:$C,0))),"",INDEX('Policy Characteristics'!B:B,MATCH($C724,'Policy Characteristics'!$C:$C,0)))</f>
        <v>Electrification</v>
      </c>
      <c r="C724" s="275" t="str">
        <f t="shared" si="35"/>
        <v>Fraction of Eligible Industrial Energy Use Shifted to Electricity</v>
      </c>
      <c r="D724" s="6" t="s">
        <v>3089</v>
      </c>
      <c r="E724" s="1" t="s">
        <v>3552</v>
      </c>
      <c r="F724" t="s">
        <v>3051</v>
      </c>
      <c r="G724" s="47" t="s">
        <v>3559</v>
      </c>
      <c r="H724" s="44">
        <v>1991</v>
      </c>
      <c r="I724" s="346" t="s">
        <v>44</v>
      </c>
      <c r="J724" s="276" t="str">
        <f>IF(ISBLANK(INDEX('Policy Characteristics'!D:D,MATCH($C724,'Policy Characteristics'!$C:$C,0))),"",INDEX('Policy Characteristics'!D:D,MATCH($C724,'Policy Characteristics'!$C:$C,0)))</f>
        <v>Electrification</v>
      </c>
      <c r="K724" s="275" t="str">
        <f>IF(ISBLANK(INDEX('Policy Characteristics'!E:E,MATCH($C724,'Policy Characteristics'!$C:$C,0))),"",INDEX('Policy Characteristics'!E:E,MATCH($C724,'Policy Characteristics'!$C:$C,0)))</f>
        <v>indst shift to electricity</v>
      </c>
      <c r="L724" s="283">
        <f>IF(ISBLANK(INDEX('Policy Characteristics'!F:F,MATCH($C724,'Policy Characteristics'!$C:$C,0))),"",INDEX('Policy Characteristics'!F:F,MATCH($C724,'Policy Characteristics'!$C:$C,0)))</f>
        <v>0</v>
      </c>
      <c r="M724" s="283">
        <f>IF(ISBLANK(INDEX('Policy Characteristics'!G:G,MATCH($C724,'Policy Characteristics'!$C:$C,0))),"",INDEX('Policy Characteristics'!G:G,MATCH($C724,'Policy Characteristics'!$C:$C,0)))</f>
        <v>1</v>
      </c>
      <c r="N724" s="283">
        <f>IF(ISBLANK(INDEX('Policy Characteristics'!H:H,MATCH($C724,'Policy Characteristics'!$C:$C,0))),"",INDEX('Policy Characteristics'!H:H,MATCH($C724,'Policy Characteristics'!$C:$C,0)))</f>
        <v>0.01</v>
      </c>
      <c r="O724" s="275" t="str">
        <f>IF(ISBLANK(INDEX('Policy Characteristics'!I:I,MATCH($C724,'Policy Characteristics'!$C:$C,0))),"",INDEX('Policy Characteristics'!I:I,MATCH($C724,'Policy Characteristics'!$C:$C,0)))</f>
        <v>% of fuel shifted</v>
      </c>
      <c r="P724" s="275"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75" t="str">
        <f>IF(ISBLANK(INDEX('Policy Characteristics'!K:K,MATCH($C724,'Policy Characteristics'!$C:$C,0))),"",INDEX('Policy Characteristics'!K:K,MATCH($C724,'Policy Characteristics'!$C:$C,0)))</f>
        <v>industry-ag-main.html#fuel-switching</v>
      </c>
      <c r="R724" s="275" t="str">
        <f>IF(ISBLANK(INDEX('Policy Characteristics'!L:L,MATCH($C724,'Policy Characteristics'!$C:$C,0))),"",INDEX('Policy Characteristics'!L:L,MATCH($C724,'Policy Characteristics'!$C:$C,0)))</f>
        <v>industry-elec-and-hydrogen.html</v>
      </c>
    </row>
    <row r="725" spans="1:18" x14ac:dyDescent="0.25">
      <c r="A725" s="275" t="str">
        <f>IF(ISBLANK(INDEX('Policy Characteristics'!A:A,MATCH($C725,'Policy Characteristics'!$C:$C,0))),"",INDEX('Policy Characteristics'!A:A,MATCH($C725,'Policy Characteristics'!$C:$C,0)))</f>
        <v>Industry</v>
      </c>
      <c r="B725" s="284" t="str">
        <f>IF(ISBLANK(INDEX('Policy Characteristics'!B:B,MATCH($C725,'Policy Characteristics'!$C:$C,0))),"",INDEX('Policy Characteristics'!B:B,MATCH($C725,'Policy Characteristics'!$C:$C,0)))</f>
        <v>Electrification</v>
      </c>
      <c r="C725" s="275" t="str">
        <f t="shared" si="35"/>
        <v>Fraction of Eligible Industrial Energy Use Shifted to Electricity</v>
      </c>
      <c r="D725" s="6" t="s">
        <v>3089</v>
      </c>
      <c r="E725" s="1" t="s">
        <v>3553</v>
      </c>
      <c r="F725" t="s">
        <v>3051</v>
      </c>
      <c r="G725" s="47" t="s">
        <v>3560</v>
      </c>
      <c r="H725" s="44">
        <v>1992</v>
      </c>
      <c r="I725" s="346" t="s">
        <v>44</v>
      </c>
      <c r="J725" s="276" t="str">
        <f>IF(ISBLANK(INDEX('Policy Characteristics'!D:D,MATCH($C725,'Policy Characteristics'!$C:$C,0))),"",INDEX('Policy Characteristics'!D:D,MATCH($C725,'Policy Characteristics'!$C:$C,0)))</f>
        <v>Electrification</v>
      </c>
      <c r="K725" s="275" t="str">
        <f>IF(ISBLANK(INDEX('Policy Characteristics'!E:E,MATCH($C725,'Policy Characteristics'!$C:$C,0))),"",INDEX('Policy Characteristics'!E:E,MATCH($C725,'Policy Characteristics'!$C:$C,0)))</f>
        <v>indst shift to electricity</v>
      </c>
      <c r="L725" s="283">
        <f>IF(ISBLANK(INDEX('Policy Characteristics'!F:F,MATCH($C725,'Policy Characteristics'!$C:$C,0))),"",INDEX('Policy Characteristics'!F:F,MATCH($C725,'Policy Characteristics'!$C:$C,0)))</f>
        <v>0</v>
      </c>
      <c r="M725" s="283">
        <f>IF(ISBLANK(INDEX('Policy Characteristics'!G:G,MATCH($C725,'Policy Characteristics'!$C:$C,0))),"",INDEX('Policy Characteristics'!G:G,MATCH($C725,'Policy Characteristics'!$C:$C,0)))</f>
        <v>1</v>
      </c>
      <c r="N725" s="283">
        <f>IF(ISBLANK(INDEX('Policy Characteristics'!H:H,MATCH($C725,'Policy Characteristics'!$C:$C,0))),"",INDEX('Policy Characteristics'!H:H,MATCH($C725,'Policy Characteristics'!$C:$C,0)))</f>
        <v>0.01</v>
      </c>
      <c r="O725" s="275" t="str">
        <f>IF(ISBLANK(INDEX('Policy Characteristics'!I:I,MATCH($C725,'Policy Characteristics'!$C:$C,0))),"",INDEX('Policy Characteristics'!I:I,MATCH($C725,'Policy Characteristics'!$C:$C,0)))</f>
        <v>% of fuel shifted</v>
      </c>
      <c r="P725" s="275"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75" t="str">
        <f>IF(ISBLANK(INDEX('Policy Characteristics'!K:K,MATCH($C725,'Policy Characteristics'!$C:$C,0))),"",INDEX('Policy Characteristics'!K:K,MATCH($C725,'Policy Characteristics'!$C:$C,0)))</f>
        <v>industry-ag-main.html#fuel-switching</v>
      </c>
      <c r="R725" s="275" t="str">
        <f>IF(ISBLANK(INDEX('Policy Characteristics'!L:L,MATCH($C725,'Policy Characteristics'!$C:$C,0))),"",INDEX('Policy Characteristics'!L:L,MATCH($C725,'Policy Characteristics'!$C:$C,0)))</f>
        <v>industry-elec-and-hydrogen.html</v>
      </c>
    </row>
    <row r="726" spans="1:18" x14ac:dyDescent="0.25">
      <c r="A726" s="275" t="str">
        <f>IF(ISBLANK(INDEX('Policy Characteristics'!A:A,MATCH($C726,'Policy Characteristics'!$C:$C,0))),"",INDEX('Policy Characteristics'!A:A,MATCH($C726,'Policy Characteristics'!$C:$C,0)))</f>
        <v>Industry</v>
      </c>
      <c r="B726" s="284" t="str">
        <f>IF(ISBLANK(INDEX('Policy Characteristics'!B:B,MATCH($C726,'Policy Characteristics'!$C:$C,0))),"",INDEX('Policy Characteristics'!B:B,MATCH($C726,'Policy Characteristics'!$C:$C,0)))</f>
        <v>Electrification</v>
      </c>
      <c r="C726" s="275" t="str">
        <f t="shared" si="35"/>
        <v>Fraction of Eligible Industrial Energy Use Shifted to Electricity</v>
      </c>
      <c r="D726" s="6" t="s">
        <v>3089</v>
      </c>
      <c r="E726" s="1" t="s">
        <v>3737</v>
      </c>
      <c r="F726" t="s">
        <v>3051</v>
      </c>
      <c r="G726" s="47" t="s">
        <v>3738</v>
      </c>
      <c r="H726" s="44">
        <v>1993</v>
      </c>
      <c r="I726" s="346" t="s">
        <v>43</v>
      </c>
      <c r="J726" s="276" t="str">
        <f>IF(ISBLANK(INDEX('Policy Characteristics'!D:D,MATCH($C726,'Policy Characteristics'!$C:$C,0))),"",INDEX('Policy Characteristics'!D:D,MATCH($C726,'Policy Characteristics'!$C:$C,0)))</f>
        <v>Electrification</v>
      </c>
      <c r="K726" s="275" t="str">
        <f>IF(ISBLANK(INDEX('Policy Characteristics'!E:E,MATCH($C726,'Policy Characteristics'!$C:$C,0))),"",INDEX('Policy Characteristics'!E:E,MATCH($C726,'Policy Characteristics'!$C:$C,0)))</f>
        <v>indst shift to electricity</v>
      </c>
      <c r="L726" s="283">
        <f>IF(ISBLANK(INDEX('Policy Characteristics'!F:F,MATCH($C726,'Policy Characteristics'!$C:$C,0))),"",INDEX('Policy Characteristics'!F:F,MATCH($C726,'Policy Characteristics'!$C:$C,0)))</f>
        <v>0</v>
      </c>
      <c r="M726" s="283">
        <f>IF(ISBLANK(INDEX('Policy Characteristics'!G:G,MATCH($C726,'Policy Characteristics'!$C:$C,0))),"",INDEX('Policy Characteristics'!G:G,MATCH($C726,'Policy Characteristics'!$C:$C,0)))</f>
        <v>1</v>
      </c>
      <c r="N726" s="283">
        <f>IF(ISBLANK(INDEX('Policy Characteristics'!H:H,MATCH($C726,'Policy Characteristics'!$C:$C,0))),"",INDEX('Policy Characteristics'!H:H,MATCH($C726,'Policy Characteristics'!$C:$C,0)))</f>
        <v>0.01</v>
      </c>
      <c r="O726" s="275" t="str">
        <f>IF(ISBLANK(INDEX('Policy Characteristics'!I:I,MATCH($C726,'Policy Characteristics'!$C:$C,0))),"",INDEX('Policy Characteristics'!I:I,MATCH($C726,'Policy Characteristics'!$C:$C,0)))</f>
        <v>% of fuel shifted</v>
      </c>
      <c r="P726" s="275"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75" t="str">
        <f>IF(ISBLANK(INDEX('Policy Characteristics'!K:K,MATCH($C726,'Policy Characteristics'!$C:$C,0))),"",INDEX('Policy Characteristics'!K:K,MATCH($C726,'Policy Characteristics'!$C:$C,0)))</f>
        <v>industry-ag-main.html#fuel-switching</v>
      </c>
      <c r="R726" s="275" t="str">
        <f>IF(ISBLANK(INDEX('Policy Characteristics'!L:L,MATCH($C726,'Policy Characteristics'!$C:$C,0))),"",INDEX('Policy Characteristics'!L:L,MATCH($C726,'Policy Characteristics'!$C:$C,0)))</f>
        <v>industry-elec-and-hydrogen.html</v>
      </c>
    </row>
    <row r="727" spans="1:18" x14ac:dyDescent="0.25">
      <c r="A727" s="275" t="str">
        <f>IF(ISBLANK(INDEX('Policy Characteristics'!A:A,MATCH($C727,'Policy Characteristics'!$C:$C,0))),"",INDEX('Policy Characteristics'!A:A,MATCH($C727,'Policy Characteristics'!$C:$C,0)))</f>
        <v>Industry</v>
      </c>
      <c r="B727" s="284" t="str">
        <f>IF(ISBLANK(INDEX('Policy Characteristics'!B:B,MATCH($C727,'Policy Characteristics'!$C:$C,0))),"",INDEX('Policy Characteristics'!B:B,MATCH($C727,'Policy Characteristics'!$C:$C,0)))</f>
        <v>Electrification</v>
      </c>
      <c r="C727" s="275" t="str">
        <f t="shared" si="35"/>
        <v>Fraction of Eligible Industrial Energy Use Shifted to Electricity</v>
      </c>
      <c r="D727" s="6" t="s">
        <v>3090</v>
      </c>
      <c r="E727" s="1" t="s">
        <v>3547</v>
      </c>
      <c r="F727" t="s">
        <v>3052</v>
      </c>
      <c r="G727" s="47" t="s">
        <v>3554</v>
      </c>
      <c r="H727" s="44">
        <v>1994</v>
      </c>
      <c r="I727" s="346" t="s">
        <v>43</v>
      </c>
      <c r="J727" s="276" t="str">
        <f>IF(ISBLANK(INDEX('Policy Characteristics'!D:D,MATCH($C727,'Policy Characteristics'!$C:$C,0))),"",INDEX('Policy Characteristics'!D:D,MATCH($C727,'Policy Characteristics'!$C:$C,0)))</f>
        <v>Electrification</v>
      </c>
      <c r="K727" s="275" t="str">
        <f>IF(ISBLANK(INDEX('Policy Characteristics'!E:E,MATCH($C727,'Policy Characteristics'!$C:$C,0))),"",INDEX('Policy Characteristics'!E:E,MATCH($C727,'Policy Characteristics'!$C:$C,0)))</f>
        <v>indst shift to electricity</v>
      </c>
      <c r="L727" s="283">
        <f>IF(ISBLANK(INDEX('Policy Characteristics'!F:F,MATCH($C727,'Policy Characteristics'!$C:$C,0))),"",INDEX('Policy Characteristics'!F:F,MATCH($C727,'Policy Characteristics'!$C:$C,0)))</f>
        <v>0</v>
      </c>
      <c r="M727" s="283">
        <f>IF(ISBLANK(INDEX('Policy Characteristics'!G:G,MATCH($C727,'Policy Characteristics'!$C:$C,0))),"",INDEX('Policy Characteristics'!G:G,MATCH($C727,'Policy Characteristics'!$C:$C,0)))</f>
        <v>1</v>
      </c>
      <c r="N727" s="283">
        <f>IF(ISBLANK(INDEX('Policy Characteristics'!H:H,MATCH($C727,'Policy Characteristics'!$C:$C,0))),"",INDEX('Policy Characteristics'!H:H,MATCH($C727,'Policy Characteristics'!$C:$C,0)))</f>
        <v>0.01</v>
      </c>
      <c r="O727" s="275" t="str">
        <f>IF(ISBLANK(INDEX('Policy Characteristics'!I:I,MATCH($C727,'Policy Characteristics'!$C:$C,0))),"",INDEX('Policy Characteristics'!I:I,MATCH($C727,'Policy Characteristics'!$C:$C,0)))</f>
        <v>% of fuel shifted</v>
      </c>
      <c r="P727" s="275"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75" t="str">
        <f>IF(ISBLANK(INDEX('Policy Characteristics'!K:K,MATCH($C727,'Policy Characteristics'!$C:$C,0))),"",INDEX('Policy Characteristics'!K:K,MATCH($C727,'Policy Characteristics'!$C:$C,0)))</f>
        <v>industry-ag-main.html#fuel-switching</v>
      </c>
      <c r="R727" s="275" t="str">
        <f>IF(ISBLANK(INDEX('Policy Characteristics'!L:L,MATCH($C727,'Policy Characteristics'!$C:$C,0))),"",INDEX('Policy Characteristics'!L:L,MATCH($C727,'Policy Characteristics'!$C:$C,0)))</f>
        <v>industry-elec-and-hydrogen.html</v>
      </c>
    </row>
    <row r="728" spans="1:18" x14ac:dyDescent="0.25">
      <c r="A728" s="275" t="str">
        <f>IF(ISBLANK(INDEX('Policy Characteristics'!A:A,MATCH($C728,'Policy Characteristics'!$C:$C,0))),"",INDEX('Policy Characteristics'!A:A,MATCH($C728,'Policy Characteristics'!$C:$C,0)))</f>
        <v>Industry</v>
      </c>
      <c r="B728" s="284" t="str">
        <f>IF(ISBLANK(INDEX('Policy Characteristics'!B:B,MATCH($C728,'Policy Characteristics'!$C:$C,0))),"",INDEX('Policy Characteristics'!B:B,MATCH($C728,'Policy Characteristics'!$C:$C,0)))</f>
        <v>Electrification</v>
      </c>
      <c r="C728" s="275" t="str">
        <f t="shared" si="35"/>
        <v>Fraction of Eligible Industrial Energy Use Shifted to Electricity</v>
      </c>
      <c r="D728" s="6" t="s">
        <v>3090</v>
      </c>
      <c r="E728" s="1" t="s">
        <v>3548</v>
      </c>
      <c r="F728" t="s">
        <v>3052</v>
      </c>
      <c r="G728" s="47" t="s">
        <v>3555</v>
      </c>
      <c r="H728" s="44">
        <v>1995</v>
      </c>
      <c r="I728" s="346" t="s">
        <v>43</v>
      </c>
      <c r="J728" s="276" t="str">
        <f>IF(ISBLANK(INDEX('Policy Characteristics'!D:D,MATCH($C728,'Policy Characteristics'!$C:$C,0))),"",INDEX('Policy Characteristics'!D:D,MATCH($C728,'Policy Characteristics'!$C:$C,0)))</f>
        <v>Electrification</v>
      </c>
      <c r="K728" s="275" t="str">
        <f>IF(ISBLANK(INDEX('Policy Characteristics'!E:E,MATCH($C728,'Policy Characteristics'!$C:$C,0))),"",INDEX('Policy Characteristics'!E:E,MATCH($C728,'Policy Characteristics'!$C:$C,0)))</f>
        <v>indst shift to electricity</v>
      </c>
      <c r="L728" s="283">
        <f>IF(ISBLANK(INDEX('Policy Characteristics'!F:F,MATCH($C728,'Policy Characteristics'!$C:$C,0))),"",INDEX('Policy Characteristics'!F:F,MATCH($C728,'Policy Characteristics'!$C:$C,0)))</f>
        <v>0</v>
      </c>
      <c r="M728" s="283">
        <f>IF(ISBLANK(INDEX('Policy Characteristics'!G:G,MATCH($C728,'Policy Characteristics'!$C:$C,0))),"",INDEX('Policy Characteristics'!G:G,MATCH($C728,'Policy Characteristics'!$C:$C,0)))</f>
        <v>1</v>
      </c>
      <c r="N728" s="283">
        <f>IF(ISBLANK(INDEX('Policy Characteristics'!H:H,MATCH($C728,'Policy Characteristics'!$C:$C,0))),"",INDEX('Policy Characteristics'!H:H,MATCH($C728,'Policy Characteristics'!$C:$C,0)))</f>
        <v>0.01</v>
      </c>
      <c r="O728" s="275" t="str">
        <f>IF(ISBLANK(INDEX('Policy Characteristics'!I:I,MATCH($C728,'Policy Characteristics'!$C:$C,0))),"",INDEX('Policy Characteristics'!I:I,MATCH($C728,'Policy Characteristics'!$C:$C,0)))</f>
        <v>% of fuel shifted</v>
      </c>
      <c r="P728" s="275"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75" t="str">
        <f>IF(ISBLANK(INDEX('Policy Characteristics'!K:K,MATCH($C728,'Policy Characteristics'!$C:$C,0))),"",INDEX('Policy Characteristics'!K:K,MATCH($C728,'Policy Characteristics'!$C:$C,0)))</f>
        <v>industry-ag-main.html#fuel-switching</v>
      </c>
      <c r="R728" s="275" t="str">
        <f>IF(ISBLANK(INDEX('Policy Characteristics'!L:L,MATCH($C728,'Policy Characteristics'!$C:$C,0))),"",INDEX('Policy Characteristics'!L:L,MATCH($C728,'Policy Characteristics'!$C:$C,0)))</f>
        <v>industry-elec-and-hydrogen.html</v>
      </c>
    </row>
    <row r="729" spans="1:18" x14ac:dyDescent="0.25">
      <c r="A729" s="275" t="str">
        <f>IF(ISBLANK(INDEX('Policy Characteristics'!A:A,MATCH($C729,'Policy Characteristics'!$C:$C,0))),"",INDEX('Policy Characteristics'!A:A,MATCH($C729,'Policy Characteristics'!$C:$C,0)))</f>
        <v>Industry</v>
      </c>
      <c r="B729" s="284" t="str">
        <f>IF(ISBLANK(INDEX('Policy Characteristics'!B:B,MATCH($C729,'Policy Characteristics'!$C:$C,0))),"",INDEX('Policy Characteristics'!B:B,MATCH($C729,'Policy Characteristics'!$C:$C,0)))</f>
        <v>Electrification</v>
      </c>
      <c r="C729" s="275" t="str">
        <f t="shared" si="35"/>
        <v>Fraction of Eligible Industrial Energy Use Shifted to Electricity</v>
      </c>
      <c r="D729" s="6" t="s">
        <v>3090</v>
      </c>
      <c r="E729" s="1" t="s">
        <v>3549</v>
      </c>
      <c r="F729" t="s">
        <v>3052</v>
      </c>
      <c r="G729" s="47" t="s">
        <v>3556</v>
      </c>
      <c r="H729" s="44">
        <v>1996</v>
      </c>
      <c r="I729" s="346" t="s">
        <v>43</v>
      </c>
      <c r="J729" s="276" t="str">
        <f>IF(ISBLANK(INDEX('Policy Characteristics'!D:D,MATCH($C729,'Policy Characteristics'!$C:$C,0))),"",INDEX('Policy Characteristics'!D:D,MATCH($C729,'Policy Characteristics'!$C:$C,0)))</f>
        <v>Electrification</v>
      </c>
      <c r="K729" s="275" t="str">
        <f>IF(ISBLANK(INDEX('Policy Characteristics'!E:E,MATCH($C729,'Policy Characteristics'!$C:$C,0))),"",INDEX('Policy Characteristics'!E:E,MATCH($C729,'Policy Characteristics'!$C:$C,0)))</f>
        <v>indst shift to electricity</v>
      </c>
      <c r="L729" s="283">
        <f>IF(ISBLANK(INDEX('Policy Characteristics'!F:F,MATCH($C729,'Policy Characteristics'!$C:$C,0))),"",INDEX('Policy Characteristics'!F:F,MATCH($C729,'Policy Characteristics'!$C:$C,0)))</f>
        <v>0</v>
      </c>
      <c r="M729" s="283">
        <f>IF(ISBLANK(INDEX('Policy Characteristics'!G:G,MATCH($C729,'Policy Characteristics'!$C:$C,0))),"",INDEX('Policy Characteristics'!G:G,MATCH($C729,'Policy Characteristics'!$C:$C,0)))</f>
        <v>1</v>
      </c>
      <c r="N729" s="283">
        <f>IF(ISBLANK(INDEX('Policy Characteristics'!H:H,MATCH($C729,'Policy Characteristics'!$C:$C,0))),"",INDEX('Policy Characteristics'!H:H,MATCH($C729,'Policy Characteristics'!$C:$C,0)))</f>
        <v>0.01</v>
      </c>
      <c r="O729" s="275" t="str">
        <f>IF(ISBLANK(INDEX('Policy Characteristics'!I:I,MATCH($C729,'Policy Characteristics'!$C:$C,0))),"",INDEX('Policy Characteristics'!I:I,MATCH($C729,'Policy Characteristics'!$C:$C,0)))</f>
        <v>% of fuel shifted</v>
      </c>
      <c r="P729" s="275"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75" t="str">
        <f>IF(ISBLANK(INDEX('Policy Characteristics'!K:K,MATCH($C729,'Policy Characteristics'!$C:$C,0))),"",INDEX('Policy Characteristics'!K:K,MATCH($C729,'Policy Characteristics'!$C:$C,0)))</f>
        <v>industry-ag-main.html#fuel-switching</v>
      </c>
      <c r="R729" s="275" t="str">
        <f>IF(ISBLANK(INDEX('Policy Characteristics'!L:L,MATCH($C729,'Policy Characteristics'!$C:$C,0))),"",INDEX('Policy Characteristics'!L:L,MATCH($C729,'Policy Characteristics'!$C:$C,0)))</f>
        <v>industry-elec-and-hydrogen.html</v>
      </c>
    </row>
    <row r="730" spans="1:18" x14ac:dyDescent="0.25">
      <c r="A730" s="275" t="str">
        <f>IF(ISBLANK(INDEX('Policy Characteristics'!A:A,MATCH($C730,'Policy Characteristics'!$C:$C,0))),"",INDEX('Policy Characteristics'!A:A,MATCH($C730,'Policy Characteristics'!$C:$C,0)))</f>
        <v>Industry</v>
      </c>
      <c r="B730" s="284" t="str">
        <f>IF(ISBLANK(INDEX('Policy Characteristics'!B:B,MATCH($C730,'Policy Characteristics'!$C:$C,0))),"",INDEX('Policy Characteristics'!B:B,MATCH($C730,'Policy Characteristics'!$C:$C,0)))</f>
        <v>Electrification</v>
      </c>
      <c r="C730" s="275" t="str">
        <f t="shared" si="35"/>
        <v>Fraction of Eligible Industrial Energy Use Shifted to Electricity</v>
      </c>
      <c r="D730" s="6" t="s">
        <v>3090</v>
      </c>
      <c r="E730" s="1" t="s">
        <v>3550</v>
      </c>
      <c r="F730" t="s">
        <v>3052</v>
      </c>
      <c r="G730" s="47" t="s">
        <v>3557</v>
      </c>
      <c r="H730" s="44">
        <v>1997</v>
      </c>
      <c r="I730" s="346" t="s">
        <v>43</v>
      </c>
      <c r="J730" s="276" t="str">
        <f>IF(ISBLANK(INDEX('Policy Characteristics'!D:D,MATCH($C730,'Policy Characteristics'!$C:$C,0))),"",INDEX('Policy Characteristics'!D:D,MATCH($C730,'Policy Characteristics'!$C:$C,0)))</f>
        <v>Electrification</v>
      </c>
      <c r="K730" s="275" t="str">
        <f>IF(ISBLANK(INDEX('Policy Characteristics'!E:E,MATCH($C730,'Policy Characteristics'!$C:$C,0))),"",INDEX('Policy Characteristics'!E:E,MATCH($C730,'Policy Characteristics'!$C:$C,0)))</f>
        <v>indst shift to electricity</v>
      </c>
      <c r="L730" s="283">
        <f>IF(ISBLANK(INDEX('Policy Characteristics'!F:F,MATCH($C730,'Policy Characteristics'!$C:$C,0))),"",INDEX('Policy Characteristics'!F:F,MATCH($C730,'Policy Characteristics'!$C:$C,0)))</f>
        <v>0</v>
      </c>
      <c r="M730" s="283">
        <f>IF(ISBLANK(INDEX('Policy Characteristics'!G:G,MATCH($C730,'Policy Characteristics'!$C:$C,0))),"",INDEX('Policy Characteristics'!G:G,MATCH($C730,'Policy Characteristics'!$C:$C,0)))</f>
        <v>1</v>
      </c>
      <c r="N730" s="283">
        <f>IF(ISBLANK(INDEX('Policy Characteristics'!H:H,MATCH($C730,'Policy Characteristics'!$C:$C,0))),"",INDEX('Policy Characteristics'!H:H,MATCH($C730,'Policy Characteristics'!$C:$C,0)))</f>
        <v>0.01</v>
      </c>
      <c r="O730" s="275" t="str">
        <f>IF(ISBLANK(INDEX('Policy Characteristics'!I:I,MATCH($C730,'Policy Characteristics'!$C:$C,0))),"",INDEX('Policy Characteristics'!I:I,MATCH($C730,'Policy Characteristics'!$C:$C,0)))</f>
        <v>% of fuel shifted</v>
      </c>
      <c r="P730" s="275"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75" t="str">
        <f>IF(ISBLANK(INDEX('Policy Characteristics'!K:K,MATCH($C730,'Policy Characteristics'!$C:$C,0))),"",INDEX('Policy Characteristics'!K:K,MATCH($C730,'Policy Characteristics'!$C:$C,0)))</f>
        <v>industry-ag-main.html#fuel-switching</v>
      </c>
      <c r="R730" s="275" t="str">
        <f>IF(ISBLANK(INDEX('Policy Characteristics'!L:L,MATCH($C730,'Policy Characteristics'!$C:$C,0))),"",INDEX('Policy Characteristics'!L:L,MATCH($C730,'Policy Characteristics'!$C:$C,0)))</f>
        <v>industry-elec-and-hydrogen.html</v>
      </c>
    </row>
    <row r="731" spans="1:18" x14ac:dyDescent="0.25">
      <c r="A731" s="275" t="str">
        <f>IF(ISBLANK(INDEX('Policy Characteristics'!A:A,MATCH($C731,'Policy Characteristics'!$C:$C,0))),"",INDEX('Policy Characteristics'!A:A,MATCH($C731,'Policy Characteristics'!$C:$C,0)))</f>
        <v>Industry</v>
      </c>
      <c r="B731" s="284" t="str">
        <f>IF(ISBLANK(INDEX('Policy Characteristics'!B:B,MATCH($C731,'Policy Characteristics'!$C:$C,0))),"",INDEX('Policy Characteristics'!B:B,MATCH($C731,'Policy Characteristics'!$C:$C,0)))</f>
        <v>Electrification</v>
      </c>
      <c r="C731" s="275" t="str">
        <f t="shared" si="35"/>
        <v>Fraction of Eligible Industrial Energy Use Shifted to Electricity</v>
      </c>
      <c r="D731" s="6" t="s">
        <v>3090</v>
      </c>
      <c r="E731" s="1" t="s">
        <v>3551</v>
      </c>
      <c r="F731" t="s">
        <v>3052</v>
      </c>
      <c r="G731" s="47" t="s">
        <v>3558</v>
      </c>
      <c r="H731" s="44">
        <v>1998</v>
      </c>
      <c r="I731" s="346" t="s">
        <v>44</v>
      </c>
      <c r="J731" s="276" t="str">
        <f>IF(ISBLANK(INDEX('Policy Characteristics'!D:D,MATCH($C731,'Policy Characteristics'!$C:$C,0))),"",INDEX('Policy Characteristics'!D:D,MATCH($C731,'Policy Characteristics'!$C:$C,0)))</f>
        <v>Electrification</v>
      </c>
      <c r="K731" s="275" t="str">
        <f>IF(ISBLANK(INDEX('Policy Characteristics'!E:E,MATCH($C731,'Policy Characteristics'!$C:$C,0))),"",INDEX('Policy Characteristics'!E:E,MATCH($C731,'Policy Characteristics'!$C:$C,0)))</f>
        <v>indst shift to electricity</v>
      </c>
      <c r="L731" s="283">
        <f>IF(ISBLANK(INDEX('Policy Characteristics'!F:F,MATCH($C731,'Policy Characteristics'!$C:$C,0))),"",INDEX('Policy Characteristics'!F:F,MATCH($C731,'Policy Characteristics'!$C:$C,0)))</f>
        <v>0</v>
      </c>
      <c r="M731" s="283">
        <f>IF(ISBLANK(INDEX('Policy Characteristics'!G:G,MATCH($C731,'Policy Characteristics'!$C:$C,0))),"",INDEX('Policy Characteristics'!G:G,MATCH($C731,'Policy Characteristics'!$C:$C,0)))</f>
        <v>1</v>
      </c>
      <c r="N731" s="283">
        <f>IF(ISBLANK(INDEX('Policy Characteristics'!H:H,MATCH($C731,'Policy Characteristics'!$C:$C,0))),"",INDEX('Policy Characteristics'!H:H,MATCH($C731,'Policy Characteristics'!$C:$C,0)))</f>
        <v>0.01</v>
      </c>
      <c r="O731" s="275" t="str">
        <f>IF(ISBLANK(INDEX('Policy Characteristics'!I:I,MATCH($C731,'Policy Characteristics'!$C:$C,0))),"",INDEX('Policy Characteristics'!I:I,MATCH($C731,'Policy Characteristics'!$C:$C,0)))</f>
        <v>% of fuel shifted</v>
      </c>
      <c r="P731" s="275"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75" t="str">
        <f>IF(ISBLANK(INDEX('Policy Characteristics'!K:K,MATCH($C731,'Policy Characteristics'!$C:$C,0))),"",INDEX('Policy Characteristics'!K:K,MATCH($C731,'Policy Characteristics'!$C:$C,0)))</f>
        <v>industry-ag-main.html#fuel-switching</v>
      </c>
      <c r="R731" s="275" t="str">
        <f>IF(ISBLANK(INDEX('Policy Characteristics'!L:L,MATCH($C731,'Policy Characteristics'!$C:$C,0))),"",INDEX('Policy Characteristics'!L:L,MATCH($C731,'Policy Characteristics'!$C:$C,0)))</f>
        <v>industry-elec-and-hydrogen.html</v>
      </c>
    </row>
    <row r="732" spans="1:18" x14ac:dyDescent="0.25">
      <c r="A732" s="275" t="str">
        <f>IF(ISBLANK(INDEX('Policy Characteristics'!A:A,MATCH($C732,'Policy Characteristics'!$C:$C,0))),"",INDEX('Policy Characteristics'!A:A,MATCH($C732,'Policy Characteristics'!$C:$C,0)))</f>
        <v>Industry</v>
      </c>
      <c r="B732" s="284" t="str">
        <f>IF(ISBLANK(INDEX('Policy Characteristics'!B:B,MATCH($C732,'Policy Characteristics'!$C:$C,0))),"",INDEX('Policy Characteristics'!B:B,MATCH($C732,'Policy Characteristics'!$C:$C,0)))</f>
        <v>Electrification</v>
      </c>
      <c r="C732" s="275" t="str">
        <f t="shared" si="35"/>
        <v>Fraction of Eligible Industrial Energy Use Shifted to Electricity</v>
      </c>
      <c r="D732" s="6" t="s">
        <v>3090</v>
      </c>
      <c r="E732" s="1" t="s">
        <v>3552</v>
      </c>
      <c r="F732" t="s">
        <v>3052</v>
      </c>
      <c r="G732" s="47" t="s">
        <v>3559</v>
      </c>
      <c r="H732" s="44">
        <v>1999</v>
      </c>
      <c r="I732" s="346" t="s">
        <v>43</v>
      </c>
      <c r="J732" s="276" t="str">
        <f>IF(ISBLANK(INDEX('Policy Characteristics'!D:D,MATCH($C732,'Policy Characteristics'!$C:$C,0))),"",INDEX('Policy Characteristics'!D:D,MATCH($C732,'Policy Characteristics'!$C:$C,0)))</f>
        <v>Electrification</v>
      </c>
      <c r="K732" s="275" t="str">
        <f>IF(ISBLANK(INDEX('Policy Characteristics'!E:E,MATCH($C732,'Policy Characteristics'!$C:$C,0))),"",INDEX('Policy Characteristics'!E:E,MATCH($C732,'Policy Characteristics'!$C:$C,0)))</f>
        <v>indst shift to electricity</v>
      </c>
      <c r="L732" s="283">
        <f>IF(ISBLANK(INDEX('Policy Characteristics'!F:F,MATCH($C732,'Policy Characteristics'!$C:$C,0))),"",INDEX('Policy Characteristics'!F:F,MATCH($C732,'Policy Characteristics'!$C:$C,0)))</f>
        <v>0</v>
      </c>
      <c r="M732" s="283">
        <f>IF(ISBLANK(INDEX('Policy Characteristics'!G:G,MATCH($C732,'Policy Characteristics'!$C:$C,0))),"",INDEX('Policy Characteristics'!G:G,MATCH($C732,'Policy Characteristics'!$C:$C,0)))</f>
        <v>1</v>
      </c>
      <c r="N732" s="283">
        <f>IF(ISBLANK(INDEX('Policy Characteristics'!H:H,MATCH($C732,'Policy Characteristics'!$C:$C,0))),"",INDEX('Policy Characteristics'!H:H,MATCH($C732,'Policy Characteristics'!$C:$C,0)))</f>
        <v>0.01</v>
      </c>
      <c r="O732" s="275" t="str">
        <f>IF(ISBLANK(INDEX('Policy Characteristics'!I:I,MATCH($C732,'Policy Characteristics'!$C:$C,0))),"",INDEX('Policy Characteristics'!I:I,MATCH($C732,'Policy Characteristics'!$C:$C,0)))</f>
        <v>% of fuel shifted</v>
      </c>
      <c r="P732" s="275"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75" t="str">
        <f>IF(ISBLANK(INDEX('Policy Characteristics'!K:K,MATCH($C732,'Policy Characteristics'!$C:$C,0))),"",INDEX('Policy Characteristics'!K:K,MATCH($C732,'Policy Characteristics'!$C:$C,0)))</f>
        <v>industry-ag-main.html#fuel-switching</v>
      </c>
      <c r="R732" s="275" t="str">
        <f>IF(ISBLANK(INDEX('Policy Characteristics'!L:L,MATCH($C732,'Policy Characteristics'!$C:$C,0))),"",INDEX('Policy Characteristics'!L:L,MATCH($C732,'Policy Characteristics'!$C:$C,0)))</f>
        <v>industry-elec-and-hydrogen.html</v>
      </c>
    </row>
    <row r="733" spans="1:18" x14ac:dyDescent="0.25">
      <c r="A733" s="275" t="str">
        <f>IF(ISBLANK(INDEX('Policy Characteristics'!A:A,MATCH($C733,'Policy Characteristics'!$C:$C,0))),"",INDEX('Policy Characteristics'!A:A,MATCH($C733,'Policy Characteristics'!$C:$C,0)))</f>
        <v>Industry</v>
      </c>
      <c r="B733" s="284" t="str">
        <f>IF(ISBLANK(INDEX('Policy Characteristics'!B:B,MATCH($C733,'Policy Characteristics'!$C:$C,0))),"",INDEX('Policy Characteristics'!B:B,MATCH($C733,'Policy Characteristics'!$C:$C,0)))</f>
        <v>Electrification</v>
      </c>
      <c r="C733" s="275" t="str">
        <f t="shared" si="35"/>
        <v>Fraction of Eligible Industrial Energy Use Shifted to Electricity</v>
      </c>
      <c r="D733" s="6" t="s">
        <v>3090</v>
      </c>
      <c r="E733" s="1" t="s">
        <v>3553</v>
      </c>
      <c r="F733" t="s">
        <v>3052</v>
      </c>
      <c r="G733" s="47" t="s">
        <v>3560</v>
      </c>
      <c r="H733" s="44">
        <v>2000</v>
      </c>
      <c r="I733" s="346" t="s">
        <v>44</v>
      </c>
      <c r="J733" s="276" t="str">
        <f>IF(ISBLANK(INDEX('Policy Characteristics'!D:D,MATCH($C733,'Policy Characteristics'!$C:$C,0))),"",INDEX('Policy Characteristics'!D:D,MATCH($C733,'Policy Characteristics'!$C:$C,0)))</f>
        <v>Electrification</v>
      </c>
      <c r="K733" s="275" t="str">
        <f>IF(ISBLANK(INDEX('Policy Characteristics'!E:E,MATCH($C733,'Policy Characteristics'!$C:$C,0))),"",INDEX('Policy Characteristics'!E:E,MATCH($C733,'Policy Characteristics'!$C:$C,0)))</f>
        <v>indst shift to electricity</v>
      </c>
      <c r="L733" s="283">
        <f>IF(ISBLANK(INDEX('Policy Characteristics'!F:F,MATCH($C733,'Policy Characteristics'!$C:$C,0))),"",INDEX('Policy Characteristics'!F:F,MATCH($C733,'Policy Characteristics'!$C:$C,0)))</f>
        <v>0</v>
      </c>
      <c r="M733" s="283">
        <f>IF(ISBLANK(INDEX('Policy Characteristics'!G:G,MATCH($C733,'Policy Characteristics'!$C:$C,0))),"",INDEX('Policy Characteristics'!G:G,MATCH($C733,'Policy Characteristics'!$C:$C,0)))</f>
        <v>1</v>
      </c>
      <c r="N733" s="283">
        <f>IF(ISBLANK(INDEX('Policy Characteristics'!H:H,MATCH($C733,'Policy Characteristics'!$C:$C,0))),"",INDEX('Policy Characteristics'!H:H,MATCH($C733,'Policy Characteristics'!$C:$C,0)))</f>
        <v>0.01</v>
      </c>
      <c r="O733" s="275" t="str">
        <f>IF(ISBLANK(INDEX('Policy Characteristics'!I:I,MATCH($C733,'Policy Characteristics'!$C:$C,0))),"",INDEX('Policy Characteristics'!I:I,MATCH($C733,'Policy Characteristics'!$C:$C,0)))</f>
        <v>% of fuel shifted</v>
      </c>
      <c r="P733" s="275"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75" t="str">
        <f>IF(ISBLANK(INDEX('Policy Characteristics'!K:K,MATCH($C733,'Policy Characteristics'!$C:$C,0))),"",INDEX('Policy Characteristics'!K:K,MATCH($C733,'Policy Characteristics'!$C:$C,0)))</f>
        <v>industry-ag-main.html#fuel-switching</v>
      </c>
      <c r="R733" s="275" t="str">
        <f>IF(ISBLANK(INDEX('Policy Characteristics'!L:L,MATCH($C733,'Policy Characteristics'!$C:$C,0))),"",INDEX('Policy Characteristics'!L:L,MATCH($C733,'Policy Characteristics'!$C:$C,0)))</f>
        <v>industry-elec-and-hydrogen.html</v>
      </c>
    </row>
    <row r="734" spans="1:18" x14ac:dyDescent="0.25">
      <c r="A734" s="275" t="str">
        <f>IF(ISBLANK(INDEX('Policy Characteristics'!A:A,MATCH($C734,'Policy Characteristics'!$C:$C,0))),"",INDEX('Policy Characteristics'!A:A,MATCH($C734,'Policy Characteristics'!$C:$C,0)))</f>
        <v>Industry</v>
      </c>
      <c r="B734" s="284" t="str">
        <f>IF(ISBLANK(INDEX('Policy Characteristics'!B:B,MATCH($C734,'Policy Characteristics'!$C:$C,0))),"",INDEX('Policy Characteristics'!B:B,MATCH($C734,'Policy Characteristics'!$C:$C,0)))</f>
        <v>Electrification</v>
      </c>
      <c r="C734" s="275" t="str">
        <f t="shared" si="35"/>
        <v>Fraction of Eligible Industrial Energy Use Shifted to Electricity</v>
      </c>
      <c r="D734" s="6" t="s">
        <v>3090</v>
      </c>
      <c r="E734" s="1" t="s">
        <v>3737</v>
      </c>
      <c r="F734" t="s">
        <v>3052</v>
      </c>
      <c r="G734" s="47" t="s">
        <v>3738</v>
      </c>
      <c r="H734" s="44">
        <v>2001</v>
      </c>
      <c r="I734" s="346" t="s">
        <v>44</v>
      </c>
      <c r="J734" s="276" t="str">
        <f>IF(ISBLANK(INDEX('Policy Characteristics'!D:D,MATCH($C734,'Policy Characteristics'!$C:$C,0))),"",INDEX('Policy Characteristics'!D:D,MATCH($C734,'Policy Characteristics'!$C:$C,0)))</f>
        <v>Electrification</v>
      </c>
      <c r="K734" s="275" t="str">
        <f>IF(ISBLANK(INDEX('Policy Characteristics'!E:E,MATCH($C734,'Policy Characteristics'!$C:$C,0))),"",INDEX('Policy Characteristics'!E:E,MATCH($C734,'Policy Characteristics'!$C:$C,0)))</f>
        <v>indst shift to electricity</v>
      </c>
      <c r="L734" s="283">
        <f>IF(ISBLANK(INDEX('Policy Characteristics'!F:F,MATCH($C734,'Policy Characteristics'!$C:$C,0))),"",INDEX('Policy Characteristics'!F:F,MATCH($C734,'Policy Characteristics'!$C:$C,0)))</f>
        <v>0</v>
      </c>
      <c r="M734" s="283">
        <f>IF(ISBLANK(INDEX('Policy Characteristics'!G:G,MATCH($C734,'Policy Characteristics'!$C:$C,0))),"",INDEX('Policy Characteristics'!G:G,MATCH($C734,'Policy Characteristics'!$C:$C,0)))</f>
        <v>1</v>
      </c>
      <c r="N734" s="283">
        <f>IF(ISBLANK(INDEX('Policy Characteristics'!H:H,MATCH($C734,'Policy Characteristics'!$C:$C,0))),"",INDEX('Policy Characteristics'!H:H,MATCH($C734,'Policy Characteristics'!$C:$C,0)))</f>
        <v>0.01</v>
      </c>
      <c r="O734" s="275" t="str">
        <f>IF(ISBLANK(INDEX('Policy Characteristics'!I:I,MATCH($C734,'Policy Characteristics'!$C:$C,0))),"",INDEX('Policy Characteristics'!I:I,MATCH($C734,'Policy Characteristics'!$C:$C,0)))</f>
        <v>% of fuel shifted</v>
      </c>
      <c r="P734" s="275"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75" t="str">
        <f>IF(ISBLANK(INDEX('Policy Characteristics'!K:K,MATCH($C734,'Policy Characteristics'!$C:$C,0))),"",INDEX('Policy Characteristics'!K:K,MATCH($C734,'Policy Characteristics'!$C:$C,0)))</f>
        <v>industry-ag-main.html#fuel-switching</v>
      </c>
      <c r="R734" s="275" t="str">
        <f>IF(ISBLANK(INDEX('Policy Characteristics'!L:L,MATCH($C734,'Policy Characteristics'!$C:$C,0))),"",INDEX('Policy Characteristics'!L:L,MATCH($C734,'Policy Characteristics'!$C:$C,0)))</f>
        <v>industry-elec-and-hydrogen.html</v>
      </c>
    </row>
    <row r="735" spans="1:18" x14ac:dyDescent="0.25">
      <c r="A735" s="275" t="str">
        <f>IF(ISBLANK(INDEX('Policy Characteristics'!A:A,MATCH($C735,'Policy Characteristics'!$C:$C,0))),"",INDEX('Policy Characteristics'!A:A,MATCH($C735,'Policy Characteristics'!$C:$C,0)))</f>
        <v>Industry</v>
      </c>
      <c r="B735" s="284" t="str">
        <f>IF(ISBLANK(INDEX('Policy Characteristics'!B:B,MATCH($C735,'Policy Characteristics'!$C:$C,0))),"",INDEX('Policy Characteristics'!B:B,MATCH($C735,'Policy Characteristics'!$C:$C,0)))</f>
        <v>Electrification</v>
      </c>
      <c r="C735" s="275" t="str">
        <f t="shared" ref="C735:C766" si="36">C$567</f>
        <v>Fraction of Eligible Industrial Energy Use Shifted to Electricity</v>
      </c>
      <c r="D735" s="6" t="s">
        <v>3091</v>
      </c>
      <c r="E735" s="1" t="s">
        <v>3547</v>
      </c>
      <c r="F735" t="s">
        <v>3053</v>
      </c>
      <c r="G735" s="47" t="s">
        <v>3554</v>
      </c>
      <c r="H735" s="44">
        <v>2002</v>
      </c>
      <c r="I735" s="346" t="s">
        <v>43</v>
      </c>
      <c r="J735" s="276" t="str">
        <f>IF(ISBLANK(INDEX('Policy Characteristics'!D:D,MATCH($C735,'Policy Characteristics'!$C:$C,0))),"",INDEX('Policy Characteristics'!D:D,MATCH($C735,'Policy Characteristics'!$C:$C,0)))</f>
        <v>Electrification</v>
      </c>
      <c r="K735" s="275" t="str">
        <f>IF(ISBLANK(INDEX('Policy Characteristics'!E:E,MATCH($C735,'Policy Characteristics'!$C:$C,0))),"",INDEX('Policy Characteristics'!E:E,MATCH($C735,'Policy Characteristics'!$C:$C,0)))</f>
        <v>indst shift to electricity</v>
      </c>
      <c r="L735" s="283">
        <f>IF(ISBLANK(INDEX('Policy Characteristics'!F:F,MATCH($C735,'Policy Characteristics'!$C:$C,0))),"",INDEX('Policy Characteristics'!F:F,MATCH($C735,'Policy Characteristics'!$C:$C,0)))</f>
        <v>0</v>
      </c>
      <c r="M735" s="283">
        <f>IF(ISBLANK(INDEX('Policy Characteristics'!G:G,MATCH($C735,'Policy Characteristics'!$C:$C,0))),"",INDEX('Policy Characteristics'!G:G,MATCH($C735,'Policy Characteristics'!$C:$C,0)))</f>
        <v>1</v>
      </c>
      <c r="N735" s="283">
        <f>IF(ISBLANK(INDEX('Policy Characteristics'!H:H,MATCH($C735,'Policy Characteristics'!$C:$C,0))),"",INDEX('Policy Characteristics'!H:H,MATCH($C735,'Policy Characteristics'!$C:$C,0)))</f>
        <v>0.01</v>
      </c>
      <c r="O735" s="275" t="str">
        <f>IF(ISBLANK(INDEX('Policy Characteristics'!I:I,MATCH($C735,'Policy Characteristics'!$C:$C,0))),"",INDEX('Policy Characteristics'!I:I,MATCH($C735,'Policy Characteristics'!$C:$C,0)))</f>
        <v>% of fuel shifted</v>
      </c>
      <c r="P735" s="275"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75" t="str">
        <f>IF(ISBLANK(INDEX('Policy Characteristics'!K:K,MATCH($C735,'Policy Characteristics'!$C:$C,0))),"",INDEX('Policy Characteristics'!K:K,MATCH($C735,'Policy Characteristics'!$C:$C,0)))</f>
        <v>industry-ag-main.html#fuel-switching</v>
      </c>
      <c r="R735" s="275" t="str">
        <f>IF(ISBLANK(INDEX('Policy Characteristics'!L:L,MATCH($C735,'Policy Characteristics'!$C:$C,0))),"",INDEX('Policy Characteristics'!L:L,MATCH($C735,'Policy Characteristics'!$C:$C,0)))</f>
        <v>industry-elec-and-hydrogen.html</v>
      </c>
    </row>
    <row r="736" spans="1:18" x14ac:dyDescent="0.25">
      <c r="A736" s="275" t="str">
        <f>IF(ISBLANK(INDEX('Policy Characteristics'!A:A,MATCH($C736,'Policy Characteristics'!$C:$C,0))),"",INDEX('Policy Characteristics'!A:A,MATCH($C736,'Policy Characteristics'!$C:$C,0)))</f>
        <v>Industry</v>
      </c>
      <c r="B736" s="284" t="str">
        <f>IF(ISBLANK(INDEX('Policy Characteristics'!B:B,MATCH($C736,'Policy Characteristics'!$C:$C,0))),"",INDEX('Policy Characteristics'!B:B,MATCH($C736,'Policy Characteristics'!$C:$C,0)))</f>
        <v>Electrification</v>
      </c>
      <c r="C736" s="275" t="str">
        <f t="shared" si="36"/>
        <v>Fraction of Eligible Industrial Energy Use Shifted to Electricity</v>
      </c>
      <c r="D736" s="6" t="s">
        <v>3091</v>
      </c>
      <c r="E736" s="1" t="s">
        <v>3548</v>
      </c>
      <c r="F736" t="s">
        <v>3053</v>
      </c>
      <c r="G736" s="47" t="s">
        <v>3555</v>
      </c>
      <c r="H736" s="44">
        <v>2003</v>
      </c>
      <c r="I736" s="346" t="s">
        <v>43</v>
      </c>
      <c r="J736" s="276" t="str">
        <f>IF(ISBLANK(INDEX('Policy Characteristics'!D:D,MATCH($C736,'Policy Characteristics'!$C:$C,0))),"",INDEX('Policy Characteristics'!D:D,MATCH($C736,'Policy Characteristics'!$C:$C,0)))</f>
        <v>Electrification</v>
      </c>
      <c r="K736" s="275" t="str">
        <f>IF(ISBLANK(INDEX('Policy Characteristics'!E:E,MATCH($C736,'Policy Characteristics'!$C:$C,0))),"",INDEX('Policy Characteristics'!E:E,MATCH($C736,'Policy Characteristics'!$C:$C,0)))</f>
        <v>indst shift to electricity</v>
      </c>
      <c r="L736" s="283">
        <f>IF(ISBLANK(INDEX('Policy Characteristics'!F:F,MATCH($C736,'Policy Characteristics'!$C:$C,0))),"",INDEX('Policy Characteristics'!F:F,MATCH($C736,'Policy Characteristics'!$C:$C,0)))</f>
        <v>0</v>
      </c>
      <c r="M736" s="283">
        <f>IF(ISBLANK(INDEX('Policy Characteristics'!G:G,MATCH($C736,'Policy Characteristics'!$C:$C,0))),"",INDEX('Policy Characteristics'!G:G,MATCH($C736,'Policy Characteristics'!$C:$C,0)))</f>
        <v>1</v>
      </c>
      <c r="N736" s="283">
        <f>IF(ISBLANK(INDEX('Policy Characteristics'!H:H,MATCH($C736,'Policy Characteristics'!$C:$C,0))),"",INDEX('Policy Characteristics'!H:H,MATCH($C736,'Policy Characteristics'!$C:$C,0)))</f>
        <v>0.01</v>
      </c>
      <c r="O736" s="275" t="str">
        <f>IF(ISBLANK(INDEX('Policy Characteristics'!I:I,MATCH($C736,'Policy Characteristics'!$C:$C,0))),"",INDEX('Policy Characteristics'!I:I,MATCH($C736,'Policy Characteristics'!$C:$C,0)))</f>
        <v>% of fuel shifted</v>
      </c>
      <c r="P736" s="275"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75" t="str">
        <f>IF(ISBLANK(INDEX('Policy Characteristics'!K:K,MATCH($C736,'Policy Characteristics'!$C:$C,0))),"",INDEX('Policy Characteristics'!K:K,MATCH($C736,'Policy Characteristics'!$C:$C,0)))</f>
        <v>industry-ag-main.html#fuel-switching</v>
      </c>
      <c r="R736" s="275" t="str">
        <f>IF(ISBLANK(INDEX('Policy Characteristics'!L:L,MATCH($C736,'Policy Characteristics'!$C:$C,0))),"",INDEX('Policy Characteristics'!L:L,MATCH($C736,'Policy Characteristics'!$C:$C,0)))</f>
        <v>industry-elec-and-hydrogen.html</v>
      </c>
    </row>
    <row r="737" spans="1:18" x14ac:dyDescent="0.25">
      <c r="A737" s="275" t="str">
        <f>IF(ISBLANK(INDEX('Policy Characteristics'!A:A,MATCH($C737,'Policy Characteristics'!$C:$C,0))),"",INDEX('Policy Characteristics'!A:A,MATCH($C737,'Policy Characteristics'!$C:$C,0)))</f>
        <v>Industry</v>
      </c>
      <c r="B737" s="284" t="str">
        <f>IF(ISBLANK(INDEX('Policy Characteristics'!B:B,MATCH($C737,'Policy Characteristics'!$C:$C,0))),"",INDEX('Policy Characteristics'!B:B,MATCH($C737,'Policy Characteristics'!$C:$C,0)))</f>
        <v>Electrification</v>
      </c>
      <c r="C737" s="275" t="str">
        <f t="shared" si="36"/>
        <v>Fraction of Eligible Industrial Energy Use Shifted to Electricity</v>
      </c>
      <c r="D737" s="6" t="s">
        <v>3091</v>
      </c>
      <c r="E737" s="1" t="s">
        <v>3549</v>
      </c>
      <c r="F737" t="s">
        <v>3053</v>
      </c>
      <c r="G737" s="47" t="s">
        <v>3556</v>
      </c>
      <c r="H737" s="44">
        <v>2004</v>
      </c>
      <c r="I737" s="346" t="s">
        <v>43</v>
      </c>
      <c r="J737" s="276" t="str">
        <f>IF(ISBLANK(INDEX('Policy Characteristics'!D:D,MATCH($C737,'Policy Characteristics'!$C:$C,0))),"",INDEX('Policy Characteristics'!D:D,MATCH($C737,'Policy Characteristics'!$C:$C,0)))</f>
        <v>Electrification</v>
      </c>
      <c r="K737" s="275" t="str">
        <f>IF(ISBLANK(INDEX('Policy Characteristics'!E:E,MATCH($C737,'Policy Characteristics'!$C:$C,0))),"",INDEX('Policy Characteristics'!E:E,MATCH($C737,'Policy Characteristics'!$C:$C,0)))</f>
        <v>indst shift to electricity</v>
      </c>
      <c r="L737" s="283">
        <f>IF(ISBLANK(INDEX('Policy Characteristics'!F:F,MATCH($C737,'Policy Characteristics'!$C:$C,0))),"",INDEX('Policy Characteristics'!F:F,MATCH($C737,'Policy Characteristics'!$C:$C,0)))</f>
        <v>0</v>
      </c>
      <c r="M737" s="283">
        <f>IF(ISBLANK(INDEX('Policy Characteristics'!G:G,MATCH($C737,'Policy Characteristics'!$C:$C,0))),"",INDEX('Policy Characteristics'!G:G,MATCH($C737,'Policy Characteristics'!$C:$C,0)))</f>
        <v>1</v>
      </c>
      <c r="N737" s="283">
        <f>IF(ISBLANK(INDEX('Policy Characteristics'!H:H,MATCH($C737,'Policy Characteristics'!$C:$C,0))),"",INDEX('Policy Characteristics'!H:H,MATCH($C737,'Policy Characteristics'!$C:$C,0)))</f>
        <v>0.01</v>
      </c>
      <c r="O737" s="275" t="str">
        <f>IF(ISBLANK(INDEX('Policy Characteristics'!I:I,MATCH($C737,'Policy Characteristics'!$C:$C,0))),"",INDEX('Policy Characteristics'!I:I,MATCH($C737,'Policy Characteristics'!$C:$C,0)))</f>
        <v>% of fuel shifted</v>
      </c>
      <c r="P737" s="275"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75" t="str">
        <f>IF(ISBLANK(INDEX('Policy Characteristics'!K:K,MATCH($C737,'Policy Characteristics'!$C:$C,0))),"",INDEX('Policy Characteristics'!K:K,MATCH($C737,'Policy Characteristics'!$C:$C,0)))</f>
        <v>industry-ag-main.html#fuel-switching</v>
      </c>
      <c r="R737" s="275" t="str">
        <f>IF(ISBLANK(INDEX('Policy Characteristics'!L:L,MATCH($C737,'Policy Characteristics'!$C:$C,0))),"",INDEX('Policy Characteristics'!L:L,MATCH($C737,'Policy Characteristics'!$C:$C,0)))</f>
        <v>industry-elec-and-hydrogen.html</v>
      </c>
    </row>
    <row r="738" spans="1:18" x14ac:dyDescent="0.25">
      <c r="A738" s="275" t="str">
        <f>IF(ISBLANK(INDEX('Policy Characteristics'!A:A,MATCH($C738,'Policy Characteristics'!$C:$C,0))),"",INDEX('Policy Characteristics'!A:A,MATCH($C738,'Policy Characteristics'!$C:$C,0)))</f>
        <v>Industry</v>
      </c>
      <c r="B738" s="284" t="str">
        <f>IF(ISBLANK(INDEX('Policy Characteristics'!B:B,MATCH($C738,'Policy Characteristics'!$C:$C,0))),"",INDEX('Policy Characteristics'!B:B,MATCH($C738,'Policy Characteristics'!$C:$C,0)))</f>
        <v>Electrification</v>
      </c>
      <c r="C738" s="275" t="str">
        <f t="shared" si="36"/>
        <v>Fraction of Eligible Industrial Energy Use Shifted to Electricity</v>
      </c>
      <c r="D738" s="6" t="s">
        <v>3091</v>
      </c>
      <c r="E738" s="1" t="s">
        <v>3550</v>
      </c>
      <c r="F738" t="s">
        <v>3053</v>
      </c>
      <c r="G738" s="47" t="s">
        <v>3557</v>
      </c>
      <c r="H738" s="44">
        <v>2005</v>
      </c>
      <c r="I738" s="346" t="s">
        <v>43</v>
      </c>
      <c r="J738" s="276" t="str">
        <f>IF(ISBLANK(INDEX('Policy Characteristics'!D:D,MATCH($C738,'Policy Characteristics'!$C:$C,0))),"",INDEX('Policy Characteristics'!D:D,MATCH($C738,'Policy Characteristics'!$C:$C,0)))</f>
        <v>Electrification</v>
      </c>
      <c r="K738" s="275" t="str">
        <f>IF(ISBLANK(INDEX('Policy Characteristics'!E:E,MATCH($C738,'Policy Characteristics'!$C:$C,0))),"",INDEX('Policy Characteristics'!E:E,MATCH($C738,'Policy Characteristics'!$C:$C,0)))</f>
        <v>indst shift to electricity</v>
      </c>
      <c r="L738" s="283">
        <f>IF(ISBLANK(INDEX('Policy Characteristics'!F:F,MATCH($C738,'Policy Characteristics'!$C:$C,0))),"",INDEX('Policy Characteristics'!F:F,MATCH($C738,'Policy Characteristics'!$C:$C,0)))</f>
        <v>0</v>
      </c>
      <c r="M738" s="283">
        <f>IF(ISBLANK(INDEX('Policy Characteristics'!G:G,MATCH($C738,'Policy Characteristics'!$C:$C,0))),"",INDEX('Policy Characteristics'!G:G,MATCH($C738,'Policy Characteristics'!$C:$C,0)))</f>
        <v>1</v>
      </c>
      <c r="N738" s="283">
        <f>IF(ISBLANK(INDEX('Policy Characteristics'!H:H,MATCH($C738,'Policy Characteristics'!$C:$C,0))),"",INDEX('Policy Characteristics'!H:H,MATCH($C738,'Policy Characteristics'!$C:$C,0)))</f>
        <v>0.01</v>
      </c>
      <c r="O738" s="275" t="str">
        <f>IF(ISBLANK(INDEX('Policy Characteristics'!I:I,MATCH($C738,'Policy Characteristics'!$C:$C,0))),"",INDEX('Policy Characteristics'!I:I,MATCH($C738,'Policy Characteristics'!$C:$C,0)))</f>
        <v>% of fuel shifted</v>
      </c>
      <c r="P738" s="275"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75" t="str">
        <f>IF(ISBLANK(INDEX('Policy Characteristics'!K:K,MATCH($C738,'Policy Characteristics'!$C:$C,0))),"",INDEX('Policy Characteristics'!K:K,MATCH($C738,'Policy Characteristics'!$C:$C,0)))</f>
        <v>industry-ag-main.html#fuel-switching</v>
      </c>
      <c r="R738" s="275" t="str">
        <f>IF(ISBLANK(INDEX('Policy Characteristics'!L:L,MATCH($C738,'Policy Characteristics'!$C:$C,0))),"",INDEX('Policy Characteristics'!L:L,MATCH($C738,'Policy Characteristics'!$C:$C,0)))</f>
        <v>industry-elec-and-hydrogen.html</v>
      </c>
    </row>
    <row r="739" spans="1:18" x14ac:dyDescent="0.25">
      <c r="A739" s="275" t="str">
        <f>IF(ISBLANK(INDEX('Policy Characteristics'!A:A,MATCH($C739,'Policy Characteristics'!$C:$C,0))),"",INDEX('Policy Characteristics'!A:A,MATCH($C739,'Policy Characteristics'!$C:$C,0)))</f>
        <v>Industry</v>
      </c>
      <c r="B739" s="284" t="str">
        <f>IF(ISBLANK(INDEX('Policy Characteristics'!B:B,MATCH($C739,'Policy Characteristics'!$C:$C,0))),"",INDEX('Policy Characteristics'!B:B,MATCH($C739,'Policy Characteristics'!$C:$C,0)))</f>
        <v>Electrification</v>
      </c>
      <c r="C739" s="275" t="str">
        <f t="shared" si="36"/>
        <v>Fraction of Eligible Industrial Energy Use Shifted to Electricity</v>
      </c>
      <c r="D739" s="6" t="s">
        <v>3091</v>
      </c>
      <c r="E739" s="1" t="s">
        <v>3551</v>
      </c>
      <c r="F739" t="s">
        <v>3053</v>
      </c>
      <c r="G739" s="47" t="s">
        <v>3558</v>
      </c>
      <c r="H739" s="44">
        <v>2006</v>
      </c>
      <c r="I739" s="346" t="s">
        <v>44</v>
      </c>
      <c r="J739" s="276" t="str">
        <f>IF(ISBLANK(INDEX('Policy Characteristics'!D:D,MATCH($C739,'Policy Characteristics'!$C:$C,0))),"",INDEX('Policy Characteristics'!D:D,MATCH($C739,'Policy Characteristics'!$C:$C,0)))</f>
        <v>Electrification</v>
      </c>
      <c r="K739" s="275" t="str">
        <f>IF(ISBLANK(INDEX('Policy Characteristics'!E:E,MATCH($C739,'Policy Characteristics'!$C:$C,0))),"",INDEX('Policy Characteristics'!E:E,MATCH($C739,'Policy Characteristics'!$C:$C,0)))</f>
        <v>indst shift to electricity</v>
      </c>
      <c r="L739" s="283">
        <f>IF(ISBLANK(INDEX('Policy Characteristics'!F:F,MATCH($C739,'Policy Characteristics'!$C:$C,0))),"",INDEX('Policy Characteristics'!F:F,MATCH($C739,'Policy Characteristics'!$C:$C,0)))</f>
        <v>0</v>
      </c>
      <c r="M739" s="283">
        <f>IF(ISBLANK(INDEX('Policy Characteristics'!G:G,MATCH($C739,'Policy Characteristics'!$C:$C,0))),"",INDEX('Policy Characteristics'!G:G,MATCH($C739,'Policy Characteristics'!$C:$C,0)))</f>
        <v>1</v>
      </c>
      <c r="N739" s="283">
        <f>IF(ISBLANK(INDEX('Policy Characteristics'!H:H,MATCH($C739,'Policy Characteristics'!$C:$C,0))),"",INDEX('Policy Characteristics'!H:H,MATCH($C739,'Policy Characteristics'!$C:$C,0)))</f>
        <v>0.01</v>
      </c>
      <c r="O739" s="275" t="str">
        <f>IF(ISBLANK(INDEX('Policy Characteristics'!I:I,MATCH($C739,'Policy Characteristics'!$C:$C,0))),"",INDEX('Policy Characteristics'!I:I,MATCH($C739,'Policy Characteristics'!$C:$C,0)))</f>
        <v>% of fuel shifted</v>
      </c>
      <c r="P739" s="275"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75" t="str">
        <f>IF(ISBLANK(INDEX('Policy Characteristics'!K:K,MATCH($C739,'Policy Characteristics'!$C:$C,0))),"",INDEX('Policy Characteristics'!K:K,MATCH($C739,'Policy Characteristics'!$C:$C,0)))</f>
        <v>industry-ag-main.html#fuel-switching</v>
      </c>
      <c r="R739" s="275" t="str">
        <f>IF(ISBLANK(INDEX('Policy Characteristics'!L:L,MATCH($C739,'Policy Characteristics'!$C:$C,0))),"",INDEX('Policy Characteristics'!L:L,MATCH($C739,'Policy Characteristics'!$C:$C,0)))</f>
        <v>industry-elec-and-hydrogen.html</v>
      </c>
    </row>
    <row r="740" spans="1:18" x14ac:dyDescent="0.25">
      <c r="A740" s="275" t="str">
        <f>IF(ISBLANK(INDEX('Policy Characteristics'!A:A,MATCH($C740,'Policy Characteristics'!$C:$C,0))),"",INDEX('Policy Characteristics'!A:A,MATCH($C740,'Policy Characteristics'!$C:$C,0)))</f>
        <v>Industry</v>
      </c>
      <c r="B740" s="284" t="str">
        <f>IF(ISBLANK(INDEX('Policy Characteristics'!B:B,MATCH($C740,'Policy Characteristics'!$C:$C,0))),"",INDEX('Policy Characteristics'!B:B,MATCH($C740,'Policy Characteristics'!$C:$C,0)))</f>
        <v>Electrification</v>
      </c>
      <c r="C740" s="275" t="str">
        <f t="shared" si="36"/>
        <v>Fraction of Eligible Industrial Energy Use Shifted to Electricity</v>
      </c>
      <c r="D740" s="6" t="s">
        <v>3091</v>
      </c>
      <c r="E740" s="1" t="s">
        <v>3552</v>
      </c>
      <c r="F740" t="s">
        <v>3053</v>
      </c>
      <c r="G740" s="47" t="s">
        <v>3559</v>
      </c>
      <c r="H740" s="44">
        <v>2007</v>
      </c>
      <c r="I740" s="346" t="s">
        <v>43</v>
      </c>
      <c r="J740" s="276" t="str">
        <f>IF(ISBLANK(INDEX('Policy Characteristics'!D:D,MATCH($C740,'Policy Characteristics'!$C:$C,0))),"",INDEX('Policy Characteristics'!D:D,MATCH($C740,'Policy Characteristics'!$C:$C,0)))</f>
        <v>Electrification</v>
      </c>
      <c r="K740" s="275" t="str">
        <f>IF(ISBLANK(INDEX('Policy Characteristics'!E:E,MATCH($C740,'Policy Characteristics'!$C:$C,0))),"",INDEX('Policy Characteristics'!E:E,MATCH($C740,'Policy Characteristics'!$C:$C,0)))</f>
        <v>indst shift to electricity</v>
      </c>
      <c r="L740" s="283">
        <f>IF(ISBLANK(INDEX('Policy Characteristics'!F:F,MATCH($C740,'Policy Characteristics'!$C:$C,0))),"",INDEX('Policy Characteristics'!F:F,MATCH($C740,'Policy Characteristics'!$C:$C,0)))</f>
        <v>0</v>
      </c>
      <c r="M740" s="283">
        <f>IF(ISBLANK(INDEX('Policy Characteristics'!G:G,MATCH($C740,'Policy Characteristics'!$C:$C,0))),"",INDEX('Policy Characteristics'!G:G,MATCH($C740,'Policy Characteristics'!$C:$C,0)))</f>
        <v>1</v>
      </c>
      <c r="N740" s="283">
        <f>IF(ISBLANK(INDEX('Policy Characteristics'!H:H,MATCH($C740,'Policy Characteristics'!$C:$C,0))),"",INDEX('Policy Characteristics'!H:H,MATCH($C740,'Policy Characteristics'!$C:$C,0)))</f>
        <v>0.01</v>
      </c>
      <c r="O740" s="275" t="str">
        <f>IF(ISBLANK(INDEX('Policy Characteristics'!I:I,MATCH($C740,'Policy Characteristics'!$C:$C,0))),"",INDEX('Policy Characteristics'!I:I,MATCH($C740,'Policy Characteristics'!$C:$C,0)))</f>
        <v>% of fuel shifted</v>
      </c>
      <c r="P740" s="275"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75" t="str">
        <f>IF(ISBLANK(INDEX('Policy Characteristics'!K:K,MATCH($C740,'Policy Characteristics'!$C:$C,0))),"",INDEX('Policy Characteristics'!K:K,MATCH($C740,'Policy Characteristics'!$C:$C,0)))</f>
        <v>industry-ag-main.html#fuel-switching</v>
      </c>
      <c r="R740" s="275" t="str">
        <f>IF(ISBLANK(INDEX('Policy Characteristics'!L:L,MATCH($C740,'Policy Characteristics'!$C:$C,0))),"",INDEX('Policy Characteristics'!L:L,MATCH($C740,'Policy Characteristics'!$C:$C,0)))</f>
        <v>industry-elec-and-hydrogen.html</v>
      </c>
    </row>
    <row r="741" spans="1:18" x14ac:dyDescent="0.25">
      <c r="A741" s="275" t="str">
        <f>IF(ISBLANK(INDEX('Policy Characteristics'!A:A,MATCH($C741,'Policy Characteristics'!$C:$C,0))),"",INDEX('Policy Characteristics'!A:A,MATCH($C741,'Policy Characteristics'!$C:$C,0)))</f>
        <v>Industry</v>
      </c>
      <c r="B741" s="284" t="str">
        <f>IF(ISBLANK(INDEX('Policy Characteristics'!B:B,MATCH($C741,'Policy Characteristics'!$C:$C,0))),"",INDEX('Policy Characteristics'!B:B,MATCH($C741,'Policy Characteristics'!$C:$C,0)))</f>
        <v>Electrification</v>
      </c>
      <c r="C741" s="275" t="str">
        <f t="shared" si="36"/>
        <v>Fraction of Eligible Industrial Energy Use Shifted to Electricity</v>
      </c>
      <c r="D741" s="6" t="s">
        <v>3091</v>
      </c>
      <c r="E741" s="1" t="s">
        <v>3553</v>
      </c>
      <c r="F741" t="s">
        <v>3053</v>
      </c>
      <c r="G741" s="47" t="s">
        <v>3560</v>
      </c>
      <c r="H741" s="44">
        <v>2008</v>
      </c>
      <c r="I741" s="346" t="s">
        <v>44</v>
      </c>
      <c r="J741" s="276" t="str">
        <f>IF(ISBLANK(INDEX('Policy Characteristics'!D:D,MATCH($C741,'Policy Characteristics'!$C:$C,0))),"",INDEX('Policy Characteristics'!D:D,MATCH($C741,'Policy Characteristics'!$C:$C,0)))</f>
        <v>Electrification</v>
      </c>
      <c r="K741" s="275" t="str">
        <f>IF(ISBLANK(INDEX('Policy Characteristics'!E:E,MATCH($C741,'Policy Characteristics'!$C:$C,0))),"",INDEX('Policy Characteristics'!E:E,MATCH($C741,'Policy Characteristics'!$C:$C,0)))</f>
        <v>indst shift to electricity</v>
      </c>
      <c r="L741" s="283">
        <f>IF(ISBLANK(INDEX('Policy Characteristics'!F:F,MATCH($C741,'Policy Characteristics'!$C:$C,0))),"",INDEX('Policy Characteristics'!F:F,MATCH($C741,'Policy Characteristics'!$C:$C,0)))</f>
        <v>0</v>
      </c>
      <c r="M741" s="283">
        <f>IF(ISBLANK(INDEX('Policy Characteristics'!G:G,MATCH($C741,'Policy Characteristics'!$C:$C,0))),"",INDEX('Policy Characteristics'!G:G,MATCH($C741,'Policy Characteristics'!$C:$C,0)))</f>
        <v>1</v>
      </c>
      <c r="N741" s="283">
        <f>IF(ISBLANK(INDEX('Policy Characteristics'!H:H,MATCH($C741,'Policy Characteristics'!$C:$C,0))),"",INDEX('Policy Characteristics'!H:H,MATCH($C741,'Policy Characteristics'!$C:$C,0)))</f>
        <v>0.01</v>
      </c>
      <c r="O741" s="275" t="str">
        <f>IF(ISBLANK(INDEX('Policy Characteristics'!I:I,MATCH($C741,'Policy Characteristics'!$C:$C,0))),"",INDEX('Policy Characteristics'!I:I,MATCH($C741,'Policy Characteristics'!$C:$C,0)))</f>
        <v>% of fuel shifted</v>
      </c>
      <c r="P741" s="275"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75" t="str">
        <f>IF(ISBLANK(INDEX('Policy Characteristics'!K:K,MATCH($C741,'Policy Characteristics'!$C:$C,0))),"",INDEX('Policy Characteristics'!K:K,MATCH($C741,'Policy Characteristics'!$C:$C,0)))</f>
        <v>industry-ag-main.html#fuel-switching</v>
      </c>
      <c r="R741" s="275" t="str">
        <f>IF(ISBLANK(INDEX('Policy Characteristics'!L:L,MATCH($C741,'Policy Characteristics'!$C:$C,0))),"",INDEX('Policy Characteristics'!L:L,MATCH($C741,'Policy Characteristics'!$C:$C,0)))</f>
        <v>industry-elec-and-hydrogen.html</v>
      </c>
    </row>
    <row r="742" spans="1:18" x14ac:dyDescent="0.25">
      <c r="A742" s="275" t="str">
        <f>IF(ISBLANK(INDEX('Policy Characteristics'!A:A,MATCH($C742,'Policy Characteristics'!$C:$C,0))),"",INDEX('Policy Characteristics'!A:A,MATCH($C742,'Policy Characteristics'!$C:$C,0)))</f>
        <v>Industry</v>
      </c>
      <c r="B742" s="284" t="str">
        <f>IF(ISBLANK(INDEX('Policy Characteristics'!B:B,MATCH($C742,'Policy Characteristics'!$C:$C,0))),"",INDEX('Policy Characteristics'!B:B,MATCH($C742,'Policy Characteristics'!$C:$C,0)))</f>
        <v>Electrification</v>
      </c>
      <c r="C742" s="275" t="str">
        <f t="shared" si="36"/>
        <v>Fraction of Eligible Industrial Energy Use Shifted to Electricity</v>
      </c>
      <c r="D742" s="6" t="s">
        <v>3091</v>
      </c>
      <c r="E742" s="1" t="s">
        <v>3737</v>
      </c>
      <c r="F742" t="s">
        <v>3053</v>
      </c>
      <c r="G742" s="47" t="s">
        <v>3738</v>
      </c>
      <c r="H742" s="44">
        <v>2009</v>
      </c>
      <c r="I742" s="346" t="s">
        <v>44</v>
      </c>
      <c r="J742" s="276" t="str">
        <f>IF(ISBLANK(INDEX('Policy Characteristics'!D:D,MATCH($C742,'Policy Characteristics'!$C:$C,0))),"",INDEX('Policy Characteristics'!D:D,MATCH($C742,'Policy Characteristics'!$C:$C,0)))</f>
        <v>Electrification</v>
      </c>
      <c r="K742" s="275" t="str">
        <f>IF(ISBLANK(INDEX('Policy Characteristics'!E:E,MATCH($C742,'Policy Characteristics'!$C:$C,0))),"",INDEX('Policy Characteristics'!E:E,MATCH($C742,'Policy Characteristics'!$C:$C,0)))</f>
        <v>indst shift to electricity</v>
      </c>
      <c r="L742" s="283">
        <f>IF(ISBLANK(INDEX('Policy Characteristics'!F:F,MATCH($C742,'Policy Characteristics'!$C:$C,0))),"",INDEX('Policy Characteristics'!F:F,MATCH($C742,'Policy Characteristics'!$C:$C,0)))</f>
        <v>0</v>
      </c>
      <c r="M742" s="283">
        <f>IF(ISBLANK(INDEX('Policy Characteristics'!G:G,MATCH($C742,'Policy Characteristics'!$C:$C,0))),"",INDEX('Policy Characteristics'!G:G,MATCH($C742,'Policy Characteristics'!$C:$C,0)))</f>
        <v>1</v>
      </c>
      <c r="N742" s="283">
        <f>IF(ISBLANK(INDEX('Policy Characteristics'!H:H,MATCH($C742,'Policy Characteristics'!$C:$C,0))),"",INDEX('Policy Characteristics'!H:H,MATCH($C742,'Policy Characteristics'!$C:$C,0)))</f>
        <v>0.01</v>
      </c>
      <c r="O742" s="275" t="str">
        <f>IF(ISBLANK(INDEX('Policy Characteristics'!I:I,MATCH($C742,'Policy Characteristics'!$C:$C,0))),"",INDEX('Policy Characteristics'!I:I,MATCH($C742,'Policy Characteristics'!$C:$C,0)))</f>
        <v>% of fuel shifted</v>
      </c>
      <c r="P742" s="275"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75" t="str">
        <f>IF(ISBLANK(INDEX('Policy Characteristics'!K:K,MATCH($C742,'Policy Characteristics'!$C:$C,0))),"",INDEX('Policy Characteristics'!K:K,MATCH($C742,'Policy Characteristics'!$C:$C,0)))</f>
        <v>industry-ag-main.html#fuel-switching</v>
      </c>
      <c r="R742" s="275" t="str">
        <f>IF(ISBLANK(INDEX('Policy Characteristics'!L:L,MATCH($C742,'Policy Characteristics'!$C:$C,0))),"",INDEX('Policy Characteristics'!L:L,MATCH($C742,'Policy Characteristics'!$C:$C,0)))</f>
        <v>industry-elec-and-hydrogen.html</v>
      </c>
    </row>
    <row r="743" spans="1:18" x14ac:dyDescent="0.25">
      <c r="A743" s="275" t="str">
        <f>IF(ISBLANK(INDEX('Policy Characteristics'!A:A,MATCH($C743,'Policy Characteristics'!$C:$C,0))),"",INDEX('Policy Characteristics'!A:A,MATCH($C743,'Policy Characteristics'!$C:$C,0)))</f>
        <v>Industry</v>
      </c>
      <c r="B743" s="284" t="str">
        <f>IF(ISBLANK(INDEX('Policy Characteristics'!B:B,MATCH($C743,'Policy Characteristics'!$C:$C,0))),"",INDEX('Policy Characteristics'!B:B,MATCH($C743,'Policy Characteristics'!$C:$C,0)))</f>
        <v>Electrification</v>
      </c>
      <c r="C743" s="275" t="str">
        <f t="shared" si="36"/>
        <v>Fraction of Eligible Industrial Energy Use Shifted to Electricity</v>
      </c>
      <c r="D743" s="6" t="s">
        <v>3092</v>
      </c>
      <c r="E743" s="1" t="s">
        <v>3547</v>
      </c>
      <c r="F743" t="s">
        <v>3054</v>
      </c>
      <c r="G743" s="47" t="s">
        <v>3554</v>
      </c>
      <c r="H743" s="44">
        <v>2010</v>
      </c>
      <c r="I743" s="346" t="s">
        <v>44</v>
      </c>
      <c r="J743" s="276" t="str">
        <f>IF(ISBLANK(INDEX('Policy Characteristics'!D:D,MATCH($C743,'Policy Characteristics'!$C:$C,0))),"",INDEX('Policy Characteristics'!D:D,MATCH($C743,'Policy Characteristics'!$C:$C,0)))</f>
        <v>Electrification</v>
      </c>
      <c r="K743" s="275" t="str">
        <f>IF(ISBLANK(INDEX('Policy Characteristics'!E:E,MATCH($C743,'Policy Characteristics'!$C:$C,0))),"",INDEX('Policy Characteristics'!E:E,MATCH($C743,'Policy Characteristics'!$C:$C,0)))</f>
        <v>indst shift to electricity</v>
      </c>
      <c r="L743" s="283">
        <f>IF(ISBLANK(INDEX('Policy Characteristics'!F:F,MATCH($C743,'Policy Characteristics'!$C:$C,0))),"",INDEX('Policy Characteristics'!F:F,MATCH($C743,'Policy Characteristics'!$C:$C,0)))</f>
        <v>0</v>
      </c>
      <c r="M743" s="283">
        <f>IF(ISBLANK(INDEX('Policy Characteristics'!G:G,MATCH($C743,'Policy Characteristics'!$C:$C,0))),"",INDEX('Policy Characteristics'!G:G,MATCH($C743,'Policy Characteristics'!$C:$C,0)))</f>
        <v>1</v>
      </c>
      <c r="N743" s="283">
        <f>IF(ISBLANK(INDEX('Policy Characteristics'!H:H,MATCH($C743,'Policy Characteristics'!$C:$C,0))),"",INDEX('Policy Characteristics'!H:H,MATCH($C743,'Policy Characteristics'!$C:$C,0)))</f>
        <v>0.01</v>
      </c>
      <c r="O743" s="275" t="str">
        <f>IF(ISBLANK(INDEX('Policy Characteristics'!I:I,MATCH($C743,'Policy Characteristics'!$C:$C,0))),"",INDEX('Policy Characteristics'!I:I,MATCH($C743,'Policy Characteristics'!$C:$C,0)))</f>
        <v>% of fuel shifted</v>
      </c>
      <c r="P743" s="275"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75" t="str">
        <f>IF(ISBLANK(INDEX('Policy Characteristics'!K:K,MATCH($C743,'Policy Characteristics'!$C:$C,0))),"",INDEX('Policy Characteristics'!K:K,MATCH($C743,'Policy Characteristics'!$C:$C,0)))</f>
        <v>industry-ag-main.html#fuel-switching</v>
      </c>
      <c r="R743" s="275" t="str">
        <f>IF(ISBLANK(INDEX('Policy Characteristics'!L:L,MATCH($C743,'Policy Characteristics'!$C:$C,0))),"",INDEX('Policy Characteristics'!L:L,MATCH($C743,'Policy Characteristics'!$C:$C,0)))</f>
        <v>industry-elec-and-hydrogen.html</v>
      </c>
    </row>
    <row r="744" spans="1:18" x14ac:dyDescent="0.25">
      <c r="A744" s="275" t="str">
        <f>IF(ISBLANK(INDEX('Policy Characteristics'!A:A,MATCH($C744,'Policy Characteristics'!$C:$C,0))),"",INDEX('Policy Characteristics'!A:A,MATCH($C744,'Policy Characteristics'!$C:$C,0)))</f>
        <v>Industry</v>
      </c>
      <c r="B744" s="284" t="str">
        <f>IF(ISBLANK(INDEX('Policy Characteristics'!B:B,MATCH($C744,'Policy Characteristics'!$C:$C,0))),"",INDEX('Policy Characteristics'!B:B,MATCH($C744,'Policy Characteristics'!$C:$C,0)))</f>
        <v>Electrification</v>
      </c>
      <c r="C744" s="275" t="str">
        <f t="shared" si="36"/>
        <v>Fraction of Eligible Industrial Energy Use Shifted to Electricity</v>
      </c>
      <c r="D744" s="6" t="s">
        <v>3092</v>
      </c>
      <c r="E744" s="1" t="s">
        <v>3548</v>
      </c>
      <c r="F744" t="s">
        <v>3054</v>
      </c>
      <c r="G744" s="47" t="s">
        <v>3555</v>
      </c>
      <c r="H744" s="44">
        <v>2011</v>
      </c>
      <c r="I744" s="346" t="s">
        <v>44</v>
      </c>
      <c r="J744" s="276" t="str">
        <f>IF(ISBLANK(INDEX('Policy Characteristics'!D:D,MATCH($C744,'Policy Characteristics'!$C:$C,0))),"",INDEX('Policy Characteristics'!D:D,MATCH($C744,'Policy Characteristics'!$C:$C,0)))</f>
        <v>Electrification</v>
      </c>
      <c r="K744" s="275" t="str">
        <f>IF(ISBLANK(INDEX('Policy Characteristics'!E:E,MATCH($C744,'Policy Characteristics'!$C:$C,0))),"",INDEX('Policy Characteristics'!E:E,MATCH($C744,'Policy Characteristics'!$C:$C,0)))</f>
        <v>indst shift to electricity</v>
      </c>
      <c r="L744" s="283">
        <f>IF(ISBLANK(INDEX('Policy Characteristics'!F:F,MATCH($C744,'Policy Characteristics'!$C:$C,0))),"",INDEX('Policy Characteristics'!F:F,MATCH($C744,'Policy Characteristics'!$C:$C,0)))</f>
        <v>0</v>
      </c>
      <c r="M744" s="283">
        <f>IF(ISBLANK(INDEX('Policy Characteristics'!G:G,MATCH($C744,'Policy Characteristics'!$C:$C,0))),"",INDEX('Policy Characteristics'!G:G,MATCH($C744,'Policy Characteristics'!$C:$C,0)))</f>
        <v>1</v>
      </c>
      <c r="N744" s="283">
        <f>IF(ISBLANK(INDEX('Policy Characteristics'!H:H,MATCH($C744,'Policy Characteristics'!$C:$C,0))),"",INDEX('Policy Characteristics'!H:H,MATCH($C744,'Policy Characteristics'!$C:$C,0)))</f>
        <v>0.01</v>
      </c>
      <c r="O744" s="275" t="str">
        <f>IF(ISBLANK(INDEX('Policy Characteristics'!I:I,MATCH($C744,'Policy Characteristics'!$C:$C,0))),"",INDEX('Policy Characteristics'!I:I,MATCH($C744,'Policy Characteristics'!$C:$C,0)))</f>
        <v>% of fuel shifted</v>
      </c>
      <c r="P744" s="275"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75" t="str">
        <f>IF(ISBLANK(INDEX('Policy Characteristics'!K:K,MATCH($C744,'Policy Characteristics'!$C:$C,0))),"",INDEX('Policy Characteristics'!K:K,MATCH($C744,'Policy Characteristics'!$C:$C,0)))</f>
        <v>industry-ag-main.html#fuel-switching</v>
      </c>
      <c r="R744" s="275" t="str">
        <f>IF(ISBLANK(INDEX('Policy Characteristics'!L:L,MATCH($C744,'Policy Characteristics'!$C:$C,0))),"",INDEX('Policy Characteristics'!L:L,MATCH($C744,'Policy Characteristics'!$C:$C,0)))</f>
        <v>industry-elec-and-hydrogen.html</v>
      </c>
    </row>
    <row r="745" spans="1:18" x14ac:dyDescent="0.25">
      <c r="A745" s="275" t="str">
        <f>IF(ISBLANK(INDEX('Policy Characteristics'!A:A,MATCH($C745,'Policy Characteristics'!$C:$C,0))),"",INDEX('Policy Characteristics'!A:A,MATCH($C745,'Policy Characteristics'!$C:$C,0)))</f>
        <v>Industry</v>
      </c>
      <c r="B745" s="284" t="str">
        <f>IF(ISBLANK(INDEX('Policy Characteristics'!B:B,MATCH($C745,'Policy Characteristics'!$C:$C,0))),"",INDEX('Policy Characteristics'!B:B,MATCH($C745,'Policy Characteristics'!$C:$C,0)))</f>
        <v>Electrification</v>
      </c>
      <c r="C745" s="275" t="str">
        <f t="shared" si="36"/>
        <v>Fraction of Eligible Industrial Energy Use Shifted to Electricity</v>
      </c>
      <c r="D745" s="6" t="s">
        <v>3092</v>
      </c>
      <c r="E745" s="1" t="s">
        <v>3549</v>
      </c>
      <c r="F745" t="s">
        <v>3054</v>
      </c>
      <c r="G745" s="47" t="s">
        <v>3556</v>
      </c>
      <c r="H745" s="44">
        <v>2012</v>
      </c>
      <c r="I745" s="346" t="s">
        <v>44</v>
      </c>
      <c r="J745" s="276" t="str">
        <f>IF(ISBLANK(INDEX('Policy Characteristics'!D:D,MATCH($C745,'Policy Characteristics'!$C:$C,0))),"",INDEX('Policy Characteristics'!D:D,MATCH($C745,'Policy Characteristics'!$C:$C,0)))</f>
        <v>Electrification</v>
      </c>
      <c r="K745" s="275" t="str">
        <f>IF(ISBLANK(INDEX('Policy Characteristics'!E:E,MATCH($C745,'Policy Characteristics'!$C:$C,0))),"",INDEX('Policy Characteristics'!E:E,MATCH($C745,'Policy Characteristics'!$C:$C,0)))</f>
        <v>indst shift to electricity</v>
      </c>
      <c r="L745" s="283">
        <f>IF(ISBLANK(INDEX('Policy Characteristics'!F:F,MATCH($C745,'Policy Characteristics'!$C:$C,0))),"",INDEX('Policy Characteristics'!F:F,MATCH($C745,'Policy Characteristics'!$C:$C,0)))</f>
        <v>0</v>
      </c>
      <c r="M745" s="283">
        <f>IF(ISBLANK(INDEX('Policy Characteristics'!G:G,MATCH($C745,'Policy Characteristics'!$C:$C,0))),"",INDEX('Policy Characteristics'!G:G,MATCH($C745,'Policy Characteristics'!$C:$C,0)))</f>
        <v>1</v>
      </c>
      <c r="N745" s="283">
        <f>IF(ISBLANK(INDEX('Policy Characteristics'!H:H,MATCH($C745,'Policy Characteristics'!$C:$C,0))),"",INDEX('Policy Characteristics'!H:H,MATCH($C745,'Policy Characteristics'!$C:$C,0)))</f>
        <v>0.01</v>
      </c>
      <c r="O745" s="275" t="str">
        <f>IF(ISBLANK(INDEX('Policy Characteristics'!I:I,MATCH($C745,'Policy Characteristics'!$C:$C,0))),"",INDEX('Policy Characteristics'!I:I,MATCH($C745,'Policy Characteristics'!$C:$C,0)))</f>
        <v>% of fuel shifted</v>
      </c>
      <c r="P745" s="275"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75" t="str">
        <f>IF(ISBLANK(INDEX('Policy Characteristics'!K:K,MATCH($C745,'Policy Characteristics'!$C:$C,0))),"",INDEX('Policy Characteristics'!K:K,MATCH($C745,'Policy Characteristics'!$C:$C,0)))</f>
        <v>industry-ag-main.html#fuel-switching</v>
      </c>
      <c r="R745" s="275" t="str">
        <f>IF(ISBLANK(INDEX('Policy Characteristics'!L:L,MATCH($C745,'Policy Characteristics'!$C:$C,0))),"",INDEX('Policy Characteristics'!L:L,MATCH($C745,'Policy Characteristics'!$C:$C,0)))</f>
        <v>industry-elec-and-hydrogen.html</v>
      </c>
    </row>
    <row r="746" spans="1:18" x14ac:dyDescent="0.25">
      <c r="A746" s="275" t="str">
        <f>IF(ISBLANK(INDEX('Policy Characteristics'!A:A,MATCH($C746,'Policy Characteristics'!$C:$C,0))),"",INDEX('Policy Characteristics'!A:A,MATCH($C746,'Policy Characteristics'!$C:$C,0)))</f>
        <v>Industry</v>
      </c>
      <c r="B746" s="284" t="str">
        <f>IF(ISBLANK(INDEX('Policy Characteristics'!B:B,MATCH($C746,'Policy Characteristics'!$C:$C,0))),"",INDEX('Policy Characteristics'!B:B,MATCH($C746,'Policy Characteristics'!$C:$C,0)))</f>
        <v>Electrification</v>
      </c>
      <c r="C746" s="275" t="str">
        <f t="shared" si="36"/>
        <v>Fraction of Eligible Industrial Energy Use Shifted to Electricity</v>
      </c>
      <c r="D746" s="6" t="s">
        <v>3092</v>
      </c>
      <c r="E746" s="1" t="s">
        <v>3550</v>
      </c>
      <c r="F746" t="s">
        <v>3054</v>
      </c>
      <c r="G746" s="47" t="s">
        <v>3557</v>
      </c>
      <c r="H746" s="44">
        <v>2013</v>
      </c>
      <c r="I746" s="346" t="s">
        <v>44</v>
      </c>
      <c r="J746" s="276" t="str">
        <f>IF(ISBLANK(INDEX('Policy Characteristics'!D:D,MATCH($C746,'Policy Characteristics'!$C:$C,0))),"",INDEX('Policy Characteristics'!D:D,MATCH($C746,'Policy Characteristics'!$C:$C,0)))</f>
        <v>Electrification</v>
      </c>
      <c r="K746" s="275" t="str">
        <f>IF(ISBLANK(INDEX('Policy Characteristics'!E:E,MATCH($C746,'Policy Characteristics'!$C:$C,0))),"",INDEX('Policy Characteristics'!E:E,MATCH($C746,'Policy Characteristics'!$C:$C,0)))</f>
        <v>indst shift to electricity</v>
      </c>
      <c r="L746" s="283">
        <f>IF(ISBLANK(INDEX('Policy Characteristics'!F:F,MATCH($C746,'Policy Characteristics'!$C:$C,0))),"",INDEX('Policy Characteristics'!F:F,MATCH($C746,'Policy Characteristics'!$C:$C,0)))</f>
        <v>0</v>
      </c>
      <c r="M746" s="283">
        <f>IF(ISBLANK(INDEX('Policy Characteristics'!G:G,MATCH($C746,'Policy Characteristics'!$C:$C,0))),"",INDEX('Policy Characteristics'!G:G,MATCH($C746,'Policy Characteristics'!$C:$C,0)))</f>
        <v>1</v>
      </c>
      <c r="N746" s="283">
        <f>IF(ISBLANK(INDEX('Policy Characteristics'!H:H,MATCH($C746,'Policy Characteristics'!$C:$C,0))),"",INDEX('Policy Characteristics'!H:H,MATCH($C746,'Policy Characteristics'!$C:$C,0)))</f>
        <v>0.01</v>
      </c>
      <c r="O746" s="275" t="str">
        <f>IF(ISBLANK(INDEX('Policy Characteristics'!I:I,MATCH($C746,'Policy Characteristics'!$C:$C,0))),"",INDEX('Policy Characteristics'!I:I,MATCH($C746,'Policy Characteristics'!$C:$C,0)))</f>
        <v>% of fuel shifted</v>
      </c>
      <c r="P746" s="275"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75" t="str">
        <f>IF(ISBLANK(INDEX('Policy Characteristics'!K:K,MATCH($C746,'Policy Characteristics'!$C:$C,0))),"",INDEX('Policy Characteristics'!K:K,MATCH($C746,'Policy Characteristics'!$C:$C,0)))</f>
        <v>industry-ag-main.html#fuel-switching</v>
      </c>
      <c r="R746" s="275" t="str">
        <f>IF(ISBLANK(INDEX('Policy Characteristics'!L:L,MATCH($C746,'Policy Characteristics'!$C:$C,0))),"",INDEX('Policy Characteristics'!L:L,MATCH($C746,'Policy Characteristics'!$C:$C,0)))</f>
        <v>industry-elec-and-hydrogen.html</v>
      </c>
    </row>
    <row r="747" spans="1:18" x14ac:dyDescent="0.25">
      <c r="A747" s="275" t="str">
        <f>IF(ISBLANK(INDEX('Policy Characteristics'!A:A,MATCH($C747,'Policy Characteristics'!$C:$C,0))),"",INDEX('Policy Characteristics'!A:A,MATCH($C747,'Policy Characteristics'!$C:$C,0)))</f>
        <v>Industry</v>
      </c>
      <c r="B747" s="284" t="str">
        <f>IF(ISBLANK(INDEX('Policy Characteristics'!B:B,MATCH($C747,'Policy Characteristics'!$C:$C,0))),"",INDEX('Policy Characteristics'!B:B,MATCH($C747,'Policy Characteristics'!$C:$C,0)))</f>
        <v>Electrification</v>
      </c>
      <c r="C747" s="275" t="str">
        <f t="shared" si="36"/>
        <v>Fraction of Eligible Industrial Energy Use Shifted to Electricity</v>
      </c>
      <c r="D747" s="6" t="s">
        <v>3092</v>
      </c>
      <c r="E747" s="1" t="s">
        <v>3551</v>
      </c>
      <c r="F747" t="s">
        <v>3054</v>
      </c>
      <c r="G747" s="47" t="s">
        <v>3558</v>
      </c>
      <c r="H747" s="44">
        <v>2014</v>
      </c>
      <c r="I747" s="346" t="s">
        <v>44</v>
      </c>
      <c r="J747" s="276" t="str">
        <f>IF(ISBLANK(INDEX('Policy Characteristics'!D:D,MATCH($C747,'Policy Characteristics'!$C:$C,0))),"",INDEX('Policy Characteristics'!D:D,MATCH($C747,'Policy Characteristics'!$C:$C,0)))</f>
        <v>Electrification</v>
      </c>
      <c r="K747" s="275" t="str">
        <f>IF(ISBLANK(INDEX('Policy Characteristics'!E:E,MATCH($C747,'Policy Characteristics'!$C:$C,0))),"",INDEX('Policy Characteristics'!E:E,MATCH($C747,'Policy Characteristics'!$C:$C,0)))</f>
        <v>indst shift to electricity</v>
      </c>
      <c r="L747" s="283">
        <f>IF(ISBLANK(INDEX('Policy Characteristics'!F:F,MATCH($C747,'Policy Characteristics'!$C:$C,0))),"",INDEX('Policy Characteristics'!F:F,MATCH($C747,'Policy Characteristics'!$C:$C,0)))</f>
        <v>0</v>
      </c>
      <c r="M747" s="283">
        <f>IF(ISBLANK(INDEX('Policy Characteristics'!G:G,MATCH($C747,'Policy Characteristics'!$C:$C,0))),"",INDEX('Policy Characteristics'!G:G,MATCH($C747,'Policy Characteristics'!$C:$C,0)))</f>
        <v>1</v>
      </c>
      <c r="N747" s="283">
        <f>IF(ISBLANK(INDEX('Policy Characteristics'!H:H,MATCH($C747,'Policy Characteristics'!$C:$C,0))),"",INDEX('Policy Characteristics'!H:H,MATCH($C747,'Policy Characteristics'!$C:$C,0)))</f>
        <v>0.01</v>
      </c>
      <c r="O747" s="275" t="str">
        <f>IF(ISBLANK(INDEX('Policy Characteristics'!I:I,MATCH($C747,'Policy Characteristics'!$C:$C,0))),"",INDEX('Policy Characteristics'!I:I,MATCH($C747,'Policy Characteristics'!$C:$C,0)))</f>
        <v>% of fuel shifted</v>
      </c>
      <c r="P747" s="275"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75" t="str">
        <f>IF(ISBLANK(INDEX('Policy Characteristics'!K:K,MATCH($C747,'Policy Characteristics'!$C:$C,0))),"",INDEX('Policy Characteristics'!K:K,MATCH($C747,'Policy Characteristics'!$C:$C,0)))</f>
        <v>industry-ag-main.html#fuel-switching</v>
      </c>
      <c r="R747" s="275" t="str">
        <f>IF(ISBLANK(INDEX('Policy Characteristics'!L:L,MATCH($C747,'Policy Characteristics'!$C:$C,0))),"",INDEX('Policy Characteristics'!L:L,MATCH($C747,'Policy Characteristics'!$C:$C,0)))</f>
        <v>industry-elec-and-hydrogen.html</v>
      </c>
    </row>
    <row r="748" spans="1:18" x14ac:dyDescent="0.25">
      <c r="A748" s="275" t="str">
        <f>IF(ISBLANK(INDEX('Policy Characteristics'!A:A,MATCH($C748,'Policy Characteristics'!$C:$C,0))),"",INDEX('Policy Characteristics'!A:A,MATCH($C748,'Policy Characteristics'!$C:$C,0)))</f>
        <v>Industry</v>
      </c>
      <c r="B748" s="284" t="str">
        <f>IF(ISBLANK(INDEX('Policy Characteristics'!B:B,MATCH($C748,'Policy Characteristics'!$C:$C,0))),"",INDEX('Policy Characteristics'!B:B,MATCH($C748,'Policy Characteristics'!$C:$C,0)))</f>
        <v>Electrification</v>
      </c>
      <c r="C748" s="275" t="str">
        <f t="shared" si="36"/>
        <v>Fraction of Eligible Industrial Energy Use Shifted to Electricity</v>
      </c>
      <c r="D748" s="6" t="s">
        <v>3092</v>
      </c>
      <c r="E748" s="1" t="s">
        <v>3552</v>
      </c>
      <c r="F748" t="s">
        <v>3054</v>
      </c>
      <c r="G748" s="47" t="s">
        <v>3559</v>
      </c>
      <c r="H748" s="44">
        <v>2015</v>
      </c>
      <c r="I748" s="346" t="s">
        <v>43</v>
      </c>
      <c r="J748" s="276" t="str">
        <f>IF(ISBLANK(INDEX('Policy Characteristics'!D:D,MATCH($C748,'Policy Characteristics'!$C:$C,0))),"",INDEX('Policy Characteristics'!D:D,MATCH($C748,'Policy Characteristics'!$C:$C,0)))</f>
        <v>Electrification</v>
      </c>
      <c r="K748" s="275" t="str">
        <f>IF(ISBLANK(INDEX('Policy Characteristics'!E:E,MATCH($C748,'Policy Characteristics'!$C:$C,0))),"",INDEX('Policy Characteristics'!E:E,MATCH($C748,'Policy Characteristics'!$C:$C,0)))</f>
        <v>indst shift to electricity</v>
      </c>
      <c r="L748" s="283">
        <f>IF(ISBLANK(INDEX('Policy Characteristics'!F:F,MATCH($C748,'Policy Characteristics'!$C:$C,0))),"",INDEX('Policy Characteristics'!F:F,MATCH($C748,'Policy Characteristics'!$C:$C,0)))</f>
        <v>0</v>
      </c>
      <c r="M748" s="283">
        <f>IF(ISBLANK(INDEX('Policy Characteristics'!G:G,MATCH($C748,'Policy Characteristics'!$C:$C,0))),"",INDEX('Policy Characteristics'!G:G,MATCH($C748,'Policy Characteristics'!$C:$C,0)))</f>
        <v>1</v>
      </c>
      <c r="N748" s="283">
        <f>IF(ISBLANK(INDEX('Policy Characteristics'!H:H,MATCH($C748,'Policy Characteristics'!$C:$C,0))),"",INDEX('Policy Characteristics'!H:H,MATCH($C748,'Policy Characteristics'!$C:$C,0)))</f>
        <v>0.01</v>
      </c>
      <c r="O748" s="275" t="str">
        <f>IF(ISBLANK(INDEX('Policy Characteristics'!I:I,MATCH($C748,'Policy Characteristics'!$C:$C,0))),"",INDEX('Policy Characteristics'!I:I,MATCH($C748,'Policy Characteristics'!$C:$C,0)))</f>
        <v>% of fuel shifted</v>
      </c>
      <c r="P748" s="275"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75" t="str">
        <f>IF(ISBLANK(INDEX('Policy Characteristics'!K:K,MATCH($C748,'Policy Characteristics'!$C:$C,0))),"",INDEX('Policy Characteristics'!K:K,MATCH($C748,'Policy Characteristics'!$C:$C,0)))</f>
        <v>industry-ag-main.html#fuel-switching</v>
      </c>
      <c r="R748" s="275" t="str">
        <f>IF(ISBLANK(INDEX('Policy Characteristics'!L:L,MATCH($C748,'Policy Characteristics'!$C:$C,0))),"",INDEX('Policy Characteristics'!L:L,MATCH($C748,'Policy Characteristics'!$C:$C,0)))</f>
        <v>industry-elec-and-hydrogen.html</v>
      </c>
    </row>
    <row r="749" spans="1:18" x14ac:dyDescent="0.25">
      <c r="A749" s="275" t="str">
        <f>IF(ISBLANK(INDEX('Policy Characteristics'!A:A,MATCH($C749,'Policy Characteristics'!$C:$C,0))),"",INDEX('Policy Characteristics'!A:A,MATCH($C749,'Policy Characteristics'!$C:$C,0)))</f>
        <v>Industry</v>
      </c>
      <c r="B749" s="284" t="str">
        <f>IF(ISBLANK(INDEX('Policy Characteristics'!B:B,MATCH($C749,'Policy Characteristics'!$C:$C,0))),"",INDEX('Policy Characteristics'!B:B,MATCH($C749,'Policy Characteristics'!$C:$C,0)))</f>
        <v>Electrification</v>
      </c>
      <c r="C749" s="275" t="str">
        <f t="shared" si="36"/>
        <v>Fraction of Eligible Industrial Energy Use Shifted to Electricity</v>
      </c>
      <c r="D749" s="6" t="s">
        <v>3092</v>
      </c>
      <c r="E749" s="1" t="s">
        <v>3553</v>
      </c>
      <c r="F749" t="s">
        <v>3054</v>
      </c>
      <c r="G749" s="47" t="s">
        <v>3560</v>
      </c>
      <c r="H749" s="44">
        <v>2016</v>
      </c>
      <c r="I749" s="346" t="s">
        <v>44</v>
      </c>
      <c r="J749" s="276" t="str">
        <f>IF(ISBLANK(INDEX('Policy Characteristics'!D:D,MATCH($C749,'Policy Characteristics'!$C:$C,0))),"",INDEX('Policy Characteristics'!D:D,MATCH($C749,'Policy Characteristics'!$C:$C,0)))</f>
        <v>Electrification</v>
      </c>
      <c r="K749" s="275" t="str">
        <f>IF(ISBLANK(INDEX('Policy Characteristics'!E:E,MATCH($C749,'Policy Characteristics'!$C:$C,0))),"",INDEX('Policy Characteristics'!E:E,MATCH($C749,'Policy Characteristics'!$C:$C,0)))</f>
        <v>indst shift to electricity</v>
      </c>
      <c r="L749" s="283">
        <f>IF(ISBLANK(INDEX('Policy Characteristics'!F:F,MATCH($C749,'Policy Characteristics'!$C:$C,0))),"",INDEX('Policy Characteristics'!F:F,MATCH($C749,'Policy Characteristics'!$C:$C,0)))</f>
        <v>0</v>
      </c>
      <c r="M749" s="283">
        <f>IF(ISBLANK(INDEX('Policy Characteristics'!G:G,MATCH($C749,'Policy Characteristics'!$C:$C,0))),"",INDEX('Policy Characteristics'!G:G,MATCH($C749,'Policy Characteristics'!$C:$C,0)))</f>
        <v>1</v>
      </c>
      <c r="N749" s="283">
        <f>IF(ISBLANK(INDEX('Policy Characteristics'!H:H,MATCH($C749,'Policy Characteristics'!$C:$C,0))),"",INDEX('Policy Characteristics'!H:H,MATCH($C749,'Policy Characteristics'!$C:$C,0)))</f>
        <v>0.01</v>
      </c>
      <c r="O749" s="275" t="str">
        <f>IF(ISBLANK(INDEX('Policy Characteristics'!I:I,MATCH($C749,'Policy Characteristics'!$C:$C,0))),"",INDEX('Policy Characteristics'!I:I,MATCH($C749,'Policy Characteristics'!$C:$C,0)))</f>
        <v>% of fuel shifted</v>
      </c>
      <c r="P749" s="275"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75" t="str">
        <f>IF(ISBLANK(INDEX('Policy Characteristics'!K:K,MATCH($C749,'Policy Characteristics'!$C:$C,0))),"",INDEX('Policy Characteristics'!K:K,MATCH($C749,'Policy Characteristics'!$C:$C,0)))</f>
        <v>industry-ag-main.html#fuel-switching</v>
      </c>
      <c r="R749" s="275" t="str">
        <f>IF(ISBLANK(INDEX('Policy Characteristics'!L:L,MATCH($C749,'Policy Characteristics'!$C:$C,0))),"",INDEX('Policy Characteristics'!L:L,MATCH($C749,'Policy Characteristics'!$C:$C,0)))</f>
        <v>industry-elec-and-hydrogen.html</v>
      </c>
    </row>
    <row r="750" spans="1:18" x14ac:dyDescent="0.25">
      <c r="A750" s="275" t="str">
        <f>IF(ISBLANK(INDEX('Policy Characteristics'!A:A,MATCH($C750,'Policy Characteristics'!$C:$C,0))),"",INDEX('Policy Characteristics'!A:A,MATCH($C750,'Policy Characteristics'!$C:$C,0)))</f>
        <v>Industry</v>
      </c>
      <c r="B750" s="284" t="str">
        <f>IF(ISBLANK(INDEX('Policy Characteristics'!B:B,MATCH($C750,'Policy Characteristics'!$C:$C,0))),"",INDEX('Policy Characteristics'!B:B,MATCH($C750,'Policy Characteristics'!$C:$C,0)))</f>
        <v>Electrification</v>
      </c>
      <c r="C750" s="275" t="str">
        <f t="shared" si="36"/>
        <v>Fraction of Eligible Industrial Energy Use Shifted to Electricity</v>
      </c>
      <c r="D750" s="6" t="s">
        <v>3092</v>
      </c>
      <c r="E750" s="1" t="s">
        <v>3737</v>
      </c>
      <c r="F750" t="s">
        <v>3054</v>
      </c>
      <c r="G750" s="47" t="s">
        <v>3738</v>
      </c>
      <c r="H750" s="44">
        <v>2017</v>
      </c>
      <c r="I750" s="346" t="s">
        <v>44</v>
      </c>
      <c r="J750" s="276" t="str">
        <f>IF(ISBLANK(INDEX('Policy Characteristics'!D:D,MATCH($C750,'Policy Characteristics'!$C:$C,0))),"",INDEX('Policy Characteristics'!D:D,MATCH($C750,'Policy Characteristics'!$C:$C,0)))</f>
        <v>Electrification</v>
      </c>
      <c r="K750" s="275" t="str">
        <f>IF(ISBLANK(INDEX('Policy Characteristics'!E:E,MATCH($C750,'Policy Characteristics'!$C:$C,0))),"",INDEX('Policy Characteristics'!E:E,MATCH($C750,'Policy Characteristics'!$C:$C,0)))</f>
        <v>indst shift to electricity</v>
      </c>
      <c r="L750" s="283">
        <f>IF(ISBLANK(INDEX('Policy Characteristics'!F:F,MATCH($C750,'Policy Characteristics'!$C:$C,0))),"",INDEX('Policy Characteristics'!F:F,MATCH($C750,'Policy Characteristics'!$C:$C,0)))</f>
        <v>0</v>
      </c>
      <c r="M750" s="283">
        <f>IF(ISBLANK(INDEX('Policy Characteristics'!G:G,MATCH($C750,'Policy Characteristics'!$C:$C,0))),"",INDEX('Policy Characteristics'!G:G,MATCH($C750,'Policy Characteristics'!$C:$C,0)))</f>
        <v>1</v>
      </c>
      <c r="N750" s="283">
        <f>IF(ISBLANK(INDEX('Policy Characteristics'!H:H,MATCH($C750,'Policy Characteristics'!$C:$C,0))),"",INDEX('Policy Characteristics'!H:H,MATCH($C750,'Policy Characteristics'!$C:$C,0)))</f>
        <v>0.01</v>
      </c>
      <c r="O750" s="275" t="str">
        <f>IF(ISBLANK(INDEX('Policy Characteristics'!I:I,MATCH($C750,'Policy Characteristics'!$C:$C,0))),"",INDEX('Policy Characteristics'!I:I,MATCH($C750,'Policy Characteristics'!$C:$C,0)))</f>
        <v>% of fuel shifted</v>
      </c>
      <c r="P750" s="275"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75" t="str">
        <f>IF(ISBLANK(INDEX('Policy Characteristics'!K:K,MATCH($C750,'Policy Characteristics'!$C:$C,0))),"",INDEX('Policy Characteristics'!K:K,MATCH($C750,'Policy Characteristics'!$C:$C,0)))</f>
        <v>industry-ag-main.html#fuel-switching</v>
      </c>
      <c r="R750" s="275" t="str">
        <f>IF(ISBLANK(INDEX('Policy Characteristics'!L:L,MATCH($C750,'Policy Characteristics'!$C:$C,0))),"",INDEX('Policy Characteristics'!L:L,MATCH($C750,'Policy Characteristics'!$C:$C,0)))</f>
        <v>industry-elec-and-hydrogen.html</v>
      </c>
    </row>
    <row r="751" spans="1:18" x14ac:dyDescent="0.25">
      <c r="A751" s="275" t="str">
        <f>IF(ISBLANK(INDEX('Policy Characteristics'!A:A,MATCH($C751,'Policy Characteristics'!$C:$C,0))),"",INDEX('Policy Characteristics'!A:A,MATCH($C751,'Policy Characteristics'!$C:$C,0)))</f>
        <v>Industry</v>
      </c>
      <c r="B751" s="284" t="str">
        <f>IF(ISBLANK(INDEX('Policy Characteristics'!B:B,MATCH($C751,'Policy Characteristics'!$C:$C,0))),"",INDEX('Policy Characteristics'!B:B,MATCH($C751,'Policy Characteristics'!$C:$C,0)))</f>
        <v>Electrification</v>
      </c>
      <c r="C751" s="275" t="str">
        <f t="shared" si="36"/>
        <v>Fraction of Eligible Industrial Energy Use Shifted to Electricity</v>
      </c>
      <c r="D751" s="6" t="s">
        <v>3093</v>
      </c>
      <c r="E751" s="1" t="s">
        <v>3547</v>
      </c>
      <c r="F751" t="s">
        <v>3096</v>
      </c>
      <c r="G751" s="47" t="s">
        <v>3554</v>
      </c>
      <c r="H751" s="44">
        <v>2018</v>
      </c>
      <c r="I751" s="346" t="s">
        <v>43</v>
      </c>
      <c r="J751" s="276" t="str">
        <f>IF(ISBLANK(INDEX('Policy Characteristics'!D:D,MATCH($C751,'Policy Characteristics'!$C:$C,0))),"",INDEX('Policy Characteristics'!D:D,MATCH($C751,'Policy Characteristics'!$C:$C,0)))</f>
        <v>Electrification</v>
      </c>
      <c r="K751" s="275" t="str">
        <f>IF(ISBLANK(INDEX('Policy Characteristics'!E:E,MATCH($C751,'Policy Characteristics'!$C:$C,0))),"",INDEX('Policy Characteristics'!E:E,MATCH($C751,'Policy Characteristics'!$C:$C,0)))</f>
        <v>indst shift to electricity</v>
      </c>
      <c r="L751" s="283">
        <f>IF(ISBLANK(INDEX('Policy Characteristics'!F:F,MATCH($C751,'Policy Characteristics'!$C:$C,0))),"",INDEX('Policy Characteristics'!F:F,MATCH($C751,'Policy Characteristics'!$C:$C,0)))</f>
        <v>0</v>
      </c>
      <c r="M751" s="283">
        <f>IF(ISBLANK(INDEX('Policy Characteristics'!G:G,MATCH($C751,'Policy Characteristics'!$C:$C,0))),"",INDEX('Policy Characteristics'!G:G,MATCH($C751,'Policy Characteristics'!$C:$C,0)))</f>
        <v>1</v>
      </c>
      <c r="N751" s="283">
        <f>IF(ISBLANK(INDEX('Policy Characteristics'!H:H,MATCH($C751,'Policy Characteristics'!$C:$C,0))),"",INDEX('Policy Characteristics'!H:H,MATCH($C751,'Policy Characteristics'!$C:$C,0)))</f>
        <v>0.01</v>
      </c>
      <c r="O751" s="275" t="str">
        <f>IF(ISBLANK(INDEX('Policy Characteristics'!I:I,MATCH($C751,'Policy Characteristics'!$C:$C,0))),"",INDEX('Policy Characteristics'!I:I,MATCH($C751,'Policy Characteristics'!$C:$C,0)))</f>
        <v>% of fuel shifted</v>
      </c>
      <c r="P751" s="275"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75" t="str">
        <f>IF(ISBLANK(INDEX('Policy Characteristics'!K:K,MATCH($C751,'Policy Characteristics'!$C:$C,0))),"",INDEX('Policy Characteristics'!K:K,MATCH($C751,'Policy Characteristics'!$C:$C,0)))</f>
        <v>industry-ag-main.html#fuel-switching</v>
      </c>
      <c r="R751" s="275" t="str">
        <f>IF(ISBLANK(INDEX('Policy Characteristics'!L:L,MATCH($C751,'Policy Characteristics'!$C:$C,0))),"",INDEX('Policy Characteristics'!L:L,MATCH($C751,'Policy Characteristics'!$C:$C,0)))</f>
        <v>industry-elec-and-hydrogen.html</v>
      </c>
    </row>
    <row r="752" spans="1:18" x14ac:dyDescent="0.25">
      <c r="A752" s="275" t="str">
        <f>IF(ISBLANK(INDEX('Policy Characteristics'!A:A,MATCH($C752,'Policy Characteristics'!$C:$C,0))),"",INDEX('Policy Characteristics'!A:A,MATCH($C752,'Policy Characteristics'!$C:$C,0)))</f>
        <v>Industry</v>
      </c>
      <c r="B752" s="284" t="str">
        <f>IF(ISBLANK(INDEX('Policy Characteristics'!B:B,MATCH($C752,'Policy Characteristics'!$C:$C,0))),"",INDEX('Policy Characteristics'!B:B,MATCH($C752,'Policy Characteristics'!$C:$C,0)))</f>
        <v>Electrification</v>
      </c>
      <c r="C752" s="275" t="str">
        <f t="shared" si="36"/>
        <v>Fraction of Eligible Industrial Energy Use Shifted to Electricity</v>
      </c>
      <c r="D752" s="6" t="s">
        <v>3093</v>
      </c>
      <c r="E752" s="1" t="s">
        <v>3548</v>
      </c>
      <c r="F752" t="s">
        <v>3096</v>
      </c>
      <c r="G752" s="47" t="s">
        <v>3555</v>
      </c>
      <c r="H752" s="44">
        <v>2019</v>
      </c>
      <c r="I752" s="346" t="s">
        <v>44</v>
      </c>
      <c r="J752" s="276" t="str">
        <f>IF(ISBLANK(INDEX('Policy Characteristics'!D:D,MATCH($C752,'Policy Characteristics'!$C:$C,0))),"",INDEX('Policy Characteristics'!D:D,MATCH($C752,'Policy Characteristics'!$C:$C,0)))</f>
        <v>Electrification</v>
      </c>
      <c r="K752" s="275" t="str">
        <f>IF(ISBLANK(INDEX('Policy Characteristics'!E:E,MATCH($C752,'Policy Characteristics'!$C:$C,0))),"",INDEX('Policy Characteristics'!E:E,MATCH($C752,'Policy Characteristics'!$C:$C,0)))</f>
        <v>indst shift to electricity</v>
      </c>
      <c r="L752" s="283">
        <f>IF(ISBLANK(INDEX('Policy Characteristics'!F:F,MATCH($C752,'Policy Characteristics'!$C:$C,0))),"",INDEX('Policy Characteristics'!F:F,MATCH($C752,'Policy Characteristics'!$C:$C,0)))</f>
        <v>0</v>
      </c>
      <c r="M752" s="283">
        <f>IF(ISBLANK(INDEX('Policy Characteristics'!G:G,MATCH($C752,'Policy Characteristics'!$C:$C,0))),"",INDEX('Policy Characteristics'!G:G,MATCH($C752,'Policy Characteristics'!$C:$C,0)))</f>
        <v>1</v>
      </c>
      <c r="N752" s="283">
        <f>IF(ISBLANK(INDEX('Policy Characteristics'!H:H,MATCH($C752,'Policy Characteristics'!$C:$C,0))),"",INDEX('Policy Characteristics'!H:H,MATCH($C752,'Policy Characteristics'!$C:$C,0)))</f>
        <v>0.01</v>
      </c>
      <c r="O752" s="275" t="str">
        <f>IF(ISBLANK(INDEX('Policy Characteristics'!I:I,MATCH($C752,'Policy Characteristics'!$C:$C,0))),"",INDEX('Policy Characteristics'!I:I,MATCH($C752,'Policy Characteristics'!$C:$C,0)))</f>
        <v>% of fuel shifted</v>
      </c>
      <c r="P752" s="275"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75" t="str">
        <f>IF(ISBLANK(INDEX('Policy Characteristics'!K:K,MATCH($C752,'Policy Characteristics'!$C:$C,0))),"",INDEX('Policy Characteristics'!K:K,MATCH($C752,'Policy Characteristics'!$C:$C,0)))</f>
        <v>industry-ag-main.html#fuel-switching</v>
      </c>
      <c r="R752" s="275" t="str">
        <f>IF(ISBLANK(INDEX('Policy Characteristics'!L:L,MATCH($C752,'Policy Characteristics'!$C:$C,0))),"",INDEX('Policy Characteristics'!L:L,MATCH($C752,'Policy Characteristics'!$C:$C,0)))</f>
        <v>industry-elec-and-hydrogen.html</v>
      </c>
    </row>
    <row r="753" spans="1:18" x14ac:dyDescent="0.25">
      <c r="A753" s="275" t="str">
        <f>IF(ISBLANK(INDEX('Policy Characteristics'!A:A,MATCH($C753,'Policy Characteristics'!$C:$C,0))),"",INDEX('Policy Characteristics'!A:A,MATCH($C753,'Policy Characteristics'!$C:$C,0)))</f>
        <v>Industry</v>
      </c>
      <c r="B753" s="284" t="str">
        <f>IF(ISBLANK(INDEX('Policy Characteristics'!B:B,MATCH($C753,'Policy Characteristics'!$C:$C,0))),"",INDEX('Policy Characteristics'!B:B,MATCH($C753,'Policy Characteristics'!$C:$C,0)))</f>
        <v>Electrification</v>
      </c>
      <c r="C753" s="275" t="str">
        <f t="shared" si="36"/>
        <v>Fraction of Eligible Industrial Energy Use Shifted to Electricity</v>
      </c>
      <c r="D753" s="6" t="s">
        <v>3093</v>
      </c>
      <c r="E753" s="1" t="s">
        <v>3549</v>
      </c>
      <c r="F753" t="s">
        <v>3096</v>
      </c>
      <c r="G753" s="47" t="s">
        <v>3556</v>
      </c>
      <c r="H753" s="44">
        <v>2020</v>
      </c>
      <c r="I753" s="346" t="s">
        <v>44</v>
      </c>
      <c r="J753" s="276" t="str">
        <f>IF(ISBLANK(INDEX('Policy Characteristics'!D:D,MATCH($C753,'Policy Characteristics'!$C:$C,0))),"",INDEX('Policy Characteristics'!D:D,MATCH($C753,'Policy Characteristics'!$C:$C,0)))</f>
        <v>Electrification</v>
      </c>
      <c r="K753" s="275" t="str">
        <f>IF(ISBLANK(INDEX('Policy Characteristics'!E:E,MATCH($C753,'Policy Characteristics'!$C:$C,0))),"",INDEX('Policy Characteristics'!E:E,MATCH($C753,'Policy Characteristics'!$C:$C,0)))</f>
        <v>indst shift to electricity</v>
      </c>
      <c r="L753" s="283">
        <f>IF(ISBLANK(INDEX('Policy Characteristics'!F:F,MATCH($C753,'Policy Characteristics'!$C:$C,0))),"",INDEX('Policy Characteristics'!F:F,MATCH($C753,'Policy Characteristics'!$C:$C,0)))</f>
        <v>0</v>
      </c>
      <c r="M753" s="283">
        <f>IF(ISBLANK(INDEX('Policy Characteristics'!G:G,MATCH($C753,'Policy Characteristics'!$C:$C,0))),"",INDEX('Policy Characteristics'!G:G,MATCH($C753,'Policy Characteristics'!$C:$C,0)))</f>
        <v>1</v>
      </c>
      <c r="N753" s="283">
        <f>IF(ISBLANK(INDEX('Policy Characteristics'!H:H,MATCH($C753,'Policy Characteristics'!$C:$C,0))),"",INDEX('Policy Characteristics'!H:H,MATCH($C753,'Policy Characteristics'!$C:$C,0)))</f>
        <v>0.01</v>
      </c>
      <c r="O753" s="275" t="str">
        <f>IF(ISBLANK(INDEX('Policy Characteristics'!I:I,MATCH($C753,'Policy Characteristics'!$C:$C,0))),"",INDEX('Policy Characteristics'!I:I,MATCH($C753,'Policy Characteristics'!$C:$C,0)))</f>
        <v>% of fuel shifted</v>
      </c>
      <c r="P753" s="275"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75" t="str">
        <f>IF(ISBLANK(INDEX('Policy Characteristics'!K:K,MATCH($C753,'Policy Characteristics'!$C:$C,0))),"",INDEX('Policy Characteristics'!K:K,MATCH($C753,'Policy Characteristics'!$C:$C,0)))</f>
        <v>industry-ag-main.html#fuel-switching</v>
      </c>
      <c r="R753" s="275" t="str">
        <f>IF(ISBLANK(INDEX('Policy Characteristics'!L:L,MATCH($C753,'Policy Characteristics'!$C:$C,0))),"",INDEX('Policy Characteristics'!L:L,MATCH($C753,'Policy Characteristics'!$C:$C,0)))</f>
        <v>industry-elec-and-hydrogen.html</v>
      </c>
    </row>
    <row r="754" spans="1:18" x14ac:dyDescent="0.25">
      <c r="A754" s="275" t="str">
        <f>IF(ISBLANK(INDEX('Policy Characteristics'!A:A,MATCH($C754,'Policy Characteristics'!$C:$C,0))),"",INDEX('Policy Characteristics'!A:A,MATCH($C754,'Policy Characteristics'!$C:$C,0)))</f>
        <v>Industry</v>
      </c>
      <c r="B754" s="284" t="str">
        <f>IF(ISBLANK(INDEX('Policy Characteristics'!B:B,MATCH($C754,'Policy Characteristics'!$C:$C,0))),"",INDEX('Policy Characteristics'!B:B,MATCH($C754,'Policy Characteristics'!$C:$C,0)))</f>
        <v>Electrification</v>
      </c>
      <c r="C754" s="275" t="str">
        <f t="shared" si="36"/>
        <v>Fraction of Eligible Industrial Energy Use Shifted to Electricity</v>
      </c>
      <c r="D754" s="6" t="s">
        <v>3093</v>
      </c>
      <c r="E754" s="1" t="s">
        <v>3550</v>
      </c>
      <c r="F754" t="s">
        <v>3096</v>
      </c>
      <c r="G754" s="47" t="s">
        <v>3557</v>
      </c>
      <c r="H754" s="44">
        <v>2021</v>
      </c>
      <c r="I754" s="346" t="s">
        <v>44</v>
      </c>
      <c r="J754" s="276" t="str">
        <f>IF(ISBLANK(INDEX('Policy Characteristics'!D:D,MATCH($C754,'Policy Characteristics'!$C:$C,0))),"",INDEX('Policy Characteristics'!D:D,MATCH($C754,'Policy Characteristics'!$C:$C,0)))</f>
        <v>Electrification</v>
      </c>
      <c r="K754" s="275" t="str">
        <f>IF(ISBLANK(INDEX('Policy Characteristics'!E:E,MATCH($C754,'Policy Characteristics'!$C:$C,0))),"",INDEX('Policy Characteristics'!E:E,MATCH($C754,'Policy Characteristics'!$C:$C,0)))</f>
        <v>indst shift to electricity</v>
      </c>
      <c r="L754" s="283">
        <f>IF(ISBLANK(INDEX('Policy Characteristics'!F:F,MATCH($C754,'Policy Characteristics'!$C:$C,0))),"",INDEX('Policy Characteristics'!F:F,MATCH($C754,'Policy Characteristics'!$C:$C,0)))</f>
        <v>0</v>
      </c>
      <c r="M754" s="283">
        <f>IF(ISBLANK(INDEX('Policy Characteristics'!G:G,MATCH($C754,'Policy Characteristics'!$C:$C,0))),"",INDEX('Policy Characteristics'!G:G,MATCH($C754,'Policy Characteristics'!$C:$C,0)))</f>
        <v>1</v>
      </c>
      <c r="N754" s="283">
        <f>IF(ISBLANK(INDEX('Policy Characteristics'!H:H,MATCH($C754,'Policy Characteristics'!$C:$C,0))),"",INDEX('Policy Characteristics'!H:H,MATCH($C754,'Policy Characteristics'!$C:$C,0)))</f>
        <v>0.01</v>
      </c>
      <c r="O754" s="275" t="str">
        <f>IF(ISBLANK(INDEX('Policy Characteristics'!I:I,MATCH($C754,'Policy Characteristics'!$C:$C,0))),"",INDEX('Policy Characteristics'!I:I,MATCH($C754,'Policy Characteristics'!$C:$C,0)))</f>
        <v>% of fuel shifted</v>
      </c>
      <c r="P754" s="275"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75" t="str">
        <f>IF(ISBLANK(INDEX('Policy Characteristics'!K:K,MATCH($C754,'Policy Characteristics'!$C:$C,0))),"",INDEX('Policy Characteristics'!K:K,MATCH($C754,'Policy Characteristics'!$C:$C,0)))</f>
        <v>industry-ag-main.html#fuel-switching</v>
      </c>
      <c r="R754" s="275" t="str">
        <f>IF(ISBLANK(INDEX('Policy Characteristics'!L:L,MATCH($C754,'Policy Characteristics'!$C:$C,0))),"",INDEX('Policy Characteristics'!L:L,MATCH($C754,'Policy Characteristics'!$C:$C,0)))</f>
        <v>industry-elec-and-hydrogen.html</v>
      </c>
    </row>
    <row r="755" spans="1:18" x14ac:dyDescent="0.25">
      <c r="A755" s="275" t="str">
        <f>IF(ISBLANK(INDEX('Policy Characteristics'!A:A,MATCH($C755,'Policy Characteristics'!$C:$C,0))),"",INDEX('Policy Characteristics'!A:A,MATCH($C755,'Policy Characteristics'!$C:$C,0)))</f>
        <v>Industry</v>
      </c>
      <c r="B755" s="284" t="str">
        <f>IF(ISBLANK(INDEX('Policy Characteristics'!B:B,MATCH($C755,'Policy Characteristics'!$C:$C,0))),"",INDEX('Policy Characteristics'!B:B,MATCH($C755,'Policy Characteristics'!$C:$C,0)))</f>
        <v>Electrification</v>
      </c>
      <c r="C755" s="275" t="str">
        <f t="shared" si="36"/>
        <v>Fraction of Eligible Industrial Energy Use Shifted to Electricity</v>
      </c>
      <c r="D755" s="6" t="s">
        <v>3093</v>
      </c>
      <c r="E755" s="1" t="s">
        <v>3551</v>
      </c>
      <c r="F755" t="s">
        <v>3096</v>
      </c>
      <c r="G755" s="47" t="s">
        <v>3558</v>
      </c>
      <c r="H755" s="44">
        <v>2022</v>
      </c>
      <c r="I755" s="346" t="s">
        <v>44</v>
      </c>
      <c r="J755" s="276" t="str">
        <f>IF(ISBLANK(INDEX('Policy Characteristics'!D:D,MATCH($C755,'Policy Characteristics'!$C:$C,0))),"",INDEX('Policy Characteristics'!D:D,MATCH($C755,'Policy Characteristics'!$C:$C,0)))</f>
        <v>Electrification</v>
      </c>
      <c r="K755" s="275" t="str">
        <f>IF(ISBLANK(INDEX('Policy Characteristics'!E:E,MATCH($C755,'Policy Characteristics'!$C:$C,0))),"",INDEX('Policy Characteristics'!E:E,MATCH($C755,'Policy Characteristics'!$C:$C,0)))</f>
        <v>indst shift to electricity</v>
      </c>
      <c r="L755" s="283">
        <f>IF(ISBLANK(INDEX('Policy Characteristics'!F:F,MATCH($C755,'Policy Characteristics'!$C:$C,0))),"",INDEX('Policy Characteristics'!F:F,MATCH($C755,'Policy Characteristics'!$C:$C,0)))</f>
        <v>0</v>
      </c>
      <c r="M755" s="283">
        <f>IF(ISBLANK(INDEX('Policy Characteristics'!G:G,MATCH($C755,'Policy Characteristics'!$C:$C,0))),"",INDEX('Policy Characteristics'!G:G,MATCH($C755,'Policy Characteristics'!$C:$C,0)))</f>
        <v>1</v>
      </c>
      <c r="N755" s="283">
        <f>IF(ISBLANK(INDEX('Policy Characteristics'!H:H,MATCH($C755,'Policy Characteristics'!$C:$C,0))),"",INDEX('Policy Characteristics'!H:H,MATCH($C755,'Policy Characteristics'!$C:$C,0)))</f>
        <v>0.01</v>
      </c>
      <c r="O755" s="275" t="str">
        <f>IF(ISBLANK(INDEX('Policy Characteristics'!I:I,MATCH($C755,'Policy Characteristics'!$C:$C,0))),"",INDEX('Policy Characteristics'!I:I,MATCH($C755,'Policy Characteristics'!$C:$C,0)))</f>
        <v>% of fuel shifted</v>
      </c>
      <c r="P755" s="275"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75" t="str">
        <f>IF(ISBLANK(INDEX('Policy Characteristics'!K:K,MATCH($C755,'Policy Characteristics'!$C:$C,0))),"",INDEX('Policy Characteristics'!K:K,MATCH($C755,'Policy Characteristics'!$C:$C,0)))</f>
        <v>industry-ag-main.html#fuel-switching</v>
      </c>
      <c r="R755" s="275" t="str">
        <f>IF(ISBLANK(INDEX('Policy Characteristics'!L:L,MATCH($C755,'Policy Characteristics'!$C:$C,0))),"",INDEX('Policy Characteristics'!L:L,MATCH($C755,'Policy Characteristics'!$C:$C,0)))</f>
        <v>industry-elec-and-hydrogen.html</v>
      </c>
    </row>
    <row r="756" spans="1:18" x14ac:dyDescent="0.25">
      <c r="A756" s="275" t="str">
        <f>IF(ISBLANK(INDEX('Policy Characteristics'!A:A,MATCH($C756,'Policy Characteristics'!$C:$C,0))),"",INDEX('Policy Characteristics'!A:A,MATCH($C756,'Policy Characteristics'!$C:$C,0)))</f>
        <v>Industry</v>
      </c>
      <c r="B756" s="284" t="str">
        <f>IF(ISBLANK(INDEX('Policy Characteristics'!B:B,MATCH($C756,'Policy Characteristics'!$C:$C,0))),"",INDEX('Policy Characteristics'!B:B,MATCH($C756,'Policy Characteristics'!$C:$C,0)))</f>
        <v>Electrification</v>
      </c>
      <c r="C756" s="275" t="str">
        <f t="shared" si="36"/>
        <v>Fraction of Eligible Industrial Energy Use Shifted to Electricity</v>
      </c>
      <c r="D756" s="6" t="s">
        <v>3093</v>
      </c>
      <c r="E756" s="1" t="s">
        <v>3552</v>
      </c>
      <c r="F756" t="s">
        <v>3096</v>
      </c>
      <c r="G756" s="47" t="s">
        <v>3559</v>
      </c>
      <c r="H756" s="44">
        <v>2023</v>
      </c>
      <c r="I756" s="346" t="s">
        <v>44</v>
      </c>
      <c r="J756" s="276" t="str">
        <f>IF(ISBLANK(INDEX('Policy Characteristics'!D:D,MATCH($C756,'Policy Characteristics'!$C:$C,0))),"",INDEX('Policy Characteristics'!D:D,MATCH($C756,'Policy Characteristics'!$C:$C,0)))</f>
        <v>Electrification</v>
      </c>
      <c r="K756" s="275" t="str">
        <f>IF(ISBLANK(INDEX('Policy Characteristics'!E:E,MATCH($C756,'Policy Characteristics'!$C:$C,0))),"",INDEX('Policy Characteristics'!E:E,MATCH($C756,'Policy Characteristics'!$C:$C,0)))</f>
        <v>indst shift to electricity</v>
      </c>
      <c r="L756" s="283">
        <f>IF(ISBLANK(INDEX('Policy Characteristics'!F:F,MATCH($C756,'Policy Characteristics'!$C:$C,0))),"",INDEX('Policy Characteristics'!F:F,MATCH($C756,'Policy Characteristics'!$C:$C,0)))</f>
        <v>0</v>
      </c>
      <c r="M756" s="283">
        <f>IF(ISBLANK(INDEX('Policy Characteristics'!G:G,MATCH($C756,'Policy Characteristics'!$C:$C,0))),"",INDEX('Policy Characteristics'!G:G,MATCH($C756,'Policy Characteristics'!$C:$C,0)))</f>
        <v>1</v>
      </c>
      <c r="N756" s="283">
        <f>IF(ISBLANK(INDEX('Policy Characteristics'!H:H,MATCH($C756,'Policy Characteristics'!$C:$C,0))),"",INDEX('Policy Characteristics'!H:H,MATCH($C756,'Policy Characteristics'!$C:$C,0)))</f>
        <v>0.01</v>
      </c>
      <c r="O756" s="275" t="str">
        <f>IF(ISBLANK(INDEX('Policy Characteristics'!I:I,MATCH($C756,'Policy Characteristics'!$C:$C,0))),"",INDEX('Policy Characteristics'!I:I,MATCH($C756,'Policy Characteristics'!$C:$C,0)))</f>
        <v>% of fuel shifted</v>
      </c>
      <c r="P756" s="275"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75" t="str">
        <f>IF(ISBLANK(INDEX('Policy Characteristics'!K:K,MATCH($C756,'Policy Characteristics'!$C:$C,0))),"",INDEX('Policy Characteristics'!K:K,MATCH($C756,'Policy Characteristics'!$C:$C,0)))</f>
        <v>industry-ag-main.html#fuel-switching</v>
      </c>
      <c r="R756" s="275" t="str">
        <f>IF(ISBLANK(INDEX('Policy Characteristics'!L:L,MATCH($C756,'Policy Characteristics'!$C:$C,0))),"",INDEX('Policy Characteristics'!L:L,MATCH($C756,'Policy Characteristics'!$C:$C,0)))</f>
        <v>industry-elec-and-hydrogen.html</v>
      </c>
    </row>
    <row r="757" spans="1:18" x14ac:dyDescent="0.25">
      <c r="A757" s="275" t="str">
        <f>IF(ISBLANK(INDEX('Policy Characteristics'!A:A,MATCH($C757,'Policy Characteristics'!$C:$C,0))),"",INDEX('Policy Characteristics'!A:A,MATCH($C757,'Policy Characteristics'!$C:$C,0)))</f>
        <v>Industry</v>
      </c>
      <c r="B757" s="284" t="str">
        <f>IF(ISBLANK(INDEX('Policy Characteristics'!B:B,MATCH($C757,'Policy Characteristics'!$C:$C,0))),"",INDEX('Policy Characteristics'!B:B,MATCH($C757,'Policy Characteristics'!$C:$C,0)))</f>
        <v>Electrification</v>
      </c>
      <c r="C757" s="275" t="str">
        <f t="shared" si="36"/>
        <v>Fraction of Eligible Industrial Energy Use Shifted to Electricity</v>
      </c>
      <c r="D757" s="6" t="s">
        <v>3093</v>
      </c>
      <c r="E757" s="1" t="s">
        <v>3553</v>
      </c>
      <c r="F757" t="s">
        <v>3096</v>
      </c>
      <c r="G757" s="47" t="s">
        <v>3560</v>
      </c>
      <c r="H757" s="44">
        <v>2024</v>
      </c>
      <c r="I757" s="346" t="s">
        <v>44</v>
      </c>
      <c r="J757" s="276" t="str">
        <f>IF(ISBLANK(INDEX('Policy Characteristics'!D:D,MATCH($C757,'Policy Characteristics'!$C:$C,0))),"",INDEX('Policy Characteristics'!D:D,MATCH($C757,'Policy Characteristics'!$C:$C,0)))</f>
        <v>Electrification</v>
      </c>
      <c r="K757" s="275" t="str">
        <f>IF(ISBLANK(INDEX('Policy Characteristics'!E:E,MATCH($C757,'Policy Characteristics'!$C:$C,0))),"",INDEX('Policy Characteristics'!E:E,MATCH($C757,'Policy Characteristics'!$C:$C,0)))</f>
        <v>indst shift to electricity</v>
      </c>
      <c r="L757" s="283">
        <f>IF(ISBLANK(INDEX('Policy Characteristics'!F:F,MATCH($C757,'Policy Characteristics'!$C:$C,0))),"",INDEX('Policy Characteristics'!F:F,MATCH($C757,'Policy Characteristics'!$C:$C,0)))</f>
        <v>0</v>
      </c>
      <c r="M757" s="283">
        <f>IF(ISBLANK(INDEX('Policy Characteristics'!G:G,MATCH($C757,'Policy Characteristics'!$C:$C,0))),"",INDEX('Policy Characteristics'!G:G,MATCH($C757,'Policy Characteristics'!$C:$C,0)))</f>
        <v>1</v>
      </c>
      <c r="N757" s="283">
        <f>IF(ISBLANK(INDEX('Policy Characteristics'!H:H,MATCH($C757,'Policy Characteristics'!$C:$C,0))),"",INDEX('Policy Characteristics'!H:H,MATCH($C757,'Policy Characteristics'!$C:$C,0)))</f>
        <v>0.01</v>
      </c>
      <c r="O757" s="275" t="str">
        <f>IF(ISBLANK(INDEX('Policy Characteristics'!I:I,MATCH($C757,'Policy Characteristics'!$C:$C,0))),"",INDEX('Policy Characteristics'!I:I,MATCH($C757,'Policy Characteristics'!$C:$C,0)))</f>
        <v>% of fuel shifted</v>
      </c>
      <c r="P757" s="275"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75" t="str">
        <f>IF(ISBLANK(INDEX('Policy Characteristics'!K:K,MATCH($C757,'Policy Characteristics'!$C:$C,0))),"",INDEX('Policy Characteristics'!K:K,MATCH($C757,'Policy Characteristics'!$C:$C,0)))</f>
        <v>industry-ag-main.html#fuel-switching</v>
      </c>
      <c r="R757" s="275" t="str">
        <f>IF(ISBLANK(INDEX('Policy Characteristics'!L:L,MATCH($C757,'Policy Characteristics'!$C:$C,0))),"",INDEX('Policy Characteristics'!L:L,MATCH($C757,'Policy Characteristics'!$C:$C,0)))</f>
        <v>industry-elec-and-hydrogen.html</v>
      </c>
    </row>
    <row r="758" spans="1:18" x14ac:dyDescent="0.25">
      <c r="A758" s="275" t="str">
        <f>IF(ISBLANK(INDEX('Policy Characteristics'!A:A,MATCH($C758,'Policy Characteristics'!$C:$C,0))),"",INDEX('Policy Characteristics'!A:A,MATCH($C758,'Policy Characteristics'!$C:$C,0)))</f>
        <v>Industry</v>
      </c>
      <c r="B758" s="284" t="str">
        <f>IF(ISBLANK(INDEX('Policy Characteristics'!B:B,MATCH($C758,'Policy Characteristics'!$C:$C,0))),"",INDEX('Policy Characteristics'!B:B,MATCH($C758,'Policy Characteristics'!$C:$C,0)))</f>
        <v>Electrification</v>
      </c>
      <c r="C758" s="275" t="str">
        <f t="shared" si="36"/>
        <v>Fraction of Eligible Industrial Energy Use Shifted to Electricity</v>
      </c>
      <c r="D758" s="6" t="s">
        <v>3093</v>
      </c>
      <c r="E758" s="1" t="s">
        <v>3737</v>
      </c>
      <c r="F758" t="s">
        <v>3096</v>
      </c>
      <c r="G758" s="47" t="s">
        <v>3738</v>
      </c>
      <c r="H758" s="44">
        <v>2025</v>
      </c>
      <c r="I758" s="346" t="s">
        <v>44</v>
      </c>
      <c r="J758" s="276" t="str">
        <f>IF(ISBLANK(INDEX('Policy Characteristics'!D:D,MATCH($C758,'Policy Characteristics'!$C:$C,0))),"",INDEX('Policy Characteristics'!D:D,MATCH($C758,'Policy Characteristics'!$C:$C,0)))</f>
        <v>Electrification</v>
      </c>
      <c r="K758" s="275" t="str">
        <f>IF(ISBLANK(INDEX('Policy Characteristics'!E:E,MATCH($C758,'Policy Characteristics'!$C:$C,0))),"",INDEX('Policy Characteristics'!E:E,MATCH($C758,'Policy Characteristics'!$C:$C,0)))</f>
        <v>indst shift to electricity</v>
      </c>
      <c r="L758" s="283">
        <f>IF(ISBLANK(INDEX('Policy Characteristics'!F:F,MATCH($C758,'Policy Characteristics'!$C:$C,0))),"",INDEX('Policy Characteristics'!F:F,MATCH($C758,'Policy Characteristics'!$C:$C,0)))</f>
        <v>0</v>
      </c>
      <c r="M758" s="283">
        <f>IF(ISBLANK(INDEX('Policy Characteristics'!G:G,MATCH($C758,'Policy Characteristics'!$C:$C,0))),"",INDEX('Policy Characteristics'!G:G,MATCH($C758,'Policy Characteristics'!$C:$C,0)))</f>
        <v>1</v>
      </c>
      <c r="N758" s="283">
        <f>IF(ISBLANK(INDEX('Policy Characteristics'!H:H,MATCH($C758,'Policy Characteristics'!$C:$C,0))),"",INDEX('Policy Characteristics'!H:H,MATCH($C758,'Policy Characteristics'!$C:$C,0)))</f>
        <v>0.01</v>
      </c>
      <c r="O758" s="275" t="str">
        <f>IF(ISBLANK(INDEX('Policy Characteristics'!I:I,MATCH($C758,'Policy Characteristics'!$C:$C,0))),"",INDEX('Policy Characteristics'!I:I,MATCH($C758,'Policy Characteristics'!$C:$C,0)))</f>
        <v>% of fuel shifted</v>
      </c>
      <c r="P758" s="275"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75" t="str">
        <f>IF(ISBLANK(INDEX('Policy Characteristics'!K:K,MATCH($C758,'Policy Characteristics'!$C:$C,0))),"",INDEX('Policy Characteristics'!K:K,MATCH($C758,'Policy Characteristics'!$C:$C,0)))</f>
        <v>industry-ag-main.html#fuel-switching</v>
      </c>
      <c r="R758" s="275" t="str">
        <f>IF(ISBLANK(INDEX('Policy Characteristics'!L:L,MATCH($C758,'Policy Characteristics'!$C:$C,0))),"",INDEX('Policy Characteristics'!L:L,MATCH($C758,'Policy Characteristics'!$C:$C,0)))</f>
        <v>industry-elec-and-hydrogen.html</v>
      </c>
    </row>
    <row r="759" spans="1:18" x14ac:dyDescent="0.25">
      <c r="A759" s="275" t="str">
        <f>IF(ISBLANK(INDEX('Policy Characteristics'!A:A,MATCH($C759,'Policy Characteristics'!$C:$C,0))),"",INDEX('Policy Characteristics'!A:A,MATCH($C759,'Policy Characteristics'!$C:$C,0)))</f>
        <v>Industry</v>
      </c>
      <c r="B759" s="284" t="str">
        <f>IF(ISBLANK(INDEX('Policy Characteristics'!B:B,MATCH($C759,'Policy Characteristics'!$C:$C,0))),"",INDEX('Policy Characteristics'!B:B,MATCH($C759,'Policy Characteristics'!$C:$C,0)))</f>
        <v>Electrification</v>
      </c>
      <c r="C759" s="275" t="str">
        <f t="shared" si="36"/>
        <v>Fraction of Eligible Industrial Energy Use Shifted to Electricity</v>
      </c>
      <c r="D759" s="6" t="s">
        <v>3094</v>
      </c>
      <c r="E759" s="1" t="s">
        <v>3547</v>
      </c>
      <c r="F759" t="s">
        <v>3055</v>
      </c>
      <c r="G759" s="47" t="s">
        <v>3554</v>
      </c>
      <c r="H759" s="44">
        <v>2026</v>
      </c>
      <c r="I759" s="346" t="s">
        <v>44</v>
      </c>
      <c r="J759" s="276" t="str">
        <f>IF(ISBLANK(INDEX('Policy Characteristics'!D:D,MATCH($C759,'Policy Characteristics'!$C:$C,0))),"",INDEX('Policy Characteristics'!D:D,MATCH($C759,'Policy Characteristics'!$C:$C,0)))</f>
        <v>Electrification</v>
      </c>
      <c r="K759" s="275" t="str">
        <f>IF(ISBLANK(INDEX('Policy Characteristics'!E:E,MATCH($C759,'Policy Characteristics'!$C:$C,0))),"",INDEX('Policy Characteristics'!E:E,MATCH($C759,'Policy Characteristics'!$C:$C,0)))</f>
        <v>indst shift to electricity</v>
      </c>
      <c r="L759" s="283">
        <f>IF(ISBLANK(INDEX('Policy Characteristics'!F:F,MATCH($C759,'Policy Characteristics'!$C:$C,0))),"",INDEX('Policy Characteristics'!F:F,MATCH($C759,'Policy Characteristics'!$C:$C,0)))</f>
        <v>0</v>
      </c>
      <c r="M759" s="283">
        <f>IF(ISBLANK(INDEX('Policy Characteristics'!G:G,MATCH($C759,'Policy Characteristics'!$C:$C,0))),"",INDEX('Policy Characteristics'!G:G,MATCH($C759,'Policy Characteristics'!$C:$C,0)))</f>
        <v>1</v>
      </c>
      <c r="N759" s="283">
        <f>IF(ISBLANK(INDEX('Policy Characteristics'!H:H,MATCH($C759,'Policy Characteristics'!$C:$C,0))),"",INDEX('Policy Characteristics'!H:H,MATCH($C759,'Policy Characteristics'!$C:$C,0)))</f>
        <v>0.01</v>
      </c>
      <c r="O759" s="275" t="str">
        <f>IF(ISBLANK(INDEX('Policy Characteristics'!I:I,MATCH($C759,'Policy Characteristics'!$C:$C,0))),"",INDEX('Policy Characteristics'!I:I,MATCH($C759,'Policy Characteristics'!$C:$C,0)))</f>
        <v>% of fuel shifted</v>
      </c>
      <c r="P759" s="275"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75" t="str">
        <f>IF(ISBLANK(INDEX('Policy Characteristics'!K:K,MATCH($C759,'Policy Characteristics'!$C:$C,0))),"",INDEX('Policy Characteristics'!K:K,MATCH($C759,'Policy Characteristics'!$C:$C,0)))</f>
        <v>industry-ag-main.html#fuel-switching</v>
      </c>
      <c r="R759" s="275" t="str">
        <f>IF(ISBLANK(INDEX('Policy Characteristics'!L:L,MATCH($C759,'Policy Characteristics'!$C:$C,0))),"",INDEX('Policy Characteristics'!L:L,MATCH($C759,'Policy Characteristics'!$C:$C,0)))</f>
        <v>industry-elec-and-hydrogen.html</v>
      </c>
    </row>
    <row r="760" spans="1:18" x14ac:dyDescent="0.25">
      <c r="A760" s="275" t="str">
        <f>IF(ISBLANK(INDEX('Policy Characteristics'!A:A,MATCH($C760,'Policy Characteristics'!$C:$C,0))),"",INDEX('Policy Characteristics'!A:A,MATCH($C760,'Policy Characteristics'!$C:$C,0)))</f>
        <v>Industry</v>
      </c>
      <c r="B760" s="284" t="str">
        <f>IF(ISBLANK(INDEX('Policy Characteristics'!B:B,MATCH($C760,'Policy Characteristics'!$C:$C,0))),"",INDEX('Policy Characteristics'!B:B,MATCH($C760,'Policy Characteristics'!$C:$C,0)))</f>
        <v>Electrification</v>
      </c>
      <c r="C760" s="275" t="str">
        <f t="shared" si="36"/>
        <v>Fraction of Eligible Industrial Energy Use Shifted to Electricity</v>
      </c>
      <c r="D760" s="6" t="s">
        <v>3094</v>
      </c>
      <c r="E760" s="1" t="s">
        <v>3548</v>
      </c>
      <c r="F760" t="s">
        <v>3055</v>
      </c>
      <c r="G760" s="47" t="s">
        <v>3555</v>
      </c>
      <c r="H760" s="44">
        <v>2027</v>
      </c>
      <c r="I760" s="346" t="s">
        <v>43</v>
      </c>
      <c r="J760" s="276" t="str">
        <f>IF(ISBLANK(INDEX('Policy Characteristics'!D:D,MATCH($C760,'Policy Characteristics'!$C:$C,0))),"",INDEX('Policy Characteristics'!D:D,MATCH($C760,'Policy Characteristics'!$C:$C,0)))</f>
        <v>Electrification</v>
      </c>
      <c r="K760" s="275" t="str">
        <f>IF(ISBLANK(INDEX('Policy Characteristics'!E:E,MATCH($C760,'Policy Characteristics'!$C:$C,0))),"",INDEX('Policy Characteristics'!E:E,MATCH($C760,'Policy Characteristics'!$C:$C,0)))</f>
        <v>indst shift to electricity</v>
      </c>
      <c r="L760" s="283">
        <f>IF(ISBLANK(INDEX('Policy Characteristics'!F:F,MATCH($C760,'Policy Characteristics'!$C:$C,0))),"",INDEX('Policy Characteristics'!F:F,MATCH($C760,'Policy Characteristics'!$C:$C,0)))</f>
        <v>0</v>
      </c>
      <c r="M760" s="283">
        <f>IF(ISBLANK(INDEX('Policy Characteristics'!G:G,MATCH($C760,'Policy Characteristics'!$C:$C,0))),"",INDEX('Policy Characteristics'!G:G,MATCH($C760,'Policy Characteristics'!$C:$C,0)))</f>
        <v>1</v>
      </c>
      <c r="N760" s="283">
        <f>IF(ISBLANK(INDEX('Policy Characteristics'!H:H,MATCH($C760,'Policy Characteristics'!$C:$C,0))),"",INDEX('Policy Characteristics'!H:H,MATCH($C760,'Policy Characteristics'!$C:$C,0)))</f>
        <v>0.01</v>
      </c>
      <c r="O760" s="275" t="str">
        <f>IF(ISBLANK(INDEX('Policy Characteristics'!I:I,MATCH($C760,'Policy Characteristics'!$C:$C,0))),"",INDEX('Policy Characteristics'!I:I,MATCH($C760,'Policy Characteristics'!$C:$C,0)))</f>
        <v>% of fuel shifted</v>
      </c>
      <c r="P760" s="275"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75" t="str">
        <f>IF(ISBLANK(INDEX('Policy Characteristics'!K:K,MATCH($C760,'Policy Characteristics'!$C:$C,0))),"",INDEX('Policy Characteristics'!K:K,MATCH($C760,'Policy Characteristics'!$C:$C,0)))</f>
        <v>industry-ag-main.html#fuel-switching</v>
      </c>
      <c r="R760" s="275" t="str">
        <f>IF(ISBLANK(INDEX('Policy Characteristics'!L:L,MATCH($C760,'Policy Characteristics'!$C:$C,0))),"",INDEX('Policy Characteristics'!L:L,MATCH($C760,'Policy Characteristics'!$C:$C,0)))</f>
        <v>industry-elec-and-hydrogen.html</v>
      </c>
    </row>
    <row r="761" spans="1:18" x14ac:dyDescent="0.25">
      <c r="A761" s="275" t="str">
        <f>IF(ISBLANK(INDEX('Policy Characteristics'!A:A,MATCH($C761,'Policy Characteristics'!$C:$C,0))),"",INDEX('Policy Characteristics'!A:A,MATCH($C761,'Policy Characteristics'!$C:$C,0)))</f>
        <v>Industry</v>
      </c>
      <c r="B761" s="284" t="str">
        <f>IF(ISBLANK(INDEX('Policy Characteristics'!B:B,MATCH($C761,'Policy Characteristics'!$C:$C,0))),"",INDEX('Policy Characteristics'!B:B,MATCH($C761,'Policy Characteristics'!$C:$C,0)))</f>
        <v>Electrification</v>
      </c>
      <c r="C761" s="275" t="str">
        <f t="shared" si="36"/>
        <v>Fraction of Eligible Industrial Energy Use Shifted to Electricity</v>
      </c>
      <c r="D761" s="6" t="s">
        <v>3094</v>
      </c>
      <c r="E761" s="1" t="s">
        <v>3549</v>
      </c>
      <c r="F761" t="s">
        <v>3055</v>
      </c>
      <c r="G761" s="47" t="s">
        <v>3556</v>
      </c>
      <c r="H761" s="44">
        <v>2028</v>
      </c>
      <c r="I761" s="346" t="s">
        <v>44</v>
      </c>
      <c r="J761" s="276" t="str">
        <f>IF(ISBLANK(INDEX('Policy Characteristics'!D:D,MATCH($C761,'Policy Characteristics'!$C:$C,0))),"",INDEX('Policy Characteristics'!D:D,MATCH($C761,'Policy Characteristics'!$C:$C,0)))</f>
        <v>Electrification</v>
      </c>
      <c r="K761" s="275" t="str">
        <f>IF(ISBLANK(INDEX('Policy Characteristics'!E:E,MATCH($C761,'Policy Characteristics'!$C:$C,0))),"",INDEX('Policy Characteristics'!E:E,MATCH($C761,'Policy Characteristics'!$C:$C,0)))</f>
        <v>indst shift to electricity</v>
      </c>
      <c r="L761" s="283">
        <f>IF(ISBLANK(INDEX('Policy Characteristics'!F:F,MATCH($C761,'Policy Characteristics'!$C:$C,0))),"",INDEX('Policy Characteristics'!F:F,MATCH($C761,'Policy Characteristics'!$C:$C,0)))</f>
        <v>0</v>
      </c>
      <c r="M761" s="283">
        <f>IF(ISBLANK(INDEX('Policy Characteristics'!G:G,MATCH($C761,'Policy Characteristics'!$C:$C,0))),"",INDEX('Policy Characteristics'!G:G,MATCH($C761,'Policy Characteristics'!$C:$C,0)))</f>
        <v>1</v>
      </c>
      <c r="N761" s="283">
        <f>IF(ISBLANK(INDEX('Policy Characteristics'!H:H,MATCH($C761,'Policy Characteristics'!$C:$C,0))),"",INDEX('Policy Characteristics'!H:H,MATCH($C761,'Policy Characteristics'!$C:$C,0)))</f>
        <v>0.01</v>
      </c>
      <c r="O761" s="275" t="str">
        <f>IF(ISBLANK(INDEX('Policy Characteristics'!I:I,MATCH($C761,'Policy Characteristics'!$C:$C,0))),"",INDEX('Policy Characteristics'!I:I,MATCH($C761,'Policy Characteristics'!$C:$C,0)))</f>
        <v>% of fuel shifted</v>
      </c>
      <c r="P761" s="275"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75" t="str">
        <f>IF(ISBLANK(INDEX('Policy Characteristics'!K:K,MATCH($C761,'Policy Characteristics'!$C:$C,0))),"",INDEX('Policy Characteristics'!K:K,MATCH($C761,'Policy Characteristics'!$C:$C,0)))</f>
        <v>industry-ag-main.html#fuel-switching</v>
      </c>
      <c r="R761" s="275" t="str">
        <f>IF(ISBLANK(INDEX('Policy Characteristics'!L:L,MATCH($C761,'Policy Characteristics'!$C:$C,0))),"",INDEX('Policy Characteristics'!L:L,MATCH($C761,'Policy Characteristics'!$C:$C,0)))</f>
        <v>industry-elec-and-hydrogen.html</v>
      </c>
    </row>
    <row r="762" spans="1:18" x14ac:dyDescent="0.25">
      <c r="A762" s="275" t="str">
        <f>IF(ISBLANK(INDEX('Policy Characteristics'!A:A,MATCH($C762,'Policy Characteristics'!$C:$C,0))),"",INDEX('Policy Characteristics'!A:A,MATCH($C762,'Policy Characteristics'!$C:$C,0)))</f>
        <v>Industry</v>
      </c>
      <c r="B762" s="284" t="str">
        <f>IF(ISBLANK(INDEX('Policy Characteristics'!B:B,MATCH($C762,'Policy Characteristics'!$C:$C,0))),"",INDEX('Policy Characteristics'!B:B,MATCH($C762,'Policy Characteristics'!$C:$C,0)))</f>
        <v>Electrification</v>
      </c>
      <c r="C762" s="275" t="str">
        <f t="shared" si="36"/>
        <v>Fraction of Eligible Industrial Energy Use Shifted to Electricity</v>
      </c>
      <c r="D762" s="6" t="s">
        <v>3094</v>
      </c>
      <c r="E762" s="1" t="s">
        <v>3550</v>
      </c>
      <c r="F762" t="s">
        <v>3055</v>
      </c>
      <c r="G762" s="47" t="s">
        <v>3557</v>
      </c>
      <c r="H762" s="44">
        <v>2029</v>
      </c>
      <c r="I762" s="346" t="s">
        <v>44</v>
      </c>
      <c r="J762" s="276" t="str">
        <f>IF(ISBLANK(INDEX('Policy Characteristics'!D:D,MATCH($C762,'Policy Characteristics'!$C:$C,0))),"",INDEX('Policy Characteristics'!D:D,MATCH($C762,'Policy Characteristics'!$C:$C,0)))</f>
        <v>Electrification</v>
      </c>
      <c r="K762" s="275" t="str">
        <f>IF(ISBLANK(INDEX('Policy Characteristics'!E:E,MATCH($C762,'Policy Characteristics'!$C:$C,0))),"",INDEX('Policy Characteristics'!E:E,MATCH($C762,'Policy Characteristics'!$C:$C,0)))</f>
        <v>indst shift to electricity</v>
      </c>
      <c r="L762" s="283">
        <f>IF(ISBLANK(INDEX('Policy Characteristics'!F:F,MATCH($C762,'Policy Characteristics'!$C:$C,0))),"",INDEX('Policy Characteristics'!F:F,MATCH($C762,'Policy Characteristics'!$C:$C,0)))</f>
        <v>0</v>
      </c>
      <c r="M762" s="283">
        <f>IF(ISBLANK(INDEX('Policy Characteristics'!G:G,MATCH($C762,'Policy Characteristics'!$C:$C,0))),"",INDEX('Policy Characteristics'!G:G,MATCH($C762,'Policy Characteristics'!$C:$C,0)))</f>
        <v>1</v>
      </c>
      <c r="N762" s="283">
        <f>IF(ISBLANK(INDEX('Policy Characteristics'!H:H,MATCH($C762,'Policy Characteristics'!$C:$C,0))),"",INDEX('Policy Characteristics'!H:H,MATCH($C762,'Policy Characteristics'!$C:$C,0)))</f>
        <v>0.01</v>
      </c>
      <c r="O762" s="275" t="str">
        <f>IF(ISBLANK(INDEX('Policy Characteristics'!I:I,MATCH($C762,'Policy Characteristics'!$C:$C,0))),"",INDEX('Policy Characteristics'!I:I,MATCH($C762,'Policy Characteristics'!$C:$C,0)))</f>
        <v>% of fuel shifted</v>
      </c>
      <c r="P762" s="275"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75" t="str">
        <f>IF(ISBLANK(INDEX('Policy Characteristics'!K:K,MATCH($C762,'Policy Characteristics'!$C:$C,0))),"",INDEX('Policy Characteristics'!K:K,MATCH($C762,'Policy Characteristics'!$C:$C,0)))</f>
        <v>industry-ag-main.html#fuel-switching</v>
      </c>
      <c r="R762" s="275" t="str">
        <f>IF(ISBLANK(INDEX('Policy Characteristics'!L:L,MATCH($C762,'Policy Characteristics'!$C:$C,0))),"",INDEX('Policy Characteristics'!L:L,MATCH($C762,'Policy Characteristics'!$C:$C,0)))</f>
        <v>industry-elec-and-hydrogen.html</v>
      </c>
    </row>
    <row r="763" spans="1:18" x14ac:dyDescent="0.25">
      <c r="A763" s="275" t="str">
        <f>IF(ISBLANK(INDEX('Policy Characteristics'!A:A,MATCH($C763,'Policy Characteristics'!$C:$C,0))),"",INDEX('Policy Characteristics'!A:A,MATCH($C763,'Policy Characteristics'!$C:$C,0)))</f>
        <v>Industry</v>
      </c>
      <c r="B763" s="284" t="str">
        <f>IF(ISBLANK(INDEX('Policy Characteristics'!B:B,MATCH($C763,'Policy Characteristics'!$C:$C,0))),"",INDEX('Policy Characteristics'!B:B,MATCH($C763,'Policy Characteristics'!$C:$C,0)))</f>
        <v>Electrification</v>
      </c>
      <c r="C763" s="275" t="str">
        <f t="shared" si="36"/>
        <v>Fraction of Eligible Industrial Energy Use Shifted to Electricity</v>
      </c>
      <c r="D763" s="6" t="s">
        <v>3094</v>
      </c>
      <c r="E763" s="1" t="s">
        <v>3551</v>
      </c>
      <c r="F763" t="s">
        <v>3055</v>
      </c>
      <c r="G763" s="47" t="s">
        <v>3558</v>
      </c>
      <c r="H763" s="44">
        <v>2030</v>
      </c>
      <c r="I763" s="346" t="s">
        <v>44</v>
      </c>
      <c r="J763" s="276" t="str">
        <f>IF(ISBLANK(INDEX('Policy Characteristics'!D:D,MATCH($C763,'Policy Characteristics'!$C:$C,0))),"",INDEX('Policy Characteristics'!D:D,MATCH($C763,'Policy Characteristics'!$C:$C,0)))</f>
        <v>Electrification</v>
      </c>
      <c r="K763" s="275" t="str">
        <f>IF(ISBLANK(INDEX('Policy Characteristics'!E:E,MATCH($C763,'Policy Characteristics'!$C:$C,0))),"",INDEX('Policy Characteristics'!E:E,MATCH($C763,'Policy Characteristics'!$C:$C,0)))</f>
        <v>indst shift to electricity</v>
      </c>
      <c r="L763" s="283">
        <f>IF(ISBLANK(INDEX('Policy Characteristics'!F:F,MATCH($C763,'Policy Characteristics'!$C:$C,0))),"",INDEX('Policy Characteristics'!F:F,MATCH($C763,'Policy Characteristics'!$C:$C,0)))</f>
        <v>0</v>
      </c>
      <c r="M763" s="283">
        <f>IF(ISBLANK(INDEX('Policy Characteristics'!G:G,MATCH($C763,'Policy Characteristics'!$C:$C,0))),"",INDEX('Policy Characteristics'!G:G,MATCH($C763,'Policy Characteristics'!$C:$C,0)))</f>
        <v>1</v>
      </c>
      <c r="N763" s="283">
        <f>IF(ISBLANK(INDEX('Policy Characteristics'!H:H,MATCH($C763,'Policy Characteristics'!$C:$C,0))),"",INDEX('Policy Characteristics'!H:H,MATCH($C763,'Policy Characteristics'!$C:$C,0)))</f>
        <v>0.01</v>
      </c>
      <c r="O763" s="275" t="str">
        <f>IF(ISBLANK(INDEX('Policy Characteristics'!I:I,MATCH($C763,'Policy Characteristics'!$C:$C,0))),"",INDEX('Policy Characteristics'!I:I,MATCH($C763,'Policy Characteristics'!$C:$C,0)))</f>
        <v>% of fuel shifted</v>
      </c>
      <c r="P763" s="275"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75" t="str">
        <f>IF(ISBLANK(INDEX('Policy Characteristics'!K:K,MATCH($C763,'Policy Characteristics'!$C:$C,0))),"",INDEX('Policy Characteristics'!K:K,MATCH($C763,'Policy Characteristics'!$C:$C,0)))</f>
        <v>industry-ag-main.html#fuel-switching</v>
      </c>
      <c r="R763" s="275" t="str">
        <f>IF(ISBLANK(INDEX('Policy Characteristics'!L:L,MATCH($C763,'Policy Characteristics'!$C:$C,0))),"",INDEX('Policy Characteristics'!L:L,MATCH($C763,'Policy Characteristics'!$C:$C,0)))</f>
        <v>industry-elec-and-hydrogen.html</v>
      </c>
    </row>
    <row r="764" spans="1:18" x14ac:dyDescent="0.25">
      <c r="A764" s="275" t="str">
        <f>IF(ISBLANK(INDEX('Policy Characteristics'!A:A,MATCH($C764,'Policy Characteristics'!$C:$C,0))),"",INDEX('Policy Characteristics'!A:A,MATCH($C764,'Policy Characteristics'!$C:$C,0)))</f>
        <v>Industry</v>
      </c>
      <c r="B764" s="284" t="str">
        <f>IF(ISBLANK(INDEX('Policy Characteristics'!B:B,MATCH($C764,'Policy Characteristics'!$C:$C,0))),"",INDEX('Policy Characteristics'!B:B,MATCH($C764,'Policy Characteristics'!$C:$C,0)))</f>
        <v>Electrification</v>
      </c>
      <c r="C764" s="275" t="str">
        <f t="shared" si="36"/>
        <v>Fraction of Eligible Industrial Energy Use Shifted to Electricity</v>
      </c>
      <c r="D764" s="6" t="s">
        <v>3094</v>
      </c>
      <c r="E764" s="1" t="s">
        <v>3552</v>
      </c>
      <c r="F764" t="s">
        <v>3055</v>
      </c>
      <c r="G764" s="47" t="s">
        <v>3559</v>
      </c>
      <c r="H764" s="44">
        <v>2031</v>
      </c>
      <c r="I764" s="346" t="s">
        <v>44</v>
      </c>
      <c r="J764" s="276" t="str">
        <f>IF(ISBLANK(INDEX('Policy Characteristics'!D:D,MATCH($C764,'Policy Characteristics'!$C:$C,0))),"",INDEX('Policy Characteristics'!D:D,MATCH($C764,'Policy Characteristics'!$C:$C,0)))</f>
        <v>Electrification</v>
      </c>
      <c r="K764" s="275" t="str">
        <f>IF(ISBLANK(INDEX('Policy Characteristics'!E:E,MATCH($C764,'Policy Characteristics'!$C:$C,0))),"",INDEX('Policy Characteristics'!E:E,MATCH($C764,'Policy Characteristics'!$C:$C,0)))</f>
        <v>indst shift to electricity</v>
      </c>
      <c r="L764" s="283">
        <f>IF(ISBLANK(INDEX('Policy Characteristics'!F:F,MATCH($C764,'Policy Characteristics'!$C:$C,0))),"",INDEX('Policy Characteristics'!F:F,MATCH($C764,'Policy Characteristics'!$C:$C,0)))</f>
        <v>0</v>
      </c>
      <c r="M764" s="283">
        <f>IF(ISBLANK(INDEX('Policy Characteristics'!G:G,MATCH($C764,'Policy Characteristics'!$C:$C,0))),"",INDEX('Policy Characteristics'!G:G,MATCH($C764,'Policy Characteristics'!$C:$C,0)))</f>
        <v>1</v>
      </c>
      <c r="N764" s="283">
        <f>IF(ISBLANK(INDEX('Policy Characteristics'!H:H,MATCH($C764,'Policy Characteristics'!$C:$C,0))),"",INDEX('Policy Characteristics'!H:H,MATCH($C764,'Policy Characteristics'!$C:$C,0)))</f>
        <v>0.01</v>
      </c>
      <c r="O764" s="275" t="str">
        <f>IF(ISBLANK(INDEX('Policy Characteristics'!I:I,MATCH($C764,'Policy Characteristics'!$C:$C,0))),"",INDEX('Policy Characteristics'!I:I,MATCH($C764,'Policy Characteristics'!$C:$C,0)))</f>
        <v>% of fuel shifted</v>
      </c>
      <c r="P764" s="275"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75" t="str">
        <f>IF(ISBLANK(INDEX('Policy Characteristics'!K:K,MATCH($C764,'Policy Characteristics'!$C:$C,0))),"",INDEX('Policy Characteristics'!K:K,MATCH($C764,'Policy Characteristics'!$C:$C,0)))</f>
        <v>industry-ag-main.html#fuel-switching</v>
      </c>
      <c r="R764" s="275" t="str">
        <f>IF(ISBLANK(INDEX('Policy Characteristics'!L:L,MATCH($C764,'Policy Characteristics'!$C:$C,0))),"",INDEX('Policy Characteristics'!L:L,MATCH($C764,'Policy Characteristics'!$C:$C,0)))</f>
        <v>industry-elec-and-hydrogen.html</v>
      </c>
    </row>
    <row r="765" spans="1:18" x14ac:dyDescent="0.25">
      <c r="A765" s="275" t="str">
        <f>IF(ISBLANK(INDEX('Policy Characteristics'!A:A,MATCH($C765,'Policy Characteristics'!$C:$C,0))),"",INDEX('Policy Characteristics'!A:A,MATCH($C765,'Policy Characteristics'!$C:$C,0)))</f>
        <v>Industry</v>
      </c>
      <c r="B765" s="284" t="str">
        <f>IF(ISBLANK(INDEX('Policy Characteristics'!B:B,MATCH($C765,'Policy Characteristics'!$C:$C,0))),"",INDEX('Policy Characteristics'!B:B,MATCH($C765,'Policy Characteristics'!$C:$C,0)))</f>
        <v>Electrification</v>
      </c>
      <c r="C765" s="275" t="str">
        <f t="shared" si="36"/>
        <v>Fraction of Eligible Industrial Energy Use Shifted to Electricity</v>
      </c>
      <c r="D765" s="6" t="s">
        <v>3094</v>
      </c>
      <c r="E765" s="1" t="s">
        <v>3553</v>
      </c>
      <c r="F765" t="s">
        <v>3055</v>
      </c>
      <c r="G765" s="47" t="s">
        <v>3560</v>
      </c>
      <c r="H765" s="44">
        <v>2032</v>
      </c>
      <c r="I765" s="346" t="s">
        <v>44</v>
      </c>
      <c r="J765" s="276" t="str">
        <f>IF(ISBLANK(INDEX('Policy Characteristics'!D:D,MATCH($C765,'Policy Characteristics'!$C:$C,0))),"",INDEX('Policy Characteristics'!D:D,MATCH($C765,'Policy Characteristics'!$C:$C,0)))</f>
        <v>Electrification</v>
      </c>
      <c r="K765" s="275" t="str">
        <f>IF(ISBLANK(INDEX('Policy Characteristics'!E:E,MATCH($C765,'Policy Characteristics'!$C:$C,0))),"",INDEX('Policy Characteristics'!E:E,MATCH($C765,'Policy Characteristics'!$C:$C,0)))</f>
        <v>indst shift to electricity</v>
      </c>
      <c r="L765" s="283">
        <f>IF(ISBLANK(INDEX('Policy Characteristics'!F:F,MATCH($C765,'Policy Characteristics'!$C:$C,0))),"",INDEX('Policy Characteristics'!F:F,MATCH($C765,'Policy Characteristics'!$C:$C,0)))</f>
        <v>0</v>
      </c>
      <c r="M765" s="283">
        <f>IF(ISBLANK(INDEX('Policy Characteristics'!G:G,MATCH($C765,'Policy Characteristics'!$C:$C,0))),"",INDEX('Policy Characteristics'!G:G,MATCH($C765,'Policy Characteristics'!$C:$C,0)))</f>
        <v>1</v>
      </c>
      <c r="N765" s="283">
        <f>IF(ISBLANK(INDEX('Policy Characteristics'!H:H,MATCH($C765,'Policy Characteristics'!$C:$C,0))),"",INDEX('Policy Characteristics'!H:H,MATCH($C765,'Policy Characteristics'!$C:$C,0)))</f>
        <v>0.01</v>
      </c>
      <c r="O765" s="275" t="str">
        <f>IF(ISBLANK(INDEX('Policy Characteristics'!I:I,MATCH($C765,'Policy Characteristics'!$C:$C,0))),"",INDEX('Policy Characteristics'!I:I,MATCH($C765,'Policy Characteristics'!$C:$C,0)))</f>
        <v>% of fuel shifted</v>
      </c>
      <c r="P765" s="275"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75" t="str">
        <f>IF(ISBLANK(INDEX('Policy Characteristics'!K:K,MATCH($C765,'Policy Characteristics'!$C:$C,0))),"",INDEX('Policy Characteristics'!K:K,MATCH($C765,'Policy Characteristics'!$C:$C,0)))</f>
        <v>industry-ag-main.html#fuel-switching</v>
      </c>
      <c r="R765" s="275" t="str">
        <f>IF(ISBLANK(INDEX('Policy Characteristics'!L:L,MATCH($C765,'Policy Characteristics'!$C:$C,0))),"",INDEX('Policy Characteristics'!L:L,MATCH($C765,'Policy Characteristics'!$C:$C,0)))</f>
        <v>industry-elec-and-hydrogen.html</v>
      </c>
    </row>
    <row r="766" spans="1:18" x14ac:dyDescent="0.25">
      <c r="A766" s="275" t="str">
        <f>IF(ISBLANK(INDEX('Policy Characteristics'!A:A,MATCH($C766,'Policy Characteristics'!$C:$C,0))),"",INDEX('Policy Characteristics'!A:A,MATCH($C766,'Policy Characteristics'!$C:$C,0)))</f>
        <v>Industry</v>
      </c>
      <c r="B766" s="284" t="str">
        <f>IF(ISBLANK(INDEX('Policy Characteristics'!B:B,MATCH($C766,'Policy Characteristics'!$C:$C,0))),"",INDEX('Policy Characteristics'!B:B,MATCH($C766,'Policy Characteristics'!$C:$C,0)))</f>
        <v>Electrification</v>
      </c>
      <c r="C766" s="275" t="str">
        <f t="shared" si="36"/>
        <v>Fraction of Eligible Industrial Energy Use Shifted to Electricity</v>
      </c>
      <c r="D766" s="6" t="s">
        <v>3094</v>
      </c>
      <c r="E766" s="1" t="s">
        <v>3737</v>
      </c>
      <c r="F766" t="s">
        <v>3055</v>
      </c>
      <c r="G766" s="47" t="s">
        <v>3738</v>
      </c>
      <c r="H766" s="44">
        <v>2033</v>
      </c>
      <c r="I766" s="346" t="s">
        <v>44</v>
      </c>
      <c r="J766" s="276" t="str">
        <f>IF(ISBLANK(INDEX('Policy Characteristics'!D:D,MATCH($C766,'Policy Characteristics'!$C:$C,0))),"",INDEX('Policy Characteristics'!D:D,MATCH($C766,'Policy Characteristics'!$C:$C,0)))</f>
        <v>Electrification</v>
      </c>
      <c r="K766" s="275" t="str">
        <f>IF(ISBLANK(INDEX('Policy Characteristics'!E:E,MATCH($C766,'Policy Characteristics'!$C:$C,0))),"",INDEX('Policy Characteristics'!E:E,MATCH($C766,'Policy Characteristics'!$C:$C,0)))</f>
        <v>indst shift to electricity</v>
      </c>
      <c r="L766" s="283">
        <f>IF(ISBLANK(INDEX('Policy Characteristics'!F:F,MATCH($C766,'Policy Characteristics'!$C:$C,0))),"",INDEX('Policy Characteristics'!F:F,MATCH($C766,'Policy Characteristics'!$C:$C,0)))</f>
        <v>0</v>
      </c>
      <c r="M766" s="283">
        <f>IF(ISBLANK(INDEX('Policy Characteristics'!G:G,MATCH($C766,'Policy Characteristics'!$C:$C,0))),"",INDEX('Policy Characteristics'!G:G,MATCH($C766,'Policy Characteristics'!$C:$C,0)))</f>
        <v>1</v>
      </c>
      <c r="N766" s="283">
        <f>IF(ISBLANK(INDEX('Policy Characteristics'!H:H,MATCH($C766,'Policy Characteristics'!$C:$C,0))),"",INDEX('Policy Characteristics'!H:H,MATCH($C766,'Policy Characteristics'!$C:$C,0)))</f>
        <v>0.01</v>
      </c>
      <c r="O766" s="275" t="str">
        <f>IF(ISBLANK(INDEX('Policy Characteristics'!I:I,MATCH($C766,'Policy Characteristics'!$C:$C,0))),"",INDEX('Policy Characteristics'!I:I,MATCH($C766,'Policy Characteristics'!$C:$C,0)))</f>
        <v>% of fuel shifted</v>
      </c>
      <c r="P766" s="275"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75" t="str">
        <f>IF(ISBLANK(INDEX('Policy Characteristics'!K:K,MATCH($C766,'Policy Characteristics'!$C:$C,0))),"",INDEX('Policy Characteristics'!K:K,MATCH($C766,'Policy Characteristics'!$C:$C,0)))</f>
        <v>industry-ag-main.html#fuel-switching</v>
      </c>
      <c r="R766" s="275" t="str">
        <f>IF(ISBLANK(INDEX('Policy Characteristics'!L:L,MATCH($C766,'Policy Characteristics'!$C:$C,0))),"",INDEX('Policy Characteristics'!L:L,MATCH($C766,'Policy Characteristics'!$C:$C,0)))</f>
        <v>industry-elec-and-hydrogen.html</v>
      </c>
    </row>
    <row r="767" spans="1:18" s="2" customFormat="1" x14ac:dyDescent="0.25">
      <c r="A767" s="275" t="str">
        <f>IF(ISBLANK(INDEX('Policy Characteristics'!A:A,MATCH($C767,'Policy Characteristics'!$C:$C,0))),"",INDEX('Policy Characteristics'!A:A,MATCH($C767,'Policy Characteristics'!$C:$C,0)))</f>
        <v>Industry</v>
      </c>
      <c r="B767" s="284" t="str">
        <f>IF(ISBLANK(INDEX('Policy Characteristics'!B:B,MATCH($C767,'Policy Characteristics'!$C:$C,0))),"",INDEX('Policy Characteristics'!B:B,MATCH($C767,'Policy Characteristics'!$C:$C,0)))</f>
        <v>F-Gas Substitution</v>
      </c>
      <c r="C767" s="339" t="s">
        <v>2780</v>
      </c>
      <c r="D767" s="6"/>
      <c r="E767" s="6"/>
      <c r="F767" s="6"/>
      <c r="G767" s="6"/>
      <c r="H767" s="49">
        <v>58</v>
      </c>
      <c r="I767" s="347" t="s">
        <v>43</v>
      </c>
      <c r="J767" s="276" t="str">
        <f>IF(ISBLANK(INDEX('Policy Characteristics'!D:D,MATCH($C767,'Policy Characteristics'!$C:$C,0))),"",INDEX('Policy Characteristics'!D:D,MATCH($C767,'Policy Characteristics'!$C:$C,0)))</f>
        <v>F-gas Measures</v>
      </c>
      <c r="K767" s="275" t="str">
        <f>IF(ISBLANK(INDEX('Policy Characteristics'!E:E,MATCH($C767,'Policy Characteristics'!$C:$C,0))),"",INDEX('Policy Characteristics'!E:E,MATCH($C767,'Policy Characteristics'!$C:$C,0)))</f>
        <v>indst f gas substitution</v>
      </c>
      <c r="L767" s="283">
        <f>IF(ISBLANK(INDEX('Policy Characteristics'!F:F,MATCH($C767,'Policy Characteristics'!$C:$C,0))),"",INDEX('Policy Characteristics'!F:F,MATCH($C767,'Policy Characteristics'!$C:$C,0)))</f>
        <v>0</v>
      </c>
      <c r="M767" s="283">
        <f>IF(ISBLANK(INDEX('Policy Characteristics'!G:G,MATCH($C767,'Policy Characteristics'!$C:$C,0))),"",INDEX('Policy Characteristics'!G:G,MATCH($C767,'Policy Characteristics'!$C:$C,0)))</f>
        <v>1</v>
      </c>
      <c r="N767" s="283">
        <f>IF(ISBLANK(INDEX('Policy Characteristics'!H:H,MATCH($C767,'Policy Characteristics'!$C:$C,0))),"",INDEX('Policy Characteristics'!H:H,MATCH($C767,'Policy Characteristics'!$C:$C,0)))</f>
        <v>0.01</v>
      </c>
      <c r="O767" s="275" t="str">
        <f>IF(ISBLANK(INDEX('Policy Characteristics'!I:I,MATCH($C767,'Policy Characteristics'!$C:$C,0))),"",INDEX('Policy Characteristics'!I:I,MATCH($C767,'Policy Characteristics'!$C:$C,0)))</f>
        <v>% of potential achieved</v>
      </c>
      <c r="P767" s="275" t="str">
        <f>IF(ISBLANK(INDEX('Policy Characteristics'!J:J,MATCH($C767,'Policy Characteristics'!$C:$C,0))),"",INDEX('Policy Characteristics'!J:J,MATCH($C767,'Policy Characteristics'!$C:$C,0)))</f>
        <v>**Description:** This policy reduces emissions of high-GWP, fluorinated gases (F-gases) from the industry sector by substituting less-harmful chemicals. // **Guidance for setting values:** If this policy is fully implemented, F-gas emissions in 2050 are reduced by 61%.</v>
      </c>
      <c r="Q767" s="275" t="str">
        <f>IF(ISBLANK(INDEX('Policy Characteristics'!K:K,MATCH($C767,'Policy Characteristics'!$C:$C,0))),"",INDEX('Policy Characteristics'!K:K,MATCH($C767,'Policy Characteristics'!$C:$C,0)))</f>
        <v>industry-ag-main.html#avoid-f-gases</v>
      </c>
      <c r="R767" s="275" t="str">
        <f>IF(ISBLANK(INDEX('Policy Characteristics'!L:L,MATCH($C767,'Policy Characteristics'!$C:$C,0))),"",INDEX('Policy Characteristics'!L:L,MATCH($C767,'Policy Characteristics'!$C:$C,0)))</f>
        <v>avoid-f-gases.html</v>
      </c>
    </row>
    <row r="768" spans="1:18" s="2" customFormat="1" x14ac:dyDescent="0.25">
      <c r="A768" s="275" t="str">
        <f>IF(ISBLANK(INDEX('Policy Characteristics'!A:A,MATCH($C768,'Policy Characteristics'!$C:$C,0))),"",INDEX('Policy Characteristics'!A:A,MATCH($C768,'Policy Characteristics'!$C:$C,0)))</f>
        <v>Industry</v>
      </c>
      <c r="B768" s="284" t="str">
        <f>IF(ISBLANK(INDEX('Policy Characteristics'!B:B,MATCH($C768,'Policy Characteristics'!$C:$C,0))),"",INDEX('Policy Characteristics'!B:B,MATCH($C768,'Policy Characteristics'!$C:$C,0)))</f>
        <v>F-Gas Destruction</v>
      </c>
      <c r="C768" s="339" t="s">
        <v>2781</v>
      </c>
      <c r="D768" s="6"/>
      <c r="E768" s="6"/>
      <c r="F768" s="6"/>
      <c r="G768" s="6"/>
      <c r="H768" s="49">
        <v>510</v>
      </c>
      <c r="I768" s="347" t="s">
        <v>43</v>
      </c>
      <c r="J768" s="276" t="str">
        <f>IF(ISBLANK(INDEX('Policy Characteristics'!D:D,MATCH($C768,'Policy Characteristics'!$C:$C,0))),"",INDEX('Policy Characteristics'!D:D,MATCH($C768,'Policy Characteristics'!$C:$C,0)))</f>
        <v>F-gas Measures</v>
      </c>
      <c r="K768" s="275" t="str">
        <f>IF(ISBLANK(INDEX('Policy Characteristics'!E:E,MATCH($C768,'Policy Characteristics'!$C:$C,0))),"",INDEX('Policy Characteristics'!E:E,MATCH($C768,'Policy Characteristics'!$C:$C,0)))</f>
        <v>indst f gas destruction</v>
      </c>
      <c r="L768" s="283">
        <f>IF(ISBLANK(INDEX('Policy Characteristics'!F:F,MATCH($C768,'Policy Characteristics'!$C:$C,0))),"",INDEX('Policy Characteristics'!F:F,MATCH($C768,'Policy Characteristics'!$C:$C,0)))</f>
        <v>0</v>
      </c>
      <c r="M768" s="283">
        <f>IF(ISBLANK(INDEX('Policy Characteristics'!G:G,MATCH($C768,'Policy Characteristics'!$C:$C,0))),"",INDEX('Policy Characteristics'!G:G,MATCH($C768,'Policy Characteristics'!$C:$C,0)))</f>
        <v>1</v>
      </c>
      <c r="N768" s="283">
        <f>IF(ISBLANK(INDEX('Policy Characteristics'!H:H,MATCH($C768,'Policy Characteristics'!$C:$C,0))),"",INDEX('Policy Characteristics'!H:H,MATCH($C768,'Policy Characteristics'!$C:$C,0)))</f>
        <v>0.01</v>
      </c>
      <c r="O768" s="275" t="str">
        <f>IF(ISBLANK(INDEX('Policy Characteristics'!I:I,MATCH($C768,'Policy Characteristics'!$C:$C,0))),"",INDEX('Policy Characteristics'!I:I,MATCH($C768,'Policy Characteristics'!$C:$C,0)))</f>
        <v>% of potential achieved</v>
      </c>
      <c r="P768" s="275" t="str">
        <f>IF(ISBLANK(INDEX('Policy Characteristics'!J:J,MATCH($C768,'Policy Characteristics'!$C:$C,0))),"",INDEX('Policy Characteristics'!J:J,MATCH($C768,'Policy Characteristics'!$C:$C,0)))</f>
        <v>**Description:** This policy reduces emissions of high-GWP, fluorinated gases (F-gases) from the industry sector by destroying F-gases created as byproducts during the creation of desired products. // **Guidance for setting values:** If this policy is fully implemented, F-gas emissions in 2050 are reduced by 1%.</v>
      </c>
      <c r="Q768" s="275" t="str">
        <f>IF(ISBLANK(INDEX('Policy Characteristics'!K:K,MATCH($C768,'Policy Characteristics'!$C:$C,0))),"",INDEX('Policy Characteristics'!K:K,MATCH($C768,'Policy Characteristics'!$C:$C,0)))</f>
        <v>industry-ag-main.html#avoid-f-gases</v>
      </c>
      <c r="R768" s="275" t="str">
        <f>IF(ISBLANK(INDEX('Policy Characteristics'!L:L,MATCH($C768,'Policy Characteristics'!$C:$C,0))),"",INDEX('Policy Characteristics'!L:L,MATCH($C768,'Policy Characteristics'!$C:$C,0)))</f>
        <v>avoid-f-gases.html</v>
      </c>
    </row>
    <row r="769" spans="1:18" s="2" customFormat="1" x14ac:dyDescent="0.25">
      <c r="A769" s="275" t="str">
        <f>IF(ISBLANK(INDEX('Policy Characteristics'!A:A,MATCH($C769,'Policy Characteristics'!$C:$C,0))),"",INDEX('Policy Characteristics'!A:A,MATCH($C769,'Policy Characteristics'!$C:$C,0)))</f>
        <v>Industry</v>
      </c>
      <c r="B769" s="284" t="str">
        <f>IF(ISBLANK(INDEX('Policy Characteristics'!B:B,MATCH($C769,'Policy Characteristics'!$C:$C,0))),"",INDEX('Policy Characteristics'!B:B,MATCH($C769,'Policy Characteristics'!$C:$C,0)))</f>
        <v>F-Gas Recovery</v>
      </c>
      <c r="C769" s="339" t="s">
        <v>2782</v>
      </c>
      <c r="D769" s="6"/>
      <c r="E769" s="6"/>
      <c r="F769" s="6"/>
      <c r="G769" s="6"/>
      <c r="H769" s="49">
        <v>511</v>
      </c>
      <c r="I769" s="347" t="s">
        <v>43</v>
      </c>
      <c r="J769" s="276" t="str">
        <f>IF(ISBLANK(INDEX('Policy Characteristics'!D:D,MATCH($C769,'Policy Characteristics'!$C:$C,0))),"",INDEX('Policy Characteristics'!D:D,MATCH($C769,'Policy Characteristics'!$C:$C,0)))</f>
        <v>F-gas Measures</v>
      </c>
      <c r="K769" s="275" t="str">
        <f>IF(ISBLANK(INDEX('Policy Characteristics'!E:E,MATCH($C769,'Policy Characteristics'!$C:$C,0))),"",INDEX('Policy Characteristics'!E:E,MATCH($C769,'Policy Characteristics'!$C:$C,0)))</f>
        <v>indst f gas recovery</v>
      </c>
      <c r="L769" s="283">
        <f>IF(ISBLANK(INDEX('Policy Characteristics'!F:F,MATCH($C769,'Policy Characteristics'!$C:$C,0))),"",INDEX('Policy Characteristics'!F:F,MATCH($C769,'Policy Characteristics'!$C:$C,0)))</f>
        <v>0</v>
      </c>
      <c r="M769" s="283">
        <f>IF(ISBLANK(INDEX('Policy Characteristics'!G:G,MATCH($C769,'Policy Characteristics'!$C:$C,0))),"",INDEX('Policy Characteristics'!G:G,MATCH($C769,'Policy Characteristics'!$C:$C,0)))</f>
        <v>1</v>
      </c>
      <c r="N769" s="283">
        <f>IF(ISBLANK(INDEX('Policy Characteristics'!H:H,MATCH($C769,'Policy Characteristics'!$C:$C,0))),"",INDEX('Policy Characteristics'!H:H,MATCH($C769,'Policy Characteristics'!$C:$C,0)))</f>
        <v>0.01</v>
      </c>
      <c r="O769" s="275" t="str">
        <f>IF(ISBLANK(INDEX('Policy Characteristics'!I:I,MATCH($C769,'Policy Characteristics'!$C:$C,0))),"",INDEX('Policy Characteristics'!I:I,MATCH($C769,'Policy Characteristics'!$C:$C,0)))</f>
        <v>% of potential achieved</v>
      </c>
      <c r="P769" s="275" t="str">
        <f>IF(ISBLANK(INDEX('Policy Characteristics'!J:J,MATCH($C769,'Policy Characteristics'!$C:$C,0))),"",INDEX('Policy Characteristics'!J:J,MATCH($C769,'Policy Characteristics'!$C:$C,0)))</f>
        <v>**Description:** This policy reduces emissions of high-GWP, fluorinated gases (F-gases) by recovering F-gases from equipment at the end of its service life and destroying or recycling those F-gases. // **Guidance for setting values:** If this policy is fully implemented, F-gas emissions in 2050 are reduced by 4%.</v>
      </c>
      <c r="Q769" s="275" t="str">
        <f>IF(ISBLANK(INDEX('Policy Characteristics'!K:K,MATCH($C769,'Policy Characteristics'!$C:$C,0))),"",INDEX('Policy Characteristics'!K:K,MATCH($C769,'Policy Characteristics'!$C:$C,0)))</f>
        <v>industry-ag-main.html#avoid-f-gases</v>
      </c>
      <c r="R769" s="275" t="str">
        <f>IF(ISBLANK(INDEX('Policy Characteristics'!L:L,MATCH($C769,'Policy Characteristics'!$C:$C,0))),"",INDEX('Policy Characteristics'!L:L,MATCH($C769,'Policy Characteristics'!$C:$C,0)))</f>
        <v>avoid-f-gases.html</v>
      </c>
    </row>
    <row r="770" spans="1:18" s="2" customFormat="1" x14ac:dyDescent="0.25">
      <c r="A770" s="275" t="str">
        <f>IF(ISBLANK(INDEX('Policy Characteristics'!A:A,MATCH($C770,'Policy Characteristics'!$C:$C,0))),"",INDEX('Policy Characteristics'!A:A,MATCH($C770,'Policy Characteristics'!$C:$C,0)))</f>
        <v>Industry</v>
      </c>
      <c r="B770" s="284" t="str">
        <f>IF(ISBLANK(INDEX('Policy Characteristics'!B:B,MATCH($C770,'Policy Characteristics'!$C:$C,0))),"",INDEX('Policy Characteristics'!B:B,MATCH($C770,'Policy Characteristics'!$C:$C,0)))</f>
        <v>F-Gas Eqpt. Maintenance &amp; Retrofits</v>
      </c>
      <c r="C770" s="339" t="s">
        <v>2783</v>
      </c>
      <c r="D770" s="6" t="s">
        <v>3079</v>
      </c>
      <c r="E770" s="6"/>
      <c r="F770" t="s">
        <v>2582</v>
      </c>
      <c r="G770" s="6"/>
      <c r="H770" s="49">
        <v>512</v>
      </c>
      <c r="I770" s="347" t="s">
        <v>43</v>
      </c>
      <c r="J770" s="276" t="str">
        <f>IF(ISBLANK(INDEX('Policy Characteristics'!D:D,MATCH($C770,'Policy Characteristics'!$C:$C,0))),"",INDEX('Policy Characteristics'!D:D,MATCH($C770,'Policy Characteristics'!$C:$C,0)))</f>
        <v>F-gas Measures</v>
      </c>
      <c r="K770" s="275" t="str">
        <f>IF(ISBLANK(INDEX('Policy Characteristics'!E:E,MATCH($C770,'Policy Characteristics'!$C:$C,0))),"",INDEX('Policy Characteristics'!E:E,MATCH($C770,'Policy Characteristics'!$C:$C,0)))</f>
        <v>indst f gas inspct maint retrofit</v>
      </c>
      <c r="L770" s="283">
        <f>IF(ISBLANK(INDEX('Policy Characteristics'!F:F,MATCH($C770,'Policy Characteristics'!$C:$C,0))),"",INDEX('Policy Characteristics'!F:F,MATCH($C770,'Policy Characteristics'!$C:$C,0)))</f>
        <v>0</v>
      </c>
      <c r="M770" s="283">
        <f>IF(ISBLANK(INDEX('Policy Characteristics'!G:G,MATCH($C770,'Policy Characteristics'!$C:$C,0))),"",INDEX('Policy Characteristics'!G:G,MATCH($C770,'Policy Characteristics'!$C:$C,0)))</f>
        <v>1</v>
      </c>
      <c r="N770" s="283">
        <f>IF(ISBLANK(INDEX('Policy Characteristics'!H:H,MATCH($C770,'Policy Characteristics'!$C:$C,0))),"",INDEX('Policy Characteristics'!H:H,MATCH($C770,'Policy Characteristics'!$C:$C,0)))</f>
        <v>0.01</v>
      </c>
      <c r="O770" s="275" t="str">
        <f>IF(ISBLANK(INDEX('Policy Characteristics'!I:I,MATCH($C770,'Policy Characteristics'!$C:$C,0))),"",INDEX('Policy Characteristics'!I:I,MATCH($C770,'Policy Characteristics'!$C:$C,0)))</f>
        <v>% of potential achieved</v>
      </c>
      <c r="P770" s="275" t="str">
        <f>IF(ISBLANK(INDEX('Policy Characteristics'!J:J,MATCH($C770,'Policy Characteristics'!$C:$C,0))),"",INDEX('Policy Characteristics'!J:J,MATCH($C770,'Policy Characteristics'!$C:$C,0)))</f>
        <v>**Description:**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v>
      </c>
      <c r="Q770" s="275" t="str">
        <f>IF(ISBLANK(INDEX('Policy Characteristics'!K:K,MATCH($C770,'Policy Characteristics'!$C:$C,0))),"",INDEX('Policy Characteristics'!K:K,MATCH($C770,'Policy Characteristics'!$C:$C,0)))</f>
        <v>industry-ag-main.html#avoid-f-gases</v>
      </c>
      <c r="R770" s="275" t="str">
        <f>IF(ISBLANK(INDEX('Policy Characteristics'!L:L,MATCH($C770,'Policy Characteristics'!$C:$C,0))),"",INDEX('Policy Characteristics'!L:L,MATCH($C770,'Policy Characteristics'!$C:$C,0)))</f>
        <v>avoid-f-gases.html</v>
      </c>
    </row>
    <row r="771" spans="1:18" s="2" customFormat="1" x14ac:dyDescent="0.25">
      <c r="A771" s="275" t="str">
        <f>IF(ISBLANK(INDEX('Policy Characteristics'!A:A,MATCH($C771,'Policy Characteristics'!$C:$C,0))),"",INDEX('Policy Characteristics'!A:A,MATCH($C771,'Policy Characteristics'!$C:$C,0)))</f>
        <v>Industry</v>
      </c>
      <c r="B771" s="284" t="str">
        <f>IF(ISBLANK(INDEX('Policy Characteristics'!B:B,MATCH($C771,'Policy Characteristics'!$C:$C,0))),"",INDEX('Policy Characteristics'!B:B,MATCH($C771,'Policy Characteristics'!$C:$C,0)))</f>
        <v>F-Gas Eqpt. Maintenance &amp; Retrofits</v>
      </c>
      <c r="C771" s="339" t="s">
        <v>2783</v>
      </c>
      <c r="D771" s="6" t="s">
        <v>3084</v>
      </c>
      <c r="E771" s="6"/>
      <c r="F771" t="s">
        <v>3046</v>
      </c>
      <c r="G771" s="6"/>
      <c r="H771" s="49">
        <v>1653</v>
      </c>
      <c r="I771" s="347" t="s">
        <v>43</v>
      </c>
      <c r="J771" s="276" t="str">
        <f>IF(ISBLANK(INDEX('Policy Characteristics'!D:D,MATCH($C771,'Policy Characteristics'!$C:$C,0))),"",INDEX('Policy Characteristics'!D:D,MATCH($C771,'Policy Characteristics'!$C:$C,0)))</f>
        <v>F-gas Measures</v>
      </c>
      <c r="K771" s="275" t="str">
        <f>IF(ISBLANK(INDEX('Policy Characteristics'!E:E,MATCH($C771,'Policy Characteristics'!$C:$C,0))),"",INDEX('Policy Characteristics'!E:E,MATCH($C771,'Policy Characteristics'!$C:$C,0)))</f>
        <v>indst f gas inspct maint retrofit</v>
      </c>
      <c r="L771" s="283">
        <f>IF(ISBLANK(INDEX('Policy Characteristics'!F:F,MATCH($C771,'Policy Characteristics'!$C:$C,0))),"",INDEX('Policy Characteristics'!F:F,MATCH($C771,'Policy Characteristics'!$C:$C,0)))</f>
        <v>0</v>
      </c>
      <c r="M771" s="283">
        <f>IF(ISBLANK(INDEX('Policy Characteristics'!G:G,MATCH($C771,'Policy Characteristics'!$C:$C,0))),"",INDEX('Policy Characteristics'!G:G,MATCH($C771,'Policy Characteristics'!$C:$C,0)))</f>
        <v>1</v>
      </c>
      <c r="N771" s="283">
        <f>IF(ISBLANK(INDEX('Policy Characteristics'!H:H,MATCH($C771,'Policy Characteristics'!$C:$C,0))),"",INDEX('Policy Characteristics'!H:H,MATCH($C771,'Policy Characteristics'!$C:$C,0)))</f>
        <v>0.01</v>
      </c>
      <c r="O771" s="275" t="str">
        <f>IF(ISBLANK(INDEX('Policy Characteristics'!I:I,MATCH($C771,'Policy Characteristics'!$C:$C,0))),"",INDEX('Policy Characteristics'!I:I,MATCH($C771,'Policy Characteristics'!$C:$C,0)))</f>
        <v>% of potential achieved</v>
      </c>
      <c r="P771" s="275" t="str">
        <f>IF(ISBLANK(INDEX('Policy Characteristics'!J:J,MATCH($C771,'Policy Characteristics'!$C:$C,0))),"",INDEX('Policy Characteristics'!J:J,MATCH($C771,'Policy Characteristics'!$C:$C,0)))</f>
        <v>**Description:**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v>
      </c>
      <c r="Q771" s="275" t="str">
        <f>IF(ISBLANK(INDEX('Policy Characteristics'!K:K,MATCH($C771,'Policy Characteristics'!$C:$C,0))),"",INDEX('Policy Characteristics'!K:K,MATCH($C771,'Policy Characteristics'!$C:$C,0)))</f>
        <v>industry-ag-main.html#avoid-f-gases</v>
      </c>
      <c r="R771" s="275" t="str">
        <f>IF(ISBLANK(INDEX('Policy Characteristics'!L:L,MATCH($C771,'Policy Characteristics'!$C:$C,0))),"",INDEX('Policy Characteristics'!L:L,MATCH($C771,'Policy Characteristics'!$C:$C,0)))</f>
        <v>avoid-f-gases.html</v>
      </c>
    </row>
    <row r="772" spans="1:18" s="2" customFormat="1" x14ac:dyDescent="0.25">
      <c r="A772" s="275" t="str">
        <f>IF(ISBLANK(INDEX('Policy Characteristics'!A:A,MATCH($C772,'Policy Characteristics'!$C:$C,0))),"",INDEX('Policy Characteristics'!A:A,MATCH($C772,'Policy Characteristics'!$C:$C,0)))</f>
        <v>Industry</v>
      </c>
      <c r="B772" s="284" t="str">
        <f>IF(ISBLANK(INDEX('Policy Characteristics'!B:B,MATCH($C772,'Policy Characteristics'!$C:$C,0))),"",INDEX('Policy Characteristics'!B:B,MATCH($C772,'Policy Characteristics'!$C:$C,0)))</f>
        <v>Hydrogen Combustion</v>
      </c>
      <c r="C772" t="s">
        <v>3573</v>
      </c>
      <c r="D772" s="47" t="s">
        <v>3070</v>
      </c>
      <c r="E772" s="1" t="s">
        <v>3547</v>
      </c>
      <c r="F772" t="s">
        <v>3095</v>
      </c>
      <c r="G772" s="47" t="s">
        <v>3554</v>
      </c>
      <c r="H772" s="44">
        <v>2034</v>
      </c>
      <c r="I772" s="346" t="s">
        <v>43</v>
      </c>
      <c r="J772" s="276" t="str">
        <f>IF(ISBLANK(INDEX('Policy Characteristics'!D:D,MATCH($C772,'Policy Characteristics'!$C:$C,0))),"",INDEX('Policy Characteristics'!D:D,MATCH($C772,'Policy Characteristics'!$C:$C,0)))</f>
        <v>Hydrogen Combustion</v>
      </c>
      <c r="K772" s="275" t="str">
        <f>IF(ISBLANK(INDEX('Policy Characteristics'!E:E,MATCH($C772,'Policy Characteristics'!$C:$C,0))),"",INDEX('Policy Characteristics'!E:E,MATCH($C772,'Policy Characteristics'!$C:$C,0)))</f>
        <v>indst shift to hydrogen</v>
      </c>
      <c r="L772" s="283">
        <f>IF(ISBLANK(INDEX('Policy Characteristics'!F:F,MATCH($C772,'Policy Characteristics'!$C:$C,0))),"",INDEX('Policy Characteristics'!F:F,MATCH($C772,'Policy Characteristics'!$C:$C,0)))</f>
        <v>0</v>
      </c>
      <c r="M772" s="283">
        <f>IF(ISBLANK(INDEX('Policy Characteristics'!G:G,MATCH($C772,'Policy Characteristics'!$C:$C,0))),"",INDEX('Policy Characteristics'!G:G,MATCH($C772,'Policy Characteristics'!$C:$C,0)))</f>
        <v>1</v>
      </c>
      <c r="N772" s="283">
        <f>IF(ISBLANK(INDEX('Policy Characteristics'!H:H,MATCH($C772,'Policy Characteristics'!$C:$C,0))),"",INDEX('Policy Characteristics'!H:H,MATCH($C772,'Policy Characteristics'!$C:$C,0)))</f>
        <v>0.01</v>
      </c>
      <c r="O772" s="275" t="str">
        <f>IF(ISBLANK(INDEX('Policy Characteristics'!I:I,MATCH($C772,'Policy Characteristics'!$C:$C,0))),"",INDEX('Policy Characteristics'!I:I,MATCH($C772,'Policy Characteristics'!$C:$C,0)))</f>
        <v>% of fuel shifted</v>
      </c>
      <c r="P772" s="275" t="str">
        <f>IF(ISBLANK(INDEX('Policy Characteristics'!J:J,MATCH($C772,'Policy Characteristics'!$C:$C,0))),"",INDEX('Policy Characteristics'!J:J,MATCH($C772,'Policy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2" s="275" t="str">
        <f>IF(ISBLANK(INDEX('Policy Characteristics'!K:K,MATCH($C772,'Policy Characteristics'!$C:$C,0))),"",INDEX('Policy Characteristics'!K:K,MATCH($C772,'Policy Characteristics'!$C:$C,0)))</f>
        <v>industry-ag-main.html#fuel-switching</v>
      </c>
      <c r="R772" s="275" t="str">
        <f>IF(ISBLANK(INDEX('Policy Characteristics'!L:L,MATCH($C772,'Policy Characteristics'!$C:$C,0))),"",INDEX('Policy Characteristics'!L:L,MATCH($C772,'Policy Characteristics'!$C:$C,0)))</f>
        <v>industry-elec-and-hydrogen.html</v>
      </c>
    </row>
    <row r="773" spans="1:18" s="2" customFormat="1" x14ac:dyDescent="0.25">
      <c r="A773" s="275" t="str">
        <f>IF(ISBLANK(INDEX('Policy Characteristics'!A:A,MATCH($C773,'Policy Characteristics'!$C:$C,0))),"",INDEX('Policy Characteristics'!A:A,MATCH($C773,'Policy Characteristics'!$C:$C,0)))</f>
        <v>Industry</v>
      </c>
      <c r="B773" s="284" t="str">
        <f>IF(ISBLANK(INDEX('Policy Characteristics'!B:B,MATCH($C773,'Policy Characteristics'!$C:$C,0))),"",INDEX('Policy Characteristics'!B:B,MATCH($C773,'Policy Characteristics'!$C:$C,0)))</f>
        <v>Hydrogen Combustion</v>
      </c>
      <c r="C773" s="275" t="str">
        <f>C$772</f>
        <v>Fraction of Eligible Industrial Energy Use Shifted to Hydrogen</v>
      </c>
      <c r="D773" s="47" t="s">
        <v>3070</v>
      </c>
      <c r="E773" s="1" t="s">
        <v>3548</v>
      </c>
      <c r="F773" t="s">
        <v>3095</v>
      </c>
      <c r="G773" s="47" t="s">
        <v>3555</v>
      </c>
      <c r="H773" s="44">
        <v>2035</v>
      </c>
      <c r="I773" s="346" t="s">
        <v>43</v>
      </c>
      <c r="J773" s="276" t="str">
        <f>IF(ISBLANK(INDEX('Policy Characteristics'!D:D,MATCH($C773,'Policy Characteristics'!$C:$C,0))),"",INDEX('Policy Characteristics'!D:D,MATCH($C773,'Policy Characteristics'!$C:$C,0)))</f>
        <v>Hydrogen Combustion</v>
      </c>
      <c r="K773" s="275" t="str">
        <f>IF(ISBLANK(INDEX('Policy Characteristics'!E:E,MATCH($C773,'Policy Characteristics'!$C:$C,0))),"",INDEX('Policy Characteristics'!E:E,MATCH($C773,'Policy Characteristics'!$C:$C,0)))</f>
        <v>indst shift to hydrogen</v>
      </c>
      <c r="L773" s="283">
        <f>IF(ISBLANK(INDEX('Policy Characteristics'!F:F,MATCH($C773,'Policy Characteristics'!$C:$C,0))),"",INDEX('Policy Characteristics'!F:F,MATCH($C773,'Policy Characteristics'!$C:$C,0)))</f>
        <v>0</v>
      </c>
      <c r="M773" s="283">
        <f>IF(ISBLANK(INDEX('Policy Characteristics'!G:G,MATCH($C773,'Policy Characteristics'!$C:$C,0))),"",INDEX('Policy Characteristics'!G:G,MATCH($C773,'Policy Characteristics'!$C:$C,0)))</f>
        <v>1</v>
      </c>
      <c r="N773" s="283">
        <f>IF(ISBLANK(INDEX('Policy Characteristics'!H:H,MATCH($C773,'Policy Characteristics'!$C:$C,0))),"",INDEX('Policy Characteristics'!H:H,MATCH($C773,'Policy Characteristics'!$C:$C,0)))</f>
        <v>0.01</v>
      </c>
      <c r="O773" s="275" t="str">
        <f>IF(ISBLANK(INDEX('Policy Characteristics'!I:I,MATCH($C773,'Policy Characteristics'!$C:$C,0))),"",INDEX('Policy Characteristics'!I:I,MATCH($C773,'Policy Characteristics'!$C:$C,0)))</f>
        <v>% of fuel shifted</v>
      </c>
      <c r="P773" s="275" t="str">
        <f>IF(ISBLANK(INDEX('Policy Characteristics'!J:J,MATCH($C773,'Policy Characteristics'!$C:$C,0))),"",INDEX('Policy Characteristics'!J:J,MATCH($C773,'Policy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3" s="275" t="str">
        <f>IF(ISBLANK(INDEX('Policy Characteristics'!K:K,MATCH($C773,'Policy Characteristics'!$C:$C,0))),"",INDEX('Policy Characteristics'!K:K,MATCH($C773,'Policy Characteristics'!$C:$C,0)))</f>
        <v>industry-ag-main.html#fuel-switching</v>
      </c>
      <c r="R773" s="275" t="str">
        <f>IF(ISBLANK(INDEX('Policy Characteristics'!L:L,MATCH($C773,'Policy Characteristics'!$C:$C,0))),"",INDEX('Policy Characteristics'!L:L,MATCH($C773,'Policy Characteristics'!$C:$C,0)))</f>
        <v>industry-elec-and-hydrogen.html</v>
      </c>
    </row>
    <row r="774" spans="1:18" s="2" customFormat="1" x14ac:dyDescent="0.25">
      <c r="A774" s="275" t="str">
        <f>IF(ISBLANK(INDEX('Policy Characteristics'!A:A,MATCH($C774,'Policy Characteristics'!$C:$C,0))),"",INDEX('Policy Characteristics'!A:A,MATCH($C774,'Policy Characteristics'!$C:$C,0)))</f>
        <v>Industry</v>
      </c>
      <c r="B774" s="284" t="str">
        <f>IF(ISBLANK(INDEX('Policy Characteristics'!B:B,MATCH($C774,'Policy Characteristics'!$C:$C,0))),"",INDEX('Policy Characteristics'!B:B,MATCH($C774,'Policy Characteristics'!$C:$C,0)))</f>
        <v>Hydrogen Combustion</v>
      </c>
      <c r="C774" s="275" t="str">
        <f t="shared" ref="C774:C837" si="37">C$772</f>
        <v>Fraction of Eligible Industrial Energy Use Shifted to Hydrogen</v>
      </c>
      <c r="D774" s="47" t="s">
        <v>3070</v>
      </c>
      <c r="E774" s="1" t="s">
        <v>3549</v>
      </c>
      <c r="F774" t="s">
        <v>3095</v>
      </c>
      <c r="G774" s="47" t="s">
        <v>3556</v>
      </c>
      <c r="H774" s="44">
        <v>2036</v>
      </c>
      <c r="I774" s="346" t="s">
        <v>44</v>
      </c>
      <c r="J774" s="276" t="str">
        <f>IF(ISBLANK(INDEX('Policy Characteristics'!D:D,MATCH($C774,'Policy Characteristics'!$C:$C,0))),"",INDEX('Policy Characteristics'!D:D,MATCH($C774,'Policy Characteristics'!$C:$C,0)))</f>
        <v>Hydrogen Combustion</v>
      </c>
      <c r="K774" s="275" t="str">
        <f>IF(ISBLANK(INDEX('Policy Characteristics'!E:E,MATCH($C774,'Policy Characteristics'!$C:$C,0))),"",INDEX('Policy Characteristics'!E:E,MATCH($C774,'Policy Characteristics'!$C:$C,0)))</f>
        <v>indst shift to hydrogen</v>
      </c>
      <c r="L774" s="283">
        <f>IF(ISBLANK(INDEX('Policy Characteristics'!F:F,MATCH($C774,'Policy Characteristics'!$C:$C,0))),"",INDEX('Policy Characteristics'!F:F,MATCH($C774,'Policy Characteristics'!$C:$C,0)))</f>
        <v>0</v>
      </c>
      <c r="M774" s="283">
        <f>IF(ISBLANK(INDEX('Policy Characteristics'!G:G,MATCH($C774,'Policy Characteristics'!$C:$C,0))),"",INDEX('Policy Characteristics'!G:G,MATCH($C774,'Policy Characteristics'!$C:$C,0)))</f>
        <v>1</v>
      </c>
      <c r="N774" s="283">
        <f>IF(ISBLANK(INDEX('Policy Characteristics'!H:H,MATCH($C774,'Policy Characteristics'!$C:$C,0))),"",INDEX('Policy Characteristics'!H:H,MATCH($C774,'Policy Characteristics'!$C:$C,0)))</f>
        <v>0.01</v>
      </c>
      <c r="O774" s="275" t="str">
        <f>IF(ISBLANK(INDEX('Policy Characteristics'!I:I,MATCH($C774,'Policy Characteristics'!$C:$C,0))),"",INDEX('Policy Characteristics'!I:I,MATCH($C774,'Policy Characteristics'!$C:$C,0)))</f>
        <v>% of fuel shifted</v>
      </c>
      <c r="P774" s="275" t="str">
        <f>IF(ISBLANK(INDEX('Policy Characteristics'!J:J,MATCH($C774,'Policy Characteristics'!$C:$C,0))),"",INDEX('Policy Characteristics'!J:J,MATCH($C774,'Policy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4" s="275" t="str">
        <f>IF(ISBLANK(INDEX('Policy Characteristics'!K:K,MATCH($C774,'Policy Characteristics'!$C:$C,0))),"",INDEX('Policy Characteristics'!K:K,MATCH($C774,'Policy Characteristics'!$C:$C,0)))</f>
        <v>industry-ag-main.html#fuel-switching</v>
      </c>
      <c r="R774" s="275" t="str">
        <f>IF(ISBLANK(INDEX('Policy Characteristics'!L:L,MATCH($C774,'Policy Characteristics'!$C:$C,0))),"",INDEX('Policy Characteristics'!L:L,MATCH($C774,'Policy Characteristics'!$C:$C,0)))</f>
        <v>industry-elec-and-hydrogen.html</v>
      </c>
    </row>
    <row r="775" spans="1:18" s="2" customFormat="1" x14ac:dyDescent="0.25">
      <c r="A775" s="275" t="str">
        <f>IF(ISBLANK(INDEX('Policy Characteristics'!A:A,MATCH($C775,'Policy Characteristics'!$C:$C,0))),"",INDEX('Policy Characteristics'!A:A,MATCH($C775,'Policy Characteristics'!$C:$C,0)))</f>
        <v>Industry</v>
      </c>
      <c r="B775" s="284" t="str">
        <f>IF(ISBLANK(INDEX('Policy Characteristics'!B:B,MATCH($C775,'Policy Characteristics'!$C:$C,0))),"",INDEX('Policy Characteristics'!B:B,MATCH($C775,'Policy Characteristics'!$C:$C,0)))</f>
        <v>Hydrogen Combustion</v>
      </c>
      <c r="C775" s="275" t="str">
        <f t="shared" si="37"/>
        <v>Fraction of Eligible Industrial Energy Use Shifted to Hydrogen</v>
      </c>
      <c r="D775" s="47" t="s">
        <v>3070</v>
      </c>
      <c r="E775" s="1" t="s">
        <v>3550</v>
      </c>
      <c r="F775" t="s">
        <v>3095</v>
      </c>
      <c r="G775" s="47" t="s">
        <v>3557</v>
      </c>
      <c r="H775" s="44">
        <v>2037</v>
      </c>
      <c r="I775" s="346" t="s">
        <v>44</v>
      </c>
      <c r="J775" s="276" t="str">
        <f>IF(ISBLANK(INDEX('Policy Characteristics'!D:D,MATCH($C775,'Policy Characteristics'!$C:$C,0))),"",INDEX('Policy Characteristics'!D:D,MATCH($C775,'Policy Characteristics'!$C:$C,0)))</f>
        <v>Hydrogen Combustion</v>
      </c>
      <c r="K775" s="275" t="str">
        <f>IF(ISBLANK(INDEX('Policy Characteristics'!E:E,MATCH($C775,'Policy Characteristics'!$C:$C,0))),"",INDEX('Policy Characteristics'!E:E,MATCH($C775,'Policy Characteristics'!$C:$C,0)))</f>
        <v>indst shift to hydrogen</v>
      </c>
      <c r="L775" s="283">
        <f>IF(ISBLANK(INDEX('Policy Characteristics'!F:F,MATCH($C775,'Policy Characteristics'!$C:$C,0))),"",INDEX('Policy Characteristics'!F:F,MATCH($C775,'Policy Characteristics'!$C:$C,0)))</f>
        <v>0</v>
      </c>
      <c r="M775" s="283">
        <f>IF(ISBLANK(INDEX('Policy Characteristics'!G:G,MATCH($C775,'Policy Characteristics'!$C:$C,0))),"",INDEX('Policy Characteristics'!G:G,MATCH($C775,'Policy Characteristics'!$C:$C,0)))</f>
        <v>1</v>
      </c>
      <c r="N775" s="283">
        <f>IF(ISBLANK(INDEX('Policy Characteristics'!H:H,MATCH($C775,'Policy Characteristics'!$C:$C,0))),"",INDEX('Policy Characteristics'!H:H,MATCH($C775,'Policy Characteristics'!$C:$C,0)))</f>
        <v>0.01</v>
      </c>
      <c r="O775" s="275" t="str">
        <f>IF(ISBLANK(INDEX('Policy Characteristics'!I:I,MATCH($C775,'Policy Characteristics'!$C:$C,0))),"",INDEX('Policy Characteristics'!I:I,MATCH($C775,'Policy Characteristics'!$C:$C,0)))</f>
        <v>% of fuel shifted</v>
      </c>
      <c r="P775" s="275" t="str">
        <f>IF(ISBLANK(INDEX('Policy Characteristics'!J:J,MATCH($C775,'Policy Characteristics'!$C:$C,0))),"",INDEX('Policy Characteristics'!J:J,MATCH($C775,'Policy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5" s="275" t="str">
        <f>IF(ISBLANK(INDEX('Policy Characteristics'!K:K,MATCH($C775,'Policy Characteristics'!$C:$C,0))),"",INDEX('Policy Characteristics'!K:K,MATCH($C775,'Policy Characteristics'!$C:$C,0)))</f>
        <v>industry-ag-main.html#fuel-switching</v>
      </c>
      <c r="R775" s="275" t="str">
        <f>IF(ISBLANK(INDEX('Policy Characteristics'!L:L,MATCH($C775,'Policy Characteristics'!$C:$C,0))),"",INDEX('Policy Characteristics'!L:L,MATCH($C775,'Policy Characteristics'!$C:$C,0)))</f>
        <v>industry-elec-and-hydrogen.html</v>
      </c>
    </row>
    <row r="776" spans="1:18" s="2" customFormat="1" x14ac:dyDescent="0.25">
      <c r="A776" s="275" t="str">
        <f>IF(ISBLANK(INDEX('Policy Characteristics'!A:A,MATCH($C776,'Policy Characteristics'!$C:$C,0))),"",INDEX('Policy Characteristics'!A:A,MATCH($C776,'Policy Characteristics'!$C:$C,0)))</f>
        <v>Industry</v>
      </c>
      <c r="B776" s="284" t="str">
        <f>IF(ISBLANK(INDEX('Policy Characteristics'!B:B,MATCH($C776,'Policy Characteristics'!$C:$C,0))),"",INDEX('Policy Characteristics'!B:B,MATCH($C776,'Policy Characteristics'!$C:$C,0)))</f>
        <v>Hydrogen Combustion</v>
      </c>
      <c r="C776" s="275" t="str">
        <f t="shared" si="37"/>
        <v>Fraction of Eligible Industrial Energy Use Shifted to Hydrogen</v>
      </c>
      <c r="D776" s="47" t="s">
        <v>3070</v>
      </c>
      <c r="E776" s="1" t="s">
        <v>3551</v>
      </c>
      <c r="F776" t="s">
        <v>3095</v>
      </c>
      <c r="G776" s="47" t="s">
        <v>3558</v>
      </c>
      <c r="H776" s="44">
        <v>2038</v>
      </c>
      <c r="I776" s="346" t="s">
        <v>44</v>
      </c>
      <c r="J776" s="276" t="str">
        <f>IF(ISBLANK(INDEX('Policy Characteristics'!D:D,MATCH($C776,'Policy Characteristics'!$C:$C,0))),"",INDEX('Policy Characteristics'!D:D,MATCH($C776,'Policy Characteristics'!$C:$C,0)))</f>
        <v>Hydrogen Combustion</v>
      </c>
      <c r="K776" s="275" t="str">
        <f>IF(ISBLANK(INDEX('Policy Characteristics'!E:E,MATCH($C776,'Policy Characteristics'!$C:$C,0))),"",INDEX('Policy Characteristics'!E:E,MATCH($C776,'Policy Characteristics'!$C:$C,0)))</f>
        <v>indst shift to hydrogen</v>
      </c>
      <c r="L776" s="283">
        <f>IF(ISBLANK(INDEX('Policy Characteristics'!F:F,MATCH($C776,'Policy Characteristics'!$C:$C,0))),"",INDEX('Policy Characteristics'!F:F,MATCH($C776,'Policy Characteristics'!$C:$C,0)))</f>
        <v>0</v>
      </c>
      <c r="M776" s="283">
        <f>IF(ISBLANK(INDEX('Policy Characteristics'!G:G,MATCH($C776,'Policy Characteristics'!$C:$C,0))),"",INDEX('Policy Characteristics'!G:G,MATCH($C776,'Policy Characteristics'!$C:$C,0)))</f>
        <v>1</v>
      </c>
      <c r="N776" s="283">
        <f>IF(ISBLANK(INDEX('Policy Characteristics'!H:H,MATCH($C776,'Policy Characteristics'!$C:$C,0))),"",INDEX('Policy Characteristics'!H:H,MATCH($C776,'Policy Characteristics'!$C:$C,0)))</f>
        <v>0.01</v>
      </c>
      <c r="O776" s="275" t="str">
        <f>IF(ISBLANK(INDEX('Policy Characteristics'!I:I,MATCH($C776,'Policy Characteristics'!$C:$C,0))),"",INDEX('Policy Characteristics'!I:I,MATCH($C776,'Policy Characteristics'!$C:$C,0)))</f>
        <v>% of fuel shifted</v>
      </c>
      <c r="P776" s="275" t="str">
        <f>IF(ISBLANK(INDEX('Policy Characteristics'!J:J,MATCH($C776,'Policy Characteristics'!$C:$C,0))),"",INDEX('Policy Characteristics'!J:J,MATCH($C776,'Policy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6" s="275" t="str">
        <f>IF(ISBLANK(INDEX('Policy Characteristics'!K:K,MATCH($C776,'Policy Characteristics'!$C:$C,0))),"",INDEX('Policy Characteristics'!K:K,MATCH($C776,'Policy Characteristics'!$C:$C,0)))</f>
        <v>industry-ag-main.html#fuel-switching</v>
      </c>
      <c r="R776" s="275" t="str">
        <f>IF(ISBLANK(INDEX('Policy Characteristics'!L:L,MATCH($C776,'Policy Characteristics'!$C:$C,0))),"",INDEX('Policy Characteristics'!L:L,MATCH($C776,'Policy Characteristics'!$C:$C,0)))</f>
        <v>industry-elec-and-hydrogen.html</v>
      </c>
    </row>
    <row r="777" spans="1:18" s="2" customFormat="1" x14ac:dyDescent="0.25">
      <c r="A777" s="275" t="str">
        <f>IF(ISBLANK(INDEX('Policy Characteristics'!A:A,MATCH($C777,'Policy Characteristics'!$C:$C,0))),"",INDEX('Policy Characteristics'!A:A,MATCH($C777,'Policy Characteristics'!$C:$C,0)))</f>
        <v>Industry</v>
      </c>
      <c r="B777" s="284" t="str">
        <f>IF(ISBLANK(INDEX('Policy Characteristics'!B:B,MATCH($C777,'Policy Characteristics'!$C:$C,0))),"",INDEX('Policy Characteristics'!B:B,MATCH($C777,'Policy Characteristics'!$C:$C,0)))</f>
        <v>Hydrogen Combustion</v>
      </c>
      <c r="C777" s="275" t="str">
        <f t="shared" si="37"/>
        <v>Fraction of Eligible Industrial Energy Use Shifted to Hydrogen</v>
      </c>
      <c r="D777" s="47" t="s">
        <v>3070</v>
      </c>
      <c r="E777" s="1" t="s">
        <v>3552</v>
      </c>
      <c r="F777" t="s">
        <v>3095</v>
      </c>
      <c r="G777" s="47" t="s">
        <v>3559</v>
      </c>
      <c r="H777" s="44">
        <v>2039</v>
      </c>
      <c r="I777" s="346" t="s">
        <v>43</v>
      </c>
      <c r="J777" s="276" t="str">
        <f>IF(ISBLANK(INDEX('Policy Characteristics'!D:D,MATCH($C777,'Policy Characteristics'!$C:$C,0))),"",INDEX('Policy Characteristics'!D:D,MATCH($C777,'Policy Characteristics'!$C:$C,0)))</f>
        <v>Hydrogen Combustion</v>
      </c>
      <c r="K777" s="275" t="str">
        <f>IF(ISBLANK(INDEX('Policy Characteristics'!E:E,MATCH($C777,'Policy Characteristics'!$C:$C,0))),"",INDEX('Policy Characteristics'!E:E,MATCH($C777,'Policy Characteristics'!$C:$C,0)))</f>
        <v>indst shift to hydrogen</v>
      </c>
      <c r="L777" s="283">
        <f>IF(ISBLANK(INDEX('Policy Characteristics'!F:F,MATCH($C777,'Policy Characteristics'!$C:$C,0))),"",INDEX('Policy Characteristics'!F:F,MATCH($C777,'Policy Characteristics'!$C:$C,0)))</f>
        <v>0</v>
      </c>
      <c r="M777" s="283">
        <f>IF(ISBLANK(INDEX('Policy Characteristics'!G:G,MATCH($C777,'Policy Characteristics'!$C:$C,0))),"",INDEX('Policy Characteristics'!G:G,MATCH($C777,'Policy Characteristics'!$C:$C,0)))</f>
        <v>1</v>
      </c>
      <c r="N777" s="283">
        <f>IF(ISBLANK(INDEX('Policy Characteristics'!H:H,MATCH($C777,'Policy Characteristics'!$C:$C,0))),"",INDEX('Policy Characteristics'!H:H,MATCH($C777,'Policy Characteristics'!$C:$C,0)))</f>
        <v>0.01</v>
      </c>
      <c r="O777" s="275" t="str">
        <f>IF(ISBLANK(INDEX('Policy Characteristics'!I:I,MATCH($C777,'Policy Characteristics'!$C:$C,0))),"",INDEX('Policy Characteristics'!I:I,MATCH($C777,'Policy Characteristics'!$C:$C,0)))</f>
        <v>% of fuel shifted</v>
      </c>
      <c r="P777" s="275" t="str">
        <f>IF(ISBLANK(INDEX('Policy Characteristics'!J:J,MATCH($C777,'Policy Characteristics'!$C:$C,0))),"",INDEX('Policy Characteristics'!J:J,MATCH($C777,'Policy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7" s="275" t="str">
        <f>IF(ISBLANK(INDEX('Policy Characteristics'!K:K,MATCH($C777,'Policy Characteristics'!$C:$C,0))),"",INDEX('Policy Characteristics'!K:K,MATCH($C777,'Policy Characteristics'!$C:$C,0)))</f>
        <v>industry-ag-main.html#fuel-switching</v>
      </c>
      <c r="R777" s="275" t="str">
        <f>IF(ISBLANK(INDEX('Policy Characteristics'!L:L,MATCH($C777,'Policy Characteristics'!$C:$C,0))),"",INDEX('Policy Characteristics'!L:L,MATCH($C777,'Policy Characteristics'!$C:$C,0)))</f>
        <v>industry-elec-and-hydrogen.html</v>
      </c>
    </row>
    <row r="778" spans="1:18" s="2" customFormat="1" x14ac:dyDescent="0.25">
      <c r="A778" s="275" t="str">
        <f>IF(ISBLANK(INDEX('Policy Characteristics'!A:A,MATCH($C778,'Policy Characteristics'!$C:$C,0))),"",INDEX('Policy Characteristics'!A:A,MATCH($C778,'Policy Characteristics'!$C:$C,0)))</f>
        <v>Industry</v>
      </c>
      <c r="B778" s="284" t="str">
        <f>IF(ISBLANK(INDEX('Policy Characteristics'!B:B,MATCH($C778,'Policy Characteristics'!$C:$C,0))),"",INDEX('Policy Characteristics'!B:B,MATCH($C778,'Policy Characteristics'!$C:$C,0)))</f>
        <v>Hydrogen Combustion</v>
      </c>
      <c r="C778" s="275" t="str">
        <f t="shared" si="37"/>
        <v>Fraction of Eligible Industrial Energy Use Shifted to Hydrogen</v>
      </c>
      <c r="D778" s="47" t="s">
        <v>3070</v>
      </c>
      <c r="E778" s="1" t="s">
        <v>3553</v>
      </c>
      <c r="F778" t="s">
        <v>3095</v>
      </c>
      <c r="G778" s="47" t="s">
        <v>3560</v>
      </c>
      <c r="H778" s="44">
        <v>2040</v>
      </c>
      <c r="I778" s="346" t="s">
        <v>44</v>
      </c>
      <c r="J778" s="276" t="str">
        <f>IF(ISBLANK(INDEX('Policy Characteristics'!D:D,MATCH($C778,'Policy Characteristics'!$C:$C,0))),"",INDEX('Policy Characteristics'!D:D,MATCH($C778,'Policy Characteristics'!$C:$C,0)))</f>
        <v>Hydrogen Combustion</v>
      </c>
      <c r="K778" s="275" t="str">
        <f>IF(ISBLANK(INDEX('Policy Characteristics'!E:E,MATCH($C778,'Policy Characteristics'!$C:$C,0))),"",INDEX('Policy Characteristics'!E:E,MATCH($C778,'Policy Characteristics'!$C:$C,0)))</f>
        <v>indst shift to hydrogen</v>
      </c>
      <c r="L778" s="283">
        <f>IF(ISBLANK(INDEX('Policy Characteristics'!F:F,MATCH($C778,'Policy Characteristics'!$C:$C,0))),"",INDEX('Policy Characteristics'!F:F,MATCH($C778,'Policy Characteristics'!$C:$C,0)))</f>
        <v>0</v>
      </c>
      <c r="M778" s="283">
        <f>IF(ISBLANK(INDEX('Policy Characteristics'!G:G,MATCH($C778,'Policy Characteristics'!$C:$C,0))),"",INDEX('Policy Characteristics'!G:G,MATCH($C778,'Policy Characteristics'!$C:$C,0)))</f>
        <v>1</v>
      </c>
      <c r="N778" s="283">
        <f>IF(ISBLANK(INDEX('Policy Characteristics'!H:H,MATCH($C778,'Policy Characteristics'!$C:$C,0))),"",INDEX('Policy Characteristics'!H:H,MATCH($C778,'Policy Characteristics'!$C:$C,0)))</f>
        <v>0.01</v>
      </c>
      <c r="O778" s="275" t="str">
        <f>IF(ISBLANK(INDEX('Policy Characteristics'!I:I,MATCH($C778,'Policy Characteristics'!$C:$C,0))),"",INDEX('Policy Characteristics'!I:I,MATCH($C778,'Policy Characteristics'!$C:$C,0)))</f>
        <v>% of fuel shifted</v>
      </c>
      <c r="P778" s="275" t="str">
        <f>IF(ISBLANK(INDEX('Policy Characteristics'!J:J,MATCH($C778,'Policy Characteristics'!$C:$C,0))),"",INDEX('Policy Characteristics'!J:J,MATCH($C778,'Policy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8" s="275" t="str">
        <f>IF(ISBLANK(INDEX('Policy Characteristics'!K:K,MATCH($C778,'Policy Characteristics'!$C:$C,0))),"",INDEX('Policy Characteristics'!K:K,MATCH($C778,'Policy Characteristics'!$C:$C,0)))</f>
        <v>industry-ag-main.html#fuel-switching</v>
      </c>
      <c r="R778" s="275" t="str">
        <f>IF(ISBLANK(INDEX('Policy Characteristics'!L:L,MATCH($C778,'Policy Characteristics'!$C:$C,0))),"",INDEX('Policy Characteristics'!L:L,MATCH($C778,'Policy Characteristics'!$C:$C,0)))</f>
        <v>industry-elec-and-hydrogen.html</v>
      </c>
    </row>
    <row r="779" spans="1:18" s="2" customFormat="1" x14ac:dyDescent="0.25">
      <c r="A779" s="275" t="str">
        <f>IF(ISBLANK(INDEX('Policy Characteristics'!A:A,MATCH($C779,'Policy Characteristics'!$C:$C,0))),"",INDEX('Policy Characteristics'!A:A,MATCH($C779,'Policy Characteristics'!$C:$C,0)))</f>
        <v>Industry</v>
      </c>
      <c r="B779" s="284" t="str">
        <f>IF(ISBLANK(INDEX('Policy Characteristics'!B:B,MATCH($C779,'Policy Characteristics'!$C:$C,0))),"",INDEX('Policy Characteristics'!B:B,MATCH($C779,'Policy Characteristics'!$C:$C,0)))</f>
        <v>Hydrogen Combustion</v>
      </c>
      <c r="C779" s="275" t="str">
        <f t="shared" si="37"/>
        <v>Fraction of Eligible Industrial Energy Use Shifted to Hydrogen</v>
      </c>
      <c r="D779" s="47" t="s">
        <v>3070</v>
      </c>
      <c r="E779" s="1" t="s">
        <v>3737</v>
      </c>
      <c r="F779" t="s">
        <v>3095</v>
      </c>
      <c r="G779" s="47" t="s">
        <v>3738</v>
      </c>
      <c r="H779" s="44">
        <v>2041</v>
      </c>
      <c r="I779" s="346" t="s">
        <v>44</v>
      </c>
      <c r="J779" s="276" t="str">
        <f>IF(ISBLANK(INDEX('Policy Characteristics'!D:D,MATCH($C779,'Policy Characteristics'!$C:$C,0))),"",INDEX('Policy Characteristics'!D:D,MATCH($C779,'Policy Characteristics'!$C:$C,0)))</f>
        <v>Hydrogen Combustion</v>
      </c>
      <c r="K779" s="275" t="str">
        <f>IF(ISBLANK(INDEX('Policy Characteristics'!E:E,MATCH($C779,'Policy Characteristics'!$C:$C,0))),"",INDEX('Policy Characteristics'!E:E,MATCH($C779,'Policy Characteristics'!$C:$C,0)))</f>
        <v>indst shift to hydrogen</v>
      </c>
      <c r="L779" s="283">
        <f>IF(ISBLANK(INDEX('Policy Characteristics'!F:F,MATCH($C779,'Policy Characteristics'!$C:$C,0))),"",INDEX('Policy Characteristics'!F:F,MATCH($C779,'Policy Characteristics'!$C:$C,0)))</f>
        <v>0</v>
      </c>
      <c r="M779" s="283">
        <f>IF(ISBLANK(INDEX('Policy Characteristics'!G:G,MATCH($C779,'Policy Characteristics'!$C:$C,0))),"",INDEX('Policy Characteristics'!G:G,MATCH($C779,'Policy Characteristics'!$C:$C,0)))</f>
        <v>1</v>
      </c>
      <c r="N779" s="283">
        <f>IF(ISBLANK(INDEX('Policy Characteristics'!H:H,MATCH($C779,'Policy Characteristics'!$C:$C,0))),"",INDEX('Policy Characteristics'!H:H,MATCH($C779,'Policy Characteristics'!$C:$C,0)))</f>
        <v>0.01</v>
      </c>
      <c r="O779" s="275" t="str">
        <f>IF(ISBLANK(INDEX('Policy Characteristics'!I:I,MATCH($C779,'Policy Characteristics'!$C:$C,0))),"",INDEX('Policy Characteristics'!I:I,MATCH($C779,'Policy Characteristics'!$C:$C,0)))</f>
        <v>% of fuel shifted</v>
      </c>
      <c r="P779" s="275" t="str">
        <f>IF(ISBLANK(INDEX('Policy Characteristics'!J:J,MATCH($C779,'Policy Characteristics'!$C:$C,0))),"",INDEX('Policy Characteristics'!J:J,MATCH($C779,'Policy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9" s="275" t="str">
        <f>IF(ISBLANK(INDEX('Policy Characteristics'!K:K,MATCH($C779,'Policy Characteristics'!$C:$C,0))),"",INDEX('Policy Characteristics'!K:K,MATCH($C779,'Policy Characteristics'!$C:$C,0)))</f>
        <v>industry-ag-main.html#fuel-switching</v>
      </c>
      <c r="R779" s="275" t="str">
        <f>IF(ISBLANK(INDEX('Policy Characteristics'!L:L,MATCH($C779,'Policy Characteristics'!$C:$C,0))),"",INDEX('Policy Characteristics'!L:L,MATCH($C779,'Policy Characteristics'!$C:$C,0)))</f>
        <v>industry-elec-and-hydrogen.html</v>
      </c>
    </row>
    <row r="780" spans="1:18" s="2" customFormat="1" x14ac:dyDescent="0.25">
      <c r="A780" s="275" t="str">
        <f>IF(ISBLANK(INDEX('Policy Characteristics'!A:A,MATCH($C780,'Policy Characteristics'!$C:$C,0))),"",INDEX('Policy Characteristics'!A:A,MATCH($C780,'Policy Characteristics'!$C:$C,0)))</f>
        <v>Industry</v>
      </c>
      <c r="B780" s="284" t="str">
        <f>IF(ISBLANK(INDEX('Policy Characteristics'!B:B,MATCH($C780,'Policy Characteristics'!$C:$C,0))),"",INDEX('Policy Characteristics'!B:B,MATCH($C780,'Policy Characteristics'!$C:$C,0)))</f>
        <v>Hydrogen Combustion</v>
      </c>
      <c r="C780" s="275" t="str">
        <f t="shared" si="37"/>
        <v>Fraction of Eligible Industrial Energy Use Shifted to Hydrogen</v>
      </c>
      <c r="D780" s="6" t="s">
        <v>3071</v>
      </c>
      <c r="E780" s="1" t="s">
        <v>3547</v>
      </c>
      <c r="F780" t="s">
        <v>2763</v>
      </c>
      <c r="G780" s="47" t="s">
        <v>3554</v>
      </c>
      <c r="H780" s="44">
        <v>2042</v>
      </c>
      <c r="I780" s="346" t="s">
        <v>44</v>
      </c>
      <c r="J780" s="276" t="str">
        <f>IF(ISBLANK(INDEX('Policy Characteristics'!D:D,MATCH($C780,'Policy Characteristics'!$C:$C,0))),"",INDEX('Policy Characteristics'!D:D,MATCH($C780,'Policy Characteristics'!$C:$C,0)))</f>
        <v>Hydrogen Combustion</v>
      </c>
      <c r="K780" s="275" t="str">
        <f>IF(ISBLANK(INDEX('Policy Characteristics'!E:E,MATCH($C780,'Policy Characteristics'!$C:$C,0))),"",INDEX('Policy Characteristics'!E:E,MATCH($C780,'Policy Characteristics'!$C:$C,0)))</f>
        <v>indst shift to hydrogen</v>
      </c>
      <c r="L780" s="283">
        <f>IF(ISBLANK(INDEX('Policy Characteristics'!F:F,MATCH($C780,'Policy Characteristics'!$C:$C,0))),"",INDEX('Policy Characteristics'!F:F,MATCH($C780,'Policy Characteristics'!$C:$C,0)))</f>
        <v>0</v>
      </c>
      <c r="M780" s="283">
        <f>IF(ISBLANK(INDEX('Policy Characteristics'!G:G,MATCH($C780,'Policy Characteristics'!$C:$C,0))),"",INDEX('Policy Characteristics'!G:G,MATCH($C780,'Policy Characteristics'!$C:$C,0)))</f>
        <v>1</v>
      </c>
      <c r="N780" s="283">
        <f>IF(ISBLANK(INDEX('Policy Characteristics'!H:H,MATCH($C780,'Policy Characteristics'!$C:$C,0))),"",INDEX('Policy Characteristics'!H:H,MATCH($C780,'Policy Characteristics'!$C:$C,0)))</f>
        <v>0.01</v>
      </c>
      <c r="O780" s="275" t="str">
        <f>IF(ISBLANK(INDEX('Policy Characteristics'!I:I,MATCH($C780,'Policy Characteristics'!$C:$C,0))),"",INDEX('Policy Characteristics'!I:I,MATCH($C780,'Policy Characteristics'!$C:$C,0)))</f>
        <v>% of fuel shifted</v>
      </c>
      <c r="P780" s="275" t="str">
        <f>IF(ISBLANK(INDEX('Policy Characteristics'!J:J,MATCH($C780,'Policy Characteristics'!$C:$C,0))),"",INDEX('Policy Characteristics'!J:J,MATCH($C780,'Policy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0" s="275" t="str">
        <f>IF(ISBLANK(INDEX('Policy Characteristics'!K:K,MATCH($C780,'Policy Characteristics'!$C:$C,0))),"",INDEX('Policy Characteristics'!K:K,MATCH($C780,'Policy Characteristics'!$C:$C,0)))</f>
        <v>industry-ag-main.html#fuel-switching</v>
      </c>
      <c r="R780" s="275" t="str">
        <f>IF(ISBLANK(INDEX('Policy Characteristics'!L:L,MATCH($C780,'Policy Characteristics'!$C:$C,0))),"",INDEX('Policy Characteristics'!L:L,MATCH($C780,'Policy Characteristics'!$C:$C,0)))</f>
        <v>industry-elec-and-hydrogen.html</v>
      </c>
    </row>
    <row r="781" spans="1:18" s="2" customFormat="1" x14ac:dyDescent="0.25">
      <c r="A781" s="275" t="str">
        <f>IF(ISBLANK(INDEX('Policy Characteristics'!A:A,MATCH($C781,'Policy Characteristics'!$C:$C,0))),"",INDEX('Policy Characteristics'!A:A,MATCH($C781,'Policy Characteristics'!$C:$C,0)))</f>
        <v>Industry</v>
      </c>
      <c r="B781" s="284" t="str">
        <f>IF(ISBLANK(INDEX('Policy Characteristics'!B:B,MATCH($C781,'Policy Characteristics'!$C:$C,0))),"",INDEX('Policy Characteristics'!B:B,MATCH($C781,'Policy Characteristics'!$C:$C,0)))</f>
        <v>Hydrogen Combustion</v>
      </c>
      <c r="C781" s="275" t="str">
        <f t="shared" si="37"/>
        <v>Fraction of Eligible Industrial Energy Use Shifted to Hydrogen</v>
      </c>
      <c r="D781" s="6" t="s">
        <v>3071</v>
      </c>
      <c r="E781" s="1" t="s">
        <v>3548</v>
      </c>
      <c r="F781" t="s">
        <v>2763</v>
      </c>
      <c r="G781" s="47" t="s">
        <v>3555</v>
      </c>
      <c r="H781" s="44">
        <v>2043</v>
      </c>
      <c r="I781" s="346" t="s">
        <v>43</v>
      </c>
      <c r="J781" s="276" t="str">
        <f>IF(ISBLANK(INDEX('Policy Characteristics'!D:D,MATCH($C781,'Policy Characteristics'!$C:$C,0))),"",INDEX('Policy Characteristics'!D:D,MATCH($C781,'Policy Characteristics'!$C:$C,0)))</f>
        <v>Hydrogen Combustion</v>
      </c>
      <c r="K781" s="275" t="str">
        <f>IF(ISBLANK(INDEX('Policy Characteristics'!E:E,MATCH($C781,'Policy Characteristics'!$C:$C,0))),"",INDEX('Policy Characteristics'!E:E,MATCH($C781,'Policy Characteristics'!$C:$C,0)))</f>
        <v>indst shift to hydrogen</v>
      </c>
      <c r="L781" s="283">
        <f>IF(ISBLANK(INDEX('Policy Characteristics'!F:F,MATCH($C781,'Policy Characteristics'!$C:$C,0))),"",INDEX('Policy Characteristics'!F:F,MATCH($C781,'Policy Characteristics'!$C:$C,0)))</f>
        <v>0</v>
      </c>
      <c r="M781" s="283">
        <f>IF(ISBLANK(INDEX('Policy Characteristics'!G:G,MATCH($C781,'Policy Characteristics'!$C:$C,0))),"",INDEX('Policy Characteristics'!G:G,MATCH($C781,'Policy Characteristics'!$C:$C,0)))</f>
        <v>1</v>
      </c>
      <c r="N781" s="283">
        <f>IF(ISBLANK(INDEX('Policy Characteristics'!H:H,MATCH($C781,'Policy Characteristics'!$C:$C,0))),"",INDEX('Policy Characteristics'!H:H,MATCH($C781,'Policy Characteristics'!$C:$C,0)))</f>
        <v>0.01</v>
      </c>
      <c r="O781" s="275" t="str">
        <f>IF(ISBLANK(INDEX('Policy Characteristics'!I:I,MATCH($C781,'Policy Characteristics'!$C:$C,0))),"",INDEX('Policy Characteristics'!I:I,MATCH($C781,'Policy Characteristics'!$C:$C,0)))</f>
        <v>% of fuel shifted</v>
      </c>
      <c r="P781" s="275" t="str">
        <f>IF(ISBLANK(INDEX('Policy Characteristics'!J:J,MATCH($C781,'Policy Characteristics'!$C:$C,0))),"",INDEX('Policy Characteristics'!J:J,MATCH($C781,'Policy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1" s="275" t="str">
        <f>IF(ISBLANK(INDEX('Policy Characteristics'!K:K,MATCH($C781,'Policy Characteristics'!$C:$C,0))),"",INDEX('Policy Characteristics'!K:K,MATCH($C781,'Policy Characteristics'!$C:$C,0)))</f>
        <v>industry-ag-main.html#fuel-switching</v>
      </c>
      <c r="R781" s="275" t="str">
        <f>IF(ISBLANK(INDEX('Policy Characteristics'!L:L,MATCH($C781,'Policy Characteristics'!$C:$C,0))),"",INDEX('Policy Characteristics'!L:L,MATCH($C781,'Policy Characteristics'!$C:$C,0)))</f>
        <v>industry-elec-and-hydrogen.html</v>
      </c>
    </row>
    <row r="782" spans="1:18" s="2" customFormat="1" x14ac:dyDescent="0.25">
      <c r="A782" s="275" t="str">
        <f>IF(ISBLANK(INDEX('Policy Characteristics'!A:A,MATCH($C782,'Policy Characteristics'!$C:$C,0))),"",INDEX('Policy Characteristics'!A:A,MATCH($C782,'Policy Characteristics'!$C:$C,0)))</f>
        <v>Industry</v>
      </c>
      <c r="B782" s="284" t="str">
        <f>IF(ISBLANK(INDEX('Policy Characteristics'!B:B,MATCH($C782,'Policy Characteristics'!$C:$C,0))),"",INDEX('Policy Characteristics'!B:B,MATCH($C782,'Policy Characteristics'!$C:$C,0)))</f>
        <v>Hydrogen Combustion</v>
      </c>
      <c r="C782" s="275" t="str">
        <f t="shared" si="37"/>
        <v>Fraction of Eligible Industrial Energy Use Shifted to Hydrogen</v>
      </c>
      <c r="D782" s="6" t="s">
        <v>3071</v>
      </c>
      <c r="E782" s="1" t="s">
        <v>3549</v>
      </c>
      <c r="F782" t="s">
        <v>2763</v>
      </c>
      <c r="G782" s="47" t="s">
        <v>3556</v>
      </c>
      <c r="H782" s="44">
        <v>2044</v>
      </c>
      <c r="I782" s="346" t="s">
        <v>44</v>
      </c>
      <c r="J782" s="276" t="str">
        <f>IF(ISBLANK(INDEX('Policy Characteristics'!D:D,MATCH($C782,'Policy Characteristics'!$C:$C,0))),"",INDEX('Policy Characteristics'!D:D,MATCH($C782,'Policy Characteristics'!$C:$C,0)))</f>
        <v>Hydrogen Combustion</v>
      </c>
      <c r="K782" s="275" t="str">
        <f>IF(ISBLANK(INDEX('Policy Characteristics'!E:E,MATCH($C782,'Policy Characteristics'!$C:$C,0))),"",INDEX('Policy Characteristics'!E:E,MATCH($C782,'Policy Characteristics'!$C:$C,0)))</f>
        <v>indst shift to hydrogen</v>
      </c>
      <c r="L782" s="283">
        <f>IF(ISBLANK(INDEX('Policy Characteristics'!F:F,MATCH($C782,'Policy Characteristics'!$C:$C,0))),"",INDEX('Policy Characteristics'!F:F,MATCH($C782,'Policy Characteristics'!$C:$C,0)))</f>
        <v>0</v>
      </c>
      <c r="M782" s="283">
        <f>IF(ISBLANK(INDEX('Policy Characteristics'!G:G,MATCH($C782,'Policy Characteristics'!$C:$C,0))),"",INDEX('Policy Characteristics'!G:G,MATCH($C782,'Policy Characteristics'!$C:$C,0)))</f>
        <v>1</v>
      </c>
      <c r="N782" s="283">
        <f>IF(ISBLANK(INDEX('Policy Characteristics'!H:H,MATCH($C782,'Policy Characteristics'!$C:$C,0))),"",INDEX('Policy Characteristics'!H:H,MATCH($C782,'Policy Characteristics'!$C:$C,0)))</f>
        <v>0.01</v>
      </c>
      <c r="O782" s="275" t="str">
        <f>IF(ISBLANK(INDEX('Policy Characteristics'!I:I,MATCH($C782,'Policy Characteristics'!$C:$C,0))),"",INDEX('Policy Characteristics'!I:I,MATCH($C782,'Policy Characteristics'!$C:$C,0)))</f>
        <v>% of fuel shifted</v>
      </c>
      <c r="P782" s="275" t="str">
        <f>IF(ISBLANK(INDEX('Policy Characteristics'!J:J,MATCH($C782,'Policy Characteristics'!$C:$C,0))),"",INDEX('Policy Characteristics'!J:J,MATCH($C782,'Policy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2" s="275" t="str">
        <f>IF(ISBLANK(INDEX('Policy Characteristics'!K:K,MATCH($C782,'Policy Characteristics'!$C:$C,0))),"",INDEX('Policy Characteristics'!K:K,MATCH($C782,'Policy Characteristics'!$C:$C,0)))</f>
        <v>industry-ag-main.html#fuel-switching</v>
      </c>
      <c r="R782" s="275" t="str">
        <f>IF(ISBLANK(INDEX('Policy Characteristics'!L:L,MATCH($C782,'Policy Characteristics'!$C:$C,0))),"",INDEX('Policy Characteristics'!L:L,MATCH($C782,'Policy Characteristics'!$C:$C,0)))</f>
        <v>industry-elec-and-hydrogen.html</v>
      </c>
    </row>
    <row r="783" spans="1:18" s="2" customFormat="1" x14ac:dyDescent="0.25">
      <c r="A783" s="275" t="str">
        <f>IF(ISBLANK(INDEX('Policy Characteristics'!A:A,MATCH($C783,'Policy Characteristics'!$C:$C,0))),"",INDEX('Policy Characteristics'!A:A,MATCH($C783,'Policy Characteristics'!$C:$C,0)))</f>
        <v>Industry</v>
      </c>
      <c r="B783" s="284" t="str">
        <f>IF(ISBLANK(INDEX('Policy Characteristics'!B:B,MATCH($C783,'Policy Characteristics'!$C:$C,0))),"",INDEX('Policy Characteristics'!B:B,MATCH($C783,'Policy Characteristics'!$C:$C,0)))</f>
        <v>Hydrogen Combustion</v>
      </c>
      <c r="C783" s="275" t="str">
        <f t="shared" si="37"/>
        <v>Fraction of Eligible Industrial Energy Use Shifted to Hydrogen</v>
      </c>
      <c r="D783" s="6" t="s">
        <v>3071</v>
      </c>
      <c r="E783" s="1" t="s">
        <v>3550</v>
      </c>
      <c r="F783" t="s">
        <v>2763</v>
      </c>
      <c r="G783" s="47" t="s">
        <v>3557</v>
      </c>
      <c r="H783" s="44">
        <v>2045</v>
      </c>
      <c r="I783" s="346" t="s">
        <v>44</v>
      </c>
      <c r="J783" s="276" t="str">
        <f>IF(ISBLANK(INDEX('Policy Characteristics'!D:D,MATCH($C783,'Policy Characteristics'!$C:$C,0))),"",INDEX('Policy Characteristics'!D:D,MATCH($C783,'Policy Characteristics'!$C:$C,0)))</f>
        <v>Hydrogen Combustion</v>
      </c>
      <c r="K783" s="275" t="str">
        <f>IF(ISBLANK(INDEX('Policy Characteristics'!E:E,MATCH($C783,'Policy Characteristics'!$C:$C,0))),"",INDEX('Policy Characteristics'!E:E,MATCH($C783,'Policy Characteristics'!$C:$C,0)))</f>
        <v>indst shift to hydrogen</v>
      </c>
      <c r="L783" s="283">
        <f>IF(ISBLANK(INDEX('Policy Characteristics'!F:F,MATCH($C783,'Policy Characteristics'!$C:$C,0))),"",INDEX('Policy Characteristics'!F:F,MATCH($C783,'Policy Characteristics'!$C:$C,0)))</f>
        <v>0</v>
      </c>
      <c r="M783" s="283">
        <f>IF(ISBLANK(INDEX('Policy Characteristics'!G:G,MATCH($C783,'Policy Characteristics'!$C:$C,0))),"",INDEX('Policy Characteristics'!G:G,MATCH($C783,'Policy Characteristics'!$C:$C,0)))</f>
        <v>1</v>
      </c>
      <c r="N783" s="283">
        <f>IF(ISBLANK(INDEX('Policy Characteristics'!H:H,MATCH($C783,'Policy Characteristics'!$C:$C,0))),"",INDEX('Policy Characteristics'!H:H,MATCH($C783,'Policy Characteristics'!$C:$C,0)))</f>
        <v>0.01</v>
      </c>
      <c r="O783" s="275" t="str">
        <f>IF(ISBLANK(INDEX('Policy Characteristics'!I:I,MATCH($C783,'Policy Characteristics'!$C:$C,0))),"",INDEX('Policy Characteristics'!I:I,MATCH($C783,'Policy Characteristics'!$C:$C,0)))</f>
        <v>% of fuel shifted</v>
      </c>
      <c r="P783" s="275" t="str">
        <f>IF(ISBLANK(INDEX('Policy Characteristics'!J:J,MATCH($C783,'Policy Characteristics'!$C:$C,0))),"",INDEX('Policy Characteristics'!J:J,MATCH($C783,'Policy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3" s="275" t="str">
        <f>IF(ISBLANK(INDEX('Policy Characteristics'!K:K,MATCH($C783,'Policy Characteristics'!$C:$C,0))),"",INDEX('Policy Characteristics'!K:K,MATCH($C783,'Policy Characteristics'!$C:$C,0)))</f>
        <v>industry-ag-main.html#fuel-switching</v>
      </c>
      <c r="R783" s="275" t="str">
        <f>IF(ISBLANK(INDEX('Policy Characteristics'!L:L,MATCH($C783,'Policy Characteristics'!$C:$C,0))),"",INDEX('Policy Characteristics'!L:L,MATCH($C783,'Policy Characteristics'!$C:$C,0)))</f>
        <v>industry-elec-and-hydrogen.html</v>
      </c>
    </row>
    <row r="784" spans="1:18" s="2" customFormat="1" x14ac:dyDescent="0.25">
      <c r="A784" s="275" t="str">
        <f>IF(ISBLANK(INDEX('Policy Characteristics'!A:A,MATCH($C784,'Policy Characteristics'!$C:$C,0))),"",INDEX('Policy Characteristics'!A:A,MATCH($C784,'Policy Characteristics'!$C:$C,0)))</f>
        <v>Industry</v>
      </c>
      <c r="B784" s="284" t="str">
        <f>IF(ISBLANK(INDEX('Policy Characteristics'!B:B,MATCH($C784,'Policy Characteristics'!$C:$C,0))),"",INDEX('Policy Characteristics'!B:B,MATCH($C784,'Policy Characteristics'!$C:$C,0)))</f>
        <v>Hydrogen Combustion</v>
      </c>
      <c r="C784" s="275" t="str">
        <f t="shared" si="37"/>
        <v>Fraction of Eligible Industrial Energy Use Shifted to Hydrogen</v>
      </c>
      <c r="D784" s="6" t="s">
        <v>3071</v>
      </c>
      <c r="E784" s="1" t="s">
        <v>3551</v>
      </c>
      <c r="F784" t="s">
        <v>2763</v>
      </c>
      <c r="G784" s="47" t="s">
        <v>3558</v>
      </c>
      <c r="H784" s="44">
        <v>2046</v>
      </c>
      <c r="I784" s="346" t="s">
        <v>44</v>
      </c>
      <c r="J784" s="276" t="str">
        <f>IF(ISBLANK(INDEX('Policy Characteristics'!D:D,MATCH($C784,'Policy Characteristics'!$C:$C,0))),"",INDEX('Policy Characteristics'!D:D,MATCH($C784,'Policy Characteristics'!$C:$C,0)))</f>
        <v>Hydrogen Combustion</v>
      </c>
      <c r="K784" s="275" t="str">
        <f>IF(ISBLANK(INDEX('Policy Characteristics'!E:E,MATCH($C784,'Policy Characteristics'!$C:$C,0))),"",INDEX('Policy Characteristics'!E:E,MATCH($C784,'Policy Characteristics'!$C:$C,0)))</f>
        <v>indst shift to hydrogen</v>
      </c>
      <c r="L784" s="283">
        <f>IF(ISBLANK(INDEX('Policy Characteristics'!F:F,MATCH($C784,'Policy Characteristics'!$C:$C,0))),"",INDEX('Policy Characteristics'!F:F,MATCH($C784,'Policy Characteristics'!$C:$C,0)))</f>
        <v>0</v>
      </c>
      <c r="M784" s="283">
        <f>IF(ISBLANK(INDEX('Policy Characteristics'!G:G,MATCH($C784,'Policy Characteristics'!$C:$C,0))),"",INDEX('Policy Characteristics'!G:G,MATCH($C784,'Policy Characteristics'!$C:$C,0)))</f>
        <v>1</v>
      </c>
      <c r="N784" s="283">
        <f>IF(ISBLANK(INDEX('Policy Characteristics'!H:H,MATCH($C784,'Policy Characteristics'!$C:$C,0))),"",INDEX('Policy Characteristics'!H:H,MATCH($C784,'Policy Characteristics'!$C:$C,0)))</f>
        <v>0.01</v>
      </c>
      <c r="O784" s="275" t="str">
        <f>IF(ISBLANK(INDEX('Policy Characteristics'!I:I,MATCH($C784,'Policy Characteristics'!$C:$C,0))),"",INDEX('Policy Characteristics'!I:I,MATCH($C784,'Policy Characteristics'!$C:$C,0)))</f>
        <v>% of fuel shifted</v>
      </c>
      <c r="P784" s="275" t="str">
        <f>IF(ISBLANK(INDEX('Policy Characteristics'!J:J,MATCH($C784,'Policy Characteristics'!$C:$C,0))),"",INDEX('Policy Characteristics'!J:J,MATCH($C784,'Policy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4" s="275" t="str">
        <f>IF(ISBLANK(INDEX('Policy Characteristics'!K:K,MATCH($C784,'Policy Characteristics'!$C:$C,0))),"",INDEX('Policy Characteristics'!K:K,MATCH($C784,'Policy Characteristics'!$C:$C,0)))</f>
        <v>industry-ag-main.html#fuel-switching</v>
      </c>
      <c r="R784" s="275" t="str">
        <f>IF(ISBLANK(INDEX('Policy Characteristics'!L:L,MATCH($C784,'Policy Characteristics'!$C:$C,0))),"",INDEX('Policy Characteristics'!L:L,MATCH($C784,'Policy Characteristics'!$C:$C,0)))</f>
        <v>industry-elec-and-hydrogen.html</v>
      </c>
    </row>
    <row r="785" spans="1:18" s="2" customFormat="1" x14ac:dyDescent="0.25">
      <c r="A785" s="275" t="str">
        <f>IF(ISBLANK(INDEX('Policy Characteristics'!A:A,MATCH($C785,'Policy Characteristics'!$C:$C,0))),"",INDEX('Policy Characteristics'!A:A,MATCH($C785,'Policy Characteristics'!$C:$C,0)))</f>
        <v>Industry</v>
      </c>
      <c r="B785" s="284" t="str">
        <f>IF(ISBLANK(INDEX('Policy Characteristics'!B:B,MATCH($C785,'Policy Characteristics'!$C:$C,0))),"",INDEX('Policy Characteristics'!B:B,MATCH($C785,'Policy Characteristics'!$C:$C,0)))</f>
        <v>Hydrogen Combustion</v>
      </c>
      <c r="C785" s="275" t="str">
        <f t="shared" si="37"/>
        <v>Fraction of Eligible Industrial Energy Use Shifted to Hydrogen</v>
      </c>
      <c r="D785" s="6" t="s">
        <v>3071</v>
      </c>
      <c r="E785" s="1" t="s">
        <v>3552</v>
      </c>
      <c r="F785" t="s">
        <v>2763</v>
      </c>
      <c r="G785" s="47" t="s">
        <v>3559</v>
      </c>
      <c r="H785" s="44">
        <v>2047</v>
      </c>
      <c r="I785" s="346" t="s">
        <v>44</v>
      </c>
      <c r="J785" s="276" t="str">
        <f>IF(ISBLANK(INDEX('Policy Characteristics'!D:D,MATCH($C785,'Policy Characteristics'!$C:$C,0))),"",INDEX('Policy Characteristics'!D:D,MATCH($C785,'Policy Characteristics'!$C:$C,0)))</f>
        <v>Hydrogen Combustion</v>
      </c>
      <c r="K785" s="275" t="str">
        <f>IF(ISBLANK(INDEX('Policy Characteristics'!E:E,MATCH($C785,'Policy Characteristics'!$C:$C,0))),"",INDEX('Policy Characteristics'!E:E,MATCH($C785,'Policy Characteristics'!$C:$C,0)))</f>
        <v>indst shift to hydrogen</v>
      </c>
      <c r="L785" s="283">
        <f>IF(ISBLANK(INDEX('Policy Characteristics'!F:F,MATCH($C785,'Policy Characteristics'!$C:$C,0))),"",INDEX('Policy Characteristics'!F:F,MATCH($C785,'Policy Characteristics'!$C:$C,0)))</f>
        <v>0</v>
      </c>
      <c r="M785" s="283">
        <f>IF(ISBLANK(INDEX('Policy Characteristics'!G:G,MATCH($C785,'Policy Characteristics'!$C:$C,0))),"",INDEX('Policy Characteristics'!G:G,MATCH($C785,'Policy Characteristics'!$C:$C,0)))</f>
        <v>1</v>
      </c>
      <c r="N785" s="283">
        <f>IF(ISBLANK(INDEX('Policy Characteristics'!H:H,MATCH($C785,'Policy Characteristics'!$C:$C,0))),"",INDEX('Policy Characteristics'!H:H,MATCH($C785,'Policy Characteristics'!$C:$C,0)))</f>
        <v>0.01</v>
      </c>
      <c r="O785" s="275" t="str">
        <f>IF(ISBLANK(INDEX('Policy Characteristics'!I:I,MATCH($C785,'Policy Characteristics'!$C:$C,0))),"",INDEX('Policy Characteristics'!I:I,MATCH($C785,'Policy Characteristics'!$C:$C,0)))</f>
        <v>% of fuel shifted</v>
      </c>
      <c r="P785" s="275" t="str">
        <f>IF(ISBLANK(INDEX('Policy Characteristics'!J:J,MATCH($C785,'Policy Characteristics'!$C:$C,0))),"",INDEX('Policy Characteristics'!J:J,MATCH($C785,'Policy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5" s="275" t="str">
        <f>IF(ISBLANK(INDEX('Policy Characteristics'!K:K,MATCH($C785,'Policy Characteristics'!$C:$C,0))),"",INDEX('Policy Characteristics'!K:K,MATCH($C785,'Policy Characteristics'!$C:$C,0)))</f>
        <v>industry-ag-main.html#fuel-switching</v>
      </c>
      <c r="R785" s="275" t="str">
        <f>IF(ISBLANK(INDEX('Policy Characteristics'!L:L,MATCH($C785,'Policy Characteristics'!$C:$C,0))),"",INDEX('Policy Characteristics'!L:L,MATCH($C785,'Policy Characteristics'!$C:$C,0)))</f>
        <v>industry-elec-and-hydrogen.html</v>
      </c>
    </row>
    <row r="786" spans="1:18" s="2" customFormat="1" x14ac:dyDescent="0.25">
      <c r="A786" s="275" t="str">
        <f>IF(ISBLANK(INDEX('Policy Characteristics'!A:A,MATCH($C786,'Policy Characteristics'!$C:$C,0))),"",INDEX('Policy Characteristics'!A:A,MATCH($C786,'Policy Characteristics'!$C:$C,0)))</f>
        <v>Industry</v>
      </c>
      <c r="B786" s="284" t="str">
        <f>IF(ISBLANK(INDEX('Policy Characteristics'!B:B,MATCH($C786,'Policy Characteristics'!$C:$C,0))),"",INDEX('Policy Characteristics'!B:B,MATCH($C786,'Policy Characteristics'!$C:$C,0)))</f>
        <v>Hydrogen Combustion</v>
      </c>
      <c r="C786" s="275" t="str">
        <f t="shared" si="37"/>
        <v>Fraction of Eligible Industrial Energy Use Shifted to Hydrogen</v>
      </c>
      <c r="D786" s="6" t="s">
        <v>3071</v>
      </c>
      <c r="E786" s="1" t="s">
        <v>3553</v>
      </c>
      <c r="F786" t="s">
        <v>2763</v>
      </c>
      <c r="G786" s="47" t="s">
        <v>3560</v>
      </c>
      <c r="H786" s="44">
        <v>2048</v>
      </c>
      <c r="I786" s="346" t="s">
        <v>44</v>
      </c>
      <c r="J786" s="276" t="str">
        <f>IF(ISBLANK(INDEX('Policy Characteristics'!D:D,MATCH($C786,'Policy Characteristics'!$C:$C,0))),"",INDEX('Policy Characteristics'!D:D,MATCH($C786,'Policy Characteristics'!$C:$C,0)))</f>
        <v>Hydrogen Combustion</v>
      </c>
      <c r="K786" s="275" t="str">
        <f>IF(ISBLANK(INDEX('Policy Characteristics'!E:E,MATCH($C786,'Policy Characteristics'!$C:$C,0))),"",INDEX('Policy Characteristics'!E:E,MATCH($C786,'Policy Characteristics'!$C:$C,0)))</f>
        <v>indst shift to hydrogen</v>
      </c>
      <c r="L786" s="283">
        <f>IF(ISBLANK(INDEX('Policy Characteristics'!F:F,MATCH($C786,'Policy Characteristics'!$C:$C,0))),"",INDEX('Policy Characteristics'!F:F,MATCH($C786,'Policy Characteristics'!$C:$C,0)))</f>
        <v>0</v>
      </c>
      <c r="M786" s="283">
        <f>IF(ISBLANK(INDEX('Policy Characteristics'!G:G,MATCH($C786,'Policy Characteristics'!$C:$C,0))),"",INDEX('Policy Characteristics'!G:G,MATCH($C786,'Policy Characteristics'!$C:$C,0)))</f>
        <v>1</v>
      </c>
      <c r="N786" s="283">
        <f>IF(ISBLANK(INDEX('Policy Characteristics'!H:H,MATCH($C786,'Policy Characteristics'!$C:$C,0))),"",INDEX('Policy Characteristics'!H:H,MATCH($C786,'Policy Characteristics'!$C:$C,0)))</f>
        <v>0.01</v>
      </c>
      <c r="O786" s="275" t="str">
        <f>IF(ISBLANK(INDEX('Policy Characteristics'!I:I,MATCH($C786,'Policy Characteristics'!$C:$C,0))),"",INDEX('Policy Characteristics'!I:I,MATCH($C786,'Policy Characteristics'!$C:$C,0)))</f>
        <v>% of fuel shifted</v>
      </c>
      <c r="P786" s="275" t="str">
        <f>IF(ISBLANK(INDEX('Policy Characteristics'!J:J,MATCH($C786,'Policy Characteristics'!$C:$C,0))),"",INDEX('Policy Characteristics'!J:J,MATCH($C786,'Policy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6" s="275" t="str">
        <f>IF(ISBLANK(INDEX('Policy Characteristics'!K:K,MATCH($C786,'Policy Characteristics'!$C:$C,0))),"",INDEX('Policy Characteristics'!K:K,MATCH($C786,'Policy Characteristics'!$C:$C,0)))</f>
        <v>industry-ag-main.html#fuel-switching</v>
      </c>
      <c r="R786" s="275" t="str">
        <f>IF(ISBLANK(INDEX('Policy Characteristics'!L:L,MATCH($C786,'Policy Characteristics'!$C:$C,0))),"",INDEX('Policy Characteristics'!L:L,MATCH($C786,'Policy Characteristics'!$C:$C,0)))</f>
        <v>industry-elec-and-hydrogen.html</v>
      </c>
    </row>
    <row r="787" spans="1:18" s="2" customFormat="1" x14ac:dyDescent="0.25">
      <c r="A787" s="275" t="str">
        <f>IF(ISBLANK(INDEX('Policy Characteristics'!A:A,MATCH($C787,'Policy Characteristics'!$C:$C,0))),"",INDEX('Policy Characteristics'!A:A,MATCH($C787,'Policy Characteristics'!$C:$C,0)))</f>
        <v>Industry</v>
      </c>
      <c r="B787" s="284" t="str">
        <f>IF(ISBLANK(INDEX('Policy Characteristics'!B:B,MATCH($C787,'Policy Characteristics'!$C:$C,0))),"",INDEX('Policy Characteristics'!B:B,MATCH($C787,'Policy Characteristics'!$C:$C,0)))</f>
        <v>Hydrogen Combustion</v>
      </c>
      <c r="C787" s="275" t="str">
        <f t="shared" si="37"/>
        <v>Fraction of Eligible Industrial Energy Use Shifted to Hydrogen</v>
      </c>
      <c r="D787" s="6" t="s">
        <v>3071</v>
      </c>
      <c r="E787" s="1" t="s">
        <v>3737</v>
      </c>
      <c r="F787" t="s">
        <v>2763</v>
      </c>
      <c r="G787" s="47" t="s">
        <v>3738</v>
      </c>
      <c r="H787" s="44">
        <v>2049</v>
      </c>
      <c r="I787" s="346" t="s">
        <v>44</v>
      </c>
      <c r="J787" s="276" t="str">
        <f>IF(ISBLANK(INDEX('Policy Characteristics'!D:D,MATCH($C787,'Policy Characteristics'!$C:$C,0))),"",INDEX('Policy Characteristics'!D:D,MATCH($C787,'Policy Characteristics'!$C:$C,0)))</f>
        <v>Hydrogen Combustion</v>
      </c>
      <c r="K787" s="275" t="str">
        <f>IF(ISBLANK(INDEX('Policy Characteristics'!E:E,MATCH($C787,'Policy Characteristics'!$C:$C,0))),"",INDEX('Policy Characteristics'!E:E,MATCH($C787,'Policy Characteristics'!$C:$C,0)))</f>
        <v>indst shift to hydrogen</v>
      </c>
      <c r="L787" s="283">
        <f>IF(ISBLANK(INDEX('Policy Characteristics'!F:F,MATCH($C787,'Policy Characteristics'!$C:$C,0))),"",INDEX('Policy Characteristics'!F:F,MATCH($C787,'Policy Characteristics'!$C:$C,0)))</f>
        <v>0</v>
      </c>
      <c r="M787" s="283">
        <f>IF(ISBLANK(INDEX('Policy Characteristics'!G:G,MATCH($C787,'Policy Characteristics'!$C:$C,0))),"",INDEX('Policy Characteristics'!G:G,MATCH($C787,'Policy Characteristics'!$C:$C,0)))</f>
        <v>1</v>
      </c>
      <c r="N787" s="283">
        <f>IF(ISBLANK(INDEX('Policy Characteristics'!H:H,MATCH($C787,'Policy Characteristics'!$C:$C,0))),"",INDEX('Policy Characteristics'!H:H,MATCH($C787,'Policy Characteristics'!$C:$C,0)))</f>
        <v>0.01</v>
      </c>
      <c r="O787" s="275" t="str">
        <f>IF(ISBLANK(INDEX('Policy Characteristics'!I:I,MATCH($C787,'Policy Characteristics'!$C:$C,0))),"",INDEX('Policy Characteristics'!I:I,MATCH($C787,'Policy Characteristics'!$C:$C,0)))</f>
        <v>% of fuel shifted</v>
      </c>
      <c r="P787" s="275" t="str">
        <f>IF(ISBLANK(INDEX('Policy Characteristics'!J:J,MATCH($C787,'Policy Characteristics'!$C:$C,0))),"",INDEX('Policy Characteristics'!J:J,MATCH($C787,'Policy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7" s="275" t="str">
        <f>IF(ISBLANK(INDEX('Policy Characteristics'!K:K,MATCH($C787,'Policy Characteristics'!$C:$C,0))),"",INDEX('Policy Characteristics'!K:K,MATCH($C787,'Policy Characteristics'!$C:$C,0)))</f>
        <v>industry-ag-main.html#fuel-switching</v>
      </c>
      <c r="R787" s="275" t="str">
        <f>IF(ISBLANK(INDEX('Policy Characteristics'!L:L,MATCH($C787,'Policy Characteristics'!$C:$C,0))),"",INDEX('Policy Characteristics'!L:L,MATCH($C787,'Policy Characteristics'!$C:$C,0)))</f>
        <v>industry-elec-and-hydrogen.html</v>
      </c>
    </row>
    <row r="788" spans="1:18" s="2" customFormat="1" x14ac:dyDescent="0.25">
      <c r="A788" s="275" t="str">
        <f>IF(ISBLANK(INDEX('Policy Characteristics'!A:A,MATCH($C788,'Policy Characteristics'!$C:$C,0))),"",INDEX('Policy Characteristics'!A:A,MATCH($C788,'Policy Characteristics'!$C:$C,0)))</f>
        <v>Industry</v>
      </c>
      <c r="B788" s="284" t="str">
        <f>IF(ISBLANK(INDEX('Policy Characteristics'!B:B,MATCH($C788,'Policy Characteristics'!$C:$C,0))),"",INDEX('Policy Characteristics'!B:B,MATCH($C788,'Policy Characteristics'!$C:$C,0)))</f>
        <v>Hydrogen Combustion</v>
      </c>
      <c r="C788" s="275" t="str">
        <f t="shared" si="37"/>
        <v>Fraction of Eligible Industrial Energy Use Shifted to Hydrogen</v>
      </c>
      <c r="D788" s="6" t="s">
        <v>3072</v>
      </c>
      <c r="E788" s="1" t="s">
        <v>3547</v>
      </c>
      <c r="F788" t="s">
        <v>3036</v>
      </c>
      <c r="G788" s="47" t="s">
        <v>3554</v>
      </c>
      <c r="H788" s="44">
        <v>2050</v>
      </c>
      <c r="I788" s="346" t="s">
        <v>43</v>
      </c>
      <c r="J788" s="276" t="str">
        <f>IF(ISBLANK(INDEX('Policy Characteristics'!D:D,MATCH($C788,'Policy Characteristics'!$C:$C,0))),"",INDEX('Policy Characteristics'!D:D,MATCH($C788,'Policy Characteristics'!$C:$C,0)))</f>
        <v>Hydrogen Combustion</v>
      </c>
      <c r="K788" s="275" t="str">
        <f>IF(ISBLANK(INDEX('Policy Characteristics'!E:E,MATCH($C788,'Policy Characteristics'!$C:$C,0))),"",INDEX('Policy Characteristics'!E:E,MATCH($C788,'Policy Characteristics'!$C:$C,0)))</f>
        <v>indst shift to hydrogen</v>
      </c>
      <c r="L788" s="283">
        <f>IF(ISBLANK(INDEX('Policy Characteristics'!F:F,MATCH($C788,'Policy Characteristics'!$C:$C,0))),"",INDEX('Policy Characteristics'!F:F,MATCH($C788,'Policy Characteristics'!$C:$C,0)))</f>
        <v>0</v>
      </c>
      <c r="M788" s="283">
        <f>IF(ISBLANK(INDEX('Policy Characteristics'!G:G,MATCH($C788,'Policy Characteristics'!$C:$C,0))),"",INDEX('Policy Characteristics'!G:G,MATCH($C788,'Policy Characteristics'!$C:$C,0)))</f>
        <v>1</v>
      </c>
      <c r="N788" s="283">
        <f>IF(ISBLANK(INDEX('Policy Characteristics'!H:H,MATCH($C788,'Policy Characteristics'!$C:$C,0))),"",INDEX('Policy Characteristics'!H:H,MATCH($C788,'Policy Characteristics'!$C:$C,0)))</f>
        <v>0.01</v>
      </c>
      <c r="O788" s="275" t="str">
        <f>IF(ISBLANK(INDEX('Policy Characteristics'!I:I,MATCH($C788,'Policy Characteristics'!$C:$C,0))),"",INDEX('Policy Characteristics'!I:I,MATCH($C788,'Policy Characteristics'!$C:$C,0)))</f>
        <v>% of fuel shifted</v>
      </c>
      <c r="P788" s="275" t="str">
        <f>IF(ISBLANK(INDEX('Policy Characteristics'!J:J,MATCH($C788,'Policy Characteristics'!$C:$C,0))),"",INDEX('Policy Characteristics'!J:J,MATCH($C788,'Policy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8" s="275" t="str">
        <f>IF(ISBLANK(INDEX('Policy Characteristics'!K:K,MATCH($C788,'Policy Characteristics'!$C:$C,0))),"",INDEX('Policy Characteristics'!K:K,MATCH($C788,'Policy Characteristics'!$C:$C,0)))</f>
        <v>industry-ag-main.html#fuel-switching</v>
      </c>
      <c r="R788" s="275" t="str">
        <f>IF(ISBLANK(INDEX('Policy Characteristics'!L:L,MATCH($C788,'Policy Characteristics'!$C:$C,0))),"",INDEX('Policy Characteristics'!L:L,MATCH($C788,'Policy Characteristics'!$C:$C,0)))</f>
        <v>industry-elec-and-hydrogen.html</v>
      </c>
    </row>
    <row r="789" spans="1:18" s="2" customFormat="1" x14ac:dyDescent="0.25">
      <c r="A789" s="275" t="str">
        <f>IF(ISBLANK(INDEX('Policy Characteristics'!A:A,MATCH($C789,'Policy Characteristics'!$C:$C,0))),"",INDEX('Policy Characteristics'!A:A,MATCH($C789,'Policy Characteristics'!$C:$C,0)))</f>
        <v>Industry</v>
      </c>
      <c r="B789" s="284" t="str">
        <f>IF(ISBLANK(INDEX('Policy Characteristics'!B:B,MATCH($C789,'Policy Characteristics'!$C:$C,0))),"",INDEX('Policy Characteristics'!B:B,MATCH($C789,'Policy Characteristics'!$C:$C,0)))</f>
        <v>Hydrogen Combustion</v>
      </c>
      <c r="C789" s="275" t="str">
        <f t="shared" si="37"/>
        <v>Fraction of Eligible Industrial Energy Use Shifted to Hydrogen</v>
      </c>
      <c r="D789" s="6" t="s">
        <v>3072</v>
      </c>
      <c r="E789" s="1" t="s">
        <v>3548</v>
      </c>
      <c r="F789" t="s">
        <v>3036</v>
      </c>
      <c r="G789" s="47" t="s">
        <v>3555</v>
      </c>
      <c r="H789" s="44">
        <v>2051</v>
      </c>
      <c r="I789" s="346" t="s">
        <v>43</v>
      </c>
      <c r="J789" s="276" t="str">
        <f>IF(ISBLANK(INDEX('Policy Characteristics'!D:D,MATCH($C789,'Policy Characteristics'!$C:$C,0))),"",INDEX('Policy Characteristics'!D:D,MATCH($C789,'Policy Characteristics'!$C:$C,0)))</f>
        <v>Hydrogen Combustion</v>
      </c>
      <c r="K789" s="275" t="str">
        <f>IF(ISBLANK(INDEX('Policy Characteristics'!E:E,MATCH($C789,'Policy Characteristics'!$C:$C,0))),"",INDEX('Policy Characteristics'!E:E,MATCH($C789,'Policy Characteristics'!$C:$C,0)))</f>
        <v>indst shift to hydrogen</v>
      </c>
      <c r="L789" s="283">
        <f>IF(ISBLANK(INDEX('Policy Characteristics'!F:F,MATCH($C789,'Policy Characteristics'!$C:$C,0))),"",INDEX('Policy Characteristics'!F:F,MATCH($C789,'Policy Characteristics'!$C:$C,0)))</f>
        <v>0</v>
      </c>
      <c r="M789" s="283">
        <f>IF(ISBLANK(INDEX('Policy Characteristics'!G:G,MATCH($C789,'Policy Characteristics'!$C:$C,0))),"",INDEX('Policy Characteristics'!G:G,MATCH($C789,'Policy Characteristics'!$C:$C,0)))</f>
        <v>1</v>
      </c>
      <c r="N789" s="283">
        <f>IF(ISBLANK(INDEX('Policy Characteristics'!H:H,MATCH($C789,'Policy Characteristics'!$C:$C,0))),"",INDEX('Policy Characteristics'!H:H,MATCH($C789,'Policy Characteristics'!$C:$C,0)))</f>
        <v>0.01</v>
      </c>
      <c r="O789" s="275" t="str">
        <f>IF(ISBLANK(INDEX('Policy Characteristics'!I:I,MATCH($C789,'Policy Characteristics'!$C:$C,0))),"",INDEX('Policy Characteristics'!I:I,MATCH($C789,'Policy Characteristics'!$C:$C,0)))</f>
        <v>% of fuel shifted</v>
      </c>
      <c r="P789" s="275" t="str">
        <f>IF(ISBLANK(INDEX('Policy Characteristics'!J:J,MATCH($C789,'Policy Characteristics'!$C:$C,0))),"",INDEX('Policy Characteristics'!J:J,MATCH($C789,'Policy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9" s="275" t="str">
        <f>IF(ISBLANK(INDEX('Policy Characteristics'!K:K,MATCH($C789,'Policy Characteristics'!$C:$C,0))),"",INDEX('Policy Characteristics'!K:K,MATCH($C789,'Policy Characteristics'!$C:$C,0)))</f>
        <v>industry-ag-main.html#fuel-switching</v>
      </c>
      <c r="R789" s="275" t="str">
        <f>IF(ISBLANK(INDEX('Policy Characteristics'!L:L,MATCH($C789,'Policy Characteristics'!$C:$C,0))),"",INDEX('Policy Characteristics'!L:L,MATCH($C789,'Policy Characteristics'!$C:$C,0)))</f>
        <v>industry-elec-and-hydrogen.html</v>
      </c>
    </row>
    <row r="790" spans="1:18" s="2" customFormat="1" x14ac:dyDescent="0.25">
      <c r="A790" s="275" t="str">
        <f>IF(ISBLANK(INDEX('Policy Characteristics'!A:A,MATCH($C790,'Policy Characteristics'!$C:$C,0))),"",INDEX('Policy Characteristics'!A:A,MATCH($C790,'Policy Characteristics'!$C:$C,0)))</f>
        <v>Industry</v>
      </c>
      <c r="B790" s="284" t="str">
        <f>IF(ISBLANK(INDEX('Policy Characteristics'!B:B,MATCH($C790,'Policy Characteristics'!$C:$C,0))),"",INDEX('Policy Characteristics'!B:B,MATCH($C790,'Policy Characteristics'!$C:$C,0)))</f>
        <v>Hydrogen Combustion</v>
      </c>
      <c r="C790" s="275" t="str">
        <f t="shared" si="37"/>
        <v>Fraction of Eligible Industrial Energy Use Shifted to Hydrogen</v>
      </c>
      <c r="D790" s="6" t="s">
        <v>3072</v>
      </c>
      <c r="E790" s="1" t="s">
        <v>3549</v>
      </c>
      <c r="F790" t="s">
        <v>3036</v>
      </c>
      <c r="G790" s="47" t="s">
        <v>3556</v>
      </c>
      <c r="H790" s="44">
        <v>2052</v>
      </c>
      <c r="I790" s="346" t="s">
        <v>43</v>
      </c>
      <c r="J790" s="276" t="str">
        <f>IF(ISBLANK(INDEX('Policy Characteristics'!D:D,MATCH($C790,'Policy Characteristics'!$C:$C,0))),"",INDEX('Policy Characteristics'!D:D,MATCH($C790,'Policy Characteristics'!$C:$C,0)))</f>
        <v>Hydrogen Combustion</v>
      </c>
      <c r="K790" s="275" t="str">
        <f>IF(ISBLANK(INDEX('Policy Characteristics'!E:E,MATCH($C790,'Policy Characteristics'!$C:$C,0))),"",INDEX('Policy Characteristics'!E:E,MATCH($C790,'Policy Characteristics'!$C:$C,0)))</f>
        <v>indst shift to hydrogen</v>
      </c>
      <c r="L790" s="283">
        <f>IF(ISBLANK(INDEX('Policy Characteristics'!F:F,MATCH($C790,'Policy Characteristics'!$C:$C,0))),"",INDEX('Policy Characteristics'!F:F,MATCH($C790,'Policy Characteristics'!$C:$C,0)))</f>
        <v>0</v>
      </c>
      <c r="M790" s="283">
        <f>IF(ISBLANK(INDEX('Policy Characteristics'!G:G,MATCH($C790,'Policy Characteristics'!$C:$C,0))),"",INDEX('Policy Characteristics'!G:G,MATCH($C790,'Policy Characteristics'!$C:$C,0)))</f>
        <v>1</v>
      </c>
      <c r="N790" s="283">
        <f>IF(ISBLANK(INDEX('Policy Characteristics'!H:H,MATCH($C790,'Policy Characteristics'!$C:$C,0))),"",INDEX('Policy Characteristics'!H:H,MATCH($C790,'Policy Characteristics'!$C:$C,0)))</f>
        <v>0.01</v>
      </c>
      <c r="O790" s="275" t="str">
        <f>IF(ISBLANK(INDEX('Policy Characteristics'!I:I,MATCH($C790,'Policy Characteristics'!$C:$C,0))),"",INDEX('Policy Characteristics'!I:I,MATCH($C790,'Policy Characteristics'!$C:$C,0)))</f>
        <v>% of fuel shifted</v>
      </c>
      <c r="P790" s="275" t="str">
        <f>IF(ISBLANK(INDEX('Policy Characteristics'!J:J,MATCH($C790,'Policy Characteristics'!$C:$C,0))),"",INDEX('Policy Characteristics'!J:J,MATCH($C790,'Policy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0" s="275" t="str">
        <f>IF(ISBLANK(INDEX('Policy Characteristics'!K:K,MATCH($C790,'Policy Characteristics'!$C:$C,0))),"",INDEX('Policy Characteristics'!K:K,MATCH($C790,'Policy Characteristics'!$C:$C,0)))</f>
        <v>industry-ag-main.html#fuel-switching</v>
      </c>
      <c r="R790" s="275" t="str">
        <f>IF(ISBLANK(INDEX('Policy Characteristics'!L:L,MATCH($C790,'Policy Characteristics'!$C:$C,0))),"",INDEX('Policy Characteristics'!L:L,MATCH($C790,'Policy Characteristics'!$C:$C,0)))</f>
        <v>industry-elec-and-hydrogen.html</v>
      </c>
    </row>
    <row r="791" spans="1:18" s="2" customFormat="1" x14ac:dyDescent="0.25">
      <c r="A791" s="275" t="str">
        <f>IF(ISBLANK(INDEX('Policy Characteristics'!A:A,MATCH($C791,'Policy Characteristics'!$C:$C,0))),"",INDEX('Policy Characteristics'!A:A,MATCH($C791,'Policy Characteristics'!$C:$C,0)))</f>
        <v>Industry</v>
      </c>
      <c r="B791" s="284" t="str">
        <f>IF(ISBLANK(INDEX('Policy Characteristics'!B:B,MATCH($C791,'Policy Characteristics'!$C:$C,0))),"",INDEX('Policy Characteristics'!B:B,MATCH($C791,'Policy Characteristics'!$C:$C,0)))</f>
        <v>Hydrogen Combustion</v>
      </c>
      <c r="C791" s="275" t="str">
        <f t="shared" si="37"/>
        <v>Fraction of Eligible Industrial Energy Use Shifted to Hydrogen</v>
      </c>
      <c r="D791" s="6" t="s">
        <v>3072</v>
      </c>
      <c r="E791" s="1" t="s">
        <v>3550</v>
      </c>
      <c r="F791" t="s">
        <v>3036</v>
      </c>
      <c r="G791" s="47" t="s">
        <v>3557</v>
      </c>
      <c r="H791" s="44">
        <v>2053</v>
      </c>
      <c r="I791" s="346" t="s">
        <v>43</v>
      </c>
      <c r="J791" s="276" t="str">
        <f>IF(ISBLANK(INDEX('Policy Characteristics'!D:D,MATCH($C791,'Policy Characteristics'!$C:$C,0))),"",INDEX('Policy Characteristics'!D:D,MATCH($C791,'Policy Characteristics'!$C:$C,0)))</f>
        <v>Hydrogen Combustion</v>
      </c>
      <c r="K791" s="275" t="str">
        <f>IF(ISBLANK(INDEX('Policy Characteristics'!E:E,MATCH($C791,'Policy Characteristics'!$C:$C,0))),"",INDEX('Policy Characteristics'!E:E,MATCH($C791,'Policy Characteristics'!$C:$C,0)))</f>
        <v>indst shift to hydrogen</v>
      </c>
      <c r="L791" s="283">
        <f>IF(ISBLANK(INDEX('Policy Characteristics'!F:F,MATCH($C791,'Policy Characteristics'!$C:$C,0))),"",INDEX('Policy Characteristics'!F:F,MATCH($C791,'Policy Characteristics'!$C:$C,0)))</f>
        <v>0</v>
      </c>
      <c r="M791" s="283">
        <f>IF(ISBLANK(INDEX('Policy Characteristics'!G:G,MATCH($C791,'Policy Characteristics'!$C:$C,0))),"",INDEX('Policy Characteristics'!G:G,MATCH($C791,'Policy Characteristics'!$C:$C,0)))</f>
        <v>1</v>
      </c>
      <c r="N791" s="283">
        <f>IF(ISBLANK(INDEX('Policy Characteristics'!H:H,MATCH($C791,'Policy Characteristics'!$C:$C,0))),"",INDEX('Policy Characteristics'!H:H,MATCH($C791,'Policy Characteristics'!$C:$C,0)))</f>
        <v>0.01</v>
      </c>
      <c r="O791" s="275" t="str">
        <f>IF(ISBLANK(INDEX('Policy Characteristics'!I:I,MATCH($C791,'Policy Characteristics'!$C:$C,0))),"",INDEX('Policy Characteristics'!I:I,MATCH($C791,'Policy Characteristics'!$C:$C,0)))</f>
        <v>% of fuel shifted</v>
      </c>
      <c r="P791" s="275" t="str">
        <f>IF(ISBLANK(INDEX('Policy Characteristics'!J:J,MATCH($C791,'Policy Characteristics'!$C:$C,0))),"",INDEX('Policy Characteristics'!J:J,MATCH($C791,'Policy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1" s="275" t="str">
        <f>IF(ISBLANK(INDEX('Policy Characteristics'!K:K,MATCH($C791,'Policy Characteristics'!$C:$C,0))),"",INDEX('Policy Characteristics'!K:K,MATCH($C791,'Policy Characteristics'!$C:$C,0)))</f>
        <v>industry-ag-main.html#fuel-switching</v>
      </c>
      <c r="R791" s="275" t="str">
        <f>IF(ISBLANK(INDEX('Policy Characteristics'!L:L,MATCH($C791,'Policy Characteristics'!$C:$C,0))),"",INDEX('Policy Characteristics'!L:L,MATCH($C791,'Policy Characteristics'!$C:$C,0)))</f>
        <v>industry-elec-and-hydrogen.html</v>
      </c>
    </row>
    <row r="792" spans="1:18" s="2" customFormat="1" x14ac:dyDescent="0.25">
      <c r="A792" s="275" t="str">
        <f>IF(ISBLANK(INDEX('Policy Characteristics'!A:A,MATCH($C792,'Policy Characteristics'!$C:$C,0))),"",INDEX('Policy Characteristics'!A:A,MATCH($C792,'Policy Characteristics'!$C:$C,0)))</f>
        <v>Industry</v>
      </c>
      <c r="B792" s="284" t="str">
        <f>IF(ISBLANK(INDEX('Policy Characteristics'!B:B,MATCH($C792,'Policy Characteristics'!$C:$C,0))),"",INDEX('Policy Characteristics'!B:B,MATCH($C792,'Policy Characteristics'!$C:$C,0)))</f>
        <v>Hydrogen Combustion</v>
      </c>
      <c r="C792" s="275" t="str">
        <f t="shared" si="37"/>
        <v>Fraction of Eligible Industrial Energy Use Shifted to Hydrogen</v>
      </c>
      <c r="D792" s="6" t="s">
        <v>3072</v>
      </c>
      <c r="E792" s="1" t="s">
        <v>3551</v>
      </c>
      <c r="F792" t="s">
        <v>3036</v>
      </c>
      <c r="G792" s="47" t="s">
        <v>3558</v>
      </c>
      <c r="H792" s="44">
        <v>2054</v>
      </c>
      <c r="I792" s="346" t="s">
        <v>44</v>
      </c>
      <c r="J792" s="276" t="str">
        <f>IF(ISBLANK(INDEX('Policy Characteristics'!D:D,MATCH($C792,'Policy Characteristics'!$C:$C,0))),"",INDEX('Policy Characteristics'!D:D,MATCH($C792,'Policy Characteristics'!$C:$C,0)))</f>
        <v>Hydrogen Combustion</v>
      </c>
      <c r="K792" s="275" t="str">
        <f>IF(ISBLANK(INDEX('Policy Characteristics'!E:E,MATCH($C792,'Policy Characteristics'!$C:$C,0))),"",INDEX('Policy Characteristics'!E:E,MATCH($C792,'Policy Characteristics'!$C:$C,0)))</f>
        <v>indst shift to hydrogen</v>
      </c>
      <c r="L792" s="283">
        <f>IF(ISBLANK(INDEX('Policy Characteristics'!F:F,MATCH($C792,'Policy Characteristics'!$C:$C,0))),"",INDEX('Policy Characteristics'!F:F,MATCH($C792,'Policy Characteristics'!$C:$C,0)))</f>
        <v>0</v>
      </c>
      <c r="M792" s="283">
        <f>IF(ISBLANK(INDEX('Policy Characteristics'!G:G,MATCH($C792,'Policy Characteristics'!$C:$C,0))),"",INDEX('Policy Characteristics'!G:G,MATCH($C792,'Policy Characteristics'!$C:$C,0)))</f>
        <v>1</v>
      </c>
      <c r="N792" s="283">
        <f>IF(ISBLANK(INDEX('Policy Characteristics'!H:H,MATCH($C792,'Policy Characteristics'!$C:$C,0))),"",INDEX('Policy Characteristics'!H:H,MATCH($C792,'Policy Characteristics'!$C:$C,0)))</f>
        <v>0.01</v>
      </c>
      <c r="O792" s="275" t="str">
        <f>IF(ISBLANK(INDEX('Policy Characteristics'!I:I,MATCH($C792,'Policy Characteristics'!$C:$C,0))),"",INDEX('Policy Characteristics'!I:I,MATCH($C792,'Policy Characteristics'!$C:$C,0)))</f>
        <v>% of fuel shifted</v>
      </c>
      <c r="P792" s="275" t="str">
        <f>IF(ISBLANK(INDEX('Policy Characteristics'!J:J,MATCH($C792,'Policy Characteristics'!$C:$C,0))),"",INDEX('Policy Characteristics'!J:J,MATCH($C792,'Policy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2" s="275" t="str">
        <f>IF(ISBLANK(INDEX('Policy Characteristics'!K:K,MATCH($C792,'Policy Characteristics'!$C:$C,0))),"",INDEX('Policy Characteristics'!K:K,MATCH($C792,'Policy Characteristics'!$C:$C,0)))</f>
        <v>industry-ag-main.html#fuel-switching</v>
      </c>
      <c r="R792" s="275" t="str">
        <f>IF(ISBLANK(INDEX('Policy Characteristics'!L:L,MATCH($C792,'Policy Characteristics'!$C:$C,0))),"",INDEX('Policy Characteristics'!L:L,MATCH($C792,'Policy Characteristics'!$C:$C,0)))</f>
        <v>industry-elec-and-hydrogen.html</v>
      </c>
    </row>
    <row r="793" spans="1:18" s="2" customFormat="1" x14ac:dyDescent="0.25">
      <c r="A793" s="275" t="str">
        <f>IF(ISBLANK(INDEX('Policy Characteristics'!A:A,MATCH($C793,'Policy Characteristics'!$C:$C,0))),"",INDEX('Policy Characteristics'!A:A,MATCH($C793,'Policy Characteristics'!$C:$C,0)))</f>
        <v>Industry</v>
      </c>
      <c r="B793" s="284" t="str">
        <f>IF(ISBLANK(INDEX('Policy Characteristics'!B:B,MATCH($C793,'Policy Characteristics'!$C:$C,0))),"",INDEX('Policy Characteristics'!B:B,MATCH($C793,'Policy Characteristics'!$C:$C,0)))</f>
        <v>Hydrogen Combustion</v>
      </c>
      <c r="C793" s="275" t="str">
        <f t="shared" si="37"/>
        <v>Fraction of Eligible Industrial Energy Use Shifted to Hydrogen</v>
      </c>
      <c r="D793" s="6" t="s">
        <v>3072</v>
      </c>
      <c r="E793" s="1" t="s">
        <v>3552</v>
      </c>
      <c r="F793" t="s">
        <v>3036</v>
      </c>
      <c r="G793" s="47" t="s">
        <v>3559</v>
      </c>
      <c r="H793" s="44">
        <v>2055</v>
      </c>
      <c r="I793" s="346" t="s">
        <v>44</v>
      </c>
      <c r="J793" s="276" t="str">
        <f>IF(ISBLANK(INDEX('Policy Characteristics'!D:D,MATCH($C793,'Policy Characteristics'!$C:$C,0))),"",INDEX('Policy Characteristics'!D:D,MATCH($C793,'Policy Characteristics'!$C:$C,0)))</f>
        <v>Hydrogen Combustion</v>
      </c>
      <c r="K793" s="275" t="str">
        <f>IF(ISBLANK(INDEX('Policy Characteristics'!E:E,MATCH($C793,'Policy Characteristics'!$C:$C,0))),"",INDEX('Policy Characteristics'!E:E,MATCH($C793,'Policy Characteristics'!$C:$C,0)))</f>
        <v>indst shift to hydrogen</v>
      </c>
      <c r="L793" s="283">
        <f>IF(ISBLANK(INDEX('Policy Characteristics'!F:F,MATCH($C793,'Policy Characteristics'!$C:$C,0))),"",INDEX('Policy Characteristics'!F:F,MATCH($C793,'Policy Characteristics'!$C:$C,0)))</f>
        <v>0</v>
      </c>
      <c r="M793" s="283">
        <f>IF(ISBLANK(INDEX('Policy Characteristics'!G:G,MATCH($C793,'Policy Characteristics'!$C:$C,0))),"",INDEX('Policy Characteristics'!G:G,MATCH($C793,'Policy Characteristics'!$C:$C,0)))</f>
        <v>1</v>
      </c>
      <c r="N793" s="283">
        <f>IF(ISBLANK(INDEX('Policy Characteristics'!H:H,MATCH($C793,'Policy Characteristics'!$C:$C,0))),"",INDEX('Policy Characteristics'!H:H,MATCH($C793,'Policy Characteristics'!$C:$C,0)))</f>
        <v>0.01</v>
      </c>
      <c r="O793" s="275" t="str">
        <f>IF(ISBLANK(INDEX('Policy Characteristics'!I:I,MATCH($C793,'Policy Characteristics'!$C:$C,0))),"",INDEX('Policy Characteristics'!I:I,MATCH($C793,'Policy Characteristics'!$C:$C,0)))</f>
        <v>% of fuel shifted</v>
      </c>
      <c r="P793" s="275" t="str">
        <f>IF(ISBLANK(INDEX('Policy Characteristics'!J:J,MATCH($C793,'Policy Characteristics'!$C:$C,0))),"",INDEX('Policy Characteristics'!J:J,MATCH($C793,'Policy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3" s="275" t="str">
        <f>IF(ISBLANK(INDEX('Policy Characteristics'!K:K,MATCH($C793,'Policy Characteristics'!$C:$C,0))),"",INDEX('Policy Characteristics'!K:K,MATCH($C793,'Policy Characteristics'!$C:$C,0)))</f>
        <v>industry-ag-main.html#fuel-switching</v>
      </c>
      <c r="R793" s="275" t="str">
        <f>IF(ISBLANK(INDEX('Policy Characteristics'!L:L,MATCH($C793,'Policy Characteristics'!$C:$C,0))),"",INDEX('Policy Characteristics'!L:L,MATCH($C793,'Policy Characteristics'!$C:$C,0)))</f>
        <v>industry-elec-and-hydrogen.html</v>
      </c>
    </row>
    <row r="794" spans="1:18" s="2" customFormat="1" x14ac:dyDescent="0.25">
      <c r="A794" s="275" t="str">
        <f>IF(ISBLANK(INDEX('Policy Characteristics'!A:A,MATCH($C794,'Policy Characteristics'!$C:$C,0))),"",INDEX('Policy Characteristics'!A:A,MATCH($C794,'Policy Characteristics'!$C:$C,0)))</f>
        <v>Industry</v>
      </c>
      <c r="B794" s="284" t="str">
        <f>IF(ISBLANK(INDEX('Policy Characteristics'!B:B,MATCH($C794,'Policy Characteristics'!$C:$C,0))),"",INDEX('Policy Characteristics'!B:B,MATCH($C794,'Policy Characteristics'!$C:$C,0)))</f>
        <v>Hydrogen Combustion</v>
      </c>
      <c r="C794" s="275" t="str">
        <f t="shared" si="37"/>
        <v>Fraction of Eligible Industrial Energy Use Shifted to Hydrogen</v>
      </c>
      <c r="D794" s="6" t="s">
        <v>3072</v>
      </c>
      <c r="E794" s="1" t="s">
        <v>3553</v>
      </c>
      <c r="F794" t="s">
        <v>3036</v>
      </c>
      <c r="G794" s="47" t="s">
        <v>3560</v>
      </c>
      <c r="H794" s="44">
        <v>2056</v>
      </c>
      <c r="I794" s="346" t="s">
        <v>44</v>
      </c>
      <c r="J794" s="276" t="str">
        <f>IF(ISBLANK(INDEX('Policy Characteristics'!D:D,MATCH($C794,'Policy Characteristics'!$C:$C,0))),"",INDEX('Policy Characteristics'!D:D,MATCH($C794,'Policy Characteristics'!$C:$C,0)))</f>
        <v>Hydrogen Combustion</v>
      </c>
      <c r="K794" s="275" t="str">
        <f>IF(ISBLANK(INDEX('Policy Characteristics'!E:E,MATCH($C794,'Policy Characteristics'!$C:$C,0))),"",INDEX('Policy Characteristics'!E:E,MATCH($C794,'Policy Characteristics'!$C:$C,0)))</f>
        <v>indst shift to hydrogen</v>
      </c>
      <c r="L794" s="283">
        <f>IF(ISBLANK(INDEX('Policy Characteristics'!F:F,MATCH($C794,'Policy Characteristics'!$C:$C,0))),"",INDEX('Policy Characteristics'!F:F,MATCH($C794,'Policy Characteristics'!$C:$C,0)))</f>
        <v>0</v>
      </c>
      <c r="M794" s="283">
        <f>IF(ISBLANK(INDEX('Policy Characteristics'!G:G,MATCH($C794,'Policy Characteristics'!$C:$C,0))),"",INDEX('Policy Characteristics'!G:G,MATCH($C794,'Policy Characteristics'!$C:$C,0)))</f>
        <v>1</v>
      </c>
      <c r="N794" s="283">
        <f>IF(ISBLANK(INDEX('Policy Characteristics'!H:H,MATCH($C794,'Policy Characteristics'!$C:$C,0))),"",INDEX('Policy Characteristics'!H:H,MATCH($C794,'Policy Characteristics'!$C:$C,0)))</f>
        <v>0.01</v>
      </c>
      <c r="O794" s="275" t="str">
        <f>IF(ISBLANK(INDEX('Policy Characteristics'!I:I,MATCH($C794,'Policy Characteristics'!$C:$C,0))),"",INDEX('Policy Characteristics'!I:I,MATCH($C794,'Policy Characteristics'!$C:$C,0)))</f>
        <v>% of fuel shifted</v>
      </c>
      <c r="P794" s="275" t="str">
        <f>IF(ISBLANK(INDEX('Policy Characteristics'!J:J,MATCH($C794,'Policy Characteristics'!$C:$C,0))),"",INDEX('Policy Characteristics'!J:J,MATCH($C794,'Policy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4" s="275" t="str">
        <f>IF(ISBLANK(INDEX('Policy Characteristics'!K:K,MATCH($C794,'Policy Characteristics'!$C:$C,0))),"",INDEX('Policy Characteristics'!K:K,MATCH($C794,'Policy Characteristics'!$C:$C,0)))</f>
        <v>industry-ag-main.html#fuel-switching</v>
      </c>
      <c r="R794" s="275" t="str">
        <f>IF(ISBLANK(INDEX('Policy Characteristics'!L:L,MATCH($C794,'Policy Characteristics'!$C:$C,0))),"",INDEX('Policy Characteristics'!L:L,MATCH($C794,'Policy Characteristics'!$C:$C,0)))</f>
        <v>industry-elec-and-hydrogen.html</v>
      </c>
    </row>
    <row r="795" spans="1:18" s="2" customFormat="1" x14ac:dyDescent="0.25">
      <c r="A795" s="275" t="str">
        <f>IF(ISBLANK(INDEX('Policy Characteristics'!A:A,MATCH($C795,'Policy Characteristics'!$C:$C,0))),"",INDEX('Policy Characteristics'!A:A,MATCH($C795,'Policy Characteristics'!$C:$C,0)))</f>
        <v>Industry</v>
      </c>
      <c r="B795" s="284" t="str">
        <f>IF(ISBLANK(INDEX('Policy Characteristics'!B:B,MATCH($C795,'Policy Characteristics'!$C:$C,0))),"",INDEX('Policy Characteristics'!B:B,MATCH($C795,'Policy Characteristics'!$C:$C,0)))</f>
        <v>Hydrogen Combustion</v>
      </c>
      <c r="C795" s="275" t="str">
        <f t="shared" si="37"/>
        <v>Fraction of Eligible Industrial Energy Use Shifted to Hydrogen</v>
      </c>
      <c r="D795" s="6" t="s">
        <v>3072</v>
      </c>
      <c r="E795" s="1" t="s">
        <v>3737</v>
      </c>
      <c r="F795" t="s">
        <v>3036</v>
      </c>
      <c r="G795" s="47" t="s">
        <v>3738</v>
      </c>
      <c r="H795" s="44">
        <v>2057</v>
      </c>
      <c r="I795" s="346" t="s">
        <v>44</v>
      </c>
      <c r="J795" s="276" t="str">
        <f>IF(ISBLANK(INDEX('Policy Characteristics'!D:D,MATCH($C795,'Policy Characteristics'!$C:$C,0))),"",INDEX('Policy Characteristics'!D:D,MATCH($C795,'Policy Characteristics'!$C:$C,0)))</f>
        <v>Hydrogen Combustion</v>
      </c>
      <c r="K795" s="275" t="str">
        <f>IF(ISBLANK(INDEX('Policy Characteristics'!E:E,MATCH($C795,'Policy Characteristics'!$C:$C,0))),"",INDEX('Policy Characteristics'!E:E,MATCH($C795,'Policy Characteristics'!$C:$C,0)))</f>
        <v>indst shift to hydrogen</v>
      </c>
      <c r="L795" s="283">
        <f>IF(ISBLANK(INDEX('Policy Characteristics'!F:F,MATCH($C795,'Policy Characteristics'!$C:$C,0))),"",INDEX('Policy Characteristics'!F:F,MATCH($C795,'Policy Characteristics'!$C:$C,0)))</f>
        <v>0</v>
      </c>
      <c r="M795" s="283">
        <f>IF(ISBLANK(INDEX('Policy Characteristics'!G:G,MATCH($C795,'Policy Characteristics'!$C:$C,0))),"",INDEX('Policy Characteristics'!G:G,MATCH($C795,'Policy Characteristics'!$C:$C,0)))</f>
        <v>1</v>
      </c>
      <c r="N795" s="283">
        <f>IF(ISBLANK(INDEX('Policy Characteristics'!H:H,MATCH($C795,'Policy Characteristics'!$C:$C,0))),"",INDEX('Policy Characteristics'!H:H,MATCH($C795,'Policy Characteristics'!$C:$C,0)))</f>
        <v>0.01</v>
      </c>
      <c r="O795" s="275" t="str">
        <f>IF(ISBLANK(INDEX('Policy Characteristics'!I:I,MATCH($C795,'Policy Characteristics'!$C:$C,0))),"",INDEX('Policy Characteristics'!I:I,MATCH($C795,'Policy Characteristics'!$C:$C,0)))</f>
        <v>% of fuel shifted</v>
      </c>
      <c r="P795" s="275" t="str">
        <f>IF(ISBLANK(INDEX('Policy Characteristics'!J:J,MATCH($C795,'Policy Characteristics'!$C:$C,0))),"",INDEX('Policy Characteristics'!J:J,MATCH($C795,'Policy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5" s="275" t="str">
        <f>IF(ISBLANK(INDEX('Policy Characteristics'!K:K,MATCH($C795,'Policy Characteristics'!$C:$C,0))),"",INDEX('Policy Characteristics'!K:K,MATCH($C795,'Policy Characteristics'!$C:$C,0)))</f>
        <v>industry-ag-main.html#fuel-switching</v>
      </c>
      <c r="R795" s="275" t="str">
        <f>IF(ISBLANK(INDEX('Policy Characteristics'!L:L,MATCH($C795,'Policy Characteristics'!$C:$C,0))),"",INDEX('Policy Characteristics'!L:L,MATCH($C795,'Policy Characteristics'!$C:$C,0)))</f>
        <v>industry-elec-and-hydrogen.html</v>
      </c>
    </row>
    <row r="796" spans="1:18" s="2" customFormat="1" x14ac:dyDescent="0.25">
      <c r="A796" s="275" t="str">
        <f>IF(ISBLANK(INDEX('Policy Characteristics'!A:A,MATCH($C796,'Policy Characteristics'!$C:$C,0))),"",INDEX('Policy Characteristics'!A:A,MATCH($C796,'Policy Characteristics'!$C:$C,0)))</f>
        <v>Industry</v>
      </c>
      <c r="B796" s="284" t="str">
        <f>IF(ISBLANK(INDEX('Policy Characteristics'!B:B,MATCH($C796,'Policy Characteristics'!$C:$C,0))),"",INDEX('Policy Characteristics'!B:B,MATCH($C796,'Policy Characteristics'!$C:$C,0)))</f>
        <v>Hydrogen Combustion</v>
      </c>
      <c r="C796" s="275" t="str">
        <f t="shared" si="37"/>
        <v>Fraction of Eligible Industrial Energy Use Shifted to Hydrogen</v>
      </c>
      <c r="D796" s="6" t="s">
        <v>3073</v>
      </c>
      <c r="E796" s="1" t="s">
        <v>3547</v>
      </c>
      <c r="F796" t="s">
        <v>3037</v>
      </c>
      <c r="G796" s="47" t="s">
        <v>3554</v>
      </c>
      <c r="H796" s="44">
        <v>2058</v>
      </c>
      <c r="I796" s="346" t="s">
        <v>43</v>
      </c>
      <c r="J796" s="276" t="str">
        <f>IF(ISBLANK(INDEX('Policy Characteristics'!D:D,MATCH($C796,'Policy Characteristics'!$C:$C,0))),"",INDEX('Policy Characteristics'!D:D,MATCH($C796,'Policy Characteristics'!$C:$C,0)))</f>
        <v>Hydrogen Combustion</v>
      </c>
      <c r="K796" s="275" t="str">
        <f>IF(ISBLANK(INDEX('Policy Characteristics'!E:E,MATCH($C796,'Policy Characteristics'!$C:$C,0))),"",INDEX('Policy Characteristics'!E:E,MATCH($C796,'Policy Characteristics'!$C:$C,0)))</f>
        <v>indst shift to hydrogen</v>
      </c>
      <c r="L796" s="283">
        <f>IF(ISBLANK(INDEX('Policy Characteristics'!F:F,MATCH($C796,'Policy Characteristics'!$C:$C,0))),"",INDEX('Policy Characteristics'!F:F,MATCH($C796,'Policy Characteristics'!$C:$C,0)))</f>
        <v>0</v>
      </c>
      <c r="M796" s="283">
        <f>IF(ISBLANK(INDEX('Policy Characteristics'!G:G,MATCH($C796,'Policy Characteristics'!$C:$C,0))),"",INDEX('Policy Characteristics'!G:G,MATCH($C796,'Policy Characteristics'!$C:$C,0)))</f>
        <v>1</v>
      </c>
      <c r="N796" s="283">
        <f>IF(ISBLANK(INDEX('Policy Characteristics'!H:H,MATCH($C796,'Policy Characteristics'!$C:$C,0))),"",INDEX('Policy Characteristics'!H:H,MATCH($C796,'Policy Characteristics'!$C:$C,0)))</f>
        <v>0.01</v>
      </c>
      <c r="O796" s="275" t="str">
        <f>IF(ISBLANK(INDEX('Policy Characteristics'!I:I,MATCH($C796,'Policy Characteristics'!$C:$C,0))),"",INDEX('Policy Characteristics'!I:I,MATCH($C796,'Policy Characteristics'!$C:$C,0)))</f>
        <v>% of fuel shifted</v>
      </c>
      <c r="P796" s="275" t="str">
        <f>IF(ISBLANK(INDEX('Policy Characteristics'!J:J,MATCH($C796,'Policy Characteristics'!$C:$C,0))),"",INDEX('Policy Characteristics'!J:J,MATCH($C796,'Policy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6" s="275" t="str">
        <f>IF(ISBLANK(INDEX('Policy Characteristics'!K:K,MATCH($C796,'Policy Characteristics'!$C:$C,0))),"",INDEX('Policy Characteristics'!K:K,MATCH($C796,'Policy Characteristics'!$C:$C,0)))</f>
        <v>industry-ag-main.html#fuel-switching</v>
      </c>
      <c r="R796" s="275" t="str">
        <f>IF(ISBLANK(INDEX('Policy Characteristics'!L:L,MATCH($C796,'Policy Characteristics'!$C:$C,0))),"",INDEX('Policy Characteristics'!L:L,MATCH($C796,'Policy Characteristics'!$C:$C,0)))</f>
        <v>industry-elec-and-hydrogen.html</v>
      </c>
    </row>
    <row r="797" spans="1:18" s="2" customFormat="1" x14ac:dyDescent="0.25">
      <c r="A797" s="275" t="str">
        <f>IF(ISBLANK(INDEX('Policy Characteristics'!A:A,MATCH($C797,'Policy Characteristics'!$C:$C,0))),"",INDEX('Policy Characteristics'!A:A,MATCH($C797,'Policy Characteristics'!$C:$C,0)))</f>
        <v>Industry</v>
      </c>
      <c r="B797" s="284" t="str">
        <f>IF(ISBLANK(INDEX('Policy Characteristics'!B:B,MATCH($C797,'Policy Characteristics'!$C:$C,0))),"",INDEX('Policy Characteristics'!B:B,MATCH($C797,'Policy Characteristics'!$C:$C,0)))</f>
        <v>Hydrogen Combustion</v>
      </c>
      <c r="C797" s="275" t="str">
        <f t="shared" si="37"/>
        <v>Fraction of Eligible Industrial Energy Use Shifted to Hydrogen</v>
      </c>
      <c r="D797" s="6" t="s">
        <v>3073</v>
      </c>
      <c r="E797" s="1" t="s">
        <v>3548</v>
      </c>
      <c r="F797" t="s">
        <v>3037</v>
      </c>
      <c r="G797" s="47" t="s">
        <v>3555</v>
      </c>
      <c r="H797" s="44">
        <v>2059</v>
      </c>
      <c r="I797" s="346" t="s">
        <v>43</v>
      </c>
      <c r="J797" s="276" t="str">
        <f>IF(ISBLANK(INDEX('Policy Characteristics'!D:D,MATCH($C797,'Policy Characteristics'!$C:$C,0))),"",INDEX('Policy Characteristics'!D:D,MATCH($C797,'Policy Characteristics'!$C:$C,0)))</f>
        <v>Hydrogen Combustion</v>
      </c>
      <c r="K797" s="275" t="str">
        <f>IF(ISBLANK(INDEX('Policy Characteristics'!E:E,MATCH($C797,'Policy Characteristics'!$C:$C,0))),"",INDEX('Policy Characteristics'!E:E,MATCH($C797,'Policy Characteristics'!$C:$C,0)))</f>
        <v>indst shift to hydrogen</v>
      </c>
      <c r="L797" s="283">
        <f>IF(ISBLANK(INDEX('Policy Characteristics'!F:F,MATCH($C797,'Policy Characteristics'!$C:$C,0))),"",INDEX('Policy Characteristics'!F:F,MATCH($C797,'Policy Characteristics'!$C:$C,0)))</f>
        <v>0</v>
      </c>
      <c r="M797" s="283">
        <f>IF(ISBLANK(INDEX('Policy Characteristics'!G:G,MATCH($C797,'Policy Characteristics'!$C:$C,0))),"",INDEX('Policy Characteristics'!G:G,MATCH($C797,'Policy Characteristics'!$C:$C,0)))</f>
        <v>1</v>
      </c>
      <c r="N797" s="283">
        <f>IF(ISBLANK(INDEX('Policy Characteristics'!H:H,MATCH($C797,'Policy Characteristics'!$C:$C,0))),"",INDEX('Policy Characteristics'!H:H,MATCH($C797,'Policy Characteristics'!$C:$C,0)))</f>
        <v>0.01</v>
      </c>
      <c r="O797" s="275" t="str">
        <f>IF(ISBLANK(INDEX('Policy Characteristics'!I:I,MATCH($C797,'Policy Characteristics'!$C:$C,0))),"",INDEX('Policy Characteristics'!I:I,MATCH($C797,'Policy Characteristics'!$C:$C,0)))</f>
        <v>% of fuel shifted</v>
      </c>
      <c r="P797" s="275" t="str">
        <f>IF(ISBLANK(INDEX('Policy Characteristics'!J:J,MATCH($C797,'Policy Characteristics'!$C:$C,0))),"",INDEX('Policy Characteristics'!J:J,MATCH($C797,'Policy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7" s="275" t="str">
        <f>IF(ISBLANK(INDEX('Policy Characteristics'!K:K,MATCH($C797,'Policy Characteristics'!$C:$C,0))),"",INDEX('Policy Characteristics'!K:K,MATCH($C797,'Policy Characteristics'!$C:$C,0)))</f>
        <v>industry-ag-main.html#fuel-switching</v>
      </c>
      <c r="R797" s="275" t="str">
        <f>IF(ISBLANK(INDEX('Policy Characteristics'!L:L,MATCH($C797,'Policy Characteristics'!$C:$C,0))),"",INDEX('Policy Characteristics'!L:L,MATCH($C797,'Policy Characteristics'!$C:$C,0)))</f>
        <v>industry-elec-and-hydrogen.html</v>
      </c>
    </row>
    <row r="798" spans="1:18" s="2" customFormat="1" x14ac:dyDescent="0.25">
      <c r="A798" s="275" t="str">
        <f>IF(ISBLANK(INDEX('Policy Characteristics'!A:A,MATCH($C798,'Policy Characteristics'!$C:$C,0))),"",INDEX('Policy Characteristics'!A:A,MATCH($C798,'Policy Characteristics'!$C:$C,0)))</f>
        <v>Industry</v>
      </c>
      <c r="B798" s="284" t="str">
        <f>IF(ISBLANK(INDEX('Policy Characteristics'!B:B,MATCH($C798,'Policy Characteristics'!$C:$C,0))),"",INDEX('Policy Characteristics'!B:B,MATCH($C798,'Policy Characteristics'!$C:$C,0)))</f>
        <v>Hydrogen Combustion</v>
      </c>
      <c r="C798" s="275" t="str">
        <f t="shared" si="37"/>
        <v>Fraction of Eligible Industrial Energy Use Shifted to Hydrogen</v>
      </c>
      <c r="D798" s="6" t="s">
        <v>3073</v>
      </c>
      <c r="E798" s="1" t="s">
        <v>3549</v>
      </c>
      <c r="F798" t="s">
        <v>3037</v>
      </c>
      <c r="G798" s="47" t="s">
        <v>3556</v>
      </c>
      <c r="H798" s="44">
        <v>2060</v>
      </c>
      <c r="I798" s="346" t="s">
        <v>44</v>
      </c>
      <c r="J798" s="276" t="str">
        <f>IF(ISBLANK(INDEX('Policy Characteristics'!D:D,MATCH($C798,'Policy Characteristics'!$C:$C,0))),"",INDEX('Policy Characteristics'!D:D,MATCH($C798,'Policy Characteristics'!$C:$C,0)))</f>
        <v>Hydrogen Combustion</v>
      </c>
      <c r="K798" s="275" t="str">
        <f>IF(ISBLANK(INDEX('Policy Characteristics'!E:E,MATCH($C798,'Policy Characteristics'!$C:$C,0))),"",INDEX('Policy Characteristics'!E:E,MATCH($C798,'Policy Characteristics'!$C:$C,0)))</f>
        <v>indst shift to hydrogen</v>
      </c>
      <c r="L798" s="283">
        <f>IF(ISBLANK(INDEX('Policy Characteristics'!F:F,MATCH($C798,'Policy Characteristics'!$C:$C,0))),"",INDEX('Policy Characteristics'!F:F,MATCH($C798,'Policy Characteristics'!$C:$C,0)))</f>
        <v>0</v>
      </c>
      <c r="M798" s="283">
        <f>IF(ISBLANK(INDEX('Policy Characteristics'!G:G,MATCH($C798,'Policy Characteristics'!$C:$C,0))),"",INDEX('Policy Characteristics'!G:G,MATCH($C798,'Policy Characteristics'!$C:$C,0)))</f>
        <v>1</v>
      </c>
      <c r="N798" s="283">
        <f>IF(ISBLANK(INDEX('Policy Characteristics'!H:H,MATCH($C798,'Policy Characteristics'!$C:$C,0))),"",INDEX('Policy Characteristics'!H:H,MATCH($C798,'Policy Characteristics'!$C:$C,0)))</f>
        <v>0.01</v>
      </c>
      <c r="O798" s="275" t="str">
        <f>IF(ISBLANK(INDEX('Policy Characteristics'!I:I,MATCH($C798,'Policy Characteristics'!$C:$C,0))),"",INDEX('Policy Characteristics'!I:I,MATCH($C798,'Policy Characteristics'!$C:$C,0)))</f>
        <v>% of fuel shifted</v>
      </c>
      <c r="P798" s="275" t="str">
        <f>IF(ISBLANK(INDEX('Policy Characteristics'!J:J,MATCH($C798,'Policy Characteristics'!$C:$C,0))),"",INDEX('Policy Characteristics'!J:J,MATCH($C798,'Policy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8" s="275" t="str">
        <f>IF(ISBLANK(INDEX('Policy Characteristics'!K:K,MATCH($C798,'Policy Characteristics'!$C:$C,0))),"",INDEX('Policy Characteristics'!K:K,MATCH($C798,'Policy Characteristics'!$C:$C,0)))</f>
        <v>industry-ag-main.html#fuel-switching</v>
      </c>
      <c r="R798" s="275" t="str">
        <f>IF(ISBLANK(INDEX('Policy Characteristics'!L:L,MATCH($C798,'Policy Characteristics'!$C:$C,0))),"",INDEX('Policy Characteristics'!L:L,MATCH($C798,'Policy Characteristics'!$C:$C,0)))</f>
        <v>industry-elec-and-hydrogen.html</v>
      </c>
    </row>
    <row r="799" spans="1:18" s="2" customFormat="1" x14ac:dyDescent="0.25">
      <c r="A799" s="275" t="str">
        <f>IF(ISBLANK(INDEX('Policy Characteristics'!A:A,MATCH($C799,'Policy Characteristics'!$C:$C,0))),"",INDEX('Policy Characteristics'!A:A,MATCH($C799,'Policy Characteristics'!$C:$C,0)))</f>
        <v>Industry</v>
      </c>
      <c r="B799" s="284" t="str">
        <f>IF(ISBLANK(INDEX('Policy Characteristics'!B:B,MATCH($C799,'Policy Characteristics'!$C:$C,0))),"",INDEX('Policy Characteristics'!B:B,MATCH($C799,'Policy Characteristics'!$C:$C,0)))</f>
        <v>Hydrogen Combustion</v>
      </c>
      <c r="C799" s="275" t="str">
        <f t="shared" si="37"/>
        <v>Fraction of Eligible Industrial Energy Use Shifted to Hydrogen</v>
      </c>
      <c r="D799" s="6" t="s">
        <v>3073</v>
      </c>
      <c r="E799" s="1" t="s">
        <v>3550</v>
      </c>
      <c r="F799" t="s">
        <v>3037</v>
      </c>
      <c r="G799" s="47" t="s">
        <v>3557</v>
      </c>
      <c r="H799" s="44">
        <v>2061</v>
      </c>
      <c r="I799" s="346" t="s">
        <v>44</v>
      </c>
      <c r="J799" s="276" t="str">
        <f>IF(ISBLANK(INDEX('Policy Characteristics'!D:D,MATCH($C799,'Policy Characteristics'!$C:$C,0))),"",INDEX('Policy Characteristics'!D:D,MATCH($C799,'Policy Characteristics'!$C:$C,0)))</f>
        <v>Hydrogen Combustion</v>
      </c>
      <c r="K799" s="275" t="str">
        <f>IF(ISBLANK(INDEX('Policy Characteristics'!E:E,MATCH($C799,'Policy Characteristics'!$C:$C,0))),"",INDEX('Policy Characteristics'!E:E,MATCH($C799,'Policy Characteristics'!$C:$C,0)))</f>
        <v>indst shift to hydrogen</v>
      </c>
      <c r="L799" s="283">
        <f>IF(ISBLANK(INDEX('Policy Characteristics'!F:F,MATCH($C799,'Policy Characteristics'!$C:$C,0))),"",INDEX('Policy Characteristics'!F:F,MATCH($C799,'Policy Characteristics'!$C:$C,0)))</f>
        <v>0</v>
      </c>
      <c r="M799" s="283">
        <f>IF(ISBLANK(INDEX('Policy Characteristics'!G:G,MATCH($C799,'Policy Characteristics'!$C:$C,0))),"",INDEX('Policy Characteristics'!G:G,MATCH($C799,'Policy Characteristics'!$C:$C,0)))</f>
        <v>1</v>
      </c>
      <c r="N799" s="283">
        <f>IF(ISBLANK(INDEX('Policy Characteristics'!H:H,MATCH($C799,'Policy Characteristics'!$C:$C,0))),"",INDEX('Policy Characteristics'!H:H,MATCH($C799,'Policy Characteristics'!$C:$C,0)))</f>
        <v>0.01</v>
      </c>
      <c r="O799" s="275" t="str">
        <f>IF(ISBLANK(INDEX('Policy Characteristics'!I:I,MATCH($C799,'Policy Characteristics'!$C:$C,0))),"",INDEX('Policy Characteristics'!I:I,MATCH($C799,'Policy Characteristics'!$C:$C,0)))</f>
        <v>% of fuel shifted</v>
      </c>
      <c r="P799" s="275" t="str">
        <f>IF(ISBLANK(INDEX('Policy Characteristics'!J:J,MATCH($C799,'Policy Characteristics'!$C:$C,0))),"",INDEX('Policy Characteristics'!J:J,MATCH($C799,'Policy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9" s="275" t="str">
        <f>IF(ISBLANK(INDEX('Policy Characteristics'!K:K,MATCH($C799,'Policy Characteristics'!$C:$C,0))),"",INDEX('Policy Characteristics'!K:K,MATCH($C799,'Policy Characteristics'!$C:$C,0)))</f>
        <v>industry-ag-main.html#fuel-switching</v>
      </c>
      <c r="R799" s="275" t="str">
        <f>IF(ISBLANK(INDEX('Policy Characteristics'!L:L,MATCH($C799,'Policy Characteristics'!$C:$C,0))),"",INDEX('Policy Characteristics'!L:L,MATCH($C799,'Policy Characteristics'!$C:$C,0)))</f>
        <v>industry-elec-and-hydrogen.html</v>
      </c>
    </row>
    <row r="800" spans="1:18" s="2" customFormat="1" x14ac:dyDescent="0.25">
      <c r="A800" s="275" t="str">
        <f>IF(ISBLANK(INDEX('Policy Characteristics'!A:A,MATCH($C800,'Policy Characteristics'!$C:$C,0))),"",INDEX('Policy Characteristics'!A:A,MATCH($C800,'Policy Characteristics'!$C:$C,0)))</f>
        <v>Industry</v>
      </c>
      <c r="B800" s="284" t="str">
        <f>IF(ISBLANK(INDEX('Policy Characteristics'!B:B,MATCH($C800,'Policy Characteristics'!$C:$C,0))),"",INDEX('Policy Characteristics'!B:B,MATCH($C800,'Policy Characteristics'!$C:$C,0)))</f>
        <v>Hydrogen Combustion</v>
      </c>
      <c r="C800" s="275" t="str">
        <f t="shared" si="37"/>
        <v>Fraction of Eligible Industrial Energy Use Shifted to Hydrogen</v>
      </c>
      <c r="D800" s="6" t="s">
        <v>3073</v>
      </c>
      <c r="E800" s="1" t="s">
        <v>3551</v>
      </c>
      <c r="F800" t="s">
        <v>3037</v>
      </c>
      <c r="G800" s="47" t="s">
        <v>3558</v>
      </c>
      <c r="H800" s="44">
        <v>2062</v>
      </c>
      <c r="I800" s="346" t="s">
        <v>44</v>
      </c>
      <c r="J800" s="276" t="str">
        <f>IF(ISBLANK(INDEX('Policy Characteristics'!D:D,MATCH($C800,'Policy Characteristics'!$C:$C,0))),"",INDEX('Policy Characteristics'!D:D,MATCH($C800,'Policy Characteristics'!$C:$C,0)))</f>
        <v>Hydrogen Combustion</v>
      </c>
      <c r="K800" s="275" t="str">
        <f>IF(ISBLANK(INDEX('Policy Characteristics'!E:E,MATCH($C800,'Policy Characteristics'!$C:$C,0))),"",INDEX('Policy Characteristics'!E:E,MATCH($C800,'Policy Characteristics'!$C:$C,0)))</f>
        <v>indst shift to hydrogen</v>
      </c>
      <c r="L800" s="283">
        <f>IF(ISBLANK(INDEX('Policy Characteristics'!F:F,MATCH($C800,'Policy Characteristics'!$C:$C,0))),"",INDEX('Policy Characteristics'!F:F,MATCH($C800,'Policy Characteristics'!$C:$C,0)))</f>
        <v>0</v>
      </c>
      <c r="M800" s="283">
        <f>IF(ISBLANK(INDEX('Policy Characteristics'!G:G,MATCH($C800,'Policy Characteristics'!$C:$C,0))),"",INDEX('Policy Characteristics'!G:G,MATCH($C800,'Policy Characteristics'!$C:$C,0)))</f>
        <v>1</v>
      </c>
      <c r="N800" s="283">
        <f>IF(ISBLANK(INDEX('Policy Characteristics'!H:H,MATCH($C800,'Policy Characteristics'!$C:$C,0))),"",INDEX('Policy Characteristics'!H:H,MATCH($C800,'Policy Characteristics'!$C:$C,0)))</f>
        <v>0.01</v>
      </c>
      <c r="O800" s="275" t="str">
        <f>IF(ISBLANK(INDEX('Policy Characteristics'!I:I,MATCH($C800,'Policy Characteristics'!$C:$C,0))),"",INDEX('Policy Characteristics'!I:I,MATCH($C800,'Policy Characteristics'!$C:$C,0)))</f>
        <v>% of fuel shifted</v>
      </c>
      <c r="P800" s="275" t="str">
        <f>IF(ISBLANK(INDEX('Policy Characteristics'!J:J,MATCH($C800,'Policy Characteristics'!$C:$C,0))),"",INDEX('Policy Characteristics'!J:J,MATCH($C800,'Policy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0" s="275" t="str">
        <f>IF(ISBLANK(INDEX('Policy Characteristics'!K:K,MATCH($C800,'Policy Characteristics'!$C:$C,0))),"",INDEX('Policy Characteristics'!K:K,MATCH($C800,'Policy Characteristics'!$C:$C,0)))</f>
        <v>industry-ag-main.html#fuel-switching</v>
      </c>
      <c r="R800" s="275" t="str">
        <f>IF(ISBLANK(INDEX('Policy Characteristics'!L:L,MATCH($C800,'Policy Characteristics'!$C:$C,0))),"",INDEX('Policy Characteristics'!L:L,MATCH($C800,'Policy Characteristics'!$C:$C,0)))</f>
        <v>industry-elec-and-hydrogen.html</v>
      </c>
    </row>
    <row r="801" spans="1:18" s="2" customFormat="1" x14ac:dyDescent="0.25">
      <c r="A801" s="275" t="str">
        <f>IF(ISBLANK(INDEX('Policy Characteristics'!A:A,MATCH($C801,'Policy Characteristics'!$C:$C,0))),"",INDEX('Policy Characteristics'!A:A,MATCH($C801,'Policy Characteristics'!$C:$C,0)))</f>
        <v>Industry</v>
      </c>
      <c r="B801" s="284" t="str">
        <f>IF(ISBLANK(INDEX('Policy Characteristics'!B:B,MATCH($C801,'Policy Characteristics'!$C:$C,0))),"",INDEX('Policy Characteristics'!B:B,MATCH($C801,'Policy Characteristics'!$C:$C,0)))</f>
        <v>Hydrogen Combustion</v>
      </c>
      <c r="C801" s="275" t="str">
        <f t="shared" si="37"/>
        <v>Fraction of Eligible Industrial Energy Use Shifted to Hydrogen</v>
      </c>
      <c r="D801" s="6" t="s">
        <v>3073</v>
      </c>
      <c r="E801" s="1" t="s">
        <v>3552</v>
      </c>
      <c r="F801" t="s">
        <v>3037</v>
      </c>
      <c r="G801" s="47" t="s">
        <v>3559</v>
      </c>
      <c r="H801" s="44">
        <v>2063</v>
      </c>
      <c r="I801" s="346" t="s">
        <v>44</v>
      </c>
      <c r="J801" s="276" t="str">
        <f>IF(ISBLANK(INDEX('Policy Characteristics'!D:D,MATCH($C801,'Policy Characteristics'!$C:$C,0))),"",INDEX('Policy Characteristics'!D:D,MATCH($C801,'Policy Characteristics'!$C:$C,0)))</f>
        <v>Hydrogen Combustion</v>
      </c>
      <c r="K801" s="275" t="str">
        <f>IF(ISBLANK(INDEX('Policy Characteristics'!E:E,MATCH($C801,'Policy Characteristics'!$C:$C,0))),"",INDEX('Policy Characteristics'!E:E,MATCH($C801,'Policy Characteristics'!$C:$C,0)))</f>
        <v>indst shift to hydrogen</v>
      </c>
      <c r="L801" s="283">
        <f>IF(ISBLANK(INDEX('Policy Characteristics'!F:F,MATCH($C801,'Policy Characteristics'!$C:$C,0))),"",INDEX('Policy Characteristics'!F:F,MATCH($C801,'Policy Characteristics'!$C:$C,0)))</f>
        <v>0</v>
      </c>
      <c r="M801" s="283">
        <f>IF(ISBLANK(INDEX('Policy Characteristics'!G:G,MATCH($C801,'Policy Characteristics'!$C:$C,0))),"",INDEX('Policy Characteristics'!G:G,MATCH($C801,'Policy Characteristics'!$C:$C,0)))</f>
        <v>1</v>
      </c>
      <c r="N801" s="283">
        <f>IF(ISBLANK(INDEX('Policy Characteristics'!H:H,MATCH($C801,'Policy Characteristics'!$C:$C,0))),"",INDEX('Policy Characteristics'!H:H,MATCH($C801,'Policy Characteristics'!$C:$C,0)))</f>
        <v>0.01</v>
      </c>
      <c r="O801" s="275" t="str">
        <f>IF(ISBLANK(INDEX('Policy Characteristics'!I:I,MATCH($C801,'Policy Characteristics'!$C:$C,0))),"",INDEX('Policy Characteristics'!I:I,MATCH($C801,'Policy Characteristics'!$C:$C,0)))</f>
        <v>% of fuel shifted</v>
      </c>
      <c r="P801" s="275" t="str">
        <f>IF(ISBLANK(INDEX('Policy Characteristics'!J:J,MATCH($C801,'Policy Characteristics'!$C:$C,0))),"",INDEX('Policy Characteristics'!J:J,MATCH($C801,'Policy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1" s="275" t="str">
        <f>IF(ISBLANK(INDEX('Policy Characteristics'!K:K,MATCH($C801,'Policy Characteristics'!$C:$C,0))),"",INDEX('Policy Characteristics'!K:K,MATCH($C801,'Policy Characteristics'!$C:$C,0)))</f>
        <v>industry-ag-main.html#fuel-switching</v>
      </c>
      <c r="R801" s="275" t="str">
        <f>IF(ISBLANK(INDEX('Policy Characteristics'!L:L,MATCH($C801,'Policy Characteristics'!$C:$C,0))),"",INDEX('Policy Characteristics'!L:L,MATCH($C801,'Policy Characteristics'!$C:$C,0)))</f>
        <v>industry-elec-and-hydrogen.html</v>
      </c>
    </row>
    <row r="802" spans="1:18" s="2" customFormat="1" x14ac:dyDescent="0.25">
      <c r="A802" s="275" t="str">
        <f>IF(ISBLANK(INDEX('Policy Characteristics'!A:A,MATCH($C802,'Policy Characteristics'!$C:$C,0))),"",INDEX('Policy Characteristics'!A:A,MATCH($C802,'Policy Characteristics'!$C:$C,0)))</f>
        <v>Industry</v>
      </c>
      <c r="B802" s="284" t="str">
        <f>IF(ISBLANK(INDEX('Policy Characteristics'!B:B,MATCH($C802,'Policy Characteristics'!$C:$C,0))),"",INDEX('Policy Characteristics'!B:B,MATCH($C802,'Policy Characteristics'!$C:$C,0)))</f>
        <v>Hydrogen Combustion</v>
      </c>
      <c r="C802" s="275" t="str">
        <f t="shared" si="37"/>
        <v>Fraction of Eligible Industrial Energy Use Shifted to Hydrogen</v>
      </c>
      <c r="D802" s="6" t="s">
        <v>3073</v>
      </c>
      <c r="E802" s="1" t="s">
        <v>3553</v>
      </c>
      <c r="F802" t="s">
        <v>3037</v>
      </c>
      <c r="G802" s="47" t="s">
        <v>3560</v>
      </c>
      <c r="H802" s="44">
        <v>2064</v>
      </c>
      <c r="I802" s="346" t="s">
        <v>44</v>
      </c>
      <c r="J802" s="276" t="str">
        <f>IF(ISBLANK(INDEX('Policy Characteristics'!D:D,MATCH($C802,'Policy Characteristics'!$C:$C,0))),"",INDEX('Policy Characteristics'!D:D,MATCH($C802,'Policy Characteristics'!$C:$C,0)))</f>
        <v>Hydrogen Combustion</v>
      </c>
      <c r="K802" s="275" t="str">
        <f>IF(ISBLANK(INDEX('Policy Characteristics'!E:E,MATCH($C802,'Policy Characteristics'!$C:$C,0))),"",INDEX('Policy Characteristics'!E:E,MATCH($C802,'Policy Characteristics'!$C:$C,0)))</f>
        <v>indst shift to hydrogen</v>
      </c>
      <c r="L802" s="283">
        <f>IF(ISBLANK(INDEX('Policy Characteristics'!F:F,MATCH($C802,'Policy Characteristics'!$C:$C,0))),"",INDEX('Policy Characteristics'!F:F,MATCH($C802,'Policy Characteristics'!$C:$C,0)))</f>
        <v>0</v>
      </c>
      <c r="M802" s="283">
        <f>IF(ISBLANK(INDEX('Policy Characteristics'!G:G,MATCH($C802,'Policy Characteristics'!$C:$C,0))),"",INDEX('Policy Characteristics'!G:G,MATCH($C802,'Policy Characteristics'!$C:$C,0)))</f>
        <v>1</v>
      </c>
      <c r="N802" s="283">
        <f>IF(ISBLANK(INDEX('Policy Characteristics'!H:H,MATCH($C802,'Policy Characteristics'!$C:$C,0))),"",INDEX('Policy Characteristics'!H:H,MATCH($C802,'Policy Characteristics'!$C:$C,0)))</f>
        <v>0.01</v>
      </c>
      <c r="O802" s="275" t="str">
        <f>IF(ISBLANK(INDEX('Policy Characteristics'!I:I,MATCH($C802,'Policy Characteristics'!$C:$C,0))),"",INDEX('Policy Characteristics'!I:I,MATCH($C802,'Policy Characteristics'!$C:$C,0)))</f>
        <v>% of fuel shifted</v>
      </c>
      <c r="P802" s="275" t="str">
        <f>IF(ISBLANK(INDEX('Policy Characteristics'!J:J,MATCH($C802,'Policy Characteristics'!$C:$C,0))),"",INDEX('Policy Characteristics'!J:J,MATCH($C802,'Policy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2" s="275" t="str">
        <f>IF(ISBLANK(INDEX('Policy Characteristics'!K:K,MATCH($C802,'Policy Characteristics'!$C:$C,0))),"",INDEX('Policy Characteristics'!K:K,MATCH($C802,'Policy Characteristics'!$C:$C,0)))</f>
        <v>industry-ag-main.html#fuel-switching</v>
      </c>
      <c r="R802" s="275" t="str">
        <f>IF(ISBLANK(INDEX('Policy Characteristics'!L:L,MATCH($C802,'Policy Characteristics'!$C:$C,0))),"",INDEX('Policy Characteristics'!L:L,MATCH($C802,'Policy Characteristics'!$C:$C,0)))</f>
        <v>industry-elec-and-hydrogen.html</v>
      </c>
    </row>
    <row r="803" spans="1:18" s="2" customFormat="1" x14ac:dyDescent="0.25">
      <c r="A803" s="275" t="str">
        <f>IF(ISBLANK(INDEX('Policy Characteristics'!A:A,MATCH($C803,'Policy Characteristics'!$C:$C,0))),"",INDEX('Policy Characteristics'!A:A,MATCH($C803,'Policy Characteristics'!$C:$C,0)))</f>
        <v>Industry</v>
      </c>
      <c r="B803" s="284" t="str">
        <f>IF(ISBLANK(INDEX('Policy Characteristics'!B:B,MATCH($C803,'Policy Characteristics'!$C:$C,0))),"",INDEX('Policy Characteristics'!B:B,MATCH($C803,'Policy Characteristics'!$C:$C,0)))</f>
        <v>Hydrogen Combustion</v>
      </c>
      <c r="C803" s="275" t="str">
        <f t="shared" si="37"/>
        <v>Fraction of Eligible Industrial Energy Use Shifted to Hydrogen</v>
      </c>
      <c r="D803" s="6" t="s">
        <v>3073</v>
      </c>
      <c r="E803" s="1" t="s">
        <v>3737</v>
      </c>
      <c r="F803" t="s">
        <v>3037</v>
      </c>
      <c r="G803" s="47" t="s">
        <v>3738</v>
      </c>
      <c r="H803" s="44">
        <v>2065</v>
      </c>
      <c r="I803" s="346" t="s">
        <v>44</v>
      </c>
      <c r="J803" s="276" t="str">
        <f>IF(ISBLANK(INDEX('Policy Characteristics'!D:D,MATCH($C803,'Policy Characteristics'!$C:$C,0))),"",INDEX('Policy Characteristics'!D:D,MATCH($C803,'Policy Characteristics'!$C:$C,0)))</f>
        <v>Hydrogen Combustion</v>
      </c>
      <c r="K803" s="275" t="str">
        <f>IF(ISBLANK(INDEX('Policy Characteristics'!E:E,MATCH($C803,'Policy Characteristics'!$C:$C,0))),"",INDEX('Policy Characteristics'!E:E,MATCH($C803,'Policy Characteristics'!$C:$C,0)))</f>
        <v>indst shift to hydrogen</v>
      </c>
      <c r="L803" s="283">
        <f>IF(ISBLANK(INDEX('Policy Characteristics'!F:F,MATCH($C803,'Policy Characteristics'!$C:$C,0))),"",INDEX('Policy Characteristics'!F:F,MATCH($C803,'Policy Characteristics'!$C:$C,0)))</f>
        <v>0</v>
      </c>
      <c r="M803" s="283">
        <f>IF(ISBLANK(INDEX('Policy Characteristics'!G:G,MATCH($C803,'Policy Characteristics'!$C:$C,0))),"",INDEX('Policy Characteristics'!G:G,MATCH($C803,'Policy Characteristics'!$C:$C,0)))</f>
        <v>1</v>
      </c>
      <c r="N803" s="283">
        <f>IF(ISBLANK(INDEX('Policy Characteristics'!H:H,MATCH($C803,'Policy Characteristics'!$C:$C,0))),"",INDEX('Policy Characteristics'!H:H,MATCH($C803,'Policy Characteristics'!$C:$C,0)))</f>
        <v>0.01</v>
      </c>
      <c r="O803" s="275" t="str">
        <f>IF(ISBLANK(INDEX('Policy Characteristics'!I:I,MATCH($C803,'Policy Characteristics'!$C:$C,0))),"",INDEX('Policy Characteristics'!I:I,MATCH($C803,'Policy Characteristics'!$C:$C,0)))</f>
        <v>% of fuel shifted</v>
      </c>
      <c r="P803" s="275" t="str">
        <f>IF(ISBLANK(INDEX('Policy Characteristics'!J:J,MATCH($C803,'Policy Characteristics'!$C:$C,0))),"",INDEX('Policy Characteristics'!J:J,MATCH($C803,'Policy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3" s="275" t="str">
        <f>IF(ISBLANK(INDEX('Policy Characteristics'!K:K,MATCH($C803,'Policy Characteristics'!$C:$C,0))),"",INDEX('Policy Characteristics'!K:K,MATCH($C803,'Policy Characteristics'!$C:$C,0)))</f>
        <v>industry-ag-main.html#fuel-switching</v>
      </c>
      <c r="R803" s="275" t="str">
        <f>IF(ISBLANK(INDEX('Policy Characteristics'!L:L,MATCH($C803,'Policy Characteristics'!$C:$C,0))),"",INDEX('Policy Characteristics'!L:L,MATCH($C803,'Policy Characteristics'!$C:$C,0)))</f>
        <v>industry-elec-and-hydrogen.html</v>
      </c>
    </row>
    <row r="804" spans="1:18" s="2" customFormat="1" x14ac:dyDescent="0.25">
      <c r="A804" s="275" t="str">
        <f>IF(ISBLANK(INDEX('Policy Characteristics'!A:A,MATCH($C804,'Policy Characteristics'!$C:$C,0))),"",INDEX('Policy Characteristics'!A:A,MATCH($C804,'Policy Characteristics'!$C:$C,0)))</f>
        <v>Industry</v>
      </c>
      <c r="B804" s="284" t="str">
        <f>IF(ISBLANK(INDEX('Policy Characteristics'!B:B,MATCH($C804,'Policy Characteristics'!$C:$C,0))),"",INDEX('Policy Characteristics'!B:B,MATCH($C804,'Policy Characteristics'!$C:$C,0)))</f>
        <v>Hydrogen Combustion</v>
      </c>
      <c r="C804" s="275" t="str">
        <f t="shared" si="37"/>
        <v>Fraction of Eligible Industrial Energy Use Shifted to Hydrogen</v>
      </c>
      <c r="D804" s="6" t="s">
        <v>3074</v>
      </c>
      <c r="E804" s="1" t="s">
        <v>3547</v>
      </c>
      <c r="F804" t="s">
        <v>3038</v>
      </c>
      <c r="G804" s="47" t="s">
        <v>3554</v>
      </c>
      <c r="H804" s="44">
        <v>2066</v>
      </c>
      <c r="I804" s="346" t="s">
        <v>43</v>
      </c>
      <c r="J804" s="276" t="str">
        <f>IF(ISBLANK(INDEX('Policy Characteristics'!D:D,MATCH($C804,'Policy Characteristics'!$C:$C,0))),"",INDEX('Policy Characteristics'!D:D,MATCH($C804,'Policy Characteristics'!$C:$C,0)))</f>
        <v>Hydrogen Combustion</v>
      </c>
      <c r="K804" s="275" t="str">
        <f>IF(ISBLANK(INDEX('Policy Characteristics'!E:E,MATCH($C804,'Policy Characteristics'!$C:$C,0))),"",INDEX('Policy Characteristics'!E:E,MATCH($C804,'Policy Characteristics'!$C:$C,0)))</f>
        <v>indst shift to hydrogen</v>
      </c>
      <c r="L804" s="283">
        <f>IF(ISBLANK(INDEX('Policy Characteristics'!F:F,MATCH($C804,'Policy Characteristics'!$C:$C,0))),"",INDEX('Policy Characteristics'!F:F,MATCH($C804,'Policy Characteristics'!$C:$C,0)))</f>
        <v>0</v>
      </c>
      <c r="M804" s="283">
        <f>IF(ISBLANK(INDEX('Policy Characteristics'!G:G,MATCH($C804,'Policy Characteristics'!$C:$C,0))),"",INDEX('Policy Characteristics'!G:G,MATCH($C804,'Policy Characteristics'!$C:$C,0)))</f>
        <v>1</v>
      </c>
      <c r="N804" s="283">
        <f>IF(ISBLANK(INDEX('Policy Characteristics'!H:H,MATCH($C804,'Policy Characteristics'!$C:$C,0))),"",INDEX('Policy Characteristics'!H:H,MATCH($C804,'Policy Characteristics'!$C:$C,0)))</f>
        <v>0.01</v>
      </c>
      <c r="O804" s="275" t="str">
        <f>IF(ISBLANK(INDEX('Policy Characteristics'!I:I,MATCH($C804,'Policy Characteristics'!$C:$C,0))),"",INDEX('Policy Characteristics'!I:I,MATCH($C804,'Policy Characteristics'!$C:$C,0)))</f>
        <v>% of fuel shifted</v>
      </c>
      <c r="P804" s="275" t="str">
        <f>IF(ISBLANK(INDEX('Policy Characteristics'!J:J,MATCH($C804,'Policy Characteristics'!$C:$C,0))),"",INDEX('Policy Characteristics'!J:J,MATCH($C804,'Policy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4" s="275" t="str">
        <f>IF(ISBLANK(INDEX('Policy Characteristics'!K:K,MATCH($C804,'Policy Characteristics'!$C:$C,0))),"",INDEX('Policy Characteristics'!K:K,MATCH($C804,'Policy Characteristics'!$C:$C,0)))</f>
        <v>industry-ag-main.html#fuel-switching</v>
      </c>
      <c r="R804" s="275" t="str">
        <f>IF(ISBLANK(INDEX('Policy Characteristics'!L:L,MATCH($C804,'Policy Characteristics'!$C:$C,0))),"",INDEX('Policy Characteristics'!L:L,MATCH($C804,'Policy Characteristics'!$C:$C,0)))</f>
        <v>industry-elec-and-hydrogen.html</v>
      </c>
    </row>
    <row r="805" spans="1:18" s="2" customFormat="1" x14ac:dyDescent="0.25">
      <c r="A805" s="275" t="str">
        <f>IF(ISBLANK(INDEX('Policy Characteristics'!A:A,MATCH($C805,'Policy Characteristics'!$C:$C,0))),"",INDEX('Policy Characteristics'!A:A,MATCH($C805,'Policy Characteristics'!$C:$C,0)))</f>
        <v>Industry</v>
      </c>
      <c r="B805" s="284" t="str">
        <f>IF(ISBLANK(INDEX('Policy Characteristics'!B:B,MATCH($C805,'Policy Characteristics'!$C:$C,0))),"",INDEX('Policy Characteristics'!B:B,MATCH($C805,'Policy Characteristics'!$C:$C,0)))</f>
        <v>Hydrogen Combustion</v>
      </c>
      <c r="C805" s="275" t="str">
        <f t="shared" si="37"/>
        <v>Fraction of Eligible Industrial Energy Use Shifted to Hydrogen</v>
      </c>
      <c r="D805" s="6" t="s">
        <v>3074</v>
      </c>
      <c r="E805" s="1" t="s">
        <v>3548</v>
      </c>
      <c r="F805" t="s">
        <v>3038</v>
      </c>
      <c r="G805" s="47" t="s">
        <v>3555</v>
      </c>
      <c r="H805" s="44">
        <v>2067</v>
      </c>
      <c r="I805" s="346" t="s">
        <v>43</v>
      </c>
      <c r="J805" s="276" t="str">
        <f>IF(ISBLANK(INDEX('Policy Characteristics'!D:D,MATCH($C805,'Policy Characteristics'!$C:$C,0))),"",INDEX('Policy Characteristics'!D:D,MATCH($C805,'Policy Characteristics'!$C:$C,0)))</f>
        <v>Hydrogen Combustion</v>
      </c>
      <c r="K805" s="275" t="str">
        <f>IF(ISBLANK(INDEX('Policy Characteristics'!E:E,MATCH($C805,'Policy Characteristics'!$C:$C,0))),"",INDEX('Policy Characteristics'!E:E,MATCH($C805,'Policy Characteristics'!$C:$C,0)))</f>
        <v>indst shift to hydrogen</v>
      </c>
      <c r="L805" s="283">
        <f>IF(ISBLANK(INDEX('Policy Characteristics'!F:F,MATCH($C805,'Policy Characteristics'!$C:$C,0))),"",INDEX('Policy Characteristics'!F:F,MATCH($C805,'Policy Characteristics'!$C:$C,0)))</f>
        <v>0</v>
      </c>
      <c r="M805" s="283">
        <f>IF(ISBLANK(INDEX('Policy Characteristics'!G:G,MATCH($C805,'Policy Characteristics'!$C:$C,0))),"",INDEX('Policy Characteristics'!G:G,MATCH($C805,'Policy Characteristics'!$C:$C,0)))</f>
        <v>1</v>
      </c>
      <c r="N805" s="283">
        <f>IF(ISBLANK(INDEX('Policy Characteristics'!H:H,MATCH($C805,'Policy Characteristics'!$C:$C,0))),"",INDEX('Policy Characteristics'!H:H,MATCH($C805,'Policy Characteristics'!$C:$C,0)))</f>
        <v>0.01</v>
      </c>
      <c r="O805" s="275" t="str">
        <f>IF(ISBLANK(INDEX('Policy Characteristics'!I:I,MATCH($C805,'Policy Characteristics'!$C:$C,0))),"",INDEX('Policy Characteristics'!I:I,MATCH($C805,'Policy Characteristics'!$C:$C,0)))</f>
        <v>% of fuel shifted</v>
      </c>
      <c r="P805" s="275" t="str">
        <f>IF(ISBLANK(INDEX('Policy Characteristics'!J:J,MATCH($C805,'Policy Characteristics'!$C:$C,0))),"",INDEX('Policy Characteristics'!J:J,MATCH($C805,'Policy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5" s="275" t="str">
        <f>IF(ISBLANK(INDEX('Policy Characteristics'!K:K,MATCH($C805,'Policy Characteristics'!$C:$C,0))),"",INDEX('Policy Characteristics'!K:K,MATCH($C805,'Policy Characteristics'!$C:$C,0)))</f>
        <v>industry-ag-main.html#fuel-switching</v>
      </c>
      <c r="R805" s="275" t="str">
        <f>IF(ISBLANK(INDEX('Policy Characteristics'!L:L,MATCH($C805,'Policy Characteristics'!$C:$C,0))),"",INDEX('Policy Characteristics'!L:L,MATCH($C805,'Policy Characteristics'!$C:$C,0)))</f>
        <v>industry-elec-and-hydrogen.html</v>
      </c>
    </row>
    <row r="806" spans="1:18" s="2" customFormat="1" x14ac:dyDescent="0.25">
      <c r="A806" s="275" t="str">
        <f>IF(ISBLANK(INDEX('Policy Characteristics'!A:A,MATCH($C806,'Policy Characteristics'!$C:$C,0))),"",INDEX('Policy Characteristics'!A:A,MATCH($C806,'Policy Characteristics'!$C:$C,0)))</f>
        <v>Industry</v>
      </c>
      <c r="B806" s="284" t="str">
        <f>IF(ISBLANK(INDEX('Policy Characteristics'!B:B,MATCH($C806,'Policy Characteristics'!$C:$C,0))),"",INDEX('Policy Characteristics'!B:B,MATCH($C806,'Policy Characteristics'!$C:$C,0)))</f>
        <v>Hydrogen Combustion</v>
      </c>
      <c r="C806" s="275" t="str">
        <f t="shared" si="37"/>
        <v>Fraction of Eligible Industrial Energy Use Shifted to Hydrogen</v>
      </c>
      <c r="D806" s="6" t="s">
        <v>3074</v>
      </c>
      <c r="E806" s="1" t="s">
        <v>3549</v>
      </c>
      <c r="F806" t="s">
        <v>3038</v>
      </c>
      <c r="G806" s="47" t="s">
        <v>3556</v>
      </c>
      <c r="H806" s="44">
        <v>2068</v>
      </c>
      <c r="I806" s="346" t="s">
        <v>43</v>
      </c>
      <c r="J806" s="276" t="str">
        <f>IF(ISBLANK(INDEX('Policy Characteristics'!D:D,MATCH($C806,'Policy Characteristics'!$C:$C,0))),"",INDEX('Policy Characteristics'!D:D,MATCH($C806,'Policy Characteristics'!$C:$C,0)))</f>
        <v>Hydrogen Combustion</v>
      </c>
      <c r="K806" s="275" t="str">
        <f>IF(ISBLANK(INDEX('Policy Characteristics'!E:E,MATCH($C806,'Policy Characteristics'!$C:$C,0))),"",INDEX('Policy Characteristics'!E:E,MATCH($C806,'Policy Characteristics'!$C:$C,0)))</f>
        <v>indst shift to hydrogen</v>
      </c>
      <c r="L806" s="283">
        <f>IF(ISBLANK(INDEX('Policy Characteristics'!F:F,MATCH($C806,'Policy Characteristics'!$C:$C,0))),"",INDEX('Policy Characteristics'!F:F,MATCH($C806,'Policy Characteristics'!$C:$C,0)))</f>
        <v>0</v>
      </c>
      <c r="M806" s="283">
        <f>IF(ISBLANK(INDEX('Policy Characteristics'!G:G,MATCH($C806,'Policy Characteristics'!$C:$C,0))),"",INDEX('Policy Characteristics'!G:G,MATCH($C806,'Policy Characteristics'!$C:$C,0)))</f>
        <v>1</v>
      </c>
      <c r="N806" s="283">
        <f>IF(ISBLANK(INDEX('Policy Characteristics'!H:H,MATCH($C806,'Policy Characteristics'!$C:$C,0))),"",INDEX('Policy Characteristics'!H:H,MATCH($C806,'Policy Characteristics'!$C:$C,0)))</f>
        <v>0.01</v>
      </c>
      <c r="O806" s="275" t="str">
        <f>IF(ISBLANK(INDEX('Policy Characteristics'!I:I,MATCH($C806,'Policy Characteristics'!$C:$C,0))),"",INDEX('Policy Characteristics'!I:I,MATCH($C806,'Policy Characteristics'!$C:$C,0)))</f>
        <v>% of fuel shifted</v>
      </c>
      <c r="P806" s="275" t="str">
        <f>IF(ISBLANK(INDEX('Policy Characteristics'!J:J,MATCH($C806,'Policy Characteristics'!$C:$C,0))),"",INDEX('Policy Characteristics'!J:J,MATCH($C806,'Policy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6" s="275" t="str">
        <f>IF(ISBLANK(INDEX('Policy Characteristics'!K:K,MATCH($C806,'Policy Characteristics'!$C:$C,0))),"",INDEX('Policy Characteristics'!K:K,MATCH($C806,'Policy Characteristics'!$C:$C,0)))</f>
        <v>industry-ag-main.html#fuel-switching</v>
      </c>
      <c r="R806" s="275" t="str">
        <f>IF(ISBLANK(INDEX('Policy Characteristics'!L:L,MATCH($C806,'Policy Characteristics'!$C:$C,0))),"",INDEX('Policy Characteristics'!L:L,MATCH($C806,'Policy Characteristics'!$C:$C,0)))</f>
        <v>industry-elec-and-hydrogen.html</v>
      </c>
    </row>
    <row r="807" spans="1:18" s="2" customFormat="1" x14ac:dyDescent="0.25">
      <c r="A807" s="275" t="str">
        <f>IF(ISBLANK(INDEX('Policy Characteristics'!A:A,MATCH($C807,'Policy Characteristics'!$C:$C,0))),"",INDEX('Policy Characteristics'!A:A,MATCH($C807,'Policy Characteristics'!$C:$C,0)))</f>
        <v>Industry</v>
      </c>
      <c r="B807" s="284" t="str">
        <f>IF(ISBLANK(INDEX('Policy Characteristics'!B:B,MATCH($C807,'Policy Characteristics'!$C:$C,0))),"",INDEX('Policy Characteristics'!B:B,MATCH($C807,'Policy Characteristics'!$C:$C,0)))</f>
        <v>Hydrogen Combustion</v>
      </c>
      <c r="C807" s="275" t="str">
        <f t="shared" si="37"/>
        <v>Fraction of Eligible Industrial Energy Use Shifted to Hydrogen</v>
      </c>
      <c r="D807" s="6" t="s">
        <v>3074</v>
      </c>
      <c r="E807" s="1" t="s">
        <v>3550</v>
      </c>
      <c r="F807" t="s">
        <v>3038</v>
      </c>
      <c r="G807" s="47" t="s">
        <v>3557</v>
      </c>
      <c r="H807" s="44">
        <v>2069</v>
      </c>
      <c r="I807" s="346" t="s">
        <v>44</v>
      </c>
      <c r="J807" s="276" t="str">
        <f>IF(ISBLANK(INDEX('Policy Characteristics'!D:D,MATCH($C807,'Policy Characteristics'!$C:$C,0))),"",INDEX('Policy Characteristics'!D:D,MATCH($C807,'Policy Characteristics'!$C:$C,0)))</f>
        <v>Hydrogen Combustion</v>
      </c>
      <c r="K807" s="275" t="str">
        <f>IF(ISBLANK(INDEX('Policy Characteristics'!E:E,MATCH($C807,'Policy Characteristics'!$C:$C,0))),"",INDEX('Policy Characteristics'!E:E,MATCH($C807,'Policy Characteristics'!$C:$C,0)))</f>
        <v>indst shift to hydrogen</v>
      </c>
      <c r="L807" s="283">
        <f>IF(ISBLANK(INDEX('Policy Characteristics'!F:F,MATCH($C807,'Policy Characteristics'!$C:$C,0))),"",INDEX('Policy Characteristics'!F:F,MATCH($C807,'Policy Characteristics'!$C:$C,0)))</f>
        <v>0</v>
      </c>
      <c r="M807" s="283">
        <f>IF(ISBLANK(INDEX('Policy Characteristics'!G:G,MATCH($C807,'Policy Characteristics'!$C:$C,0))),"",INDEX('Policy Characteristics'!G:G,MATCH($C807,'Policy Characteristics'!$C:$C,0)))</f>
        <v>1</v>
      </c>
      <c r="N807" s="283">
        <f>IF(ISBLANK(INDEX('Policy Characteristics'!H:H,MATCH($C807,'Policy Characteristics'!$C:$C,0))),"",INDEX('Policy Characteristics'!H:H,MATCH($C807,'Policy Characteristics'!$C:$C,0)))</f>
        <v>0.01</v>
      </c>
      <c r="O807" s="275" t="str">
        <f>IF(ISBLANK(INDEX('Policy Characteristics'!I:I,MATCH($C807,'Policy Characteristics'!$C:$C,0))),"",INDEX('Policy Characteristics'!I:I,MATCH($C807,'Policy Characteristics'!$C:$C,0)))</f>
        <v>% of fuel shifted</v>
      </c>
      <c r="P807" s="275" t="str">
        <f>IF(ISBLANK(INDEX('Policy Characteristics'!J:J,MATCH($C807,'Policy Characteristics'!$C:$C,0))),"",INDEX('Policy Characteristics'!J:J,MATCH($C807,'Policy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7" s="275" t="str">
        <f>IF(ISBLANK(INDEX('Policy Characteristics'!K:K,MATCH($C807,'Policy Characteristics'!$C:$C,0))),"",INDEX('Policy Characteristics'!K:K,MATCH($C807,'Policy Characteristics'!$C:$C,0)))</f>
        <v>industry-ag-main.html#fuel-switching</v>
      </c>
      <c r="R807" s="275" t="str">
        <f>IF(ISBLANK(INDEX('Policy Characteristics'!L:L,MATCH($C807,'Policy Characteristics'!$C:$C,0))),"",INDEX('Policy Characteristics'!L:L,MATCH($C807,'Policy Characteristics'!$C:$C,0)))</f>
        <v>industry-elec-and-hydrogen.html</v>
      </c>
    </row>
    <row r="808" spans="1:18" s="2" customFormat="1" x14ac:dyDescent="0.25">
      <c r="A808" s="275" t="str">
        <f>IF(ISBLANK(INDEX('Policy Characteristics'!A:A,MATCH($C808,'Policy Characteristics'!$C:$C,0))),"",INDEX('Policy Characteristics'!A:A,MATCH($C808,'Policy Characteristics'!$C:$C,0)))</f>
        <v>Industry</v>
      </c>
      <c r="B808" s="284" t="str">
        <f>IF(ISBLANK(INDEX('Policy Characteristics'!B:B,MATCH($C808,'Policy Characteristics'!$C:$C,0))),"",INDEX('Policy Characteristics'!B:B,MATCH($C808,'Policy Characteristics'!$C:$C,0)))</f>
        <v>Hydrogen Combustion</v>
      </c>
      <c r="C808" s="275" t="str">
        <f t="shared" si="37"/>
        <v>Fraction of Eligible Industrial Energy Use Shifted to Hydrogen</v>
      </c>
      <c r="D808" s="6" t="s">
        <v>3074</v>
      </c>
      <c r="E808" s="1" t="s">
        <v>3551</v>
      </c>
      <c r="F808" t="s">
        <v>3038</v>
      </c>
      <c r="G808" s="47" t="s">
        <v>3558</v>
      </c>
      <c r="H808" s="44">
        <v>2070</v>
      </c>
      <c r="I808" s="346" t="s">
        <v>43</v>
      </c>
      <c r="J808" s="276" t="str">
        <f>IF(ISBLANK(INDEX('Policy Characteristics'!D:D,MATCH($C808,'Policy Characteristics'!$C:$C,0))),"",INDEX('Policy Characteristics'!D:D,MATCH($C808,'Policy Characteristics'!$C:$C,0)))</f>
        <v>Hydrogen Combustion</v>
      </c>
      <c r="K808" s="275" t="str">
        <f>IF(ISBLANK(INDEX('Policy Characteristics'!E:E,MATCH($C808,'Policy Characteristics'!$C:$C,0))),"",INDEX('Policy Characteristics'!E:E,MATCH($C808,'Policy Characteristics'!$C:$C,0)))</f>
        <v>indst shift to hydrogen</v>
      </c>
      <c r="L808" s="283">
        <f>IF(ISBLANK(INDEX('Policy Characteristics'!F:F,MATCH($C808,'Policy Characteristics'!$C:$C,0))),"",INDEX('Policy Characteristics'!F:F,MATCH($C808,'Policy Characteristics'!$C:$C,0)))</f>
        <v>0</v>
      </c>
      <c r="M808" s="283">
        <f>IF(ISBLANK(INDEX('Policy Characteristics'!G:G,MATCH($C808,'Policy Characteristics'!$C:$C,0))),"",INDEX('Policy Characteristics'!G:G,MATCH($C808,'Policy Characteristics'!$C:$C,0)))</f>
        <v>1</v>
      </c>
      <c r="N808" s="283">
        <f>IF(ISBLANK(INDEX('Policy Characteristics'!H:H,MATCH($C808,'Policy Characteristics'!$C:$C,0))),"",INDEX('Policy Characteristics'!H:H,MATCH($C808,'Policy Characteristics'!$C:$C,0)))</f>
        <v>0.01</v>
      </c>
      <c r="O808" s="275" t="str">
        <f>IF(ISBLANK(INDEX('Policy Characteristics'!I:I,MATCH($C808,'Policy Characteristics'!$C:$C,0))),"",INDEX('Policy Characteristics'!I:I,MATCH($C808,'Policy Characteristics'!$C:$C,0)))</f>
        <v>% of fuel shifted</v>
      </c>
      <c r="P808" s="275" t="str">
        <f>IF(ISBLANK(INDEX('Policy Characteristics'!J:J,MATCH($C808,'Policy Characteristics'!$C:$C,0))),"",INDEX('Policy Characteristics'!J:J,MATCH($C808,'Policy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8" s="275" t="str">
        <f>IF(ISBLANK(INDEX('Policy Characteristics'!K:K,MATCH($C808,'Policy Characteristics'!$C:$C,0))),"",INDEX('Policy Characteristics'!K:K,MATCH($C808,'Policy Characteristics'!$C:$C,0)))</f>
        <v>industry-ag-main.html#fuel-switching</v>
      </c>
      <c r="R808" s="275" t="str">
        <f>IF(ISBLANK(INDEX('Policy Characteristics'!L:L,MATCH($C808,'Policy Characteristics'!$C:$C,0))),"",INDEX('Policy Characteristics'!L:L,MATCH($C808,'Policy Characteristics'!$C:$C,0)))</f>
        <v>industry-elec-and-hydrogen.html</v>
      </c>
    </row>
    <row r="809" spans="1:18" s="2" customFormat="1" x14ac:dyDescent="0.25">
      <c r="A809" s="275" t="str">
        <f>IF(ISBLANK(INDEX('Policy Characteristics'!A:A,MATCH($C809,'Policy Characteristics'!$C:$C,0))),"",INDEX('Policy Characteristics'!A:A,MATCH($C809,'Policy Characteristics'!$C:$C,0)))</f>
        <v>Industry</v>
      </c>
      <c r="B809" s="284" t="str">
        <f>IF(ISBLANK(INDEX('Policy Characteristics'!B:B,MATCH($C809,'Policy Characteristics'!$C:$C,0))),"",INDEX('Policy Characteristics'!B:B,MATCH($C809,'Policy Characteristics'!$C:$C,0)))</f>
        <v>Hydrogen Combustion</v>
      </c>
      <c r="C809" s="275" t="str">
        <f t="shared" si="37"/>
        <v>Fraction of Eligible Industrial Energy Use Shifted to Hydrogen</v>
      </c>
      <c r="D809" s="6" t="s">
        <v>3074</v>
      </c>
      <c r="E809" s="1" t="s">
        <v>3552</v>
      </c>
      <c r="F809" t="s">
        <v>3038</v>
      </c>
      <c r="G809" s="47" t="s">
        <v>3559</v>
      </c>
      <c r="H809" s="44">
        <v>2071</v>
      </c>
      <c r="I809" s="346" t="s">
        <v>43</v>
      </c>
      <c r="J809" s="276" t="str">
        <f>IF(ISBLANK(INDEX('Policy Characteristics'!D:D,MATCH($C809,'Policy Characteristics'!$C:$C,0))),"",INDEX('Policy Characteristics'!D:D,MATCH($C809,'Policy Characteristics'!$C:$C,0)))</f>
        <v>Hydrogen Combustion</v>
      </c>
      <c r="K809" s="275" t="str">
        <f>IF(ISBLANK(INDEX('Policy Characteristics'!E:E,MATCH($C809,'Policy Characteristics'!$C:$C,0))),"",INDEX('Policy Characteristics'!E:E,MATCH($C809,'Policy Characteristics'!$C:$C,0)))</f>
        <v>indst shift to hydrogen</v>
      </c>
      <c r="L809" s="283">
        <f>IF(ISBLANK(INDEX('Policy Characteristics'!F:F,MATCH($C809,'Policy Characteristics'!$C:$C,0))),"",INDEX('Policy Characteristics'!F:F,MATCH($C809,'Policy Characteristics'!$C:$C,0)))</f>
        <v>0</v>
      </c>
      <c r="M809" s="283">
        <f>IF(ISBLANK(INDEX('Policy Characteristics'!G:G,MATCH($C809,'Policy Characteristics'!$C:$C,0))),"",INDEX('Policy Characteristics'!G:G,MATCH($C809,'Policy Characteristics'!$C:$C,0)))</f>
        <v>1</v>
      </c>
      <c r="N809" s="283">
        <f>IF(ISBLANK(INDEX('Policy Characteristics'!H:H,MATCH($C809,'Policy Characteristics'!$C:$C,0))),"",INDEX('Policy Characteristics'!H:H,MATCH($C809,'Policy Characteristics'!$C:$C,0)))</f>
        <v>0.01</v>
      </c>
      <c r="O809" s="275" t="str">
        <f>IF(ISBLANK(INDEX('Policy Characteristics'!I:I,MATCH($C809,'Policy Characteristics'!$C:$C,0))),"",INDEX('Policy Characteristics'!I:I,MATCH($C809,'Policy Characteristics'!$C:$C,0)))</f>
        <v>% of fuel shifted</v>
      </c>
      <c r="P809" s="275" t="str">
        <f>IF(ISBLANK(INDEX('Policy Characteristics'!J:J,MATCH($C809,'Policy Characteristics'!$C:$C,0))),"",INDEX('Policy Characteristics'!J:J,MATCH($C809,'Policy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9" s="275" t="str">
        <f>IF(ISBLANK(INDEX('Policy Characteristics'!K:K,MATCH($C809,'Policy Characteristics'!$C:$C,0))),"",INDEX('Policy Characteristics'!K:K,MATCH($C809,'Policy Characteristics'!$C:$C,0)))</f>
        <v>industry-ag-main.html#fuel-switching</v>
      </c>
      <c r="R809" s="275" t="str">
        <f>IF(ISBLANK(INDEX('Policy Characteristics'!L:L,MATCH($C809,'Policy Characteristics'!$C:$C,0))),"",INDEX('Policy Characteristics'!L:L,MATCH($C809,'Policy Characteristics'!$C:$C,0)))</f>
        <v>industry-elec-and-hydrogen.html</v>
      </c>
    </row>
    <row r="810" spans="1:18" s="2" customFormat="1" x14ac:dyDescent="0.25">
      <c r="A810" s="275" t="str">
        <f>IF(ISBLANK(INDEX('Policy Characteristics'!A:A,MATCH($C810,'Policy Characteristics'!$C:$C,0))),"",INDEX('Policy Characteristics'!A:A,MATCH($C810,'Policy Characteristics'!$C:$C,0)))</f>
        <v>Industry</v>
      </c>
      <c r="B810" s="284" t="str">
        <f>IF(ISBLANK(INDEX('Policy Characteristics'!B:B,MATCH($C810,'Policy Characteristics'!$C:$C,0))),"",INDEX('Policy Characteristics'!B:B,MATCH($C810,'Policy Characteristics'!$C:$C,0)))</f>
        <v>Hydrogen Combustion</v>
      </c>
      <c r="C810" s="275" t="str">
        <f t="shared" si="37"/>
        <v>Fraction of Eligible Industrial Energy Use Shifted to Hydrogen</v>
      </c>
      <c r="D810" s="6" t="s">
        <v>3074</v>
      </c>
      <c r="E810" s="1" t="s">
        <v>3553</v>
      </c>
      <c r="F810" t="s">
        <v>3038</v>
      </c>
      <c r="G810" s="47" t="s">
        <v>3560</v>
      </c>
      <c r="H810" s="44">
        <v>2072</v>
      </c>
      <c r="I810" s="346" t="s">
        <v>44</v>
      </c>
      <c r="J810" s="276" t="str">
        <f>IF(ISBLANK(INDEX('Policy Characteristics'!D:D,MATCH($C810,'Policy Characteristics'!$C:$C,0))),"",INDEX('Policy Characteristics'!D:D,MATCH($C810,'Policy Characteristics'!$C:$C,0)))</f>
        <v>Hydrogen Combustion</v>
      </c>
      <c r="K810" s="275" t="str">
        <f>IF(ISBLANK(INDEX('Policy Characteristics'!E:E,MATCH($C810,'Policy Characteristics'!$C:$C,0))),"",INDEX('Policy Characteristics'!E:E,MATCH($C810,'Policy Characteristics'!$C:$C,0)))</f>
        <v>indst shift to hydrogen</v>
      </c>
      <c r="L810" s="283">
        <f>IF(ISBLANK(INDEX('Policy Characteristics'!F:F,MATCH($C810,'Policy Characteristics'!$C:$C,0))),"",INDEX('Policy Characteristics'!F:F,MATCH($C810,'Policy Characteristics'!$C:$C,0)))</f>
        <v>0</v>
      </c>
      <c r="M810" s="283">
        <f>IF(ISBLANK(INDEX('Policy Characteristics'!G:G,MATCH($C810,'Policy Characteristics'!$C:$C,0))),"",INDEX('Policy Characteristics'!G:G,MATCH($C810,'Policy Characteristics'!$C:$C,0)))</f>
        <v>1</v>
      </c>
      <c r="N810" s="283">
        <f>IF(ISBLANK(INDEX('Policy Characteristics'!H:H,MATCH($C810,'Policy Characteristics'!$C:$C,0))),"",INDEX('Policy Characteristics'!H:H,MATCH($C810,'Policy Characteristics'!$C:$C,0)))</f>
        <v>0.01</v>
      </c>
      <c r="O810" s="275" t="str">
        <f>IF(ISBLANK(INDEX('Policy Characteristics'!I:I,MATCH($C810,'Policy Characteristics'!$C:$C,0))),"",INDEX('Policy Characteristics'!I:I,MATCH($C810,'Policy Characteristics'!$C:$C,0)))</f>
        <v>% of fuel shifted</v>
      </c>
      <c r="P810" s="275" t="str">
        <f>IF(ISBLANK(INDEX('Policy Characteristics'!J:J,MATCH($C810,'Policy Characteristics'!$C:$C,0))),"",INDEX('Policy Characteristics'!J:J,MATCH($C810,'Policy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0" s="275" t="str">
        <f>IF(ISBLANK(INDEX('Policy Characteristics'!K:K,MATCH($C810,'Policy Characteristics'!$C:$C,0))),"",INDEX('Policy Characteristics'!K:K,MATCH($C810,'Policy Characteristics'!$C:$C,0)))</f>
        <v>industry-ag-main.html#fuel-switching</v>
      </c>
      <c r="R810" s="275" t="str">
        <f>IF(ISBLANK(INDEX('Policy Characteristics'!L:L,MATCH($C810,'Policy Characteristics'!$C:$C,0))),"",INDEX('Policy Characteristics'!L:L,MATCH($C810,'Policy Characteristics'!$C:$C,0)))</f>
        <v>industry-elec-and-hydrogen.html</v>
      </c>
    </row>
    <row r="811" spans="1:18" s="2" customFormat="1" x14ac:dyDescent="0.25">
      <c r="A811" s="275" t="str">
        <f>IF(ISBLANK(INDEX('Policy Characteristics'!A:A,MATCH($C811,'Policy Characteristics'!$C:$C,0))),"",INDEX('Policy Characteristics'!A:A,MATCH($C811,'Policy Characteristics'!$C:$C,0)))</f>
        <v>Industry</v>
      </c>
      <c r="B811" s="284" t="str">
        <f>IF(ISBLANK(INDEX('Policy Characteristics'!B:B,MATCH($C811,'Policy Characteristics'!$C:$C,0))),"",INDEX('Policy Characteristics'!B:B,MATCH($C811,'Policy Characteristics'!$C:$C,0)))</f>
        <v>Hydrogen Combustion</v>
      </c>
      <c r="C811" s="275" t="str">
        <f t="shared" si="37"/>
        <v>Fraction of Eligible Industrial Energy Use Shifted to Hydrogen</v>
      </c>
      <c r="D811" s="6" t="s">
        <v>3074</v>
      </c>
      <c r="E811" s="1" t="s">
        <v>3737</v>
      </c>
      <c r="F811" t="s">
        <v>3038</v>
      </c>
      <c r="G811" s="47" t="s">
        <v>3738</v>
      </c>
      <c r="H811" s="44">
        <v>2073</v>
      </c>
      <c r="I811" s="346" t="s">
        <v>43</v>
      </c>
      <c r="J811" s="276" t="str">
        <f>IF(ISBLANK(INDEX('Policy Characteristics'!D:D,MATCH($C811,'Policy Characteristics'!$C:$C,0))),"",INDEX('Policy Characteristics'!D:D,MATCH($C811,'Policy Characteristics'!$C:$C,0)))</f>
        <v>Hydrogen Combustion</v>
      </c>
      <c r="K811" s="275" t="str">
        <f>IF(ISBLANK(INDEX('Policy Characteristics'!E:E,MATCH($C811,'Policy Characteristics'!$C:$C,0))),"",INDEX('Policy Characteristics'!E:E,MATCH($C811,'Policy Characteristics'!$C:$C,0)))</f>
        <v>indst shift to hydrogen</v>
      </c>
      <c r="L811" s="283">
        <f>IF(ISBLANK(INDEX('Policy Characteristics'!F:F,MATCH($C811,'Policy Characteristics'!$C:$C,0))),"",INDEX('Policy Characteristics'!F:F,MATCH($C811,'Policy Characteristics'!$C:$C,0)))</f>
        <v>0</v>
      </c>
      <c r="M811" s="283">
        <f>IF(ISBLANK(INDEX('Policy Characteristics'!G:G,MATCH($C811,'Policy Characteristics'!$C:$C,0))),"",INDEX('Policy Characteristics'!G:G,MATCH($C811,'Policy Characteristics'!$C:$C,0)))</f>
        <v>1</v>
      </c>
      <c r="N811" s="283">
        <f>IF(ISBLANK(INDEX('Policy Characteristics'!H:H,MATCH($C811,'Policy Characteristics'!$C:$C,0))),"",INDEX('Policy Characteristics'!H:H,MATCH($C811,'Policy Characteristics'!$C:$C,0)))</f>
        <v>0.01</v>
      </c>
      <c r="O811" s="275" t="str">
        <f>IF(ISBLANK(INDEX('Policy Characteristics'!I:I,MATCH($C811,'Policy Characteristics'!$C:$C,0))),"",INDEX('Policy Characteristics'!I:I,MATCH($C811,'Policy Characteristics'!$C:$C,0)))</f>
        <v>% of fuel shifted</v>
      </c>
      <c r="P811" s="275" t="str">
        <f>IF(ISBLANK(INDEX('Policy Characteristics'!J:J,MATCH($C811,'Policy Characteristics'!$C:$C,0))),"",INDEX('Policy Characteristics'!J:J,MATCH($C811,'Policy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1" s="275" t="str">
        <f>IF(ISBLANK(INDEX('Policy Characteristics'!K:K,MATCH($C811,'Policy Characteristics'!$C:$C,0))),"",INDEX('Policy Characteristics'!K:K,MATCH($C811,'Policy Characteristics'!$C:$C,0)))</f>
        <v>industry-ag-main.html#fuel-switching</v>
      </c>
      <c r="R811" s="275" t="str">
        <f>IF(ISBLANK(INDEX('Policy Characteristics'!L:L,MATCH($C811,'Policy Characteristics'!$C:$C,0))),"",INDEX('Policy Characteristics'!L:L,MATCH($C811,'Policy Characteristics'!$C:$C,0)))</f>
        <v>industry-elec-and-hydrogen.html</v>
      </c>
    </row>
    <row r="812" spans="1:18" s="2" customFormat="1" x14ac:dyDescent="0.25">
      <c r="A812" s="275" t="str">
        <f>IF(ISBLANK(INDEX('Policy Characteristics'!A:A,MATCH($C812,'Policy Characteristics'!$C:$C,0))),"",INDEX('Policy Characteristics'!A:A,MATCH($C812,'Policy Characteristics'!$C:$C,0)))</f>
        <v>Industry</v>
      </c>
      <c r="B812" s="284" t="str">
        <f>IF(ISBLANK(INDEX('Policy Characteristics'!B:B,MATCH($C812,'Policy Characteristics'!$C:$C,0))),"",INDEX('Policy Characteristics'!B:B,MATCH($C812,'Policy Characteristics'!$C:$C,0)))</f>
        <v>Hydrogen Combustion</v>
      </c>
      <c r="C812" s="275" t="str">
        <f t="shared" si="37"/>
        <v>Fraction of Eligible Industrial Energy Use Shifted to Hydrogen</v>
      </c>
      <c r="D812" s="6" t="s">
        <v>3075</v>
      </c>
      <c r="E812" s="1" t="s">
        <v>3547</v>
      </c>
      <c r="F812" t="s">
        <v>3039</v>
      </c>
      <c r="G812" s="47" t="s">
        <v>3554</v>
      </c>
      <c r="H812" s="44">
        <v>2074</v>
      </c>
      <c r="I812" s="346" t="s">
        <v>43</v>
      </c>
      <c r="J812" s="276" t="str">
        <f>IF(ISBLANK(INDEX('Policy Characteristics'!D:D,MATCH($C812,'Policy Characteristics'!$C:$C,0))),"",INDEX('Policy Characteristics'!D:D,MATCH($C812,'Policy Characteristics'!$C:$C,0)))</f>
        <v>Hydrogen Combustion</v>
      </c>
      <c r="K812" s="275" t="str">
        <f>IF(ISBLANK(INDEX('Policy Characteristics'!E:E,MATCH($C812,'Policy Characteristics'!$C:$C,0))),"",INDEX('Policy Characteristics'!E:E,MATCH($C812,'Policy Characteristics'!$C:$C,0)))</f>
        <v>indst shift to hydrogen</v>
      </c>
      <c r="L812" s="283">
        <f>IF(ISBLANK(INDEX('Policy Characteristics'!F:F,MATCH($C812,'Policy Characteristics'!$C:$C,0))),"",INDEX('Policy Characteristics'!F:F,MATCH($C812,'Policy Characteristics'!$C:$C,0)))</f>
        <v>0</v>
      </c>
      <c r="M812" s="283">
        <f>IF(ISBLANK(INDEX('Policy Characteristics'!G:G,MATCH($C812,'Policy Characteristics'!$C:$C,0))),"",INDEX('Policy Characteristics'!G:G,MATCH($C812,'Policy Characteristics'!$C:$C,0)))</f>
        <v>1</v>
      </c>
      <c r="N812" s="283">
        <f>IF(ISBLANK(INDEX('Policy Characteristics'!H:H,MATCH($C812,'Policy Characteristics'!$C:$C,0))),"",INDEX('Policy Characteristics'!H:H,MATCH($C812,'Policy Characteristics'!$C:$C,0)))</f>
        <v>0.01</v>
      </c>
      <c r="O812" s="275" t="str">
        <f>IF(ISBLANK(INDEX('Policy Characteristics'!I:I,MATCH($C812,'Policy Characteristics'!$C:$C,0))),"",INDEX('Policy Characteristics'!I:I,MATCH($C812,'Policy Characteristics'!$C:$C,0)))</f>
        <v>% of fuel shifted</v>
      </c>
      <c r="P812" s="275" t="str">
        <f>IF(ISBLANK(INDEX('Policy Characteristics'!J:J,MATCH($C812,'Policy Characteristics'!$C:$C,0))),"",INDEX('Policy Characteristics'!J:J,MATCH($C812,'Policy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2" s="275" t="str">
        <f>IF(ISBLANK(INDEX('Policy Characteristics'!K:K,MATCH($C812,'Policy Characteristics'!$C:$C,0))),"",INDEX('Policy Characteristics'!K:K,MATCH($C812,'Policy Characteristics'!$C:$C,0)))</f>
        <v>industry-ag-main.html#fuel-switching</v>
      </c>
      <c r="R812" s="275" t="str">
        <f>IF(ISBLANK(INDEX('Policy Characteristics'!L:L,MATCH($C812,'Policy Characteristics'!$C:$C,0))),"",INDEX('Policy Characteristics'!L:L,MATCH($C812,'Policy Characteristics'!$C:$C,0)))</f>
        <v>industry-elec-and-hydrogen.html</v>
      </c>
    </row>
    <row r="813" spans="1:18" s="2" customFormat="1" x14ac:dyDescent="0.25">
      <c r="A813" s="275" t="str">
        <f>IF(ISBLANK(INDEX('Policy Characteristics'!A:A,MATCH($C813,'Policy Characteristics'!$C:$C,0))),"",INDEX('Policy Characteristics'!A:A,MATCH($C813,'Policy Characteristics'!$C:$C,0)))</f>
        <v>Industry</v>
      </c>
      <c r="B813" s="284" t="str">
        <f>IF(ISBLANK(INDEX('Policy Characteristics'!B:B,MATCH($C813,'Policy Characteristics'!$C:$C,0))),"",INDEX('Policy Characteristics'!B:B,MATCH($C813,'Policy Characteristics'!$C:$C,0)))</f>
        <v>Hydrogen Combustion</v>
      </c>
      <c r="C813" s="275" t="str">
        <f t="shared" si="37"/>
        <v>Fraction of Eligible Industrial Energy Use Shifted to Hydrogen</v>
      </c>
      <c r="D813" s="6" t="s">
        <v>3075</v>
      </c>
      <c r="E813" s="1" t="s">
        <v>3548</v>
      </c>
      <c r="F813" t="s">
        <v>3039</v>
      </c>
      <c r="G813" s="47" t="s">
        <v>3555</v>
      </c>
      <c r="H813" s="44">
        <v>2075</v>
      </c>
      <c r="I813" s="346" t="s">
        <v>43</v>
      </c>
      <c r="J813" s="276" t="str">
        <f>IF(ISBLANK(INDEX('Policy Characteristics'!D:D,MATCH($C813,'Policy Characteristics'!$C:$C,0))),"",INDEX('Policy Characteristics'!D:D,MATCH($C813,'Policy Characteristics'!$C:$C,0)))</f>
        <v>Hydrogen Combustion</v>
      </c>
      <c r="K813" s="275" t="str">
        <f>IF(ISBLANK(INDEX('Policy Characteristics'!E:E,MATCH($C813,'Policy Characteristics'!$C:$C,0))),"",INDEX('Policy Characteristics'!E:E,MATCH($C813,'Policy Characteristics'!$C:$C,0)))</f>
        <v>indst shift to hydrogen</v>
      </c>
      <c r="L813" s="283">
        <f>IF(ISBLANK(INDEX('Policy Characteristics'!F:F,MATCH($C813,'Policy Characteristics'!$C:$C,0))),"",INDEX('Policy Characteristics'!F:F,MATCH($C813,'Policy Characteristics'!$C:$C,0)))</f>
        <v>0</v>
      </c>
      <c r="M813" s="283">
        <f>IF(ISBLANK(INDEX('Policy Characteristics'!G:G,MATCH($C813,'Policy Characteristics'!$C:$C,0))),"",INDEX('Policy Characteristics'!G:G,MATCH($C813,'Policy Characteristics'!$C:$C,0)))</f>
        <v>1</v>
      </c>
      <c r="N813" s="283">
        <f>IF(ISBLANK(INDEX('Policy Characteristics'!H:H,MATCH($C813,'Policy Characteristics'!$C:$C,0))),"",INDEX('Policy Characteristics'!H:H,MATCH($C813,'Policy Characteristics'!$C:$C,0)))</f>
        <v>0.01</v>
      </c>
      <c r="O813" s="275" t="str">
        <f>IF(ISBLANK(INDEX('Policy Characteristics'!I:I,MATCH($C813,'Policy Characteristics'!$C:$C,0))),"",INDEX('Policy Characteristics'!I:I,MATCH($C813,'Policy Characteristics'!$C:$C,0)))</f>
        <v>% of fuel shifted</v>
      </c>
      <c r="P813" s="275" t="str">
        <f>IF(ISBLANK(INDEX('Policy Characteristics'!J:J,MATCH($C813,'Policy Characteristics'!$C:$C,0))),"",INDEX('Policy Characteristics'!J:J,MATCH($C813,'Policy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3" s="275" t="str">
        <f>IF(ISBLANK(INDEX('Policy Characteristics'!K:K,MATCH($C813,'Policy Characteristics'!$C:$C,0))),"",INDEX('Policy Characteristics'!K:K,MATCH($C813,'Policy Characteristics'!$C:$C,0)))</f>
        <v>industry-ag-main.html#fuel-switching</v>
      </c>
      <c r="R813" s="275" t="str">
        <f>IF(ISBLANK(INDEX('Policy Characteristics'!L:L,MATCH($C813,'Policy Characteristics'!$C:$C,0))),"",INDEX('Policy Characteristics'!L:L,MATCH($C813,'Policy Characteristics'!$C:$C,0)))</f>
        <v>industry-elec-and-hydrogen.html</v>
      </c>
    </row>
    <row r="814" spans="1:18" s="2" customFormat="1" x14ac:dyDescent="0.25">
      <c r="A814" s="275" t="str">
        <f>IF(ISBLANK(INDEX('Policy Characteristics'!A:A,MATCH($C814,'Policy Characteristics'!$C:$C,0))),"",INDEX('Policy Characteristics'!A:A,MATCH($C814,'Policy Characteristics'!$C:$C,0)))</f>
        <v>Industry</v>
      </c>
      <c r="B814" s="284" t="str">
        <f>IF(ISBLANK(INDEX('Policy Characteristics'!B:B,MATCH($C814,'Policy Characteristics'!$C:$C,0))),"",INDEX('Policy Characteristics'!B:B,MATCH($C814,'Policy Characteristics'!$C:$C,0)))</f>
        <v>Hydrogen Combustion</v>
      </c>
      <c r="C814" s="275" t="str">
        <f t="shared" si="37"/>
        <v>Fraction of Eligible Industrial Energy Use Shifted to Hydrogen</v>
      </c>
      <c r="D814" s="6" t="s">
        <v>3075</v>
      </c>
      <c r="E814" s="1" t="s">
        <v>3549</v>
      </c>
      <c r="F814" t="s">
        <v>3039</v>
      </c>
      <c r="G814" s="47" t="s">
        <v>3556</v>
      </c>
      <c r="H814" s="44">
        <v>2076</v>
      </c>
      <c r="I814" s="346" t="s">
        <v>43</v>
      </c>
      <c r="J814" s="276" t="str">
        <f>IF(ISBLANK(INDEX('Policy Characteristics'!D:D,MATCH($C814,'Policy Characteristics'!$C:$C,0))),"",INDEX('Policy Characteristics'!D:D,MATCH($C814,'Policy Characteristics'!$C:$C,0)))</f>
        <v>Hydrogen Combustion</v>
      </c>
      <c r="K814" s="275" t="str">
        <f>IF(ISBLANK(INDEX('Policy Characteristics'!E:E,MATCH($C814,'Policy Characteristics'!$C:$C,0))),"",INDEX('Policy Characteristics'!E:E,MATCH($C814,'Policy Characteristics'!$C:$C,0)))</f>
        <v>indst shift to hydrogen</v>
      </c>
      <c r="L814" s="283">
        <f>IF(ISBLANK(INDEX('Policy Characteristics'!F:F,MATCH($C814,'Policy Characteristics'!$C:$C,0))),"",INDEX('Policy Characteristics'!F:F,MATCH($C814,'Policy Characteristics'!$C:$C,0)))</f>
        <v>0</v>
      </c>
      <c r="M814" s="283">
        <f>IF(ISBLANK(INDEX('Policy Characteristics'!G:G,MATCH($C814,'Policy Characteristics'!$C:$C,0))),"",INDEX('Policy Characteristics'!G:G,MATCH($C814,'Policy Characteristics'!$C:$C,0)))</f>
        <v>1</v>
      </c>
      <c r="N814" s="283">
        <f>IF(ISBLANK(INDEX('Policy Characteristics'!H:H,MATCH($C814,'Policy Characteristics'!$C:$C,0))),"",INDEX('Policy Characteristics'!H:H,MATCH($C814,'Policy Characteristics'!$C:$C,0)))</f>
        <v>0.01</v>
      </c>
      <c r="O814" s="275" t="str">
        <f>IF(ISBLANK(INDEX('Policy Characteristics'!I:I,MATCH($C814,'Policy Characteristics'!$C:$C,0))),"",INDEX('Policy Characteristics'!I:I,MATCH($C814,'Policy Characteristics'!$C:$C,0)))</f>
        <v>% of fuel shifted</v>
      </c>
      <c r="P814" s="275" t="str">
        <f>IF(ISBLANK(INDEX('Policy Characteristics'!J:J,MATCH($C814,'Policy Characteristics'!$C:$C,0))),"",INDEX('Policy Characteristics'!J:J,MATCH($C814,'Policy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4" s="275" t="str">
        <f>IF(ISBLANK(INDEX('Policy Characteristics'!K:K,MATCH($C814,'Policy Characteristics'!$C:$C,0))),"",INDEX('Policy Characteristics'!K:K,MATCH($C814,'Policy Characteristics'!$C:$C,0)))</f>
        <v>industry-ag-main.html#fuel-switching</v>
      </c>
      <c r="R814" s="275" t="str">
        <f>IF(ISBLANK(INDEX('Policy Characteristics'!L:L,MATCH($C814,'Policy Characteristics'!$C:$C,0))),"",INDEX('Policy Characteristics'!L:L,MATCH($C814,'Policy Characteristics'!$C:$C,0)))</f>
        <v>industry-elec-and-hydrogen.html</v>
      </c>
    </row>
    <row r="815" spans="1:18" s="2" customFormat="1" x14ac:dyDescent="0.25">
      <c r="A815" s="275" t="str">
        <f>IF(ISBLANK(INDEX('Policy Characteristics'!A:A,MATCH($C815,'Policy Characteristics'!$C:$C,0))),"",INDEX('Policy Characteristics'!A:A,MATCH($C815,'Policy Characteristics'!$C:$C,0)))</f>
        <v>Industry</v>
      </c>
      <c r="B815" s="284" t="str">
        <f>IF(ISBLANK(INDEX('Policy Characteristics'!B:B,MATCH($C815,'Policy Characteristics'!$C:$C,0))),"",INDEX('Policy Characteristics'!B:B,MATCH($C815,'Policy Characteristics'!$C:$C,0)))</f>
        <v>Hydrogen Combustion</v>
      </c>
      <c r="C815" s="275" t="str">
        <f t="shared" si="37"/>
        <v>Fraction of Eligible Industrial Energy Use Shifted to Hydrogen</v>
      </c>
      <c r="D815" s="6" t="s">
        <v>3075</v>
      </c>
      <c r="E815" s="1" t="s">
        <v>3550</v>
      </c>
      <c r="F815" t="s">
        <v>3039</v>
      </c>
      <c r="G815" s="47" t="s">
        <v>3557</v>
      </c>
      <c r="H815" s="44">
        <v>2077</v>
      </c>
      <c r="I815" s="346" t="s">
        <v>44</v>
      </c>
      <c r="J815" s="276" t="str">
        <f>IF(ISBLANK(INDEX('Policy Characteristics'!D:D,MATCH($C815,'Policy Characteristics'!$C:$C,0))),"",INDEX('Policy Characteristics'!D:D,MATCH($C815,'Policy Characteristics'!$C:$C,0)))</f>
        <v>Hydrogen Combustion</v>
      </c>
      <c r="K815" s="275" t="str">
        <f>IF(ISBLANK(INDEX('Policy Characteristics'!E:E,MATCH($C815,'Policy Characteristics'!$C:$C,0))),"",INDEX('Policy Characteristics'!E:E,MATCH($C815,'Policy Characteristics'!$C:$C,0)))</f>
        <v>indst shift to hydrogen</v>
      </c>
      <c r="L815" s="283">
        <f>IF(ISBLANK(INDEX('Policy Characteristics'!F:F,MATCH($C815,'Policy Characteristics'!$C:$C,0))),"",INDEX('Policy Characteristics'!F:F,MATCH($C815,'Policy Characteristics'!$C:$C,0)))</f>
        <v>0</v>
      </c>
      <c r="M815" s="283">
        <f>IF(ISBLANK(INDEX('Policy Characteristics'!G:G,MATCH($C815,'Policy Characteristics'!$C:$C,0))),"",INDEX('Policy Characteristics'!G:G,MATCH($C815,'Policy Characteristics'!$C:$C,0)))</f>
        <v>1</v>
      </c>
      <c r="N815" s="283">
        <f>IF(ISBLANK(INDEX('Policy Characteristics'!H:H,MATCH($C815,'Policy Characteristics'!$C:$C,0))),"",INDEX('Policy Characteristics'!H:H,MATCH($C815,'Policy Characteristics'!$C:$C,0)))</f>
        <v>0.01</v>
      </c>
      <c r="O815" s="275" t="str">
        <f>IF(ISBLANK(INDEX('Policy Characteristics'!I:I,MATCH($C815,'Policy Characteristics'!$C:$C,0))),"",INDEX('Policy Characteristics'!I:I,MATCH($C815,'Policy Characteristics'!$C:$C,0)))</f>
        <v>% of fuel shifted</v>
      </c>
      <c r="P815" s="275" t="str">
        <f>IF(ISBLANK(INDEX('Policy Characteristics'!J:J,MATCH($C815,'Policy Characteristics'!$C:$C,0))),"",INDEX('Policy Characteristics'!J:J,MATCH($C815,'Policy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5" s="275" t="str">
        <f>IF(ISBLANK(INDEX('Policy Characteristics'!K:K,MATCH($C815,'Policy Characteristics'!$C:$C,0))),"",INDEX('Policy Characteristics'!K:K,MATCH($C815,'Policy Characteristics'!$C:$C,0)))</f>
        <v>industry-ag-main.html#fuel-switching</v>
      </c>
      <c r="R815" s="275" t="str">
        <f>IF(ISBLANK(INDEX('Policy Characteristics'!L:L,MATCH($C815,'Policy Characteristics'!$C:$C,0))),"",INDEX('Policy Characteristics'!L:L,MATCH($C815,'Policy Characteristics'!$C:$C,0)))</f>
        <v>industry-elec-and-hydrogen.html</v>
      </c>
    </row>
    <row r="816" spans="1:18" s="2" customFormat="1" x14ac:dyDescent="0.25">
      <c r="A816" s="275" t="str">
        <f>IF(ISBLANK(INDEX('Policy Characteristics'!A:A,MATCH($C816,'Policy Characteristics'!$C:$C,0))),"",INDEX('Policy Characteristics'!A:A,MATCH($C816,'Policy Characteristics'!$C:$C,0)))</f>
        <v>Industry</v>
      </c>
      <c r="B816" s="284" t="str">
        <f>IF(ISBLANK(INDEX('Policy Characteristics'!B:B,MATCH($C816,'Policy Characteristics'!$C:$C,0))),"",INDEX('Policy Characteristics'!B:B,MATCH($C816,'Policy Characteristics'!$C:$C,0)))</f>
        <v>Hydrogen Combustion</v>
      </c>
      <c r="C816" s="275" t="str">
        <f t="shared" si="37"/>
        <v>Fraction of Eligible Industrial Energy Use Shifted to Hydrogen</v>
      </c>
      <c r="D816" s="6" t="s">
        <v>3075</v>
      </c>
      <c r="E816" s="1" t="s">
        <v>3551</v>
      </c>
      <c r="F816" t="s">
        <v>3039</v>
      </c>
      <c r="G816" s="47" t="s">
        <v>3558</v>
      </c>
      <c r="H816" s="44">
        <v>2078</v>
      </c>
      <c r="I816" s="346" t="s">
        <v>44</v>
      </c>
      <c r="J816" s="276" t="str">
        <f>IF(ISBLANK(INDEX('Policy Characteristics'!D:D,MATCH($C816,'Policy Characteristics'!$C:$C,0))),"",INDEX('Policy Characteristics'!D:D,MATCH($C816,'Policy Characteristics'!$C:$C,0)))</f>
        <v>Hydrogen Combustion</v>
      </c>
      <c r="K816" s="275" t="str">
        <f>IF(ISBLANK(INDEX('Policy Characteristics'!E:E,MATCH($C816,'Policy Characteristics'!$C:$C,0))),"",INDEX('Policy Characteristics'!E:E,MATCH($C816,'Policy Characteristics'!$C:$C,0)))</f>
        <v>indst shift to hydrogen</v>
      </c>
      <c r="L816" s="283">
        <f>IF(ISBLANK(INDEX('Policy Characteristics'!F:F,MATCH($C816,'Policy Characteristics'!$C:$C,0))),"",INDEX('Policy Characteristics'!F:F,MATCH($C816,'Policy Characteristics'!$C:$C,0)))</f>
        <v>0</v>
      </c>
      <c r="M816" s="283">
        <f>IF(ISBLANK(INDEX('Policy Characteristics'!G:G,MATCH($C816,'Policy Characteristics'!$C:$C,0))),"",INDEX('Policy Characteristics'!G:G,MATCH($C816,'Policy Characteristics'!$C:$C,0)))</f>
        <v>1</v>
      </c>
      <c r="N816" s="283">
        <f>IF(ISBLANK(INDEX('Policy Characteristics'!H:H,MATCH($C816,'Policy Characteristics'!$C:$C,0))),"",INDEX('Policy Characteristics'!H:H,MATCH($C816,'Policy Characteristics'!$C:$C,0)))</f>
        <v>0.01</v>
      </c>
      <c r="O816" s="275" t="str">
        <f>IF(ISBLANK(INDEX('Policy Characteristics'!I:I,MATCH($C816,'Policy Characteristics'!$C:$C,0))),"",INDEX('Policy Characteristics'!I:I,MATCH($C816,'Policy Characteristics'!$C:$C,0)))</f>
        <v>% of fuel shifted</v>
      </c>
      <c r="P816" s="275" t="str">
        <f>IF(ISBLANK(INDEX('Policy Characteristics'!J:J,MATCH($C816,'Policy Characteristics'!$C:$C,0))),"",INDEX('Policy Characteristics'!J:J,MATCH($C816,'Policy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6" s="275" t="str">
        <f>IF(ISBLANK(INDEX('Policy Characteristics'!K:K,MATCH($C816,'Policy Characteristics'!$C:$C,0))),"",INDEX('Policy Characteristics'!K:K,MATCH($C816,'Policy Characteristics'!$C:$C,0)))</f>
        <v>industry-ag-main.html#fuel-switching</v>
      </c>
      <c r="R816" s="275" t="str">
        <f>IF(ISBLANK(INDEX('Policy Characteristics'!L:L,MATCH($C816,'Policy Characteristics'!$C:$C,0))),"",INDEX('Policy Characteristics'!L:L,MATCH($C816,'Policy Characteristics'!$C:$C,0)))</f>
        <v>industry-elec-and-hydrogen.html</v>
      </c>
    </row>
    <row r="817" spans="1:18" s="2" customFormat="1" x14ac:dyDescent="0.25">
      <c r="A817" s="275" t="str">
        <f>IF(ISBLANK(INDEX('Policy Characteristics'!A:A,MATCH($C817,'Policy Characteristics'!$C:$C,0))),"",INDEX('Policy Characteristics'!A:A,MATCH($C817,'Policy Characteristics'!$C:$C,0)))</f>
        <v>Industry</v>
      </c>
      <c r="B817" s="284" t="str">
        <f>IF(ISBLANK(INDEX('Policy Characteristics'!B:B,MATCH($C817,'Policy Characteristics'!$C:$C,0))),"",INDEX('Policy Characteristics'!B:B,MATCH($C817,'Policy Characteristics'!$C:$C,0)))</f>
        <v>Hydrogen Combustion</v>
      </c>
      <c r="C817" s="275" t="str">
        <f t="shared" si="37"/>
        <v>Fraction of Eligible Industrial Energy Use Shifted to Hydrogen</v>
      </c>
      <c r="D817" s="6" t="s">
        <v>3075</v>
      </c>
      <c r="E817" s="1" t="s">
        <v>3552</v>
      </c>
      <c r="F817" t="s">
        <v>3039</v>
      </c>
      <c r="G817" s="47" t="s">
        <v>3559</v>
      </c>
      <c r="H817" s="44">
        <v>2079</v>
      </c>
      <c r="I817" s="346" t="s">
        <v>43</v>
      </c>
      <c r="J817" s="276" t="str">
        <f>IF(ISBLANK(INDEX('Policy Characteristics'!D:D,MATCH($C817,'Policy Characteristics'!$C:$C,0))),"",INDEX('Policy Characteristics'!D:D,MATCH($C817,'Policy Characteristics'!$C:$C,0)))</f>
        <v>Hydrogen Combustion</v>
      </c>
      <c r="K817" s="275" t="str">
        <f>IF(ISBLANK(INDEX('Policy Characteristics'!E:E,MATCH($C817,'Policy Characteristics'!$C:$C,0))),"",INDEX('Policy Characteristics'!E:E,MATCH($C817,'Policy Characteristics'!$C:$C,0)))</f>
        <v>indst shift to hydrogen</v>
      </c>
      <c r="L817" s="283">
        <f>IF(ISBLANK(INDEX('Policy Characteristics'!F:F,MATCH($C817,'Policy Characteristics'!$C:$C,0))),"",INDEX('Policy Characteristics'!F:F,MATCH($C817,'Policy Characteristics'!$C:$C,0)))</f>
        <v>0</v>
      </c>
      <c r="M817" s="283">
        <f>IF(ISBLANK(INDEX('Policy Characteristics'!G:G,MATCH($C817,'Policy Characteristics'!$C:$C,0))),"",INDEX('Policy Characteristics'!G:G,MATCH($C817,'Policy Characteristics'!$C:$C,0)))</f>
        <v>1</v>
      </c>
      <c r="N817" s="283">
        <f>IF(ISBLANK(INDEX('Policy Characteristics'!H:H,MATCH($C817,'Policy Characteristics'!$C:$C,0))),"",INDEX('Policy Characteristics'!H:H,MATCH($C817,'Policy Characteristics'!$C:$C,0)))</f>
        <v>0.01</v>
      </c>
      <c r="O817" s="275" t="str">
        <f>IF(ISBLANK(INDEX('Policy Characteristics'!I:I,MATCH($C817,'Policy Characteristics'!$C:$C,0))),"",INDEX('Policy Characteristics'!I:I,MATCH($C817,'Policy Characteristics'!$C:$C,0)))</f>
        <v>% of fuel shifted</v>
      </c>
      <c r="P817" s="275" t="str">
        <f>IF(ISBLANK(INDEX('Policy Characteristics'!J:J,MATCH($C817,'Policy Characteristics'!$C:$C,0))),"",INDEX('Policy Characteristics'!J:J,MATCH($C817,'Policy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7" s="275" t="str">
        <f>IF(ISBLANK(INDEX('Policy Characteristics'!K:K,MATCH($C817,'Policy Characteristics'!$C:$C,0))),"",INDEX('Policy Characteristics'!K:K,MATCH($C817,'Policy Characteristics'!$C:$C,0)))</f>
        <v>industry-ag-main.html#fuel-switching</v>
      </c>
      <c r="R817" s="275" t="str">
        <f>IF(ISBLANK(INDEX('Policy Characteristics'!L:L,MATCH($C817,'Policy Characteristics'!$C:$C,0))),"",INDEX('Policy Characteristics'!L:L,MATCH($C817,'Policy Characteristics'!$C:$C,0)))</f>
        <v>industry-elec-and-hydrogen.html</v>
      </c>
    </row>
    <row r="818" spans="1:18" s="2" customFormat="1" x14ac:dyDescent="0.25">
      <c r="A818" s="275" t="str">
        <f>IF(ISBLANK(INDEX('Policy Characteristics'!A:A,MATCH($C818,'Policy Characteristics'!$C:$C,0))),"",INDEX('Policy Characteristics'!A:A,MATCH($C818,'Policy Characteristics'!$C:$C,0)))</f>
        <v>Industry</v>
      </c>
      <c r="B818" s="284" t="str">
        <f>IF(ISBLANK(INDEX('Policy Characteristics'!B:B,MATCH($C818,'Policy Characteristics'!$C:$C,0))),"",INDEX('Policy Characteristics'!B:B,MATCH($C818,'Policy Characteristics'!$C:$C,0)))</f>
        <v>Hydrogen Combustion</v>
      </c>
      <c r="C818" s="275" t="str">
        <f t="shared" si="37"/>
        <v>Fraction of Eligible Industrial Energy Use Shifted to Hydrogen</v>
      </c>
      <c r="D818" s="6" t="s">
        <v>3075</v>
      </c>
      <c r="E818" s="1" t="s">
        <v>3553</v>
      </c>
      <c r="F818" t="s">
        <v>3039</v>
      </c>
      <c r="G818" s="47" t="s">
        <v>3560</v>
      </c>
      <c r="H818" s="44">
        <v>2080</v>
      </c>
      <c r="I818" s="346" t="s">
        <v>44</v>
      </c>
      <c r="J818" s="276" t="str">
        <f>IF(ISBLANK(INDEX('Policy Characteristics'!D:D,MATCH($C818,'Policy Characteristics'!$C:$C,0))),"",INDEX('Policy Characteristics'!D:D,MATCH($C818,'Policy Characteristics'!$C:$C,0)))</f>
        <v>Hydrogen Combustion</v>
      </c>
      <c r="K818" s="275" t="str">
        <f>IF(ISBLANK(INDEX('Policy Characteristics'!E:E,MATCH($C818,'Policy Characteristics'!$C:$C,0))),"",INDEX('Policy Characteristics'!E:E,MATCH($C818,'Policy Characteristics'!$C:$C,0)))</f>
        <v>indst shift to hydrogen</v>
      </c>
      <c r="L818" s="283">
        <f>IF(ISBLANK(INDEX('Policy Characteristics'!F:F,MATCH($C818,'Policy Characteristics'!$C:$C,0))),"",INDEX('Policy Characteristics'!F:F,MATCH($C818,'Policy Characteristics'!$C:$C,0)))</f>
        <v>0</v>
      </c>
      <c r="M818" s="283">
        <f>IF(ISBLANK(INDEX('Policy Characteristics'!G:G,MATCH($C818,'Policy Characteristics'!$C:$C,0))),"",INDEX('Policy Characteristics'!G:G,MATCH($C818,'Policy Characteristics'!$C:$C,0)))</f>
        <v>1</v>
      </c>
      <c r="N818" s="283">
        <f>IF(ISBLANK(INDEX('Policy Characteristics'!H:H,MATCH($C818,'Policy Characteristics'!$C:$C,0))),"",INDEX('Policy Characteristics'!H:H,MATCH($C818,'Policy Characteristics'!$C:$C,0)))</f>
        <v>0.01</v>
      </c>
      <c r="O818" s="275" t="str">
        <f>IF(ISBLANK(INDEX('Policy Characteristics'!I:I,MATCH($C818,'Policy Characteristics'!$C:$C,0))),"",INDEX('Policy Characteristics'!I:I,MATCH($C818,'Policy Characteristics'!$C:$C,0)))</f>
        <v>% of fuel shifted</v>
      </c>
      <c r="P818" s="275" t="str">
        <f>IF(ISBLANK(INDEX('Policy Characteristics'!J:J,MATCH($C818,'Policy Characteristics'!$C:$C,0))),"",INDEX('Policy Characteristics'!J:J,MATCH($C818,'Policy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8" s="275" t="str">
        <f>IF(ISBLANK(INDEX('Policy Characteristics'!K:K,MATCH($C818,'Policy Characteristics'!$C:$C,0))),"",INDEX('Policy Characteristics'!K:K,MATCH($C818,'Policy Characteristics'!$C:$C,0)))</f>
        <v>industry-ag-main.html#fuel-switching</v>
      </c>
      <c r="R818" s="275" t="str">
        <f>IF(ISBLANK(INDEX('Policy Characteristics'!L:L,MATCH($C818,'Policy Characteristics'!$C:$C,0))),"",INDEX('Policy Characteristics'!L:L,MATCH($C818,'Policy Characteristics'!$C:$C,0)))</f>
        <v>industry-elec-and-hydrogen.html</v>
      </c>
    </row>
    <row r="819" spans="1:18" s="2" customFormat="1" x14ac:dyDescent="0.25">
      <c r="A819" s="275" t="str">
        <f>IF(ISBLANK(INDEX('Policy Characteristics'!A:A,MATCH($C819,'Policy Characteristics'!$C:$C,0))),"",INDEX('Policy Characteristics'!A:A,MATCH($C819,'Policy Characteristics'!$C:$C,0)))</f>
        <v>Industry</v>
      </c>
      <c r="B819" s="284" t="str">
        <f>IF(ISBLANK(INDEX('Policy Characteristics'!B:B,MATCH($C819,'Policy Characteristics'!$C:$C,0))),"",INDEX('Policy Characteristics'!B:B,MATCH($C819,'Policy Characteristics'!$C:$C,0)))</f>
        <v>Hydrogen Combustion</v>
      </c>
      <c r="C819" s="275" t="str">
        <f t="shared" si="37"/>
        <v>Fraction of Eligible Industrial Energy Use Shifted to Hydrogen</v>
      </c>
      <c r="D819" s="6" t="s">
        <v>3075</v>
      </c>
      <c r="E819" s="1" t="s">
        <v>3737</v>
      </c>
      <c r="F819" t="s">
        <v>3039</v>
      </c>
      <c r="G819" s="47" t="s">
        <v>3738</v>
      </c>
      <c r="H819" s="44">
        <v>2081</v>
      </c>
      <c r="I819" s="346" t="s">
        <v>44</v>
      </c>
      <c r="J819" s="276" t="str">
        <f>IF(ISBLANK(INDEX('Policy Characteristics'!D:D,MATCH($C819,'Policy Characteristics'!$C:$C,0))),"",INDEX('Policy Characteristics'!D:D,MATCH($C819,'Policy Characteristics'!$C:$C,0)))</f>
        <v>Hydrogen Combustion</v>
      </c>
      <c r="K819" s="275" t="str">
        <f>IF(ISBLANK(INDEX('Policy Characteristics'!E:E,MATCH($C819,'Policy Characteristics'!$C:$C,0))),"",INDEX('Policy Characteristics'!E:E,MATCH($C819,'Policy Characteristics'!$C:$C,0)))</f>
        <v>indst shift to hydrogen</v>
      </c>
      <c r="L819" s="283">
        <f>IF(ISBLANK(INDEX('Policy Characteristics'!F:F,MATCH($C819,'Policy Characteristics'!$C:$C,0))),"",INDEX('Policy Characteristics'!F:F,MATCH($C819,'Policy Characteristics'!$C:$C,0)))</f>
        <v>0</v>
      </c>
      <c r="M819" s="283">
        <f>IF(ISBLANK(INDEX('Policy Characteristics'!G:G,MATCH($C819,'Policy Characteristics'!$C:$C,0))),"",INDEX('Policy Characteristics'!G:G,MATCH($C819,'Policy Characteristics'!$C:$C,0)))</f>
        <v>1</v>
      </c>
      <c r="N819" s="283">
        <f>IF(ISBLANK(INDEX('Policy Characteristics'!H:H,MATCH($C819,'Policy Characteristics'!$C:$C,0))),"",INDEX('Policy Characteristics'!H:H,MATCH($C819,'Policy Characteristics'!$C:$C,0)))</f>
        <v>0.01</v>
      </c>
      <c r="O819" s="275" t="str">
        <f>IF(ISBLANK(INDEX('Policy Characteristics'!I:I,MATCH($C819,'Policy Characteristics'!$C:$C,0))),"",INDEX('Policy Characteristics'!I:I,MATCH($C819,'Policy Characteristics'!$C:$C,0)))</f>
        <v>% of fuel shifted</v>
      </c>
      <c r="P819" s="275" t="str">
        <f>IF(ISBLANK(INDEX('Policy Characteristics'!J:J,MATCH($C819,'Policy Characteristics'!$C:$C,0))),"",INDEX('Policy Characteristics'!J:J,MATCH($C819,'Policy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9" s="275" t="str">
        <f>IF(ISBLANK(INDEX('Policy Characteristics'!K:K,MATCH($C819,'Policy Characteristics'!$C:$C,0))),"",INDEX('Policy Characteristics'!K:K,MATCH($C819,'Policy Characteristics'!$C:$C,0)))</f>
        <v>industry-ag-main.html#fuel-switching</v>
      </c>
      <c r="R819" s="275" t="str">
        <f>IF(ISBLANK(INDEX('Policy Characteristics'!L:L,MATCH($C819,'Policy Characteristics'!$C:$C,0))),"",INDEX('Policy Characteristics'!L:L,MATCH($C819,'Policy Characteristics'!$C:$C,0)))</f>
        <v>industry-elec-and-hydrogen.html</v>
      </c>
    </row>
    <row r="820" spans="1:18" s="2" customFormat="1" x14ac:dyDescent="0.25">
      <c r="A820" s="275" t="str">
        <f>IF(ISBLANK(INDEX('Policy Characteristics'!A:A,MATCH($C820,'Policy Characteristics'!$C:$C,0))),"",INDEX('Policy Characteristics'!A:A,MATCH($C820,'Policy Characteristics'!$C:$C,0)))</f>
        <v>Industry</v>
      </c>
      <c r="B820" s="284" t="str">
        <f>IF(ISBLANK(INDEX('Policy Characteristics'!B:B,MATCH($C820,'Policy Characteristics'!$C:$C,0))),"",INDEX('Policy Characteristics'!B:B,MATCH($C820,'Policy Characteristics'!$C:$C,0)))</f>
        <v>Hydrogen Combustion</v>
      </c>
      <c r="C820" s="275" t="str">
        <f t="shared" si="37"/>
        <v>Fraction of Eligible Industrial Energy Use Shifted to Hydrogen</v>
      </c>
      <c r="D820" s="6" t="s">
        <v>3076</v>
      </c>
      <c r="E820" s="1" t="s">
        <v>3547</v>
      </c>
      <c r="F820" t="s">
        <v>3040</v>
      </c>
      <c r="G820" s="47" t="s">
        <v>3554</v>
      </c>
      <c r="H820" s="44">
        <v>2082</v>
      </c>
      <c r="I820" s="346" t="s">
        <v>43</v>
      </c>
      <c r="J820" s="276" t="str">
        <f>IF(ISBLANK(INDEX('Policy Characteristics'!D:D,MATCH($C820,'Policy Characteristics'!$C:$C,0))),"",INDEX('Policy Characteristics'!D:D,MATCH($C820,'Policy Characteristics'!$C:$C,0)))</f>
        <v>Hydrogen Combustion</v>
      </c>
      <c r="K820" s="275" t="str">
        <f>IF(ISBLANK(INDEX('Policy Characteristics'!E:E,MATCH($C820,'Policy Characteristics'!$C:$C,0))),"",INDEX('Policy Characteristics'!E:E,MATCH($C820,'Policy Characteristics'!$C:$C,0)))</f>
        <v>indst shift to hydrogen</v>
      </c>
      <c r="L820" s="283">
        <f>IF(ISBLANK(INDEX('Policy Characteristics'!F:F,MATCH($C820,'Policy Characteristics'!$C:$C,0))),"",INDEX('Policy Characteristics'!F:F,MATCH($C820,'Policy Characteristics'!$C:$C,0)))</f>
        <v>0</v>
      </c>
      <c r="M820" s="283">
        <f>IF(ISBLANK(INDEX('Policy Characteristics'!G:G,MATCH($C820,'Policy Characteristics'!$C:$C,0))),"",INDEX('Policy Characteristics'!G:G,MATCH($C820,'Policy Characteristics'!$C:$C,0)))</f>
        <v>1</v>
      </c>
      <c r="N820" s="283">
        <f>IF(ISBLANK(INDEX('Policy Characteristics'!H:H,MATCH($C820,'Policy Characteristics'!$C:$C,0))),"",INDEX('Policy Characteristics'!H:H,MATCH($C820,'Policy Characteristics'!$C:$C,0)))</f>
        <v>0.01</v>
      </c>
      <c r="O820" s="275" t="str">
        <f>IF(ISBLANK(INDEX('Policy Characteristics'!I:I,MATCH($C820,'Policy Characteristics'!$C:$C,0))),"",INDEX('Policy Characteristics'!I:I,MATCH($C820,'Policy Characteristics'!$C:$C,0)))</f>
        <v>% of fuel shifted</v>
      </c>
      <c r="P820" s="275" t="str">
        <f>IF(ISBLANK(INDEX('Policy Characteristics'!J:J,MATCH($C820,'Policy Characteristics'!$C:$C,0))),"",INDEX('Policy Characteristics'!J:J,MATCH($C820,'Policy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0" s="275" t="str">
        <f>IF(ISBLANK(INDEX('Policy Characteristics'!K:K,MATCH($C820,'Policy Characteristics'!$C:$C,0))),"",INDEX('Policy Characteristics'!K:K,MATCH($C820,'Policy Characteristics'!$C:$C,0)))</f>
        <v>industry-ag-main.html#fuel-switching</v>
      </c>
      <c r="R820" s="275" t="str">
        <f>IF(ISBLANK(INDEX('Policy Characteristics'!L:L,MATCH($C820,'Policy Characteristics'!$C:$C,0))),"",INDEX('Policy Characteristics'!L:L,MATCH($C820,'Policy Characteristics'!$C:$C,0)))</f>
        <v>industry-elec-and-hydrogen.html</v>
      </c>
    </row>
    <row r="821" spans="1:18" s="2" customFormat="1" x14ac:dyDescent="0.25">
      <c r="A821" s="275" t="str">
        <f>IF(ISBLANK(INDEX('Policy Characteristics'!A:A,MATCH($C821,'Policy Characteristics'!$C:$C,0))),"",INDEX('Policy Characteristics'!A:A,MATCH($C821,'Policy Characteristics'!$C:$C,0)))</f>
        <v>Industry</v>
      </c>
      <c r="B821" s="284" t="str">
        <f>IF(ISBLANK(INDEX('Policy Characteristics'!B:B,MATCH($C821,'Policy Characteristics'!$C:$C,0))),"",INDEX('Policy Characteristics'!B:B,MATCH($C821,'Policy Characteristics'!$C:$C,0)))</f>
        <v>Hydrogen Combustion</v>
      </c>
      <c r="C821" s="275" t="str">
        <f t="shared" si="37"/>
        <v>Fraction of Eligible Industrial Energy Use Shifted to Hydrogen</v>
      </c>
      <c r="D821" s="6" t="s">
        <v>3076</v>
      </c>
      <c r="E821" s="1" t="s">
        <v>3548</v>
      </c>
      <c r="F821" t="s">
        <v>3040</v>
      </c>
      <c r="G821" s="47" t="s">
        <v>3555</v>
      </c>
      <c r="H821" s="44">
        <v>2083</v>
      </c>
      <c r="I821" s="346" t="s">
        <v>43</v>
      </c>
      <c r="J821" s="276" t="str">
        <f>IF(ISBLANK(INDEX('Policy Characteristics'!D:D,MATCH($C821,'Policy Characteristics'!$C:$C,0))),"",INDEX('Policy Characteristics'!D:D,MATCH($C821,'Policy Characteristics'!$C:$C,0)))</f>
        <v>Hydrogen Combustion</v>
      </c>
      <c r="K821" s="275" t="str">
        <f>IF(ISBLANK(INDEX('Policy Characteristics'!E:E,MATCH($C821,'Policy Characteristics'!$C:$C,0))),"",INDEX('Policy Characteristics'!E:E,MATCH($C821,'Policy Characteristics'!$C:$C,0)))</f>
        <v>indst shift to hydrogen</v>
      </c>
      <c r="L821" s="283">
        <f>IF(ISBLANK(INDEX('Policy Characteristics'!F:F,MATCH($C821,'Policy Characteristics'!$C:$C,0))),"",INDEX('Policy Characteristics'!F:F,MATCH($C821,'Policy Characteristics'!$C:$C,0)))</f>
        <v>0</v>
      </c>
      <c r="M821" s="283">
        <f>IF(ISBLANK(INDEX('Policy Characteristics'!G:G,MATCH($C821,'Policy Characteristics'!$C:$C,0))),"",INDEX('Policy Characteristics'!G:G,MATCH($C821,'Policy Characteristics'!$C:$C,0)))</f>
        <v>1</v>
      </c>
      <c r="N821" s="283">
        <f>IF(ISBLANK(INDEX('Policy Characteristics'!H:H,MATCH($C821,'Policy Characteristics'!$C:$C,0))),"",INDEX('Policy Characteristics'!H:H,MATCH($C821,'Policy Characteristics'!$C:$C,0)))</f>
        <v>0.01</v>
      </c>
      <c r="O821" s="275" t="str">
        <f>IF(ISBLANK(INDEX('Policy Characteristics'!I:I,MATCH($C821,'Policy Characteristics'!$C:$C,0))),"",INDEX('Policy Characteristics'!I:I,MATCH($C821,'Policy Characteristics'!$C:$C,0)))</f>
        <v>% of fuel shifted</v>
      </c>
      <c r="P821" s="275" t="str">
        <f>IF(ISBLANK(INDEX('Policy Characteristics'!J:J,MATCH($C821,'Policy Characteristics'!$C:$C,0))),"",INDEX('Policy Characteristics'!J:J,MATCH($C821,'Policy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1" s="275" t="str">
        <f>IF(ISBLANK(INDEX('Policy Characteristics'!K:K,MATCH($C821,'Policy Characteristics'!$C:$C,0))),"",INDEX('Policy Characteristics'!K:K,MATCH($C821,'Policy Characteristics'!$C:$C,0)))</f>
        <v>industry-ag-main.html#fuel-switching</v>
      </c>
      <c r="R821" s="275" t="str">
        <f>IF(ISBLANK(INDEX('Policy Characteristics'!L:L,MATCH($C821,'Policy Characteristics'!$C:$C,0))),"",INDEX('Policy Characteristics'!L:L,MATCH($C821,'Policy Characteristics'!$C:$C,0)))</f>
        <v>industry-elec-and-hydrogen.html</v>
      </c>
    </row>
    <row r="822" spans="1:18" s="2" customFormat="1" x14ac:dyDescent="0.25">
      <c r="A822" s="275" t="str">
        <f>IF(ISBLANK(INDEX('Policy Characteristics'!A:A,MATCH($C822,'Policy Characteristics'!$C:$C,0))),"",INDEX('Policy Characteristics'!A:A,MATCH($C822,'Policy Characteristics'!$C:$C,0)))</f>
        <v>Industry</v>
      </c>
      <c r="B822" s="284" t="str">
        <f>IF(ISBLANK(INDEX('Policy Characteristics'!B:B,MATCH($C822,'Policy Characteristics'!$C:$C,0))),"",INDEX('Policy Characteristics'!B:B,MATCH($C822,'Policy Characteristics'!$C:$C,0)))</f>
        <v>Hydrogen Combustion</v>
      </c>
      <c r="C822" s="275" t="str">
        <f t="shared" si="37"/>
        <v>Fraction of Eligible Industrial Energy Use Shifted to Hydrogen</v>
      </c>
      <c r="D822" s="6" t="s">
        <v>3076</v>
      </c>
      <c r="E822" s="1" t="s">
        <v>3549</v>
      </c>
      <c r="F822" t="s">
        <v>3040</v>
      </c>
      <c r="G822" s="47" t="s">
        <v>3556</v>
      </c>
      <c r="H822" s="44">
        <v>2084</v>
      </c>
      <c r="I822" s="346" t="s">
        <v>43</v>
      </c>
      <c r="J822" s="276" t="str">
        <f>IF(ISBLANK(INDEX('Policy Characteristics'!D:D,MATCH($C822,'Policy Characteristics'!$C:$C,0))),"",INDEX('Policy Characteristics'!D:D,MATCH($C822,'Policy Characteristics'!$C:$C,0)))</f>
        <v>Hydrogen Combustion</v>
      </c>
      <c r="K822" s="275" t="str">
        <f>IF(ISBLANK(INDEX('Policy Characteristics'!E:E,MATCH($C822,'Policy Characteristics'!$C:$C,0))),"",INDEX('Policy Characteristics'!E:E,MATCH($C822,'Policy Characteristics'!$C:$C,0)))</f>
        <v>indst shift to hydrogen</v>
      </c>
      <c r="L822" s="283">
        <f>IF(ISBLANK(INDEX('Policy Characteristics'!F:F,MATCH($C822,'Policy Characteristics'!$C:$C,0))),"",INDEX('Policy Characteristics'!F:F,MATCH($C822,'Policy Characteristics'!$C:$C,0)))</f>
        <v>0</v>
      </c>
      <c r="M822" s="283">
        <f>IF(ISBLANK(INDEX('Policy Characteristics'!G:G,MATCH($C822,'Policy Characteristics'!$C:$C,0))),"",INDEX('Policy Characteristics'!G:G,MATCH($C822,'Policy Characteristics'!$C:$C,0)))</f>
        <v>1</v>
      </c>
      <c r="N822" s="283">
        <f>IF(ISBLANK(INDEX('Policy Characteristics'!H:H,MATCH($C822,'Policy Characteristics'!$C:$C,0))),"",INDEX('Policy Characteristics'!H:H,MATCH($C822,'Policy Characteristics'!$C:$C,0)))</f>
        <v>0.01</v>
      </c>
      <c r="O822" s="275" t="str">
        <f>IF(ISBLANK(INDEX('Policy Characteristics'!I:I,MATCH($C822,'Policy Characteristics'!$C:$C,0))),"",INDEX('Policy Characteristics'!I:I,MATCH($C822,'Policy Characteristics'!$C:$C,0)))</f>
        <v>% of fuel shifted</v>
      </c>
      <c r="P822" s="275" t="str">
        <f>IF(ISBLANK(INDEX('Policy Characteristics'!J:J,MATCH($C822,'Policy Characteristics'!$C:$C,0))),"",INDEX('Policy Characteristics'!J:J,MATCH($C822,'Policy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2" s="275" t="str">
        <f>IF(ISBLANK(INDEX('Policy Characteristics'!K:K,MATCH($C822,'Policy Characteristics'!$C:$C,0))),"",INDEX('Policy Characteristics'!K:K,MATCH($C822,'Policy Characteristics'!$C:$C,0)))</f>
        <v>industry-ag-main.html#fuel-switching</v>
      </c>
      <c r="R822" s="275" t="str">
        <f>IF(ISBLANK(INDEX('Policy Characteristics'!L:L,MATCH($C822,'Policy Characteristics'!$C:$C,0))),"",INDEX('Policy Characteristics'!L:L,MATCH($C822,'Policy Characteristics'!$C:$C,0)))</f>
        <v>industry-elec-and-hydrogen.html</v>
      </c>
    </row>
    <row r="823" spans="1:18" s="2" customFormat="1" x14ac:dyDescent="0.25">
      <c r="A823" s="275" t="str">
        <f>IF(ISBLANK(INDEX('Policy Characteristics'!A:A,MATCH($C823,'Policy Characteristics'!$C:$C,0))),"",INDEX('Policy Characteristics'!A:A,MATCH($C823,'Policy Characteristics'!$C:$C,0)))</f>
        <v>Industry</v>
      </c>
      <c r="B823" s="284" t="str">
        <f>IF(ISBLANK(INDEX('Policy Characteristics'!B:B,MATCH($C823,'Policy Characteristics'!$C:$C,0))),"",INDEX('Policy Characteristics'!B:B,MATCH($C823,'Policy Characteristics'!$C:$C,0)))</f>
        <v>Hydrogen Combustion</v>
      </c>
      <c r="C823" s="275" t="str">
        <f t="shared" si="37"/>
        <v>Fraction of Eligible Industrial Energy Use Shifted to Hydrogen</v>
      </c>
      <c r="D823" s="6" t="s">
        <v>3076</v>
      </c>
      <c r="E823" s="1" t="s">
        <v>3550</v>
      </c>
      <c r="F823" t="s">
        <v>3040</v>
      </c>
      <c r="G823" s="47" t="s">
        <v>3557</v>
      </c>
      <c r="H823" s="44">
        <v>2085</v>
      </c>
      <c r="I823" s="346" t="s">
        <v>44</v>
      </c>
      <c r="J823" s="276" t="str">
        <f>IF(ISBLANK(INDEX('Policy Characteristics'!D:D,MATCH($C823,'Policy Characteristics'!$C:$C,0))),"",INDEX('Policy Characteristics'!D:D,MATCH($C823,'Policy Characteristics'!$C:$C,0)))</f>
        <v>Hydrogen Combustion</v>
      </c>
      <c r="K823" s="275" t="str">
        <f>IF(ISBLANK(INDEX('Policy Characteristics'!E:E,MATCH($C823,'Policy Characteristics'!$C:$C,0))),"",INDEX('Policy Characteristics'!E:E,MATCH($C823,'Policy Characteristics'!$C:$C,0)))</f>
        <v>indst shift to hydrogen</v>
      </c>
      <c r="L823" s="283">
        <f>IF(ISBLANK(INDEX('Policy Characteristics'!F:F,MATCH($C823,'Policy Characteristics'!$C:$C,0))),"",INDEX('Policy Characteristics'!F:F,MATCH($C823,'Policy Characteristics'!$C:$C,0)))</f>
        <v>0</v>
      </c>
      <c r="M823" s="283">
        <f>IF(ISBLANK(INDEX('Policy Characteristics'!G:G,MATCH($C823,'Policy Characteristics'!$C:$C,0))),"",INDEX('Policy Characteristics'!G:G,MATCH($C823,'Policy Characteristics'!$C:$C,0)))</f>
        <v>1</v>
      </c>
      <c r="N823" s="283">
        <f>IF(ISBLANK(INDEX('Policy Characteristics'!H:H,MATCH($C823,'Policy Characteristics'!$C:$C,0))),"",INDEX('Policy Characteristics'!H:H,MATCH($C823,'Policy Characteristics'!$C:$C,0)))</f>
        <v>0.01</v>
      </c>
      <c r="O823" s="275" t="str">
        <f>IF(ISBLANK(INDEX('Policy Characteristics'!I:I,MATCH($C823,'Policy Characteristics'!$C:$C,0))),"",INDEX('Policy Characteristics'!I:I,MATCH($C823,'Policy Characteristics'!$C:$C,0)))</f>
        <v>% of fuel shifted</v>
      </c>
      <c r="P823" s="275" t="str">
        <f>IF(ISBLANK(INDEX('Policy Characteristics'!J:J,MATCH($C823,'Policy Characteristics'!$C:$C,0))),"",INDEX('Policy Characteristics'!J:J,MATCH($C823,'Policy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3" s="275" t="str">
        <f>IF(ISBLANK(INDEX('Policy Characteristics'!K:K,MATCH($C823,'Policy Characteristics'!$C:$C,0))),"",INDEX('Policy Characteristics'!K:K,MATCH($C823,'Policy Characteristics'!$C:$C,0)))</f>
        <v>industry-ag-main.html#fuel-switching</v>
      </c>
      <c r="R823" s="275" t="str">
        <f>IF(ISBLANK(INDEX('Policy Characteristics'!L:L,MATCH($C823,'Policy Characteristics'!$C:$C,0))),"",INDEX('Policy Characteristics'!L:L,MATCH($C823,'Policy Characteristics'!$C:$C,0)))</f>
        <v>industry-elec-and-hydrogen.html</v>
      </c>
    </row>
    <row r="824" spans="1:18" s="2" customFormat="1" x14ac:dyDescent="0.25">
      <c r="A824" s="275" t="str">
        <f>IF(ISBLANK(INDEX('Policy Characteristics'!A:A,MATCH($C824,'Policy Characteristics'!$C:$C,0))),"",INDEX('Policy Characteristics'!A:A,MATCH($C824,'Policy Characteristics'!$C:$C,0)))</f>
        <v>Industry</v>
      </c>
      <c r="B824" s="284" t="str">
        <f>IF(ISBLANK(INDEX('Policy Characteristics'!B:B,MATCH($C824,'Policy Characteristics'!$C:$C,0))),"",INDEX('Policy Characteristics'!B:B,MATCH($C824,'Policy Characteristics'!$C:$C,0)))</f>
        <v>Hydrogen Combustion</v>
      </c>
      <c r="C824" s="275" t="str">
        <f t="shared" si="37"/>
        <v>Fraction of Eligible Industrial Energy Use Shifted to Hydrogen</v>
      </c>
      <c r="D824" s="6" t="s">
        <v>3076</v>
      </c>
      <c r="E824" s="1" t="s">
        <v>3551</v>
      </c>
      <c r="F824" t="s">
        <v>3040</v>
      </c>
      <c r="G824" s="47" t="s">
        <v>3558</v>
      </c>
      <c r="H824" s="44">
        <v>2086</v>
      </c>
      <c r="I824" s="346" t="s">
        <v>44</v>
      </c>
      <c r="J824" s="276" t="str">
        <f>IF(ISBLANK(INDEX('Policy Characteristics'!D:D,MATCH($C824,'Policy Characteristics'!$C:$C,0))),"",INDEX('Policy Characteristics'!D:D,MATCH($C824,'Policy Characteristics'!$C:$C,0)))</f>
        <v>Hydrogen Combustion</v>
      </c>
      <c r="K824" s="275" t="str">
        <f>IF(ISBLANK(INDEX('Policy Characteristics'!E:E,MATCH($C824,'Policy Characteristics'!$C:$C,0))),"",INDEX('Policy Characteristics'!E:E,MATCH($C824,'Policy Characteristics'!$C:$C,0)))</f>
        <v>indst shift to hydrogen</v>
      </c>
      <c r="L824" s="283">
        <f>IF(ISBLANK(INDEX('Policy Characteristics'!F:F,MATCH($C824,'Policy Characteristics'!$C:$C,0))),"",INDEX('Policy Characteristics'!F:F,MATCH($C824,'Policy Characteristics'!$C:$C,0)))</f>
        <v>0</v>
      </c>
      <c r="M824" s="283">
        <f>IF(ISBLANK(INDEX('Policy Characteristics'!G:G,MATCH($C824,'Policy Characteristics'!$C:$C,0))),"",INDEX('Policy Characteristics'!G:G,MATCH($C824,'Policy Characteristics'!$C:$C,0)))</f>
        <v>1</v>
      </c>
      <c r="N824" s="283">
        <f>IF(ISBLANK(INDEX('Policy Characteristics'!H:H,MATCH($C824,'Policy Characteristics'!$C:$C,0))),"",INDEX('Policy Characteristics'!H:H,MATCH($C824,'Policy Characteristics'!$C:$C,0)))</f>
        <v>0.01</v>
      </c>
      <c r="O824" s="275" t="str">
        <f>IF(ISBLANK(INDEX('Policy Characteristics'!I:I,MATCH($C824,'Policy Characteristics'!$C:$C,0))),"",INDEX('Policy Characteristics'!I:I,MATCH($C824,'Policy Characteristics'!$C:$C,0)))</f>
        <v>% of fuel shifted</v>
      </c>
      <c r="P824" s="275" t="str">
        <f>IF(ISBLANK(INDEX('Policy Characteristics'!J:J,MATCH($C824,'Policy Characteristics'!$C:$C,0))),"",INDEX('Policy Characteristics'!J:J,MATCH($C824,'Policy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4" s="275" t="str">
        <f>IF(ISBLANK(INDEX('Policy Characteristics'!K:K,MATCH($C824,'Policy Characteristics'!$C:$C,0))),"",INDEX('Policy Characteristics'!K:K,MATCH($C824,'Policy Characteristics'!$C:$C,0)))</f>
        <v>industry-ag-main.html#fuel-switching</v>
      </c>
      <c r="R824" s="275" t="str">
        <f>IF(ISBLANK(INDEX('Policy Characteristics'!L:L,MATCH($C824,'Policy Characteristics'!$C:$C,0))),"",INDEX('Policy Characteristics'!L:L,MATCH($C824,'Policy Characteristics'!$C:$C,0)))</f>
        <v>industry-elec-and-hydrogen.html</v>
      </c>
    </row>
    <row r="825" spans="1:18" s="2" customFormat="1" x14ac:dyDescent="0.25">
      <c r="A825" s="275" t="str">
        <f>IF(ISBLANK(INDEX('Policy Characteristics'!A:A,MATCH($C825,'Policy Characteristics'!$C:$C,0))),"",INDEX('Policy Characteristics'!A:A,MATCH($C825,'Policy Characteristics'!$C:$C,0)))</f>
        <v>Industry</v>
      </c>
      <c r="B825" s="284" t="str">
        <f>IF(ISBLANK(INDEX('Policy Characteristics'!B:B,MATCH($C825,'Policy Characteristics'!$C:$C,0))),"",INDEX('Policy Characteristics'!B:B,MATCH($C825,'Policy Characteristics'!$C:$C,0)))</f>
        <v>Hydrogen Combustion</v>
      </c>
      <c r="C825" s="275" t="str">
        <f t="shared" si="37"/>
        <v>Fraction of Eligible Industrial Energy Use Shifted to Hydrogen</v>
      </c>
      <c r="D825" s="6" t="s">
        <v>3076</v>
      </c>
      <c r="E825" s="1" t="s">
        <v>3552</v>
      </c>
      <c r="F825" t="s">
        <v>3040</v>
      </c>
      <c r="G825" s="47" t="s">
        <v>3559</v>
      </c>
      <c r="H825" s="44">
        <v>2087</v>
      </c>
      <c r="I825" s="346" t="s">
        <v>43</v>
      </c>
      <c r="J825" s="276" t="str">
        <f>IF(ISBLANK(INDEX('Policy Characteristics'!D:D,MATCH($C825,'Policy Characteristics'!$C:$C,0))),"",INDEX('Policy Characteristics'!D:D,MATCH($C825,'Policy Characteristics'!$C:$C,0)))</f>
        <v>Hydrogen Combustion</v>
      </c>
      <c r="K825" s="275" t="str">
        <f>IF(ISBLANK(INDEX('Policy Characteristics'!E:E,MATCH($C825,'Policy Characteristics'!$C:$C,0))),"",INDEX('Policy Characteristics'!E:E,MATCH($C825,'Policy Characteristics'!$C:$C,0)))</f>
        <v>indst shift to hydrogen</v>
      </c>
      <c r="L825" s="283">
        <f>IF(ISBLANK(INDEX('Policy Characteristics'!F:F,MATCH($C825,'Policy Characteristics'!$C:$C,0))),"",INDEX('Policy Characteristics'!F:F,MATCH($C825,'Policy Characteristics'!$C:$C,0)))</f>
        <v>0</v>
      </c>
      <c r="M825" s="283">
        <f>IF(ISBLANK(INDEX('Policy Characteristics'!G:G,MATCH($C825,'Policy Characteristics'!$C:$C,0))),"",INDEX('Policy Characteristics'!G:G,MATCH($C825,'Policy Characteristics'!$C:$C,0)))</f>
        <v>1</v>
      </c>
      <c r="N825" s="283">
        <f>IF(ISBLANK(INDEX('Policy Characteristics'!H:H,MATCH($C825,'Policy Characteristics'!$C:$C,0))),"",INDEX('Policy Characteristics'!H:H,MATCH($C825,'Policy Characteristics'!$C:$C,0)))</f>
        <v>0.01</v>
      </c>
      <c r="O825" s="275" t="str">
        <f>IF(ISBLANK(INDEX('Policy Characteristics'!I:I,MATCH($C825,'Policy Characteristics'!$C:$C,0))),"",INDEX('Policy Characteristics'!I:I,MATCH($C825,'Policy Characteristics'!$C:$C,0)))</f>
        <v>% of fuel shifted</v>
      </c>
      <c r="P825" s="275" t="str">
        <f>IF(ISBLANK(INDEX('Policy Characteristics'!J:J,MATCH($C825,'Policy Characteristics'!$C:$C,0))),"",INDEX('Policy Characteristics'!J:J,MATCH($C825,'Policy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5" s="275" t="str">
        <f>IF(ISBLANK(INDEX('Policy Characteristics'!K:K,MATCH($C825,'Policy Characteristics'!$C:$C,0))),"",INDEX('Policy Characteristics'!K:K,MATCH($C825,'Policy Characteristics'!$C:$C,0)))</f>
        <v>industry-ag-main.html#fuel-switching</v>
      </c>
      <c r="R825" s="275" t="str">
        <f>IF(ISBLANK(INDEX('Policy Characteristics'!L:L,MATCH($C825,'Policy Characteristics'!$C:$C,0))),"",INDEX('Policy Characteristics'!L:L,MATCH($C825,'Policy Characteristics'!$C:$C,0)))</f>
        <v>industry-elec-and-hydrogen.html</v>
      </c>
    </row>
    <row r="826" spans="1:18" s="2" customFormat="1" x14ac:dyDescent="0.25">
      <c r="A826" s="275" t="str">
        <f>IF(ISBLANK(INDEX('Policy Characteristics'!A:A,MATCH($C826,'Policy Characteristics'!$C:$C,0))),"",INDEX('Policy Characteristics'!A:A,MATCH($C826,'Policy Characteristics'!$C:$C,0)))</f>
        <v>Industry</v>
      </c>
      <c r="B826" s="284" t="str">
        <f>IF(ISBLANK(INDEX('Policy Characteristics'!B:B,MATCH($C826,'Policy Characteristics'!$C:$C,0))),"",INDEX('Policy Characteristics'!B:B,MATCH($C826,'Policy Characteristics'!$C:$C,0)))</f>
        <v>Hydrogen Combustion</v>
      </c>
      <c r="C826" s="275" t="str">
        <f t="shared" si="37"/>
        <v>Fraction of Eligible Industrial Energy Use Shifted to Hydrogen</v>
      </c>
      <c r="D826" s="6" t="s">
        <v>3076</v>
      </c>
      <c r="E826" s="1" t="s">
        <v>3553</v>
      </c>
      <c r="F826" t="s">
        <v>3040</v>
      </c>
      <c r="G826" s="47" t="s">
        <v>3560</v>
      </c>
      <c r="H826" s="44">
        <v>2088</v>
      </c>
      <c r="I826" s="346" t="s">
        <v>44</v>
      </c>
      <c r="J826" s="276" t="str">
        <f>IF(ISBLANK(INDEX('Policy Characteristics'!D:D,MATCH($C826,'Policy Characteristics'!$C:$C,0))),"",INDEX('Policy Characteristics'!D:D,MATCH($C826,'Policy Characteristics'!$C:$C,0)))</f>
        <v>Hydrogen Combustion</v>
      </c>
      <c r="K826" s="275" t="str">
        <f>IF(ISBLANK(INDEX('Policy Characteristics'!E:E,MATCH($C826,'Policy Characteristics'!$C:$C,0))),"",INDEX('Policy Characteristics'!E:E,MATCH($C826,'Policy Characteristics'!$C:$C,0)))</f>
        <v>indst shift to hydrogen</v>
      </c>
      <c r="L826" s="283">
        <f>IF(ISBLANK(INDEX('Policy Characteristics'!F:F,MATCH($C826,'Policy Characteristics'!$C:$C,0))),"",INDEX('Policy Characteristics'!F:F,MATCH($C826,'Policy Characteristics'!$C:$C,0)))</f>
        <v>0</v>
      </c>
      <c r="M826" s="283">
        <f>IF(ISBLANK(INDEX('Policy Characteristics'!G:G,MATCH($C826,'Policy Characteristics'!$C:$C,0))),"",INDEX('Policy Characteristics'!G:G,MATCH($C826,'Policy Characteristics'!$C:$C,0)))</f>
        <v>1</v>
      </c>
      <c r="N826" s="283">
        <f>IF(ISBLANK(INDEX('Policy Characteristics'!H:H,MATCH($C826,'Policy Characteristics'!$C:$C,0))),"",INDEX('Policy Characteristics'!H:H,MATCH($C826,'Policy Characteristics'!$C:$C,0)))</f>
        <v>0.01</v>
      </c>
      <c r="O826" s="275" t="str">
        <f>IF(ISBLANK(INDEX('Policy Characteristics'!I:I,MATCH($C826,'Policy Characteristics'!$C:$C,0))),"",INDEX('Policy Characteristics'!I:I,MATCH($C826,'Policy Characteristics'!$C:$C,0)))</f>
        <v>% of fuel shifted</v>
      </c>
      <c r="P826" s="275" t="str">
        <f>IF(ISBLANK(INDEX('Policy Characteristics'!J:J,MATCH($C826,'Policy Characteristics'!$C:$C,0))),"",INDEX('Policy Characteristics'!J:J,MATCH($C826,'Policy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6" s="275" t="str">
        <f>IF(ISBLANK(INDEX('Policy Characteristics'!K:K,MATCH($C826,'Policy Characteristics'!$C:$C,0))),"",INDEX('Policy Characteristics'!K:K,MATCH($C826,'Policy Characteristics'!$C:$C,0)))</f>
        <v>industry-ag-main.html#fuel-switching</v>
      </c>
      <c r="R826" s="275" t="str">
        <f>IF(ISBLANK(INDEX('Policy Characteristics'!L:L,MATCH($C826,'Policy Characteristics'!$C:$C,0))),"",INDEX('Policy Characteristics'!L:L,MATCH($C826,'Policy Characteristics'!$C:$C,0)))</f>
        <v>industry-elec-and-hydrogen.html</v>
      </c>
    </row>
    <row r="827" spans="1:18" s="2" customFormat="1" x14ac:dyDescent="0.25">
      <c r="A827" s="275" t="str">
        <f>IF(ISBLANK(INDEX('Policy Characteristics'!A:A,MATCH($C827,'Policy Characteristics'!$C:$C,0))),"",INDEX('Policy Characteristics'!A:A,MATCH($C827,'Policy Characteristics'!$C:$C,0)))</f>
        <v>Industry</v>
      </c>
      <c r="B827" s="284" t="str">
        <f>IF(ISBLANK(INDEX('Policy Characteristics'!B:B,MATCH($C827,'Policy Characteristics'!$C:$C,0))),"",INDEX('Policy Characteristics'!B:B,MATCH($C827,'Policy Characteristics'!$C:$C,0)))</f>
        <v>Hydrogen Combustion</v>
      </c>
      <c r="C827" s="275" t="str">
        <f t="shared" si="37"/>
        <v>Fraction of Eligible Industrial Energy Use Shifted to Hydrogen</v>
      </c>
      <c r="D827" s="6" t="s">
        <v>3076</v>
      </c>
      <c r="E827" s="1" t="s">
        <v>3737</v>
      </c>
      <c r="F827" t="s">
        <v>3040</v>
      </c>
      <c r="G827" s="47" t="s">
        <v>3738</v>
      </c>
      <c r="H827" s="44">
        <v>2089</v>
      </c>
      <c r="I827" s="346" t="s">
        <v>43</v>
      </c>
      <c r="J827" s="276" t="str">
        <f>IF(ISBLANK(INDEX('Policy Characteristics'!D:D,MATCH($C827,'Policy Characteristics'!$C:$C,0))),"",INDEX('Policy Characteristics'!D:D,MATCH($C827,'Policy Characteristics'!$C:$C,0)))</f>
        <v>Hydrogen Combustion</v>
      </c>
      <c r="K827" s="275" t="str">
        <f>IF(ISBLANK(INDEX('Policy Characteristics'!E:E,MATCH($C827,'Policy Characteristics'!$C:$C,0))),"",INDEX('Policy Characteristics'!E:E,MATCH($C827,'Policy Characteristics'!$C:$C,0)))</f>
        <v>indst shift to hydrogen</v>
      </c>
      <c r="L827" s="283">
        <f>IF(ISBLANK(INDEX('Policy Characteristics'!F:F,MATCH($C827,'Policy Characteristics'!$C:$C,0))),"",INDEX('Policy Characteristics'!F:F,MATCH($C827,'Policy Characteristics'!$C:$C,0)))</f>
        <v>0</v>
      </c>
      <c r="M827" s="283">
        <f>IF(ISBLANK(INDEX('Policy Characteristics'!G:G,MATCH($C827,'Policy Characteristics'!$C:$C,0))),"",INDEX('Policy Characteristics'!G:G,MATCH($C827,'Policy Characteristics'!$C:$C,0)))</f>
        <v>1</v>
      </c>
      <c r="N827" s="283">
        <f>IF(ISBLANK(INDEX('Policy Characteristics'!H:H,MATCH($C827,'Policy Characteristics'!$C:$C,0))),"",INDEX('Policy Characteristics'!H:H,MATCH($C827,'Policy Characteristics'!$C:$C,0)))</f>
        <v>0.01</v>
      </c>
      <c r="O827" s="275" t="str">
        <f>IF(ISBLANK(INDEX('Policy Characteristics'!I:I,MATCH($C827,'Policy Characteristics'!$C:$C,0))),"",INDEX('Policy Characteristics'!I:I,MATCH($C827,'Policy Characteristics'!$C:$C,0)))</f>
        <v>% of fuel shifted</v>
      </c>
      <c r="P827" s="275" t="str">
        <f>IF(ISBLANK(INDEX('Policy Characteristics'!J:J,MATCH($C827,'Policy Characteristics'!$C:$C,0))),"",INDEX('Policy Characteristics'!J:J,MATCH($C827,'Policy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7" s="275" t="str">
        <f>IF(ISBLANK(INDEX('Policy Characteristics'!K:K,MATCH($C827,'Policy Characteristics'!$C:$C,0))),"",INDEX('Policy Characteristics'!K:K,MATCH($C827,'Policy Characteristics'!$C:$C,0)))</f>
        <v>industry-ag-main.html#fuel-switching</v>
      </c>
      <c r="R827" s="275" t="str">
        <f>IF(ISBLANK(INDEX('Policy Characteristics'!L:L,MATCH($C827,'Policy Characteristics'!$C:$C,0))),"",INDEX('Policy Characteristics'!L:L,MATCH($C827,'Policy Characteristics'!$C:$C,0)))</f>
        <v>industry-elec-and-hydrogen.html</v>
      </c>
    </row>
    <row r="828" spans="1:18" s="2" customFormat="1" x14ac:dyDescent="0.25">
      <c r="A828" s="275" t="str">
        <f>IF(ISBLANK(INDEX('Policy Characteristics'!A:A,MATCH($C828,'Policy Characteristics'!$C:$C,0))),"",INDEX('Policy Characteristics'!A:A,MATCH($C828,'Policy Characteristics'!$C:$C,0)))</f>
        <v>Industry</v>
      </c>
      <c r="B828" s="284" t="str">
        <f>IF(ISBLANK(INDEX('Policy Characteristics'!B:B,MATCH($C828,'Policy Characteristics'!$C:$C,0))),"",INDEX('Policy Characteristics'!B:B,MATCH($C828,'Policy Characteristics'!$C:$C,0)))</f>
        <v>Hydrogen Combustion</v>
      </c>
      <c r="C828" s="275" t="str">
        <f t="shared" si="37"/>
        <v>Fraction of Eligible Industrial Energy Use Shifted to Hydrogen</v>
      </c>
      <c r="D828" s="6" t="s">
        <v>3077</v>
      </c>
      <c r="E828" s="1" t="s">
        <v>3547</v>
      </c>
      <c r="F828" t="s">
        <v>3041</v>
      </c>
      <c r="G828" s="47" t="s">
        <v>3554</v>
      </c>
      <c r="H828" s="44">
        <v>2090</v>
      </c>
      <c r="I828" s="346" t="s">
        <v>43</v>
      </c>
      <c r="J828" s="276" t="str">
        <f>IF(ISBLANK(INDEX('Policy Characteristics'!D:D,MATCH($C828,'Policy Characteristics'!$C:$C,0))),"",INDEX('Policy Characteristics'!D:D,MATCH($C828,'Policy Characteristics'!$C:$C,0)))</f>
        <v>Hydrogen Combustion</v>
      </c>
      <c r="K828" s="275" t="str">
        <f>IF(ISBLANK(INDEX('Policy Characteristics'!E:E,MATCH($C828,'Policy Characteristics'!$C:$C,0))),"",INDEX('Policy Characteristics'!E:E,MATCH($C828,'Policy Characteristics'!$C:$C,0)))</f>
        <v>indst shift to hydrogen</v>
      </c>
      <c r="L828" s="283">
        <f>IF(ISBLANK(INDEX('Policy Characteristics'!F:F,MATCH($C828,'Policy Characteristics'!$C:$C,0))),"",INDEX('Policy Characteristics'!F:F,MATCH($C828,'Policy Characteristics'!$C:$C,0)))</f>
        <v>0</v>
      </c>
      <c r="M828" s="283">
        <f>IF(ISBLANK(INDEX('Policy Characteristics'!G:G,MATCH($C828,'Policy Characteristics'!$C:$C,0))),"",INDEX('Policy Characteristics'!G:G,MATCH($C828,'Policy Characteristics'!$C:$C,0)))</f>
        <v>1</v>
      </c>
      <c r="N828" s="283">
        <f>IF(ISBLANK(INDEX('Policy Characteristics'!H:H,MATCH($C828,'Policy Characteristics'!$C:$C,0))),"",INDEX('Policy Characteristics'!H:H,MATCH($C828,'Policy Characteristics'!$C:$C,0)))</f>
        <v>0.01</v>
      </c>
      <c r="O828" s="275" t="str">
        <f>IF(ISBLANK(INDEX('Policy Characteristics'!I:I,MATCH($C828,'Policy Characteristics'!$C:$C,0))),"",INDEX('Policy Characteristics'!I:I,MATCH($C828,'Policy Characteristics'!$C:$C,0)))</f>
        <v>% of fuel shifted</v>
      </c>
      <c r="P828" s="275" t="str">
        <f>IF(ISBLANK(INDEX('Policy Characteristics'!J:J,MATCH($C828,'Policy Characteristics'!$C:$C,0))),"",INDEX('Policy Characteristics'!J:J,MATCH($C828,'Policy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8" s="275" t="str">
        <f>IF(ISBLANK(INDEX('Policy Characteristics'!K:K,MATCH($C828,'Policy Characteristics'!$C:$C,0))),"",INDEX('Policy Characteristics'!K:K,MATCH($C828,'Policy Characteristics'!$C:$C,0)))</f>
        <v>industry-ag-main.html#fuel-switching</v>
      </c>
      <c r="R828" s="275" t="str">
        <f>IF(ISBLANK(INDEX('Policy Characteristics'!L:L,MATCH($C828,'Policy Characteristics'!$C:$C,0))),"",INDEX('Policy Characteristics'!L:L,MATCH($C828,'Policy Characteristics'!$C:$C,0)))</f>
        <v>industry-elec-and-hydrogen.html</v>
      </c>
    </row>
    <row r="829" spans="1:18" s="2" customFormat="1" x14ac:dyDescent="0.25">
      <c r="A829" s="275" t="str">
        <f>IF(ISBLANK(INDEX('Policy Characteristics'!A:A,MATCH($C829,'Policy Characteristics'!$C:$C,0))),"",INDEX('Policy Characteristics'!A:A,MATCH($C829,'Policy Characteristics'!$C:$C,0)))</f>
        <v>Industry</v>
      </c>
      <c r="B829" s="284" t="str">
        <f>IF(ISBLANK(INDEX('Policy Characteristics'!B:B,MATCH($C829,'Policy Characteristics'!$C:$C,0))),"",INDEX('Policy Characteristics'!B:B,MATCH($C829,'Policy Characteristics'!$C:$C,0)))</f>
        <v>Hydrogen Combustion</v>
      </c>
      <c r="C829" s="275" t="str">
        <f t="shared" si="37"/>
        <v>Fraction of Eligible Industrial Energy Use Shifted to Hydrogen</v>
      </c>
      <c r="D829" s="6" t="s">
        <v>3077</v>
      </c>
      <c r="E829" s="1" t="s">
        <v>3548</v>
      </c>
      <c r="F829" t="s">
        <v>3041</v>
      </c>
      <c r="G829" s="47" t="s">
        <v>3555</v>
      </c>
      <c r="H829" s="44">
        <v>2091</v>
      </c>
      <c r="I829" s="346" t="s">
        <v>43</v>
      </c>
      <c r="J829" s="276" t="str">
        <f>IF(ISBLANK(INDEX('Policy Characteristics'!D:D,MATCH($C829,'Policy Characteristics'!$C:$C,0))),"",INDEX('Policy Characteristics'!D:D,MATCH($C829,'Policy Characteristics'!$C:$C,0)))</f>
        <v>Hydrogen Combustion</v>
      </c>
      <c r="K829" s="275" t="str">
        <f>IF(ISBLANK(INDEX('Policy Characteristics'!E:E,MATCH($C829,'Policy Characteristics'!$C:$C,0))),"",INDEX('Policy Characteristics'!E:E,MATCH($C829,'Policy Characteristics'!$C:$C,0)))</f>
        <v>indst shift to hydrogen</v>
      </c>
      <c r="L829" s="283">
        <f>IF(ISBLANK(INDEX('Policy Characteristics'!F:F,MATCH($C829,'Policy Characteristics'!$C:$C,0))),"",INDEX('Policy Characteristics'!F:F,MATCH($C829,'Policy Characteristics'!$C:$C,0)))</f>
        <v>0</v>
      </c>
      <c r="M829" s="283">
        <f>IF(ISBLANK(INDEX('Policy Characteristics'!G:G,MATCH($C829,'Policy Characteristics'!$C:$C,0))),"",INDEX('Policy Characteristics'!G:G,MATCH($C829,'Policy Characteristics'!$C:$C,0)))</f>
        <v>1</v>
      </c>
      <c r="N829" s="283">
        <f>IF(ISBLANK(INDEX('Policy Characteristics'!H:H,MATCH($C829,'Policy Characteristics'!$C:$C,0))),"",INDEX('Policy Characteristics'!H:H,MATCH($C829,'Policy Characteristics'!$C:$C,0)))</f>
        <v>0.01</v>
      </c>
      <c r="O829" s="275" t="str">
        <f>IF(ISBLANK(INDEX('Policy Characteristics'!I:I,MATCH($C829,'Policy Characteristics'!$C:$C,0))),"",INDEX('Policy Characteristics'!I:I,MATCH($C829,'Policy Characteristics'!$C:$C,0)))</f>
        <v>% of fuel shifted</v>
      </c>
      <c r="P829" s="275" t="str">
        <f>IF(ISBLANK(INDEX('Policy Characteristics'!J:J,MATCH($C829,'Policy Characteristics'!$C:$C,0))),"",INDEX('Policy Characteristics'!J:J,MATCH($C829,'Policy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9" s="275" t="str">
        <f>IF(ISBLANK(INDEX('Policy Characteristics'!K:K,MATCH($C829,'Policy Characteristics'!$C:$C,0))),"",INDEX('Policy Characteristics'!K:K,MATCH($C829,'Policy Characteristics'!$C:$C,0)))</f>
        <v>industry-ag-main.html#fuel-switching</v>
      </c>
      <c r="R829" s="275" t="str">
        <f>IF(ISBLANK(INDEX('Policy Characteristics'!L:L,MATCH($C829,'Policy Characteristics'!$C:$C,0))),"",INDEX('Policy Characteristics'!L:L,MATCH($C829,'Policy Characteristics'!$C:$C,0)))</f>
        <v>industry-elec-and-hydrogen.html</v>
      </c>
    </row>
    <row r="830" spans="1:18" s="2" customFormat="1" x14ac:dyDescent="0.25">
      <c r="A830" s="275" t="str">
        <f>IF(ISBLANK(INDEX('Policy Characteristics'!A:A,MATCH($C830,'Policy Characteristics'!$C:$C,0))),"",INDEX('Policy Characteristics'!A:A,MATCH($C830,'Policy Characteristics'!$C:$C,0)))</f>
        <v>Industry</v>
      </c>
      <c r="B830" s="284" t="str">
        <f>IF(ISBLANK(INDEX('Policy Characteristics'!B:B,MATCH($C830,'Policy Characteristics'!$C:$C,0))),"",INDEX('Policy Characteristics'!B:B,MATCH($C830,'Policy Characteristics'!$C:$C,0)))</f>
        <v>Hydrogen Combustion</v>
      </c>
      <c r="C830" s="275" t="str">
        <f t="shared" si="37"/>
        <v>Fraction of Eligible Industrial Energy Use Shifted to Hydrogen</v>
      </c>
      <c r="D830" s="6" t="s">
        <v>3077</v>
      </c>
      <c r="E830" s="1" t="s">
        <v>3549</v>
      </c>
      <c r="F830" t="s">
        <v>3041</v>
      </c>
      <c r="G830" s="47" t="s">
        <v>3556</v>
      </c>
      <c r="H830" s="44">
        <v>2092</v>
      </c>
      <c r="I830" s="346" t="s">
        <v>43</v>
      </c>
      <c r="J830" s="276" t="str">
        <f>IF(ISBLANK(INDEX('Policy Characteristics'!D:D,MATCH($C830,'Policy Characteristics'!$C:$C,0))),"",INDEX('Policy Characteristics'!D:D,MATCH($C830,'Policy Characteristics'!$C:$C,0)))</f>
        <v>Hydrogen Combustion</v>
      </c>
      <c r="K830" s="275" t="str">
        <f>IF(ISBLANK(INDEX('Policy Characteristics'!E:E,MATCH($C830,'Policy Characteristics'!$C:$C,0))),"",INDEX('Policy Characteristics'!E:E,MATCH($C830,'Policy Characteristics'!$C:$C,0)))</f>
        <v>indst shift to hydrogen</v>
      </c>
      <c r="L830" s="283">
        <f>IF(ISBLANK(INDEX('Policy Characteristics'!F:F,MATCH($C830,'Policy Characteristics'!$C:$C,0))),"",INDEX('Policy Characteristics'!F:F,MATCH($C830,'Policy Characteristics'!$C:$C,0)))</f>
        <v>0</v>
      </c>
      <c r="M830" s="283">
        <f>IF(ISBLANK(INDEX('Policy Characteristics'!G:G,MATCH($C830,'Policy Characteristics'!$C:$C,0))),"",INDEX('Policy Characteristics'!G:G,MATCH($C830,'Policy Characteristics'!$C:$C,0)))</f>
        <v>1</v>
      </c>
      <c r="N830" s="283">
        <f>IF(ISBLANK(INDEX('Policy Characteristics'!H:H,MATCH($C830,'Policy Characteristics'!$C:$C,0))),"",INDEX('Policy Characteristics'!H:H,MATCH($C830,'Policy Characteristics'!$C:$C,0)))</f>
        <v>0.01</v>
      </c>
      <c r="O830" s="275" t="str">
        <f>IF(ISBLANK(INDEX('Policy Characteristics'!I:I,MATCH($C830,'Policy Characteristics'!$C:$C,0))),"",INDEX('Policy Characteristics'!I:I,MATCH($C830,'Policy Characteristics'!$C:$C,0)))</f>
        <v>% of fuel shifted</v>
      </c>
      <c r="P830" s="275" t="str">
        <f>IF(ISBLANK(INDEX('Policy Characteristics'!J:J,MATCH($C830,'Policy Characteristics'!$C:$C,0))),"",INDEX('Policy Characteristics'!J:J,MATCH($C830,'Policy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0" s="275" t="str">
        <f>IF(ISBLANK(INDEX('Policy Characteristics'!K:K,MATCH($C830,'Policy Characteristics'!$C:$C,0))),"",INDEX('Policy Characteristics'!K:K,MATCH($C830,'Policy Characteristics'!$C:$C,0)))</f>
        <v>industry-ag-main.html#fuel-switching</v>
      </c>
      <c r="R830" s="275" t="str">
        <f>IF(ISBLANK(INDEX('Policy Characteristics'!L:L,MATCH($C830,'Policy Characteristics'!$C:$C,0))),"",INDEX('Policy Characteristics'!L:L,MATCH($C830,'Policy Characteristics'!$C:$C,0)))</f>
        <v>industry-elec-and-hydrogen.html</v>
      </c>
    </row>
    <row r="831" spans="1:18" s="2" customFormat="1" x14ac:dyDescent="0.25">
      <c r="A831" s="275" t="str">
        <f>IF(ISBLANK(INDEX('Policy Characteristics'!A:A,MATCH($C831,'Policy Characteristics'!$C:$C,0))),"",INDEX('Policy Characteristics'!A:A,MATCH($C831,'Policy Characteristics'!$C:$C,0)))</f>
        <v>Industry</v>
      </c>
      <c r="B831" s="284" t="str">
        <f>IF(ISBLANK(INDEX('Policy Characteristics'!B:B,MATCH($C831,'Policy Characteristics'!$C:$C,0))),"",INDEX('Policy Characteristics'!B:B,MATCH($C831,'Policy Characteristics'!$C:$C,0)))</f>
        <v>Hydrogen Combustion</v>
      </c>
      <c r="C831" s="275" t="str">
        <f t="shared" si="37"/>
        <v>Fraction of Eligible Industrial Energy Use Shifted to Hydrogen</v>
      </c>
      <c r="D831" s="6" t="s">
        <v>3077</v>
      </c>
      <c r="E831" s="1" t="s">
        <v>3550</v>
      </c>
      <c r="F831" t="s">
        <v>3041</v>
      </c>
      <c r="G831" s="47" t="s">
        <v>3557</v>
      </c>
      <c r="H831" s="44">
        <v>2093</v>
      </c>
      <c r="I831" s="346" t="s">
        <v>43</v>
      </c>
      <c r="J831" s="276" t="str">
        <f>IF(ISBLANK(INDEX('Policy Characteristics'!D:D,MATCH($C831,'Policy Characteristics'!$C:$C,0))),"",INDEX('Policy Characteristics'!D:D,MATCH($C831,'Policy Characteristics'!$C:$C,0)))</f>
        <v>Hydrogen Combustion</v>
      </c>
      <c r="K831" s="275" t="str">
        <f>IF(ISBLANK(INDEX('Policy Characteristics'!E:E,MATCH($C831,'Policy Characteristics'!$C:$C,0))),"",INDEX('Policy Characteristics'!E:E,MATCH($C831,'Policy Characteristics'!$C:$C,0)))</f>
        <v>indst shift to hydrogen</v>
      </c>
      <c r="L831" s="283">
        <f>IF(ISBLANK(INDEX('Policy Characteristics'!F:F,MATCH($C831,'Policy Characteristics'!$C:$C,0))),"",INDEX('Policy Characteristics'!F:F,MATCH($C831,'Policy Characteristics'!$C:$C,0)))</f>
        <v>0</v>
      </c>
      <c r="M831" s="283">
        <f>IF(ISBLANK(INDEX('Policy Characteristics'!G:G,MATCH($C831,'Policy Characteristics'!$C:$C,0))),"",INDEX('Policy Characteristics'!G:G,MATCH($C831,'Policy Characteristics'!$C:$C,0)))</f>
        <v>1</v>
      </c>
      <c r="N831" s="283">
        <f>IF(ISBLANK(INDEX('Policy Characteristics'!H:H,MATCH($C831,'Policy Characteristics'!$C:$C,0))),"",INDEX('Policy Characteristics'!H:H,MATCH($C831,'Policy Characteristics'!$C:$C,0)))</f>
        <v>0.01</v>
      </c>
      <c r="O831" s="275" t="str">
        <f>IF(ISBLANK(INDEX('Policy Characteristics'!I:I,MATCH($C831,'Policy Characteristics'!$C:$C,0))),"",INDEX('Policy Characteristics'!I:I,MATCH($C831,'Policy Characteristics'!$C:$C,0)))</f>
        <v>% of fuel shifted</v>
      </c>
      <c r="P831" s="275" t="str">
        <f>IF(ISBLANK(INDEX('Policy Characteristics'!J:J,MATCH($C831,'Policy Characteristics'!$C:$C,0))),"",INDEX('Policy Characteristics'!J:J,MATCH($C831,'Policy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1" s="275" t="str">
        <f>IF(ISBLANK(INDEX('Policy Characteristics'!K:K,MATCH($C831,'Policy Characteristics'!$C:$C,0))),"",INDEX('Policy Characteristics'!K:K,MATCH($C831,'Policy Characteristics'!$C:$C,0)))</f>
        <v>industry-ag-main.html#fuel-switching</v>
      </c>
      <c r="R831" s="275" t="str">
        <f>IF(ISBLANK(INDEX('Policy Characteristics'!L:L,MATCH($C831,'Policy Characteristics'!$C:$C,0))),"",INDEX('Policy Characteristics'!L:L,MATCH($C831,'Policy Characteristics'!$C:$C,0)))</f>
        <v>industry-elec-and-hydrogen.html</v>
      </c>
    </row>
    <row r="832" spans="1:18" s="2" customFormat="1" x14ac:dyDescent="0.25">
      <c r="A832" s="275" t="str">
        <f>IF(ISBLANK(INDEX('Policy Characteristics'!A:A,MATCH($C832,'Policy Characteristics'!$C:$C,0))),"",INDEX('Policy Characteristics'!A:A,MATCH($C832,'Policy Characteristics'!$C:$C,0)))</f>
        <v>Industry</v>
      </c>
      <c r="B832" s="284" t="str">
        <f>IF(ISBLANK(INDEX('Policy Characteristics'!B:B,MATCH($C832,'Policy Characteristics'!$C:$C,0))),"",INDEX('Policy Characteristics'!B:B,MATCH($C832,'Policy Characteristics'!$C:$C,0)))</f>
        <v>Hydrogen Combustion</v>
      </c>
      <c r="C832" s="275" t="str">
        <f t="shared" si="37"/>
        <v>Fraction of Eligible Industrial Energy Use Shifted to Hydrogen</v>
      </c>
      <c r="D832" s="6" t="s">
        <v>3077</v>
      </c>
      <c r="E832" s="1" t="s">
        <v>3551</v>
      </c>
      <c r="F832" t="s">
        <v>3041</v>
      </c>
      <c r="G832" s="47" t="s">
        <v>3558</v>
      </c>
      <c r="H832" s="44">
        <v>2094</v>
      </c>
      <c r="I832" s="346" t="s">
        <v>44</v>
      </c>
      <c r="J832" s="276" t="str">
        <f>IF(ISBLANK(INDEX('Policy Characteristics'!D:D,MATCH($C832,'Policy Characteristics'!$C:$C,0))),"",INDEX('Policy Characteristics'!D:D,MATCH($C832,'Policy Characteristics'!$C:$C,0)))</f>
        <v>Hydrogen Combustion</v>
      </c>
      <c r="K832" s="275" t="str">
        <f>IF(ISBLANK(INDEX('Policy Characteristics'!E:E,MATCH($C832,'Policy Characteristics'!$C:$C,0))),"",INDEX('Policy Characteristics'!E:E,MATCH($C832,'Policy Characteristics'!$C:$C,0)))</f>
        <v>indst shift to hydrogen</v>
      </c>
      <c r="L832" s="283">
        <f>IF(ISBLANK(INDEX('Policy Characteristics'!F:F,MATCH($C832,'Policy Characteristics'!$C:$C,0))),"",INDEX('Policy Characteristics'!F:F,MATCH($C832,'Policy Characteristics'!$C:$C,0)))</f>
        <v>0</v>
      </c>
      <c r="M832" s="283">
        <f>IF(ISBLANK(INDEX('Policy Characteristics'!G:G,MATCH($C832,'Policy Characteristics'!$C:$C,0))),"",INDEX('Policy Characteristics'!G:G,MATCH($C832,'Policy Characteristics'!$C:$C,0)))</f>
        <v>1</v>
      </c>
      <c r="N832" s="283">
        <f>IF(ISBLANK(INDEX('Policy Characteristics'!H:H,MATCH($C832,'Policy Characteristics'!$C:$C,0))),"",INDEX('Policy Characteristics'!H:H,MATCH($C832,'Policy Characteristics'!$C:$C,0)))</f>
        <v>0.01</v>
      </c>
      <c r="O832" s="275" t="str">
        <f>IF(ISBLANK(INDEX('Policy Characteristics'!I:I,MATCH($C832,'Policy Characteristics'!$C:$C,0))),"",INDEX('Policy Characteristics'!I:I,MATCH($C832,'Policy Characteristics'!$C:$C,0)))</f>
        <v>% of fuel shifted</v>
      </c>
      <c r="P832" s="275" t="str">
        <f>IF(ISBLANK(INDEX('Policy Characteristics'!J:J,MATCH($C832,'Policy Characteristics'!$C:$C,0))),"",INDEX('Policy Characteristics'!J:J,MATCH($C832,'Policy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2" s="275" t="str">
        <f>IF(ISBLANK(INDEX('Policy Characteristics'!K:K,MATCH($C832,'Policy Characteristics'!$C:$C,0))),"",INDEX('Policy Characteristics'!K:K,MATCH($C832,'Policy Characteristics'!$C:$C,0)))</f>
        <v>industry-ag-main.html#fuel-switching</v>
      </c>
      <c r="R832" s="275" t="str">
        <f>IF(ISBLANK(INDEX('Policy Characteristics'!L:L,MATCH($C832,'Policy Characteristics'!$C:$C,0))),"",INDEX('Policy Characteristics'!L:L,MATCH($C832,'Policy Characteristics'!$C:$C,0)))</f>
        <v>industry-elec-and-hydrogen.html</v>
      </c>
    </row>
    <row r="833" spans="1:18" s="2" customFormat="1" x14ac:dyDescent="0.25">
      <c r="A833" s="275" t="str">
        <f>IF(ISBLANK(INDEX('Policy Characteristics'!A:A,MATCH($C833,'Policy Characteristics'!$C:$C,0))),"",INDEX('Policy Characteristics'!A:A,MATCH($C833,'Policy Characteristics'!$C:$C,0)))</f>
        <v>Industry</v>
      </c>
      <c r="B833" s="284" t="str">
        <f>IF(ISBLANK(INDEX('Policy Characteristics'!B:B,MATCH($C833,'Policy Characteristics'!$C:$C,0))),"",INDEX('Policy Characteristics'!B:B,MATCH($C833,'Policy Characteristics'!$C:$C,0)))</f>
        <v>Hydrogen Combustion</v>
      </c>
      <c r="C833" s="275" t="str">
        <f t="shared" si="37"/>
        <v>Fraction of Eligible Industrial Energy Use Shifted to Hydrogen</v>
      </c>
      <c r="D833" s="6" t="s">
        <v>3077</v>
      </c>
      <c r="E833" s="1" t="s">
        <v>3552</v>
      </c>
      <c r="F833" t="s">
        <v>3041</v>
      </c>
      <c r="G833" s="47" t="s">
        <v>3559</v>
      </c>
      <c r="H833" s="44">
        <v>2095</v>
      </c>
      <c r="I833" s="346" t="s">
        <v>43</v>
      </c>
      <c r="J833" s="276" t="str">
        <f>IF(ISBLANK(INDEX('Policy Characteristics'!D:D,MATCH($C833,'Policy Characteristics'!$C:$C,0))),"",INDEX('Policy Characteristics'!D:D,MATCH($C833,'Policy Characteristics'!$C:$C,0)))</f>
        <v>Hydrogen Combustion</v>
      </c>
      <c r="K833" s="275" t="str">
        <f>IF(ISBLANK(INDEX('Policy Characteristics'!E:E,MATCH($C833,'Policy Characteristics'!$C:$C,0))),"",INDEX('Policy Characteristics'!E:E,MATCH($C833,'Policy Characteristics'!$C:$C,0)))</f>
        <v>indst shift to hydrogen</v>
      </c>
      <c r="L833" s="283">
        <f>IF(ISBLANK(INDEX('Policy Characteristics'!F:F,MATCH($C833,'Policy Characteristics'!$C:$C,0))),"",INDEX('Policy Characteristics'!F:F,MATCH($C833,'Policy Characteristics'!$C:$C,0)))</f>
        <v>0</v>
      </c>
      <c r="M833" s="283">
        <f>IF(ISBLANK(INDEX('Policy Characteristics'!G:G,MATCH($C833,'Policy Characteristics'!$C:$C,0))),"",INDEX('Policy Characteristics'!G:G,MATCH($C833,'Policy Characteristics'!$C:$C,0)))</f>
        <v>1</v>
      </c>
      <c r="N833" s="283">
        <f>IF(ISBLANK(INDEX('Policy Characteristics'!H:H,MATCH($C833,'Policy Characteristics'!$C:$C,0))),"",INDEX('Policy Characteristics'!H:H,MATCH($C833,'Policy Characteristics'!$C:$C,0)))</f>
        <v>0.01</v>
      </c>
      <c r="O833" s="275" t="str">
        <f>IF(ISBLANK(INDEX('Policy Characteristics'!I:I,MATCH($C833,'Policy Characteristics'!$C:$C,0))),"",INDEX('Policy Characteristics'!I:I,MATCH($C833,'Policy Characteristics'!$C:$C,0)))</f>
        <v>% of fuel shifted</v>
      </c>
      <c r="P833" s="275" t="str">
        <f>IF(ISBLANK(INDEX('Policy Characteristics'!J:J,MATCH($C833,'Policy Characteristics'!$C:$C,0))),"",INDEX('Policy Characteristics'!J:J,MATCH($C833,'Policy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3" s="275" t="str">
        <f>IF(ISBLANK(INDEX('Policy Characteristics'!K:K,MATCH($C833,'Policy Characteristics'!$C:$C,0))),"",INDEX('Policy Characteristics'!K:K,MATCH($C833,'Policy Characteristics'!$C:$C,0)))</f>
        <v>industry-ag-main.html#fuel-switching</v>
      </c>
      <c r="R833" s="275" t="str">
        <f>IF(ISBLANK(INDEX('Policy Characteristics'!L:L,MATCH($C833,'Policy Characteristics'!$C:$C,0))),"",INDEX('Policy Characteristics'!L:L,MATCH($C833,'Policy Characteristics'!$C:$C,0)))</f>
        <v>industry-elec-and-hydrogen.html</v>
      </c>
    </row>
    <row r="834" spans="1:18" s="2" customFormat="1" x14ac:dyDescent="0.25">
      <c r="A834" s="275" t="str">
        <f>IF(ISBLANK(INDEX('Policy Characteristics'!A:A,MATCH($C834,'Policy Characteristics'!$C:$C,0))),"",INDEX('Policy Characteristics'!A:A,MATCH($C834,'Policy Characteristics'!$C:$C,0)))</f>
        <v>Industry</v>
      </c>
      <c r="B834" s="284" t="str">
        <f>IF(ISBLANK(INDEX('Policy Characteristics'!B:B,MATCH($C834,'Policy Characteristics'!$C:$C,0))),"",INDEX('Policy Characteristics'!B:B,MATCH($C834,'Policy Characteristics'!$C:$C,0)))</f>
        <v>Hydrogen Combustion</v>
      </c>
      <c r="C834" s="275" t="str">
        <f t="shared" si="37"/>
        <v>Fraction of Eligible Industrial Energy Use Shifted to Hydrogen</v>
      </c>
      <c r="D834" s="6" t="s">
        <v>3077</v>
      </c>
      <c r="E834" s="1" t="s">
        <v>3553</v>
      </c>
      <c r="F834" t="s">
        <v>3041</v>
      </c>
      <c r="G834" s="47" t="s">
        <v>3560</v>
      </c>
      <c r="H834" s="44">
        <v>2096</v>
      </c>
      <c r="I834" s="346" t="s">
        <v>44</v>
      </c>
      <c r="J834" s="276" t="str">
        <f>IF(ISBLANK(INDEX('Policy Characteristics'!D:D,MATCH($C834,'Policy Characteristics'!$C:$C,0))),"",INDEX('Policy Characteristics'!D:D,MATCH($C834,'Policy Characteristics'!$C:$C,0)))</f>
        <v>Hydrogen Combustion</v>
      </c>
      <c r="K834" s="275" t="str">
        <f>IF(ISBLANK(INDEX('Policy Characteristics'!E:E,MATCH($C834,'Policy Characteristics'!$C:$C,0))),"",INDEX('Policy Characteristics'!E:E,MATCH($C834,'Policy Characteristics'!$C:$C,0)))</f>
        <v>indst shift to hydrogen</v>
      </c>
      <c r="L834" s="283">
        <f>IF(ISBLANK(INDEX('Policy Characteristics'!F:F,MATCH($C834,'Policy Characteristics'!$C:$C,0))),"",INDEX('Policy Characteristics'!F:F,MATCH($C834,'Policy Characteristics'!$C:$C,0)))</f>
        <v>0</v>
      </c>
      <c r="M834" s="283">
        <f>IF(ISBLANK(INDEX('Policy Characteristics'!G:G,MATCH($C834,'Policy Characteristics'!$C:$C,0))),"",INDEX('Policy Characteristics'!G:G,MATCH($C834,'Policy Characteristics'!$C:$C,0)))</f>
        <v>1</v>
      </c>
      <c r="N834" s="283">
        <f>IF(ISBLANK(INDEX('Policy Characteristics'!H:H,MATCH($C834,'Policy Characteristics'!$C:$C,0))),"",INDEX('Policy Characteristics'!H:H,MATCH($C834,'Policy Characteristics'!$C:$C,0)))</f>
        <v>0.01</v>
      </c>
      <c r="O834" s="275" t="str">
        <f>IF(ISBLANK(INDEX('Policy Characteristics'!I:I,MATCH($C834,'Policy Characteristics'!$C:$C,0))),"",INDEX('Policy Characteristics'!I:I,MATCH($C834,'Policy Characteristics'!$C:$C,0)))</f>
        <v>% of fuel shifted</v>
      </c>
      <c r="P834" s="275" t="str">
        <f>IF(ISBLANK(INDEX('Policy Characteristics'!J:J,MATCH($C834,'Policy Characteristics'!$C:$C,0))),"",INDEX('Policy Characteristics'!J:J,MATCH($C834,'Policy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4" s="275" t="str">
        <f>IF(ISBLANK(INDEX('Policy Characteristics'!K:K,MATCH($C834,'Policy Characteristics'!$C:$C,0))),"",INDEX('Policy Characteristics'!K:K,MATCH($C834,'Policy Characteristics'!$C:$C,0)))</f>
        <v>industry-ag-main.html#fuel-switching</v>
      </c>
      <c r="R834" s="275" t="str">
        <f>IF(ISBLANK(INDEX('Policy Characteristics'!L:L,MATCH($C834,'Policy Characteristics'!$C:$C,0))),"",INDEX('Policy Characteristics'!L:L,MATCH($C834,'Policy Characteristics'!$C:$C,0)))</f>
        <v>industry-elec-and-hydrogen.html</v>
      </c>
    </row>
    <row r="835" spans="1:18" s="2" customFormat="1" x14ac:dyDescent="0.25">
      <c r="A835" s="275" t="str">
        <f>IF(ISBLANK(INDEX('Policy Characteristics'!A:A,MATCH($C835,'Policy Characteristics'!$C:$C,0))),"",INDEX('Policy Characteristics'!A:A,MATCH($C835,'Policy Characteristics'!$C:$C,0)))</f>
        <v>Industry</v>
      </c>
      <c r="B835" s="284" t="str">
        <f>IF(ISBLANK(INDEX('Policy Characteristics'!B:B,MATCH($C835,'Policy Characteristics'!$C:$C,0))),"",INDEX('Policy Characteristics'!B:B,MATCH($C835,'Policy Characteristics'!$C:$C,0)))</f>
        <v>Hydrogen Combustion</v>
      </c>
      <c r="C835" s="275" t="str">
        <f t="shared" si="37"/>
        <v>Fraction of Eligible Industrial Energy Use Shifted to Hydrogen</v>
      </c>
      <c r="D835" s="6" t="s">
        <v>3077</v>
      </c>
      <c r="E835" s="1" t="s">
        <v>3737</v>
      </c>
      <c r="F835" t="s">
        <v>3041</v>
      </c>
      <c r="G835" s="47" t="s">
        <v>3738</v>
      </c>
      <c r="H835" s="44">
        <v>2097</v>
      </c>
      <c r="I835" s="346" t="s">
        <v>43</v>
      </c>
      <c r="J835" s="276" t="str">
        <f>IF(ISBLANK(INDEX('Policy Characteristics'!D:D,MATCH($C835,'Policy Characteristics'!$C:$C,0))),"",INDEX('Policy Characteristics'!D:D,MATCH($C835,'Policy Characteristics'!$C:$C,0)))</f>
        <v>Hydrogen Combustion</v>
      </c>
      <c r="K835" s="275" t="str">
        <f>IF(ISBLANK(INDEX('Policy Characteristics'!E:E,MATCH($C835,'Policy Characteristics'!$C:$C,0))),"",INDEX('Policy Characteristics'!E:E,MATCH($C835,'Policy Characteristics'!$C:$C,0)))</f>
        <v>indst shift to hydrogen</v>
      </c>
      <c r="L835" s="283">
        <f>IF(ISBLANK(INDEX('Policy Characteristics'!F:F,MATCH($C835,'Policy Characteristics'!$C:$C,0))),"",INDEX('Policy Characteristics'!F:F,MATCH($C835,'Policy Characteristics'!$C:$C,0)))</f>
        <v>0</v>
      </c>
      <c r="M835" s="283">
        <f>IF(ISBLANK(INDEX('Policy Characteristics'!G:G,MATCH($C835,'Policy Characteristics'!$C:$C,0))),"",INDEX('Policy Characteristics'!G:G,MATCH($C835,'Policy Characteristics'!$C:$C,0)))</f>
        <v>1</v>
      </c>
      <c r="N835" s="283">
        <f>IF(ISBLANK(INDEX('Policy Characteristics'!H:H,MATCH($C835,'Policy Characteristics'!$C:$C,0))),"",INDEX('Policy Characteristics'!H:H,MATCH($C835,'Policy Characteristics'!$C:$C,0)))</f>
        <v>0.01</v>
      </c>
      <c r="O835" s="275" t="str">
        <f>IF(ISBLANK(INDEX('Policy Characteristics'!I:I,MATCH($C835,'Policy Characteristics'!$C:$C,0))),"",INDEX('Policy Characteristics'!I:I,MATCH($C835,'Policy Characteristics'!$C:$C,0)))</f>
        <v>% of fuel shifted</v>
      </c>
      <c r="P835" s="275" t="str">
        <f>IF(ISBLANK(INDEX('Policy Characteristics'!J:J,MATCH($C835,'Policy Characteristics'!$C:$C,0))),"",INDEX('Policy Characteristics'!J:J,MATCH($C835,'Policy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5" s="275" t="str">
        <f>IF(ISBLANK(INDEX('Policy Characteristics'!K:K,MATCH($C835,'Policy Characteristics'!$C:$C,0))),"",INDEX('Policy Characteristics'!K:K,MATCH($C835,'Policy Characteristics'!$C:$C,0)))</f>
        <v>industry-ag-main.html#fuel-switching</v>
      </c>
      <c r="R835" s="275" t="str">
        <f>IF(ISBLANK(INDEX('Policy Characteristics'!L:L,MATCH($C835,'Policy Characteristics'!$C:$C,0))),"",INDEX('Policy Characteristics'!L:L,MATCH($C835,'Policy Characteristics'!$C:$C,0)))</f>
        <v>industry-elec-and-hydrogen.html</v>
      </c>
    </row>
    <row r="836" spans="1:18" s="2" customFormat="1" x14ac:dyDescent="0.25">
      <c r="A836" s="275" t="str">
        <f>IF(ISBLANK(INDEX('Policy Characteristics'!A:A,MATCH($C836,'Policy Characteristics'!$C:$C,0))),"",INDEX('Policy Characteristics'!A:A,MATCH($C836,'Policy Characteristics'!$C:$C,0)))</f>
        <v>Industry</v>
      </c>
      <c r="B836" s="284" t="str">
        <f>IF(ISBLANK(INDEX('Policy Characteristics'!B:B,MATCH($C836,'Policy Characteristics'!$C:$C,0))),"",INDEX('Policy Characteristics'!B:B,MATCH($C836,'Policy Characteristics'!$C:$C,0)))</f>
        <v>Hydrogen Combustion</v>
      </c>
      <c r="C836" s="275" t="str">
        <f t="shared" si="37"/>
        <v>Fraction of Eligible Industrial Energy Use Shifted to Hydrogen</v>
      </c>
      <c r="D836" s="6" t="s">
        <v>3078</v>
      </c>
      <c r="E836" s="1" t="s">
        <v>3547</v>
      </c>
      <c r="F836" t="s">
        <v>3042</v>
      </c>
      <c r="G836" s="47" t="s">
        <v>3554</v>
      </c>
      <c r="H836" s="44">
        <v>2098</v>
      </c>
      <c r="I836" s="346" t="s">
        <v>43</v>
      </c>
      <c r="J836" s="276" t="str">
        <f>IF(ISBLANK(INDEX('Policy Characteristics'!D:D,MATCH($C836,'Policy Characteristics'!$C:$C,0))),"",INDEX('Policy Characteristics'!D:D,MATCH($C836,'Policy Characteristics'!$C:$C,0)))</f>
        <v>Hydrogen Combustion</v>
      </c>
      <c r="K836" s="275" t="str">
        <f>IF(ISBLANK(INDEX('Policy Characteristics'!E:E,MATCH($C836,'Policy Characteristics'!$C:$C,0))),"",INDEX('Policy Characteristics'!E:E,MATCH($C836,'Policy Characteristics'!$C:$C,0)))</f>
        <v>indst shift to hydrogen</v>
      </c>
      <c r="L836" s="283">
        <f>IF(ISBLANK(INDEX('Policy Characteristics'!F:F,MATCH($C836,'Policy Characteristics'!$C:$C,0))),"",INDEX('Policy Characteristics'!F:F,MATCH($C836,'Policy Characteristics'!$C:$C,0)))</f>
        <v>0</v>
      </c>
      <c r="M836" s="283">
        <f>IF(ISBLANK(INDEX('Policy Characteristics'!G:G,MATCH($C836,'Policy Characteristics'!$C:$C,0))),"",INDEX('Policy Characteristics'!G:G,MATCH($C836,'Policy Characteristics'!$C:$C,0)))</f>
        <v>1</v>
      </c>
      <c r="N836" s="283">
        <f>IF(ISBLANK(INDEX('Policy Characteristics'!H:H,MATCH($C836,'Policy Characteristics'!$C:$C,0))),"",INDEX('Policy Characteristics'!H:H,MATCH($C836,'Policy Characteristics'!$C:$C,0)))</f>
        <v>0.01</v>
      </c>
      <c r="O836" s="275" t="str">
        <f>IF(ISBLANK(INDEX('Policy Characteristics'!I:I,MATCH($C836,'Policy Characteristics'!$C:$C,0))),"",INDEX('Policy Characteristics'!I:I,MATCH($C836,'Policy Characteristics'!$C:$C,0)))</f>
        <v>% of fuel shifted</v>
      </c>
      <c r="P836" s="275" t="str">
        <f>IF(ISBLANK(INDEX('Policy Characteristics'!J:J,MATCH($C836,'Policy Characteristics'!$C:$C,0))),"",INDEX('Policy Characteristics'!J:J,MATCH($C836,'Policy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6" s="275" t="str">
        <f>IF(ISBLANK(INDEX('Policy Characteristics'!K:K,MATCH($C836,'Policy Characteristics'!$C:$C,0))),"",INDEX('Policy Characteristics'!K:K,MATCH($C836,'Policy Characteristics'!$C:$C,0)))</f>
        <v>industry-ag-main.html#fuel-switching</v>
      </c>
      <c r="R836" s="275" t="str">
        <f>IF(ISBLANK(INDEX('Policy Characteristics'!L:L,MATCH($C836,'Policy Characteristics'!$C:$C,0))),"",INDEX('Policy Characteristics'!L:L,MATCH($C836,'Policy Characteristics'!$C:$C,0)))</f>
        <v>industry-elec-and-hydrogen.html</v>
      </c>
    </row>
    <row r="837" spans="1:18" s="2" customFormat="1" x14ac:dyDescent="0.25">
      <c r="A837" s="275" t="str">
        <f>IF(ISBLANK(INDEX('Policy Characteristics'!A:A,MATCH($C837,'Policy Characteristics'!$C:$C,0))),"",INDEX('Policy Characteristics'!A:A,MATCH($C837,'Policy Characteristics'!$C:$C,0)))</f>
        <v>Industry</v>
      </c>
      <c r="B837" s="284" t="str">
        <f>IF(ISBLANK(INDEX('Policy Characteristics'!B:B,MATCH($C837,'Policy Characteristics'!$C:$C,0))),"",INDEX('Policy Characteristics'!B:B,MATCH($C837,'Policy Characteristics'!$C:$C,0)))</f>
        <v>Hydrogen Combustion</v>
      </c>
      <c r="C837" s="275" t="str">
        <f t="shared" si="37"/>
        <v>Fraction of Eligible Industrial Energy Use Shifted to Hydrogen</v>
      </c>
      <c r="D837" s="6" t="s">
        <v>3078</v>
      </c>
      <c r="E837" s="1" t="s">
        <v>3548</v>
      </c>
      <c r="F837" t="s">
        <v>3042</v>
      </c>
      <c r="G837" s="47" t="s">
        <v>3555</v>
      </c>
      <c r="H837" s="44">
        <v>2099</v>
      </c>
      <c r="I837" s="346" t="s">
        <v>43</v>
      </c>
      <c r="J837" s="276" t="str">
        <f>IF(ISBLANK(INDEX('Policy Characteristics'!D:D,MATCH($C837,'Policy Characteristics'!$C:$C,0))),"",INDEX('Policy Characteristics'!D:D,MATCH($C837,'Policy Characteristics'!$C:$C,0)))</f>
        <v>Hydrogen Combustion</v>
      </c>
      <c r="K837" s="275" t="str">
        <f>IF(ISBLANK(INDEX('Policy Characteristics'!E:E,MATCH($C837,'Policy Characteristics'!$C:$C,0))),"",INDEX('Policy Characteristics'!E:E,MATCH($C837,'Policy Characteristics'!$C:$C,0)))</f>
        <v>indst shift to hydrogen</v>
      </c>
      <c r="L837" s="283">
        <f>IF(ISBLANK(INDEX('Policy Characteristics'!F:F,MATCH($C837,'Policy Characteristics'!$C:$C,0))),"",INDEX('Policy Characteristics'!F:F,MATCH($C837,'Policy Characteristics'!$C:$C,0)))</f>
        <v>0</v>
      </c>
      <c r="M837" s="283">
        <f>IF(ISBLANK(INDEX('Policy Characteristics'!G:G,MATCH($C837,'Policy Characteristics'!$C:$C,0))),"",INDEX('Policy Characteristics'!G:G,MATCH($C837,'Policy Characteristics'!$C:$C,0)))</f>
        <v>1</v>
      </c>
      <c r="N837" s="283">
        <f>IF(ISBLANK(INDEX('Policy Characteristics'!H:H,MATCH($C837,'Policy Characteristics'!$C:$C,0))),"",INDEX('Policy Characteristics'!H:H,MATCH($C837,'Policy Characteristics'!$C:$C,0)))</f>
        <v>0.01</v>
      </c>
      <c r="O837" s="275" t="str">
        <f>IF(ISBLANK(INDEX('Policy Characteristics'!I:I,MATCH($C837,'Policy Characteristics'!$C:$C,0))),"",INDEX('Policy Characteristics'!I:I,MATCH($C837,'Policy Characteristics'!$C:$C,0)))</f>
        <v>% of fuel shifted</v>
      </c>
      <c r="P837" s="275" t="str">
        <f>IF(ISBLANK(INDEX('Policy Characteristics'!J:J,MATCH($C837,'Policy Characteristics'!$C:$C,0))),"",INDEX('Policy Characteristics'!J:J,MATCH($C837,'Policy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7" s="275" t="str">
        <f>IF(ISBLANK(INDEX('Policy Characteristics'!K:K,MATCH($C837,'Policy Characteristics'!$C:$C,0))),"",INDEX('Policy Characteristics'!K:K,MATCH($C837,'Policy Characteristics'!$C:$C,0)))</f>
        <v>industry-ag-main.html#fuel-switching</v>
      </c>
      <c r="R837" s="275" t="str">
        <f>IF(ISBLANK(INDEX('Policy Characteristics'!L:L,MATCH($C837,'Policy Characteristics'!$C:$C,0))),"",INDEX('Policy Characteristics'!L:L,MATCH($C837,'Policy Characteristics'!$C:$C,0)))</f>
        <v>industry-elec-and-hydrogen.html</v>
      </c>
    </row>
    <row r="838" spans="1:18" s="2" customFormat="1" x14ac:dyDescent="0.25">
      <c r="A838" s="275" t="str">
        <f>IF(ISBLANK(INDEX('Policy Characteristics'!A:A,MATCH($C838,'Policy Characteristics'!$C:$C,0))),"",INDEX('Policy Characteristics'!A:A,MATCH($C838,'Policy Characteristics'!$C:$C,0)))</f>
        <v>Industry</v>
      </c>
      <c r="B838" s="284" t="str">
        <f>IF(ISBLANK(INDEX('Policy Characteristics'!B:B,MATCH($C838,'Policy Characteristics'!$C:$C,0))),"",INDEX('Policy Characteristics'!B:B,MATCH($C838,'Policy Characteristics'!$C:$C,0)))</f>
        <v>Hydrogen Combustion</v>
      </c>
      <c r="C838" s="275" t="str">
        <f t="shared" ref="C838:C901" si="38">C$772</f>
        <v>Fraction of Eligible Industrial Energy Use Shifted to Hydrogen</v>
      </c>
      <c r="D838" s="6" t="s">
        <v>3078</v>
      </c>
      <c r="E838" s="1" t="s">
        <v>3549</v>
      </c>
      <c r="F838" t="s">
        <v>3042</v>
      </c>
      <c r="G838" s="47" t="s">
        <v>3556</v>
      </c>
      <c r="H838" s="44">
        <v>2100</v>
      </c>
      <c r="I838" s="346" t="s">
        <v>43</v>
      </c>
      <c r="J838" s="276" t="str">
        <f>IF(ISBLANK(INDEX('Policy Characteristics'!D:D,MATCH($C838,'Policy Characteristics'!$C:$C,0))),"",INDEX('Policy Characteristics'!D:D,MATCH($C838,'Policy Characteristics'!$C:$C,0)))</f>
        <v>Hydrogen Combustion</v>
      </c>
      <c r="K838" s="275" t="str">
        <f>IF(ISBLANK(INDEX('Policy Characteristics'!E:E,MATCH($C838,'Policy Characteristics'!$C:$C,0))),"",INDEX('Policy Characteristics'!E:E,MATCH($C838,'Policy Characteristics'!$C:$C,0)))</f>
        <v>indst shift to hydrogen</v>
      </c>
      <c r="L838" s="283">
        <f>IF(ISBLANK(INDEX('Policy Characteristics'!F:F,MATCH($C838,'Policy Characteristics'!$C:$C,0))),"",INDEX('Policy Characteristics'!F:F,MATCH($C838,'Policy Characteristics'!$C:$C,0)))</f>
        <v>0</v>
      </c>
      <c r="M838" s="283">
        <f>IF(ISBLANK(INDEX('Policy Characteristics'!G:G,MATCH($C838,'Policy Characteristics'!$C:$C,0))),"",INDEX('Policy Characteristics'!G:G,MATCH($C838,'Policy Characteristics'!$C:$C,0)))</f>
        <v>1</v>
      </c>
      <c r="N838" s="283">
        <f>IF(ISBLANK(INDEX('Policy Characteristics'!H:H,MATCH($C838,'Policy Characteristics'!$C:$C,0))),"",INDEX('Policy Characteristics'!H:H,MATCH($C838,'Policy Characteristics'!$C:$C,0)))</f>
        <v>0.01</v>
      </c>
      <c r="O838" s="275" t="str">
        <f>IF(ISBLANK(INDEX('Policy Characteristics'!I:I,MATCH($C838,'Policy Characteristics'!$C:$C,0))),"",INDEX('Policy Characteristics'!I:I,MATCH($C838,'Policy Characteristics'!$C:$C,0)))</f>
        <v>% of fuel shifted</v>
      </c>
      <c r="P838" s="275" t="str">
        <f>IF(ISBLANK(INDEX('Policy Characteristics'!J:J,MATCH($C838,'Policy Characteristics'!$C:$C,0))),"",INDEX('Policy Characteristics'!J:J,MATCH($C838,'Policy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8" s="275" t="str">
        <f>IF(ISBLANK(INDEX('Policy Characteristics'!K:K,MATCH($C838,'Policy Characteristics'!$C:$C,0))),"",INDEX('Policy Characteristics'!K:K,MATCH($C838,'Policy Characteristics'!$C:$C,0)))</f>
        <v>industry-ag-main.html#fuel-switching</v>
      </c>
      <c r="R838" s="275" t="str">
        <f>IF(ISBLANK(INDEX('Policy Characteristics'!L:L,MATCH($C838,'Policy Characteristics'!$C:$C,0))),"",INDEX('Policy Characteristics'!L:L,MATCH($C838,'Policy Characteristics'!$C:$C,0)))</f>
        <v>industry-elec-and-hydrogen.html</v>
      </c>
    </row>
    <row r="839" spans="1:18" s="2" customFormat="1" x14ac:dyDescent="0.25">
      <c r="A839" s="275" t="str">
        <f>IF(ISBLANK(INDEX('Policy Characteristics'!A:A,MATCH($C839,'Policy Characteristics'!$C:$C,0))),"",INDEX('Policy Characteristics'!A:A,MATCH($C839,'Policy Characteristics'!$C:$C,0)))</f>
        <v>Industry</v>
      </c>
      <c r="B839" s="284" t="str">
        <f>IF(ISBLANK(INDEX('Policy Characteristics'!B:B,MATCH($C839,'Policy Characteristics'!$C:$C,0))),"",INDEX('Policy Characteristics'!B:B,MATCH($C839,'Policy Characteristics'!$C:$C,0)))</f>
        <v>Hydrogen Combustion</v>
      </c>
      <c r="C839" s="275" t="str">
        <f t="shared" si="38"/>
        <v>Fraction of Eligible Industrial Energy Use Shifted to Hydrogen</v>
      </c>
      <c r="D839" s="6" t="s">
        <v>3078</v>
      </c>
      <c r="E839" s="1" t="s">
        <v>3550</v>
      </c>
      <c r="F839" t="s">
        <v>3042</v>
      </c>
      <c r="G839" s="47" t="s">
        <v>3557</v>
      </c>
      <c r="H839" s="44">
        <v>2101</v>
      </c>
      <c r="I839" s="346" t="s">
        <v>43</v>
      </c>
      <c r="J839" s="276" t="str">
        <f>IF(ISBLANK(INDEX('Policy Characteristics'!D:D,MATCH($C839,'Policy Characteristics'!$C:$C,0))),"",INDEX('Policy Characteristics'!D:D,MATCH($C839,'Policy Characteristics'!$C:$C,0)))</f>
        <v>Hydrogen Combustion</v>
      </c>
      <c r="K839" s="275" t="str">
        <f>IF(ISBLANK(INDEX('Policy Characteristics'!E:E,MATCH($C839,'Policy Characteristics'!$C:$C,0))),"",INDEX('Policy Characteristics'!E:E,MATCH($C839,'Policy Characteristics'!$C:$C,0)))</f>
        <v>indst shift to hydrogen</v>
      </c>
      <c r="L839" s="283">
        <f>IF(ISBLANK(INDEX('Policy Characteristics'!F:F,MATCH($C839,'Policy Characteristics'!$C:$C,0))),"",INDEX('Policy Characteristics'!F:F,MATCH($C839,'Policy Characteristics'!$C:$C,0)))</f>
        <v>0</v>
      </c>
      <c r="M839" s="283">
        <f>IF(ISBLANK(INDEX('Policy Characteristics'!G:G,MATCH($C839,'Policy Characteristics'!$C:$C,0))),"",INDEX('Policy Characteristics'!G:G,MATCH($C839,'Policy Characteristics'!$C:$C,0)))</f>
        <v>1</v>
      </c>
      <c r="N839" s="283">
        <f>IF(ISBLANK(INDEX('Policy Characteristics'!H:H,MATCH($C839,'Policy Characteristics'!$C:$C,0))),"",INDEX('Policy Characteristics'!H:H,MATCH($C839,'Policy Characteristics'!$C:$C,0)))</f>
        <v>0.01</v>
      </c>
      <c r="O839" s="275" t="str">
        <f>IF(ISBLANK(INDEX('Policy Characteristics'!I:I,MATCH($C839,'Policy Characteristics'!$C:$C,0))),"",INDEX('Policy Characteristics'!I:I,MATCH($C839,'Policy Characteristics'!$C:$C,0)))</f>
        <v>% of fuel shifted</v>
      </c>
      <c r="P839" s="275" t="str">
        <f>IF(ISBLANK(INDEX('Policy Characteristics'!J:J,MATCH($C839,'Policy Characteristics'!$C:$C,0))),"",INDEX('Policy Characteristics'!J:J,MATCH($C839,'Policy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9" s="275" t="str">
        <f>IF(ISBLANK(INDEX('Policy Characteristics'!K:K,MATCH($C839,'Policy Characteristics'!$C:$C,0))),"",INDEX('Policy Characteristics'!K:K,MATCH($C839,'Policy Characteristics'!$C:$C,0)))</f>
        <v>industry-ag-main.html#fuel-switching</v>
      </c>
      <c r="R839" s="275" t="str">
        <f>IF(ISBLANK(INDEX('Policy Characteristics'!L:L,MATCH($C839,'Policy Characteristics'!$C:$C,0))),"",INDEX('Policy Characteristics'!L:L,MATCH($C839,'Policy Characteristics'!$C:$C,0)))</f>
        <v>industry-elec-and-hydrogen.html</v>
      </c>
    </row>
    <row r="840" spans="1:18" s="2" customFormat="1" x14ac:dyDescent="0.25">
      <c r="A840" s="275" t="str">
        <f>IF(ISBLANK(INDEX('Policy Characteristics'!A:A,MATCH($C840,'Policy Characteristics'!$C:$C,0))),"",INDEX('Policy Characteristics'!A:A,MATCH($C840,'Policy Characteristics'!$C:$C,0)))</f>
        <v>Industry</v>
      </c>
      <c r="B840" s="284" t="str">
        <f>IF(ISBLANK(INDEX('Policy Characteristics'!B:B,MATCH($C840,'Policy Characteristics'!$C:$C,0))),"",INDEX('Policy Characteristics'!B:B,MATCH($C840,'Policy Characteristics'!$C:$C,0)))</f>
        <v>Hydrogen Combustion</v>
      </c>
      <c r="C840" s="275" t="str">
        <f t="shared" si="38"/>
        <v>Fraction of Eligible Industrial Energy Use Shifted to Hydrogen</v>
      </c>
      <c r="D840" s="6" t="s">
        <v>3078</v>
      </c>
      <c r="E840" s="1" t="s">
        <v>3551</v>
      </c>
      <c r="F840" t="s">
        <v>3042</v>
      </c>
      <c r="G840" s="47" t="s">
        <v>3558</v>
      </c>
      <c r="H840" s="44">
        <v>2102</v>
      </c>
      <c r="I840" s="346" t="s">
        <v>43</v>
      </c>
      <c r="J840" s="276" t="str">
        <f>IF(ISBLANK(INDEX('Policy Characteristics'!D:D,MATCH($C840,'Policy Characteristics'!$C:$C,0))),"",INDEX('Policy Characteristics'!D:D,MATCH($C840,'Policy Characteristics'!$C:$C,0)))</f>
        <v>Hydrogen Combustion</v>
      </c>
      <c r="K840" s="275" t="str">
        <f>IF(ISBLANK(INDEX('Policy Characteristics'!E:E,MATCH($C840,'Policy Characteristics'!$C:$C,0))),"",INDEX('Policy Characteristics'!E:E,MATCH($C840,'Policy Characteristics'!$C:$C,0)))</f>
        <v>indst shift to hydrogen</v>
      </c>
      <c r="L840" s="283">
        <f>IF(ISBLANK(INDEX('Policy Characteristics'!F:F,MATCH($C840,'Policy Characteristics'!$C:$C,0))),"",INDEX('Policy Characteristics'!F:F,MATCH($C840,'Policy Characteristics'!$C:$C,0)))</f>
        <v>0</v>
      </c>
      <c r="M840" s="283">
        <f>IF(ISBLANK(INDEX('Policy Characteristics'!G:G,MATCH($C840,'Policy Characteristics'!$C:$C,0))),"",INDEX('Policy Characteristics'!G:G,MATCH($C840,'Policy Characteristics'!$C:$C,0)))</f>
        <v>1</v>
      </c>
      <c r="N840" s="283">
        <f>IF(ISBLANK(INDEX('Policy Characteristics'!H:H,MATCH($C840,'Policy Characteristics'!$C:$C,0))),"",INDEX('Policy Characteristics'!H:H,MATCH($C840,'Policy Characteristics'!$C:$C,0)))</f>
        <v>0.01</v>
      </c>
      <c r="O840" s="275" t="str">
        <f>IF(ISBLANK(INDEX('Policy Characteristics'!I:I,MATCH($C840,'Policy Characteristics'!$C:$C,0))),"",INDEX('Policy Characteristics'!I:I,MATCH($C840,'Policy Characteristics'!$C:$C,0)))</f>
        <v>% of fuel shifted</v>
      </c>
      <c r="P840" s="275" t="str">
        <f>IF(ISBLANK(INDEX('Policy Characteristics'!J:J,MATCH($C840,'Policy Characteristics'!$C:$C,0))),"",INDEX('Policy Characteristics'!J:J,MATCH($C840,'Policy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0" s="275" t="str">
        <f>IF(ISBLANK(INDEX('Policy Characteristics'!K:K,MATCH($C840,'Policy Characteristics'!$C:$C,0))),"",INDEX('Policy Characteristics'!K:K,MATCH($C840,'Policy Characteristics'!$C:$C,0)))</f>
        <v>industry-ag-main.html#fuel-switching</v>
      </c>
      <c r="R840" s="275" t="str">
        <f>IF(ISBLANK(INDEX('Policy Characteristics'!L:L,MATCH($C840,'Policy Characteristics'!$C:$C,0))),"",INDEX('Policy Characteristics'!L:L,MATCH($C840,'Policy Characteristics'!$C:$C,0)))</f>
        <v>industry-elec-and-hydrogen.html</v>
      </c>
    </row>
    <row r="841" spans="1:18" s="2" customFormat="1" x14ac:dyDescent="0.25">
      <c r="A841" s="275" t="str">
        <f>IF(ISBLANK(INDEX('Policy Characteristics'!A:A,MATCH($C841,'Policy Characteristics'!$C:$C,0))),"",INDEX('Policy Characteristics'!A:A,MATCH($C841,'Policy Characteristics'!$C:$C,0)))</f>
        <v>Industry</v>
      </c>
      <c r="B841" s="284" t="str">
        <f>IF(ISBLANK(INDEX('Policy Characteristics'!B:B,MATCH($C841,'Policy Characteristics'!$C:$C,0))),"",INDEX('Policy Characteristics'!B:B,MATCH($C841,'Policy Characteristics'!$C:$C,0)))</f>
        <v>Hydrogen Combustion</v>
      </c>
      <c r="C841" s="275" t="str">
        <f t="shared" si="38"/>
        <v>Fraction of Eligible Industrial Energy Use Shifted to Hydrogen</v>
      </c>
      <c r="D841" s="6" t="s">
        <v>3078</v>
      </c>
      <c r="E841" s="1" t="s">
        <v>3552</v>
      </c>
      <c r="F841" t="s">
        <v>3042</v>
      </c>
      <c r="G841" s="47" t="s">
        <v>3559</v>
      </c>
      <c r="H841" s="44">
        <v>2103</v>
      </c>
      <c r="I841" s="346" t="s">
        <v>43</v>
      </c>
      <c r="J841" s="276" t="str">
        <f>IF(ISBLANK(INDEX('Policy Characteristics'!D:D,MATCH($C841,'Policy Characteristics'!$C:$C,0))),"",INDEX('Policy Characteristics'!D:D,MATCH($C841,'Policy Characteristics'!$C:$C,0)))</f>
        <v>Hydrogen Combustion</v>
      </c>
      <c r="K841" s="275" t="str">
        <f>IF(ISBLANK(INDEX('Policy Characteristics'!E:E,MATCH($C841,'Policy Characteristics'!$C:$C,0))),"",INDEX('Policy Characteristics'!E:E,MATCH($C841,'Policy Characteristics'!$C:$C,0)))</f>
        <v>indst shift to hydrogen</v>
      </c>
      <c r="L841" s="283">
        <f>IF(ISBLANK(INDEX('Policy Characteristics'!F:F,MATCH($C841,'Policy Characteristics'!$C:$C,0))),"",INDEX('Policy Characteristics'!F:F,MATCH($C841,'Policy Characteristics'!$C:$C,0)))</f>
        <v>0</v>
      </c>
      <c r="M841" s="283">
        <f>IF(ISBLANK(INDEX('Policy Characteristics'!G:G,MATCH($C841,'Policy Characteristics'!$C:$C,0))),"",INDEX('Policy Characteristics'!G:G,MATCH($C841,'Policy Characteristics'!$C:$C,0)))</f>
        <v>1</v>
      </c>
      <c r="N841" s="283">
        <f>IF(ISBLANK(INDEX('Policy Characteristics'!H:H,MATCH($C841,'Policy Characteristics'!$C:$C,0))),"",INDEX('Policy Characteristics'!H:H,MATCH($C841,'Policy Characteristics'!$C:$C,0)))</f>
        <v>0.01</v>
      </c>
      <c r="O841" s="275" t="str">
        <f>IF(ISBLANK(INDEX('Policy Characteristics'!I:I,MATCH($C841,'Policy Characteristics'!$C:$C,0))),"",INDEX('Policy Characteristics'!I:I,MATCH($C841,'Policy Characteristics'!$C:$C,0)))</f>
        <v>% of fuel shifted</v>
      </c>
      <c r="P841" s="275" t="str">
        <f>IF(ISBLANK(INDEX('Policy Characteristics'!J:J,MATCH($C841,'Policy Characteristics'!$C:$C,0))),"",INDEX('Policy Characteristics'!J:J,MATCH($C841,'Policy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1" s="275" t="str">
        <f>IF(ISBLANK(INDEX('Policy Characteristics'!K:K,MATCH($C841,'Policy Characteristics'!$C:$C,0))),"",INDEX('Policy Characteristics'!K:K,MATCH($C841,'Policy Characteristics'!$C:$C,0)))</f>
        <v>industry-ag-main.html#fuel-switching</v>
      </c>
      <c r="R841" s="275" t="str">
        <f>IF(ISBLANK(INDEX('Policy Characteristics'!L:L,MATCH($C841,'Policy Characteristics'!$C:$C,0))),"",INDEX('Policy Characteristics'!L:L,MATCH($C841,'Policy Characteristics'!$C:$C,0)))</f>
        <v>industry-elec-and-hydrogen.html</v>
      </c>
    </row>
    <row r="842" spans="1:18" s="2" customFormat="1" x14ac:dyDescent="0.25">
      <c r="A842" s="275" t="str">
        <f>IF(ISBLANK(INDEX('Policy Characteristics'!A:A,MATCH($C842,'Policy Characteristics'!$C:$C,0))),"",INDEX('Policy Characteristics'!A:A,MATCH($C842,'Policy Characteristics'!$C:$C,0)))</f>
        <v>Industry</v>
      </c>
      <c r="B842" s="284" t="str">
        <f>IF(ISBLANK(INDEX('Policy Characteristics'!B:B,MATCH($C842,'Policy Characteristics'!$C:$C,0))),"",INDEX('Policy Characteristics'!B:B,MATCH($C842,'Policy Characteristics'!$C:$C,0)))</f>
        <v>Hydrogen Combustion</v>
      </c>
      <c r="C842" s="275" t="str">
        <f t="shared" si="38"/>
        <v>Fraction of Eligible Industrial Energy Use Shifted to Hydrogen</v>
      </c>
      <c r="D842" s="6" t="s">
        <v>3078</v>
      </c>
      <c r="E842" s="1" t="s">
        <v>3553</v>
      </c>
      <c r="F842" t="s">
        <v>3042</v>
      </c>
      <c r="G842" s="47" t="s">
        <v>3560</v>
      </c>
      <c r="H842" s="44">
        <v>2104</v>
      </c>
      <c r="I842" s="346" t="s">
        <v>44</v>
      </c>
      <c r="J842" s="276" t="str">
        <f>IF(ISBLANK(INDEX('Policy Characteristics'!D:D,MATCH($C842,'Policy Characteristics'!$C:$C,0))),"",INDEX('Policy Characteristics'!D:D,MATCH($C842,'Policy Characteristics'!$C:$C,0)))</f>
        <v>Hydrogen Combustion</v>
      </c>
      <c r="K842" s="275" t="str">
        <f>IF(ISBLANK(INDEX('Policy Characteristics'!E:E,MATCH($C842,'Policy Characteristics'!$C:$C,0))),"",INDEX('Policy Characteristics'!E:E,MATCH($C842,'Policy Characteristics'!$C:$C,0)))</f>
        <v>indst shift to hydrogen</v>
      </c>
      <c r="L842" s="283">
        <f>IF(ISBLANK(INDEX('Policy Characteristics'!F:F,MATCH($C842,'Policy Characteristics'!$C:$C,0))),"",INDEX('Policy Characteristics'!F:F,MATCH($C842,'Policy Characteristics'!$C:$C,0)))</f>
        <v>0</v>
      </c>
      <c r="M842" s="283">
        <f>IF(ISBLANK(INDEX('Policy Characteristics'!G:G,MATCH($C842,'Policy Characteristics'!$C:$C,0))),"",INDEX('Policy Characteristics'!G:G,MATCH($C842,'Policy Characteristics'!$C:$C,0)))</f>
        <v>1</v>
      </c>
      <c r="N842" s="283">
        <f>IF(ISBLANK(INDEX('Policy Characteristics'!H:H,MATCH($C842,'Policy Characteristics'!$C:$C,0))),"",INDEX('Policy Characteristics'!H:H,MATCH($C842,'Policy Characteristics'!$C:$C,0)))</f>
        <v>0.01</v>
      </c>
      <c r="O842" s="275" t="str">
        <f>IF(ISBLANK(INDEX('Policy Characteristics'!I:I,MATCH($C842,'Policy Characteristics'!$C:$C,0))),"",INDEX('Policy Characteristics'!I:I,MATCH($C842,'Policy Characteristics'!$C:$C,0)))</f>
        <v>% of fuel shifted</v>
      </c>
      <c r="P842" s="275" t="str">
        <f>IF(ISBLANK(INDEX('Policy Characteristics'!J:J,MATCH($C842,'Policy Characteristics'!$C:$C,0))),"",INDEX('Policy Characteristics'!J:J,MATCH($C842,'Policy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2" s="275" t="str">
        <f>IF(ISBLANK(INDEX('Policy Characteristics'!K:K,MATCH($C842,'Policy Characteristics'!$C:$C,0))),"",INDEX('Policy Characteristics'!K:K,MATCH($C842,'Policy Characteristics'!$C:$C,0)))</f>
        <v>industry-ag-main.html#fuel-switching</v>
      </c>
      <c r="R842" s="275" t="str">
        <f>IF(ISBLANK(INDEX('Policy Characteristics'!L:L,MATCH($C842,'Policy Characteristics'!$C:$C,0))),"",INDEX('Policy Characteristics'!L:L,MATCH($C842,'Policy Characteristics'!$C:$C,0)))</f>
        <v>industry-elec-and-hydrogen.html</v>
      </c>
    </row>
    <row r="843" spans="1:18" s="2" customFormat="1" x14ac:dyDescent="0.25">
      <c r="A843" s="275" t="str">
        <f>IF(ISBLANK(INDEX('Policy Characteristics'!A:A,MATCH($C843,'Policy Characteristics'!$C:$C,0))),"",INDEX('Policy Characteristics'!A:A,MATCH($C843,'Policy Characteristics'!$C:$C,0)))</f>
        <v>Industry</v>
      </c>
      <c r="B843" s="284" t="str">
        <f>IF(ISBLANK(INDEX('Policy Characteristics'!B:B,MATCH($C843,'Policy Characteristics'!$C:$C,0))),"",INDEX('Policy Characteristics'!B:B,MATCH($C843,'Policy Characteristics'!$C:$C,0)))</f>
        <v>Hydrogen Combustion</v>
      </c>
      <c r="C843" s="275" t="str">
        <f t="shared" si="38"/>
        <v>Fraction of Eligible Industrial Energy Use Shifted to Hydrogen</v>
      </c>
      <c r="D843" s="6" t="s">
        <v>3078</v>
      </c>
      <c r="E843" s="1" t="s">
        <v>3737</v>
      </c>
      <c r="F843" t="s">
        <v>3042</v>
      </c>
      <c r="G843" s="47" t="s">
        <v>3738</v>
      </c>
      <c r="H843" s="44">
        <v>2105</v>
      </c>
      <c r="I843" s="346" t="s">
        <v>43</v>
      </c>
      <c r="J843" s="276" t="str">
        <f>IF(ISBLANK(INDEX('Policy Characteristics'!D:D,MATCH($C843,'Policy Characteristics'!$C:$C,0))),"",INDEX('Policy Characteristics'!D:D,MATCH($C843,'Policy Characteristics'!$C:$C,0)))</f>
        <v>Hydrogen Combustion</v>
      </c>
      <c r="K843" s="275" t="str">
        <f>IF(ISBLANK(INDEX('Policy Characteristics'!E:E,MATCH($C843,'Policy Characteristics'!$C:$C,0))),"",INDEX('Policy Characteristics'!E:E,MATCH($C843,'Policy Characteristics'!$C:$C,0)))</f>
        <v>indst shift to hydrogen</v>
      </c>
      <c r="L843" s="283">
        <f>IF(ISBLANK(INDEX('Policy Characteristics'!F:F,MATCH($C843,'Policy Characteristics'!$C:$C,0))),"",INDEX('Policy Characteristics'!F:F,MATCH($C843,'Policy Characteristics'!$C:$C,0)))</f>
        <v>0</v>
      </c>
      <c r="M843" s="283">
        <f>IF(ISBLANK(INDEX('Policy Characteristics'!G:G,MATCH($C843,'Policy Characteristics'!$C:$C,0))),"",INDEX('Policy Characteristics'!G:G,MATCH($C843,'Policy Characteristics'!$C:$C,0)))</f>
        <v>1</v>
      </c>
      <c r="N843" s="283">
        <f>IF(ISBLANK(INDEX('Policy Characteristics'!H:H,MATCH($C843,'Policy Characteristics'!$C:$C,0))),"",INDEX('Policy Characteristics'!H:H,MATCH($C843,'Policy Characteristics'!$C:$C,0)))</f>
        <v>0.01</v>
      </c>
      <c r="O843" s="275" t="str">
        <f>IF(ISBLANK(INDEX('Policy Characteristics'!I:I,MATCH($C843,'Policy Characteristics'!$C:$C,0))),"",INDEX('Policy Characteristics'!I:I,MATCH($C843,'Policy Characteristics'!$C:$C,0)))</f>
        <v>% of fuel shifted</v>
      </c>
      <c r="P843" s="275" t="str">
        <f>IF(ISBLANK(INDEX('Policy Characteristics'!J:J,MATCH($C843,'Policy Characteristics'!$C:$C,0))),"",INDEX('Policy Characteristics'!J:J,MATCH($C843,'Policy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3" s="275" t="str">
        <f>IF(ISBLANK(INDEX('Policy Characteristics'!K:K,MATCH($C843,'Policy Characteristics'!$C:$C,0))),"",INDEX('Policy Characteristics'!K:K,MATCH($C843,'Policy Characteristics'!$C:$C,0)))</f>
        <v>industry-ag-main.html#fuel-switching</v>
      </c>
      <c r="R843" s="275" t="str">
        <f>IF(ISBLANK(INDEX('Policy Characteristics'!L:L,MATCH($C843,'Policy Characteristics'!$C:$C,0))),"",INDEX('Policy Characteristics'!L:L,MATCH($C843,'Policy Characteristics'!$C:$C,0)))</f>
        <v>industry-elec-and-hydrogen.html</v>
      </c>
    </row>
    <row r="844" spans="1:18" s="2" customFormat="1" x14ac:dyDescent="0.25">
      <c r="A844" s="275" t="str">
        <f>IF(ISBLANK(INDEX('Policy Characteristics'!A:A,MATCH($C844,'Policy Characteristics'!$C:$C,0))),"",INDEX('Policy Characteristics'!A:A,MATCH($C844,'Policy Characteristics'!$C:$C,0)))</f>
        <v>Industry</v>
      </c>
      <c r="B844" s="284" t="str">
        <f>IF(ISBLANK(INDEX('Policy Characteristics'!B:B,MATCH($C844,'Policy Characteristics'!$C:$C,0))),"",INDEX('Policy Characteristics'!B:B,MATCH($C844,'Policy Characteristics'!$C:$C,0)))</f>
        <v>Hydrogen Combustion</v>
      </c>
      <c r="C844" s="275" t="str">
        <f t="shared" si="38"/>
        <v>Fraction of Eligible Industrial Energy Use Shifted to Hydrogen</v>
      </c>
      <c r="D844" s="6" t="s">
        <v>3079</v>
      </c>
      <c r="E844" s="1" t="s">
        <v>3547</v>
      </c>
      <c r="F844" t="s">
        <v>2582</v>
      </c>
      <c r="G844" s="47" t="s">
        <v>3554</v>
      </c>
      <c r="H844" s="44">
        <v>2106</v>
      </c>
      <c r="I844" s="346" t="s">
        <v>43</v>
      </c>
      <c r="J844" s="276" t="str">
        <f>IF(ISBLANK(INDEX('Policy Characteristics'!D:D,MATCH($C844,'Policy Characteristics'!$C:$C,0))),"",INDEX('Policy Characteristics'!D:D,MATCH($C844,'Policy Characteristics'!$C:$C,0)))</f>
        <v>Hydrogen Combustion</v>
      </c>
      <c r="K844" s="275" t="str">
        <f>IF(ISBLANK(INDEX('Policy Characteristics'!E:E,MATCH($C844,'Policy Characteristics'!$C:$C,0))),"",INDEX('Policy Characteristics'!E:E,MATCH($C844,'Policy Characteristics'!$C:$C,0)))</f>
        <v>indst shift to hydrogen</v>
      </c>
      <c r="L844" s="283">
        <f>IF(ISBLANK(INDEX('Policy Characteristics'!F:F,MATCH($C844,'Policy Characteristics'!$C:$C,0))),"",INDEX('Policy Characteristics'!F:F,MATCH($C844,'Policy Characteristics'!$C:$C,0)))</f>
        <v>0</v>
      </c>
      <c r="M844" s="283">
        <f>IF(ISBLANK(INDEX('Policy Characteristics'!G:G,MATCH($C844,'Policy Characteristics'!$C:$C,0))),"",INDEX('Policy Characteristics'!G:G,MATCH($C844,'Policy Characteristics'!$C:$C,0)))</f>
        <v>1</v>
      </c>
      <c r="N844" s="283">
        <f>IF(ISBLANK(INDEX('Policy Characteristics'!H:H,MATCH($C844,'Policy Characteristics'!$C:$C,0))),"",INDEX('Policy Characteristics'!H:H,MATCH($C844,'Policy Characteristics'!$C:$C,0)))</f>
        <v>0.01</v>
      </c>
      <c r="O844" s="275" t="str">
        <f>IF(ISBLANK(INDEX('Policy Characteristics'!I:I,MATCH($C844,'Policy Characteristics'!$C:$C,0))),"",INDEX('Policy Characteristics'!I:I,MATCH($C844,'Policy Characteristics'!$C:$C,0)))</f>
        <v>% of fuel shifted</v>
      </c>
      <c r="P844" s="275" t="str">
        <f>IF(ISBLANK(INDEX('Policy Characteristics'!J:J,MATCH($C844,'Policy Characteristics'!$C:$C,0))),"",INDEX('Policy Characteristics'!J:J,MATCH($C844,'Policy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4" s="275" t="str">
        <f>IF(ISBLANK(INDEX('Policy Characteristics'!K:K,MATCH($C844,'Policy Characteristics'!$C:$C,0))),"",INDEX('Policy Characteristics'!K:K,MATCH($C844,'Policy Characteristics'!$C:$C,0)))</f>
        <v>industry-ag-main.html#fuel-switching</v>
      </c>
      <c r="R844" s="275" t="str">
        <f>IF(ISBLANK(INDEX('Policy Characteristics'!L:L,MATCH($C844,'Policy Characteristics'!$C:$C,0))),"",INDEX('Policy Characteristics'!L:L,MATCH($C844,'Policy Characteristics'!$C:$C,0)))</f>
        <v>industry-elec-and-hydrogen.html</v>
      </c>
    </row>
    <row r="845" spans="1:18" s="2" customFormat="1" x14ac:dyDescent="0.25">
      <c r="A845" s="275" t="str">
        <f>IF(ISBLANK(INDEX('Policy Characteristics'!A:A,MATCH($C845,'Policy Characteristics'!$C:$C,0))),"",INDEX('Policy Characteristics'!A:A,MATCH($C845,'Policy Characteristics'!$C:$C,0)))</f>
        <v>Industry</v>
      </c>
      <c r="B845" s="284" t="str">
        <f>IF(ISBLANK(INDEX('Policy Characteristics'!B:B,MATCH($C845,'Policy Characteristics'!$C:$C,0))),"",INDEX('Policy Characteristics'!B:B,MATCH($C845,'Policy Characteristics'!$C:$C,0)))</f>
        <v>Hydrogen Combustion</v>
      </c>
      <c r="C845" s="275" t="str">
        <f t="shared" si="38"/>
        <v>Fraction of Eligible Industrial Energy Use Shifted to Hydrogen</v>
      </c>
      <c r="D845" s="6" t="s">
        <v>3079</v>
      </c>
      <c r="E845" s="1" t="s">
        <v>3548</v>
      </c>
      <c r="F845" t="s">
        <v>2582</v>
      </c>
      <c r="G845" s="47" t="s">
        <v>3555</v>
      </c>
      <c r="H845" s="44">
        <v>2107</v>
      </c>
      <c r="I845" s="346" t="s">
        <v>43</v>
      </c>
      <c r="J845" s="276" t="str">
        <f>IF(ISBLANK(INDEX('Policy Characteristics'!D:D,MATCH($C845,'Policy Characteristics'!$C:$C,0))),"",INDEX('Policy Characteristics'!D:D,MATCH($C845,'Policy Characteristics'!$C:$C,0)))</f>
        <v>Hydrogen Combustion</v>
      </c>
      <c r="K845" s="275" t="str">
        <f>IF(ISBLANK(INDEX('Policy Characteristics'!E:E,MATCH($C845,'Policy Characteristics'!$C:$C,0))),"",INDEX('Policy Characteristics'!E:E,MATCH($C845,'Policy Characteristics'!$C:$C,0)))</f>
        <v>indst shift to hydrogen</v>
      </c>
      <c r="L845" s="283">
        <f>IF(ISBLANK(INDEX('Policy Characteristics'!F:F,MATCH($C845,'Policy Characteristics'!$C:$C,0))),"",INDEX('Policy Characteristics'!F:F,MATCH($C845,'Policy Characteristics'!$C:$C,0)))</f>
        <v>0</v>
      </c>
      <c r="M845" s="283">
        <f>IF(ISBLANK(INDEX('Policy Characteristics'!G:G,MATCH($C845,'Policy Characteristics'!$C:$C,0))),"",INDEX('Policy Characteristics'!G:G,MATCH($C845,'Policy Characteristics'!$C:$C,0)))</f>
        <v>1</v>
      </c>
      <c r="N845" s="283">
        <f>IF(ISBLANK(INDEX('Policy Characteristics'!H:H,MATCH($C845,'Policy Characteristics'!$C:$C,0))),"",INDEX('Policy Characteristics'!H:H,MATCH($C845,'Policy Characteristics'!$C:$C,0)))</f>
        <v>0.01</v>
      </c>
      <c r="O845" s="275" t="str">
        <f>IF(ISBLANK(INDEX('Policy Characteristics'!I:I,MATCH($C845,'Policy Characteristics'!$C:$C,0))),"",INDEX('Policy Characteristics'!I:I,MATCH($C845,'Policy Characteristics'!$C:$C,0)))</f>
        <v>% of fuel shifted</v>
      </c>
      <c r="P845" s="275" t="str">
        <f>IF(ISBLANK(INDEX('Policy Characteristics'!J:J,MATCH($C845,'Policy Characteristics'!$C:$C,0))),"",INDEX('Policy Characteristics'!J:J,MATCH($C845,'Policy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5" s="275" t="str">
        <f>IF(ISBLANK(INDEX('Policy Characteristics'!K:K,MATCH($C845,'Policy Characteristics'!$C:$C,0))),"",INDEX('Policy Characteristics'!K:K,MATCH($C845,'Policy Characteristics'!$C:$C,0)))</f>
        <v>industry-ag-main.html#fuel-switching</v>
      </c>
      <c r="R845" s="275" t="str">
        <f>IF(ISBLANK(INDEX('Policy Characteristics'!L:L,MATCH($C845,'Policy Characteristics'!$C:$C,0))),"",INDEX('Policy Characteristics'!L:L,MATCH($C845,'Policy Characteristics'!$C:$C,0)))</f>
        <v>industry-elec-and-hydrogen.html</v>
      </c>
    </row>
    <row r="846" spans="1:18" s="2" customFormat="1" x14ac:dyDescent="0.25">
      <c r="A846" s="275" t="str">
        <f>IF(ISBLANK(INDEX('Policy Characteristics'!A:A,MATCH($C846,'Policy Characteristics'!$C:$C,0))),"",INDEX('Policy Characteristics'!A:A,MATCH($C846,'Policy Characteristics'!$C:$C,0)))</f>
        <v>Industry</v>
      </c>
      <c r="B846" s="284" t="str">
        <f>IF(ISBLANK(INDEX('Policy Characteristics'!B:B,MATCH($C846,'Policy Characteristics'!$C:$C,0))),"",INDEX('Policy Characteristics'!B:B,MATCH($C846,'Policy Characteristics'!$C:$C,0)))</f>
        <v>Hydrogen Combustion</v>
      </c>
      <c r="C846" s="275" t="str">
        <f t="shared" si="38"/>
        <v>Fraction of Eligible Industrial Energy Use Shifted to Hydrogen</v>
      </c>
      <c r="D846" s="6" t="s">
        <v>3079</v>
      </c>
      <c r="E846" s="1" t="s">
        <v>3549</v>
      </c>
      <c r="F846" t="s">
        <v>2582</v>
      </c>
      <c r="G846" s="47" t="s">
        <v>3556</v>
      </c>
      <c r="H846" s="44">
        <v>2108</v>
      </c>
      <c r="I846" s="346" t="s">
        <v>43</v>
      </c>
      <c r="J846" s="276" t="str">
        <f>IF(ISBLANK(INDEX('Policy Characteristics'!D:D,MATCH($C846,'Policy Characteristics'!$C:$C,0))),"",INDEX('Policy Characteristics'!D:D,MATCH($C846,'Policy Characteristics'!$C:$C,0)))</f>
        <v>Hydrogen Combustion</v>
      </c>
      <c r="K846" s="275" t="str">
        <f>IF(ISBLANK(INDEX('Policy Characteristics'!E:E,MATCH($C846,'Policy Characteristics'!$C:$C,0))),"",INDEX('Policy Characteristics'!E:E,MATCH($C846,'Policy Characteristics'!$C:$C,0)))</f>
        <v>indst shift to hydrogen</v>
      </c>
      <c r="L846" s="283">
        <f>IF(ISBLANK(INDEX('Policy Characteristics'!F:F,MATCH($C846,'Policy Characteristics'!$C:$C,0))),"",INDEX('Policy Characteristics'!F:F,MATCH($C846,'Policy Characteristics'!$C:$C,0)))</f>
        <v>0</v>
      </c>
      <c r="M846" s="283">
        <f>IF(ISBLANK(INDEX('Policy Characteristics'!G:G,MATCH($C846,'Policy Characteristics'!$C:$C,0))),"",INDEX('Policy Characteristics'!G:G,MATCH($C846,'Policy Characteristics'!$C:$C,0)))</f>
        <v>1</v>
      </c>
      <c r="N846" s="283">
        <f>IF(ISBLANK(INDEX('Policy Characteristics'!H:H,MATCH($C846,'Policy Characteristics'!$C:$C,0))),"",INDEX('Policy Characteristics'!H:H,MATCH($C846,'Policy Characteristics'!$C:$C,0)))</f>
        <v>0.01</v>
      </c>
      <c r="O846" s="275" t="str">
        <f>IF(ISBLANK(INDEX('Policy Characteristics'!I:I,MATCH($C846,'Policy Characteristics'!$C:$C,0))),"",INDEX('Policy Characteristics'!I:I,MATCH($C846,'Policy Characteristics'!$C:$C,0)))</f>
        <v>% of fuel shifted</v>
      </c>
      <c r="P846" s="275" t="str">
        <f>IF(ISBLANK(INDEX('Policy Characteristics'!J:J,MATCH($C846,'Policy Characteristics'!$C:$C,0))),"",INDEX('Policy Characteristics'!J:J,MATCH($C846,'Policy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6" s="275" t="str">
        <f>IF(ISBLANK(INDEX('Policy Characteristics'!K:K,MATCH($C846,'Policy Characteristics'!$C:$C,0))),"",INDEX('Policy Characteristics'!K:K,MATCH($C846,'Policy Characteristics'!$C:$C,0)))</f>
        <v>industry-ag-main.html#fuel-switching</v>
      </c>
      <c r="R846" s="275" t="str">
        <f>IF(ISBLANK(INDEX('Policy Characteristics'!L:L,MATCH($C846,'Policy Characteristics'!$C:$C,0))),"",INDEX('Policy Characteristics'!L:L,MATCH($C846,'Policy Characteristics'!$C:$C,0)))</f>
        <v>industry-elec-and-hydrogen.html</v>
      </c>
    </row>
    <row r="847" spans="1:18" s="2" customFormat="1" x14ac:dyDescent="0.25">
      <c r="A847" s="275" t="str">
        <f>IF(ISBLANK(INDEX('Policy Characteristics'!A:A,MATCH($C847,'Policy Characteristics'!$C:$C,0))),"",INDEX('Policy Characteristics'!A:A,MATCH($C847,'Policy Characteristics'!$C:$C,0)))</f>
        <v>Industry</v>
      </c>
      <c r="B847" s="284" t="str">
        <f>IF(ISBLANK(INDEX('Policy Characteristics'!B:B,MATCH($C847,'Policy Characteristics'!$C:$C,0))),"",INDEX('Policy Characteristics'!B:B,MATCH($C847,'Policy Characteristics'!$C:$C,0)))</f>
        <v>Hydrogen Combustion</v>
      </c>
      <c r="C847" s="275" t="str">
        <f t="shared" si="38"/>
        <v>Fraction of Eligible Industrial Energy Use Shifted to Hydrogen</v>
      </c>
      <c r="D847" s="6" t="s">
        <v>3079</v>
      </c>
      <c r="E847" s="1" t="s">
        <v>3550</v>
      </c>
      <c r="F847" t="s">
        <v>2582</v>
      </c>
      <c r="G847" s="47" t="s">
        <v>3557</v>
      </c>
      <c r="H847" s="44">
        <v>2109</v>
      </c>
      <c r="I847" s="346" t="s">
        <v>43</v>
      </c>
      <c r="J847" s="276" t="str">
        <f>IF(ISBLANK(INDEX('Policy Characteristics'!D:D,MATCH($C847,'Policy Characteristics'!$C:$C,0))),"",INDEX('Policy Characteristics'!D:D,MATCH($C847,'Policy Characteristics'!$C:$C,0)))</f>
        <v>Hydrogen Combustion</v>
      </c>
      <c r="K847" s="275" t="str">
        <f>IF(ISBLANK(INDEX('Policy Characteristics'!E:E,MATCH($C847,'Policy Characteristics'!$C:$C,0))),"",INDEX('Policy Characteristics'!E:E,MATCH($C847,'Policy Characteristics'!$C:$C,0)))</f>
        <v>indst shift to hydrogen</v>
      </c>
      <c r="L847" s="283">
        <f>IF(ISBLANK(INDEX('Policy Characteristics'!F:F,MATCH($C847,'Policy Characteristics'!$C:$C,0))),"",INDEX('Policy Characteristics'!F:F,MATCH($C847,'Policy Characteristics'!$C:$C,0)))</f>
        <v>0</v>
      </c>
      <c r="M847" s="283">
        <f>IF(ISBLANK(INDEX('Policy Characteristics'!G:G,MATCH($C847,'Policy Characteristics'!$C:$C,0))),"",INDEX('Policy Characteristics'!G:G,MATCH($C847,'Policy Characteristics'!$C:$C,0)))</f>
        <v>1</v>
      </c>
      <c r="N847" s="283">
        <f>IF(ISBLANK(INDEX('Policy Characteristics'!H:H,MATCH($C847,'Policy Characteristics'!$C:$C,0))),"",INDEX('Policy Characteristics'!H:H,MATCH($C847,'Policy Characteristics'!$C:$C,0)))</f>
        <v>0.01</v>
      </c>
      <c r="O847" s="275" t="str">
        <f>IF(ISBLANK(INDEX('Policy Characteristics'!I:I,MATCH($C847,'Policy Characteristics'!$C:$C,0))),"",INDEX('Policy Characteristics'!I:I,MATCH($C847,'Policy Characteristics'!$C:$C,0)))</f>
        <v>% of fuel shifted</v>
      </c>
      <c r="P847" s="275" t="str">
        <f>IF(ISBLANK(INDEX('Policy Characteristics'!J:J,MATCH($C847,'Policy Characteristics'!$C:$C,0))),"",INDEX('Policy Characteristics'!J:J,MATCH($C847,'Policy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7" s="275" t="str">
        <f>IF(ISBLANK(INDEX('Policy Characteristics'!K:K,MATCH($C847,'Policy Characteristics'!$C:$C,0))),"",INDEX('Policy Characteristics'!K:K,MATCH($C847,'Policy Characteristics'!$C:$C,0)))</f>
        <v>industry-ag-main.html#fuel-switching</v>
      </c>
      <c r="R847" s="275" t="str">
        <f>IF(ISBLANK(INDEX('Policy Characteristics'!L:L,MATCH($C847,'Policy Characteristics'!$C:$C,0))),"",INDEX('Policy Characteristics'!L:L,MATCH($C847,'Policy Characteristics'!$C:$C,0)))</f>
        <v>industry-elec-and-hydrogen.html</v>
      </c>
    </row>
    <row r="848" spans="1:18" s="2" customFormat="1" x14ac:dyDescent="0.25">
      <c r="A848" s="275" t="str">
        <f>IF(ISBLANK(INDEX('Policy Characteristics'!A:A,MATCH($C848,'Policy Characteristics'!$C:$C,0))),"",INDEX('Policy Characteristics'!A:A,MATCH($C848,'Policy Characteristics'!$C:$C,0)))</f>
        <v>Industry</v>
      </c>
      <c r="B848" s="284" t="str">
        <f>IF(ISBLANK(INDEX('Policy Characteristics'!B:B,MATCH($C848,'Policy Characteristics'!$C:$C,0))),"",INDEX('Policy Characteristics'!B:B,MATCH($C848,'Policy Characteristics'!$C:$C,0)))</f>
        <v>Hydrogen Combustion</v>
      </c>
      <c r="C848" s="275" t="str">
        <f t="shared" si="38"/>
        <v>Fraction of Eligible Industrial Energy Use Shifted to Hydrogen</v>
      </c>
      <c r="D848" s="6" t="s">
        <v>3079</v>
      </c>
      <c r="E848" s="1" t="s">
        <v>3551</v>
      </c>
      <c r="F848" t="s">
        <v>2582</v>
      </c>
      <c r="G848" s="47" t="s">
        <v>3558</v>
      </c>
      <c r="H848" s="44">
        <v>2110</v>
      </c>
      <c r="I848" s="346" t="s">
        <v>43</v>
      </c>
      <c r="J848" s="276" t="str">
        <f>IF(ISBLANK(INDEX('Policy Characteristics'!D:D,MATCH($C848,'Policy Characteristics'!$C:$C,0))),"",INDEX('Policy Characteristics'!D:D,MATCH($C848,'Policy Characteristics'!$C:$C,0)))</f>
        <v>Hydrogen Combustion</v>
      </c>
      <c r="K848" s="275" t="str">
        <f>IF(ISBLANK(INDEX('Policy Characteristics'!E:E,MATCH($C848,'Policy Characteristics'!$C:$C,0))),"",INDEX('Policy Characteristics'!E:E,MATCH($C848,'Policy Characteristics'!$C:$C,0)))</f>
        <v>indst shift to hydrogen</v>
      </c>
      <c r="L848" s="283">
        <f>IF(ISBLANK(INDEX('Policy Characteristics'!F:F,MATCH($C848,'Policy Characteristics'!$C:$C,0))),"",INDEX('Policy Characteristics'!F:F,MATCH($C848,'Policy Characteristics'!$C:$C,0)))</f>
        <v>0</v>
      </c>
      <c r="M848" s="283">
        <f>IF(ISBLANK(INDEX('Policy Characteristics'!G:G,MATCH($C848,'Policy Characteristics'!$C:$C,0))),"",INDEX('Policy Characteristics'!G:G,MATCH($C848,'Policy Characteristics'!$C:$C,0)))</f>
        <v>1</v>
      </c>
      <c r="N848" s="283">
        <f>IF(ISBLANK(INDEX('Policy Characteristics'!H:H,MATCH($C848,'Policy Characteristics'!$C:$C,0))),"",INDEX('Policy Characteristics'!H:H,MATCH($C848,'Policy Characteristics'!$C:$C,0)))</f>
        <v>0.01</v>
      </c>
      <c r="O848" s="275" t="str">
        <f>IF(ISBLANK(INDEX('Policy Characteristics'!I:I,MATCH($C848,'Policy Characteristics'!$C:$C,0))),"",INDEX('Policy Characteristics'!I:I,MATCH($C848,'Policy Characteristics'!$C:$C,0)))</f>
        <v>% of fuel shifted</v>
      </c>
      <c r="P848" s="275" t="str">
        <f>IF(ISBLANK(INDEX('Policy Characteristics'!J:J,MATCH($C848,'Policy Characteristics'!$C:$C,0))),"",INDEX('Policy Characteristics'!J:J,MATCH($C848,'Policy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8" s="275" t="str">
        <f>IF(ISBLANK(INDEX('Policy Characteristics'!K:K,MATCH($C848,'Policy Characteristics'!$C:$C,0))),"",INDEX('Policy Characteristics'!K:K,MATCH($C848,'Policy Characteristics'!$C:$C,0)))</f>
        <v>industry-ag-main.html#fuel-switching</v>
      </c>
      <c r="R848" s="275" t="str">
        <f>IF(ISBLANK(INDEX('Policy Characteristics'!L:L,MATCH($C848,'Policy Characteristics'!$C:$C,0))),"",INDEX('Policy Characteristics'!L:L,MATCH($C848,'Policy Characteristics'!$C:$C,0)))</f>
        <v>industry-elec-and-hydrogen.html</v>
      </c>
    </row>
    <row r="849" spans="1:18" s="2" customFormat="1" x14ac:dyDescent="0.25">
      <c r="A849" s="275" t="str">
        <f>IF(ISBLANK(INDEX('Policy Characteristics'!A:A,MATCH($C849,'Policy Characteristics'!$C:$C,0))),"",INDEX('Policy Characteristics'!A:A,MATCH($C849,'Policy Characteristics'!$C:$C,0)))</f>
        <v>Industry</v>
      </c>
      <c r="B849" s="284" t="str">
        <f>IF(ISBLANK(INDEX('Policy Characteristics'!B:B,MATCH($C849,'Policy Characteristics'!$C:$C,0))),"",INDEX('Policy Characteristics'!B:B,MATCH($C849,'Policy Characteristics'!$C:$C,0)))</f>
        <v>Hydrogen Combustion</v>
      </c>
      <c r="C849" s="275" t="str">
        <f t="shared" si="38"/>
        <v>Fraction of Eligible Industrial Energy Use Shifted to Hydrogen</v>
      </c>
      <c r="D849" s="6" t="s">
        <v>3079</v>
      </c>
      <c r="E849" s="1" t="s">
        <v>3552</v>
      </c>
      <c r="F849" t="s">
        <v>2582</v>
      </c>
      <c r="G849" s="47" t="s">
        <v>3559</v>
      </c>
      <c r="H849" s="44">
        <v>2111</v>
      </c>
      <c r="I849" s="346" t="s">
        <v>43</v>
      </c>
      <c r="J849" s="276" t="str">
        <f>IF(ISBLANK(INDEX('Policy Characteristics'!D:D,MATCH($C849,'Policy Characteristics'!$C:$C,0))),"",INDEX('Policy Characteristics'!D:D,MATCH($C849,'Policy Characteristics'!$C:$C,0)))</f>
        <v>Hydrogen Combustion</v>
      </c>
      <c r="K849" s="275" t="str">
        <f>IF(ISBLANK(INDEX('Policy Characteristics'!E:E,MATCH($C849,'Policy Characteristics'!$C:$C,0))),"",INDEX('Policy Characteristics'!E:E,MATCH($C849,'Policy Characteristics'!$C:$C,0)))</f>
        <v>indst shift to hydrogen</v>
      </c>
      <c r="L849" s="283">
        <f>IF(ISBLANK(INDEX('Policy Characteristics'!F:F,MATCH($C849,'Policy Characteristics'!$C:$C,0))),"",INDEX('Policy Characteristics'!F:F,MATCH($C849,'Policy Characteristics'!$C:$C,0)))</f>
        <v>0</v>
      </c>
      <c r="M849" s="283">
        <f>IF(ISBLANK(INDEX('Policy Characteristics'!G:G,MATCH($C849,'Policy Characteristics'!$C:$C,0))),"",INDEX('Policy Characteristics'!G:G,MATCH($C849,'Policy Characteristics'!$C:$C,0)))</f>
        <v>1</v>
      </c>
      <c r="N849" s="283">
        <f>IF(ISBLANK(INDEX('Policy Characteristics'!H:H,MATCH($C849,'Policy Characteristics'!$C:$C,0))),"",INDEX('Policy Characteristics'!H:H,MATCH($C849,'Policy Characteristics'!$C:$C,0)))</f>
        <v>0.01</v>
      </c>
      <c r="O849" s="275" t="str">
        <f>IF(ISBLANK(INDEX('Policy Characteristics'!I:I,MATCH($C849,'Policy Characteristics'!$C:$C,0))),"",INDEX('Policy Characteristics'!I:I,MATCH($C849,'Policy Characteristics'!$C:$C,0)))</f>
        <v>% of fuel shifted</v>
      </c>
      <c r="P849" s="275" t="str">
        <f>IF(ISBLANK(INDEX('Policy Characteristics'!J:J,MATCH($C849,'Policy Characteristics'!$C:$C,0))),"",INDEX('Policy Characteristics'!J:J,MATCH($C849,'Policy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9" s="275" t="str">
        <f>IF(ISBLANK(INDEX('Policy Characteristics'!K:K,MATCH($C849,'Policy Characteristics'!$C:$C,0))),"",INDEX('Policy Characteristics'!K:K,MATCH($C849,'Policy Characteristics'!$C:$C,0)))</f>
        <v>industry-ag-main.html#fuel-switching</v>
      </c>
      <c r="R849" s="275" t="str">
        <f>IF(ISBLANK(INDEX('Policy Characteristics'!L:L,MATCH($C849,'Policy Characteristics'!$C:$C,0))),"",INDEX('Policy Characteristics'!L:L,MATCH($C849,'Policy Characteristics'!$C:$C,0)))</f>
        <v>industry-elec-and-hydrogen.html</v>
      </c>
    </row>
    <row r="850" spans="1:18" s="2" customFormat="1" x14ac:dyDescent="0.25">
      <c r="A850" s="275" t="str">
        <f>IF(ISBLANK(INDEX('Policy Characteristics'!A:A,MATCH($C850,'Policy Characteristics'!$C:$C,0))),"",INDEX('Policy Characteristics'!A:A,MATCH($C850,'Policy Characteristics'!$C:$C,0)))</f>
        <v>Industry</v>
      </c>
      <c r="B850" s="284" t="str">
        <f>IF(ISBLANK(INDEX('Policy Characteristics'!B:B,MATCH($C850,'Policy Characteristics'!$C:$C,0))),"",INDEX('Policy Characteristics'!B:B,MATCH($C850,'Policy Characteristics'!$C:$C,0)))</f>
        <v>Hydrogen Combustion</v>
      </c>
      <c r="C850" s="275" t="str">
        <f t="shared" si="38"/>
        <v>Fraction of Eligible Industrial Energy Use Shifted to Hydrogen</v>
      </c>
      <c r="D850" s="6" t="s">
        <v>3079</v>
      </c>
      <c r="E850" s="1" t="s">
        <v>3553</v>
      </c>
      <c r="F850" t="s">
        <v>2582</v>
      </c>
      <c r="G850" s="47" t="s">
        <v>3560</v>
      </c>
      <c r="H850" s="44">
        <v>2112</v>
      </c>
      <c r="I850" s="346" t="s">
        <v>44</v>
      </c>
      <c r="J850" s="276" t="str">
        <f>IF(ISBLANK(INDEX('Policy Characteristics'!D:D,MATCH($C850,'Policy Characteristics'!$C:$C,0))),"",INDEX('Policy Characteristics'!D:D,MATCH($C850,'Policy Characteristics'!$C:$C,0)))</f>
        <v>Hydrogen Combustion</v>
      </c>
      <c r="K850" s="275" t="str">
        <f>IF(ISBLANK(INDEX('Policy Characteristics'!E:E,MATCH($C850,'Policy Characteristics'!$C:$C,0))),"",INDEX('Policy Characteristics'!E:E,MATCH($C850,'Policy Characteristics'!$C:$C,0)))</f>
        <v>indst shift to hydrogen</v>
      </c>
      <c r="L850" s="283">
        <f>IF(ISBLANK(INDEX('Policy Characteristics'!F:F,MATCH($C850,'Policy Characteristics'!$C:$C,0))),"",INDEX('Policy Characteristics'!F:F,MATCH($C850,'Policy Characteristics'!$C:$C,0)))</f>
        <v>0</v>
      </c>
      <c r="M850" s="283">
        <f>IF(ISBLANK(INDEX('Policy Characteristics'!G:G,MATCH($C850,'Policy Characteristics'!$C:$C,0))),"",INDEX('Policy Characteristics'!G:G,MATCH($C850,'Policy Characteristics'!$C:$C,0)))</f>
        <v>1</v>
      </c>
      <c r="N850" s="283">
        <f>IF(ISBLANK(INDEX('Policy Characteristics'!H:H,MATCH($C850,'Policy Characteristics'!$C:$C,0))),"",INDEX('Policy Characteristics'!H:H,MATCH($C850,'Policy Characteristics'!$C:$C,0)))</f>
        <v>0.01</v>
      </c>
      <c r="O850" s="275" t="str">
        <f>IF(ISBLANK(INDEX('Policy Characteristics'!I:I,MATCH($C850,'Policy Characteristics'!$C:$C,0))),"",INDEX('Policy Characteristics'!I:I,MATCH($C850,'Policy Characteristics'!$C:$C,0)))</f>
        <v>% of fuel shifted</v>
      </c>
      <c r="P850" s="275" t="str">
        <f>IF(ISBLANK(INDEX('Policy Characteristics'!J:J,MATCH($C850,'Policy Characteristics'!$C:$C,0))),"",INDEX('Policy Characteristics'!J:J,MATCH($C850,'Policy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0" s="275" t="str">
        <f>IF(ISBLANK(INDEX('Policy Characteristics'!K:K,MATCH($C850,'Policy Characteristics'!$C:$C,0))),"",INDEX('Policy Characteristics'!K:K,MATCH($C850,'Policy Characteristics'!$C:$C,0)))</f>
        <v>industry-ag-main.html#fuel-switching</v>
      </c>
      <c r="R850" s="275" t="str">
        <f>IF(ISBLANK(INDEX('Policy Characteristics'!L:L,MATCH($C850,'Policy Characteristics'!$C:$C,0))),"",INDEX('Policy Characteristics'!L:L,MATCH($C850,'Policy Characteristics'!$C:$C,0)))</f>
        <v>industry-elec-and-hydrogen.html</v>
      </c>
    </row>
    <row r="851" spans="1:18" s="2" customFormat="1" x14ac:dyDescent="0.25">
      <c r="A851" s="275" t="str">
        <f>IF(ISBLANK(INDEX('Policy Characteristics'!A:A,MATCH($C851,'Policy Characteristics'!$C:$C,0))),"",INDEX('Policy Characteristics'!A:A,MATCH($C851,'Policy Characteristics'!$C:$C,0)))</f>
        <v>Industry</v>
      </c>
      <c r="B851" s="284" t="str">
        <f>IF(ISBLANK(INDEX('Policy Characteristics'!B:B,MATCH($C851,'Policy Characteristics'!$C:$C,0))),"",INDEX('Policy Characteristics'!B:B,MATCH($C851,'Policy Characteristics'!$C:$C,0)))</f>
        <v>Hydrogen Combustion</v>
      </c>
      <c r="C851" s="275" t="str">
        <f t="shared" si="38"/>
        <v>Fraction of Eligible Industrial Energy Use Shifted to Hydrogen</v>
      </c>
      <c r="D851" s="6" t="s">
        <v>3079</v>
      </c>
      <c r="E851" s="1" t="s">
        <v>3737</v>
      </c>
      <c r="F851" t="s">
        <v>2582</v>
      </c>
      <c r="G851" s="47" t="s">
        <v>3738</v>
      </c>
      <c r="H851" s="44">
        <v>2113</v>
      </c>
      <c r="I851" s="346" t="s">
        <v>43</v>
      </c>
      <c r="J851" s="276" t="str">
        <f>IF(ISBLANK(INDEX('Policy Characteristics'!D:D,MATCH($C851,'Policy Characteristics'!$C:$C,0))),"",INDEX('Policy Characteristics'!D:D,MATCH($C851,'Policy Characteristics'!$C:$C,0)))</f>
        <v>Hydrogen Combustion</v>
      </c>
      <c r="K851" s="275" t="str">
        <f>IF(ISBLANK(INDEX('Policy Characteristics'!E:E,MATCH($C851,'Policy Characteristics'!$C:$C,0))),"",INDEX('Policy Characteristics'!E:E,MATCH($C851,'Policy Characteristics'!$C:$C,0)))</f>
        <v>indst shift to hydrogen</v>
      </c>
      <c r="L851" s="283">
        <f>IF(ISBLANK(INDEX('Policy Characteristics'!F:F,MATCH($C851,'Policy Characteristics'!$C:$C,0))),"",INDEX('Policy Characteristics'!F:F,MATCH($C851,'Policy Characteristics'!$C:$C,0)))</f>
        <v>0</v>
      </c>
      <c r="M851" s="283">
        <f>IF(ISBLANK(INDEX('Policy Characteristics'!G:G,MATCH($C851,'Policy Characteristics'!$C:$C,0))),"",INDEX('Policy Characteristics'!G:G,MATCH($C851,'Policy Characteristics'!$C:$C,0)))</f>
        <v>1</v>
      </c>
      <c r="N851" s="283">
        <f>IF(ISBLANK(INDEX('Policy Characteristics'!H:H,MATCH($C851,'Policy Characteristics'!$C:$C,0))),"",INDEX('Policy Characteristics'!H:H,MATCH($C851,'Policy Characteristics'!$C:$C,0)))</f>
        <v>0.01</v>
      </c>
      <c r="O851" s="275" t="str">
        <f>IF(ISBLANK(INDEX('Policy Characteristics'!I:I,MATCH($C851,'Policy Characteristics'!$C:$C,0))),"",INDEX('Policy Characteristics'!I:I,MATCH($C851,'Policy Characteristics'!$C:$C,0)))</f>
        <v>% of fuel shifted</v>
      </c>
      <c r="P851" s="275" t="str">
        <f>IF(ISBLANK(INDEX('Policy Characteristics'!J:J,MATCH($C851,'Policy Characteristics'!$C:$C,0))),"",INDEX('Policy Characteristics'!J:J,MATCH($C851,'Policy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1" s="275" t="str">
        <f>IF(ISBLANK(INDEX('Policy Characteristics'!K:K,MATCH($C851,'Policy Characteristics'!$C:$C,0))),"",INDEX('Policy Characteristics'!K:K,MATCH($C851,'Policy Characteristics'!$C:$C,0)))</f>
        <v>industry-ag-main.html#fuel-switching</v>
      </c>
      <c r="R851" s="275" t="str">
        <f>IF(ISBLANK(INDEX('Policy Characteristics'!L:L,MATCH($C851,'Policy Characteristics'!$C:$C,0))),"",INDEX('Policy Characteristics'!L:L,MATCH($C851,'Policy Characteristics'!$C:$C,0)))</f>
        <v>industry-elec-and-hydrogen.html</v>
      </c>
    </row>
    <row r="852" spans="1:18" s="2" customFormat="1" x14ac:dyDescent="0.25">
      <c r="A852" s="275" t="str">
        <f>IF(ISBLANK(INDEX('Policy Characteristics'!A:A,MATCH($C852,'Policy Characteristics'!$C:$C,0))),"",INDEX('Policy Characteristics'!A:A,MATCH($C852,'Policy Characteristics'!$C:$C,0)))</f>
        <v>Industry</v>
      </c>
      <c r="B852" s="284" t="str">
        <f>IF(ISBLANK(INDEX('Policy Characteristics'!B:B,MATCH($C852,'Policy Characteristics'!$C:$C,0))),"",INDEX('Policy Characteristics'!B:B,MATCH($C852,'Policy Characteristics'!$C:$C,0)))</f>
        <v>Hydrogen Combustion</v>
      </c>
      <c r="C852" s="275" t="str">
        <f t="shared" si="38"/>
        <v>Fraction of Eligible Industrial Energy Use Shifted to Hydrogen</v>
      </c>
      <c r="D852" s="6" t="s">
        <v>3080</v>
      </c>
      <c r="E852" s="1" t="s">
        <v>3547</v>
      </c>
      <c r="F852" t="s">
        <v>3043</v>
      </c>
      <c r="G852" s="47" t="s">
        <v>3554</v>
      </c>
      <c r="H852" s="44">
        <v>2114</v>
      </c>
      <c r="I852" s="346" t="s">
        <v>43</v>
      </c>
      <c r="J852" s="276" t="str">
        <f>IF(ISBLANK(INDEX('Policy Characteristics'!D:D,MATCH($C852,'Policy Characteristics'!$C:$C,0))),"",INDEX('Policy Characteristics'!D:D,MATCH($C852,'Policy Characteristics'!$C:$C,0)))</f>
        <v>Hydrogen Combustion</v>
      </c>
      <c r="K852" s="275" t="str">
        <f>IF(ISBLANK(INDEX('Policy Characteristics'!E:E,MATCH($C852,'Policy Characteristics'!$C:$C,0))),"",INDEX('Policy Characteristics'!E:E,MATCH($C852,'Policy Characteristics'!$C:$C,0)))</f>
        <v>indst shift to hydrogen</v>
      </c>
      <c r="L852" s="283">
        <f>IF(ISBLANK(INDEX('Policy Characteristics'!F:F,MATCH($C852,'Policy Characteristics'!$C:$C,0))),"",INDEX('Policy Characteristics'!F:F,MATCH($C852,'Policy Characteristics'!$C:$C,0)))</f>
        <v>0</v>
      </c>
      <c r="M852" s="283">
        <f>IF(ISBLANK(INDEX('Policy Characteristics'!G:G,MATCH($C852,'Policy Characteristics'!$C:$C,0))),"",INDEX('Policy Characteristics'!G:G,MATCH($C852,'Policy Characteristics'!$C:$C,0)))</f>
        <v>1</v>
      </c>
      <c r="N852" s="283">
        <f>IF(ISBLANK(INDEX('Policy Characteristics'!H:H,MATCH($C852,'Policy Characteristics'!$C:$C,0))),"",INDEX('Policy Characteristics'!H:H,MATCH($C852,'Policy Characteristics'!$C:$C,0)))</f>
        <v>0.01</v>
      </c>
      <c r="O852" s="275" t="str">
        <f>IF(ISBLANK(INDEX('Policy Characteristics'!I:I,MATCH($C852,'Policy Characteristics'!$C:$C,0))),"",INDEX('Policy Characteristics'!I:I,MATCH($C852,'Policy Characteristics'!$C:$C,0)))</f>
        <v>% of fuel shifted</v>
      </c>
      <c r="P852" s="275" t="str">
        <f>IF(ISBLANK(INDEX('Policy Characteristics'!J:J,MATCH($C852,'Policy Characteristics'!$C:$C,0))),"",INDEX('Policy Characteristics'!J:J,MATCH($C852,'Policy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2" s="275" t="str">
        <f>IF(ISBLANK(INDEX('Policy Characteristics'!K:K,MATCH($C852,'Policy Characteristics'!$C:$C,0))),"",INDEX('Policy Characteristics'!K:K,MATCH($C852,'Policy Characteristics'!$C:$C,0)))</f>
        <v>industry-ag-main.html#fuel-switching</v>
      </c>
      <c r="R852" s="275" t="str">
        <f>IF(ISBLANK(INDEX('Policy Characteristics'!L:L,MATCH($C852,'Policy Characteristics'!$C:$C,0))),"",INDEX('Policy Characteristics'!L:L,MATCH($C852,'Policy Characteristics'!$C:$C,0)))</f>
        <v>industry-elec-and-hydrogen.html</v>
      </c>
    </row>
    <row r="853" spans="1:18" s="2" customFormat="1" x14ac:dyDescent="0.25">
      <c r="A853" s="275" t="str">
        <f>IF(ISBLANK(INDEX('Policy Characteristics'!A:A,MATCH($C853,'Policy Characteristics'!$C:$C,0))),"",INDEX('Policy Characteristics'!A:A,MATCH($C853,'Policy Characteristics'!$C:$C,0)))</f>
        <v>Industry</v>
      </c>
      <c r="B853" s="284" t="str">
        <f>IF(ISBLANK(INDEX('Policy Characteristics'!B:B,MATCH($C853,'Policy Characteristics'!$C:$C,0))),"",INDEX('Policy Characteristics'!B:B,MATCH($C853,'Policy Characteristics'!$C:$C,0)))</f>
        <v>Hydrogen Combustion</v>
      </c>
      <c r="C853" s="275" t="str">
        <f t="shared" si="38"/>
        <v>Fraction of Eligible Industrial Energy Use Shifted to Hydrogen</v>
      </c>
      <c r="D853" s="6" t="s">
        <v>3080</v>
      </c>
      <c r="E853" s="1" t="s">
        <v>3548</v>
      </c>
      <c r="F853" t="s">
        <v>3043</v>
      </c>
      <c r="G853" s="47" t="s">
        <v>3555</v>
      </c>
      <c r="H853" s="44">
        <v>2115</v>
      </c>
      <c r="I853" s="346" t="s">
        <v>43</v>
      </c>
      <c r="J853" s="276" t="str">
        <f>IF(ISBLANK(INDEX('Policy Characteristics'!D:D,MATCH($C853,'Policy Characteristics'!$C:$C,0))),"",INDEX('Policy Characteristics'!D:D,MATCH($C853,'Policy Characteristics'!$C:$C,0)))</f>
        <v>Hydrogen Combustion</v>
      </c>
      <c r="K853" s="275" t="str">
        <f>IF(ISBLANK(INDEX('Policy Characteristics'!E:E,MATCH($C853,'Policy Characteristics'!$C:$C,0))),"",INDEX('Policy Characteristics'!E:E,MATCH($C853,'Policy Characteristics'!$C:$C,0)))</f>
        <v>indst shift to hydrogen</v>
      </c>
      <c r="L853" s="283">
        <f>IF(ISBLANK(INDEX('Policy Characteristics'!F:F,MATCH($C853,'Policy Characteristics'!$C:$C,0))),"",INDEX('Policy Characteristics'!F:F,MATCH($C853,'Policy Characteristics'!$C:$C,0)))</f>
        <v>0</v>
      </c>
      <c r="M853" s="283">
        <f>IF(ISBLANK(INDEX('Policy Characteristics'!G:G,MATCH($C853,'Policy Characteristics'!$C:$C,0))),"",INDEX('Policy Characteristics'!G:G,MATCH($C853,'Policy Characteristics'!$C:$C,0)))</f>
        <v>1</v>
      </c>
      <c r="N853" s="283">
        <f>IF(ISBLANK(INDEX('Policy Characteristics'!H:H,MATCH($C853,'Policy Characteristics'!$C:$C,0))),"",INDEX('Policy Characteristics'!H:H,MATCH($C853,'Policy Characteristics'!$C:$C,0)))</f>
        <v>0.01</v>
      </c>
      <c r="O853" s="275" t="str">
        <f>IF(ISBLANK(INDEX('Policy Characteristics'!I:I,MATCH($C853,'Policy Characteristics'!$C:$C,0))),"",INDEX('Policy Characteristics'!I:I,MATCH($C853,'Policy Characteristics'!$C:$C,0)))</f>
        <v>% of fuel shifted</v>
      </c>
      <c r="P853" s="275" t="str">
        <f>IF(ISBLANK(INDEX('Policy Characteristics'!J:J,MATCH($C853,'Policy Characteristics'!$C:$C,0))),"",INDEX('Policy Characteristics'!J:J,MATCH($C853,'Policy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3" s="275" t="str">
        <f>IF(ISBLANK(INDEX('Policy Characteristics'!K:K,MATCH($C853,'Policy Characteristics'!$C:$C,0))),"",INDEX('Policy Characteristics'!K:K,MATCH($C853,'Policy Characteristics'!$C:$C,0)))</f>
        <v>industry-ag-main.html#fuel-switching</v>
      </c>
      <c r="R853" s="275" t="str">
        <f>IF(ISBLANK(INDEX('Policy Characteristics'!L:L,MATCH($C853,'Policy Characteristics'!$C:$C,0))),"",INDEX('Policy Characteristics'!L:L,MATCH($C853,'Policy Characteristics'!$C:$C,0)))</f>
        <v>industry-elec-and-hydrogen.html</v>
      </c>
    </row>
    <row r="854" spans="1:18" s="2" customFormat="1" x14ac:dyDescent="0.25">
      <c r="A854" s="275" t="str">
        <f>IF(ISBLANK(INDEX('Policy Characteristics'!A:A,MATCH($C854,'Policy Characteristics'!$C:$C,0))),"",INDEX('Policy Characteristics'!A:A,MATCH($C854,'Policy Characteristics'!$C:$C,0)))</f>
        <v>Industry</v>
      </c>
      <c r="B854" s="284" t="str">
        <f>IF(ISBLANK(INDEX('Policy Characteristics'!B:B,MATCH($C854,'Policy Characteristics'!$C:$C,0))),"",INDEX('Policy Characteristics'!B:B,MATCH($C854,'Policy Characteristics'!$C:$C,0)))</f>
        <v>Hydrogen Combustion</v>
      </c>
      <c r="C854" s="275" t="str">
        <f t="shared" si="38"/>
        <v>Fraction of Eligible Industrial Energy Use Shifted to Hydrogen</v>
      </c>
      <c r="D854" s="6" t="s">
        <v>3080</v>
      </c>
      <c r="E854" s="1" t="s">
        <v>3549</v>
      </c>
      <c r="F854" t="s">
        <v>3043</v>
      </c>
      <c r="G854" s="47" t="s">
        <v>3556</v>
      </c>
      <c r="H854" s="44">
        <v>2116</v>
      </c>
      <c r="I854" s="346" t="s">
        <v>43</v>
      </c>
      <c r="J854" s="276" t="str">
        <f>IF(ISBLANK(INDEX('Policy Characteristics'!D:D,MATCH($C854,'Policy Characteristics'!$C:$C,0))),"",INDEX('Policy Characteristics'!D:D,MATCH($C854,'Policy Characteristics'!$C:$C,0)))</f>
        <v>Hydrogen Combustion</v>
      </c>
      <c r="K854" s="275" t="str">
        <f>IF(ISBLANK(INDEX('Policy Characteristics'!E:E,MATCH($C854,'Policy Characteristics'!$C:$C,0))),"",INDEX('Policy Characteristics'!E:E,MATCH($C854,'Policy Characteristics'!$C:$C,0)))</f>
        <v>indst shift to hydrogen</v>
      </c>
      <c r="L854" s="283">
        <f>IF(ISBLANK(INDEX('Policy Characteristics'!F:F,MATCH($C854,'Policy Characteristics'!$C:$C,0))),"",INDEX('Policy Characteristics'!F:F,MATCH($C854,'Policy Characteristics'!$C:$C,0)))</f>
        <v>0</v>
      </c>
      <c r="M854" s="283">
        <f>IF(ISBLANK(INDEX('Policy Characteristics'!G:G,MATCH($C854,'Policy Characteristics'!$C:$C,0))),"",INDEX('Policy Characteristics'!G:G,MATCH($C854,'Policy Characteristics'!$C:$C,0)))</f>
        <v>1</v>
      </c>
      <c r="N854" s="283">
        <f>IF(ISBLANK(INDEX('Policy Characteristics'!H:H,MATCH($C854,'Policy Characteristics'!$C:$C,0))),"",INDEX('Policy Characteristics'!H:H,MATCH($C854,'Policy Characteristics'!$C:$C,0)))</f>
        <v>0.01</v>
      </c>
      <c r="O854" s="275" t="str">
        <f>IF(ISBLANK(INDEX('Policy Characteristics'!I:I,MATCH($C854,'Policy Characteristics'!$C:$C,0))),"",INDEX('Policy Characteristics'!I:I,MATCH($C854,'Policy Characteristics'!$C:$C,0)))</f>
        <v>% of fuel shifted</v>
      </c>
      <c r="P854" s="275" t="str">
        <f>IF(ISBLANK(INDEX('Policy Characteristics'!J:J,MATCH($C854,'Policy Characteristics'!$C:$C,0))),"",INDEX('Policy Characteristics'!J:J,MATCH($C854,'Policy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4" s="275" t="str">
        <f>IF(ISBLANK(INDEX('Policy Characteristics'!K:K,MATCH($C854,'Policy Characteristics'!$C:$C,0))),"",INDEX('Policy Characteristics'!K:K,MATCH($C854,'Policy Characteristics'!$C:$C,0)))</f>
        <v>industry-ag-main.html#fuel-switching</v>
      </c>
      <c r="R854" s="275" t="str">
        <f>IF(ISBLANK(INDEX('Policy Characteristics'!L:L,MATCH($C854,'Policy Characteristics'!$C:$C,0))),"",INDEX('Policy Characteristics'!L:L,MATCH($C854,'Policy Characteristics'!$C:$C,0)))</f>
        <v>industry-elec-and-hydrogen.html</v>
      </c>
    </row>
    <row r="855" spans="1:18" s="2" customFormat="1" x14ac:dyDescent="0.25">
      <c r="A855" s="275" t="str">
        <f>IF(ISBLANK(INDEX('Policy Characteristics'!A:A,MATCH($C855,'Policy Characteristics'!$C:$C,0))),"",INDEX('Policy Characteristics'!A:A,MATCH($C855,'Policy Characteristics'!$C:$C,0)))</f>
        <v>Industry</v>
      </c>
      <c r="B855" s="284" t="str">
        <f>IF(ISBLANK(INDEX('Policy Characteristics'!B:B,MATCH($C855,'Policy Characteristics'!$C:$C,0))),"",INDEX('Policy Characteristics'!B:B,MATCH($C855,'Policy Characteristics'!$C:$C,0)))</f>
        <v>Hydrogen Combustion</v>
      </c>
      <c r="C855" s="275" t="str">
        <f t="shared" si="38"/>
        <v>Fraction of Eligible Industrial Energy Use Shifted to Hydrogen</v>
      </c>
      <c r="D855" s="6" t="s">
        <v>3080</v>
      </c>
      <c r="E855" s="1" t="s">
        <v>3550</v>
      </c>
      <c r="F855" t="s">
        <v>3043</v>
      </c>
      <c r="G855" s="47" t="s">
        <v>3557</v>
      </c>
      <c r="H855" s="44">
        <v>2117</v>
      </c>
      <c r="I855" s="346" t="s">
        <v>43</v>
      </c>
      <c r="J855" s="276" t="str">
        <f>IF(ISBLANK(INDEX('Policy Characteristics'!D:D,MATCH($C855,'Policy Characteristics'!$C:$C,0))),"",INDEX('Policy Characteristics'!D:D,MATCH($C855,'Policy Characteristics'!$C:$C,0)))</f>
        <v>Hydrogen Combustion</v>
      </c>
      <c r="K855" s="275" t="str">
        <f>IF(ISBLANK(INDEX('Policy Characteristics'!E:E,MATCH($C855,'Policy Characteristics'!$C:$C,0))),"",INDEX('Policy Characteristics'!E:E,MATCH($C855,'Policy Characteristics'!$C:$C,0)))</f>
        <v>indst shift to hydrogen</v>
      </c>
      <c r="L855" s="283">
        <f>IF(ISBLANK(INDEX('Policy Characteristics'!F:F,MATCH($C855,'Policy Characteristics'!$C:$C,0))),"",INDEX('Policy Characteristics'!F:F,MATCH($C855,'Policy Characteristics'!$C:$C,0)))</f>
        <v>0</v>
      </c>
      <c r="M855" s="283">
        <f>IF(ISBLANK(INDEX('Policy Characteristics'!G:G,MATCH($C855,'Policy Characteristics'!$C:$C,0))),"",INDEX('Policy Characteristics'!G:G,MATCH($C855,'Policy Characteristics'!$C:$C,0)))</f>
        <v>1</v>
      </c>
      <c r="N855" s="283">
        <f>IF(ISBLANK(INDEX('Policy Characteristics'!H:H,MATCH($C855,'Policy Characteristics'!$C:$C,0))),"",INDEX('Policy Characteristics'!H:H,MATCH($C855,'Policy Characteristics'!$C:$C,0)))</f>
        <v>0.01</v>
      </c>
      <c r="O855" s="275" t="str">
        <f>IF(ISBLANK(INDEX('Policy Characteristics'!I:I,MATCH($C855,'Policy Characteristics'!$C:$C,0))),"",INDEX('Policy Characteristics'!I:I,MATCH($C855,'Policy Characteristics'!$C:$C,0)))</f>
        <v>% of fuel shifted</v>
      </c>
      <c r="P855" s="275" t="str">
        <f>IF(ISBLANK(INDEX('Policy Characteristics'!J:J,MATCH($C855,'Policy Characteristics'!$C:$C,0))),"",INDEX('Policy Characteristics'!J:J,MATCH($C855,'Policy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5" s="275" t="str">
        <f>IF(ISBLANK(INDEX('Policy Characteristics'!K:K,MATCH($C855,'Policy Characteristics'!$C:$C,0))),"",INDEX('Policy Characteristics'!K:K,MATCH($C855,'Policy Characteristics'!$C:$C,0)))</f>
        <v>industry-ag-main.html#fuel-switching</v>
      </c>
      <c r="R855" s="275" t="str">
        <f>IF(ISBLANK(INDEX('Policy Characteristics'!L:L,MATCH($C855,'Policy Characteristics'!$C:$C,0))),"",INDEX('Policy Characteristics'!L:L,MATCH($C855,'Policy Characteristics'!$C:$C,0)))</f>
        <v>industry-elec-and-hydrogen.html</v>
      </c>
    </row>
    <row r="856" spans="1:18" s="2" customFormat="1" x14ac:dyDescent="0.25">
      <c r="A856" s="275" t="str">
        <f>IF(ISBLANK(INDEX('Policy Characteristics'!A:A,MATCH($C856,'Policy Characteristics'!$C:$C,0))),"",INDEX('Policy Characteristics'!A:A,MATCH($C856,'Policy Characteristics'!$C:$C,0)))</f>
        <v>Industry</v>
      </c>
      <c r="B856" s="284" t="str">
        <f>IF(ISBLANK(INDEX('Policy Characteristics'!B:B,MATCH($C856,'Policy Characteristics'!$C:$C,0))),"",INDEX('Policy Characteristics'!B:B,MATCH($C856,'Policy Characteristics'!$C:$C,0)))</f>
        <v>Hydrogen Combustion</v>
      </c>
      <c r="C856" s="275" t="str">
        <f t="shared" si="38"/>
        <v>Fraction of Eligible Industrial Energy Use Shifted to Hydrogen</v>
      </c>
      <c r="D856" s="6" t="s">
        <v>3080</v>
      </c>
      <c r="E856" s="1" t="s">
        <v>3551</v>
      </c>
      <c r="F856" t="s">
        <v>3043</v>
      </c>
      <c r="G856" s="47" t="s">
        <v>3558</v>
      </c>
      <c r="H856" s="44">
        <v>2118</v>
      </c>
      <c r="I856" s="346" t="s">
        <v>44</v>
      </c>
      <c r="J856" s="276" t="str">
        <f>IF(ISBLANK(INDEX('Policy Characteristics'!D:D,MATCH($C856,'Policy Characteristics'!$C:$C,0))),"",INDEX('Policy Characteristics'!D:D,MATCH($C856,'Policy Characteristics'!$C:$C,0)))</f>
        <v>Hydrogen Combustion</v>
      </c>
      <c r="K856" s="275" t="str">
        <f>IF(ISBLANK(INDEX('Policy Characteristics'!E:E,MATCH($C856,'Policy Characteristics'!$C:$C,0))),"",INDEX('Policy Characteristics'!E:E,MATCH($C856,'Policy Characteristics'!$C:$C,0)))</f>
        <v>indst shift to hydrogen</v>
      </c>
      <c r="L856" s="283">
        <f>IF(ISBLANK(INDEX('Policy Characteristics'!F:F,MATCH($C856,'Policy Characteristics'!$C:$C,0))),"",INDEX('Policy Characteristics'!F:F,MATCH($C856,'Policy Characteristics'!$C:$C,0)))</f>
        <v>0</v>
      </c>
      <c r="M856" s="283">
        <f>IF(ISBLANK(INDEX('Policy Characteristics'!G:G,MATCH($C856,'Policy Characteristics'!$C:$C,0))),"",INDEX('Policy Characteristics'!G:G,MATCH($C856,'Policy Characteristics'!$C:$C,0)))</f>
        <v>1</v>
      </c>
      <c r="N856" s="283">
        <f>IF(ISBLANK(INDEX('Policy Characteristics'!H:H,MATCH($C856,'Policy Characteristics'!$C:$C,0))),"",INDEX('Policy Characteristics'!H:H,MATCH($C856,'Policy Characteristics'!$C:$C,0)))</f>
        <v>0.01</v>
      </c>
      <c r="O856" s="275" t="str">
        <f>IF(ISBLANK(INDEX('Policy Characteristics'!I:I,MATCH($C856,'Policy Characteristics'!$C:$C,0))),"",INDEX('Policy Characteristics'!I:I,MATCH($C856,'Policy Characteristics'!$C:$C,0)))</f>
        <v>% of fuel shifted</v>
      </c>
      <c r="P856" s="275" t="str">
        <f>IF(ISBLANK(INDEX('Policy Characteristics'!J:J,MATCH($C856,'Policy Characteristics'!$C:$C,0))),"",INDEX('Policy Characteristics'!J:J,MATCH($C856,'Policy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6" s="275" t="str">
        <f>IF(ISBLANK(INDEX('Policy Characteristics'!K:K,MATCH($C856,'Policy Characteristics'!$C:$C,0))),"",INDEX('Policy Characteristics'!K:K,MATCH($C856,'Policy Characteristics'!$C:$C,0)))</f>
        <v>industry-ag-main.html#fuel-switching</v>
      </c>
      <c r="R856" s="275" t="str">
        <f>IF(ISBLANK(INDEX('Policy Characteristics'!L:L,MATCH($C856,'Policy Characteristics'!$C:$C,0))),"",INDEX('Policy Characteristics'!L:L,MATCH($C856,'Policy Characteristics'!$C:$C,0)))</f>
        <v>industry-elec-and-hydrogen.html</v>
      </c>
    </row>
    <row r="857" spans="1:18" s="2" customFormat="1" x14ac:dyDescent="0.25">
      <c r="A857" s="275" t="str">
        <f>IF(ISBLANK(INDEX('Policy Characteristics'!A:A,MATCH($C857,'Policy Characteristics'!$C:$C,0))),"",INDEX('Policy Characteristics'!A:A,MATCH($C857,'Policy Characteristics'!$C:$C,0)))</f>
        <v>Industry</v>
      </c>
      <c r="B857" s="284" t="str">
        <f>IF(ISBLANK(INDEX('Policy Characteristics'!B:B,MATCH($C857,'Policy Characteristics'!$C:$C,0))),"",INDEX('Policy Characteristics'!B:B,MATCH($C857,'Policy Characteristics'!$C:$C,0)))</f>
        <v>Hydrogen Combustion</v>
      </c>
      <c r="C857" s="275" t="str">
        <f t="shared" si="38"/>
        <v>Fraction of Eligible Industrial Energy Use Shifted to Hydrogen</v>
      </c>
      <c r="D857" s="6" t="s">
        <v>3080</v>
      </c>
      <c r="E857" s="1" t="s">
        <v>3552</v>
      </c>
      <c r="F857" t="s">
        <v>3043</v>
      </c>
      <c r="G857" s="47" t="s">
        <v>3559</v>
      </c>
      <c r="H857" s="44">
        <v>2119</v>
      </c>
      <c r="I857" s="346" t="s">
        <v>44</v>
      </c>
      <c r="J857" s="276" t="str">
        <f>IF(ISBLANK(INDEX('Policy Characteristics'!D:D,MATCH($C857,'Policy Characteristics'!$C:$C,0))),"",INDEX('Policy Characteristics'!D:D,MATCH($C857,'Policy Characteristics'!$C:$C,0)))</f>
        <v>Hydrogen Combustion</v>
      </c>
      <c r="K857" s="275" t="str">
        <f>IF(ISBLANK(INDEX('Policy Characteristics'!E:E,MATCH($C857,'Policy Characteristics'!$C:$C,0))),"",INDEX('Policy Characteristics'!E:E,MATCH($C857,'Policy Characteristics'!$C:$C,0)))</f>
        <v>indst shift to hydrogen</v>
      </c>
      <c r="L857" s="283">
        <f>IF(ISBLANK(INDEX('Policy Characteristics'!F:F,MATCH($C857,'Policy Characteristics'!$C:$C,0))),"",INDEX('Policy Characteristics'!F:F,MATCH($C857,'Policy Characteristics'!$C:$C,0)))</f>
        <v>0</v>
      </c>
      <c r="M857" s="283">
        <f>IF(ISBLANK(INDEX('Policy Characteristics'!G:G,MATCH($C857,'Policy Characteristics'!$C:$C,0))),"",INDEX('Policy Characteristics'!G:G,MATCH($C857,'Policy Characteristics'!$C:$C,0)))</f>
        <v>1</v>
      </c>
      <c r="N857" s="283">
        <f>IF(ISBLANK(INDEX('Policy Characteristics'!H:H,MATCH($C857,'Policy Characteristics'!$C:$C,0))),"",INDEX('Policy Characteristics'!H:H,MATCH($C857,'Policy Characteristics'!$C:$C,0)))</f>
        <v>0.01</v>
      </c>
      <c r="O857" s="275" t="str">
        <f>IF(ISBLANK(INDEX('Policy Characteristics'!I:I,MATCH($C857,'Policy Characteristics'!$C:$C,0))),"",INDEX('Policy Characteristics'!I:I,MATCH($C857,'Policy Characteristics'!$C:$C,0)))</f>
        <v>% of fuel shifted</v>
      </c>
      <c r="P857" s="275" t="str">
        <f>IF(ISBLANK(INDEX('Policy Characteristics'!J:J,MATCH($C857,'Policy Characteristics'!$C:$C,0))),"",INDEX('Policy Characteristics'!J:J,MATCH($C857,'Policy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7" s="275" t="str">
        <f>IF(ISBLANK(INDEX('Policy Characteristics'!K:K,MATCH($C857,'Policy Characteristics'!$C:$C,0))),"",INDEX('Policy Characteristics'!K:K,MATCH($C857,'Policy Characteristics'!$C:$C,0)))</f>
        <v>industry-ag-main.html#fuel-switching</v>
      </c>
      <c r="R857" s="275" t="str">
        <f>IF(ISBLANK(INDEX('Policy Characteristics'!L:L,MATCH($C857,'Policy Characteristics'!$C:$C,0))),"",INDEX('Policy Characteristics'!L:L,MATCH($C857,'Policy Characteristics'!$C:$C,0)))</f>
        <v>industry-elec-and-hydrogen.html</v>
      </c>
    </row>
    <row r="858" spans="1:18" s="2" customFormat="1" x14ac:dyDescent="0.25">
      <c r="A858" s="275" t="str">
        <f>IF(ISBLANK(INDEX('Policy Characteristics'!A:A,MATCH($C858,'Policy Characteristics'!$C:$C,0))),"",INDEX('Policy Characteristics'!A:A,MATCH($C858,'Policy Characteristics'!$C:$C,0)))</f>
        <v>Industry</v>
      </c>
      <c r="B858" s="284" t="str">
        <f>IF(ISBLANK(INDEX('Policy Characteristics'!B:B,MATCH($C858,'Policy Characteristics'!$C:$C,0))),"",INDEX('Policy Characteristics'!B:B,MATCH($C858,'Policy Characteristics'!$C:$C,0)))</f>
        <v>Hydrogen Combustion</v>
      </c>
      <c r="C858" s="275" t="str">
        <f t="shared" si="38"/>
        <v>Fraction of Eligible Industrial Energy Use Shifted to Hydrogen</v>
      </c>
      <c r="D858" s="6" t="s">
        <v>3080</v>
      </c>
      <c r="E858" s="1" t="s">
        <v>3553</v>
      </c>
      <c r="F858" t="s">
        <v>3043</v>
      </c>
      <c r="G858" s="47" t="s">
        <v>3560</v>
      </c>
      <c r="H858" s="44">
        <v>2120</v>
      </c>
      <c r="I858" s="346" t="s">
        <v>44</v>
      </c>
      <c r="J858" s="276" t="str">
        <f>IF(ISBLANK(INDEX('Policy Characteristics'!D:D,MATCH($C858,'Policy Characteristics'!$C:$C,0))),"",INDEX('Policy Characteristics'!D:D,MATCH($C858,'Policy Characteristics'!$C:$C,0)))</f>
        <v>Hydrogen Combustion</v>
      </c>
      <c r="K858" s="275" t="str">
        <f>IF(ISBLANK(INDEX('Policy Characteristics'!E:E,MATCH($C858,'Policy Characteristics'!$C:$C,0))),"",INDEX('Policy Characteristics'!E:E,MATCH($C858,'Policy Characteristics'!$C:$C,0)))</f>
        <v>indst shift to hydrogen</v>
      </c>
      <c r="L858" s="283">
        <f>IF(ISBLANK(INDEX('Policy Characteristics'!F:F,MATCH($C858,'Policy Characteristics'!$C:$C,0))),"",INDEX('Policy Characteristics'!F:F,MATCH($C858,'Policy Characteristics'!$C:$C,0)))</f>
        <v>0</v>
      </c>
      <c r="M858" s="283">
        <f>IF(ISBLANK(INDEX('Policy Characteristics'!G:G,MATCH($C858,'Policy Characteristics'!$C:$C,0))),"",INDEX('Policy Characteristics'!G:G,MATCH($C858,'Policy Characteristics'!$C:$C,0)))</f>
        <v>1</v>
      </c>
      <c r="N858" s="283">
        <f>IF(ISBLANK(INDEX('Policy Characteristics'!H:H,MATCH($C858,'Policy Characteristics'!$C:$C,0))),"",INDEX('Policy Characteristics'!H:H,MATCH($C858,'Policy Characteristics'!$C:$C,0)))</f>
        <v>0.01</v>
      </c>
      <c r="O858" s="275" t="str">
        <f>IF(ISBLANK(INDEX('Policy Characteristics'!I:I,MATCH($C858,'Policy Characteristics'!$C:$C,0))),"",INDEX('Policy Characteristics'!I:I,MATCH($C858,'Policy Characteristics'!$C:$C,0)))</f>
        <v>% of fuel shifted</v>
      </c>
      <c r="P858" s="275" t="str">
        <f>IF(ISBLANK(INDEX('Policy Characteristics'!J:J,MATCH($C858,'Policy Characteristics'!$C:$C,0))),"",INDEX('Policy Characteristics'!J:J,MATCH($C858,'Policy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8" s="275" t="str">
        <f>IF(ISBLANK(INDEX('Policy Characteristics'!K:K,MATCH($C858,'Policy Characteristics'!$C:$C,0))),"",INDEX('Policy Characteristics'!K:K,MATCH($C858,'Policy Characteristics'!$C:$C,0)))</f>
        <v>industry-ag-main.html#fuel-switching</v>
      </c>
      <c r="R858" s="275" t="str">
        <f>IF(ISBLANK(INDEX('Policy Characteristics'!L:L,MATCH($C858,'Policy Characteristics'!$C:$C,0))),"",INDEX('Policy Characteristics'!L:L,MATCH($C858,'Policy Characteristics'!$C:$C,0)))</f>
        <v>industry-elec-and-hydrogen.html</v>
      </c>
    </row>
    <row r="859" spans="1:18" s="2" customFormat="1" x14ac:dyDescent="0.25">
      <c r="A859" s="275" t="str">
        <f>IF(ISBLANK(INDEX('Policy Characteristics'!A:A,MATCH($C859,'Policy Characteristics'!$C:$C,0))),"",INDEX('Policy Characteristics'!A:A,MATCH($C859,'Policy Characteristics'!$C:$C,0)))</f>
        <v>Industry</v>
      </c>
      <c r="B859" s="284" t="str">
        <f>IF(ISBLANK(INDEX('Policy Characteristics'!B:B,MATCH($C859,'Policy Characteristics'!$C:$C,0))),"",INDEX('Policy Characteristics'!B:B,MATCH($C859,'Policy Characteristics'!$C:$C,0)))</f>
        <v>Hydrogen Combustion</v>
      </c>
      <c r="C859" s="275" t="str">
        <f t="shared" si="38"/>
        <v>Fraction of Eligible Industrial Energy Use Shifted to Hydrogen</v>
      </c>
      <c r="D859" s="6" t="s">
        <v>3080</v>
      </c>
      <c r="E859" s="1" t="s">
        <v>3737</v>
      </c>
      <c r="F859" t="s">
        <v>3043</v>
      </c>
      <c r="G859" s="47" t="s">
        <v>3738</v>
      </c>
      <c r="H859" s="44">
        <v>2121</v>
      </c>
      <c r="I859" s="346" t="s">
        <v>44</v>
      </c>
      <c r="J859" s="276" t="str">
        <f>IF(ISBLANK(INDEX('Policy Characteristics'!D:D,MATCH($C859,'Policy Characteristics'!$C:$C,0))),"",INDEX('Policy Characteristics'!D:D,MATCH($C859,'Policy Characteristics'!$C:$C,0)))</f>
        <v>Hydrogen Combustion</v>
      </c>
      <c r="K859" s="275" t="str">
        <f>IF(ISBLANK(INDEX('Policy Characteristics'!E:E,MATCH($C859,'Policy Characteristics'!$C:$C,0))),"",INDEX('Policy Characteristics'!E:E,MATCH($C859,'Policy Characteristics'!$C:$C,0)))</f>
        <v>indst shift to hydrogen</v>
      </c>
      <c r="L859" s="283">
        <f>IF(ISBLANK(INDEX('Policy Characteristics'!F:F,MATCH($C859,'Policy Characteristics'!$C:$C,0))),"",INDEX('Policy Characteristics'!F:F,MATCH($C859,'Policy Characteristics'!$C:$C,0)))</f>
        <v>0</v>
      </c>
      <c r="M859" s="283">
        <f>IF(ISBLANK(INDEX('Policy Characteristics'!G:G,MATCH($C859,'Policy Characteristics'!$C:$C,0))),"",INDEX('Policy Characteristics'!G:G,MATCH($C859,'Policy Characteristics'!$C:$C,0)))</f>
        <v>1</v>
      </c>
      <c r="N859" s="283">
        <f>IF(ISBLANK(INDEX('Policy Characteristics'!H:H,MATCH($C859,'Policy Characteristics'!$C:$C,0))),"",INDEX('Policy Characteristics'!H:H,MATCH($C859,'Policy Characteristics'!$C:$C,0)))</f>
        <v>0.01</v>
      </c>
      <c r="O859" s="275" t="str">
        <f>IF(ISBLANK(INDEX('Policy Characteristics'!I:I,MATCH($C859,'Policy Characteristics'!$C:$C,0))),"",INDEX('Policy Characteristics'!I:I,MATCH($C859,'Policy Characteristics'!$C:$C,0)))</f>
        <v>% of fuel shifted</v>
      </c>
      <c r="P859" s="275" t="str">
        <f>IF(ISBLANK(INDEX('Policy Characteristics'!J:J,MATCH($C859,'Policy Characteristics'!$C:$C,0))),"",INDEX('Policy Characteristics'!J:J,MATCH($C859,'Policy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9" s="275" t="str">
        <f>IF(ISBLANK(INDEX('Policy Characteristics'!K:K,MATCH($C859,'Policy Characteristics'!$C:$C,0))),"",INDEX('Policy Characteristics'!K:K,MATCH($C859,'Policy Characteristics'!$C:$C,0)))</f>
        <v>industry-ag-main.html#fuel-switching</v>
      </c>
      <c r="R859" s="275" t="str">
        <f>IF(ISBLANK(INDEX('Policy Characteristics'!L:L,MATCH($C859,'Policy Characteristics'!$C:$C,0))),"",INDEX('Policy Characteristics'!L:L,MATCH($C859,'Policy Characteristics'!$C:$C,0)))</f>
        <v>industry-elec-and-hydrogen.html</v>
      </c>
    </row>
    <row r="860" spans="1:18" s="2" customFormat="1" x14ac:dyDescent="0.25">
      <c r="A860" s="275" t="str">
        <f>IF(ISBLANK(INDEX('Policy Characteristics'!A:A,MATCH($C860,'Policy Characteristics'!$C:$C,0))),"",INDEX('Policy Characteristics'!A:A,MATCH($C860,'Policy Characteristics'!$C:$C,0)))</f>
        <v>Industry</v>
      </c>
      <c r="B860" s="284" t="str">
        <f>IF(ISBLANK(INDEX('Policy Characteristics'!B:B,MATCH($C860,'Policy Characteristics'!$C:$C,0))),"",INDEX('Policy Characteristics'!B:B,MATCH($C860,'Policy Characteristics'!$C:$C,0)))</f>
        <v>Hydrogen Combustion</v>
      </c>
      <c r="C860" s="275" t="str">
        <f t="shared" si="38"/>
        <v>Fraction of Eligible Industrial Energy Use Shifted to Hydrogen</v>
      </c>
      <c r="D860" s="6" t="s">
        <v>3081</v>
      </c>
      <c r="E860" s="1" t="s">
        <v>3547</v>
      </c>
      <c r="F860" t="s">
        <v>3044</v>
      </c>
      <c r="G860" s="47" t="s">
        <v>3554</v>
      </c>
      <c r="H860" s="44">
        <v>2122</v>
      </c>
      <c r="I860" s="346" t="s">
        <v>44</v>
      </c>
      <c r="J860" s="276" t="str">
        <f>IF(ISBLANK(INDEX('Policy Characteristics'!D:D,MATCH($C860,'Policy Characteristics'!$C:$C,0))),"",INDEX('Policy Characteristics'!D:D,MATCH($C860,'Policy Characteristics'!$C:$C,0)))</f>
        <v>Hydrogen Combustion</v>
      </c>
      <c r="K860" s="275" t="str">
        <f>IF(ISBLANK(INDEX('Policy Characteristics'!E:E,MATCH($C860,'Policy Characteristics'!$C:$C,0))),"",INDEX('Policy Characteristics'!E:E,MATCH($C860,'Policy Characteristics'!$C:$C,0)))</f>
        <v>indst shift to hydrogen</v>
      </c>
      <c r="L860" s="283">
        <f>IF(ISBLANK(INDEX('Policy Characteristics'!F:F,MATCH($C860,'Policy Characteristics'!$C:$C,0))),"",INDEX('Policy Characteristics'!F:F,MATCH($C860,'Policy Characteristics'!$C:$C,0)))</f>
        <v>0</v>
      </c>
      <c r="M860" s="283">
        <f>IF(ISBLANK(INDEX('Policy Characteristics'!G:G,MATCH($C860,'Policy Characteristics'!$C:$C,0))),"",INDEX('Policy Characteristics'!G:G,MATCH($C860,'Policy Characteristics'!$C:$C,0)))</f>
        <v>1</v>
      </c>
      <c r="N860" s="283">
        <f>IF(ISBLANK(INDEX('Policy Characteristics'!H:H,MATCH($C860,'Policy Characteristics'!$C:$C,0))),"",INDEX('Policy Characteristics'!H:H,MATCH($C860,'Policy Characteristics'!$C:$C,0)))</f>
        <v>0.01</v>
      </c>
      <c r="O860" s="275" t="str">
        <f>IF(ISBLANK(INDEX('Policy Characteristics'!I:I,MATCH($C860,'Policy Characteristics'!$C:$C,0))),"",INDEX('Policy Characteristics'!I:I,MATCH($C860,'Policy Characteristics'!$C:$C,0)))</f>
        <v>% of fuel shifted</v>
      </c>
      <c r="P860" s="275" t="str">
        <f>IF(ISBLANK(INDEX('Policy Characteristics'!J:J,MATCH($C860,'Policy Characteristics'!$C:$C,0))),"",INDEX('Policy Characteristics'!J:J,MATCH($C860,'Policy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0" s="275" t="str">
        <f>IF(ISBLANK(INDEX('Policy Characteristics'!K:K,MATCH($C860,'Policy Characteristics'!$C:$C,0))),"",INDEX('Policy Characteristics'!K:K,MATCH($C860,'Policy Characteristics'!$C:$C,0)))</f>
        <v>industry-ag-main.html#fuel-switching</v>
      </c>
      <c r="R860" s="275" t="str">
        <f>IF(ISBLANK(INDEX('Policy Characteristics'!L:L,MATCH($C860,'Policy Characteristics'!$C:$C,0))),"",INDEX('Policy Characteristics'!L:L,MATCH($C860,'Policy Characteristics'!$C:$C,0)))</f>
        <v>industry-elec-and-hydrogen.html</v>
      </c>
    </row>
    <row r="861" spans="1:18" s="2" customFormat="1" x14ac:dyDescent="0.25">
      <c r="A861" s="275" t="str">
        <f>IF(ISBLANK(INDEX('Policy Characteristics'!A:A,MATCH($C861,'Policy Characteristics'!$C:$C,0))),"",INDEX('Policy Characteristics'!A:A,MATCH($C861,'Policy Characteristics'!$C:$C,0)))</f>
        <v>Industry</v>
      </c>
      <c r="B861" s="284" t="str">
        <f>IF(ISBLANK(INDEX('Policy Characteristics'!B:B,MATCH($C861,'Policy Characteristics'!$C:$C,0))),"",INDEX('Policy Characteristics'!B:B,MATCH($C861,'Policy Characteristics'!$C:$C,0)))</f>
        <v>Hydrogen Combustion</v>
      </c>
      <c r="C861" s="275" t="str">
        <f t="shared" si="38"/>
        <v>Fraction of Eligible Industrial Energy Use Shifted to Hydrogen</v>
      </c>
      <c r="D861" s="6" t="s">
        <v>3081</v>
      </c>
      <c r="E861" s="1" t="s">
        <v>3548</v>
      </c>
      <c r="F861" t="s">
        <v>3044</v>
      </c>
      <c r="G861" s="47" t="s">
        <v>3555</v>
      </c>
      <c r="H861" s="44">
        <v>2123</v>
      </c>
      <c r="I861" s="346" t="s">
        <v>44</v>
      </c>
      <c r="J861" s="276" t="str">
        <f>IF(ISBLANK(INDEX('Policy Characteristics'!D:D,MATCH($C861,'Policy Characteristics'!$C:$C,0))),"",INDEX('Policy Characteristics'!D:D,MATCH($C861,'Policy Characteristics'!$C:$C,0)))</f>
        <v>Hydrogen Combustion</v>
      </c>
      <c r="K861" s="275" t="str">
        <f>IF(ISBLANK(INDEX('Policy Characteristics'!E:E,MATCH($C861,'Policy Characteristics'!$C:$C,0))),"",INDEX('Policy Characteristics'!E:E,MATCH($C861,'Policy Characteristics'!$C:$C,0)))</f>
        <v>indst shift to hydrogen</v>
      </c>
      <c r="L861" s="283">
        <f>IF(ISBLANK(INDEX('Policy Characteristics'!F:F,MATCH($C861,'Policy Characteristics'!$C:$C,0))),"",INDEX('Policy Characteristics'!F:F,MATCH($C861,'Policy Characteristics'!$C:$C,0)))</f>
        <v>0</v>
      </c>
      <c r="M861" s="283">
        <f>IF(ISBLANK(INDEX('Policy Characteristics'!G:G,MATCH($C861,'Policy Characteristics'!$C:$C,0))),"",INDEX('Policy Characteristics'!G:G,MATCH($C861,'Policy Characteristics'!$C:$C,0)))</f>
        <v>1</v>
      </c>
      <c r="N861" s="283">
        <f>IF(ISBLANK(INDEX('Policy Characteristics'!H:H,MATCH($C861,'Policy Characteristics'!$C:$C,0))),"",INDEX('Policy Characteristics'!H:H,MATCH($C861,'Policy Characteristics'!$C:$C,0)))</f>
        <v>0.01</v>
      </c>
      <c r="O861" s="275" t="str">
        <f>IF(ISBLANK(INDEX('Policy Characteristics'!I:I,MATCH($C861,'Policy Characteristics'!$C:$C,0))),"",INDEX('Policy Characteristics'!I:I,MATCH($C861,'Policy Characteristics'!$C:$C,0)))</f>
        <v>% of fuel shifted</v>
      </c>
      <c r="P861" s="275" t="str">
        <f>IF(ISBLANK(INDEX('Policy Characteristics'!J:J,MATCH($C861,'Policy Characteristics'!$C:$C,0))),"",INDEX('Policy Characteristics'!J:J,MATCH($C861,'Policy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1" s="275" t="str">
        <f>IF(ISBLANK(INDEX('Policy Characteristics'!K:K,MATCH($C861,'Policy Characteristics'!$C:$C,0))),"",INDEX('Policy Characteristics'!K:K,MATCH($C861,'Policy Characteristics'!$C:$C,0)))</f>
        <v>industry-ag-main.html#fuel-switching</v>
      </c>
      <c r="R861" s="275" t="str">
        <f>IF(ISBLANK(INDEX('Policy Characteristics'!L:L,MATCH($C861,'Policy Characteristics'!$C:$C,0))),"",INDEX('Policy Characteristics'!L:L,MATCH($C861,'Policy Characteristics'!$C:$C,0)))</f>
        <v>industry-elec-and-hydrogen.html</v>
      </c>
    </row>
    <row r="862" spans="1:18" s="2" customFormat="1" x14ac:dyDescent="0.25">
      <c r="A862" s="275" t="str">
        <f>IF(ISBLANK(INDEX('Policy Characteristics'!A:A,MATCH($C862,'Policy Characteristics'!$C:$C,0))),"",INDEX('Policy Characteristics'!A:A,MATCH($C862,'Policy Characteristics'!$C:$C,0)))</f>
        <v>Industry</v>
      </c>
      <c r="B862" s="284" t="str">
        <f>IF(ISBLANK(INDEX('Policy Characteristics'!B:B,MATCH($C862,'Policy Characteristics'!$C:$C,0))),"",INDEX('Policy Characteristics'!B:B,MATCH($C862,'Policy Characteristics'!$C:$C,0)))</f>
        <v>Hydrogen Combustion</v>
      </c>
      <c r="C862" s="275" t="str">
        <f t="shared" si="38"/>
        <v>Fraction of Eligible Industrial Energy Use Shifted to Hydrogen</v>
      </c>
      <c r="D862" s="6" t="s">
        <v>3081</v>
      </c>
      <c r="E862" s="1" t="s">
        <v>3549</v>
      </c>
      <c r="F862" t="s">
        <v>3044</v>
      </c>
      <c r="G862" s="47" t="s">
        <v>3556</v>
      </c>
      <c r="H862" s="44">
        <v>2124</v>
      </c>
      <c r="I862" s="346" t="s">
        <v>44</v>
      </c>
      <c r="J862" s="276" t="str">
        <f>IF(ISBLANK(INDEX('Policy Characteristics'!D:D,MATCH($C862,'Policy Characteristics'!$C:$C,0))),"",INDEX('Policy Characteristics'!D:D,MATCH($C862,'Policy Characteristics'!$C:$C,0)))</f>
        <v>Hydrogen Combustion</v>
      </c>
      <c r="K862" s="275" t="str">
        <f>IF(ISBLANK(INDEX('Policy Characteristics'!E:E,MATCH($C862,'Policy Characteristics'!$C:$C,0))),"",INDEX('Policy Characteristics'!E:E,MATCH($C862,'Policy Characteristics'!$C:$C,0)))</f>
        <v>indst shift to hydrogen</v>
      </c>
      <c r="L862" s="283">
        <f>IF(ISBLANK(INDEX('Policy Characteristics'!F:F,MATCH($C862,'Policy Characteristics'!$C:$C,0))),"",INDEX('Policy Characteristics'!F:F,MATCH($C862,'Policy Characteristics'!$C:$C,0)))</f>
        <v>0</v>
      </c>
      <c r="M862" s="283">
        <f>IF(ISBLANK(INDEX('Policy Characteristics'!G:G,MATCH($C862,'Policy Characteristics'!$C:$C,0))),"",INDEX('Policy Characteristics'!G:G,MATCH($C862,'Policy Characteristics'!$C:$C,0)))</f>
        <v>1</v>
      </c>
      <c r="N862" s="283">
        <f>IF(ISBLANK(INDEX('Policy Characteristics'!H:H,MATCH($C862,'Policy Characteristics'!$C:$C,0))),"",INDEX('Policy Characteristics'!H:H,MATCH($C862,'Policy Characteristics'!$C:$C,0)))</f>
        <v>0.01</v>
      </c>
      <c r="O862" s="275" t="str">
        <f>IF(ISBLANK(INDEX('Policy Characteristics'!I:I,MATCH($C862,'Policy Characteristics'!$C:$C,0))),"",INDEX('Policy Characteristics'!I:I,MATCH($C862,'Policy Characteristics'!$C:$C,0)))</f>
        <v>% of fuel shifted</v>
      </c>
      <c r="P862" s="275" t="str">
        <f>IF(ISBLANK(INDEX('Policy Characteristics'!J:J,MATCH($C862,'Policy Characteristics'!$C:$C,0))),"",INDEX('Policy Characteristics'!J:J,MATCH($C862,'Policy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2" s="275" t="str">
        <f>IF(ISBLANK(INDEX('Policy Characteristics'!K:K,MATCH($C862,'Policy Characteristics'!$C:$C,0))),"",INDEX('Policy Characteristics'!K:K,MATCH($C862,'Policy Characteristics'!$C:$C,0)))</f>
        <v>industry-ag-main.html#fuel-switching</v>
      </c>
      <c r="R862" s="275" t="str">
        <f>IF(ISBLANK(INDEX('Policy Characteristics'!L:L,MATCH($C862,'Policy Characteristics'!$C:$C,0))),"",INDEX('Policy Characteristics'!L:L,MATCH($C862,'Policy Characteristics'!$C:$C,0)))</f>
        <v>industry-elec-and-hydrogen.html</v>
      </c>
    </row>
    <row r="863" spans="1:18" s="2" customFormat="1" x14ac:dyDescent="0.25">
      <c r="A863" s="275" t="str">
        <f>IF(ISBLANK(INDEX('Policy Characteristics'!A:A,MATCH($C863,'Policy Characteristics'!$C:$C,0))),"",INDEX('Policy Characteristics'!A:A,MATCH($C863,'Policy Characteristics'!$C:$C,0)))</f>
        <v>Industry</v>
      </c>
      <c r="B863" s="284" t="str">
        <f>IF(ISBLANK(INDEX('Policy Characteristics'!B:B,MATCH($C863,'Policy Characteristics'!$C:$C,0))),"",INDEX('Policy Characteristics'!B:B,MATCH($C863,'Policy Characteristics'!$C:$C,0)))</f>
        <v>Hydrogen Combustion</v>
      </c>
      <c r="C863" s="275" t="str">
        <f t="shared" si="38"/>
        <v>Fraction of Eligible Industrial Energy Use Shifted to Hydrogen</v>
      </c>
      <c r="D863" s="6" t="s">
        <v>3081</v>
      </c>
      <c r="E863" s="1" t="s">
        <v>3550</v>
      </c>
      <c r="F863" t="s">
        <v>3044</v>
      </c>
      <c r="G863" s="47" t="s">
        <v>3557</v>
      </c>
      <c r="H863" s="44">
        <v>2125</v>
      </c>
      <c r="I863" s="346" t="s">
        <v>43</v>
      </c>
      <c r="J863" s="276" t="str">
        <f>IF(ISBLANK(INDEX('Policy Characteristics'!D:D,MATCH($C863,'Policy Characteristics'!$C:$C,0))),"",INDEX('Policy Characteristics'!D:D,MATCH($C863,'Policy Characteristics'!$C:$C,0)))</f>
        <v>Hydrogen Combustion</v>
      </c>
      <c r="K863" s="275" t="str">
        <f>IF(ISBLANK(INDEX('Policy Characteristics'!E:E,MATCH($C863,'Policy Characteristics'!$C:$C,0))),"",INDEX('Policy Characteristics'!E:E,MATCH($C863,'Policy Characteristics'!$C:$C,0)))</f>
        <v>indst shift to hydrogen</v>
      </c>
      <c r="L863" s="283">
        <f>IF(ISBLANK(INDEX('Policy Characteristics'!F:F,MATCH($C863,'Policy Characteristics'!$C:$C,0))),"",INDEX('Policy Characteristics'!F:F,MATCH($C863,'Policy Characteristics'!$C:$C,0)))</f>
        <v>0</v>
      </c>
      <c r="M863" s="283">
        <f>IF(ISBLANK(INDEX('Policy Characteristics'!G:G,MATCH($C863,'Policy Characteristics'!$C:$C,0))),"",INDEX('Policy Characteristics'!G:G,MATCH($C863,'Policy Characteristics'!$C:$C,0)))</f>
        <v>1</v>
      </c>
      <c r="N863" s="283">
        <f>IF(ISBLANK(INDEX('Policy Characteristics'!H:H,MATCH($C863,'Policy Characteristics'!$C:$C,0))),"",INDEX('Policy Characteristics'!H:H,MATCH($C863,'Policy Characteristics'!$C:$C,0)))</f>
        <v>0.01</v>
      </c>
      <c r="O863" s="275" t="str">
        <f>IF(ISBLANK(INDEX('Policy Characteristics'!I:I,MATCH($C863,'Policy Characteristics'!$C:$C,0))),"",INDEX('Policy Characteristics'!I:I,MATCH($C863,'Policy Characteristics'!$C:$C,0)))</f>
        <v>% of fuel shifted</v>
      </c>
      <c r="P863" s="275" t="str">
        <f>IF(ISBLANK(INDEX('Policy Characteristics'!J:J,MATCH($C863,'Policy Characteristics'!$C:$C,0))),"",INDEX('Policy Characteristics'!J:J,MATCH($C863,'Policy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3" s="275" t="str">
        <f>IF(ISBLANK(INDEX('Policy Characteristics'!K:K,MATCH($C863,'Policy Characteristics'!$C:$C,0))),"",INDEX('Policy Characteristics'!K:K,MATCH($C863,'Policy Characteristics'!$C:$C,0)))</f>
        <v>industry-ag-main.html#fuel-switching</v>
      </c>
      <c r="R863" s="275" t="str">
        <f>IF(ISBLANK(INDEX('Policy Characteristics'!L:L,MATCH($C863,'Policy Characteristics'!$C:$C,0))),"",INDEX('Policy Characteristics'!L:L,MATCH($C863,'Policy Characteristics'!$C:$C,0)))</f>
        <v>industry-elec-and-hydrogen.html</v>
      </c>
    </row>
    <row r="864" spans="1:18" s="2" customFormat="1" x14ac:dyDescent="0.25">
      <c r="A864" s="275" t="str">
        <f>IF(ISBLANK(INDEX('Policy Characteristics'!A:A,MATCH($C864,'Policy Characteristics'!$C:$C,0))),"",INDEX('Policy Characteristics'!A:A,MATCH($C864,'Policy Characteristics'!$C:$C,0)))</f>
        <v>Industry</v>
      </c>
      <c r="B864" s="284" t="str">
        <f>IF(ISBLANK(INDEX('Policy Characteristics'!B:B,MATCH($C864,'Policy Characteristics'!$C:$C,0))),"",INDEX('Policy Characteristics'!B:B,MATCH($C864,'Policy Characteristics'!$C:$C,0)))</f>
        <v>Hydrogen Combustion</v>
      </c>
      <c r="C864" s="275" t="str">
        <f t="shared" si="38"/>
        <v>Fraction of Eligible Industrial Energy Use Shifted to Hydrogen</v>
      </c>
      <c r="D864" s="6" t="s">
        <v>3081</v>
      </c>
      <c r="E864" s="1" t="s">
        <v>3551</v>
      </c>
      <c r="F864" t="s">
        <v>3044</v>
      </c>
      <c r="G864" s="47" t="s">
        <v>3558</v>
      </c>
      <c r="H864" s="44">
        <v>2126</v>
      </c>
      <c r="I864" s="346" t="s">
        <v>44</v>
      </c>
      <c r="J864" s="276" t="str">
        <f>IF(ISBLANK(INDEX('Policy Characteristics'!D:D,MATCH($C864,'Policy Characteristics'!$C:$C,0))),"",INDEX('Policy Characteristics'!D:D,MATCH($C864,'Policy Characteristics'!$C:$C,0)))</f>
        <v>Hydrogen Combustion</v>
      </c>
      <c r="K864" s="275" t="str">
        <f>IF(ISBLANK(INDEX('Policy Characteristics'!E:E,MATCH($C864,'Policy Characteristics'!$C:$C,0))),"",INDEX('Policy Characteristics'!E:E,MATCH($C864,'Policy Characteristics'!$C:$C,0)))</f>
        <v>indst shift to hydrogen</v>
      </c>
      <c r="L864" s="283">
        <f>IF(ISBLANK(INDEX('Policy Characteristics'!F:F,MATCH($C864,'Policy Characteristics'!$C:$C,0))),"",INDEX('Policy Characteristics'!F:F,MATCH($C864,'Policy Characteristics'!$C:$C,0)))</f>
        <v>0</v>
      </c>
      <c r="M864" s="283">
        <f>IF(ISBLANK(INDEX('Policy Characteristics'!G:G,MATCH($C864,'Policy Characteristics'!$C:$C,0))),"",INDEX('Policy Characteristics'!G:G,MATCH($C864,'Policy Characteristics'!$C:$C,0)))</f>
        <v>1</v>
      </c>
      <c r="N864" s="283">
        <f>IF(ISBLANK(INDEX('Policy Characteristics'!H:H,MATCH($C864,'Policy Characteristics'!$C:$C,0))),"",INDEX('Policy Characteristics'!H:H,MATCH($C864,'Policy Characteristics'!$C:$C,0)))</f>
        <v>0.01</v>
      </c>
      <c r="O864" s="275" t="str">
        <f>IF(ISBLANK(INDEX('Policy Characteristics'!I:I,MATCH($C864,'Policy Characteristics'!$C:$C,0))),"",INDEX('Policy Characteristics'!I:I,MATCH($C864,'Policy Characteristics'!$C:$C,0)))</f>
        <v>% of fuel shifted</v>
      </c>
      <c r="P864" s="275" t="str">
        <f>IF(ISBLANK(INDEX('Policy Characteristics'!J:J,MATCH($C864,'Policy Characteristics'!$C:$C,0))),"",INDEX('Policy Characteristics'!J:J,MATCH($C864,'Policy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4" s="275" t="str">
        <f>IF(ISBLANK(INDEX('Policy Characteristics'!K:K,MATCH($C864,'Policy Characteristics'!$C:$C,0))),"",INDEX('Policy Characteristics'!K:K,MATCH($C864,'Policy Characteristics'!$C:$C,0)))</f>
        <v>industry-ag-main.html#fuel-switching</v>
      </c>
      <c r="R864" s="275" t="str">
        <f>IF(ISBLANK(INDEX('Policy Characteristics'!L:L,MATCH($C864,'Policy Characteristics'!$C:$C,0))),"",INDEX('Policy Characteristics'!L:L,MATCH($C864,'Policy Characteristics'!$C:$C,0)))</f>
        <v>industry-elec-and-hydrogen.html</v>
      </c>
    </row>
    <row r="865" spans="1:18" s="2" customFormat="1" x14ac:dyDescent="0.25">
      <c r="A865" s="275" t="str">
        <f>IF(ISBLANK(INDEX('Policy Characteristics'!A:A,MATCH($C865,'Policy Characteristics'!$C:$C,0))),"",INDEX('Policy Characteristics'!A:A,MATCH($C865,'Policy Characteristics'!$C:$C,0)))</f>
        <v>Industry</v>
      </c>
      <c r="B865" s="284" t="str">
        <f>IF(ISBLANK(INDEX('Policy Characteristics'!B:B,MATCH($C865,'Policy Characteristics'!$C:$C,0))),"",INDEX('Policy Characteristics'!B:B,MATCH($C865,'Policy Characteristics'!$C:$C,0)))</f>
        <v>Hydrogen Combustion</v>
      </c>
      <c r="C865" s="275" t="str">
        <f t="shared" si="38"/>
        <v>Fraction of Eligible Industrial Energy Use Shifted to Hydrogen</v>
      </c>
      <c r="D865" s="6" t="s">
        <v>3081</v>
      </c>
      <c r="E865" s="1" t="s">
        <v>3552</v>
      </c>
      <c r="F865" t="s">
        <v>3044</v>
      </c>
      <c r="G865" s="47" t="s">
        <v>3559</v>
      </c>
      <c r="H865" s="44">
        <v>2127</v>
      </c>
      <c r="I865" s="346" t="s">
        <v>43</v>
      </c>
      <c r="J865" s="276" t="str">
        <f>IF(ISBLANK(INDEX('Policy Characteristics'!D:D,MATCH($C865,'Policy Characteristics'!$C:$C,0))),"",INDEX('Policy Characteristics'!D:D,MATCH($C865,'Policy Characteristics'!$C:$C,0)))</f>
        <v>Hydrogen Combustion</v>
      </c>
      <c r="K865" s="275" t="str">
        <f>IF(ISBLANK(INDEX('Policy Characteristics'!E:E,MATCH($C865,'Policy Characteristics'!$C:$C,0))),"",INDEX('Policy Characteristics'!E:E,MATCH($C865,'Policy Characteristics'!$C:$C,0)))</f>
        <v>indst shift to hydrogen</v>
      </c>
      <c r="L865" s="283">
        <f>IF(ISBLANK(INDEX('Policy Characteristics'!F:F,MATCH($C865,'Policy Characteristics'!$C:$C,0))),"",INDEX('Policy Characteristics'!F:F,MATCH($C865,'Policy Characteristics'!$C:$C,0)))</f>
        <v>0</v>
      </c>
      <c r="M865" s="283">
        <f>IF(ISBLANK(INDEX('Policy Characteristics'!G:G,MATCH($C865,'Policy Characteristics'!$C:$C,0))),"",INDEX('Policy Characteristics'!G:G,MATCH($C865,'Policy Characteristics'!$C:$C,0)))</f>
        <v>1</v>
      </c>
      <c r="N865" s="283">
        <f>IF(ISBLANK(INDEX('Policy Characteristics'!H:H,MATCH($C865,'Policy Characteristics'!$C:$C,0))),"",INDEX('Policy Characteristics'!H:H,MATCH($C865,'Policy Characteristics'!$C:$C,0)))</f>
        <v>0.01</v>
      </c>
      <c r="O865" s="275" t="str">
        <f>IF(ISBLANK(INDEX('Policy Characteristics'!I:I,MATCH($C865,'Policy Characteristics'!$C:$C,0))),"",INDEX('Policy Characteristics'!I:I,MATCH($C865,'Policy Characteristics'!$C:$C,0)))</f>
        <v>% of fuel shifted</v>
      </c>
      <c r="P865" s="275" t="str">
        <f>IF(ISBLANK(INDEX('Policy Characteristics'!J:J,MATCH($C865,'Policy Characteristics'!$C:$C,0))),"",INDEX('Policy Characteristics'!J:J,MATCH($C865,'Policy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5" s="275" t="str">
        <f>IF(ISBLANK(INDEX('Policy Characteristics'!K:K,MATCH($C865,'Policy Characteristics'!$C:$C,0))),"",INDEX('Policy Characteristics'!K:K,MATCH($C865,'Policy Characteristics'!$C:$C,0)))</f>
        <v>industry-ag-main.html#fuel-switching</v>
      </c>
      <c r="R865" s="275" t="str">
        <f>IF(ISBLANK(INDEX('Policy Characteristics'!L:L,MATCH($C865,'Policy Characteristics'!$C:$C,0))),"",INDEX('Policy Characteristics'!L:L,MATCH($C865,'Policy Characteristics'!$C:$C,0)))</f>
        <v>industry-elec-and-hydrogen.html</v>
      </c>
    </row>
    <row r="866" spans="1:18" s="2" customFormat="1" x14ac:dyDescent="0.25">
      <c r="A866" s="275" t="str">
        <f>IF(ISBLANK(INDEX('Policy Characteristics'!A:A,MATCH($C866,'Policy Characteristics'!$C:$C,0))),"",INDEX('Policy Characteristics'!A:A,MATCH($C866,'Policy Characteristics'!$C:$C,0)))</f>
        <v>Industry</v>
      </c>
      <c r="B866" s="284" t="str">
        <f>IF(ISBLANK(INDEX('Policy Characteristics'!B:B,MATCH($C866,'Policy Characteristics'!$C:$C,0))),"",INDEX('Policy Characteristics'!B:B,MATCH($C866,'Policy Characteristics'!$C:$C,0)))</f>
        <v>Hydrogen Combustion</v>
      </c>
      <c r="C866" s="275" t="str">
        <f t="shared" si="38"/>
        <v>Fraction of Eligible Industrial Energy Use Shifted to Hydrogen</v>
      </c>
      <c r="D866" s="6" t="s">
        <v>3081</v>
      </c>
      <c r="E866" s="1" t="s">
        <v>3553</v>
      </c>
      <c r="F866" t="s">
        <v>3044</v>
      </c>
      <c r="G866" s="47" t="s">
        <v>3560</v>
      </c>
      <c r="H866" s="44">
        <v>2128</v>
      </c>
      <c r="I866" s="346" t="s">
        <v>44</v>
      </c>
      <c r="J866" s="276" t="str">
        <f>IF(ISBLANK(INDEX('Policy Characteristics'!D:D,MATCH($C866,'Policy Characteristics'!$C:$C,0))),"",INDEX('Policy Characteristics'!D:D,MATCH($C866,'Policy Characteristics'!$C:$C,0)))</f>
        <v>Hydrogen Combustion</v>
      </c>
      <c r="K866" s="275" t="str">
        <f>IF(ISBLANK(INDEX('Policy Characteristics'!E:E,MATCH($C866,'Policy Characteristics'!$C:$C,0))),"",INDEX('Policy Characteristics'!E:E,MATCH($C866,'Policy Characteristics'!$C:$C,0)))</f>
        <v>indst shift to hydrogen</v>
      </c>
      <c r="L866" s="283">
        <f>IF(ISBLANK(INDEX('Policy Characteristics'!F:F,MATCH($C866,'Policy Characteristics'!$C:$C,0))),"",INDEX('Policy Characteristics'!F:F,MATCH($C866,'Policy Characteristics'!$C:$C,0)))</f>
        <v>0</v>
      </c>
      <c r="M866" s="283">
        <f>IF(ISBLANK(INDEX('Policy Characteristics'!G:G,MATCH($C866,'Policy Characteristics'!$C:$C,0))),"",INDEX('Policy Characteristics'!G:G,MATCH($C866,'Policy Characteristics'!$C:$C,0)))</f>
        <v>1</v>
      </c>
      <c r="N866" s="283">
        <f>IF(ISBLANK(INDEX('Policy Characteristics'!H:H,MATCH($C866,'Policy Characteristics'!$C:$C,0))),"",INDEX('Policy Characteristics'!H:H,MATCH($C866,'Policy Characteristics'!$C:$C,0)))</f>
        <v>0.01</v>
      </c>
      <c r="O866" s="275" t="str">
        <f>IF(ISBLANK(INDEX('Policy Characteristics'!I:I,MATCH($C866,'Policy Characteristics'!$C:$C,0))),"",INDEX('Policy Characteristics'!I:I,MATCH($C866,'Policy Characteristics'!$C:$C,0)))</f>
        <v>% of fuel shifted</v>
      </c>
      <c r="P866" s="275" t="str">
        <f>IF(ISBLANK(INDEX('Policy Characteristics'!J:J,MATCH($C866,'Policy Characteristics'!$C:$C,0))),"",INDEX('Policy Characteristics'!J:J,MATCH($C866,'Policy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6" s="275" t="str">
        <f>IF(ISBLANK(INDEX('Policy Characteristics'!K:K,MATCH($C866,'Policy Characteristics'!$C:$C,0))),"",INDEX('Policy Characteristics'!K:K,MATCH($C866,'Policy Characteristics'!$C:$C,0)))</f>
        <v>industry-ag-main.html#fuel-switching</v>
      </c>
      <c r="R866" s="275" t="str">
        <f>IF(ISBLANK(INDEX('Policy Characteristics'!L:L,MATCH($C866,'Policy Characteristics'!$C:$C,0))),"",INDEX('Policy Characteristics'!L:L,MATCH($C866,'Policy Characteristics'!$C:$C,0)))</f>
        <v>industry-elec-and-hydrogen.html</v>
      </c>
    </row>
    <row r="867" spans="1:18" s="2" customFormat="1" x14ac:dyDescent="0.25">
      <c r="A867" s="275" t="str">
        <f>IF(ISBLANK(INDEX('Policy Characteristics'!A:A,MATCH($C867,'Policy Characteristics'!$C:$C,0))),"",INDEX('Policy Characteristics'!A:A,MATCH($C867,'Policy Characteristics'!$C:$C,0)))</f>
        <v>Industry</v>
      </c>
      <c r="B867" s="284" t="str">
        <f>IF(ISBLANK(INDEX('Policy Characteristics'!B:B,MATCH($C867,'Policy Characteristics'!$C:$C,0))),"",INDEX('Policy Characteristics'!B:B,MATCH($C867,'Policy Characteristics'!$C:$C,0)))</f>
        <v>Hydrogen Combustion</v>
      </c>
      <c r="C867" s="275" t="str">
        <f t="shared" si="38"/>
        <v>Fraction of Eligible Industrial Energy Use Shifted to Hydrogen</v>
      </c>
      <c r="D867" s="6" t="s">
        <v>3081</v>
      </c>
      <c r="E867" s="1" t="s">
        <v>3737</v>
      </c>
      <c r="F867" t="s">
        <v>3044</v>
      </c>
      <c r="G867" s="47" t="s">
        <v>3738</v>
      </c>
      <c r="H867" s="44">
        <v>2129</v>
      </c>
      <c r="I867" s="346" t="s">
        <v>44</v>
      </c>
      <c r="J867" s="276" t="str">
        <f>IF(ISBLANK(INDEX('Policy Characteristics'!D:D,MATCH($C867,'Policy Characteristics'!$C:$C,0))),"",INDEX('Policy Characteristics'!D:D,MATCH($C867,'Policy Characteristics'!$C:$C,0)))</f>
        <v>Hydrogen Combustion</v>
      </c>
      <c r="K867" s="275" t="str">
        <f>IF(ISBLANK(INDEX('Policy Characteristics'!E:E,MATCH($C867,'Policy Characteristics'!$C:$C,0))),"",INDEX('Policy Characteristics'!E:E,MATCH($C867,'Policy Characteristics'!$C:$C,0)))</f>
        <v>indst shift to hydrogen</v>
      </c>
      <c r="L867" s="283">
        <f>IF(ISBLANK(INDEX('Policy Characteristics'!F:F,MATCH($C867,'Policy Characteristics'!$C:$C,0))),"",INDEX('Policy Characteristics'!F:F,MATCH($C867,'Policy Characteristics'!$C:$C,0)))</f>
        <v>0</v>
      </c>
      <c r="M867" s="283">
        <f>IF(ISBLANK(INDEX('Policy Characteristics'!G:G,MATCH($C867,'Policy Characteristics'!$C:$C,0))),"",INDEX('Policy Characteristics'!G:G,MATCH($C867,'Policy Characteristics'!$C:$C,0)))</f>
        <v>1</v>
      </c>
      <c r="N867" s="283">
        <f>IF(ISBLANK(INDEX('Policy Characteristics'!H:H,MATCH($C867,'Policy Characteristics'!$C:$C,0))),"",INDEX('Policy Characteristics'!H:H,MATCH($C867,'Policy Characteristics'!$C:$C,0)))</f>
        <v>0.01</v>
      </c>
      <c r="O867" s="275" t="str">
        <f>IF(ISBLANK(INDEX('Policy Characteristics'!I:I,MATCH($C867,'Policy Characteristics'!$C:$C,0))),"",INDEX('Policy Characteristics'!I:I,MATCH($C867,'Policy Characteristics'!$C:$C,0)))</f>
        <v>% of fuel shifted</v>
      </c>
      <c r="P867" s="275" t="str">
        <f>IF(ISBLANK(INDEX('Policy Characteristics'!J:J,MATCH($C867,'Policy Characteristics'!$C:$C,0))),"",INDEX('Policy Characteristics'!J:J,MATCH($C867,'Policy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7" s="275" t="str">
        <f>IF(ISBLANK(INDEX('Policy Characteristics'!K:K,MATCH($C867,'Policy Characteristics'!$C:$C,0))),"",INDEX('Policy Characteristics'!K:K,MATCH($C867,'Policy Characteristics'!$C:$C,0)))</f>
        <v>industry-ag-main.html#fuel-switching</v>
      </c>
      <c r="R867" s="275" t="str">
        <f>IF(ISBLANK(INDEX('Policy Characteristics'!L:L,MATCH($C867,'Policy Characteristics'!$C:$C,0))),"",INDEX('Policy Characteristics'!L:L,MATCH($C867,'Policy Characteristics'!$C:$C,0)))</f>
        <v>industry-elec-and-hydrogen.html</v>
      </c>
    </row>
    <row r="868" spans="1:18" s="2" customFormat="1" x14ac:dyDescent="0.25">
      <c r="A868" s="275" t="str">
        <f>IF(ISBLANK(INDEX('Policy Characteristics'!A:A,MATCH($C868,'Policy Characteristics'!$C:$C,0))),"",INDEX('Policy Characteristics'!A:A,MATCH($C868,'Policy Characteristics'!$C:$C,0)))</f>
        <v>Industry</v>
      </c>
      <c r="B868" s="284" t="str">
        <f>IF(ISBLANK(INDEX('Policy Characteristics'!B:B,MATCH($C868,'Policy Characteristics'!$C:$C,0))),"",INDEX('Policy Characteristics'!B:B,MATCH($C868,'Policy Characteristics'!$C:$C,0)))</f>
        <v>Hydrogen Combustion</v>
      </c>
      <c r="C868" s="275" t="str">
        <f t="shared" si="38"/>
        <v>Fraction of Eligible Industrial Energy Use Shifted to Hydrogen</v>
      </c>
      <c r="D868" s="6" t="s">
        <v>3082</v>
      </c>
      <c r="E868" s="1" t="s">
        <v>3547</v>
      </c>
      <c r="F868" t="s">
        <v>3045</v>
      </c>
      <c r="G868" s="47" t="s">
        <v>3554</v>
      </c>
      <c r="H868" s="44">
        <v>2130</v>
      </c>
      <c r="I868" s="346" t="s">
        <v>43</v>
      </c>
      <c r="J868" s="276" t="str">
        <f>IF(ISBLANK(INDEX('Policy Characteristics'!D:D,MATCH($C868,'Policy Characteristics'!$C:$C,0))),"",INDEX('Policy Characteristics'!D:D,MATCH($C868,'Policy Characteristics'!$C:$C,0)))</f>
        <v>Hydrogen Combustion</v>
      </c>
      <c r="K868" s="275" t="str">
        <f>IF(ISBLANK(INDEX('Policy Characteristics'!E:E,MATCH($C868,'Policy Characteristics'!$C:$C,0))),"",INDEX('Policy Characteristics'!E:E,MATCH($C868,'Policy Characteristics'!$C:$C,0)))</f>
        <v>indst shift to hydrogen</v>
      </c>
      <c r="L868" s="283">
        <f>IF(ISBLANK(INDEX('Policy Characteristics'!F:F,MATCH($C868,'Policy Characteristics'!$C:$C,0))),"",INDEX('Policy Characteristics'!F:F,MATCH($C868,'Policy Characteristics'!$C:$C,0)))</f>
        <v>0</v>
      </c>
      <c r="M868" s="283">
        <f>IF(ISBLANK(INDEX('Policy Characteristics'!G:G,MATCH($C868,'Policy Characteristics'!$C:$C,0))),"",INDEX('Policy Characteristics'!G:G,MATCH($C868,'Policy Characteristics'!$C:$C,0)))</f>
        <v>1</v>
      </c>
      <c r="N868" s="283">
        <f>IF(ISBLANK(INDEX('Policy Characteristics'!H:H,MATCH($C868,'Policy Characteristics'!$C:$C,0))),"",INDEX('Policy Characteristics'!H:H,MATCH($C868,'Policy Characteristics'!$C:$C,0)))</f>
        <v>0.01</v>
      </c>
      <c r="O868" s="275" t="str">
        <f>IF(ISBLANK(INDEX('Policy Characteristics'!I:I,MATCH($C868,'Policy Characteristics'!$C:$C,0))),"",INDEX('Policy Characteristics'!I:I,MATCH($C868,'Policy Characteristics'!$C:$C,0)))</f>
        <v>% of fuel shifted</v>
      </c>
      <c r="P868" s="275" t="str">
        <f>IF(ISBLANK(INDEX('Policy Characteristics'!J:J,MATCH($C868,'Policy Characteristics'!$C:$C,0))),"",INDEX('Policy Characteristics'!J:J,MATCH($C868,'Policy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8" s="275" t="str">
        <f>IF(ISBLANK(INDEX('Policy Characteristics'!K:K,MATCH($C868,'Policy Characteristics'!$C:$C,0))),"",INDEX('Policy Characteristics'!K:K,MATCH($C868,'Policy Characteristics'!$C:$C,0)))</f>
        <v>industry-ag-main.html#fuel-switching</v>
      </c>
      <c r="R868" s="275" t="str">
        <f>IF(ISBLANK(INDEX('Policy Characteristics'!L:L,MATCH($C868,'Policy Characteristics'!$C:$C,0))),"",INDEX('Policy Characteristics'!L:L,MATCH($C868,'Policy Characteristics'!$C:$C,0)))</f>
        <v>industry-elec-and-hydrogen.html</v>
      </c>
    </row>
    <row r="869" spans="1:18" s="2" customFormat="1" x14ac:dyDescent="0.25">
      <c r="A869" s="275" t="str">
        <f>IF(ISBLANK(INDEX('Policy Characteristics'!A:A,MATCH($C869,'Policy Characteristics'!$C:$C,0))),"",INDEX('Policy Characteristics'!A:A,MATCH($C869,'Policy Characteristics'!$C:$C,0)))</f>
        <v>Industry</v>
      </c>
      <c r="B869" s="284" t="str">
        <f>IF(ISBLANK(INDEX('Policy Characteristics'!B:B,MATCH($C869,'Policy Characteristics'!$C:$C,0))),"",INDEX('Policy Characteristics'!B:B,MATCH($C869,'Policy Characteristics'!$C:$C,0)))</f>
        <v>Hydrogen Combustion</v>
      </c>
      <c r="C869" s="275" t="str">
        <f t="shared" si="38"/>
        <v>Fraction of Eligible Industrial Energy Use Shifted to Hydrogen</v>
      </c>
      <c r="D869" s="6" t="s">
        <v>3082</v>
      </c>
      <c r="E869" s="1" t="s">
        <v>3548</v>
      </c>
      <c r="F869" t="s">
        <v>3045</v>
      </c>
      <c r="G869" s="47" t="s">
        <v>3555</v>
      </c>
      <c r="H869" s="44">
        <v>2131</v>
      </c>
      <c r="I869" s="346" t="s">
        <v>43</v>
      </c>
      <c r="J869" s="276" t="str">
        <f>IF(ISBLANK(INDEX('Policy Characteristics'!D:D,MATCH($C869,'Policy Characteristics'!$C:$C,0))),"",INDEX('Policy Characteristics'!D:D,MATCH($C869,'Policy Characteristics'!$C:$C,0)))</f>
        <v>Hydrogen Combustion</v>
      </c>
      <c r="K869" s="275" t="str">
        <f>IF(ISBLANK(INDEX('Policy Characteristics'!E:E,MATCH($C869,'Policy Characteristics'!$C:$C,0))),"",INDEX('Policy Characteristics'!E:E,MATCH($C869,'Policy Characteristics'!$C:$C,0)))</f>
        <v>indst shift to hydrogen</v>
      </c>
      <c r="L869" s="283">
        <f>IF(ISBLANK(INDEX('Policy Characteristics'!F:F,MATCH($C869,'Policy Characteristics'!$C:$C,0))),"",INDEX('Policy Characteristics'!F:F,MATCH($C869,'Policy Characteristics'!$C:$C,0)))</f>
        <v>0</v>
      </c>
      <c r="M869" s="283">
        <f>IF(ISBLANK(INDEX('Policy Characteristics'!G:G,MATCH($C869,'Policy Characteristics'!$C:$C,0))),"",INDEX('Policy Characteristics'!G:G,MATCH($C869,'Policy Characteristics'!$C:$C,0)))</f>
        <v>1</v>
      </c>
      <c r="N869" s="283">
        <f>IF(ISBLANK(INDEX('Policy Characteristics'!H:H,MATCH($C869,'Policy Characteristics'!$C:$C,0))),"",INDEX('Policy Characteristics'!H:H,MATCH($C869,'Policy Characteristics'!$C:$C,0)))</f>
        <v>0.01</v>
      </c>
      <c r="O869" s="275" t="str">
        <f>IF(ISBLANK(INDEX('Policy Characteristics'!I:I,MATCH($C869,'Policy Characteristics'!$C:$C,0))),"",INDEX('Policy Characteristics'!I:I,MATCH($C869,'Policy Characteristics'!$C:$C,0)))</f>
        <v>% of fuel shifted</v>
      </c>
      <c r="P869" s="275" t="str">
        <f>IF(ISBLANK(INDEX('Policy Characteristics'!J:J,MATCH($C869,'Policy Characteristics'!$C:$C,0))),"",INDEX('Policy Characteristics'!J:J,MATCH($C869,'Policy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9" s="275" t="str">
        <f>IF(ISBLANK(INDEX('Policy Characteristics'!K:K,MATCH($C869,'Policy Characteristics'!$C:$C,0))),"",INDEX('Policy Characteristics'!K:K,MATCH($C869,'Policy Characteristics'!$C:$C,0)))</f>
        <v>industry-ag-main.html#fuel-switching</v>
      </c>
      <c r="R869" s="275" t="str">
        <f>IF(ISBLANK(INDEX('Policy Characteristics'!L:L,MATCH($C869,'Policy Characteristics'!$C:$C,0))),"",INDEX('Policy Characteristics'!L:L,MATCH($C869,'Policy Characteristics'!$C:$C,0)))</f>
        <v>industry-elec-and-hydrogen.html</v>
      </c>
    </row>
    <row r="870" spans="1:18" s="2" customFormat="1" x14ac:dyDescent="0.25">
      <c r="A870" s="275" t="str">
        <f>IF(ISBLANK(INDEX('Policy Characteristics'!A:A,MATCH($C870,'Policy Characteristics'!$C:$C,0))),"",INDEX('Policy Characteristics'!A:A,MATCH($C870,'Policy Characteristics'!$C:$C,0)))</f>
        <v>Industry</v>
      </c>
      <c r="B870" s="284" t="str">
        <f>IF(ISBLANK(INDEX('Policy Characteristics'!B:B,MATCH($C870,'Policy Characteristics'!$C:$C,0))),"",INDEX('Policy Characteristics'!B:B,MATCH($C870,'Policy Characteristics'!$C:$C,0)))</f>
        <v>Hydrogen Combustion</v>
      </c>
      <c r="C870" s="275" t="str">
        <f t="shared" si="38"/>
        <v>Fraction of Eligible Industrial Energy Use Shifted to Hydrogen</v>
      </c>
      <c r="D870" s="6" t="s">
        <v>3082</v>
      </c>
      <c r="E870" s="1" t="s">
        <v>3549</v>
      </c>
      <c r="F870" t="s">
        <v>3045</v>
      </c>
      <c r="G870" s="47" t="s">
        <v>3556</v>
      </c>
      <c r="H870" s="44">
        <v>2132</v>
      </c>
      <c r="I870" s="346" t="s">
        <v>44</v>
      </c>
      <c r="J870" s="276" t="str">
        <f>IF(ISBLANK(INDEX('Policy Characteristics'!D:D,MATCH($C870,'Policy Characteristics'!$C:$C,0))),"",INDEX('Policy Characteristics'!D:D,MATCH($C870,'Policy Characteristics'!$C:$C,0)))</f>
        <v>Hydrogen Combustion</v>
      </c>
      <c r="K870" s="275" t="str">
        <f>IF(ISBLANK(INDEX('Policy Characteristics'!E:E,MATCH($C870,'Policy Characteristics'!$C:$C,0))),"",INDEX('Policy Characteristics'!E:E,MATCH($C870,'Policy Characteristics'!$C:$C,0)))</f>
        <v>indst shift to hydrogen</v>
      </c>
      <c r="L870" s="283">
        <f>IF(ISBLANK(INDEX('Policy Characteristics'!F:F,MATCH($C870,'Policy Characteristics'!$C:$C,0))),"",INDEX('Policy Characteristics'!F:F,MATCH($C870,'Policy Characteristics'!$C:$C,0)))</f>
        <v>0</v>
      </c>
      <c r="M870" s="283">
        <f>IF(ISBLANK(INDEX('Policy Characteristics'!G:G,MATCH($C870,'Policy Characteristics'!$C:$C,0))),"",INDEX('Policy Characteristics'!G:G,MATCH($C870,'Policy Characteristics'!$C:$C,0)))</f>
        <v>1</v>
      </c>
      <c r="N870" s="283">
        <f>IF(ISBLANK(INDEX('Policy Characteristics'!H:H,MATCH($C870,'Policy Characteristics'!$C:$C,0))),"",INDEX('Policy Characteristics'!H:H,MATCH($C870,'Policy Characteristics'!$C:$C,0)))</f>
        <v>0.01</v>
      </c>
      <c r="O870" s="275" t="str">
        <f>IF(ISBLANK(INDEX('Policy Characteristics'!I:I,MATCH($C870,'Policy Characteristics'!$C:$C,0))),"",INDEX('Policy Characteristics'!I:I,MATCH($C870,'Policy Characteristics'!$C:$C,0)))</f>
        <v>% of fuel shifted</v>
      </c>
      <c r="P870" s="275" t="str">
        <f>IF(ISBLANK(INDEX('Policy Characteristics'!J:J,MATCH($C870,'Policy Characteristics'!$C:$C,0))),"",INDEX('Policy Characteristics'!J:J,MATCH($C870,'Policy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0" s="275" t="str">
        <f>IF(ISBLANK(INDEX('Policy Characteristics'!K:K,MATCH($C870,'Policy Characteristics'!$C:$C,0))),"",INDEX('Policy Characteristics'!K:K,MATCH($C870,'Policy Characteristics'!$C:$C,0)))</f>
        <v>industry-ag-main.html#fuel-switching</v>
      </c>
      <c r="R870" s="275" t="str">
        <f>IF(ISBLANK(INDEX('Policy Characteristics'!L:L,MATCH($C870,'Policy Characteristics'!$C:$C,0))),"",INDEX('Policy Characteristics'!L:L,MATCH($C870,'Policy Characteristics'!$C:$C,0)))</f>
        <v>industry-elec-and-hydrogen.html</v>
      </c>
    </row>
    <row r="871" spans="1:18" s="2" customFormat="1" x14ac:dyDescent="0.25">
      <c r="A871" s="275" t="str">
        <f>IF(ISBLANK(INDEX('Policy Characteristics'!A:A,MATCH($C871,'Policy Characteristics'!$C:$C,0))),"",INDEX('Policy Characteristics'!A:A,MATCH($C871,'Policy Characteristics'!$C:$C,0)))</f>
        <v>Industry</v>
      </c>
      <c r="B871" s="284" t="str">
        <f>IF(ISBLANK(INDEX('Policy Characteristics'!B:B,MATCH($C871,'Policy Characteristics'!$C:$C,0))),"",INDEX('Policy Characteristics'!B:B,MATCH($C871,'Policy Characteristics'!$C:$C,0)))</f>
        <v>Hydrogen Combustion</v>
      </c>
      <c r="C871" s="275" t="str">
        <f t="shared" si="38"/>
        <v>Fraction of Eligible Industrial Energy Use Shifted to Hydrogen</v>
      </c>
      <c r="D871" s="6" t="s">
        <v>3082</v>
      </c>
      <c r="E871" s="1" t="s">
        <v>3550</v>
      </c>
      <c r="F871" t="s">
        <v>3045</v>
      </c>
      <c r="G871" s="47" t="s">
        <v>3557</v>
      </c>
      <c r="H871" s="44">
        <v>2133</v>
      </c>
      <c r="I871" s="346" t="s">
        <v>43</v>
      </c>
      <c r="J871" s="276" t="str">
        <f>IF(ISBLANK(INDEX('Policy Characteristics'!D:D,MATCH($C871,'Policy Characteristics'!$C:$C,0))),"",INDEX('Policy Characteristics'!D:D,MATCH($C871,'Policy Characteristics'!$C:$C,0)))</f>
        <v>Hydrogen Combustion</v>
      </c>
      <c r="K871" s="275" t="str">
        <f>IF(ISBLANK(INDEX('Policy Characteristics'!E:E,MATCH($C871,'Policy Characteristics'!$C:$C,0))),"",INDEX('Policy Characteristics'!E:E,MATCH($C871,'Policy Characteristics'!$C:$C,0)))</f>
        <v>indst shift to hydrogen</v>
      </c>
      <c r="L871" s="283">
        <f>IF(ISBLANK(INDEX('Policy Characteristics'!F:F,MATCH($C871,'Policy Characteristics'!$C:$C,0))),"",INDEX('Policy Characteristics'!F:F,MATCH($C871,'Policy Characteristics'!$C:$C,0)))</f>
        <v>0</v>
      </c>
      <c r="M871" s="283">
        <f>IF(ISBLANK(INDEX('Policy Characteristics'!G:G,MATCH($C871,'Policy Characteristics'!$C:$C,0))),"",INDEX('Policy Characteristics'!G:G,MATCH($C871,'Policy Characteristics'!$C:$C,0)))</f>
        <v>1</v>
      </c>
      <c r="N871" s="283">
        <f>IF(ISBLANK(INDEX('Policy Characteristics'!H:H,MATCH($C871,'Policy Characteristics'!$C:$C,0))),"",INDEX('Policy Characteristics'!H:H,MATCH($C871,'Policy Characteristics'!$C:$C,0)))</f>
        <v>0.01</v>
      </c>
      <c r="O871" s="275" t="str">
        <f>IF(ISBLANK(INDEX('Policy Characteristics'!I:I,MATCH($C871,'Policy Characteristics'!$C:$C,0))),"",INDEX('Policy Characteristics'!I:I,MATCH($C871,'Policy Characteristics'!$C:$C,0)))</f>
        <v>% of fuel shifted</v>
      </c>
      <c r="P871" s="275" t="str">
        <f>IF(ISBLANK(INDEX('Policy Characteristics'!J:J,MATCH($C871,'Policy Characteristics'!$C:$C,0))),"",INDEX('Policy Characteristics'!J:J,MATCH($C871,'Policy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1" s="275" t="str">
        <f>IF(ISBLANK(INDEX('Policy Characteristics'!K:K,MATCH($C871,'Policy Characteristics'!$C:$C,0))),"",INDEX('Policy Characteristics'!K:K,MATCH($C871,'Policy Characteristics'!$C:$C,0)))</f>
        <v>industry-ag-main.html#fuel-switching</v>
      </c>
      <c r="R871" s="275" t="str">
        <f>IF(ISBLANK(INDEX('Policy Characteristics'!L:L,MATCH($C871,'Policy Characteristics'!$C:$C,0))),"",INDEX('Policy Characteristics'!L:L,MATCH($C871,'Policy Characteristics'!$C:$C,0)))</f>
        <v>industry-elec-and-hydrogen.html</v>
      </c>
    </row>
    <row r="872" spans="1:18" s="2" customFormat="1" x14ac:dyDescent="0.25">
      <c r="A872" s="275" t="str">
        <f>IF(ISBLANK(INDEX('Policy Characteristics'!A:A,MATCH($C872,'Policy Characteristics'!$C:$C,0))),"",INDEX('Policy Characteristics'!A:A,MATCH($C872,'Policy Characteristics'!$C:$C,0)))</f>
        <v>Industry</v>
      </c>
      <c r="B872" s="284" t="str">
        <f>IF(ISBLANK(INDEX('Policy Characteristics'!B:B,MATCH($C872,'Policy Characteristics'!$C:$C,0))),"",INDEX('Policy Characteristics'!B:B,MATCH($C872,'Policy Characteristics'!$C:$C,0)))</f>
        <v>Hydrogen Combustion</v>
      </c>
      <c r="C872" s="275" t="str">
        <f t="shared" si="38"/>
        <v>Fraction of Eligible Industrial Energy Use Shifted to Hydrogen</v>
      </c>
      <c r="D872" s="6" t="s">
        <v>3082</v>
      </c>
      <c r="E872" s="1" t="s">
        <v>3551</v>
      </c>
      <c r="F872" t="s">
        <v>3045</v>
      </c>
      <c r="G872" s="47" t="s">
        <v>3558</v>
      </c>
      <c r="H872" s="44">
        <v>2134</v>
      </c>
      <c r="I872" s="346" t="s">
        <v>43</v>
      </c>
      <c r="J872" s="276" t="str">
        <f>IF(ISBLANK(INDEX('Policy Characteristics'!D:D,MATCH($C872,'Policy Characteristics'!$C:$C,0))),"",INDEX('Policy Characteristics'!D:D,MATCH($C872,'Policy Characteristics'!$C:$C,0)))</f>
        <v>Hydrogen Combustion</v>
      </c>
      <c r="K872" s="275" t="str">
        <f>IF(ISBLANK(INDEX('Policy Characteristics'!E:E,MATCH($C872,'Policy Characteristics'!$C:$C,0))),"",INDEX('Policy Characteristics'!E:E,MATCH($C872,'Policy Characteristics'!$C:$C,0)))</f>
        <v>indst shift to hydrogen</v>
      </c>
      <c r="L872" s="283">
        <f>IF(ISBLANK(INDEX('Policy Characteristics'!F:F,MATCH($C872,'Policy Characteristics'!$C:$C,0))),"",INDEX('Policy Characteristics'!F:F,MATCH($C872,'Policy Characteristics'!$C:$C,0)))</f>
        <v>0</v>
      </c>
      <c r="M872" s="283">
        <f>IF(ISBLANK(INDEX('Policy Characteristics'!G:G,MATCH($C872,'Policy Characteristics'!$C:$C,0))),"",INDEX('Policy Characteristics'!G:G,MATCH($C872,'Policy Characteristics'!$C:$C,0)))</f>
        <v>1</v>
      </c>
      <c r="N872" s="283">
        <f>IF(ISBLANK(INDEX('Policy Characteristics'!H:H,MATCH($C872,'Policy Characteristics'!$C:$C,0))),"",INDEX('Policy Characteristics'!H:H,MATCH($C872,'Policy Characteristics'!$C:$C,0)))</f>
        <v>0.01</v>
      </c>
      <c r="O872" s="275" t="str">
        <f>IF(ISBLANK(INDEX('Policy Characteristics'!I:I,MATCH($C872,'Policy Characteristics'!$C:$C,0))),"",INDEX('Policy Characteristics'!I:I,MATCH($C872,'Policy Characteristics'!$C:$C,0)))</f>
        <v>% of fuel shifted</v>
      </c>
      <c r="P872" s="275" t="str">
        <f>IF(ISBLANK(INDEX('Policy Characteristics'!J:J,MATCH($C872,'Policy Characteristics'!$C:$C,0))),"",INDEX('Policy Characteristics'!J:J,MATCH($C872,'Policy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2" s="275" t="str">
        <f>IF(ISBLANK(INDEX('Policy Characteristics'!K:K,MATCH($C872,'Policy Characteristics'!$C:$C,0))),"",INDEX('Policy Characteristics'!K:K,MATCH($C872,'Policy Characteristics'!$C:$C,0)))</f>
        <v>industry-ag-main.html#fuel-switching</v>
      </c>
      <c r="R872" s="275" t="str">
        <f>IF(ISBLANK(INDEX('Policy Characteristics'!L:L,MATCH($C872,'Policy Characteristics'!$C:$C,0))),"",INDEX('Policy Characteristics'!L:L,MATCH($C872,'Policy Characteristics'!$C:$C,0)))</f>
        <v>industry-elec-and-hydrogen.html</v>
      </c>
    </row>
    <row r="873" spans="1:18" s="2" customFormat="1" x14ac:dyDescent="0.25">
      <c r="A873" s="275" t="str">
        <f>IF(ISBLANK(INDEX('Policy Characteristics'!A:A,MATCH($C873,'Policy Characteristics'!$C:$C,0))),"",INDEX('Policy Characteristics'!A:A,MATCH($C873,'Policy Characteristics'!$C:$C,0)))</f>
        <v>Industry</v>
      </c>
      <c r="B873" s="284" t="str">
        <f>IF(ISBLANK(INDEX('Policy Characteristics'!B:B,MATCH($C873,'Policy Characteristics'!$C:$C,0))),"",INDEX('Policy Characteristics'!B:B,MATCH($C873,'Policy Characteristics'!$C:$C,0)))</f>
        <v>Hydrogen Combustion</v>
      </c>
      <c r="C873" s="275" t="str">
        <f t="shared" si="38"/>
        <v>Fraction of Eligible Industrial Energy Use Shifted to Hydrogen</v>
      </c>
      <c r="D873" s="6" t="s">
        <v>3082</v>
      </c>
      <c r="E873" s="1" t="s">
        <v>3552</v>
      </c>
      <c r="F873" t="s">
        <v>3045</v>
      </c>
      <c r="G873" s="47" t="s">
        <v>3559</v>
      </c>
      <c r="H873" s="44">
        <v>2135</v>
      </c>
      <c r="I873" s="346" t="s">
        <v>43</v>
      </c>
      <c r="J873" s="276" t="str">
        <f>IF(ISBLANK(INDEX('Policy Characteristics'!D:D,MATCH($C873,'Policy Characteristics'!$C:$C,0))),"",INDEX('Policy Characteristics'!D:D,MATCH($C873,'Policy Characteristics'!$C:$C,0)))</f>
        <v>Hydrogen Combustion</v>
      </c>
      <c r="K873" s="275" t="str">
        <f>IF(ISBLANK(INDEX('Policy Characteristics'!E:E,MATCH($C873,'Policy Characteristics'!$C:$C,0))),"",INDEX('Policy Characteristics'!E:E,MATCH($C873,'Policy Characteristics'!$C:$C,0)))</f>
        <v>indst shift to hydrogen</v>
      </c>
      <c r="L873" s="283">
        <f>IF(ISBLANK(INDEX('Policy Characteristics'!F:F,MATCH($C873,'Policy Characteristics'!$C:$C,0))),"",INDEX('Policy Characteristics'!F:F,MATCH($C873,'Policy Characteristics'!$C:$C,0)))</f>
        <v>0</v>
      </c>
      <c r="M873" s="283">
        <f>IF(ISBLANK(INDEX('Policy Characteristics'!G:G,MATCH($C873,'Policy Characteristics'!$C:$C,0))),"",INDEX('Policy Characteristics'!G:G,MATCH($C873,'Policy Characteristics'!$C:$C,0)))</f>
        <v>1</v>
      </c>
      <c r="N873" s="283">
        <f>IF(ISBLANK(INDEX('Policy Characteristics'!H:H,MATCH($C873,'Policy Characteristics'!$C:$C,0))),"",INDEX('Policy Characteristics'!H:H,MATCH($C873,'Policy Characteristics'!$C:$C,0)))</f>
        <v>0.01</v>
      </c>
      <c r="O873" s="275" t="str">
        <f>IF(ISBLANK(INDEX('Policy Characteristics'!I:I,MATCH($C873,'Policy Characteristics'!$C:$C,0))),"",INDEX('Policy Characteristics'!I:I,MATCH($C873,'Policy Characteristics'!$C:$C,0)))</f>
        <v>% of fuel shifted</v>
      </c>
      <c r="P873" s="275" t="str">
        <f>IF(ISBLANK(INDEX('Policy Characteristics'!J:J,MATCH($C873,'Policy Characteristics'!$C:$C,0))),"",INDEX('Policy Characteristics'!J:J,MATCH($C873,'Policy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3" s="275" t="str">
        <f>IF(ISBLANK(INDEX('Policy Characteristics'!K:K,MATCH($C873,'Policy Characteristics'!$C:$C,0))),"",INDEX('Policy Characteristics'!K:K,MATCH($C873,'Policy Characteristics'!$C:$C,0)))</f>
        <v>industry-ag-main.html#fuel-switching</v>
      </c>
      <c r="R873" s="275" t="str">
        <f>IF(ISBLANK(INDEX('Policy Characteristics'!L:L,MATCH($C873,'Policy Characteristics'!$C:$C,0))),"",INDEX('Policy Characteristics'!L:L,MATCH($C873,'Policy Characteristics'!$C:$C,0)))</f>
        <v>industry-elec-and-hydrogen.html</v>
      </c>
    </row>
    <row r="874" spans="1:18" s="2" customFormat="1" x14ac:dyDescent="0.25">
      <c r="A874" s="275" t="str">
        <f>IF(ISBLANK(INDEX('Policy Characteristics'!A:A,MATCH($C874,'Policy Characteristics'!$C:$C,0))),"",INDEX('Policy Characteristics'!A:A,MATCH($C874,'Policy Characteristics'!$C:$C,0)))</f>
        <v>Industry</v>
      </c>
      <c r="B874" s="284" t="str">
        <f>IF(ISBLANK(INDEX('Policy Characteristics'!B:B,MATCH($C874,'Policy Characteristics'!$C:$C,0))),"",INDEX('Policy Characteristics'!B:B,MATCH($C874,'Policy Characteristics'!$C:$C,0)))</f>
        <v>Hydrogen Combustion</v>
      </c>
      <c r="C874" s="275" t="str">
        <f t="shared" si="38"/>
        <v>Fraction of Eligible Industrial Energy Use Shifted to Hydrogen</v>
      </c>
      <c r="D874" s="6" t="s">
        <v>3082</v>
      </c>
      <c r="E874" s="1" t="s">
        <v>3553</v>
      </c>
      <c r="F874" t="s">
        <v>3045</v>
      </c>
      <c r="G874" s="47" t="s">
        <v>3560</v>
      </c>
      <c r="H874" s="44">
        <v>2136</v>
      </c>
      <c r="I874" s="346" t="s">
        <v>44</v>
      </c>
      <c r="J874" s="276" t="str">
        <f>IF(ISBLANK(INDEX('Policy Characteristics'!D:D,MATCH($C874,'Policy Characteristics'!$C:$C,0))),"",INDEX('Policy Characteristics'!D:D,MATCH($C874,'Policy Characteristics'!$C:$C,0)))</f>
        <v>Hydrogen Combustion</v>
      </c>
      <c r="K874" s="275" t="str">
        <f>IF(ISBLANK(INDEX('Policy Characteristics'!E:E,MATCH($C874,'Policy Characteristics'!$C:$C,0))),"",INDEX('Policy Characteristics'!E:E,MATCH($C874,'Policy Characteristics'!$C:$C,0)))</f>
        <v>indst shift to hydrogen</v>
      </c>
      <c r="L874" s="283">
        <f>IF(ISBLANK(INDEX('Policy Characteristics'!F:F,MATCH($C874,'Policy Characteristics'!$C:$C,0))),"",INDEX('Policy Characteristics'!F:F,MATCH($C874,'Policy Characteristics'!$C:$C,0)))</f>
        <v>0</v>
      </c>
      <c r="M874" s="283">
        <f>IF(ISBLANK(INDEX('Policy Characteristics'!G:G,MATCH($C874,'Policy Characteristics'!$C:$C,0))),"",INDEX('Policy Characteristics'!G:G,MATCH($C874,'Policy Characteristics'!$C:$C,0)))</f>
        <v>1</v>
      </c>
      <c r="N874" s="283">
        <f>IF(ISBLANK(INDEX('Policy Characteristics'!H:H,MATCH($C874,'Policy Characteristics'!$C:$C,0))),"",INDEX('Policy Characteristics'!H:H,MATCH($C874,'Policy Characteristics'!$C:$C,0)))</f>
        <v>0.01</v>
      </c>
      <c r="O874" s="275" t="str">
        <f>IF(ISBLANK(INDEX('Policy Characteristics'!I:I,MATCH($C874,'Policy Characteristics'!$C:$C,0))),"",INDEX('Policy Characteristics'!I:I,MATCH($C874,'Policy Characteristics'!$C:$C,0)))</f>
        <v>% of fuel shifted</v>
      </c>
      <c r="P874" s="275" t="str">
        <f>IF(ISBLANK(INDEX('Policy Characteristics'!J:J,MATCH($C874,'Policy Characteristics'!$C:$C,0))),"",INDEX('Policy Characteristics'!J:J,MATCH($C874,'Policy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4" s="275" t="str">
        <f>IF(ISBLANK(INDEX('Policy Characteristics'!K:K,MATCH($C874,'Policy Characteristics'!$C:$C,0))),"",INDEX('Policy Characteristics'!K:K,MATCH($C874,'Policy Characteristics'!$C:$C,0)))</f>
        <v>industry-ag-main.html#fuel-switching</v>
      </c>
      <c r="R874" s="275" t="str">
        <f>IF(ISBLANK(INDEX('Policy Characteristics'!L:L,MATCH($C874,'Policy Characteristics'!$C:$C,0))),"",INDEX('Policy Characteristics'!L:L,MATCH($C874,'Policy Characteristics'!$C:$C,0)))</f>
        <v>industry-elec-and-hydrogen.html</v>
      </c>
    </row>
    <row r="875" spans="1:18" s="2" customFormat="1" x14ac:dyDescent="0.25">
      <c r="A875" s="275" t="str">
        <f>IF(ISBLANK(INDEX('Policy Characteristics'!A:A,MATCH($C875,'Policy Characteristics'!$C:$C,0))),"",INDEX('Policy Characteristics'!A:A,MATCH($C875,'Policy Characteristics'!$C:$C,0)))</f>
        <v>Industry</v>
      </c>
      <c r="B875" s="284" t="str">
        <f>IF(ISBLANK(INDEX('Policy Characteristics'!B:B,MATCH($C875,'Policy Characteristics'!$C:$C,0))),"",INDEX('Policy Characteristics'!B:B,MATCH($C875,'Policy Characteristics'!$C:$C,0)))</f>
        <v>Hydrogen Combustion</v>
      </c>
      <c r="C875" s="275" t="str">
        <f t="shared" si="38"/>
        <v>Fraction of Eligible Industrial Energy Use Shifted to Hydrogen</v>
      </c>
      <c r="D875" s="6" t="s">
        <v>3082</v>
      </c>
      <c r="E875" s="1" t="s">
        <v>3737</v>
      </c>
      <c r="F875" t="s">
        <v>3045</v>
      </c>
      <c r="G875" s="47" t="s">
        <v>3738</v>
      </c>
      <c r="H875" s="44">
        <v>2137</v>
      </c>
      <c r="I875" s="346" t="s">
        <v>44</v>
      </c>
      <c r="J875" s="276" t="str">
        <f>IF(ISBLANK(INDEX('Policy Characteristics'!D:D,MATCH($C875,'Policy Characteristics'!$C:$C,0))),"",INDEX('Policy Characteristics'!D:D,MATCH($C875,'Policy Characteristics'!$C:$C,0)))</f>
        <v>Hydrogen Combustion</v>
      </c>
      <c r="K875" s="275" t="str">
        <f>IF(ISBLANK(INDEX('Policy Characteristics'!E:E,MATCH($C875,'Policy Characteristics'!$C:$C,0))),"",INDEX('Policy Characteristics'!E:E,MATCH($C875,'Policy Characteristics'!$C:$C,0)))</f>
        <v>indst shift to hydrogen</v>
      </c>
      <c r="L875" s="283">
        <f>IF(ISBLANK(INDEX('Policy Characteristics'!F:F,MATCH($C875,'Policy Characteristics'!$C:$C,0))),"",INDEX('Policy Characteristics'!F:F,MATCH($C875,'Policy Characteristics'!$C:$C,0)))</f>
        <v>0</v>
      </c>
      <c r="M875" s="283">
        <f>IF(ISBLANK(INDEX('Policy Characteristics'!G:G,MATCH($C875,'Policy Characteristics'!$C:$C,0))),"",INDEX('Policy Characteristics'!G:G,MATCH($C875,'Policy Characteristics'!$C:$C,0)))</f>
        <v>1</v>
      </c>
      <c r="N875" s="283">
        <f>IF(ISBLANK(INDEX('Policy Characteristics'!H:H,MATCH($C875,'Policy Characteristics'!$C:$C,0))),"",INDEX('Policy Characteristics'!H:H,MATCH($C875,'Policy Characteristics'!$C:$C,0)))</f>
        <v>0.01</v>
      </c>
      <c r="O875" s="275" t="str">
        <f>IF(ISBLANK(INDEX('Policy Characteristics'!I:I,MATCH($C875,'Policy Characteristics'!$C:$C,0))),"",INDEX('Policy Characteristics'!I:I,MATCH($C875,'Policy Characteristics'!$C:$C,0)))</f>
        <v>% of fuel shifted</v>
      </c>
      <c r="P875" s="275" t="str">
        <f>IF(ISBLANK(INDEX('Policy Characteristics'!J:J,MATCH($C875,'Policy Characteristics'!$C:$C,0))),"",INDEX('Policy Characteristics'!J:J,MATCH($C875,'Policy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5" s="275" t="str">
        <f>IF(ISBLANK(INDEX('Policy Characteristics'!K:K,MATCH($C875,'Policy Characteristics'!$C:$C,0))),"",INDEX('Policy Characteristics'!K:K,MATCH($C875,'Policy Characteristics'!$C:$C,0)))</f>
        <v>industry-ag-main.html#fuel-switching</v>
      </c>
      <c r="R875" s="275" t="str">
        <f>IF(ISBLANK(INDEX('Policy Characteristics'!L:L,MATCH($C875,'Policy Characteristics'!$C:$C,0))),"",INDEX('Policy Characteristics'!L:L,MATCH($C875,'Policy Characteristics'!$C:$C,0)))</f>
        <v>industry-elec-and-hydrogen.html</v>
      </c>
    </row>
    <row r="876" spans="1:18" s="2" customFormat="1" x14ac:dyDescent="0.25">
      <c r="A876" s="275" t="str">
        <f>IF(ISBLANK(INDEX('Policy Characteristics'!A:A,MATCH($C876,'Policy Characteristics'!$C:$C,0))),"",INDEX('Policy Characteristics'!A:A,MATCH($C876,'Policy Characteristics'!$C:$C,0)))</f>
        <v>Industry</v>
      </c>
      <c r="B876" s="284" t="str">
        <f>IF(ISBLANK(INDEX('Policy Characteristics'!B:B,MATCH($C876,'Policy Characteristics'!$C:$C,0))),"",INDEX('Policy Characteristics'!B:B,MATCH($C876,'Policy Characteristics'!$C:$C,0)))</f>
        <v>Hydrogen Combustion</v>
      </c>
      <c r="C876" s="275" t="str">
        <f t="shared" si="38"/>
        <v>Fraction of Eligible Industrial Energy Use Shifted to Hydrogen</v>
      </c>
      <c r="D876" s="6" t="s">
        <v>3083</v>
      </c>
      <c r="E876" s="1" t="s">
        <v>3547</v>
      </c>
      <c r="F876" t="s">
        <v>2583</v>
      </c>
      <c r="G876" s="47" t="s">
        <v>3554</v>
      </c>
      <c r="H876" s="44">
        <v>2138</v>
      </c>
      <c r="I876" s="346" t="s">
        <v>43</v>
      </c>
      <c r="J876" s="276" t="str">
        <f>IF(ISBLANK(INDEX('Policy Characteristics'!D:D,MATCH($C876,'Policy Characteristics'!$C:$C,0))),"",INDEX('Policy Characteristics'!D:D,MATCH($C876,'Policy Characteristics'!$C:$C,0)))</f>
        <v>Hydrogen Combustion</v>
      </c>
      <c r="K876" s="275" t="str">
        <f>IF(ISBLANK(INDEX('Policy Characteristics'!E:E,MATCH($C876,'Policy Characteristics'!$C:$C,0))),"",INDEX('Policy Characteristics'!E:E,MATCH($C876,'Policy Characteristics'!$C:$C,0)))</f>
        <v>indst shift to hydrogen</v>
      </c>
      <c r="L876" s="283">
        <f>IF(ISBLANK(INDEX('Policy Characteristics'!F:F,MATCH($C876,'Policy Characteristics'!$C:$C,0))),"",INDEX('Policy Characteristics'!F:F,MATCH($C876,'Policy Characteristics'!$C:$C,0)))</f>
        <v>0</v>
      </c>
      <c r="M876" s="283">
        <f>IF(ISBLANK(INDEX('Policy Characteristics'!G:G,MATCH($C876,'Policy Characteristics'!$C:$C,0))),"",INDEX('Policy Characteristics'!G:G,MATCH($C876,'Policy Characteristics'!$C:$C,0)))</f>
        <v>1</v>
      </c>
      <c r="N876" s="283">
        <f>IF(ISBLANK(INDEX('Policy Characteristics'!H:H,MATCH($C876,'Policy Characteristics'!$C:$C,0))),"",INDEX('Policy Characteristics'!H:H,MATCH($C876,'Policy Characteristics'!$C:$C,0)))</f>
        <v>0.01</v>
      </c>
      <c r="O876" s="275" t="str">
        <f>IF(ISBLANK(INDEX('Policy Characteristics'!I:I,MATCH($C876,'Policy Characteristics'!$C:$C,0))),"",INDEX('Policy Characteristics'!I:I,MATCH($C876,'Policy Characteristics'!$C:$C,0)))</f>
        <v>% of fuel shifted</v>
      </c>
      <c r="P876" s="275" t="str">
        <f>IF(ISBLANK(INDEX('Policy Characteristics'!J:J,MATCH($C876,'Policy Characteristics'!$C:$C,0))),"",INDEX('Policy Characteristics'!J:J,MATCH($C876,'Policy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6" s="275" t="str">
        <f>IF(ISBLANK(INDEX('Policy Characteristics'!K:K,MATCH($C876,'Policy Characteristics'!$C:$C,0))),"",INDEX('Policy Characteristics'!K:K,MATCH($C876,'Policy Characteristics'!$C:$C,0)))</f>
        <v>industry-ag-main.html#fuel-switching</v>
      </c>
      <c r="R876" s="275" t="str">
        <f>IF(ISBLANK(INDEX('Policy Characteristics'!L:L,MATCH($C876,'Policy Characteristics'!$C:$C,0))),"",INDEX('Policy Characteristics'!L:L,MATCH($C876,'Policy Characteristics'!$C:$C,0)))</f>
        <v>industry-elec-and-hydrogen.html</v>
      </c>
    </row>
    <row r="877" spans="1:18" s="2" customFormat="1" x14ac:dyDescent="0.25">
      <c r="A877" s="275" t="str">
        <f>IF(ISBLANK(INDEX('Policy Characteristics'!A:A,MATCH($C877,'Policy Characteristics'!$C:$C,0))),"",INDEX('Policy Characteristics'!A:A,MATCH($C877,'Policy Characteristics'!$C:$C,0)))</f>
        <v>Industry</v>
      </c>
      <c r="B877" s="284" t="str">
        <f>IF(ISBLANK(INDEX('Policy Characteristics'!B:B,MATCH($C877,'Policy Characteristics'!$C:$C,0))),"",INDEX('Policy Characteristics'!B:B,MATCH($C877,'Policy Characteristics'!$C:$C,0)))</f>
        <v>Hydrogen Combustion</v>
      </c>
      <c r="C877" s="275" t="str">
        <f t="shared" si="38"/>
        <v>Fraction of Eligible Industrial Energy Use Shifted to Hydrogen</v>
      </c>
      <c r="D877" s="6" t="s">
        <v>3083</v>
      </c>
      <c r="E877" s="1" t="s">
        <v>3548</v>
      </c>
      <c r="F877" t="s">
        <v>2583</v>
      </c>
      <c r="G877" s="47" t="s">
        <v>3555</v>
      </c>
      <c r="H877" s="44">
        <v>2139</v>
      </c>
      <c r="I877" s="346" t="s">
        <v>43</v>
      </c>
      <c r="J877" s="276" t="str">
        <f>IF(ISBLANK(INDEX('Policy Characteristics'!D:D,MATCH($C877,'Policy Characteristics'!$C:$C,0))),"",INDEX('Policy Characteristics'!D:D,MATCH($C877,'Policy Characteristics'!$C:$C,0)))</f>
        <v>Hydrogen Combustion</v>
      </c>
      <c r="K877" s="275" t="str">
        <f>IF(ISBLANK(INDEX('Policy Characteristics'!E:E,MATCH($C877,'Policy Characteristics'!$C:$C,0))),"",INDEX('Policy Characteristics'!E:E,MATCH($C877,'Policy Characteristics'!$C:$C,0)))</f>
        <v>indst shift to hydrogen</v>
      </c>
      <c r="L877" s="283">
        <f>IF(ISBLANK(INDEX('Policy Characteristics'!F:F,MATCH($C877,'Policy Characteristics'!$C:$C,0))),"",INDEX('Policy Characteristics'!F:F,MATCH($C877,'Policy Characteristics'!$C:$C,0)))</f>
        <v>0</v>
      </c>
      <c r="M877" s="283">
        <f>IF(ISBLANK(INDEX('Policy Characteristics'!G:G,MATCH($C877,'Policy Characteristics'!$C:$C,0))),"",INDEX('Policy Characteristics'!G:G,MATCH($C877,'Policy Characteristics'!$C:$C,0)))</f>
        <v>1</v>
      </c>
      <c r="N877" s="283">
        <f>IF(ISBLANK(INDEX('Policy Characteristics'!H:H,MATCH($C877,'Policy Characteristics'!$C:$C,0))),"",INDEX('Policy Characteristics'!H:H,MATCH($C877,'Policy Characteristics'!$C:$C,0)))</f>
        <v>0.01</v>
      </c>
      <c r="O877" s="275" t="str">
        <f>IF(ISBLANK(INDEX('Policy Characteristics'!I:I,MATCH($C877,'Policy Characteristics'!$C:$C,0))),"",INDEX('Policy Characteristics'!I:I,MATCH($C877,'Policy Characteristics'!$C:$C,0)))</f>
        <v>% of fuel shifted</v>
      </c>
      <c r="P877" s="275" t="str">
        <f>IF(ISBLANK(INDEX('Policy Characteristics'!J:J,MATCH($C877,'Policy Characteristics'!$C:$C,0))),"",INDEX('Policy Characteristics'!J:J,MATCH($C877,'Policy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7" s="275" t="str">
        <f>IF(ISBLANK(INDEX('Policy Characteristics'!K:K,MATCH($C877,'Policy Characteristics'!$C:$C,0))),"",INDEX('Policy Characteristics'!K:K,MATCH($C877,'Policy Characteristics'!$C:$C,0)))</f>
        <v>industry-ag-main.html#fuel-switching</v>
      </c>
      <c r="R877" s="275" t="str">
        <f>IF(ISBLANK(INDEX('Policy Characteristics'!L:L,MATCH($C877,'Policy Characteristics'!$C:$C,0))),"",INDEX('Policy Characteristics'!L:L,MATCH($C877,'Policy Characteristics'!$C:$C,0)))</f>
        <v>industry-elec-and-hydrogen.html</v>
      </c>
    </row>
    <row r="878" spans="1:18" s="2" customFormat="1" x14ac:dyDescent="0.25">
      <c r="A878" s="275" t="str">
        <f>IF(ISBLANK(INDEX('Policy Characteristics'!A:A,MATCH($C878,'Policy Characteristics'!$C:$C,0))),"",INDEX('Policy Characteristics'!A:A,MATCH($C878,'Policy Characteristics'!$C:$C,0)))</f>
        <v>Industry</v>
      </c>
      <c r="B878" s="284" t="str">
        <f>IF(ISBLANK(INDEX('Policy Characteristics'!B:B,MATCH($C878,'Policy Characteristics'!$C:$C,0))),"",INDEX('Policy Characteristics'!B:B,MATCH($C878,'Policy Characteristics'!$C:$C,0)))</f>
        <v>Hydrogen Combustion</v>
      </c>
      <c r="C878" s="275" t="str">
        <f t="shared" si="38"/>
        <v>Fraction of Eligible Industrial Energy Use Shifted to Hydrogen</v>
      </c>
      <c r="D878" s="6" t="s">
        <v>3083</v>
      </c>
      <c r="E878" s="1" t="s">
        <v>3549</v>
      </c>
      <c r="F878" t="s">
        <v>2583</v>
      </c>
      <c r="G878" s="47" t="s">
        <v>3556</v>
      </c>
      <c r="H878" s="44">
        <v>2140</v>
      </c>
      <c r="I878" s="346" t="s">
        <v>43</v>
      </c>
      <c r="J878" s="276" t="str">
        <f>IF(ISBLANK(INDEX('Policy Characteristics'!D:D,MATCH($C878,'Policy Characteristics'!$C:$C,0))),"",INDEX('Policy Characteristics'!D:D,MATCH($C878,'Policy Characteristics'!$C:$C,0)))</f>
        <v>Hydrogen Combustion</v>
      </c>
      <c r="K878" s="275" t="str">
        <f>IF(ISBLANK(INDEX('Policy Characteristics'!E:E,MATCH($C878,'Policy Characteristics'!$C:$C,0))),"",INDEX('Policy Characteristics'!E:E,MATCH($C878,'Policy Characteristics'!$C:$C,0)))</f>
        <v>indst shift to hydrogen</v>
      </c>
      <c r="L878" s="283">
        <f>IF(ISBLANK(INDEX('Policy Characteristics'!F:F,MATCH($C878,'Policy Characteristics'!$C:$C,0))),"",INDEX('Policy Characteristics'!F:F,MATCH($C878,'Policy Characteristics'!$C:$C,0)))</f>
        <v>0</v>
      </c>
      <c r="M878" s="283">
        <f>IF(ISBLANK(INDEX('Policy Characteristics'!G:G,MATCH($C878,'Policy Characteristics'!$C:$C,0))),"",INDEX('Policy Characteristics'!G:G,MATCH($C878,'Policy Characteristics'!$C:$C,0)))</f>
        <v>1</v>
      </c>
      <c r="N878" s="283">
        <f>IF(ISBLANK(INDEX('Policy Characteristics'!H:H,MATCH($C878,'Policy Characteristics'!$C:$C,0))),"",INDEX('Policy Characteristics'!H:H,MATCH($C878,'Policy Characteristics'!$C:$C,0)))</f>
        <v>0.01</v>
      </c>
      <c r="O878" s="275" t="str">
        <f>IF(ISBLANK(INDEX('Policy Characteristics'!I:I,MATCH($C878,'Policy Characteristics'!$C:$C,0))),"",INDEX('Policy Characteristics'!I:I,MATCH($C878,'Policy Characteristics'!$C:$C,0)))</f>
        <v>% of fuel shifted</v>
      </c>
      <c r="P878" s="275" t="str">
        <f>IF(ISBLANK(INDEX('Policy Characteristics'!J:J,MATCH($C878,'Policy Characteristics'!$C:$C,0))),"",INDEX('Policy Characteristics'!J:J,MATCH($C878,'Policy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8" s="275" t="str">
        <f>IF(ISBLANK(INDEX('Policy Characteristics'!K:K,MATCH($C878,'Policy Characteristics'!$C:$C,0))),"",INDEX('Policy Characteristics'!K:K,MATCH($C878,'Policy Characteristics'!$C:$C,0)))</f>
        <v>industry-ag-main.html#fuel-switching</v>
      </c>
      <c r="R878" s="275" t="str">
        <f>IF(ISBLANK(INDEX('Policy Characteristics'!L:L,MATCH($C878,'Policy Characteristics'!$C:$C,0))),"",INDEX('Policy Characteristics'!L:L,MATCH($C878,'Policy Characteristics'!$C:$C,0)))</f>
        <v>industry-elec-and-hydrogen.html</v>
      </c>
    </row>
    <row r="879" spans="1:18" s="2" customFormat="1" x14ac:dyDescent="0.25">
      <c r="A879" s="275" t="str">
        <f>IF(ISBLANK(INDEX('Policy Characteristics'!A:A,MATCH($C879,'Policy Characteristics'!$C:$C,0))),"",INDEX('Policy Characteristics'!A:A,MATCH($C879,'Policy Characteristics'!$C:$C,0)))</f>
        <v>Industry</v>
      </c>
      <c r="B879" s="284" t="str">
        <f>IF(ISBLANK(INDEX('Policy Characteristics'!B:B,MATCH($C879,'Policy Characteristics'!$C:$C,0))),"",INDEX('Policy Characteristics'!B:B,MATCH($C879,'Policy Characteristics'!$C:$C,0)))</f>
        <v>Hydrogen Combustion</v>
      </c>
      <c r="C879" s="275" t="str">
        <f t="shared" si="38"/>
        <v>Fraction of Eligible Industrial Energy Use Shifted to Hydrogen</v>
      </c>
      <c r="D879" s="6" t="s">
        <v>3083</v>
      </c>
      <c r="E879" s="1" t="s">
        <v>3550</v>
      </c>
      <c r="F879" t="s">
        <v>2583</v>
      </c>
      <c r="G879" s="47" t="s">
        <v>3557</v>
      </c>
      <c r="H879" s="44">
        <v>2141</v>
      </c>
      <c r="I879" s="346" t="s">
        <v>43</v>
      </c>
      <c r="J879" s="276" t="str">
        <f>IF(ISBLANK(INDEX('Policy Characteristics'!D:D,MATCH($C879,'Policy Characteristics'!$C:$C,0))),"",INDEX('Policy Characteristics'!D:D,MATCH($C879,'Policy Characteristics'!$C:$C,0)))</f>
        <v>Hydrogen Combustion</v>
      </c>
      <c r="K879" s="275" t="str">
        <f>IF(ISBLANK(INDEX('Policy Characteristics'!E:E,MATCH($C879,'Policy Characteristics'!$C:$C,0))),"",INDEX('Policy Characteristics'!E:E,MATCH($C879,'Policy Characteristics'!$C:$C,0)))</f>
        <v>indst shift to hydrogen</v>
      </c>
      <c r="L879" s="283">
        <f>IF(ISBLANK(INDEX('Policy Characteristics'!F:F,MATCH($C879,'Policy Characteristics'!$C:$C,0))),"",INDEX('Policy Characteristics'!F:F,MATCH($C879,'Policy Characteristics'!$C:$C,0)))</f>
        <v>0</v>
      </c>
      <c r="M879" s="283">
        <f>IF(ISBLANK(INDEX('Policy Characteristics'!G:G,MATCH($C879,'Policy Characteristics'!$C:$C,0))),"",INDEX('Policy Characteristics'!G:G,MATCH($C879,'Policy Characteristics'!$C:$C,0)))</f>
        <v>1</v>
      </c>
      <c r="N879" s="283">
        <f>IF(ISBLANK(INDEX('Policy Characteristics'!H:H,MATCH($C879,'Policy Characteristics'!$C:$C,0))),"",INDEX('Policy Characteristics'!H:H,MATCH($C879,'Policy Characteristics'!$C:$C,0)))</f>
        <v>0.01</v>
      </c>
      <c r="O879" s="275" t="str">
        <f>IF(ISBLANK(INDEX('Policy Characteristics'!I:I,MATCH($C879,'Policy Characteristics'!$C:$C,0))),"",INDEX('Policy Characteristics'!I:I,MATCH($C879,'Policy Characteristics'!$C:$C,0)))</f>
        <v>% of fuel shifted</v>
      </c>
      <c r="P879" s="275" t="str">
        <f>IF(ISBLANK(INDEX('Policy Characteristics'!J:J,MATCH($C879,'Policy Characteristics'!$C:$C,0))),"",INDEX('Policy Characteristics'!J:J,MATCH($C879,'Policy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9" s="275" t="str">
        <f>IF(ISBLANK(INDEX('Policy Characteristics'!K:K,MATCH($C879,'Policy Characteristics'!$C:$C,0))),"",INDEX('Policy Characteristics'!K:K,MATCH($C879,'Policy Characteristics'!$C:$C,0)))</f>
        <v>industry-ag-main.html#fuel-switching</v>
      </c>
      <c r="R879" s="275" t="str">
        <f>IF(ISBLANK(INDEX('Policy Characteristics'!L:L,MATCH($C879,'Policy Characteristics'!$C:$C,0))),"",INDEX('Policy Characteristics'!L:L,MATCH($C879,'Policy Characteristics'!$C:$C,0)))</f>
        <v>industry-elec-and-hydrogen.html</v>
      </c>
    </row>
    <row r="880" spans="1:18" s="2" customFormat="1" x14ac:dyDescent="0.25">
      <c r="A880" s="275" t="str">
        <f>IF(ISBLANK(INDEX('Policy Characteristics'!A:A,MATCH($C880,'Policy Characteristics'!$C:$C,0))),"",INDEX('Policy Characteristics'!A:A,MATCH($C880,'Policy Characteristics'!$C:$C,0)))</f>
        <v>Industry</v>
      </c>
      <c r="B880" s="284" t="str">
        <f>IF(ISBLANK(INDEX('Policy Characteristics'!B:B,MATCH($C880,'Policy Characteristics'!$C:$C,0))),"",INDEX('Policy Characteristics'!B:B,MATCH($C880,'Policy Characteristics'!$C:$C,0)))</f>
        <v>Hydrogen Combustion</v>
      </c>
      <c r="C880" s="275" t="str">
        <f t="shared" si="38"/>
        <v>Fraction of Eligible Industrial Energy Use Shifted to Hydrogen</v>
      </c>
      <c r="D880" s="6" t="s">
        <v>3083</v>
      </c>
      <c r="E880" s="1" t="s">
        <v>3551</v>
      </c>
      <c r="F880" t="s">
        <v>2583</v>
      </c>
      <c r="G880" s="47" t="s">
        <v>3558</v>
      </c>
      <c r="H880" s="44">
        <v>2142</v>
      </c>
      <c r="I880" s="346" t="s">
        <v>43</v>
      </c>
      <c r="J880" s="276" t="str">
        <f>IF(ISBLANK(INDEX('Policy Characteristics'!D:D,MATCH($C880,'Policy Characteristics'!$C:$C,0))),"",INDEX('Policy Characteristics'!D:D,MATCH($C880,'Policy Characteristics'!$C:$C,0)))</f>
        <v>Hydrogen Combustion</v>
      </c>
      <c r="K880" s="275" t="str">
        <f>IF(ISBLANK(INDEX('Policy Characteristics'!E:E,MATCH($C880,'Policy Characteristics'!$C:$C,0))),"",INDEX('Policy Characteristics'!E:E,MATCH($C880,'Policy Characteristics'!$C:$C,0)))</f>
        <v>indst shift to hydrogen</v>
      </c>
      <c r="L880" s="283">
        <f>IF(ISBLANK(INDEX('Policy Characteristics'!F:F,MATCH($C880,'Policy Characteristics'!$C:$C,0))),"",INDEX('Policy Characteristics'!F:F,MATCH($C880,'Policy Characteristics'!$C:$C,0)))</f>
        <v>0</v>
      </c>
      <c r="M880" s="283">
        <f>IF(ISBLANK(INDEX('Policy Characteristics'!G:G,MATCH($C880,'Policy Characteristics'!$C:$C,0))),"",INDEX('Policy Characteristics'!G:G,MATCH($C880,'Policy Characteristics'!$C:$C,0)))</f>
        <v>1</v>
      </c>
      <c r="N880" s="283">
        <f>IF(ISBLANK(INDEX('Policy Characteristics'!H:H,MATCH($C880,'Policy Characteristics'!$C:$C,0))),"",INDEX('Policy Characteristics'!H:H,MATCH($C880,'Policy Characteristics'!$C:$C,0)))</f>
        <v>0.01</v>
      </c>
      <c r="O880" s="275" t="str">
        <f>IF(ISBLANK(INDEX('Policy Characteristics'!I:I,MATCH($C880,'Policy Characteristics'!$C:$C,0))),"",INDEX('Policy Characteristics'!I:I,MATCH($C880,'Policy Characteristics'!$C:$C,0)))</f>
        <v>% of fuel shifted</v>
      </c>
      <c r="P880" s="275" t="str">
        <f>IF(ISBLANK(INDEX('Policy Characteristics'!J:J,MATCH($C880,'Policy Characteristics'!$C:$C,0))),"",INDEX('Policy Characteristics'!J:J,MATCH($C880,'Policy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0" s="275" t="str">
        <f>IF(ISBLANK(INDEX('Policy Characteristics'!K:K,MATCH($C880,'Policy Characteristics'!$C:$C,0))),"",INDEX('Policy Characteristics'!K:K,MATCH($C880,'Policy Characteristics'!$C:$C,0)))</f>
        <v>industry-ag-main.html#fuel-switching</v>
      </c>
      <c r="R880" s="275" t="str">
        <f>IF(ISBLANK(INDEX('Policy Characteristics'!L:L,MATCH($C880,'Policy Characteristics'!$C:$C,0))),"",INDEX('Policy Characteristics'!L:L,MATCH($C880,'Policy Characteristics'!$C:$C,0)))</f>
        <v>industry-elec-and-hydrogen.html</v>
      </c>
    </row>
    <row r="881" spans="1:18" s="2" customFormat="1" x14ac:dyDescent="0.25">
      <c r="A881" s="275" t="str">
        <f>IF(ISBLANK(INDEX('Policy Characteristics'!A:A,MATCH($C881,'Policy Characteristics'!$C:$C,0))),"",INDEX('Policy Characteristics'!A:A,MATCH($C881,'Policy Characteristics'!$C:$C,0)))</f>
        <v>Industry</v>
      </c>
      <c r="B881" s="284" t="str">
        <f>IF(ISBLANK(INDEX('Policy Characteristics'!B:B,MATCH($C881,'Policy Characteristics'!$C:$C,0))),"",INDEX('Policy Characteristics'!B:B,MATCH($C881,'Policy Characteristics'!$C:$C,0)))</f>
        <v>Hydrogen Combustion</v>
      </c>
      <c r="C881" s="275" t="str">
        <f t="shared" si="38"/>
        <v>Fraction of Eligible Industrial Energy Use Shifted to Hydrogen</v>
      </c>
      <c r="D881" s="6" t="s">
        <v>3083</v>
      </c>
      <c r="E881" s="1" t="s">
        <v>3552</v>
      </c>
      <c r="F881" t="s">
        <v>2583</v>
      </c>
      <c r="G881" s="47" t="s">
        <v>3559</v>
      </c>
      <c r="H881" s="44">
        <v>2143</v>
      </c>
      <c r="I881" s="346" t="s">
        <v>43</v>
      </c>
      <c r="J881" s="276" t="str">
        <f>IF(ISBLANK(INDEX('Policy Characteristics'!D:D,MATCH($C881,'Policy Characteristics'!$C:$C,0))),"",INDEX('Policy Characteristics'!D:D,MATCH($C881,'Policy Characteristics'!$C:$C,0)))</f>
        <v>Hydrogen Combustion</v>
      </c>
      <c r="K881" s="275" t="str">
        <f>IF(ISBLANK(INDEX('Policy Characteristics'!E:E,MATCH($C881,'Policy Characteristics'!$C:$C,0))),"",INDEX('Policy Characteristics'!E:E,MATCH($C881,'Policy Characteristics'!$C:$C,0)))</f>
        <v>indst shift to hydrogen</v>
      </c>
      <c r="L881" s="283">
        <f>IF(ISBLANK(INDEX('Policy Characteristics'!F:F,MATCH($C881,'Policy Characteristics'!$C:$C,0))),"",INDEX('Policy Characteristics'!F:F,MATCH($C881,'Policy Characteristics'!$C:$C,0)))</f>
        <v>0</v>
      </c>
      <c r="M881" s="283">
        <f>IF(ISBLANK(INDEX('Policy Characteristics'!G:G,MATCH($C881,'Policy Characteristics'!$C:$C,0))),"",INDEX('Policy Characteristics'!G:G,MATCH($C881,'Policy Characteristics'!$C:$C,0)))</f>
        <v>1</v>
      </c>
      <c r="N881" s="283">
        <f>IF(ISBLANK(INDEX('Policy Characteristics'!H:H,MATCH($C881,'Policy Characteristics'!$C:$C,0))),"",INDEX('Policy Characteristics'!H:H,MATCH($C881,'Policy Characteristics'!$C:$C,0)))</f>
        <v>0.01</v>
      </c>
      <c r="O881" s="275" t="str">
        <f>IF(ISBLANK(INDEX('Policy Characteristics'!I:I,MATCH($C881,'Policy Characteristics'!$C:$C,0))),"",INDEX('Policy Characteristics'!I:I,MATCH($C881,'Policy Characteristics'!$C:$C,0)))</f>
        <v>% of fuel shifted</v>
      </c>
      <c r="P881" s="275" t="str">
        <f>IF(ISBLANK(INDEX('Policy Characteristics'!J:J,MATCH($C881,'Policy Characteristics'!$C:$C,0))),"",INDEX('Policy Characteristics'!J:J,MATCH($C881,'Policy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1" s="275" t="str">
        <f>IF(ISBLANK(INDEX('Policy Characteristics'!K:K,MATCH($C881,'Policy Characteristics'!$C:$C,0))),"",INDEX('Policy Characteristics'!K:K,MATCH($C881,'Policy Characteristics'!$C:$C,0)))</f>
        <v>industry-ag-main.html#fuel-switching</v>
      </c>
      <c r="R881" s="275" t="str">
        <f>IF(ISBLANK(INDEX('Policy Characteristics'!L:L,MATCH($C881,'Policy Characteristics'!$C:$C,0))),"",INDEX('Policy Characteristics'!L:L,MATCH($C881,'Policy Characteristics'!$C:$C,0)))</f>
        <v>industry-elec-and-hydrogen.html</v>
      </c>
    </row>
    <row r="882" spans="1:18" s="2" customFormat="1" x14ac:dyDescent="0.25">
      <c r="A882" s="275" t="str">
        <f>IF(ISBLANK(INDEX('Policy Characteristics'!A:A,MATCH($C882,'Policy Characteristics'!$C:$C,0))),"",INDEX('Policy Characteristics'!A:A,MATCH($C882,'Policy Characteristics'!$C:$C,0)))</f>
        <v>Industry</v>
      </c>
      <c r="B882" s="284" t="str">
        <f>IF(ISBLANK(INDEX('Policy Characteristics'!B:B,MATCH($C882,'Policy Characteristics'!$C:$C,0))),"",INDEX('Policy Characteristics'!B:B,MATCH($C882,'Policy Characteristics'!$C:$C,0)))</f>
        <v>Hydrogen Combustion</v>
      </c>
      <c r="C882" s="275" t="str">
        <f t="shared" si="38"/>
        <v>Fraction of Eligible Industrial Energy Use Shifted to Hydrogen</v>
      </c>
      <c r="D882" s="6" t="s">
        <v>3083</v>
      </c>
      <c r="E882" s="1" t="s">
        <v>3553</v>
      </c>
      <c r="F882" t="s">
        <v>2583</v>
      </c>
      <c r="G882" s="47" t="s">
        <v>3560</v>
      </c>
      <c r="H882" s="44">
        <v>2144</v>
      </c>
      <c r="I882" s="346" t="s">
        <v>44</v>
      </c>
      <c r="J882" s="276" t="str">
        <f>IF(ISBLANK(INDEX('Policy Characteristics'!D:D,MATCH($C882,'Policy Characteristics'!$C:$C,0))),"",INDEX('Policy Characteristics'!D:D,MATCH($C882,'Policy Characteristics'!$C:$C,0)))</f>
        <v>Hydrogen Combustion</v>
      </c>
      <c r="K882" s="275" t="str">
        <f>IF(ISBLANK(INDEX('Policy Characteristics'!E:E,MATCH($C882,'Policy Characteristics'!$C:$C,0))),"",INDEX('Policy Characteristics'!E:E,MATCH($C882,'Policy Characteristics'!$C:$C,0)))</f>
        <v>indst shift to hydrogen</v>
      </c>
      <c r="L882" s="283">
        <f>IF(ISBLANK(INDEX('Policy Characteristics'!F:F,MATCH($C882,'Policy Characteristics'!$C:$C,0))),"",INDEX('Policy Characteristics'!F:F,MATCH($C882,'Policy Characteristics'!$C:$C,0)))</f>
        <v>0</v>
      </c>
      <c r="M882" s="283">
        <f>IF(ISBLANK(INDEX('Policy Characteristics'!G:G,MATCH($C882,'Policy Characteristics'!$C:$C,0))),"",INDEX('Policy Characteristics'!G:G,MATCH($C882,'Policy Characteristics'!$C:$C,0)))</f>
        <v>1</v>
      </c>
      <c r="N882" s="283">
        <f>IF(ISBLANK(INDEX('Policy Characteristics'!H:H,MATCH($C882,'Policy Characteristics'!$C:$C,0))),"",INDEX('Policy Characteristics'!H:H,MATCH($C882,'Policy Characteristics'!$C:$C,0)))</f>
        <v>0.01</v>
      </c>
      <c r="O882" s="275" t="str">
        <f>IF(ISBLANK(INDEX('Policy Characteristics'!I:I,MATCH($C882,'Policy Characteristics'!$C:$C,0))),"",INDEX('Policy Characteristics'!I:I,MATCH($C882,'Policy Characteristics'!$C:$C,0)))</f>
        <v>% of fuel shifted</v>
      </c>
      <c r="P882" s="275" t="str">
        <f>IF(ISBLANK(INDEX('Policy Characteristics'!J:J,MATCH($C882,'Policy Characteristics'!$C:$C,0))),"",INDEX('Policy Characteristics'!J:J,MATCH($C882,'Policy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2" s="275" t="str">
        <f>IF(ISBLANK(INDEX('Policy Characteristics'!K:K,MATCH($C882,'Policy Characteristics'!$C:$C,0))),"",INDEX('Policy Characteristics'!K:K,MATCH($C882,'Policy Characteristics'!$C:$C,0)))</f>
        <v>industry-ag-main.html#fuel-switching</v>
      </c>
      <c r="R882" s="275" t="str">
        <f>IF(ISBLANK(INDEX('Policy Characteristics'!L:L,MATCH($C882,'Policy Characteristics'!$C:$C,0))),"",INDEX('Policy Characteristics'!L:L,MATCH($C882,'Policy Characteristics'!$C:$C,0)))</f>
        <v>industry-elec-and-hydrogen.html</v>
      </c>
    </row>
    <row r="883" spans="1:18" s="2" customFormat="1" x14ac:dyDescent="0.25">
      <c r="A883" s="275" t="str">
        <f>IF(ISBLANK(INDEX('Policy Characteristics'!A:A,MATCH($C883,'Policy Characteristics'!$C:$C,0))),"",INDEX('Policy Characteristics'!A:A,MATCH($C883,'Policy Characteristics'!$C:$C,0)))</f>
        <v>Industry</v>
      </c>
      <c r="B883" s="284" t="str">
        <f>IF(ISBLANK(INDEX('Policy Characteristics'!B:B,MATCH($C883,'Policy Characteristics'!$C:$C,0))),"",INDEX('Policy Characteristics'!B:B,MATCH($C883,'Policy Characteristics'!$C:$C,0)))</f>
        <v>Hydrogen Combustion</v>
      </c>
      <c r="C883" s="275" t="str">
        <f t="shared" si="38"/>
        <v>Fraction of Eligible Industrial Energy Use Shifted to Hydrogen</v>
      </c>
      <c r="D883" s="6" t="s">
        <v>3083</v>
      </c>
      <c r="E883" s="1" t="s">
        <v>3737</v>
      </c>
      <c r="F883" t="s">
        <v>2583</v>
      </c>
      <c r="G883" s="47" t="s">
        <v>3738</v>
      </c>
      <c r="H883" s="44">
        <v>2145</v>
      </c>
      <c r="I883" s="346" t="s">
        <v>43</v>
      </c>
      <c r="J883" s="276" t="str">
        <f>IF(ISBLANK(INDEX('Policy Characteristics'!D:D,MATCH($C883,'Policy Characteristics'!$C:$C,0))),"",INDEX('Policy Characteristics'!D:D,MATCH($C883,'Policy Characteristics'!$C:$C,0)))</f>
        <v>Hydrogen Combustion</v>
      </c>
      <c r="K883" s="275" t="str">
        <f>IF(ISBLANK(INDEX('Policy Characteristics'!E:E,MATCH($C883,'Policy Characteristics'!$C:$C,0))),"",INDEX('Policy Characteristics'!E:E,MATCH($C883,'Policy Characteristics'!$C:$C,0)))</f>
        <v>indst shift to hydrogen</v>
      </c>
      <c r="L883" s="283">
        <f>IF(ISBLANK(INDEX('Policy Characteristics'!F:F,MATCH($C883,'Policy Characteristics'!$C:$C,0))),"",INDEX('Policy Characteristics'!F:F,MATCH($C883,'Policy Characteristics'!$C:$C,0)))</f>
        <v>0</v>
      </c>
      <c r="M883" s="283">
        <f>IF(ISBLANK(INDEX('Policy Characteristics'!G:G,MATCH($C883,'Policy Characteristics'!$C:$C,0))),"",INDEX('Policy Characteristics'!G:G,MATCH($C883,'Policy Characteristics'!$C:$C,0)))</f>
        <v>1</v>
      </c>
      <c r="N883" s="283">
        <f>IF(ISBLANK(INDEX('Policy Characteristics'!H:H,MATCH($C883,'Policy Characteristics'!$C:$C,0))),"",INDEX('Policy Characteristics'!H:H,MATCH($C883,'Policy Characteristics'!$C:$C,0)))</f>
        <v>0.01</v>
      </c>
      <c r="O883" s="275" t="str">
        <f>IF(ISBLANK(INDEX('Policy Characteristics'!I:I,MATCH($C883,'Policy Characteristics'!$C:$C,0))),"",INDEX('Policy Characteristics'!I:I,MATCH($C883,'Policy Characteristics'!$C:$C,0)))</f>
        <v>% of fuel shifted</v>
      </c>
      <c r="P883" s="275" t="str">
        <f>IF(ISBLANK(INDEX('Policy Characteristics'!J:J,MATCH($C883,'Policy Characteristics'!$C:$C,0))),"",INDEX('Policy Characteristics'!J:J,MATCH($C883,'Policy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3" s="275" t="str">
        <f>IF(ISBLANK(INDEX('Policy Characteristics'!K:K,MATCH($C883,'Policy Characteristics'!$C:$C,0))),"",INDEX('Policy Characteristics'!K:K,MATCH($C883,'Policy Characteristics'!$C:$C,0)))</f>
        <v>industry-ag-main.html#fuel-switching</v>
      </c>
      <c r="R883" s="275" t="str">
        <f>IF(ISBLANK(INDEX('Policy Characteristics'!L:L,MATCH($C883,'Policy Characteristics'!$C:$C,0))),"",INDEX('Policy Characteristics'!L:L,MATCH($C883,'Policy Characteristics'!$C:$C,0)))</f>
        <v>industry-elec-and-hydrogen.html</v>
      </c>
    </row>
    <row r="884" spans="1:18" s="2" customFormat="1" x14ac:dyDescent="0.25">
      <c r="A884" s="275" t="str">
        <f>IF(ISBLANK(INDEX('Policy Characteristics'!A:A,MATCH($C884,'Policy Characteristics'!$C:$C,0))),"",INDEX('Policy Characteristics'!A:A,MATCH($C884,'Policy Characteristics'!$C:$C,0)))</f>
        <v>Industry</v>
      </c>
      <c r="B884" s="284" t="str">
        <f>IF(ISBLANK(INDEX('Policy Characteristics'!B:B,MATCH($C884,'Policy Characteristics'!$C:$C,0))),"",INDEX('Policy Characteristics'!B:B,MATCH($C884,'Policy Characteristics'!$C:$C,0)))</f>
        <v>Hydrogen Combustion</v>
      </c>
      <c r="C884" s="275" t="str">
        <f t="shared" si="38"/>
        <v>Fraction of Eligible Industrial Energy Use Shifted to Hydrogen</v>
      </c>
      <c r="D884" s="6" t="s">
        <v>3084</v>
      </c>
      <c r="E884" s="1" t="s">
        <v>3547</v>
      </c>
      <c r="F884" t="s">
        <v>3046</v>
      </c>
      <c r="G884" s="47" t="s">
        <v>3554</v>
      </c>
      <c r="H884" s="44">
        <v>2146</v>
      </c>
      <c r="I884" s="346" t="s">
        <v>43</v>
      </c>
      <c r="J884" s="276" t="str">
        <f>IF(ISBLANK(INDEX('Policy Characteristics'!D:D,MATCH($C884,'Policy Characteristics'!$C:$C,0))),"",INDEX('Policy Characteristics'!D:D,MATCH($C884,'Policy Characteristics'!$C:$C,0)))</f>
        <v>Hydrogen Combustion</v>
      </c>
      <c r="K884" s="275" t="str">
        <f>IF(ISBLANK(INDEX('Policy Characteristics'!E:E,MATCH($C884,'Policy Characteristics'!$C:$C,0))),"",INDEX('Policy Characteristics'!E:E,MATCH($C884,'Policy Characteristics'!$C:$C,0)))</f>
        <v>indst shift to hydrogen</v>
      </c>
      <c r="L884" s="283">
        <f>IF(ISBLANK(INDEX('Policy Characteristics'!F:F,MATCH($C884,'Policy Characteristics'!$C:$C,0))),"",INDEX('Policy Characteristics'!F:F,MATCH($C884,'Policy Characteristics'!$C:$C,0)))</f>
        <v>0</v>
      </c>
      <c r="M884" s="283">
        <f>IF(ISBLANK(INDEX('Policy Characteristics'!G:G,MATCH($C884,'Policy Characteristics'!$C:$C,0))),"",INDEX('Policy Characteristics'!G:G,MATCH($C884,'Policy Characteristics'!$C:$C,0)))</f>
        <v>1</v>
      </c>
      <c r="N884" s="283">
        <f>IF(ISBLANK(INDEX('Policy Characteristics'!H:H,MATCH($C884,'Policy Characteristics'!$C:$C,0))),"",INDEX('Policy Characteristics'!H:H,MATCH($C884,'Policy Characteristics'!$C:$C,0)))</f>
        <v>0.01</v>
      </c>
      <c r="O884" s="275" t="str">
        <f>IF(ISBLANK(INDEX('Policy Characteristics'!I:I,MATCH($C884,'Policy Characteristics'!$C:$C,0))),"",INDEX('Policy Characteristics'!I:I,MATCH($C884,'Policy Characteristics'!$C:$C,0)))</f>
        <v>% of fuel shifted</v>
      </c>
      <c r="P884" s="275" t="str">
        <f>IF(ISBLANK(INDEX('Policy Characteristics'!J:J,MATCH($C884,'Policy Characteristics'!$C:$C,0))),"",INDEX('Policy Characteristics'!J:J,MATCH($C884,'Policy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4" s="275" t="str">
        <f>IF(ISBLANK(INDEX('Policy Characteristics'!K:K,MATCH($C884,'Policy Characteristics'!$C:$C,0))),"",INDEX('Policy Characteristics'!K:K,MATCH($C884,'Policy Characteristics'!$C:$C,0)))</f>
        <v>industry-ag-main.html#fuel-switching</v>
      </c>
      <c r="R884" s="275" t="str">
        <f>IF(ISBLANK(INDEX('Policy Characteristics'!L:L,MATCH($C884,'Policy Characteristics'!$C:$C,0))),"",INDEX('Policy Characteristics'!L:L,MATCH($C884,'Policy Characteristics'!$C:$C,0)))</f>
        <v>industry-elec-and-hydrogen.html</v>
      </c>
    </row>
    <row r="885" spans="1:18" s="2" customFormat="1" x14ac:dyDescent="0.25">
      <c r="A885" s="275" t="str">
        <f>IF(ISBLANK(INDEX('Policy Characteristics'!A:A,MATCH($C885,'Policy Characteristics'!$C:$C,0))),"",INDEX('Policy Characteristics'!A:A,MATCH($C885,'Policy Characteristics'!$C:$C,0)))</f>
        <v>Industry</v>
      </c>
      <c r="B885" s="284" t="str">
        <f>IF(ISBLANK(INDEX('Policy Characteristics'!B:B,MATCH($C885,'Policy Characteristics'!$C:$C,0))),"",INDEX('Policy Characteristics'!B:B,MATCH($C885,'Policy Characteristics'!$C:$C,0)))</f>
        <v>Hydrogen Combustion</v>
      </c>
      <c r="C885" s="275" t="str">
        <f t="shared" si="38"/>
        <v>Fraction of Eligible Industrial Energy Use Shifted to Hydrogen</v>
      </c>
      <c r="D885" s="6" t="s">
        <v>3084</v>
      </c>
      <c r="E885" s="1" t="s">
        <v>3548</v>
      </c>
      <c r="F885" t="s">
        <v>3046</v>
      </c>
      <c r="G885" s="47" t="s">
        <v>3555</v>
      </c>
      <c r="H885" s="44">
        <v>2147</v>
      </c>
      <c r="I885" s="346" t="s">
        <v>43</v>
      </c>
      <c r="J885" s="276" t="str">
        <f>IF(ISBLANK(INDEX('Policy Characteristics'!D:D,MATCH($C885,'Policy Characteristics'!$C:$C,0))),"",INDEX('Policy Characteristics'!D:D,MATCH($C885,'Policy Characteristics'!$C:$C,0)))</f>
        <v>Hydrogen Combustion</v>
      </c>
      <c r="K885" s="275" t="str">
        <f>IF(ISBLANK(INDEX('Policy Characteristics'!E:E,MATCH($C885,'Policy Characteristics'!$C:$C,0))),"",INDEX('Policy Characteristics'!E:E,MATCH($C885,'Policy Characteristics'!$C:$C,0)))</f>
        <v>indst shift to hydrogen</v>
      </c>
      <c r="L885" s="283">
        <f>IF(ISBLANK(INDEX('Policy Characteristics'!F:F,MATCH($C885,'Policy Characteristics'!$C:$C,0))),"",INDEX('Policy Characteristics'!F:F,MATCH($C885,'Policy Characteristics'!$C:$C,0)))</f>
        <v>0</v>
      </c>
      <c r="M885" s="283">
        <f>IF(ISBLANK(INDEX('Policy Characteristics'!G:G,MATCH($C885,'Policy Characteristics'!$C:$C,0))),"",INDEX('Policy Characteristics'!G:G,MATCH($C885,'Policy Characteristics'!$C:$C,0)))</f>
        <v>1</v>
      </c>
      <c r="N885" s="283">
        <f>IF(ISBLANK(INDEX('Policy Characteristics'!H:H,MATCH($C885,'Policy Characteristics'!$C:$C,0))),"",INDEX('Policy Characteristics'!H:H,MATCH($C885,'Policy Characteristics'!$C:$C,0)))</f>
        <v>0.01</v>
      </c>
      <c r="O885" s="275" t="str">
        <f>IF(ISBLANK(INDEX('Policy Characteristics'!I:I,MATCH($C885,'Policy Characteristics'!$C:$C,0))),"",INDEX('Policy Characteristics'!I:I,MATCH($C885,'Policy Characteristics'!$C:$C,0)))</f>
        <v>% of fuel shifted</v>
      </c>
      <c r="P885" s="275" t="str">
        <f>IF(ISBLANK(INDEX('Policy Characteristics'!J:J,MATCH($C885,'Policy Characteristics'!$C:$C,0))),"",INDEX('Policy Characteristics'!J:J,MATCH($C885,'Policy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5" s="275" t="str">
        <f>IF(ISBLANK(INDEX('Policy Characteristics'!K:K,MATCH($C885,'Policy Characteristics'!$C:$C,0))),"",INDEX('Policy Characteristics'!K:K,MATCH($C885,'Policy Characteristics'!$C:$C,0)))</f>
        <v>industry-ag-main.html#fuel-switching</v>
      </c>
      <c r="R885" s="275" t="str">
        <f>IF(ISBLANK(INDEX('Policy Characteristics'!L:L,MATCH($C885,'Policy Characteristics'!$C:$C,0))),"",INDEX('Policy Characteristics'!L:L,MATCH($C885,'Policy Characteristics'!$C:$C,0)))</f>
        <v>industry-elec-and-hydrogen.html</v>
      </c>
    </row>
    <row r="886" spans="1:18" s="2" customFormat="1" x14ac:dyDescent="0.25">
      <c r="A886" s="275" t="str">
        <f>IF(ISBLANK(INDEX('Policy Characteristics'!A:A,MATCH($C886,'Policy Characteristics'!$C:$C,0))),"",INDEX('Policy Characteristics'!A:A,MATCH($C886,'Policy Characteristics'!$C:$C,0)))</f>
        <v>Industry</v>
      </c>
      <c r="B886" s="284" t="str">
        <f>IF(ISBLANK(INDEX('Policy Characteristics'!B:B,MATCH($C886,'Policy Characteristics'!$C:$C,0))),"",INDEX('Policy Characteristics'!B:B,MATCH($C886,'Policy Characteristics'!$C:$C,0)))</f>
        <v>Hydrogen Combustion</v>
      </c>
      <c r="C886" s="275" t="str">
        <f t="shared" si="38"/>
        <v>Fraction of Eligible Industrial Energy Use Shifted to Hydrogen</v>
      </c>
      <c r="D886" s="6" t="s">
        <v>3084</v>
      </c>
      <c r="E886" s="1" t="s">
        <v>3549</v>
      </c>
      <c r="F886" t="s">
        <v>3046</v>
      </c>
      <c r="G886" s="47" t="s">
        <v>3556</v>
      </c>
      <c r="H886" s="44">
        <v>2148</v>
      </c>
      <c r="I886" s="346" t="s">
        <v>43</v>
      </c>
      <c r="J886" s="276" t="str">
        <f>IF(ISBLANK(INDEX('Policy Characteristics'!D:D,MATCH($C886,'Policy Characteristics'!$C:$C,0))),"",INDEX('Policy Characteristics'!D:D,MATCH($C886,'Policy Characteristics'!$C:$C,0)))</f>
        <v>Hydrogen Combustion</v>
      </c>
      <c r="K886" s="275" t="str">
        <f>IF(ISBLANK(INDEX('Policy Characteristics'!E:E,MATCH($C886,'Policy Characteristics'!$C:$C,0))),"",INDEX('Policy Characteristics'!E:E,MATCH($C886,'Policy Characteristics'!$C:$C,0)))</f>
        <v>indst shift to hydrogen</v>
      </c>
      <c r="L886" s="283">
        <f>IF(ISBLANK(INDEX('Policy Characteristics'!F:F,MATCH($C886,'Policy Characteristics'!$C:$C,0))),"",INDEX('Policy Characteristics'!F:F,MATCH($C886,'Policy Characteristics'!$C:$C,0)))</f>
        <v>0</v>
      </c>
      <c r="M886" s="283">
        <f>IF(ISBLANK(INDEX('Policy Characteristics'!G:G,MATCH($C886,'Policy Characteristics'!$C:$C,0))),"",INDEX('Policy Characteristics'!G:G,MATCH($C886,'Policy Characteristics'!$C:$C,0)))</f>
        <v>1</v>
      </c>
      <c r="N886" s="283">
        <f>IF(ISBLANK(INDEX('Policy Characteristics'!H:H,MATCH($C886,'Policy Characteristics'!$C:$C,0))),"",INDEX('Policy Characteristics'!H:H,MATCH($C886,'Policy Characteristics'!$C:$C,0)))</f>
        <v>0.01</v>
      </c>
      <c r="O886" s="275" t="str">
        <f>IF(ISBLANK(INDEX('Policy Characteristics'!I:I,MATCH($C886,'Policy Characteristics'!$C:$C,0))),"",INDEX('Policy Characteristics'!I:I,MATCH($C886,'Policy Characteristics'!$C:$C,0)))</f>
        <v>% of fuel shifted</v>
      </c>
      <c r="P886" s="275" t="str">
        <f>IF(ISBLANK(INDEX('Policy Characteristics'!J:J,MATCH($C886,'Policy Characteristics'!$C:$C,0))),"",INDEX('Policy Characteristics'!J:J,MATCH($C886,'Policy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6" s="275" t="str">
        <f>IF(ISBLANK(INDEX('Policy Characteristics'!K:K,MATCH($C886,'Policy Characteristics'!$C:$C,0))),"",INDEX('Policy Characteristics'!K:K,MATCH($C886,'Policy Characteristics'!$C:$C,0)))</f>
        <v>industry-ag-main.html#fuel-switching</v>
      </c>
      <c r="R886" s="275" t="str">
        <f>IF(ISBLANK(INDEX('Policy Characteristics'!L:L,MATCH($C886,'Policy Characteristics'!$C:$C,0))),"",INDEX('Policy Characteristics'!L:L,MATCH($C886,'Policy Characteristics'!$C:$C,0)))</f>
        <v>industry-elec-and-hydrogen.html</v>
      </c>
    </row>
    <row r="887" spans="1:18" s="2" customFormat="1" x14ac:dyDescent="0.25">
      <c r="A887" s="275" t="str">
        <f>IF(ISBLANK(INDEX('Policy Characteristics'!A:A,MATCH($C887,'Policy Characteristics'!$C:$C,0))),"",INDEX('Policy Characteristics'!A:A,MATCH($C887,'Policy Characteristics'!$C:$C,0)))</f>
        <v>Industry</v>
      </c>
      <c r="B887" s="284" t="str">
        <f>IF(ISBLANK(INDEX('Policy Characteristics'!B:B,MATCH($C887,'Policy Characteristics'!$C:$C,0))),"",INDEX('Policy Characteristics'!B:B,MATCH($C887,'Policy Characteristics'!$C:$C,0)))</f>
        <v>Hydrogen Combustion</v>
      </c>
      <c r="C887" s="275" t="str">
        <f t="shared" si="38"/>
        <v>Fraction of Eligible Industrial Energy Use Shifted to Hydrogen</v>
      </c>
      <c r="D887" s="6" t="s">
        <v>3084</v>
      </c>
      <c r="E887" s="1" t="s">
        <v>3550</v>
      </c>
      <c r="F887" t="s">
        <v>3046</v>
      </c>
      <c r="G887" s="47" t="s">
        <v>3557</v>
      </c>
      <c r="H887" s="44">
        <v>2149</v>
      </c>
      <c r="I887" s="346" t="s">
        <v>43</v>
      </c>
      <c r="J887" s="276" t="str">
        <f>IF(ISBLANK(INDEX('Policy Characteristics'!D:D,MATCH($C887,'Policy Characteristics'!$C:$C,0))),"",INDEX('Policy Characteristics'!D:D,MATCH($C887,'Policy Characteristics'!$C:$C,0)))</f>
        <v>Hydrogen Combustion</v>
      </c>
      <c r="K887" s="275" t="str">
        <f>IF(ISBLANK(INDEX('Policy Characteristics'!E:E,MATCH($C887,'Policy Characteristics'!$C:$C,0))),"",INDEX('Policy Characteristics'!E:E,MATCH($C887,'Policy Characteristics'!$C:$C,0)))</f>
        <v>indst shift to hydrogen</v>
      </c>
      <c r="L887" s="283">
        <f>IF(ISBLANK(INDEX('Policy Characteristics'!F:F,MATCH($C887,'Policy Characteristics'!$C:$C,0))),"",INDEX('Policy Characteristics'!F:F,MATCH($C887,'Policy Characteristics'!$C:$C,0)))</f>
        <v>0</v>
      </c>
      <c r="M887" s="283">
        <f>IF(ISBLANK(INDEX('Policy Characteristics'!G:G,MATCH($C887,'Policy Characteristics'!$C:$C,0))),"",INDEX('Policy Characteristics'!G:G,MATCH($C887,'Policy Characteristics'!$C:$C,0)))</f>
        <v>1</v>
      </c>
      <c r="N887" s="283">
        <f>IF(ISBLANK(INDEX('Policy Characteristics'!H:H,MATCH($C887,'Policy Characteristics'!$C:$C,0))),"",INDEX('Policy Characteristics'!H:H,MATCH($C887,'Policy Characteristics'!$C:$C,0)))</f>
        <v>0.01</v>
      </c>
      <c r="O887" s="275" t="str">
        <f>IF(ISBLANK(INDEX('Policy Characteristics'!I:I,MATCH($C887,'Policy Characteristics'!$C:$C,0))),"",INDEX('Policy Characteristics'!I:I,MATCH($C887,'Policy Characteristics'!$C:$C,0)))</f>
        <v>% of fuel shifted</v>
      </c>
      <c r="P887" s="275" t="str">
        <f>IF(ISBLANK(INDEX('Policy Characteristics'!J:J,MATCH($C887,'Policy Characteristics'!$C:$C,0))),"",INDEX('Policy Characteristics'!J:J,MATCH($C887,'Policy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7" s="275" t="str">
        <f>IF(ISBLANK(INDEX('Policy Characteristics'!K:K,MATCH($C887,'Policy Characteristics'!$C:$C,0))),"",INDEX('Policy Characteristics'!K:K,MATCH($C887,'Policy Characteristics'!$C:$C,0)))</f>
        <v>industry-ag-main.html#fuel-switching</v>
      </c>
      <c r="R887" s="275" t="str">
        <f>IF(ISBLANK(INDEX('Policy Characteristics'!L:L,MATCH($C887,'Policy Characteristics'!$C:$C,0))),"",INDEX('Policy Characteristics'!L:L,MATCH($C887,'Policy Characteristics'!$C:$C,0)))</f>
        <v>industry-elec-and-hydrogen.html</v>
      </c>
    </row>
    <row r="888" spans="1:18" s="2" customFormat="1" x14ac:dyDescent="0.25">
      <c r="A888" s="275" t="str">
        <f>IF(ISBLANK(INDEX('Policy Characteristics'!A:A,MATCH($C888,'Policy Characteristics'!$C:$C,0))),"",INDEX('Policy Characteristics'!A:A,MATCH($C888,'Policy Characteristics'!$C:$C,0)))</f>
        <v>Industry</v>
      </c>
      <c r="B888" s="284" t="str">
        <f>IF(ISBLANK(INDEX('Policy Characteristics'!B:B,MATCH($C888,'Policy Characteristics'!$C:$C,0))),"",INDEX('Policy Characteristics'!B:B,MATCH($C888,'Policy Characteristics'!$C:$C,0)))</f>
        <v>Hydrogen Combustion</v>
      </c>
      <c r="C888" s="275" t="str">
        <f t="shared" si="38"/>
        <v>Fraction of Eligible Industrial Energy Use Shifted to Hydrogen</v>
      </c>
      <c r="D888" s="6" t="s">
        <v>3084</v>
      </c>
      <c r="E888" s="1" t="s">
        <v>3551</v>
      </c>
      <c r="F888" t="s">
        <v>3046</v>
      </c>
      <c r="G888" s="47" t="s">
        <v>3558</v>
      </c>
      <c r="H888" s="44">
        <v>2150</v>
      </c>
      <c r="I888" s="346" t="s">
        <v>44</v>
      </c>
      <c r="J888" s="276" t="str">
        <f>IF(ISBLANK(INDEX('Policy Characteristics'!D:D,MATCH($C888,'Policy Characteristics'!$C:$C,0))),"",INDEX('Policy Characteristics'!D:D,MATCH($C888,'Policy Characteristics'!$C:$C,0)))</f>
        <v>Hydrogen Combustion</v>
      </c>
      <c r="K888" s="275" t="str">
        <f>IF(ISBLANK(INDEX('Policy Characteristics'!E:E,MATCH($C888,'Policy Characteristics'!$C:$C,0))),"",INDEX('Policy Characteristics'!E:E,MATCH($C888,'Policy Characteristics'!$C:$C,0)))</f>
        <v>indst shift to hydrogen</v>
      </c>
      <c r="L888" s="283">
        <f>IF(ISBLANK(INDEX('Policy Characteristics'!F:F,MATCH($C888,'Policy Characteristics'!$C:$C,0))),"",INDEX('Policy Characteristics'!F:F,MATCH($C888,'Policy Characteristics'!$C:$C,0)))</f>
        <v>0</v>
      </c>
      <c r="M888" s="283">
        <f>IF(ISBLANK(INDEX('Policy Characteristics'!G:G,MATCH($C888,'Policy Characteristics'!$C:$C,0))),"",INDEX('Policy Characteristics'!G:G,MATCH($C888,'Policy Characteristics'!$C:$C,0)))</f>
        <v>1</v>
      </c>
      <c r="N888" s="283">
        <f>IF(ISBLANK(INDEX('Policy Characteristics'!H:H,MATCH($C888,'Policy Characteristics'!$C:$C,0))),"",INDEX('Policy Characteristics'!H:H,MATCH($C888,'Policy Characteristics'!$C:$C,0)))</f>
        <v>0.01</v>
      </c>
      <c r="O888" s="275" t="str">
        <f>IF(ISBLANK(INDEX('Policy Characteristics'!I:I,MATCH($C888,'Policy Characteristics'!$C:$C,0))),"",INDEX('Policy Characteristics'!I:I,MATCH($C888,'Policy Characteristics'!$C:$C,0)))</f>
        <v>% of fuel shifted</v>
      </c>
      <c r="P888" s="275" t="str">
        <f>IF(ISBLANK(INDEX('Policy Characteristics'!J:J,MATCH($C888,'Policy Characteristics'!$C:$C,0))),"",INDEX('Policy Characteristics'!J:J,MATCH($C888,'Policy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8" s="275" t="str">
        <f>IF(ISBLANK(INDEX('Policy Characteristics'!K:K,MATCH($C888,'Policy Characteristics'!$C:$C,0))),"",INDEX('Policy Characteristics'!K:K,MATCH($C888,'Policy Characteristics'!$C:$C,0)))</f>
        <v>industry-ag-main.html#fuel-switching</v>
      </c>
      <c r="R888" s="275" t="str">
        <f>IF(ISBLANK(INDEX('Policy Characteristics'!L:L,MATCH($C888,'Policy Characteristics'!$C:$C,0))),"",INDEX('Policy Characteristics'!L:L,MATCH($C888,'Policy Characteristics'!$C:$C,0)))</f>
        <v>industry-elec-and-hydrogen.html</v>
      </c>
    </row>
    <row r="889" spans="1:18" s="2" customFormat="1" x14ac:dyDescent="0.25">
      <c r="A889" s="275" t="str">
        <f>IF(ISBLANK(INDEX('Policy Characteristics'!A:A,MATCH($C889,'Policy Characteristics'!$C:$C,0))),"",INDEX('Policy Characteristics'!A:A,MATCH($C889,'Policy Characteristics'!$C:$C,0)))</f>
        <v>Industry</v>
      </c>
      <c r="B889" s="284" t="str">
        <f>IF(ISBLANK(INDEX('Policy Characteristics'!B:B,MATCH($C889,'Policy Characteristics'!$C:$C,0))),"",INDEX('Policy Characteristics'!B:B,MATCH($C889,'Policy Characteristics'!$C:$C,0)))</f>
        <v>Hydrogen Combustion</v>
      </c>
      <c r="C889" s="275" t="str">
        <f t="shared" si="38"/>
        <v>Fraction of Eligible Industrial Energy Use Shifted to Hydrogen</v>
      </c>
      <c r="D889" s="6" t="s">
        <v>3084</v>
      </c>
      <c r="E889" s="1" t="s">
        <v>3552</v>
      </c>
      <c r="F889" t="s">
        <v>3046</v>
      </c>
      <c r="G889" s="47" t="s">
        <v>3559</v>
      </c>
      <c r="H889" s="44">
        <v>2151</v>
      </c>
      <c r="I889" s="346" t="s">
        <v>44</v>
      </c>
      <c r="J889" s="276" t="str">
        <f>IF(ISBLANK(INDEX('Policy Characteristics'!D:D,MATCH($C889,'Policy Characteristics'!$C:$C,0))),"",INDEX('Policy Characteristics'!D:D,MATCH($C889,'Policy Characteristics'!$C:$C,0)))</f>
        <v>Hydrogen Combustion</v>
      </c>
      <c r="K889" s="275" t="str">
        <f>IF(ISBLANK(INDEX('Policy Characteristics'!E:E,MATCH($C889,'Policy Characteristics'!$C:$C,0))),"",INDEX('Policy Characteristics'!E:E,MATCH($C889,'Policy Characteristics'!$C:$C,0)))</f>
        <v>indst shift to hydrogen</v>
      </c>
      <c r="L889" s="283">
        <f>IF(ISBLANK(INDEX('Policy Characteristics'!F:F,MATCH($C889,'Policy Characteristics'!$C:$C,0))),"",INDEX('Policy Characteristics'!F:F,MATCH($C889,'Policy Characteristics'!$C:$C,0)))</f>
        <v>0</v>
      </c>
      <c r="M889" s="283">
        <f>IF(ISBLANK(INDEX('Policy Characteristics'!G:G,MATCH($C889,'Policy Characteristics'!$C:$C,0))),"",INDEX('Policy Characteristics'!G:G,MATCH($C889,'Policy Characteristics'!$C:$C,0)))</f>
        <v>1</v>
      </c>
      <c r="N889" s="283">
        <f>IF(ISBLANK(INDEX('Policy Characteristics'!H:H,MATCH($C889,'Policy Characteristics'!$C:$C,0))),"",INDEX('Policy Characteristics'!H:H,MATCH($C889,'Policy Characteristics'!$C:$C,0)))</f>
        <v>0.01</v>
      </c>
      <c r="O889" s="275" t="str">
        <f>IF(ISBLANK(INDEX('Policy Characteristics'!I:I,MATCH($C889,'Policy Characteristics'!$C:$C,0))),"",INDEX('Policy Characteristics'!I:I,MATCH($C889,'Policy Characteristics'!$C:$C,0)))</f>
        <v>% of fuel shifted</v>
      </c>
      <c r="P889" s="275" t="str">
        <f>IF(ISBLANK(INDEX('Policy Characteristics'!J:J,MATCH($C889,'Policy Characteristics'!$C:$C,0))),"",INDEX('Policy Characteristics'!J:J,MATCH($C889,'Policy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9" s="275" t="str">
        <f>IF(ISBLANK(INDEX('Policy Characteristics'!K:K,MATCH($C889,'Policy Characteristics'!$C:$C,0))),"",INDEX('Policy Characteristics'!K:K,MATCH($C889,'Policy Characteristics'!$C:$C,0)))</f>
        <v>industry-ag-main.html#fuel-switching</v>
      </c>
      <c r="R889" s="275" t="str">
        <f>IF(ISBLANK(INDEX('Policy Characteristics'!L:L,MATCH($C889,'Policy Characteristics'!$C:$C,0))),"",INDEX('Policy Characteristics'!L:L,MATCH($C889,'Policy Characteristics'!$C:$C,0)))</f>
        <v>industry-elec-and-hydrogen.html</v>
      </c>
    </row>
    <row r="890" spans="1:18" s="2" customFormat="1" x14ac:dyDescent="0.25">
      <c r="A890" s="275" t="str">
        <f>IF(ISBLANK(INDEX('Policy Characteristics'!A:A,MATCH($C890,'Policy Characteristics'!$C:$C,0))),"",INDEX('Policy Characteristics'!A:A,MATCH($C890,'Policy Characteristics'!$C:$C,0)))</f>
        <v>Industry</v>
      </c>
      <c r="B890" s="284" t="str">
        <f>IF(ISBLANK(INDEX('Policy Characteristics'!B:B,MATCH($C890,'Policy Characteristics'!$C:$C,0))),"",INDEX('Policy Characteristics'!B:B,MATCH($C890,'Policy Characteristics'!$C:$C,0)))</f>
        <v>Hydrogen Combustion</v>
      </c>
      <c r="C890" s="275" t="str">
        <f t="shared" si="38"/>
        <v>Fraction of Eligible Industrial Energy Use Shifted to Hydrogen</v>
      </c>
      <c r="D890" s="6" t="s">
        <v>3084</v>
      </c>
      <c r="E890" s="1" t="s">
        <v>3553</v>
      </c>
      <c r="F890" t="s">
        <v>3046</v>
      </c>
      <c r="G890" s="47" t="s">
        <v>3560</v>
      </c>
      <c r="H890" s="44">
        <v>2152</v>
      </c>
      <c r="I890" s="346" t="s">
        <v>44</v>
      </c>
      <c r="J890" s="276" t="str">
        <f>IF(ISBLANK(INDEX('Policy Characteristics'!D:D,MATCH($C890,'Policy Characteristics'!$C:$C,0))),"",INDEX('Policy Characteristics'!D:D,MATCH($C890,'Policy Characteristics'!$C:$C,0)))</f>
        <v>Hydrogen Combustion</v>
      </c>
      <c r="K890" s="275" t="str">
        <f>IF(ISBLANK(INDEX('Policy Characteristics'!E:E,MATCH($C890,'Policy Characteristics'!$C:$C,0))),"",INDEX('Policy Characteristics'!E:E,MATCH($C890,'Policy Characteristics'!$C:$C,0)))</f>
        <v>indst shift to hydrogen</v>
      </c>
      <c r="L890" s="283">
        <f>IF(ISBLANK(INDEX('Policy Characteristics'!F:F,MATCH($C890,'Policy Characteristics'!$C:$C,0))),"",INDEX('Policy Characteristics'!F:F,MATCH($C890,'Policy Characteristics'!$C:$C,0)))</f>
        <v>0</v>
      </c>
      <c r="M890" s="283">
        <f>IF(ISBLANK(INDEX('Policy Characteristics'!G:G,MATCH($C890,'Policy Characteristics'!$C:$C,0))),"",INDEX('Policy Characteristics'!G:G,MATCH($C890,'Policy Characteristics'!$C:$C,0)))</f>
        <v>1</v>
      </c>
      <c r="N890" s="283">
        <f>IF(ISBLANK(INDEX('Policy Characteristics'!H:H,MATCH($C890,'Policy Characteristics'!$C:$C,0))),"",INDEX('Policy Characteristics'!H:H,MATCH($C890,'Policy Characteristics'!$C:$C,0)))</f>
        <v>0.01</v>
      </c>
      <c r="O890" s="275" t="str">
        <f>IF(ISBLANK(INDEX('Policy Characteristics'!I:I,MATCH($C890,'Policy Characteristics'!$C:$C,0))),"",INDEX('Policy Characteristics'!I:I,MATCH($C890,'Policy Characteristics'!$C:$C,0)))</f>
        <v>% of fuel shifted</v>
      </c>
      <c r="P890" s="275" t="str">
        <f>IF(ISBLANK(INDEX('Policy Characteristics'!J:J,MATCH($C890,'Policy Characteristics'!$C:$C,0))),"",INDEX('Policy Characteristics'!J:J,MATCH($C890,'Policy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0" s="275" t="str">
        <f>IF(ISBLANK(INDEX('Policy Characteristics'!K:K,MATCH($C890,'Policy Characteristics'!$C:$C,0))),"",INDEX('Policy Characteristics'!K:K,MATCH($C890,'Policy Characteristics'!$C:$C,0)))</f>
        <v>industry-ag-main.html#fuel-switching</v>
      </c>
      <c r="R890" s="275" t="str">
        <f>IF(ISBLANK(INDEX('Policy Characteristics'!L:L,MATCH($C890,'Policy Characteristics'!$C:$C,0))),"",INDEX('Policy Characteristics'!L:L,MATCH($C890,'Policy Characteristics'!$C:$C,0)))</f>
        <v>industry-elec-and-hydrogen.html</v>
      </c>
    </row>
    <row r="891" spans="1:18" s="2" customFormat="1" x14ac:dyDescent="0.25">
      <c r="A891" s="275" t="str">
        <f>IF(ISBLANK(INDEX('Policy Characteristics'!A:A,MATCH($C891,'Policy Characteristics'!$C:$C,0))),"",INDEX('Policy Characteristics'!A:A,MATCH($C891,'Policy Characteristics'!$C:$C,0)))</f>
        <v>Industry</v>
      </c>
      <c r="B891" s="284" t="str">
        <f>IF(ISBLANK(INDEX('Policy Characteristics'!B:B,MATCH($C891,'Policy Characteristics'!$C:$C,0))),"",INDEX('Policy Characteristics'!B:B,MATCH($C891,'Policy Characteristics'!$C:$C,0)))</f>
        <v>Hydrogen Combustion</v>
      </c>
      <c r="C891" s="275" t="str">
        <f t="shared" si="38"/>
        <v>Fraction of Eligible Industrial Energy Use Shifted to Hydrogen</v>
      </c>
      <c r="D891" s="6" t="s">
        <v>3084</v>
      </c>
      <c r="E891" s="1" t="s">
        <v>3737</v>
      </c>
      <c r="F891" t="s">
        <v>3046</v>
      </c>
      <c r="G891" s="47" t="s">
        <v>3738</v>
      </c>
      <c r="H891" s="44">
        <v>2153</v>
      </c>
      <c r="I891" s="346" t="s">
        <v>44</v>
      </c>
      <c r="J891" s="276" t="str">
        <f>IF(ISBLANK(INDEX('Policy Characteristics'!D:D,MATCH($C891,'Policy Characteristics'!$C:$C,0))),"",INDEX('Policy Characteristics'!D:D,MATCH($C891,'Policy Characteristics'!$C:$C,0)))</f>
        <v>Hydrogen Combustion</v>
      </c>
      <c r="K891" s="275" t="str">
        <f>IF(ISBLANK(INDEX('Policy Characteristics'!E:E,MATCH($C891,'Policy Characteristics'!$C:$C,0))),"",INDEX('Policy Characteristics'!E:E,MATCH($C891,'Policy Characteristics'!$C:$C,0)))</f>
        <v>indst shift to hydrogen</v>
      </c>
      <c r="L891" s="283">
        <f>IF(ISBLANK(INDEX('Policy Characteristics'!F:F,MATCH($C891,'Policy Characteristics'!$C:$C,0))),"",INDEX('Policy Characteristics'!F:F,MATCH($C891,'Policy Characteristics'!$C:$C,0)))</f>
        <v>0</v>
      </c>
      <c r="M891" s="283">
        <f>IF(ISBLANK(INDEX('Policy Characteristics'!G:G,MATCH($C891,'Policy Characteristics'!$C:$C,0))),"",INDEX('Policy Characteristics'!G:G,MATCH($C891,'Policy Characteristics'!$C:$C,0)))</f>
        <v>1</v>
      </c>
      <c r="N891" s="283">
        <f>IF(ISBLANK(INDEX('Policy Characteristics'!H:H,MATCH($C891,'Policy Characteristics'!$C:$C,0))),"",INDEX('Policy Characteristics'!H:H,MATCH($C891,'Policy Characteristics'!$C:$C,0)))</f>
        <v>0.01</v>
      </c>
      <c r="O891" s="275" t="str">
        <f>IF(ISBLANK(INDEX('Policy Characteristics'!I:I,MATCH($C891,'Policy Characteristics'!$C:$C,0))),"",INDEX('Policy Characteristics'!I:I,MATCH($C891,'Policy Characteristics'!$C:$C,0)))</f>
        <v>% of fuel shifted</v>
      </c>
      <c r="P891" s="275" t="str">
        <f>IF(ISBLANK(INDEX('Policy Characteristics'!J:J,MATCH($C891,'Policy Characteristics'!$C:$C,0))),"",INDEX('Policy Characteristics'!J:J,MATCH($C891,'Policy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1" s="275" t="str">
        <f>IF(ISBLANK(INDEX('Policy Characteristics'!K:K,MATCH($C891,'Policy Characteristics'!$C:$C,0))),"",INDEX('Policy Characteristics'!K:K,MATCH($C891,'Policy Characteristics'!$C:$C,0)))</f>
        <v>industry-ag-main.html#fuel-switching</v>
      </c>
      <c r="R891" s="275" t="str">
        <f>IF(ISBLANK(INDEX('Policy Characteristics'!L:L,MATCH($C891,'Policy Characteristics'!$C:$C,0))),"",INDEX('Policy Characteristics'!L:L,MATCH($C891,'Policy Characteristics'!$C:$C,0)))</f>
        <v>industry-elec-and-hydrogen.html</v>
      </c>
    </row>
    <row r="892" spans="1:18" s="2" customFormat="1" x14ac:dyDescent="0.25">
      <c r="A892" s="275" t="str">
        <f>IF(ISBLANK(INDEX('Policy Characteristics'!A:A,MATCH($C892,'Policy Characteristics'!$C:$C,0))),"",INDEX('Policy Characteristics'!A:A,MATCH($C892,'Policy Characteristics'!$C:$C,0)))</f>
        <v>Industry</v>
      </c>
      <c r="B892" s="284" t="str">
        <f>IF(ISBLANK(INDEX('Policy Characteristics'!B:B,MATCH($C892,'Policy Characteristics'!$C:$C,0))),"",INDEX('Policy Characteristics'!B:B,MATCH($C892,'Policy Characteristics'!$C:$C,0)))</f>
        <v>Hydrogen Combustion</v>
      </c>
      <c r="C892" s="275" t="str">
        <f t="shared" si="38"/>
        <v>Fraction of Eligible Industrial Energy Use Shifted to Hydrogen</v>
      </c>
      <c r="D892" s="6" t="s">
        <v>3085</v>
      </c>
      <c r="E892" s="1" t="s">
        <v>3547</v>
      </c>
      <c r="F892" t="s">
        <v>3047</v>
      </c>
      <c r="G892" s="47" t="s">
        <v>3554</v>
      </c>
      <c r="H892" s="44">
        <v>2154</v>
      </c>
      <c r="I892" s="346" t="s">
        <v>43</v>
      </c>
      <c r="J892" s="276" t="str">
        <f>IF(ISBLANK(INDEX('Policy Characteristics'!D:D,MATCH($C892,'Policy Characteristics'!$C:$C,0))),"",INDEX('Policy Characteristics'!D:D,MATCH($C892,'Policy Characteristics'!$C:$C,0)))</f>
        <v>Hydrogen Combustion</v>
      </c>
      <c r="K892" s="275" t="str">
        <f>IF(ISBLANK(INDEX('Policy Characteristics'!E:E,MATCH($C892,'Policy Characteristics'!$C:$C,0))),"",INDEX('Policy Characteristics'!E:E,MATCH($C892,'Policy Characteristics'!$C:$C,0)))</f>
        <v>indst shift to hydrogen</v>
      </c>
      <c r="L892" s="283">
        <f>IF(ISBLANK(INDEX('Policy Characteristics'!F:F,MATCH($C892,'Policy Characteristics'!$C:$C,0))),"",INDEX('Policy Characteristics'!F:F,MATCH($C892,'Policy Characteristics'!$C:$C,0)))</f>
        <v>0</v>
      </c>
      <c r="M892" s="283">
        <f>IF(ISBLANK(INDEX('Policy Characteristics'!G:G,MATCH($C892,'Policy Characteristics'!$C:$C,0))),"",INDEX('Policy Characteristics'!G:G,MATCH($C892,'Policy Characteristics'!$C:$C,0)))</f>
        <v>1</v>
      </c>
      <c r="N892" s="283">
        <f>IF(ISBLANK(INDEX('Policy Characteristics'!H:H,MATCH($C892,'Policy Characteristics'!$C:$C,0))),"",INDEX('Policy Characteristics'!H:H,MATCH($C892,'Policy Characteristics'!$C:$C,0)))</f>
        <v>0.01</v>
      </c>
      <c r="O892" s="275" t="str">
        <f>IF(ISBLANK(INDEX('Policy Characteristics'!I:I,MATCH($C892,'Policy Characteristics'!$C:$C,0))),"",INDEX('Policy Characteristics'!I:I,MATCH($C892,'Policy Characteristics'!$C:$C,0)))</f>
        <v>% of fuel shifted</v>
      </c>
      <c r="P892" s="275" t="str">
        <f>IF(ISBLANK(INDEX('Policy Characteristics'!J:J,MATCH($C892,'Policy Characteristics'!$C:$C,0))),"",INDEX('Policy Characteristics'!J:J,MATCH($C892,'Policy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2" s="275" t="str">
        <f>IF(ISBLANK(INDEX('Policy Characteristics'!K:K,MATCH($C892,'Policy Characteristics'!$C:$C,0))),"",INDEX('Policy Characteristics'!K:K,MATCH($C892,'Policy Characteristics'!$C:$C,0)))</f>
        <v>industry-ag-main.html#fuel-switching</v>
      </c>
      <c r="R892" s="275" t="str">
        <f>IF(ISBLANK(INDEX('Policy Characteristics'!L:L,MATCH($C892,'Policy Characteristics'!$C:$C,0))),"",INDEX('Policy Characteristics'!L:L,MATCH($C892,'Policy Characteristics'!$C:$C,0)))</f>
        <v>industry-elec-and-hydrogen.html</v>
      </c>
    </row>
    <row r="893" spans="1:18" s="2" customFormat="1" x14ac:dyDescent="0.25">
      <c r="A893" s="275" t="str">
        <f>IF(ISBLANK(INDEX('Policy Characteristics'!A:A,MATCH($C893,'Policy Characteristics'!$C:$C,0))),"",INDEX('Policy Characteristics'!A:A,MATCH($C893,'Policy Characteristics'!$C:$C,0)))</f>
        <v>Industry</v>
      </c>
      <c r="B893" s="284" t="str">
        <f>IF(ISBLANK(INDEX('Policy Characteristics'!B:B,MATCH($C893,'Policy Characteristics'!$C:$C,0))),"",INDEX('Policy Characteristics'!B:B,MATCH($C893,'Policy Characteristics'!$C:$C,0)))</f>
        <v>Hydrogen Combustion</v>
      </c>
      <c r="C893" s="275" t="str">
        <f t="shared" si="38"/>
        <v>Fraction of Eligible Industrial Energy Use Shifted to Hydrogen</v>
      </c>
      <c r="D893" s="6" t="s">
        <v>3085</v>
      </c>
      <c r="E893" s="1" t="s">
        <v>3548</v>
      </c>
      <c r="F893" t="s">
        <v>3047</v>
      </c>
      <c r="G893" s="47" t="s">
        <v>3555</v>
      </c>
      <c r="H893" s="44">
        <v>2155</v>
      </c>
      <c r="I893" s="346" t="s">
        <v>43</v>
      </c>
      <c r="J893" s="276" t="str">
        <f>IF(ISBLANK(INDEX('Policy Characteristics'!D:D,MATCH($C893,'Policy Characteristics'!$C:$C,0))),"",INDEX('Policy Characteristics'!D:D,MATCH($C893,'Policy Characteristics'!$C:$C,0)))</f>
        <v>Hydrogen Combustion</v>
      </c>
      <c r="K893" s="275" t="str">
        <f>IF(ISBLANK(INDEX('Policy Characteristics'!E:E,MATCH($C893,'Policy Characteristics'!$C:$C,0))),"",INDEX('Policy Characteristics'!E:E,MATCH($C893,'Policy Characteristics'!$C:$C,0)))</f>
        <v>indst shift to hydrogen</v>
      </c>
      <c r="L893" s="283">
        <f>IF(ISBLANK(INDEX('Policy Characteristics'!F:F,MATCH($C893,'Policy Characteristics'!$C:$C,0))),"",INDEX('Policy Characteristics'!F:F,MATCH($C893,'Policy Characteristics'!$C:$C,0)))</f>
        <v>0</v>
      </c>
      <c r="M893" s="283">
        <f>IF(ISBLANK(INDEX('Policy Characteristics'!G:G,MATCH($C893,'Policy Characteristics'!$C:$C,0))),"",INDEX('Policy Characteristics'!G:G,MATCH($C893,'Policy Characteristics'!$C:$C,0)))</f>
        <v>1</v>
      </c>
      <c r="N893" s="283">
        <f>IF(ISBLANK(INDEX('Policy Characteristics'!H:H,MATCH($C893,'Policy Characteristics'!$C:$C,0))),"",INDEX('Policy Characteristics'!H:H,MATCH($C893,'Policy Characteristics'!$C:$C,0)))</f>
        <v>0.01</v>
      </c>
      <c r="O893" s="275" t="str">
        <f>IF(ISBLANK(INDEX('Policy Characteristics'!I:I,MATCH($C893,'Policy Characteristics'!$C:$C,0))),"",INDEX('Policy Characteristics'!I:I,MATCH($C893,'Policy Characteristics'!$C:$C,0)))</f>
        <v>% of fuel shifted</v>
      </c>
      <c r="P893" s="275" t="str">
        <f>IF(ISBLANK(INDEX('Policy Characteristics'!J:J,MATCH($C893,'Policy Characteristics'!$C:$C,0))),"",INDEX('Policy Characteristics'!J:J,MATCH($C893,'Policy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3" s="275" t="str">
        <f>IF(ISBLANK(INDEX('Policy Characteristics'!K:K,MATCH($C893,'Policy Characteristics'!$C:$C,0))),"",INDEX('Policy Characteristics'!K:K,MATCH($C893,'Policy Characteristics'!$C:$C,0)))</f>
        <v>industry-ag-main.html#fuel-switching</v>
      </c>
      <c r="R893" s="275" t="str">
        <f>IF(ISBLANK(INDEX('Policy Characteristics'!L:L,MATCH($C893,'Policy Characteristics'!$C:$C,0))),"",INDEX('Policy Characteristics'!L:L,MATCH($C893,'Policy Characteristics'!$C:$C,0)))</f>
        <v>industry-elec-and-hydrogen.html</v>
      </c>
    </row>
    <row r="894" spans="1:18" s="2" customFormat="1" x14ac:dyDescent="0.25">
      <c r="A894" s="275" t="str">
        <f>IF(ISBLANK(INDEX('Policy Characteristics'!A:A,MATCH($C894,'Policy Characteristics'!$C:$C,0))),"",INDEX('Policy Characteristics'!A:A,MATCH($C894,'Policy Characteristics'!$C:$C,0)))</f>
        <v>Industry</v>
      </c>
      <c r="B894" s="284" t="str">
        <f>IF(ISBLANK(INDEX('Policy Characteristics'!B:B,MATCH($C894,'Policy Characteristics'!$C:$C,0))),"",INDEX('Policy Characteristics'!B:B,MATCH($C894,'Policy Characteristics'!$C:$C,0)))</f>
        <v>Hydrogen Combustion</v>
      </c>
      <c r="C894" s="275" t="str">
        <f t="shared" si="38"/>
        <v>Fraction of Eligible Industrial Energy Use Shifted to Hydrogen</v>
      </c>
      <c r="D894" s="6" t="s">
        <v>3085</v>
      </c>
      <c r="E894" s="1" t="s">
        <v>3549</v>
      </c>
      <c r="F894" t="s">
        <v>3047</v>
      </c>
      <c r="G894" s="47" t="s">
        <v>3556</v>
      </c>
      <c r="H894" s="44">
        <v>2156</v>
      </c>
      <c r="I894" s="346" t="s">
        <v>43</v>
      </c>
      <c r="J894" s="276" t="str">
        <f>IF(ISBLANK(INDEX('Policy Characteristics'!D:D,MATCH($C894,'Policy Characteristics'!$C:$C,0))),"",INDEX('Policy Characteristics'!D:D,MATCH($C894,'Policy Characteristics'!$C:$C,0)))</f>
        <v>Hydrogen Combustion</v>
      </c>
      <c r="K894" s="275" t="str">
        <f>IF(ISBLANK(INDEX('Policy Characteristics'!E:E,MATCH($C894,'Policy Characteristics'!$C:$C,0))),"",INDEX('Policy Characteristics'!E:E,MATCH($C894,'Policy Characteristics'!$C:$C,0)))</f>
        <v>indst shift to hydrogen</v>
      </c>
      <c r="L894" s="283">
        <f>IF(ISBLANK(INDEX('Policy Characteristics'!F:F,MATCH($C894,'Policy Characteristics'!$C:$C,0))),"",INDEX('Policy Characteristics'!F:F,MATCH($C894,'Policy Characteristics'!$C:$C,0)))</f>
        <v>0</v>
      </c>
      <c r="M894" s="283">
        <f>IF(ISBLANK(INDEX('Policy Characteristics'!G:G,MATCH($C894,'Policy Characteristics'!$C:$C,0))),"",INDEX('Policy Characteristics'!G:G,MATCH($C894,'Policy Characteristics'!$C:$C,0)))</f>
        <v>1</v>
      </c>
      <c r="N894" s="283">
        <f>IF(ISBLANK(INDEX('Policy Characteristics'!H:H,MATCH($C894,'Policy Characteristics'!$C:$C,0))),"",INDEX('Policy Characteristics'!H:H,MATCH($C894,'Policy Characteristics'!$C:$C,0)))</f>
        <v>0.01</v>
      </c>
      <c r="O894" s="275" t="str">
        <f>IF(ISBLANK(INDEX('Policy Characteristics'!I:I,MATCH($C894,'Policy Characteristics'!$C:$C,0))),"",INDEX('Policy Characteristics'!I:I,MATCH($C894,'Policy Characteristics'!$C:$C,0)))</f>
        <v>% of fuel shifted</v>
      </c>
      <c r="P894" s="275" t="str">
        <f>IF(ISBLANK(INDEX('Policy Characteristics'!J:J,MATCH($C894,'Policy Characteristics'!$C:$C,0))),"",INDEX('Policy Characteristics'!J:J,MATCH($C894,'Policy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4" s="275" t="str">
        <f>IF(ISBLANK(INDEX('Policy Characteristics'!K:K,MATCH($C894,'Policy Characteristics'!$C:$C,0))),"",INDEX('Policy Characteristics'!K:K,MATCH($C894,'Policy Characteristics'!$C:$C,0)))</f>
        <v>industry-ag-main.html#fuel-switching</v>
      </c>
      <c r="R894" s="275" t="str">
        <f>IF(ISBLANK(INDEX('Policy Characteristics'!L:L,MATCH($C894,'Policy Characteristics'!$C:$C,0))),"",INDEX('Policy Characteristics'!L:L,MATCH($C894,'Policy Characteristics'!$C:$C,0)))</f>
        <v>industry-elec-and-hydrogen.html</v>
      </c>
    </row>
    <row r="895" spans="1:18" s="2" customFormat="1" x14ac:dyDescent="0.25">
      <c r="A895" s="275" t="str">
        <f>IF(ISBLANK(INDEX('Policy Characteristics'!A:A,MATCH($C895,'Policy Characteristics'!$C:$C,0))),"",INDEX('Policy Characteristics'!A:A,MATCH($C895,'Policy Characteristics'!$C:$C,0)))</f>
        <v>Industry</v>
      </c>
      <c r="B895" s="284" t="str">
        <f>IF(ISBLANK(INDEX('Policy Characteristics'!B:B,MATCH($C895,'Policy Characteristics'!$C:$C,0))),"",INDEX('Policy Characteristics'!B:B,MATCH($C895,'Policy Characteristics'!$C:$C,0)))</f>
        <v>Hydrogen Combustion</v>
      </c>
      <c r="C895" s="275" t="str">
        <f t="shared" si="38"/>
        <v>Fraction of Eligible Industrial Energy Use Shifted to Hydrogen</v>
      </c>
      <c r="D895" s="6" t="s">
        <v>3085</v>
      </c>
      <c r="E895" s="1" t="s">
        <v>3550</v>
      </c>
      <c r="F895" t="s">
        <v>3047</v>
      </c>
      <c r="G895" s="47" t="s">
        <v>3557</v>
      </c>
      <c r="H895" s="44">
        <v>2157</v>
      </c>
      <c r="I895" s="346" t="s">
        <v>43</v>
      </c>
      <c r="J895" s="276" t="str">
        <f>IF(ISBLANK(INDEX('Policy Characteristics'!D:D,MATCH($C895,'Policy Characteristics'!$C:$C,0))),"",INDEX('Policy Characteristics'!D:D,MATCH($C895,'Policy Characteristics'!$C:$C,0)))</f>
        <v>Hydrogen Combustion</v>
      </c>
      <c r="K895" s="275" t="str">
        <f>IF(ISBLANK(INDEX('Policy Characteristics'!E:E,MATCH($C895,'Policy Characteristics'!$C:$C,0))),"",INDEX('Policy Characteristics'!E:E,MATCH($C895,'Policy Characteristics'!$C:$C,0)))</f>
        <v>indst shift to hydrogen</v>
      </c>
      <c r="L895" s="283">
        <f>IF(ISBLANK(INDEX('Policy Characteristics'!F:F,MATCH($C895,'Policy Characteristics'!$C:$C,0))),"",INDEX('Policy Characteristics'!F:F,MATCH($C895,'Policy Characteristics'!$C:$C,0)))</f>
        <v>0</v>
      </c>
      <c r="M895" s="283">
        <f>IF(ISBLANK(INDEX('Policy Characteristics'!G:G,MATCH($C895,'Policy Characteristics'!$C:$C,0))),"",INDEX('Policy Characteristics'!G:G,MATCH($C895,'Policy Characteristics'!$C:$C,0)))</f>
        <v>1</v>
      </c>
      <c r="N895" s="283">
        <f>IF(ISBLANK(INDEX('Policy Characteristics'!H:H,MATCH($C895,'Policy Characteristics'!$C:$C,0))),"",INDEX('Policy Characteristics'!H:H,MATCH($C895,'Policy Characteristics'!$C:$C,0)))</f>
        <v>0.01</v>
      </c>
      <c r="O895" s="275" t="str">
        <f>IF(ISBLANK(INDEX('Policy Characteristics'!I:I,MATCH($C895,'Policy Characteristics'!$C:$C,0))),"",INDEX('Policy Characteristics'!I:I,MATCH($C895,'Policy Characteristics'!$C:$C,0)))</f>
        <v>% of fuel shifted</v>
      </c>
      <c r="P895" s="275" t="str">
        <f>IF(ISBLANK(INDEX('Policy Characteristics'!J:J,MATCH($C895,'Policy Characteristics'!$C:$C,0))),"",INDEX('Policy Characteristics'!J:J,MATCH($C895,'Policy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5" s="275" t="str">
        <f>IF(ISBLANK(INDEX('Policy Characteristics'!K:K,MATCH($C895,'Policy Characteristics'!$C:$C,0))),"",INDEX('Policy Characteristics'!K:K,MATCH($C895,'Policy Characteristics'!$C:$C,0)))</f>
        <v>industry-ag-main.html#fuel-switching</v>
      </c>
      <c r="R895" s="275" t="str">
        <f>IF(ISBLANK(INDEX('Policy Characteristics'!L:L,MATCH($C895,'Policy Characteristics'!$C:$C,0))),"",INDEX('Policy Characteristics'!L:L,MATCH($C895,'Policy Characteristics'!$C:$C,0)))</f>
        <v>industry-elec-and-hydrogen.html</v>
      </c>
    </row>
    <row r="896" spans="1:18" s="2" customFormat="1" x14ac:dyDescent="0.25">
      <c r="A896" s="275" t="str">
        <f>IF(ISBLANK(INDEX('Policy Characteristics'!A:A,MATCH($C896,'Policy Characteristics'!$C:$C,0))),"",INDEX('Policy Characteristics'!A:A,MATCH($C896,'Policy Characteristics'!$C:$C,0)))</f>
        <v>Industry</v>
      </c>
      <c r="B896" s="284" t="str">
        <f>IF(ISBLANK(INDEX('Policy Characteristics'!B:B,MATCH($C896,'Policy Characteristics'!$C:$C,0))),"",INDEX('Policy Characteristics'!B:B,MATCH($C896,'Policy Characteristics'!$C:$C,0)))</f>
        <v>Hydrogen Combustion</v>
      </c>
      <c r="C896" s="275" t="str">
        <f t="shared" si="38"/>
        <v>Fraction of Eligible Industrial Energy Use Shifted to Hydrogen</v>
      </c>
      <c r="D896" s="6" t="s">
        <v>3085</v>
      </c>
      <c r="E896" s="1" t="s">
        <v>3551</v>
      </c>
      <c r="F896" t="s">
        <v>3047</v>
      </c>
      <c r="G896" s="47" t="s">
        <v>3558</v>
      </c>
      <c r="H896" s="44">
        <v>2158</v>
      </c>
      <c r="I896" s="346" t="s">
        <v>44</v>
      </c>
      <c r="J896" s="276" t="str">
        <f>IF(ISBLANK(INDEX('Policy Characteristics'!D:D,MATCH($C896,'Policy Characteristics'!$C:$C,0))),"",INDEX('Policy Characteristics'!D:D,MATCH($C896,'Policy Characteristics'!$C:$C,0)))</f>
        <v>Hydrogen Combustion</v>
      </c>
      <c r="K896" s="275" t="str">
        <f>IF(ISBLANK(INDEX('Policy Characteristics'!E:E,MATCH($C896,'Policy Characteristics'!$C:$C,0))),"",INDEX('Policy Characteristics'!E:E,MATCH($C896,'Policy Characteristics'!$C:$C,0)))</f>
        <v>indst shift to hydrogen</v>
      </c>
      <c r="L896" s="283">
        <f>IF(ISBLANK(INDEX('Policy Characteristics'!F:F,MATCH($C896,'Policy Characteristics'!$C:$C,0))),"",INDEX('Policy Characteristics'!F:F,MATCH($C896,'Policy Characteristics'!$C:$C,0)))</f>
        <v>0</v>
      </c>
      <c r="M896" s="283">
        <f>IF(ISBLANK(INDEX('Policy Characteristics'!G:G,MATCH($C896,'Policy Characteristics'!$C:$C,0))),"",INDEX('Policy Characteristics'!G:G,MATCH($C896,'Policy Characteristics'!$C:$C,0)))</f>
        <v>1</v>
      </c>
      <c r="N896" s="283">
        <f>IF(ISBLANK(INDEX('Policy Characteristics'!H:H,MATCH($C896,'Policy Characteristics'!$C:$C,0))),"",INDEX('Policy Characteristics'!H:H,MATCH($C896,'Policy Characteristics'!$C:$C,0)))</f>
        <v>0.01</v>
      </c>
      <c r="O896" s="275" t="str">
        <f>IF(ISBLANK(INDEX('Policy Characteristics'!I:I,MATCH($C896,'Policy Characteristics'!$C:$C,0))),"",INDEX('Policy Characteristics'!I:I,MATCH($C896,'Policy Characteristics'!$C:$C,0)))</f>
        <v>% of fuel shifted</v>
      </c>
      <c r="P896" s="275" t="str">
        <f>IF(ISBLANK(INDEX('Policy Characteristics'!J:J,MATCH($C896,'Policy Characteristics'!$C:$C,0))),"",INDEX('Policy Characteristics'!J:J,MATCH($C896,'Policy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6" s="275" t="str">
        <f>IF(ISBLANK(INDEX('Policy Characteristics'!K:K,MATCH($C896,'Policy Characteristics'!$C:$C,0))),"",INDEX('Policy Characteristics'!K:K,MATCH($C896,'Policy Characteristics'!$C:$C,0)))</f>
        <v>industry-ag-main.html#fuel-switching</v>
      </c>
      <c r="R896" s="275" t="str">
        <f>IF(ISBLANK(INDEX('Policy Characteristics'!L:L,MATCH($C896,'Policy Characteristics'!$C:$C,0))),"",INDEX('Policy Characteristics'!L:L,MATCH($C896,'Policy Characteristics'!$C:$C,0)))</f>
        <v>industry-elec-and-hydrogen.html</v>
      </c>
    </row>
    <row r="897" spans="1:18" s="2" customFormat="1" x14ac:dyDescent="0.25">
      <c r="A897" s="275" t="str">
        <f>IF(ISBLANK(INDEX('Policy Characteristics'!A:A,MATCH($C897,'Policy Characteristics'!$C:$C,0))),"",INDEX('Policy Characteristics'!A:A,MATCH($C897,'Policy Characteristics'!$C:$C,0)))</f>
        <v>Industry</v>
      </c>
      <c r="B897" s="284" t="str">
        <f>IF(ISBLANK(INDEX('Policy Characteristics'!B:B,MATCH($C897,'Policy Characteristics'!$C:$C,0))),"",INDEX('Policy Characteristics'!B:B,MATCH($C897,'Policy Characteristics'!$C:$C,0)))</f>
        <v>Hydrogen Combustion</v>
      </c>
      <c r="C897" s="275" t="str">
        <f t="shared" si="38"/>
        <v>Fraction of Eligible Industrial Energy Use Shifted to Hydrogen</v>
      </c>
      <c r="D897" s="6" t="s">
        <v>3085</v>
      </c>
      <c r="E897" s="1" t="s">
        <v>3552</v>
      </c>
      <c r="F897" t="s">
        <v>3047</v>
      </c>
      <c r="G897" s="47" t="s">
        <v>3559</v>
      </c>
      <c r="H897" s="44">
        <v>2159</v>
      </c>
      <c r="I897" s="346" t="s">
        <v>44</v>
      </c>
      <c r="J897" s="276" t="str">
        <f>IF(ISBLANK(INDEX('Policy Characteristics'!D:D,MATCH($C897,'Policy Characteristics'!$C:$C,0))),"",INDEX('Policy Characteristics'!D:D,MATCH($C897,'Policy Characteristics'!$C:$C,0)))</f>
        <v>Hydrogen Combustion</v>
      </c>
      <c r="K897" s="275" t="str">
        <f>IF(ISBLANK(INDEX('Policy Characteristics'!E:E,MATCH($C897,'Policy Characteristics'!$C:$C,0))),"",INDEX('Policy Characteristics'!E:E,MATCH($C897,'Policy Characteristics'!$C:$C,0)))</f>
        <v>indst shift to hydrogen</v>
      </c>
      <c r="L897" s="283">
        <f>IF(ISBLANK(INDEX('Policy Characteristics'!F:F,MATCH($C897,'Policy Characteristics'!$C:$C,0))),"",INDEX('Policy Characteristics'!F:F,MATCH($C897,'Policy Characteristics'!$C:$C,0)))</f>
        <v>0</v>
      </c>
      <c r="M897" s="283">
        <f>IF(ISBLANK(INDEX('Policy Characteristics'!G:G,MATCH($C897,'Policy Characteristics'!$C:$C,0))),"",INDEX('Policy Characteristics'!G:G,MATCH($C897,'Policy Characteristics'!$C:$C,0)))</f>
        <v>1</v>
      </c>
      <c r="N897" s="283">
        <f>IF(ISBLANK(INDEX('Policy Characteristics'!H:H,MATCH($C897,'Policy Characteristics'!$C:$C,0))),"",INDEX('Policy Characteristics'!H:H,MATCH($C897,'Policy Characteristics'!$C:$C,0)))</f>
        <v>0.01</v>
      </c>
      <c r="O897" s="275" t="str">
        <f>IF(ISBLANK(INDEX('Policy Characteristics'!I:I,MATCH($C897,'Policy Characteristics'!$C:$C,0))),"",INDEX('Policy Characteristics'!I:I,MATCH($C897,'Policy Characteristics'!$C:$C,0)))</f>
        <v>% of fuel shifted</v>
      </c>
      <c r="P897" s="275" t="str">
        <f>IF(ISBLANK(INDEX('Policy Characteristics'!J:J,MATCH($C897,'Policy Characteristics'!$C:$C,0))),"",INDEX('Policy Characteristics'!J:J,MATCH($C897,'Policy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7" s="275" t="str">
        <f>IF(ISBLANK(INDEX('Policy Characteristics'!K:K,MATCH($C897,'Policy Characteristics'!$C:$C,0))),"",INDEX('Policy Characteristics'!K:K,MATCH($C897,'Policy Characteristics'!$C:$C,0)))</f>
        <v>industry-ag-main.html#fuel-switching</v>
      </c>
      <c r="R897" s="275" t="str">
        <f>IF(ISBLANK(INDEX('Policy Characteristics'!L:L,MATCH($C897,'Policy Characteristics'!$C:$C,0))),"",INDEX('Policy Characteristics'!L:L,MATCH($C897,'Policy Characteristics'!$C:$C,0)))</f>
        <v>industry-elec-and-hydrogen.html</v>
      </c>
    </row>
    <row r="898" spans="1:18" s="2" customFormat="1" x14ac:dyDescent="0.25">
      <c r="A898" s="275" t="str">
        <f>IF(ISBLANK(INDEX('Policy Characteristics'!A:A,MATCH($C898,'Policy Characteristics'!$C:$C,0))),"",INDEX('Policy Characteristics'!A:A,MATCH($C898,'Policy Characteristics'!$C:$C,0)))</f>
        <v>Industry</v>
      </c>
      <c r="B898" s="284" t="str">
        <f>IF(ISBLANK(INDEX('Policy Characteristics'!B:B,MATCH($C898,'Policy Characteristics'!$C:$C,0))),"",INDEX('Policy Characteristics'!B:B,MATCH($C898,'Policy Characteristics'!$C:$C,0)))</f>
        <v>Hydrogen Combustion</v>
      </c>
      <c r="C898" s="275" t="str">
        <f t="shared" si="38"/>
        <v>Fraction of Eligible Industrial Energy Use Shifted to Hydrogen</v>
      </c>
      <c r="D898" s="6" t="s">
        <v>3085</v>
      </c>
      <c r="E898" s="1" t="s">
        <v>3553</v>
      </c>
      <c r="F898" t="s">
        <v>3047</v>
      </c>
      <c r="G898" s="47" t="s">
        <v>3560</v>
      </c>
      <c r="H898" s="44">
        <v>2160</v>
      </c>
      <c r="I898" s="346" t="s">
        <v>44</v>
      </c>
      <c r="J898" s="276" t="str">
        <f>IF(ISBLANK(INDEX('Policy Characteristics'!D:D,MATCH($C898,'Policy Characteristics'!$C:$C,0))),"",INDEX('Policy Characteristics'!D:D,MATCH($C898,'Policy Characteristics'!$C:$C,0)))</f>
        <v>Hydrogen Combustion</v>
      </c>
      <c r="K898" s="275" t="str">
        <f>IF(ISBLANK(INDEX('Policy Characteristics'!E:E,MATCH($C898,'Policy Characteristics'!$C:$C,0))),"",INDEX('Policy Characteristics'!E:E,MATCH($C898,'Policy Characteristics'!$C:$C,0)))</f>
        <v>indst shift to hydrogen</v>
      </c>
      <c r="L898" s="283">
        <f>IF(ISBLANK(INDEX('Policy Characteristics'!F:F,MATCH($C898,'Policy Characteristics'!$C:$C,0))),"",INDEX('Policy Characteristics'!F:F,MATCH($C898,'Policy Characteristics'!$C:$C,0)))</f>
        <v>0</v>
      </c>
      <c r="M898" s="283">
        <f>IF(ISBLANK(INDEX('Policy Characteristics'!G:G,MATCH($C898,'Policy Characteristics'!$C:$C,0))),"",INDEX('Policy Characteristics'!G:G,MATCH($C898,'Policy Characteristics'!$C:$C,0)))</f>
        <v>1</v>
      </c>
      <c r="N898" s="283">
        <f>IF(ISBLANK(INDEX('Policy Characteristics'!H:H,MATCH($C898,'Policy Characteristics'!$C:$C,0))),"",INDEX('Policy Characteristics'!H:H,MATCH($C898,'Policy Characteristics'!$C:$C,0)))</f>
        <v>0.01</v>
      </c>
      <c r="O898" s="275" t="str">
        <f>IF(ISBLANK(INDEX('Policy Characteristics'!I:I,MATCH($C898,'Policy Characteristics'!$C:$C,0))),"",INDEX('Policy Characteristics'!I:I,MATCH($C898,'Policy Characteristics'!$C:$C,0)))</f>
        <v>% of fuel shifted</v>
      </c>
      <c r="P898" s="275" t="str">
        <f>IF(ISBLANK(INDEX('Policy Characteristics'!J:J,MATCH($C898,'Policy Characteristics'!$C:$C,0))),"",INDEX('Policy Characteristics'!J:J,MATCH($C898,'Policy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8" s="275" t="str">
        <f>IF(ISBLANK(INDEX('Policy Characteristics'!K:K,MATCH($C898,'Policy Characteristics'!$C:$C,0))),"",INDEX('Policy Characteristics'!K:K,MATCH($C898,'Policy Characteristics'!$C:$C,0)))</f>
        <v>industry-ag-main.html#fuel-switching</v>
      </c>
      <c r="R898" s="275" t="str">
        <f>IF(ISBLANK(INDEX('Policy Characteristics'!L:L,MATCH($C898,'Policy Characteristics'!$C:$C,0))),"",INDEX('Policy Characteristics'!L:L,MATCH($C898,'Policy Characteristics'!$C:$C,0)))</f>
        <v>industry-elec-and-hydrogen.html</v>
      </c>
    </row>
    <row r="899" spans="1:18" s="2" customFormat="1" x14ac:dyDescent="0.25">
      <c r="A899" s="275" t="str">
        <f>IF(ISBLANK(INDEX('Policy Characteristics'!A:A,MATCH($C899,'Policy Characteristics'!$C:$C,0))),"",INDEX('Policy Characteristics'!A:A,MATCH($C899,'Policy Characteristics'!$C:$C,0)))</f>
        <v>Industry</v>
      </c>
      <c r="B899" s="284" t="str">
        <f>IF(ISBLANK(INDEX('Policy Characteristics'!B:B,MATCH($C899,'Policy Characteristics'!$C:$C,0))),"",INDEX('Policy Characteristics'!B:B,MATCH($C899,'Policy Characteristics'!$C:$C,0)))</f>
        <v>Hydrogen Combustion</v>
      </c>
      <c r="C899" s="275" t="str">
        <f t="shared" si="38"/>
        <v>Fraction of Eligible Industrial Energy Use Shifted to Hydrogen</v>
      </c>
      <c r="D899" s="6" t="s">
        <v>3085</v>
      </c>
      <c r="E899" s="1" t="s">
        <v>3737</v>
      </c>
      <c r="F899" t="s">
        <v>3047</v>
      </c>
      <c r="G899" s="47" t="s">
        <v>3738</v>
      </c>
      <c r="H899" s="44">
        <v>2161</v>
      </c>
      <c r="I899" s="346" t="s">
        <v>44</v>
      </c>
      <c r="J899" s="276" t="str">
        <f>IF(ISBLANK(INDEX('Policy Characteristics'!D:D,MATCH($C899,'Policy Characteristics'!$C:$C,0))),"",INDEX('Policy Characteristics'!D:D,MATCH($C899,'Policy Characteristics'!$C:$C,0)))</f>
        <v>Hydrogen Combustion</v>
      </c>
      <c r="K899" s="275" t="str">
        <f>IF(ISBLANK(INDEX('Policy Characteristics'!E:E,MATCH($C899,'Policy Characteristics'!$C:$C,0))),"",INDEX('Policy Characteristics'!E:E,MATCH($C899,'Policy Characteristics'!$C:$C,0)))</f>
        <v>indst shift to hydrogen</v>
      </c>
      <c r="L899" s="283">
        <f>IF(ISBLANK(INDEX('Policy Characteristics'!F:F,MATCH($C899,'Policy Characteristics'!$C:$C,0))),"",INDEX('Policy Characteristics'!F:F,MATCH($C899,'Policy Characteristics'!$C:$C,0)))</f>
        <v>0</v>
      </c>
      <c r="M899" s="283">
        <f>IF(ISBLANK(INDEX('Policy Characteristics'!G:G,MATCH($C899,'Policy Characteristics'!$C:$C,0))),"",INDEX('Policy Characteristics'!G:G,MATCH($C899,'Policy Characteristics'!$C:$C,0)))</f>
        <v>1</v>
      </c>
      <c r="N899" s="283">
        <f>IF(ISBLANK(INDEX('Policy Characteristics'!H:H,MATCH($C899,'Policy Characteristics'!$C:$C,0))),"",INDEX('Policy Characteristics'!H:H,MATCH($C899,'Policy Characteristics'!$C:$C,0)))</f>
        <v>0.01</v>
      </c>
      <c r="O899" s="275" t="str">
        <f>IF(ISBLANK(INDEX('Policy Characteristics'!I:I,MATCH($C899,'Policy Characteristics'!$C:$C,0))),"",INDEX('Policy Characteristics'!I:I,MATCH($C899,'Policy Characteristics'!$C:$C,0)))</f>
        <v>% of fuel shifted</v>
      </c>
      <c r="P899" s="275" t="str">
        <f>IF(ISBLANK(INDEX('Policy Characteristics'!J:J,MATCH($C899,'Policy Characteristics'!$C:$C,0))),"",INDEX('Policy Characteristics'!J:J,MATCH($C899,'Policy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9" s="275" t="str">
        <f>IF(ISBLANK(INDEX('Policy Characteristics'!K:K,MATCH($C899,'Policy Characteristics'!$C:$C,0))),"",INDEX('Policy Characteristics'!K:K,MATCH($C899,'Policy Characteristics'!$C:$C,0)))</f>
        <v>industry-ag-main.html#fuel-switching</v>
      </c>
      <c r="R899" s="275" t="str">
        <f>IF(ISBLANK(INDEX('Policy Characteristics'!L:L,MATCH($C899,'Policy Characteristics'!$C:$C,0))),"",INDEX('Policy Characteristics'!L:L,MATCH($C899,'Policy Characteristics'!$C:$C,0)))</f>
        <v>industry-elec-and-hydrogen.html</v>
      </c>
    </row>
    <row r="900" spans="1:18" s="2" customFormat="1" x14ac:dyDescent="0.25">
      <c r="A900" s="275" t="str">
        <f>IF(ISBLANK(INDEX('Policy Characteristics'!A:A,MATCH($C900,'Policy Characteristics'!$C:$C,0))),"",INDEX('Policy Characteristics'!A:A,MATCH($C900,'Policy Characteristics'!$C:$C,0)))</f>
        <v>Industry</v>
      </c>
      <c r="B900" s="284" t="str">
        <f>IF(ISBLANK(INDEX('Policy Characteristics'!B:B,MATCH($C900,'Policy Characteristics'!$C:$C,0))),"",INDEX('Policy Characteristics'!B:B,MATCH($C900,'Policy Characteristics'!$C:$C,0)))</f>
        <v>Hydrogen Combustion</v>
      </c>
      <c r="C900" s="275" t="str">
        <f t="shared" si="38"/>
        <v>Fraction of Eligible Industrial Energy Use Shifted to Hydrogen</v>
      </c>
      <c r="D900" s="6" t="s">
        <v>3086</v>
      </c>
      <c r="E900" s="1" t="s">
        <v>3547</v>
      </c>
      <c r="F900" t="s">
        <v>3048</v>
      </c>
      <c r="G900" s="47" t="s">
        <v>3554</v>
      </c>
      <c r="H900" s="44">
        <v>2162</v>
      </c>
      <c r="I900" s="346" t="s">
        <v>43</v>
      </c>
      <c r="J900" s="276" t="str">
        <f>IF(ISBLANK(INDEX('Policy Characteristics'!D:D,MATCH($C900,'Policy Characteristics'!$C:$C,0))),"",INDEX('Policy Characteristics'!D:D,MATCH($C900,'Policy Characteristics'!$C:$C,0)))</f>
        <v>Hydrogen Combustion</v>
      </c>
      <c r="K900" s="275" t="str">
        <f>IF(ISBLANK(INDEX('Policy Characteristics'!E:E,MATCH($C900,'Policy Characteristics'!$C:$C,0))),"",INDEX('Policy Characteristics'!E:E,MATCH($C900,'Policy Characteristics'!$C:$C,0)))</f>
        <v>indst shift to hydrogen</v>
      </c>
      <c r="L900" s="283">
        <f>IF(ISBLANK(INDEX('Policy Characteristics'!F:F,MATCH($C900,'Policy Characteristics'!$C:$C,0))),"",INDEX('Policy Characteristics'!F:F,MATCH($C900,'Policy Characteristics'!$C:$C,0)))</f>
        <v>0</v>
      </c>
      <c r="M900" s="283">
        <f>IF(ISBLANK(INDEX('Policy Characteristics'!G:G,MATCH($C900,'Policy Characteristics'!$C:$C,0))),"",INDEX('Policy Characteristics'!G:G,MATCH($C900,'Policy Characteristics'!$C:$C,0)))</f>
        <v>1</v>
      </c>
      <c r="N900" s="283">
        <f>IF(ISBLANK(INDEX('Policy Characteristics'!H:H,MATCH($C900,'Policy Characteristics'!$C:$C,0))),"",INDEX('Policy Characteristics'!H:H,MATCH($C900,'Policy Characteristics'!$C:$C,0)))</f>
        <v>0.01</v>
      </c>
      <c r="O900" s="275" t="str">
        <f>IF(ISBLANK(INDEX('Policy Characteristics'!I:I,MATCH($C900,'Policy Characteristics'!$C:$C,0))),"",INDEX('Policy Characteristics'!I:I,MATCH($C900,'Policy Characteristics'!$C:$C,0)))</f>
        <v>% of fuel shifted</v>
      </c>
      <c r="P900" s="275" t="str">
        <f>IF(ISBLANK(INDEX('Policy Characteristics'!J:J,MATCH($C900,'Policy Characteristics'!$C:$C,0))),"",INDEX('Policy Characteristics'!J:J,MATCH($C900,'Policy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0" s="275" t="str">
        <f>IF(ISBLANK(INDEX('Policy Characteristics'!K:K,MATCH($C900,'Policy Characteristics'!$C:$C,0))),"",INDEX('Policy Characteristics'!K:K,MATCH($C900,'Policy Characteristics'!$C:$C,0)))</f>
        <v>industry-ag-main.html#fuel-switching</v>
      </c>
      <c r="R900" s="275" t="str">
        <f>IF(ISBLANK(INDEX('Policy Characteristics'!L:L,MATCH($C900,'Policy Characteristics'!$C:$C,0))),"",INDEX('Policy Characteristics'!L:L,MATCH($C900,'Policy Characteristics'!$C:$C,0)))</f>
        <v>industry-elec-and-hydrogen.html</v>
      </c>
    </row>
    <row r="901" spans="1:18" s="2" customFormat="1" x14ac:dyDescent="0.25">
      <c r="A901" s="275" t="str">
        <f>IF(ISBLANK(INDEX('Policy Characteristics'!A:A,MATCH($C901,'Policy Characteristics'!$C:$C,0))),"",INDEX('Policy Characteristics'!A:A,MATCH($C901,'Policy Characteristics'!$C:$C,0)))</f>
        <v>Industry</v>
      </c>
      <c r="B901" s="284" t="str">
        <f>IF(ISBLANK(INDEX('Policy Characteristics'!B:B,MATCH($C901,'Policy Characteristics'!$C:$C,0))),"",INDEX('Policy Characteristics'!B:B,MATCH($C901,'Policy Characteristics'!$C:$C,0)))</f>
        <v>Hydrogen Combustion</v>
      </c>
      <c r="C901" s="275" t="str">
        <f t="shared" si="38"/>
        <v>Fraction of Eligible Industrial Energy Use Shifted to Hydrogen</v>
      </c>
      <c r="D901" s="6" t="s">
        <v>3086</v>
      </c>
      <c r="E901" s="1" t="s">
        <v>3548</v>
      </c>
      <c r="F901" t="s">
        <v>3048</v>
      </c>
      <c r="G901" s="47" t="s">
        <v>3555</v>
      </c>
      <c r="H901" s="44">
        <v>2163</v>
      </c>
      <c r="I901" s="346" t="s">
        <v>43</v>
      </c>
      <c r="J901" s="276" t="str">
        <f>IF(ISBLANK(INDEX('Policy Characteristics'!D:D,MATCH($C901,'Policy Characteristics'!$C:$C,0))),"",INDEX('Policy Characteristics'!D:D,MATCH($C901,'Policy Characteristics'!$C:$C,0)))</f>
        <v>Hydrogen Combustion</v>
      </c>
      <c r="K901" s="275" t="str">
        <f>IF(ISBLANK(INDEX('Policy Characteristics'!E:E,MATCH($C901,'Policy Characteristics'!$C:$C,0))),"",INDEX('Policy Characteristics'!E:E,MATCH($C901,'Policy Characteristics'!$C:$C,0)))</f>
        <v>indst shift to hydrogen</v>
      </c>
      <c r="L901" s="283">
        <f>IF(ISBLANK(INDEX('Policy Characteristics'!F:F,MATCH($C901,'Policy Characteristics'!$C:$C,0))),"",INDEX('Policy Characteristics'!F:F,MATCH($C901,'Policy Characteristics'!$C:$C,0)))</f>
        <v>0</v>
      </c>
      <c r="M901" s="283">
        <f>IF(ISBLANK(INDEX('Policy Characteristics'!G:G,MATCH($C901,'Policy Characteristics'!$C:$C,0))),"",INDEX('Policy Characteristics'!G:G,MATCH($C901,'Policy Characteristics'!$C:$C,0)))</f>
        <v>1</v>
      </c>
      <c r="N901" s="283">
        <f>IF(ISBLANK(INDEX('Policy Characteristics'!H:H,MATCH($C901,'Policy Characteristics'!$C:$C,0))),"",INDEX('Policy Characteristics'!H:H,MATCH($C901,'Policy Characteristics'!$C:$C,0)))</f>
        <v>0.01</v>
      </c>
      <c r="O901" s="275" t="str">
        <f>IF(ISBLANK(INDEX('Policy Characteristics'!I:I,MATCH($C901,'Policy Characteristics'!$C:$C,0))),"",INDEX('Policy Characteristics'!I:I,MATCH($C901,'Policy Characteristics'!$C:$C,0)))</f>
        <v>% of fuel shifted</v>
      </c>
      <c r="P901" s="275" t="str">
        <f>IF(ISBLANK(INDEX('Policy Characteristics'!J:J,MATCH($C901,'Policy Characteristics'!$C:$C,0))),"",INDEX('Policy Characteristics'!J:J,MATCH($C901,'Policy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1" s="275" t="str">
        <f>IF(ISBLANK(INDEX('Policy Characteristics'!K:K,MATCH($C901,'Policy Characteristics'!$C:$C,0))),"",INDEX('Policy Characteristics'!K:K,MATCH($C901,'Policy Characteristics'!$C:$C,0)))</f>
        <v>industry-ag-main.html#fuel-switching</v>
      </c>
      <c r="R901" s="275" t="str">
        <f>IF(ISBLANK(INDEX('Policy Characteristics'!L:L,MATCH($C901,'Policy Characteristics'!$C:$C,0))),"",INDEX('Policy Characteristics'!L:L,MATCH($C901,'Policy Characteristics'!$C:$C,0)))</f>
        <v>industry-elec-and-hydrogen.html</v>
      </c>
    </row>
    <row r="902" spans="1:18" s="2" customFormat="1" x14ac:dyDescent="0.25">
      <c r="A902" s="275" t="str">
        <f>IF(ISBLANK(INDEX('Policy Characteristics'!A:A,MATCH($C902,'Policy Characteristics'!$C:$C,0))),"",INDEX('Policy Characteristics'!A:A,MATCH($C902,'Policy Characteristics'!$C:$C,0)))</f>
        <v>Industry</v>
      </c>
      <c r="B902" s="284" t="str">
        <f>IF(ISBLANK(INDEX('Policy Characteristics'!B:B,MATCH($C902,'Policy Characteristics'!$C:$C,0))),"",INDEX('Policy Characteristics'!B:B,MATCH($C902,'Policy Characteristics'!$C:$C,0)))</f>
        <v>Hydrogen Combustion</v>
      </c>
      <c r="C902" s="275" t="str">
        <f t="shared" ref="C902:C965" si="39">C$772</f>
        <v>Fraction of Eligible Industrial Energy Use Shifted to Hydrogen</v>
      </c>
      <c r="D902" s="6" t="s">
        <v>3086</v>
      </c>
      <c r="E902" s="1" t="s">
        <v>3549</v>
      </c>
      <c r="F902" t="s">
        <v>3048</v>
      </c>
      <c r="G902" s="47" t="s">
        <v>3556</v>
      </c>
      <c r="H902" s="44">
        <v>2164</v>
      </c>
      <c r="I902" s="346" t="s">
        <v>43</v>
      </c>
      <c r="J902" s="276" t="str">
        <f>IF(ISBLANK(INDEX('Policy Characteristics'!D:D,MATCH($C902,'Policy Characteristics'!$C:$C,0))),"",INDEX('Policy Characteristics'!D:D,MATCH($C902,'Policy Characteristics'!$C:$C,0)))</f>
        <v>Hydrogen Combustion</v>
      </c>
      <c r="K902" s="275" t="str">
        <f>IF(ISBLANK(INDEX('Policy Characteristics'!E:E,MATCH($C902,'Policy Characteristics'!$C:$C,0))),"",INDEX('Policy Characteristics'!E:E,MATCH($C902,'Policy Characteristics'!$C:$C,0)))</f>
        <v>indst shift to hydrogen</v>
      </c>
      <c r="L902" s="283">
        <f>IF(ISBLANK(INDEX('Policy Characteristics'!F:F,MATCH($C902,'Policy Characteristics'!$C:$C,0))),"",INDEX('Policy Characteristics'!F:F,MATCH($C902,'Policy Characteristics'!$C:$C,0)))</f>
        <v>0</v>
      </c>
      <c r="M902" s="283">
        <f>IF(ISBLANK(INDEX('Policy Characteristics'!G:G,MATCH($C902,'Policy Characteristics'!$C:$C,0))),"",INDEX('Policy Characteristics'!G:G,MATCH($C902,'Policy Characteristics'!$C:$C,0)))</f>
        <v>1</v>
      </c>
      <c r="N902" s="283">
        <f>IF(ISBLANK(INDEX('Policy Characteristics'!H:H,MATCH($C902,'Policy Characteristics'!$C:$C,0))),"",INDEX('Policy Characteristics'!H:H,MATCH($C902,'Policy Characteristics'!$C:$C,0)))</f>
        <v>0.01</v>
      </c>
      <c r="O902" s="275" t="str">
        <f>IF(ISBLANK(INDEX('Policy Characteristics'!I:I,MATCH($C902,'Policy Characteristics'!$C:$C,0))),"",INDEX('Policy Characteristics'!I:I,MATCH($C902,'Policy Characteristics'!$C:$C,0)))</f>
        <v>% of fuel shifted</v>
      </c>
      <c r="P902" s="275" t="str">
        <f>IF(ISBLANK(INDEX('Policy Characteristics'!J:J,MATCH($C902,'Policy Characteristics'!$C:$C,0))),"",INDEX('Policy Characteristics'!J:J,MATCH($C902,'Policy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2" s="275" t="str">
        <f>IF(ISBLANK(INDEX('Policy Characteristics'!K:K,MATCH($C902,'Policy Characteristics'!$C:$C,0))),"",INDEX('Policy Characteristics'!K:K,MATCH($C902,'Policy Characteristics'!$C:$C,0)))</f>
        <v>industry-ag-main.html#fuel-switching</v>
      </c>
      <c r="R902" s="275" t="str">
        <f>IF(ISBLANK(INDEX('Policy Characteristics'!L:L,MATCH($C902,'Policy Characteristics'!$C:$C,0))),"",INDEX('Policy Characteristics'!L:L,MATCH($C902,'Policy Characteristics'!$C:$C,0)))</f>
        <v>industry-elec-and-hydrogen.html</v>
      </c>
    </row>
    <row r="903" spans="1:18" s="2" customFormat="1" x14ac:dyDescent="0.25">
      <c r="A903" s="275" t="str">
        <f>IF(ISBLANK(INDEX('Policy Characteristics'!A:A,MATCH($C903,'Policy Characteristics'!$C:$C,0))),"",INDEX('Policy Characteristics'!A:A,MATCH($C903,'Policy Characteristics'!$C:$C,0)))</f>
        <v>Industry</v>
      </c>
      <c r="B903" s="284" t="str">
        <f>IF(ISBLANK(INDEX('Policy Characteristics'!B:B,MATCH($C903,'Policy Characteristics'!$C:$C,0))),"",INDEX('Policy Characteristics'!B:B,MATCH($C903,'Policy Characteristics'!$C:$C,0)))</f>
        <v>Hydrogen Combustion</v>
      </c>
      <c r="C903" s="275" t="str">
        <f t="shared" si="39"/>
        <v>Fraction of Eligible Industrial Energy Use Shifted to Hydrogen</v>
      </c>
      <c r="D903" s="6" t="s">
        <v>3086</v>
      </c>
      <c r="E903" s="1" t="s">
        <v>3550</v>
      </c>
      <c r="F903" t="s">
        <v>3048</v>
      </c>
      <c r="G903" s="47" t="s">
        <v>3557</v>
      </c>
      <c r="H903" s="44">
        <v>2165</v>
      </c>
      <c r="I903" s="346" t="s">
        <v>43</v>
      </c>
      <c r="J903" s="276" t="str">
        <f>IF(ISBLANK(INDEX('Policy Characteristics'!D:D,MATCH($C903,'Policy Characteristics'!$C:$C,0))),"",INDEX('Policy Characteristics'!D:D,MATCH($C903,'Policy Characteristics'!$C:$C,0)))</f>
        <v>Hydrogen Combustion</v>
      </c>
      <c r="K903" s="275" t="str">
        <f>IF(ISBLANK(INDEX('Policy Characteristics'!E:E,MATCH($C903,'Policy Characteristics'!$C:$C,0))),"",INDEX('Policy Characteristics'!E:E,MATCH($C903,'Policy Characteristics'!$C:$C,0)))</f>
        <v>indst shift to hydrogen</v>
      </c>
      <c r="L903" s="283">
        <f>IF(ISBLANK(INDEX('Policy Characteristics'!F:F,MATCH($C903,'Policy Characteristics'!$C:$C,0))),"",INDEX('Policy Characteristics'!F:F,MATCH($C903,'Policy Characteristics'!$C:$C,0)))</f>
        <v>0</v>
      </c>
      <c r="M903" s="283">
        <f>IF(ISBLANK(INDEX('Policy Characteristics'!G:G,MATCH($C903,'Policy Characteristics'!$C:$C,0))),"",INDEX('Policy Characteristics'!G:G,MATCH($C903,'Policy Characteristics'!$C:$C,0)))</f>
        <v>1</v>
      </c>
      <c r="N903" s="283">
        <f>IF(ISBLANK(INDEX('Policy Characteristics'!H:H,MATCH($C903,'Policy Characteristics'!$C:$C,0))),"",INDEX('Policy Characteristics'!H:H,MATCH($C903,'Policy Characteristics'!$C:$C,0)))</f>
        <v>0.01</v>
      </c>
      <c r="O903" s="275" t="str">
        <f>IF(ISBLANK(INDEX('Policy Characteristics'!I:I,MATCH($C903,'Policy Characteristics'!$C:$C,0))),"",INDEX('Policy Characteristics'!I:I,MATCH($C903,'Policy Characteristics'!$C:$C,0)))</f>
        <v>% of fuel shifted</v>
      </c>
      <c r="P903" s="275" t="str">
        <f>IF(ISBLANK(INDEX('Policy Characteristics'!J:J,MATCH($C903,'Policy Characteristics'!$C:$C,0))),"",INDEX('Policy Characteristics'!J:J,MATCH($C903,'Policy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3" s="275" t="str">
        <f>IF(ISBLANK(INDEX('Policy Characteristics'!K:K,MATCH($C903,'Policy Characteristics'!$C:$C,0))),"",INDEX('Policy Characteristics'!K:K,MATCH($C903,'Policy Characteristics'!$C:$C,0)))</f>
        <v>industry-ag-main.html#fuel-switching</v>
      </c>
      <c r="R903" s="275" t="str">
        <f>IF(ISBLANK(INDEX('Policy Characteristics'!L:L,MATCH($C903,'Policy Characteristics'!$C:$C,0))),"",INDEX('Policy Characteristics'!L:L,MATCH($C903,'Policy Characteristics'!$C:$C,0)))</f>
        <v>industry-elec-and-hydrogen.html</v>
      </c>
    </row>
    <row r="904" spans="1:18" s="2" customFormat="1" x14ac:dyDescent="0.25">
      <c r="A904" s="275" t="str">
        <f>IF(ISBLANK(INDEX('Policy Characteristics'!A:A,MATCH($C904,'Policy Characteristics'!$C:$C,0))),"",INDEX('Policy Characteristics'!A:A,MATCH($C904,'Policy Characteristics'!$C:$C,0)))</f>
        <v>Industry</v>
      </c>
      <c r="B904" s="284" t="str">
        <f>IF(ISBLANK(INDEX('Policy Characteristics'!B:B,MATCH($C904,'Policy Characteristics'!$C:$C,0))),"",INDEX('Policy Characteristics'!B:B,MATCH($C904,'Policy Characteristics'!$C:$C,0)))</f>
        <v>Hydrogen Combustion</v>
      </c>
      <c r="C904" s="275" t="str">
        <f t="shared" si="39"/>
        <v>Fraction of Eligible Industrial Energy Use Shifted to Hydrogen</v>
      </c>
      <c r="D904" s="6" t="s">
        <v>3086</v>
      </c>
      <c r="E904" s="1" t="s">
        <v>3551</v>
      </c>
      <c r="F904" t="s">
        <v>3048</v>
      </c>
      <c r="G904" s="47" t="s">
        <v>3558</v>
      </c>
      <c r="H904" s="44">
        <v>2166</v>
      </c>
      <c r="I904" s="346" t="s">
        <v>44</v>
      </c>
      <c r="J904" s="276" t="str">
        <f>IF(ISBLANK(INDEX('Policy Characteristics'!D:D,MATCH($C904,'Policy Characteristics'!$C:$C,0))),"",INDEX('Policy Characteristics'!D:D,MATCH($C904,'Policy Characteristics'!$C:$C,0)))</f>
        <v>Hydrogen Combustion</v>
      </c>
      <c r="K904" s="275" t="str">
        <f>IF(ISBLANK(INDEX('Policy Characteristics'!E:E,MATCH($C904,'Policy Characteristics'!$C:$C,0))),"",INDEX('Policy Characteristics'!E:E,MATCH($C904,'Policy Characteristics'!$C:$C,0)))</f>
        <v>indst shift to hydrogen</v>
      </c>
      <c r="L904" s="283">
        <f>IF(ISBLANK(INDEX('Policy Characteristics'!F:F,MATCH($C904,'Policy Characteristics'!$C:$C,0))),"",INDEX('Policy Characteristics'!F:F,MATCH($C904,'Policy Characteristics'!$C:$C,0)))</f>
        <v>0</v>
      </c>
      <c r="M904" s="283">
        <f>IF(ISBLANK(INDEX('Policy Characteristics'!G:G,MATCH($C904,'Policy Characteristics'!$C:$C,0))),"",INDEX('Policy Characteristics'!G:G,MATCH($C904,'Policy Characteristics'!$C:$C,0)))</f>
        <v>1</v>
      </c>
      <c r="N904" s="283">
        <f>IF(ISBLANK(INDEX('Policy Characteristics'!H:H,MATCH($C904,'Policy Characteristics'!$C:$C,0))),"",INDEX('Policy Characteristics'!H:H,MATCH($C904,'Policy Characteristics'!$C:$C,0)))</f>
        <v>0.01</v>
      </c>
      <c r="O904" s="275" t="str">
        <f>IF(ISBLANK(INDEX('Policy Characteristics'!I:I,MATCH($C904,'Policy Characteristics'!$C:$C,0))),"",INDEX('Policy Characteristics'!I:I,MATCH($C904,'Policy Characteristics'!$C:$C,0)))</f>
        <v>% of fuel shifted</v>
      </c>
      <c r="P904" s="275" t="str">
        <f>IF(ISBLANK(INDEX('Policy Characteristics'!J:J,MATCH($C904,'Policy Characteristics'!$C:$C,0))),"",INDEX('Policy Characteristics'!J:J,MATCH($C904,'Policy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4" s="275" t="str">
        <f>IF(ISBLANK(INDEX('Policy Characteristics'!K:K,MATCH($C904,'Policy Characteristics'!$C:$C,0))),"",INDEX('Policy Characteristics'!K:K,MATCH($C904,'Policy Characteristics'!$C:$C,0)))</f>
        <v>industry-ag-main.html#fuel-switching</v>
      </c>
      <c r="R904" s="275" t="str">
        <f>IF(ISBLANK(INDEX('Policy Characteristics'!L:L,MATCH($C904,'Policy Characteristics'!$C:$C,0))),"",INDEX('Policy Characteristics'!L:L,MATCH($C904,'Policy Characteristics'!$C:$C,0)))</f>
        <v>industry-elec-and-hydrogen.html</v>
      </c>
    </row>
    <row r="905" spans="1:18" s="2" customFormat="1" x14ac:dyDescent="0.25">
      <c r="A905" s="275" t="str">
        <f>IF(ISBLANK(INDEX('Policy Characteristics'!A:A,MATCH($C905,'Policy Characteristics'!$C:$C,0))),"",INDEX('Policy Characteristics'!A:A,MATCH($C905,'Policy Characteristics'!$C:$C,0)))</f>
        <v>Industry</v>
      </c>
      <c r="B905" s="284" t="str">
        <f>IF(ISBLANK(INDEX('Policy Characteristics'!B:B,MATCH($C905,'Policy Characteristics'!$C:$C,0))),"",INDEX('Policy Characteristics'!B:B,MATCH($C905,'Policy Characteristics'!$C:$C,0)))</f>
        <v>Hydrogen Combustion</v>
      </c>
      <c r="C905" s="275" t="str">
        <f t="shared" si="39"/>
        <v>Fraction of Eligible Industrial Energy Use Shifted to Hydrogen</v>
      </c>
      <c r="D905" s="6" t="s">
        <v>3086</v>
      </c>
      <c r="E905" s="1" t="s">
        <v>3552</v>
      </c>
      <c r="F905" t="s">
        <v>3048</v>
      </c>
      <c r="G905" s="47" t="s">
        <v>3559</v>
      </c>
      <c r="H905" s="44">
        <v>2167</v>
      </c>
      <c r="I905" s="346" t="s">
        <v>44</v>
      </c>
      <c r="J905" s="276" t="str">
        <f>IF(ISBLANK(INDEX('Policy Characteristics'!D:D,MATCH($C905,'Policy Characteristics'!$C:$C,0))),"",INDEX('Policy Characteristics'!D:D,MATCH($C905,'Policy Characteristics'!$C:$C,0)))</f>
        <v>Hydrogen Combustion</v>
      </c>
      <c r="K905" s="275" t="str">
        <f>IF(ISBLANK(INDEX('Policy Characteristics'!E:E,MATCH($C905,'Policy Characteristics'!$C:$C,0))),"",INDEX('Policy Characteristics'!E:E,MATCH($C905,'Policy Characteristics'!$C:$C,0)))</f>
        <v>indst shift to hydrogen</v>
      </c>
      <c r="L905" s="283">
        <f>IF(ISBLANK(INDEX('Policy Characteristics'!F:F,MATCH($C905,'Policy Characteristics'!$C:$C,0))),"",INDEX('Policy Characteristics'!F:F,MATCH($C905,'Policy Characteristics'!$C:$C,0)))</f>
        <v>0</v>
      </c>
      <c r="M905" s="283">
        <f>IF(ISBLANK(INDEX('Policy Characteristics'!G:G,MATCH($C905,'Policy Characteristics'!$C:$C,0))),"",INDEX('Policy Characteristics'!G:G,MATCH($C905,'Policy Characteristics'!$C:$C,0)))</f>
        <v>1</v>
      </c>
      <c r="N905" s="283">
        <f>IF(ISBLANK(INDEX('Policy Characteristics'!H:H,MATCH($C905,'Policy Characteristics'!$C:$C,0))),"",INDEX('Policy Characteristics'!H:H,MATCH($C905,'Policy Characteristics'!$C:$C,0)))</f>
        <v>0.01</v>
      </c>
      <c r="O905" s="275" t="str">
        <f>IF(ISBLANK(INDEX('Policy Characteristics'!I:I,MATCH($C905,'Policy Characteristics'!$C:$C,0))),"",INDEX('Policy Characteristics'!I:I,MATCH($C905,'Policy Characteristics'!$C:$C,0)))</f>
        <v>% of fuel shifted</v>
      </c>
      <c r="P905" s="275" t="str">
        <f>IF(ISBLANK(INDEX('Policy Characteristics'!J:J,MATCH($C905,'Policy Characteristics'!$C:$C,0))),"",INDEX('Policy Characteristics'!J:J,MATCH($C905,'Policy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5" s="275" t="str">
        <f>IF(ISBLANK(INDEX('Policy Characteristics'!K:K,MATCH($C905,'Policy Characteristics'!$C:$C,0))),"",INDEX('Policy Characteristics'!K:K,MATCH($C905,'Policy Characteristics'!$C:$C,0)))</f>
        <v>industry-ag-main.html#fuel-switching</v>
      </c>
      <c r="R905" s="275" t="str">
        <f>IF(ISBLANK(INDEX('Policy Characteristics'!L:L,MATCH($C905,'Policy Characteristics'!$C:$C,0))),"",INDEX('Policy Characteristics'!L:L,MATCH($C905,'Policy Characteristics'!$C:$C,0)))</f>
        <v>industry-elec-and-hydrogen.html</v>
      </c>
    </row>
    <row r="906" spans="1:18" s="2" customFormat="1" x14ac:dyDescent="0.25">
      <c r="A906" s="275" t="str">
        <f>IF(ISBLANK(INDEX('Policy Characteristics'!A:A,MATCH($C906,'Policy Characteristics'!$C:$C,0))),"",INDEX('Policy Characteristics'!A:A,MATCH($C906,'Policy Characteristics'!$C:$C,0)))</f>
        <v>Industry</v>
      </c>
      <c r="B906" s="284" t="str">
        <f>IF(ISBLANK(INDEX('Policy Characteristics'!B:B,MATCH($C906,'Policy Characteristics'!$C:$C,0))),"",INDEX('Policy Characteristics'!B:B,MATCH($C906,'Policy Characteristics'!$C:$C,0)))</f>
        <v>Hydrogen Combustion</v>
      </c>
      <c r="C906" s="275" t="str">
        <f t="shared" si="39"/>
        <v>Fraction of Eligible Industrial Energy Use Shifted to Hydrogen</v>
      </c>
      <c r="D906" s="6" t="s">
        <v>3086</v>
      </c>
      <c r="E906" s="1" t="s">
        <v>3553</v>
      </c>
      <c r="F906" t="s">
        <v>3048</v>
      </c>
      <c r="G906" s="47" t="s">
        <v>3560</v>
      </c>
      <c r="H906" s="44">
        <v>2168</v>
      </c>
      <c r="I906" s="346" t="s">
        <v>44</v>
      </c>
      <c r="J906" s="276" t="str">
        <f>IF(ISBLANK(INDEX('Policy Characteristics'!D:D,MATCH($C906,'Policy Characteristics'!$C:$C,0))),"",INDEX('Policy Characteristics'!D:D,MATCH($C906,'Policy Characteristics'!$C:$C,0)))</f>
        <v>Hydrogen Combustion</v>
      </c>
      <c r="K906" s="275" t="str">
        <f>IF(ISBLANK(INDEX('Policy Characteristics'!E:E,MATCH($C906,'Policy Characteristics'!$C:$C,0))),"",INDEX('Policy Characteristics'!E:E,MATCH($C906,'Policy Characteristics'!$C:$C,0)))</f>
        <v>indst shift to hydrogen</v>
      </c>
      <c r="L906" s="283">
        <f>IF(ISBLANK(INDEX('Policy Characteristics'!F:F,MATCH($C906,'Policy Characteristics'!$C:$C,0))),"",INDEX('Policy Characteristics'!F:F,MATCH($C906,'Policy Characteristics'!$C:$C,0)))</f>
        <v>0</v>
      </c>
      <c r="M906" s="283">
        <f>IF(ISBLANK(INDEX('Policy Characteristics'!G:G,MATCH($C906,'Policy Characteristics'!$C:$C,0))),"",INDEX('Policy Characteristics'!G:G,MATCH($C906,'Policy Characteristics'!$C:$C,0)))</f>
        <v>1</v>
      </c>
      <c r="N906" s="283">
        <f>IF(ISBLANK(INDEX('Policy Characteristics'!H:H,MATCH($C906,'Policy Characteristics'!$C:$C,0))),"",INDEX('Policy Characteristics'!H:H,MATCH($C906,'Policy Characteristics'!$C:$C,0)))</f>
        <v>0.01</v>
      </c>
      <c r="O906" s="275" t="str">
        <f>IF(ISBLANK(INDEX('Policy Characteristics'!I:I,MATCH($C906,'Policy Characteristics'!$C:$C,0))),"",INDEX('Policy Characteristics'!I:I,MATCH($C906,'Policy Characteristics'!$C:$C,0)))</f>
        <v>% of fuel shifted</v>
      </c>
      <c r="P906" s="275" t="str">
        <f>IF(ISBLANK(INDEX('Policy Characteristics'!J:J,MATCH($C906,'Policy Characteristics'!$C:$C,0))),"",INDEX('Policy Characteristics'!J:J,MATCH($C906,'Policy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6" s="275" t="str">
        <f>IF(ISBLANK(INDEX('Policy Characteristics'!K:K,MATCH($C906,'Policy Characteristics'!$C:$C,0))),"",INDEX('Policy Characteristics'!K:K,MATCH($C906,'Policy Characteristics'!$C:$C,0)))</f>
        <v>industry-ag-main.html#fuel-switching</v>
      </c>
      <c r="R906" s="275" t="str">
        <f>IF(ISBLANK(INDEX('Policy Characteristics'!L:L,MATCH($C906,'Policy Characteristics'!$C:$C,0))),"",INDEX('Policy Characteristics'!L:L,MATCH($C906,'Policy Characteristics'!$C:$C,0)))</f>
        <v>industry-elec-and-hydrogen.html</v>
      </c>
    </row>
    <row r="907" spans="1:18" s="2" customFormat="1" x14ac:dyDescent="0.25">
      <c r="A907" s="275" t="str">
        <f>IF(ISBLANK(INDEX('Policy Characteristics'!A:A,MATCH($C907,'Policy Characteristics'!$C:$C,0))),"",INDEX('Policy Characteristics'!A:A,MATCH($C907,'Policy Characteristics'!$C:$C,0)))</f>
        <v>Industry</v>
      </c>
      <c r="B907" s="284" t="str">
        <f>IF(ISBLANK(INDEX('Policy Characteristics'!B:B,MATCH($C907,'Policy Characteristics'!$C:$C,0))),"",INDEX('Policy Characteristics'!B:B,MATCH($C907,'Policy Characteristics'!$C:$C,0)))</f>
        <v>Hydrogen Combustion</v>
      </c>
      <c r="C907" s="275" t="str">
        <f t="shared" si="39"/>
        <v>Fraction of Eligible Industrial Energy Use Shifted to Hydrogen</v>
      </c>
      <c r="D907" s="6" t="s">
        <v>3086</v>
      </c>
      <c r="E907" s="1" t="s">
        <v>3737</v>
      </c>
      <c r="F907" t="s">
        <v>3048</v>
      </c>
      <c r="G907" s="47" t="s">
        <v>3738</v>
      </c>
      <c r="H907" s="44">
        <v>2169</v>
      </c>
      <c r="I907" s="346" t="s">
        <v>43</v>
      </c>
      <c r="J907" s="276" t="str">
        <f>IF(ISBLANK(INDEX('Policy Characteristics'!D:D,MATCH($C907,'Policy Characteristics'!$C:$C,0))),"",INDEX('Policy Characteristics'!D:D,MATCH($C907,'Policy Characteristics'!$C:$C,0)))</f>
        <v>Hydrogen Combustion</v>
      </c>
      <c r="K907" s="275" t="str">
        <f>IF(ISBLANK(INDEX('Policy Characteristics'!E:E,MATCH($C907,'Policy Characteristics'!$C:$C,0))),"",INDEX('Policy Characteristics'!E:E,MATCH($C907,'Policy Characteristics'!$C:$C,0)))</f>
        <v>indst shift to hydrogen</v>
      </c>
      <c r="L907" s="283">
        <f>IF(ISBLANK(INDEX('Policy Characteristics'!F:F,MATCH($C907,'Policy Characteristics'!$C:$C,0))),"",INDEX('Policy Characteristics'!F:F,MATCH($C907,'Policy Characteristics'!$C:$C,0)))</f>
        <v>0</v>
      </c>
      <c r="M907" s="283">
        <f>IF(ISBLANK(INDEX('Policy Characteristics'!G:G,MATCH($C907,'Policy Characteristics'!$C:$C,0))),"",INDEX('Policy Characteristics'!G:G,MATCH($C907,'Policy Characteristics'!$C:$C,0)))</f>
        <v>1</v>
      </c>
      <c r="N907" s="283">
        <f>IF(ISBLANK(INDEX('Policy Characteristics'!H:H,MATCH($C907,'Policy Characteristics'!$C:$C,0))),"",INDEX('Policy Characteristics'!H:H,MATCH($C907,'Policy Characteristics'!$C:$C,0)))</f>
        <v>0.01</v>
      </c>
      <c r="O907" s="275" t="str">
        <f>IF(ISBLANK(INDEX('Policy Characteristics'!I:I,MATCH($C907,'Policy Characteristics'!$C:$C,0))),"",INDEX('Policy Characteristics'!I:I,MATCH($C907,'Policy Characteristics'!$C:$C,0)))</f>
        <v>% of fuel shifted</v>
      </c>
      <c r="P907" s="275" t="str">
        <f>IF(ISBLANK(INDEX('Policy Characteristics'!J:J,MATCH($C907,'Policy Characteristics'!$C:$C,0))),"",INDEX('Policy Characteristics'!J:J,MATCH($C907,'Policy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7" s="275" t="str">
        <f>IF(ISBLANK(INDEX('Policy Characteristics'!K:K,MATCH($C907,'Policy Characteristics'!$C:$C,0))),"",INDEX('Policy Characteristics'!K:K,MATCH($C907,'Policy Characteristics'!$C:$C,0)))</f>
        <v>industry-ag-main.html#fuel-switching</v>
      </c>
      <c r="R907" s="275" t="str">
        <f>IF(ISBLANK(INDEX('Policy Characteristics'!L:L,MATCH($C907,'Policy Characteristics'!$C:$C,0))),"",INDEX('Policy Characteristics'!L:L,MATCH($C907,'Policy Characteristics'!$C:$C,0)))</f>
        <v>industry-elec-and-hydrogen.html</v>
      </c>
    </row>
    <row r="908" spans="1:18" s="2" customFormat="1" x14ac:dyDescent="0.25">
      <c r="A908" s="275" t="str">
        <f>IF(ISBLANK(INDEX('Policy Characteristics'!A:A,MATCH($C908,'Policy Characteristics'!$C:$C,0))),"",INDEX('Policy Characteristics'!A:A,MATCH($C908,'Policy Characteristics'!$C:$C,0)))</f>
        <v>Industry</v>
      </c>
      <c r="B908" s="284" t="str">
        <f>IF(ISBLANK(INDEX('Policy Characteristics'!B:B,MATCH($C908,'Policy Characteristics'!$C:$C,0))),"",INDEX('Policy Characteristics'!B:B,MATCH($C908,'Policy Characteristics'!$C:$C,0)))</f>
        <v>Hydrogen Combustion</v>
      </c>
      <c r="C908" s="275" t="str">
        <f t="shared" si="39"/>
        <v>Fraction of Eligible Industrial Energy Use Shifted to Hydrogen</v>
      </c>
      <c r="D908" s="6" t="s">
        <v>3087</v>
      </c>
      <c r="E908" s="1" t="s">
        <v>3547</v>
      </c>
      <c r="F908" t="s">
        <v>3049</v>
      </c>
      <c r="G908" s="47" t="s">
        <v>3554</v>
      </c>
      <c r="H908" s="44">
        <v>2170</v>
      </c>
      <c r="I908" s="346" t="s">
        <v>43</v>
      </c>
      <c r="J908" s="276" t="str">
        <f>IF(ISBLANK(INDEX('Policy Characteristics'!D:D,MATCH($C908,'Policy Characteristics'!$C:$C,0))),"",INDEX('Policy Characteristics'!D:D,MATCH($C908,'Policy Characteristics'!$C:$C,0)))</f>
        <v>Hydrogen Combustion</v>
      </c>
      <c r="K908" s="275" t="str">
        <f>IF(ISBLANK(INDEX('Policy Characteristics'!E:E,MATCH($C908,'Policy Characteristics'!$C:$C,0))),"",INDEX('Policy Characteristics'!E:E,MATCH($C908,'Policy Characteristics'!$C:$C,0)))</f>
        <v>indst shift to hydrogen</v>
      </c>
      <c r="L908" s="283">
        <f>IF(ISBLANK(INDEX('Policy Characteristics'!F:F,MATCH($C908,'Policy Characteristics'!$C:$C,0))),"",INDEX('Policy Characteristics'!F:F,MATCH($C908,'Policy Characteristics'!$C:$C,0)))</f>
        <v>0</v>
      </c>
      <c r="M908" s="283">
        <f>IF(ISBLANK(INDEX('Policy Characteristics'!G:G,MATCH($C908,'Policy Characteristics'!$C:$C,0))),"",INDEX('Policy Characteristics'!G:G,MATCH($C908,'Policy Characteristics'!$C:$C,0)))</f>
        <v>1</v>
      </c>
      <c r="N908" s="283">
        <f>IF(ISBLANK(INDEX('Policy Characteristics'!H:H,MATCH($C908,'Policy Characteristics'!$C:$C,0))),"",INDEX('Policy Characteristics'!H:H,MATCH($C908,'Policy Characteristics'!$C:$C,0)))</f>
        <v>0.01</v>
      </c>
      <c r="O908" s="275" t="str">
        <f>IF(ISBLANK(INDEX('Policy Characteristics'!I:I,MATCH($C908,'Policy Characteristics'!$C:$C,0))),"",INDEX('Policy Characteristics'!I:I,MATCH($C908,'Policy Characteristics'!$C:$C,0)))</f>
        <v>% of fuel shifted</v>
      </c>
      <c r="P908" s="275" t="str">
        <f>IF(ISBLANK(INDEX('Policy Characteristics'!J:J,MATCH($C908,'Policy Characteristics'!$C:$C,0))),"",INDEX('Policy Characteristics'!J:J,MATCH($C908,'Policy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8" s="275" t="str">
        <f>IF(ISBLANK(INDEX('Policy Characteristics'!K:K,MATCH($C908,'Policy Characteristics'!$C:$C,0))),"",INDEX('Policy Characteristics'!K:K,MATCH($C908,'Policy Characteristics'!$C:$C,0)))</f>
        <v>industry-ag-main.html#fuel-switching</v>
      </c>
      <c r="R908" s="275" t="str">
        <f>IF(ISBLANK(INDEX('Policy Characteristics'!L:L,MATCH($C908,'Policy Characteristics'!$C:$C,0))),"",INDEX('Policy Characteristics'!L:L,MATCH($C908,'Policy Characteristics'!$C:$C,0)))</f>
        <v>industry-elec-and-hydrogen.html</v>
      </c>
    </row>
    <row r="909" spans="1:18" s="2" customFormat="1" x14ac:dyDescent="0.25">
      <c r="A909" s="275" t="str">
        <f>IF(ISBLANK(INDEX('Policy Characteristics'!A:A,MATCH($C909,'Policy Characteristics'!$C:$C,0))),"",INDEX('Policy Characteristics'!A:A,MATCH($C909,'Policy Characteristics'!$C:$C,0)))</f>
        <v>Industry</v>
      </c>
      <c r="B909" s="284" t="str">
        <f>IF(ISBLANK(INDEX('Policy Characteristics'!B:B,MATCH($C909,'Policy Characteristics'!$C:$C,0))),"",INDEX('Policy Characteristics'!B:B,MATCH($C909,'Policy Characteristics'!$C:$C,0)))</f>
        <v>Hydrogen Combustion</v>
      </c>
      <c r="C909" s="275" t="str">
        <f t="shared" si="39"/>
        <v>Fraction of Eligible Industrial Energy Use Shifted to Hydrogen</v>
      </c>
      <c r="D909" s="6" t="s">
        <v>3087</v>
      </c>
      <c r="E909" s="1" t="s">
        <v>3548</v>
      </c>
      <c r="F909" t="s">
        <v>3049</v>
      </c>
      <c r="G909" s="47" t="s">
        <v>3555</v>
      </c>
      <c r="H909" s="44">
        <v>2171</v>
      </c>
      <c r="I909" s="346" t="s">
        <v>43</v>
      </c>
      <c r="J909" s="276" t="str">
        <f>IF(ISBLANK(INDEX('Policy Characteristics'!D:D,MATCH($C909,'Policy Characteristics'!$C:$C,0))),"",INDEX('Policy Characteristics'!D:D,MATCH($C909,'Policy Characteristics'!$C:$C,0)))</f>
        <v>Hydrogen Combustion</v>
      </c>
      <c r="K909" s="275" t="str">
        <f>IF(ISBLANK(INDEX('Policy Characteristics'!E:E,MATCH($C909,'Policy Characteristics'!$C:$C,0))),"",INDEX('Policy Characteristics'!E:E,MATCH($C909,'Policy Characteristics'!$C:$C,0)))</f>
        <v>indst shift to hydrogen</v>
      </c>
      <c r="L909" s="283">
        <f>IF(ISBLANK(INDEX('Policy Characteristics'!F:F,MATCH($C909,'Policy Characteristics'!$C:$C,0))),"",INDEX('Policy Characteristics'!F:F,MATCH($C909,'Policy Characteristics'!$C:$C,0)))</f>
        <v>0</v>
      </c>
      <c r="M909" s="283">
        <f>IF(ISBLANK(INDEX('Policy Characteristics'!G:G,MATCH($C909,'Policy Characteristics'!$C:$C,0))),"",INDEX('Policy Characteristics'!G:G,MATCH($C909,'Policy Characteristics'!$C:$C,0)))</f>
        <v>1</v>
      </c>
      <c r="N909" s="283">
        <f>IF(ISBLANK(INDEX('Policy Characteristics'!H:H,MATCH($C909,'Policy Characteristics'!$C:$C,0))),"",INDEX('Policy Characteristics'!H:H,MATCH($C909,'Policy Characteristics'!$C:$C,0)))</f>
        <v>0.01</v>
      </c>
      <c r="O909" s="275" t="str">
        <f>IF(ISBLANK(INDEX('Policy Characteristics'!I:I,MATCH($C909,'Policy Characteristics'!$C:$C,0))),"",INDEX('Policy Characteristics'!I:I,MATCH($C909,'Policy Characteristics'!$C:$C,0)))</f>
        <v>% of fuel shifted</v>
      </c>
      <c r="P909" s="275" t="str">
        <f>IF(ISBLANK(INDEX('Policy Characteristics'!J:J,MATCH($C909,'Policy Characteristics'!$C:$C,0))),"",INDEX('Policy Characteristics'!J:J,MATCH($C909,'Policy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9" s="275" t="str">
        <f>IF(ISBLANK(INDEX('Policy Characteristics'!K:K,MATCH($C909,'Policy Characteristics'!$C:$C,0))),"",INDEX('Policy Characteristics'!K:K,MATCH($C909,'Policy Characteristics'!$C:$C,0)))</f>
        <v>industry-ag-main.html#fuel-switching</v>
      </c>
      <c r="R909" s="275" t="str">
        <f>IF(ISBLANK(INDEX('Policy Characteristics'!L:L,MATCH($C909,'Policy Characteristics'!$C:$C,0))),"",INDEX('Policy Characteristics'!L:L,MATCH($C909,'Policy Characteristics'!$C:$C,0)))</f>
        <v>industry-elec-and-hydrogen.html</v>
      </c>
    </row>
    <row r="910" spans="1:18" s="2" customFormat="1" x14ac:dyDescent="0.25">
      <c r="A910" s="275" t="str">
        <f>IF(ISBLANK(INDEX('Policy Characteristics'!A:A,MATCH($C910,'Policy Characteristics'!$C:$C,0))),"",INDEX('Policy Characteristics'!A:A,MATCH($C910,'Policy Characteristics'!$C:$C,0)))</f>
        <v>Industry</v>
      </c>
      <c r="B910" s="284" t="str">
        <f>IF(ISBLANK(INDEX('Policy Characteristics'!B:B,MATCH($C910,'Policy Characteristics'!$C:$C,0))),"",INDEX('Policy Characteristics'!B:B,MATCH($C910,'Policy Characteristics'!$C:$C,0)))</f>
        <v>Hydrogen Combustion</v>
      </c>
      <c r="C910" s="275" t="str">
        <f t="shared" si="39"/>
        <v>Fraction of Eligible Industrial Energy Use Shifted to Hydrogen</v>
      </c>
      <c r="D910" s="6" t="s">
        <v>3087</v>
      </c>
      <c r="E910" s="1" t="s">
        <v>3549</v>
      </c>
      <c r="F910" t="s">
        <v>3049</v>
      </c>
      <c r="G910" s="47" t="s">
        <v>3556</v>
      </c>
      <c r="H910" s="44">
        <v>2172</v>
      </c>
      <c r="I910" s="346" t="s">
        <v>43</v>
      </c>
      <c r="J910" s="276" t="str">
        <f>IF(ISBLANK(INDEX('Policy Characteristics'!D:D,MATCH($C910,'Policy Characteristics'!$C:$C,0))),"",INDEX('Policy Characteristics'!D:D,MATCH($C910,'Policy Characteristics'!$C:$C,0)))</f>
        <v>Hydrogen Combustion</v>
      </c>
      <c r="K910" s="275" t="str">
        <f>IF(ISBLANK(INDEX('Policy Characteristics'!E:E,MATCH($C910,'Policy Characteristics'!$C:$C,0))),"",INDEX('Policy Characteristics'!E:E,MATCH($C910,'Policy Characteristics'!$C:$C,0)))</f>
        <v>indst shift to hydrogen</v>
      </c>
      <c r="L910" s="283">
        <f>IF(ISBLANK(INDEX('Policy Characteristics'!F:F,MATCH($C910,'Policy Characteristics'!$C:$C,0))),"",INDEX('Policy Characteristics'!F:F,MATCH($C910,'Policy Characteristics'!$C:$C,0)))</f>
        <v>0</v>
      </c>
      <c r="M910" s="283">
        <f>IF(ISBLANK(INDEX('Policy Characteristics'!G:G,MATCH($C910,'Policy Characteristics'!$C:$C,0))),"",INDEX('Policy Characteristics'!G:G,MATCH($C910,'Policy Characteristics'!$C:$C,0)))</f>
        <v>1</v>
      </c>
      <c r="N910" s="283">
        <f>IF(ISBLANK(INDEX('Policy Characteristics'!H:H,MATCH($C910,'Policy Characteristics'!$C:$C,0))),"",INDEX('Policy Characteristics'!H:H,MATCH($C910,'Policy Characteristics'!$C:$C,0)))</f>
        <v>0.01</v>
      </c>
      <c r="O910" s="275" t="str">
        <f>IF(ISBLANK(INDEX('Policy Characteristics'!I:I,MATCH($C910,'Policy Characteristics'!$C:$C,0))),"",INDEX('Policy Characteristics'!I:I,MATCH($C910,'Policy Characteristics'!$C:$C,0)))</f>
        <v>% of fuel shifted</v>
      </c>
      <c r="P910" s="275" t="str">
        <f>IF(ISBLANK(INDEX('Policy Characteristics'!J:J,MATCH($C910,'Policy Characteristics'!$C:$C,0))),"",INDEX('Policy Characteristics'!J:J,MATCH($C910,'Policy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0" s="275" t="str">
        <f>IF(ISBLANK(INDEX('Policy Characteristics'!K:K,MATCH($C910,'Policy Characteristics'!$C:$C,0))),"",INDEX('Policy Characteristics'!K:K,MATCH($C910,'Policy Characteristics'!$C:$C,0)))</f>
        <v>industry-ag-main.html#fuel-switching</v>
      </c>
      <c r="R910" s="275" t="str">
        <f>IF(ISBLANK(INDEX('Policy Characteristics'!L:L,MATCH($C910,'Policy Characteristics'!$C:$C,0))),"",INDEX('Policy Characteristics'!L:L,MATCH($C910,'Policy Characteristics'!$C:$C,0)))</f>
        <v>industry-elec-and-hydrogen.html</v>
      </c>
    </row>
    <row r="911" spans="1:18" s="2" customFormat="1" x14ac:dyDescent="0.25">
      <c r="A911" s="275" t="str">
        <f>IF(ISBLANK(INDEX('Policy Characteristics'!A:A,MATCH($C911,'Policy Characteristics'!$C:$C,0))),"",INDEX('Policy Characteristics'!A:A,MATCH($C911,'Policy Characteristics'!$C:$C,0)))</f>
        <v>Industry</v>
      </c>
      <c r="B911" s="284" t="str">
        <f>IF(ISBLANK(INDEX('Policy Characteristics'!B:B,MATCH($C911,'Policy Characteristics'!$C:$C,0))),"",INDEX('Policy Characteristics'!B:B,MATCH($C911,'Policy Characteristics'!$C:$C,0)))</f>
        <v>Hydrogen Combustion</v>
      </c>
      <c r="C911" s="275" t="str">
        <f t="shared" si="39"/>
        <v>Fraction of Eligible Industrial Energy Use Shifted to Hydrogen</v>
      </c>
      <c r="D911" s="6" t="s">
        <v>3087</v>
      </c>
      <c r="E911" s="1" t="s">
        <v>3550</v>
      </c>
      <c r="F911" t="s">
        <v>3049</v>
      </c>
      <c r="G911" s="47" t="s">
        <v>3557</v>
      </c>
      <c r="H911" s="44">
        <v>2173</v>
      </c>
      <c r="I911" s="346" t="s">
        <v>43</v>
      </c>
      <c r="J911" s="276" t="str">
        <f>IF(ISBLANK(INDEX('Policy Characteristics'!D:D,MATCH($C911,'Policy Characteristics'!$C:$C,0))),"",INDEX('Policy Characteristics'!D:D,MATCH($C911,'Policy Characteristics'!$C:$C,0)))</f>
        <v>Hydrogen Combustion</v>
      </c>
      <c r="K911" s="275" t="str">
        <f>IF(ISBLANK(INDEX('Policy Characteristics'!E:E,MATCH($C911,'Policy Characteristics'!$C:$C,0))),"",INDEX('Policy Characteristics'!E:E,MATCH($C911,'Policy Characteristics'!$C:$C,0)))</f>
        <v>indst shift to hydrogen</v>
      </c>
      <c r="L911" s="283">
        <f>IF(ISBLANK(INDEX('Policy Characteristics'!F:F,MATCH($C911,'Policy Characteristics'!$C:$C,0))),"",INDEX('Policy Characteristics'!F:F,MATCH($C911,'Policy Characteristics'!$C:$C,0)))</f>
        <v>0</v>
      </c>
      <c r="M911" s="283">
        <f>IF(ISBLANK(INDEX('Policy Characteristics'!G:G,MATCH($C911,'Policy Characteristics'!$C:$C,0))),"",INDEX('Policy Characteristics'!G:G,MATCH($C911,'Policy Characteristics'!$C:$C,0)))</f>
        <v>1</v>
      </c>
      <c r="N911" s="283">
        <f>IF(ISBLANK(INDEX('Policy Characteristics'!H:H,MATCH($C911,'Policy Characteristics'!$C:$C,0))),"",INDEX('Policy Characteristics'!H:H,MATCH($C911,'Policy Characteristics'!$C:$C,0)))</f>
        <v>0.01</v>
      </c>
      <c r="O911" s="275" t="str">
        <f>IF(ISBLANK(INDEX('Policy Characteristics'!I:I,MATCH($C911,'Policy Characteristics'!$C:$C,0))),"",INDEX('Policy Characteristics'!I:I,MATCH($C911,'Policy Characteristics'!$C:$C,0)))</f>
        <v>% of fuel shifted</v>
      </c>
      <c r="P911" s="275" t="str">
        <f>IF(ISBLANK(INDEX('Policy Characteristics'!J:J,MATCH($C911,'Policy Characteristics'!$C:$C,0))),"",INDEX('Policy Characteristics'!J:J,MATCH($C911,'Policy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1" s="275" t="str">
        <f>IF(ISBLANK(INDEX('Policy Characteristics'!K:K,MATCH($C911,'Policy Characteristics'!$C:$C,0))),"",INDEX('Policy Characteristics'!K:K,MATCH($C911,'Policy Characteristics'!$C:$C,0)))</f>
        <v>industry-ag-main.html#fuel-switching</v>
      </c>
      <c r="R911" s="275" t="str">
        <f>IF(ISBLANK(INDEX('Policy Characteristics'!L:L,MATCH($C911,'Policy Characteristics'!$C:$C,0))),"",INDEX('Policy Characteristics'!L:L,MATCH($C911,'Policy Characteristics'!$C:$C,0)))</f>
        <v>industry-elec-and-hydrogen.html</v>
      </c>
    </row>
    <row r="912" spans="1:18" s="2" customFormat="1" x14ac:dyDescent="0.25">
      <c r="A912" s="275" t="str">
        <f>IF(ISBLANK(INDEX('Policy Characteristics'!A:A,MATCH($C912,'Policy Characteristics'!$C:$C,0))),"",INDEX('Policy Characteristics'!A:A,MATCH($C912,'Policy Characteristics'!$C:$C,0)))</f>
        <v>Industry</v>
      </c>
      <c r="B912" s="284" t="str">
        <f>IF(ISBLANK(INDEX('Policy Characteristics'!B:B,MATCH($C912,'Policy Characteristics'!$C:$C,0))),"",INDEX('Policy Characteristics'!B:B,MATCH($C912,'Policy Characteristics'!$C:$C,0)))</f>
        <v>Hydrogen Combustion</v>
      </c>
      <c r="C912" s="275" t="str">
        <f t="shared" si="39"/>
        <v>Fraction of Eligible Industrial Energy Use Shifted to Hydrogen</v>
      </c>
      <c r="D912" s="6" t="s">
        <v>3087</v>
      </c>
      <c r="E912" s="1" t="s">
        <v>3551</v>
      </c>
      <c r="F912" t="s">
        <v>3049</v>
      </c>
      <c r="G912" s="47" t="s">
        <v>3558</v>
      </c>
      <c r="H912" s="44">
        <v>2174</v>
      </c>
      <c r="I912" s="346" t="s">
        <v>44</v>
      </c>
      <c r="J912" s="276" t="str">
        <f>IF(ISBLANK(INDEX('Policy Characteristics'!D:D,MATCH($C912,'Policy Characteristics'!$C:$C,0))),"",INDEX('Policy Characteristics'!D:D,MATCH($C912,'Policy Characteristics'!$C:$C,0)))</f>
        <v>Hydrogen Combustion</v>
      </c>
      <c r="K912" s="275" t="str">
        <f>IF(ISBLANK(INDEX('Policy Characteristics'!E:E,MATCH($C912,'Policy Characteristics'!$C:$C,0))),"",INDEX('Policy Characteristics'!E:E,MATCH($C912,'Policy Characteristics'!$C:$C,0)))</f>
        <v>indst shift to hydrogen</v>
      </c>
      <c r="L912" s="283">
        <f>IF(ISBLANK(INDEX('Policy Characteristics'!F:F,MATCH($C912,'Policy Characteristics'!$C:$C,0))),"",INDEX('Policy Characteristics'!F:F,MATCH($C912,'Policy Characteristics'!$C:$C,0)))</f>
        <v>0</v>
      </c>
      <c r="M912" s="283">
        <f>IF(ISBLANK(INDEX('Policy Characteristics'!G:G,MATCH($C912,'Policy Characteristics'!$C:$C,0))),"",INDEX('Policy Characteristics'!G:G,MATCH($C912,'Policy Characteristics'!$C:$C,0)))</f>
        <v>1</v>
      </c>
      <c r="N912" s="283">
        <f>IF(ISBLANK(INDEX('Policy Characteristics'!H:H,MATCH($C912,'Policy Characteristics'!$C:$C,0))),"",INDEX('Policy Characteristics'!H:H,MATCH($C912,'Policy Characteristics'!$C:$C,0)))</f>
        <v>0.01</v>
      </c>
      <c r="O912" s="275" t="str">
        <f>IF(ISBLANK(INDEX('Policy Characteristics'!I:I,MATCH($C912,'Policy Characteristics'!$C:$C,0))),"",INDEX('Policy Characteristics'!I:I,MATCH($C912,'Policy Characteristics'!$C:$C,0)))</f>
        <v>% of fuel shifted</v>
      </c>
      <c r="P912" s="275" t="str">
        <f>IF(ISBLANK(INDEX('Policy Characteristics'!J:J,MATCH($C912,'Policy Characteristics'!$C:$C,0))),"",INDEX('Policy Characteristics'!J:J,MATCH($C912,'Policy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2" s="275" t="str">
        <f>IF(ISBLANK(INDEX('Policy Characteristics'!K:K,MATCH($C912,'Policy Characteristics'!$C:$C,0))),"",INDEX('Policy Characteristics'!K:K,MATCH($C912,'Policy Characteristics'!$C:$C,0)))</f>
        <v>industry-ag-main.html#fuel-switching</v>
      </c>
      <c r="R912" s="275" t="str">
        <f>IF(ISBLANK(INDEX('Policy Characteristics'!L:L,MATCH($C912,'Policy Characteristics'!$C:$C,0))),"",INDEX('Policy Characteristics'!L:L,MATCH($C912,'Policy Characteristics'!$C:$C,0)))</f>
        <v>industry-elec-and-hydrogen.html</v>
      </c>
    </row>
    <row r="913" spans="1:18" s="2" customFormat="1" x14ac:dyDescent="0.25">
      <c r="A913" s="275" t="str">
        <f>IF(ISBLANK(INDEX('Policy Characteristics'!A:A,MATCH($C913,'Policy Characteristics'!$C:$C,0))),"",INDEX('Policy Characteristics'!A:A,MATCH($C913,'Policy Characteristics'!$C:$C,0)))</f>
        <v>Industry</v>
      </c>
      <c r="B913" s="284" t="str">
        <f>IF(ISBLANK(INDEX('Policy Characteristics'!B:B,MATCH($C913,'Policy Characteristics'!$C:$C,0))),"",INDEX('Policy Characteristics'!B:B,MATCH($C913,'Policy Characteristics'!$C:$C,0)))</f>
        <v>Hydrogen Combustion</v>
      </c>
      <c r="C913" s="275" t="str">
        <f t="shared" si="39"/>
        <v>Fraction of Eligible Industrial Energy Use Shifted to Hydrogen</v>
      </c>
      <c r="D913" s="6" t="s">
        <v>3087</v>
      </c>
      <c r="E913" s="1" t="s">
        <v>3552</v>
      </c>
      <c r="F913" t="s">
        <v>3049</v>
      </c>
      <c r="G913" s="47" t="s">
        <v>3559</v>
      </c>
      <c r="H913" s="44">
        <v>2175</v>
      </c>
      <c r="I913" s="346" t="s">
        <v>44</v>
      </c>
      <c r="J913" s="276" t="str">
        <f>IF(ISBLANK(INDEX('Policy Characteristics'!D:D,MATCH($C913,'Policy Characteristics'!$C:$C,0))),"",INDEX('Policy Characteristics'!D:D,MATCH($C913,'Policy Characteristics'!$C:$C,0)))</f>
        <v>Hydrogen Combustion</v>
      </c>
      <c r="K913" s="275" t="str">
        <f>IF(ISBLANK(INDEX('Policy Characteristics'!E:E,MATCH($C913,'Policy Characteristics'!$C:$C,0))),"",INDEX('Policy Characteristics'!E:E,MATCH($C913,'Policy Characteristics'!$C:$C,0)))</f>
        <v>indst shift to hydrogen</v>
      </c>
      <c r="L913" s="283">
        <f>IF(ISBLANK(INDEX('Policy Characteristics'!F:F,MATCH($C913,'Policy Characteristics'!$C:$C,0))),"",INDEX('Policy Characteristics'!F:F,MATCH($C913,'Policy Characteristics'!$C:$C,0)))</f>
        <v>0</v>
      </c>
      <c r="M913" s="283">
        <f>IF(ISBLANK(INDEX('Policy Characteristics'!G:G,MATCH($C913,'Policy Characteristics'!$C:$C,0))),"",INDEX('Policy Characteristics'!G:G,MATCH($C913,'Policy Characteristics'!$C:$C,0)))</f>
        <v>1</v>
      </c>
      <c r="N913" s="283">
        <f>IF(ISBLANK(INDEX('Policy Characteristics'!H:H,MATCH($C913,'Policy Characteristics'!$C:$C,0))),"",INDEX('Policy Characteristics'!H:H,MATCH($C913,'Policy Characteristics'!$C:$C,0)))</f>
        <v>0.01</v>
      </c>
      <c r="O913" s="275" t="str">
        <f>IF(ISBLANK(INDEX('Policy Characteristics'!I:I,MATCH($C913,'Policy Characteristics'!$C:$C,0))),"",INDEX('Policy Characteristics'!I:I,MATCH($C913,'Policy Characteristics'!$C:$C,0)))</f>
        <v>% of fuel shifted</v>
      </c>
      <c r="P913" s="275" t="str">
        <f>IF(ISBLANK(INDEX('Policy Characteristics'!J:J,MATCH($C913,'Policy Characteristics'!$C:$C,0))),"",INDEX('Policy Characteristics'!J:J,MATCH($C913,'Policy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3" s="275" t="str">
        <f>IF(ISBLANK(INDEX('Policy Characteristics'!K:K,MATCH($C913,'Policy Characteristics'!$C:$C,0))),"",INDEX('Policy Characteristics'!K:K,MATCH($C913,'Policy Characteristics'!$C:$C,0)))</f>
        <v>industry-ag-main.html#fuel-switching</v>
      </c>
      <c r="R913" s="275" t="str">
        <f>IF(ISBLANK(INDEX('Policy Characteristics'!L:L,MATCH($C913,'Policy Characteristics'!$C:$C,0))),"",INDEX('Policy Characteristics'!L:L,MATCH($C913,'Policy Characteristics'!$C:$C,0)))</f>
        <v>industry-elec-and-hydrogen.html</v>
      </c>
    </row>
    <row r="914" spans="1:18" s="2" customFormat="1" x14ac:dyDescent="0.25">
      <c r="A914" s="275" t="str">
        <f>IF(ISBLANK(INDEX('Policy Characteristics'!A:A,MATCH($C914,'Policy Characteristics'!$C:$C,0))),"",INDEX('Policy Characteristics'!A:A,MATCH($C914,'Policy Characteristics'!$C:$C,0)))</f>
        <v>Industry</v>
      </c>
      <c r="B914" s="284" t="str">
        <f>IF(ISBLANK(INDEX('Policy Characteristics'!B:B,MATCH($C914,'Policy Characteristics'!$C:$C,0))),"",INDEX('Policy Characteristics'!B:B,MATCH($C914,'Policy Characteristics'!$C:$C,0)))</f>
        <v>Hydrogen Combustion</v>
      </c>
      <c r="C914" s="275" t="str">
        <f t="shared" si="39"/>
        <v>Fraction of Eligible Industrial Energy Use Shifted to Hydrogen</v>
      </c>
      <c r="D914" s="6" t="s">
        <v>3087</v>
      </c>
      <c r="E914" s="1" t="s">
        <v>3553</v>
      </c>
      <c r="F914" t="s">
        <v>3049</v>
      </c>
      <c r="G914" s="47" t="s">
        <v>3560</v>
      </c>
      <c r="H914" s="44">
        <v>2176</v>
      </c>
      <c r="I914" s="346" t="s">
        <v>44</v>
      </c>
      <c r="J914" s="276" t="str">
        <f>IF(ISBLANK(INDEX('Policy Characteristics'!D:D,MATCH($C914,'Policy Characteristics'!$C:$C,0))),"",INDEX('Policy Characteristics'!D:D,MATCH($C914,'Policy Characteristics'!$C:$C,0)))</f>
        <v>Hydrogen Combustion</v>
      </c>
      <c r="K914" s="275" t="str">
        <f>IF(ISBLANK(INDEX('Policy Characteristics'!E:E,MATCH($C914,'Policy Characteristics'!$C:$C,0))),"",INDEX('Policy Characteristics'!E:E,MATCH($C914,'Policy Characteristics'!$C:$C,0)))</f>
        <v>indst shift to hydrogen</v>
      </c>
      <c r="L914" s="283">
        <f>IF(ISBLANK(INDEX('Policy Characteristics'!F:F,MATCH($C914,'Policy Characteristics'!$C:$C,0))),"",INDEX('Policy Characteristics'!F:F,MATCH($C914,'Policy Characteristics'!$C:$C,0)))</f>
        <v>0</v>
      </c>
      <c r="M914" s="283">
        <f>IF(ISBLANK(INDEX('Policy Characteristics'!G:G,MATCH($C914,'Policy Characteristics'!$C:$C,0))),"",INDEX('Policy Characteristics'!G:G,MATCH($C914,'Policy Characteristics'!$C:$C,0)))</f>
        <v>1</v>
      </c>
      <c r="N914" s="283">
        <f>IF(ISBLANK(INDEX('Policy Characteristics'!H:H,MATCH($C914,'Policy Characteristics'!$C:$C,0))),"",INDEX('Policy Characteristics'!H:H,MATCH($C914,'Policy Characteristics'!$C:$C,0)))</f>
        <v>0.01</v>
      </c>
      <c r="O914" s="275" t="str">
        <f>IF(ISBLANK(INDEX('Policy Characteristics'!I:I,MATCH($C914,'Policy Characteristics'!$C:$C,0))),"",INDEX('Policy Characteristics'!I:I,MATCH($C914,'Policy Characteristics'!$C:$C,0)))</f>
        <v>% of fuel shifted</v>
      </c>
      <c r="P914" s="275" t="str">
        <f>IF(ISBLANK(INDEX('Policy Characteristics'!J:J,MATCH($C914,'Policy Characteristics'!$C:$C,0))),"",INDEX('Policy Characteristics'!J:J,MATCH($C914,'Policy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4" s="275" t="str">
        <f>IF(ISBLANK(INDEX('Policy Characteristics'!K:K,MATCH($C914,'Policy Characteristics'!$C:$C,0))),"",INDEX('Policy Characteristics'!K:K,MATCH($C914,'Policy Characteristics'!$C:$C,0)))</f>
        <v>industry-ag-main.html#fuel-switching</v>
      </c>
      <c r="R914" s="275" t="str">
        <f>IF(ISBLANK(INDEX('Policy Characteristics'!L:L,MATCH($C914,'Policy Characteristics'!$C:$C,0))),"",INDEX('Policy Characteristics'!L:L,MATCH($C914,'Policy Characteristics'!$C:$C,0)))</f>
        <v>industry-elec-and-hydrogen.html</v>
      </c>
    </row>
    <row r="915" spans="1:18" s="2" customFormat="1" x14ac:dyDescent="0.25">
      <c r="A915" s="275" t="str">
        <f>IF(ISBLANK(INDEX('Policy Characteristics'!A:A,MATCH($C915,'Policy Characteristics'!$C:$C,0))),"",INDEX('Policy Characteristics'!A:A,MATCH($C915,'Policy Characteristics'!$C:$C,0)))</f>
        <v>Industry</v>
      </c>
      <c r="B915" s="284" t="str">
        <f>IF(ISBLANK(INDEX('Policy Characteristics'!B:B,MATCH($C915,'Policy Characteristics'!$C:$C,0))),"",INDEX('Policy Characteristics'!B:B,MATCH($C915,'Policy Characteristics'!$C:$C,0)))</f>
        <v>Hydrogen Combustion</v>
      </c>
      <c r="C915" s="275" t="str">
        <f t="shared" si="39"/>
        <v>Fraction of Eligible Industrial Energy Use Shifted to Hydrogen</v>
      </c>
      <c r="D915" s="6" t="s">
        <v>3087</v>
      </c>
      <c r="E915" s="1" t="s">
        <v>3737</v>
      </c>
      <c r="F915" t="s">
        <v>3049</v>
      </c>
      <c r="G915" s="47" t="s">
        <v>3738</v>
      </c>
      <c r="H915" s="44">
        <v>2177</v>
      </c>
      <c r="I915" s="346" t="s">
        <v>44</v>
      </c>
      <c r="J915" s="276" t="str">
        <f>IF(ISBLANK(INDEX('Policy Characteristics'!D:D,MATCH($C915,'Policy Characteristics'!$C:$C,0))),"",INDEX('Policy Characteristics'!D:D,MATCH($C915,'Policy Characteristics'!$C:$C,0)))</f>
        <v>Hydrogen Combustion</v>
      </c>
      <c r="K915" s="275" t="str">
        <f>IF(ISBLANK(INDEX('Policy Characteristics'!E:E,MATCH($C915,'Policy Characteristics'!$C:$C,0))),"",INDEX('Policy Characteristics'!E:E,MATCH($C915,'Policy Characteristics'!$C:$C,0)))</f>
        <v>indst shift to hydrogen</v>
      </c>
      <c r="L915" s="283">
        <f>IF(ISBLANK(INDEX('Policy Characteristics'!F:F,MATCH($C915,'Policy Characteristics'!$C:$C,0))),"",INDEX('Policy Characteristics'!F:F,MATCH($C915,'Policy Characteristics'!$C:$C,0)))</f>
        <v>0</v>
      </c>
      <c r="M915" s="283">
        <f>IF(ISBLANK(INDEX('Policy Characteristics'!G:G,MATCH($C915,'Policy Characteristics'!$C:$C,0))),"",INDEX('Policy Characteristics'!G:G,MATCH($C915,'Policy Characteristics'!$C:$C,0)))</f>
        <v>1</v>
      </c>
      <c r="N915" s="283">
        <f>IF(ISBLANK(INDEX('Policy Characteristics'!H:H,MATCH($C915,'Policy Characteristics'!$C:$C,0))),"",INDEX('Policy Characteristics'!H:H,MATCH($C915,'Policy Characteristics'!$C:$C,0)))</f>
        <v>0.01</v>
      </c>
      <c r="O915" s="275" t="str">
        <f>IF(ISBLANK(INDEX('Policy Characteristics'!I:I,MATCH($C915,'Policy Characteristics'!$C:$C,0))),"",INDEX('Policy Characteristics'!I:I,MATCH($C915,'Policy Characteristics'!$C:$C,0)))</f>
        <v>% of fuel shifted</v>
      </c>
      <c r="P915" s="275" t="str">
        <f>IF(ISBLANK(INDEX('Policy Characteristics'!J:J,MATCH($C915,'Policy Characteristics'!$C:$C,0))),"",INDEX('Policy Characteristics'!J:J,MATCH($C915,'Policy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5" s="275" t="str">
        <f>IF(ISBLANK(INDEX('Policy Characteristics'!K:K,MATCH($C915,'Policy Characteristics'!$C:$C,0))),"",INDEX('Policy Characteristics'!K:K,MATCH($C915,'Policy Characteristics'!$C:$C,0)))</f>
        <v>industry-ag-main.html#fuel-switching</v>
      </c>
      <c r="R915" s="275" t="str">
        <f>IF(ISBLANK(INDEX('Policy Characteristics'!L:L,MATCH($C915,'Policy Characteristics'!$C:$C,0))),"",INDEX('Policy Characteristics'!L:L,MATCH($C915,'Policy Characteristics'!$C:$C,0)))</f>
        <v>industry-elec-and-hydrogen.html</v>
      </c>
    </row>
    <row r="916" spans="1:18" s="2" customFormat="1" x14ac:dyDescent="0.25">
      <c r="A916" s="275" t="str">
        <f>IF(ISBLANK(INDEX('Policy Characteristics'!A:A,MATCH($C916,'Policy Characteristics'!$C:$C,0))),"",INDEX('Policy Characteristics'!A:A,MATCH($C916,'Policy Characteristics'!$C:$C,0)))</f>
        <v>Industry</v>
      </c>
      <c r="B916" s="284" t="str">
        <f>IF(ISBLANK(INDEX('Policy Characteristics'!B:B,MATCH($C916,'Policy Characteristics'!$C:$C,0))),"",INDEX('Policy Characteristics'!B:B,MATCH($C916,'Policy Characteristics'!$C:$C,0)))</f>
        <v>Hydrogen Combustion</v>
      </c>
      <c r="C916" s="275" t="str">
        <f t="shared" si="39"/>
        <v>Fraction of Eligible Industrial Energy Use Shifted to Hydrogen</v>
      </c>
      <c r="D916" s="6" t="s">
        <v>3088</v>
      </c>
      <c r="E916" s="1" t="s">
        <v>3547</v>
      </c>
      <c r="F916" t="s">
        <v>3050</v>
      </c>
      <c r="G916" s="47" t="s">
        <v>3554</v>
      </c>
      <c r="H916" s="44">
        <v>2178</v>
      </c>
      <c r="I916" s="346" t="s">
        <v>43</v>
      </c>
      <c r="J916" s="276" t="str">
        <f>IF(ISBLANK(INDEX('Policy Characteristics'!D:D,MATCH($C916,'Policy Characteristics'!$C:$C,0))),"",INDEX('Policy Characteristics'!D:D,MATCH($C916,'Policy Characteristics'!$C:$C,0)))</f>
        <v>Hydrogen Combustion</v>
      </c>
      <c r="K916" s="275" t="str">
        <f>IF(ISBLANK(INDEX('Policy Characteristics'!E:E,MATCH($C916,'Policy Characteristics'!$C:$C,0))),"",INDEX('Policy Characteristics'!E:E,MATCH($C916,'Policy Characteristics'!$C:$C,0)))</f>
        <v>indst shift to hydrogen</v>
      </c>
      <c r="L916" s="283">
        <f>IF(ISBLANK(INDEX('Policy Characteristics'!F:F,MATCH($C916,'Policy Characteristics'!$C:$C,0))),"",INDEX('Policy Characteristics'!F:F,MATCH($C916,'Policy Characteristics'!$C:$C,0)))</f>
        <v>0</v>
      </c>
      <c r="M916" s="283">
        <f>IF(ISBLANK(INDEX('Policy Characteristics'!G:G,MATCH($C916,'Policy Characteristics'!$C:$C,0))),"",INDEX('Policy Characteristics'!G:G,MATCH($C916,'Policy Characteristics'!$C:$C,0)))</f>
        <v>1</v>
      </c>
      <c r="N916" s="283">
        <f>IF(ISBLANK(INDEX('Policy Characteristics'!H:H,MATCH($C916,'Policy Characteristics'!$C:$C,0))),"",INDEX('Policy Characteristics'!H:H,MATCH($C916,'Policy Characteristics'!$C:$C,0)))</f>
        <v>0.01</v>
      </c>
      <c r="O916" s="275" t="str">
        <f>IF(ISBLANK(INDEX('Policy Characteristics'!I:I,MATCH($C916,'Policy Characteristics'!$C:$C,0))),"",INDEX('Policy Characteristics'!I:I,MATCH($C916,'Policy Characteristics'!$C:$C,0)))</f>
        <v>% of fuel shifted</v>
      </c>
      <c r="P916" s="275" t="str">
        <f>IF(ISBLANK(INDEX('Policy Characteristics'!J:J,MATCH($C916,'Policy Characteristics'!$C:$C,0))),"",INDEX('Policy Characteristics'!J:J,MATCH($C916,'Policy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6" s="275" t="str">
        <f>IF(ISBLANK(INDEX('Policy Characteristics'!K:K,MATCH($C916,'Policy Characteristics'!$C:$C,0))),"",INDEX('Policy Characteristics'!K:K,MATCH($C916,'Policy Characteristics'!$C:$C,0)))</f>
        <v>industry-ag-main.html#fuel-switching</v>
      </c>
      <c r="R916" s="275" t="str">
        <f>IF(ISBLANK(INDEX('Policy Characteristics'!L:L,MATCH($C916,'Policy Characteristics'!$C:$C,0))),"",INDEX('Policy Characteristics'!L:L,MATCH($C916,'Policy Characteristics'!$C:$C,0)))</f>
        <v>industry-elec-and-hydrogen.html</v>
      </c>
    </row>
    <row r="917" spans="1:18" s="2" customFormat="1" x14ac:dyDescent="0.25">
      <c r="A917" s="275" t="str">
        <f>IF(ISBLANK(INDEX('Policy Characteristics'!A:A,MATCH($C917,'Policy Characteristics'!$C:$C,0))),"",INDEX('Policy Characteristics'!A:A,MATCH($C917,'Policy Characteristics'!$C:$C,0)))</f>
        <v>Industry</v>
      </c>
      <c r="B917" s="284" t="str">
        <f>IF(ISBLANK(INDEX('Policy Characteristics'!B:B,MATCH($C917,'Policy Characteristics'!$C:$C,0))),"",INDEX('Policy Characteristics'!B:B,MATCH($C917,'Policy Characteristics'!$C:$C,0)))</f>
        <v>Hydrogen Combustion</v>
      </c>
      <c r="C917" s="275" t="str">
        <f t="shared" si="39"/>
        <v>Fraction of Eligible Industrial Energy Use Shifted to Hydrogen</v>
      </c>
      <c r="D917" s="6" t="s">
        <v>3088</v>
      </c>
      <c r="E917" s="1" t="s">
        <v>3548</v>
      </c>
      <c r="F917" t="s">
        <v>3050</v>
      </c>
      <c r="G917" s="47" t="s">
        <v>3555</v>
      </c>
      <c r="H917" s="44">
        <v>2179</v>
      </c>
      <c r="I917" s="346" t="s">
        <v>43</v>
      </c>
      <c r="J917" s="276" t="str">
        <f>IF(ISBLANK(INDEX('Policy Characteristics'!D:D,MATCH($C917,'Policy Characteristics'!$C:$C,0))),"",INDEX('Policy Characteristics'!D:D,MATCH($C917,'Policy Characteristics'!$C:$C,0)))</f>
        <v>Hydrogen Combustion</v>
      </c>
      <c r="K917" s="275" t="str">
        <f>IF(ISBLANK(INDEX('Policy Characteristics'!E:E,MATCH($C917,'Policy Characteristics'!$C:$C,0))),"",INDEX('Policy Characteristics'!E:E,MATCH($C917,'Policy Characteristics'!$C:$C,0)))</f>
        <v>indst shift to hydrogen</v>
      </c>
      <c r="L917" s="283">
        <f>IF(ISBLANK(INDEX('Policy Characteristics'!F:F,MATCH($C917,'Policy Characteristics'!$C:$C,0))),"",INDEX('Policy Characteristics'!F:F,MATCH($C917,'Policy Characteristics'!$C:$C,0)))</f>
        <v>0</v>
      </c>
      <c r="M917" s="283">
        <f>IF(ISBLANK(INDEX('Policy Characteristics'!G:G,MATCH($C917,'Policy Characteristics'!$C:$C,0))),"",INDEX('Policy Characteristics'!G:G,MATCH($C917,'Policy Characteristics'!$C:$C,0)))</f>
        <v>1</v>
      </c>
      <c r="N917" s="283">
        <f>IF(ISBLANK(INDEX('Policy Characteristics'!H:H,MATCH($C917,'Policy Characteristics'!$C:$C,0))),"",INDEX('Policy Characteristics'!H:H,MATCH($C917,'Policy Characteristics'!$C:$C,0)))</f>
        <v>0.01</v>
      </c>
      <c r="O917" s="275" t="str">
        <f>IF(ISBLANK(INDEX('Policy Characteristics'!I:I,MATCH($C917,'Policy Characteristics'!$C:$C,0))),"",INDEX('Policy Characteristics'!I:I,MATCH($C917,'Policy Characteristics'!$C:$C,0)))</f>
        <v>% of fuel shifted</v>
      </c>
      <c r="P917" s="275" t="str">
        <f>IF(ISBLANK(INDEX('Policy Characteristics'!J:J,MATCH($C917,'Policy Characteristics'!$C:$C,0))),"",INDEX('Policy Characteristics'!J:J,MATCH($C917,'Policy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7" s="275" t="str">
        <f>IF(ISBLANK(INDEX('Policy Characteristics'!K:K,MATCH($C917,'Policy Characteristics'!$C:$C,0))),"",INDEX('Policy Characteristics'!K:K,MATCH($C917,'Policy Characteristics'!$C:$C,0)))</f>
        <v>industry-ag-main.html#fuel-switching</v>
      </c>
      <c r="R917" s="275" t="str">
        <f>IF(ISBLANK(INDEX('Policy Characteristics'!L:L,MATCH($C917,'Policy Characteristics'!$C:$C,0))),"",INDEX('Policy Characteristics'!L:L,MATCH($C917,'Policy Characteristics'!$C:$C,0)))</f>
        <v>industry-elec-and-hydrogen.html</v>
      </c>
    </row>
    <row r="918" spans="1:18" s="2" customFormat="1" x14ac:dyDescent="0.25">
      <c r="A918" s="275" t="str">
        <f>IF(ISBLANK(INDEX('Policy Characteristics'!A:A,MATCH($C918,'Policy Characteristics'!$C:$C,0))),"",INDEX('Policy Characteristics'!A:A,MATCH($C918,'Policy Characteristics'!$C:$C,0)))</f>
        <v>Industry</v>
      </c>
      <c r="B918" s="284" t="str">
        <f>IF(ISBLANK(INDEX('Policy Characteristics'!B:B,MATCH($C918,'Policy Characteristics'!$C:$C,0))),"",INDEX('Policy Characteristics'!B:B,MATCH($C918,'Policy Characteristics'!$C:$C,0)))</f>
        <v>Hydrogen Combustion</v>
      </c>
      <c r="C918" s="275" t="str">
        <f t="shared" si="39"/>
        <v>Fraction of Eligible Industrial Energy Use Shifted to Hydrogen</v>
      </c>
      <c r="D918" s="6" t="s">
        <v>3088</v>
      </c>
      <c r="E918" s="1" t="s">
        <v>3549</v>
      </c>
      <c r="F918" t="s">
        <v>3050</v>
      </c>
      <c r="G918" s="47" t="s">
        <v>3556</v>
      </c>
      <c r="H918" s="44">
        <v>2180</v>
      </c>
      <c r="I918" s="346" t="s">
        <v>43</v>
      </c>
      <c r="J918" s="276" t="str">
        <f>IF(ISBLANK(INDEX('Policy Characteristics'!D:D,MATCH($C918,'Policy Characteristics'!$C:$C,0))),"",INDEX('Policy Characteristics'!D:D,MATCH($C918,'Policy Characteristics'!$C:$C,0)))</f>
        <v>Hydrogen Combustion</v>
      </c>
      <c r="K918" s="275" t="str">
        <f>IF(ISBLANK(INDEX('Policy Characteristics'!E:E,MATCH($C918,'Policy Characteristics'!$C:$C,0))),"",INDEX('Policy Characteristics'!E:E,MATCH($C918,'Policy Characteristics'!$C:$C,0)))</f>
        <v>indst shift to hydrogen</v>
      </c>
      <c r="L918" s="283">
        <f>IF(ISBLANK(INDEX('Policy Characteristics'!F:F,MATCH($C918,'Policy Characteristics'!$C:$C,0))),"",INDEX('Policy Characteristics'!F:F,MATCH($C918,'Policy Characteristics'!$C:$C,0)))</f>
        <v>0</v>
      </c>
      <c r="M918" s="283">
        <f>IF(ISBLANK(INDEX('Policy Characteristics'!G:G,MATCH($C918,'Policy Characteristics'!$C:$C,0))),"",INDEX('Policy Characteristics'!G:G,MATCH($C918,'Policy Characteristics'!$C:$C,0)))</f>
        <v>1</v>
      </c>
      <c r="N918" s="283">
        <f>IF(ISBLANK(INDEX('Policy Characteristics'!H:H,MATCH($C918,'Policy Characteristics'!$C:$C,0))),"",INDEX('Policy Characteristics'!H:H,MATCH($C918,'Policy Characteristics'!$C:$C,0)))</f>
        <v>0.01</v>
      </c>
      <c r="O918" s="275" t="str">
        <f>IF(ISBLANK(INDEX('Policy Characteristics'!I:I,MATCH($C918,'Policy Characteristics'!$C:$C,0))),"",INDEX('Policy Characteristics'!I:I,MATCH($C918,'Policy Characteristics'!$C:$C,0)))</f>
        <v>% of fuel shifted</v>
      </c>
      <c r="P918" s="275" t="str">
        <f>IF(ISBLANK(INDEX('Policy Characteristics'!J:J,MATCH($C918,'Policy Characteristics'!$C:$C,0))),"",INDEX('Policy Characteristics'!J:J,MATCH($C918,'Policy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8" s="275" t="str">
        <f>IF(ISBLANK(INDEX('Policy Characteristics'!K:K,MATCH($C918,'Policy Characteristics'!$C:$C,0))),"",INDEX('Policy Characteristics'!K:K,MATCH($C918,'Policy Characteristics'!$C:$C,0)))</f>
        <v>industry-ag-main.html#fuel-switching</v>
      </c>
      <c r="R918" s="275" t="str">
        <f>IF(ISBLANK(INDEX('Policy Characteristics'!L:L,MATCH($C918,'Policy Characteristics'!$C:$C,0))),"",INDEX('Policy Characteristics'!L:L,MATCH($C918,'Policy Characteristics'!$C:$C,0)))</f>
        <v>industry-elec-and-hydrogen.html</v>
      </c>
    </row>
    <row r="919" spans="1:18" s="2" customFormat="1" x14ac:dyDescent="0.25">
      <c r="A919" s="275" t="str">
        <f>IF(ISBLANK(INDEX('Policy Characteristics'!A:A,MATCH($C919,'Policy Characteristics'!$C:$C,0))),"",INDEX('Policy Characteristics'!A:A,MATCH($C919,'Policy Characteristics'!$C:$C,0)))</f>
        <v>Industry</v>
      </c>
      <c r="B919" s="284" t="str">
        <f>IF(ISBLANK(INDEX('Policy Characteristics'!B:B,MATCH($C919,'Policy Characteristics'!$C:$C,0))),"",INDEX('Policy Characteristics'!B:B,MATCH($C919,'Policy Characteristics'!$C:$C,0)))</f>
        <v>Hydrogen Combustion</v>
      </c>
      <c r="C919" s="275" t="str">
        <f t="shared" si="39"/>
        <v>Fraction of Eligible Industrial Energy Use Shifted to Hydrogen</v>
      </c>
      <c r="D919" s="6" t="s">
        <v>3088</v>
      </c>
      <c r="E919" s="1" t="s">
        <v>3550</v>
      </c>
      <c r="F919" t="s">
        <v>3050</v>
      </c>
      <c r="G919" s="47" t="s">
        <v>3557</v>
      </c>
      <c r="H919" s="44">
        <v>2181</v>
      </c>
      <c r="I919" s="346" t="s">
        <v>43</v>
      </c>
      <c r="J919" s="276" t="str">
        <f>IF(ISBLANK(INDEX('Policy Characteristics'!D:D,MATCH($C919,'Policy Characteristics'!$C:$C,0))),"",INDEX('Policy Characteristics'!D:D,MATCH($C919,'Policy Characteristics'!$C:$C,0)))</f>
        <v>Hydrogen Combustion</v>
      </c>
      <c r="K919" s="275" t="str">
        <f>IF(ISBLANK(INDEX('Policy Characteristics'!E:E,MATCH($C919,'Policy Characteristics'!$C:$C,0))),"",INDEX('Policy Characteristics'!E:E,MATCH($C919,'Policy Characteristics'!$C:$C,0)))</f>
        <v>indst shift to hydrogen</v>
      </c>
      <c r="L919" s="283">
        <f>IF(ISBLANK(INDEX('Policy Characteristics'!F:F,MATCH($C919,'Policy Characteristics'!$C:$C,0))),"",INDEX('Policy Characteristics'!F:F,MATCH($C919,'Policy Characteristics'!$C:$C,0)))</f>
        <v>0</v>
      </c>
      <c r="M919" s="283">
        <f>IF(ISBLANK(INDEX('Policy Characteristics'!G:G,MATCH($C919,'Policy Characteristics'!$C:$C,0))),"",INDEX('Policy Characteristics'!G:G,MATCH($C919,'Policy Characteristics'!$C:$C,0)))</f>
        <v>1</v>
      </c>
      <c r="N919" s="283">
        <f>IF(ISBLANK(INDEX('Policy Characteristics'!H:H,MATCH($C919,'Policy Characteristics'!$C:$C,0))),"",INDEX('Policy Characteristics'!H:H,MATCH($C919,'Policy Characteristics'!$C:$C,0)))</f>
        <v>0.01</v>
      </c>
      <c r="O919" s="275" t="str">
        <f>IF(ISBLANK(INDEX('Policy Characteristics'!I:I,MATCH($C919,'Policy Characteristics'!$C:$C,0))),"",INDEX('Policy Characteristics'!I:I,MATCH($C919,'Policy Characteristics'!$C:$C,0)))</f>
        <v>% of fuel shifted</v>
      </c>
      <c r="P919" s="275" t="str">
        <f>IF(ISBLANK(INDEX('Policy Characteristics'!J:J,MATCH($C919,'Policy Characteristics'!$C:$C,0))),"",INDEX('Policy Characteristics'!J:J,MATCH($C919,'Policy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9" s="275" t="str">
        <f>IF(ISBLANK(INDEX('Policy Characteristics'!K:K,MATCH($C919,'Policy Characteristics'!$C:$C,0))),"",INDEX('Policy Characteristics'!K:K,MATCH($C919,'Policy Characteristics'!$C:$C,0)))</f>
        <v>industry-ag-main.html#fuel-switching</v>
      </c>
      <c r="R919" s="275" t="str">
        <f>IF(ISBLANK(INDEX('Policy Characteristics'!L:L,MATCH($C919,'Policy Characteristics'!$C:$C,0))),"",INDEX('Policy Characteristics'!L:L,MATCH($C919,'Policy Characteristics'!$C:$C,0)))</f>
        <v>industry-elec-and-hydrogen.html</v>
      </c>
    </row>
    <row r="920" spans="1:18" s="2" customFormat="1" x14ac:dyDescent="0.25">
      <c r="A920" s="275" t="str">
        <f>IF(ISBLANK(INDEX('Policy Characteristics'!A:A,MATCH($C920,'Policy Characteristics'!$C:$C,0))),"",INDEX('Policy Characteristics'!A:A,MATCH($C920,'Policy Characteristics'!$C:$C,0)))</f>
        <v>Industry</v>
      </c>
      <c r="B920" s="284" t="str">
        <f>IF(ISBLANK(INDEX('Policy Characteristics'!B:B,MATCH($C920,'Policy Characteristics'!$C:$C,0))),"",INDEX('Policy Characteristics'!B:B,MATCH($C920,'Policy Characteristics'!$C:$C,0)))</f>
        <v>Hydrogen Combustion</v>
      </c>
      <c r="C920" s="275" t="str">
        <f t="shared" si="39"/>
        <v>Fraction of Eligible Industrial Energy Use Shifted to Hydrogen</v>
      </c>
      <c r="D920" s="6" t="s">
        <v>3088</v>
      </c>
      <c r="E920" s="1" t="s">
        <v>3551</v>
      </c>
      <c r="F920" t="s">
        <v>3050</v>
      </c>
      <c r="G920" s="47" t="s">
        <v>3558</v>
      </c>
      <c r="H920" s="44">
        <v>2182</v>
      </c>
      <c r="I920" s="346" t="s">
        <v>44</v>
      </c>
      <c r="J920" s="276" t="str">
        <f>IF(ISBLANK(INDEX('Policy Characteristics'!D:D,MATCH($C920,'Policy Characteristics'!$C:$C,0))),"",INDEX('Policy Characteristics'!D:D,MATCH($C920,'Policy Characteristics'!$C:$C,0)))</f>
        <v>Hydrogen Combustion</v>
      </c>
      <c r="K920" s="275" t="str">
        <f>IF(ISBLANK(INDEX('Policy Characteristics'!E:E,MATCH($C920,'Policy Characteristics'!$C:$C,0))),"",INDEX('Policy Characteristics'!E:E,MATCH($C920,'Policy Characteristics'!$C:$C,0)))</f>
        <v>indst shift to hydrogen</v>
      </c>
      <c r="L920" s="283">
        <f>IF(ISBLANK(INDEX('Policy Characteristics'!F:F,MATCH($C920,'Policy Characteristics'!$C:$C,0))),"",INDEX('Policy Characteristics'!F:F,MATCH($C920,'Policy Characteristics'!$C:$C,0)))</f>
        <v>0</v>
      </c>
      <c r="M920" s="283">
        <f>IF(ISBLANK(INDEX('Policy Characteristics'!G:G,MATCH($C920,'Policy Characteristics'!$C:$C,0))),"",INDEX('Policy Characteristics'!G:G,MATCH($C920,'Policy Characteristics'!$C:$C,0)))</f>
        <v>1</v>
      </c>
      <c r="N920" s="283">
        <f>IF(ISBLANK(INDEX('Policy Characteristics'!H:H,MATCH($C920,'Policy Characteristics'!$C:$C,0))),"",INDEX('Policy Characteristics'!H:H,MATCH($C920,'Policy Characteristics'!$C:$C,0)))</f>
        <v>0.01</v>
      </c>
      <c r="O920" s="275" t="str">
        <f>IF(ISBLANK(INDEX('Policy Characteristics'!I:I,MATCH($C920,'Policy Characteristics'!$C:$C,0))),"",INDEX('Policy Characteristics'!I:I,MATCH($C920,'Policy Characteristics'!$C:$C,0)))</f>
        <v>% of fuel shifted</v>
      </c>
      <c r="P920" s="275" t="str">
        <f>IF(ISBLANK(INDEX('Policy Characteristics'!J:J,MATCH($C920,'Policy Characteristics'!$C:$C,0))),"",INDEX('Policy Characteristics'!J:J,MATCH($C920,'Policy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0" s="275" t="str">
        <f>IF(ISBLANK(INDEX('Policy Characteristics'!K:K,MATCH($C920,'Policy Characteristics'!$C:$C,0))),"",INDEX('Policy Characteristics'!K:K,MATCH($C920,'Policy Characteristics'!$C:$C,0)))</f>
        <v>industry-ag-main.html#fuel-switching</v>
      </c>
      <c r="R920" s="275" t="str">
        <f>IF(ISBLANK(INDEX('Policy Characteristics'!L:L,MATCH($C920,'Policy Characteristics'!$C:$C,0))),"",INDEX('Policy Characteristics'!L:L,MATCH($C920,'Policy Characteristics'!$C:$C,0)))</f>
        <v>industry-elec-and-hydrogen.html</v>
      </c>
    </row>
    <row r="921" spans="1:18" s="2" customFormat="1" x14ac:dyDescent="0.25">
      <c r="A921" s="275" t="str">
        <f>IF(ISBLANK(INDEX('Policy Characteristics'!A:A,MATCH($C921,'Policy Characteristics'!$C:$C,0))),"",INDEX('Policy Characteristics'!A:A,MATCH($C921,'Policy Characteristics'!$C:$C,0)))</f>
        <v>Industry</v>
      </c>
      <c r="B921" s="284" t="str">
        <f>IF(ISBLANK(INDEX('Policy Characteristics'!B:B,MATCH($C921,'Policy Characteristics'!$C:$C,0))),"",INDEX('Policy Characteristics'!B:B,MATCH($C921,'Policy Characteristics'!$C:$C,0)))</f>
        <v>Hydrogen Combustion</v>
      </c>
      <c r="C921" s="275" t="str">
        <f t="shared" si="39"/>
        <v>Fraction of Eligible Industrial Energy Use Shifted to Hydrogen</v>
      </c>
      <c r="D921" s="6" t="s">
        <v>3088</v>
      </c>
      <c r="E921" s="1" t="s">
        <v>3552</v>
      </c>
      <c r="F921" t="s">
        <v>3050</v>
      </c>
      <c r="G921" s="47" t="s">
        <v>3559</v>
      </c>
      <c r="H921" s="44">
        <v>2183</v>
      </c>
      <c r="I921" s="346" t="s">
        <v>43</v>
      </c>
      <c r="J921" s="276" t="str">
        <f>IF(ISBLANK(INDEX('Policy Characteristics'!D:D,MATCH($C921,'Policy Characteristics'!$C:$C,0))),"",INDEX('Policy Characteristics'!D:D,MATCH($C921,'Policy Characteristics'!$C:$C,0)))</f>
        <v>Hydrogen Combustion</v>
      </c>
      <c r="K921" s="275" t="str">
        <f>IF(ISBLANK(INDEX('Policy Characteristics'!E:E,MATCH($C921,'Policy Characteristics'!$C:$C,0))),"",INDEX('Policy Characteristics'!E:E,MATCH($C921,'Policy Characteristics'!$C:$C,0)))</f>
        <v>indst shift to hydrogen</v>
      </c>
      <c r="L921" s="283">
        <f>IF(ISBLANK(INDEX('Policy Characteristics'!F:F,MATCH($C921,'Policy Characteristics'!$C:$C,0))),"",INDEX('Policy Characteristics'!F:F,MATCH($C921,'Policy Characteristics'!$C:$C,0)))</f>
        <v>0</v>
      </c>
      <c r="M921" s="283">
        <f>IF(ISBLANK(INDEX('Policy Characteristics'!G:G,MATCH($C921,'Policy Characteristics'!$C:$C,0))),"",INDEX('Policy Characteristics'!G:G,MATCH($C921,'Policy Characteristics'!$C:$C,0)))</f>
        <v>1</v>
      </c>
      <c r="N921" s="283">
        <f>IF(ISBLANK(INDEX('Policy Characteristics'!H:H,MATCH($C921,'Policy Characteristics'!$C:$C,0))),"",INDEX('Policy Characteristics'!H:H,MATCH($C921,'Policy Characteristics'!$C:$C,0)))</f>
        <v>0.01</v>
      </c>
      <c r="O921" s="275" t="str">
        <f>IF(ISBLANK(INDEX('Policy Characteristics'!I:I,MATCH($C921,'Policy Characteristics'!$C:$C,0))),"",INDEX('Policy Characteristics'!I:I,MATCH($C921,'Policy Characteristics'!$C:$C,0)))</f>
        <v>% of fuel shifted</v>
      </c>
      <c r="P921" s="275" t="str">
        <f>IF(ISBLANK(INDEX('Policy Characteristics'!J:J,MATCH($C921,'Policy Characteristics'!$C:$C,0))),"",INDEX('Policy Characteristics'!J:J,MATCH($C921,'Policy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1" s="275" t="str">
        <f>IF(ISBLANK(INDEX('Policy Characteristics'!K:K,MATCH($C921,'Policy Characteristics'!$C:$C,0))),"",INDEX('Policy Characteristics'!K:K,MATCH($C921,'Policy Characteristics'!$C:$C,0)))</f>
        <v>industry-ag-main.html#fuel-switching</v>
      </c>
      <c r="R921" s="275" t="str">
        <f>IF(ISBLANK(INDEX('Policy Characteristics'!L:L,MATCH($C921,'Policy Characteristics'!$C:$C,0))),"",INDEX('Policy Characteristics'!L:L,MATCH($C921,'Policy Characteristics'!$C:$C,0)))</f>
        <v>industry-elec-and-hydrogen.html</v>
      </c>
    </row>
    <row r="922" spans="1:18" s="2" customFormat="1" x14ac:dyDescent="0.25">
      <c r="A922" s="275" t="str">
        <f>IF(ISBLANK(INDEX('Policy Characteristics'!A:A,MATCH($C922,'Policy Characteristics'!$C:$C,0))),"",INDEX('Policy Characteristics'!A:A,MATCH($C922,'Policy Characteristics'!$C:$C,0)))</f>
        <v>Industry</v>
      </c>
      <c r="B922" s="284" t="str">
        <f>IF(ISBLANK(INDEX('Policy Characteristics'!B:B,MATCH($C922,'Policy Characteristics'!$C:$C,0))),"",INDEX('Policy Characteristics'!B:B,MATCH($C922,'Policy Characteristics'!$C:$C,0)))</f>
        <v>Hydrogen Combustion</v>
      </c>
      <c r="C922" s="275" t="str">
        <f t="shared" si="39"/>
        <v>Fraction of Eligible Industrial Energy Use Shifted to Hydrogen</v>
      </c>
      <c r="D922" s="6" t="s">
        <v>3088</v>
      </c>
      <c r="E922" s="1" t="s">
        <v>3553</v>
      </c>
      <c r="F922" t="s">
        <v>3050</v>
      </c>
      <c r="G922" s="47" t="s">
        <v>3560</v>
      </c>
      <c r="H922" s="44">
        <v>2184</v>
      </c>
      <c r="I922" s="346" t="s">
        <v>44</v>
      </c>
      <c r="J922" s="276" t="str">
        <f>IF(ISBLANK(INDEX('Policy Characteristics'!D:D,MATCH($C922,'Policy Characteristics'!$C:$C,0))),"",INDEX('Policy Characteristics'!D:D,MATCH($C922,'Policy Characteristics'!$C:$C,0)))</f>
        <v>Hydrogen Combustion</v>
      </c>
      <c r="K922" s="275" t="str">
        <f>IF(ISBLANK(INDEX('Policy Characteristics'!E:E,MATCH($C922,'Policy Characteristics'!$C:$C,0))),"",INDEX('Policy Characteristics'!E:E,MATCH($C922,'Policy Characteristics'!$C:$C,0)))</f>
        <v>indst shift to hydrogen</v>
      </c>
      <c r="L922" s="283">
        <f>IF(ISBLANK(INDEX('Policy Characteristics'!F:F,MATCH($C922,'Policy Characteristics'!$C:$C,0))),"",INDEX('Policy Characteristics'!F:F,MATCH($C922,'Policy Characteristics'!$C:$C,0)))</f>
        <v>0</v>
      </c>
      <c r="M922" s="283">
        <f>IF(ISBLANK(INDEX('Policy Characteristics'!G:G,MATCH($C922,'Policy Characteristics'!$C:$C,0))),"",INDEX('Policy Characteristics'!G:G,MATCH($C922,'Policy Characteristics'!$C:$C,0)))</f>
        <v>1</v>
      </c>
      <c r="N922" s="283">
        <f>IF(ISBLANK(INDEX('Policy Characteristics'!H:H,MATCH($C922,'Policy Characteristics'!$C:$C,0))),"",INDEX('Policy Characteristics'!H:H,MATCH($C922,'Policy Characteristics'!$C:$C,0)))</f>
        <v>0.01</v>
      </c>
      <c r="O922" s="275" t="str">
        <f>IF(ISBLANK(INDEX('Policy Characteristics'!I:I,MATCH($C922,'Policy Characteristics'!$C:$C,0))),"",INDEX('Policy Characteristics'!I:I,MATCH($C922,'Policy Characteristics'!$C:$C,0)))</f>
        <v>% of fuel shifted</v>
      </c>
      <c r="P922" s="275" t="str">
        <f>IF(ISBLANK(INDEX('Policy Characteristics'!J:J,MATCH($C922,'Policy Characteristics'!$C:$C,0))),"",INDEX('Policy Characteristics'!J:J,MATCH($C922,'Policy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2" s="275" t="str">
        <f>IF(ISBLANK(INDEX('Policy Characteristics'!K:K,MATCH($C922,'Policy Characteristics'!$C:$C,0))),"",INDEX('Policy Characteristics'!K:K,MATCH($C922,'Policy Characteristics'!$C:$C,0)))</f>
        <v>industry-ag-main.html#fuel-switching</v>
      </c>
      <c r="R922" s="275" t="str">
        <f>IF(ISBLANK(INDEX('Policy Characteristics'!L:L,MATCH($C922,'Policy Characteristics'!$C:$C,0))),"",INDEX('Policy Characteristics'!L:L,MATCH($C922,'Policy Characteristics'!$C:$C,0)))</f>
        <v>industry-elec-and-hydrogen.html</v>
      </c>
    </row>
    <row r="923" spans="1:18" s="2" customFormat="1" x14ac:dyDescent="0.25">
      <c r="A923" s="275" t="str">
        <f>IF(ISBLANK(INDEX('Policy Characteristics'!A:A,MATCH($C923,'Policy Characteristics'!$C:$C,0))),"",INDEX('Policy Characteristics'!A:A,MATCH($C923,'Policy Characteristics'!$C:$C,0)))</f>
        <v>Industry</v>
      </c>
      <c r="B923" s="284" t="str">
        <f>IF(ISBLANK(INDEX('Policy Characteristics'!B:B,MATCH($C923,'Policy Characteristics'!$C:$C,0))),"",INDEX('Policy Characteristics'!B:B,MATCH($C923,'Policy Characteristics'!$C:$C,0)))</f>
        <v>Hydrogen Combustion</v>
      </c>
      <c r="C923" s="275" t="str">
        <f t="shared" si="39"/>
        <v>Fraction of Eligible Industrial Energy Use Shifted to Hydrogen</v>
      </c>
      <c r="D923" s="6" t="s">
        <v>3088</v>
      </c>
      <c r="E923" s="1" t="s">
        <v>3737</v>
      </c>
      <c r="F923" t="s">
        <v>3050</v>
      </c>
      <c r="G923" s="47" t="s">
        <v>3738</v>
      </c>
      <c r="H923" s="44">
        <v>2185</v>
      </c>
      <c r="I923" s="346" t="s">
        <v>43</v>
      </c>
      <c r="J923" s="276" t="str">
        <f>IF(ISBLANK(INDEX('Policy Characteristics'!D:D,MATCH($C923,'Policy Characteristics'!$C:$C,0))),"",INDEX('Policy Characteristics'!D:D,MATCH($C923,'Policy Characteristics'!$C:$C,0)))</f>
        <v>Hydrogen Combustion</v>
      </c>
      <c r="K923" s="275" t="str">
        <f>IF(ISBLANK(INDEX('Policy Characteristics'!E:E,MATCH($C923,'Policy Characteristics'!$C:$C,0))),"",INDEX('Policy Characteristics'!E:E,MATCH($C923,'Policy Characteristics'!$C:$C,0)))</f>
        <v>indst shift to hydrogen</v>
      </c>
      <c r="L923" s="283">
        <f>IF(ISBLANK(INDEX('Policy Characteristics'!F:F,MATCH($C923,'Policy Characteristics'!$C:$C,0))),"",INDEX('Policy Characteristics'!F:F,MATCH($C923,'Policy Characteristics'!$C:$C,0)))</f>
        <v>0</v>
      </c>
      <c r="M923" s="283">
        <f>IF(ISBLANK(INDEX('Policy Characteristics'!G:G,MATCH($C923,'Policy Characteristics'!$C:$C,0))),"",INDEX('Policy Characteristics'!G:G,MATCH($C923,'Policy Characteristics'!$C:$C,0)))</f>
        <v>1</v>
      </c>
      <c r="N923" s="283">
        <f>IF(ISBLANK(INDEX('Policy Characteristics'!H:H,MATCH($C923,'Policy Characteristics'!$C:$C,0))),"",INDEX('Policy Characteristics'!H:H,MATCH($C923,'Policy Characteristics'!$C:$C,0)))</f>
        <v>0.01</v>
      </c>
      <c r="O923" s="275" t="str">
        <f>IF(ISBLANK(INDEX('Policy Characteristics'!I:I,MATCH($C923,'Policy Characteristics'!$C:$C,0))),"",INDEX('Policy Characteristics'!I:I,MATCH($C923,'Policy Characteristics'!$C:$C,0)))</f>
        <v>% of fuel shifted</v>
      </c>
      <c r="P923" s="275" t="str">
        <f>IF(ISBLANK(INDEX('Policy Characteristics'!J:J,MATCH($C923,'Policy Characteristics'!$C:$C,0))),"",INDEX('Policy Characteristics'!J:J,MATCH($C923,'Policy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3" s="275" t="str">
        <f>IF(ISBLANK(INDEX('Policy Characteristics'!K:K,MATCH($C923,'Policy Characteristics'!$C:$C,0))),"",INDEX('Policy Characteristics'!K:K,MATCH($C923,'Policy Characteristics'!$C:$C,0)))</f>
        <v>industry-ag-main.html#fuel-switching</v>
      </c>
      <c r="R923" s="275" t="str">
        <f>IF(ISBLANK(INDEX('Policy Characteristics'!L:L,MATCH($C923,'Policy Characteristics'!$C:$C,0))),"",INDEX('Policy Characteristics'!L:L,MATCH($C923,'Policy Characteristics'!$C:$C,0)))</f>
        <v>industry-elec-and-hydrogen.html</v>
      </c>
    </row>
    <row r="924" spans="1:18" s="2" customFormat="1" x14ac:dyDescent="0.25">
      <c r="A924" s="275" t="str">
        <f>IF(ISBLANK(INDEX('Policy Characteristics'!A:A,MATCH($C924,'Policy Characteristics'!$C:$C,0))),"",INDEX('Policy Characteristics'!A:A,MATCH($C924,'Policy Characteristics'!$C:$C,0)))</f>
        <v>Industry</v>
      </c>
      <c r="B924" s="284" t="str">
        <f>IF(ISBLANK(INDEX('Policy Characteristics'!B:B,MATCH($C924,'Policy Characteristics'!$C:$C,0))),"",INDEX('Policy Characteristics'!B:B,MATCH($C924,'Policy Characteristics'!$C:$C,0)))</f>
        <v>Hydrogen Combustion</v>
      </c>
      <c r="C924" s="275" t="str">
        <f t="shared" si="39"/>
        <v>Fraction of Eligible Industrial Energy Use Shifted to Hydrogen</v>
      </c>
      <c r="D924" s="6" t="s">
        <v>3089</v>
      </c>
      <c r="E924" s="1" t="s">
        <v>3547</v>
      </c>
      <c r="F924" t="s">
        <v>3051</v>
      </c>
      <c r="G924" s="47" t="s">
        <v>3554</v>
      </c>
      <c r="H924" s="44">
        <v>2186</v>
      </c>
      <c r="I924" s="346" t="s">
        <v>43</v>
      </c>
      <c r="J924" s="276" t="str">
        <f>IF(ISBLANK(INDEX('Policy Characteristics'!D:D,MATCH($C924,'Policy Characteristics'!$C:$C,0))),"",INDEX('Policy Characteristics'!D:D,MATCH($C924,'Policy Characteristics'!$C:$C,0)))</f>
        <v>Hydrogen Combustion</v>
      </c>
      <c r="K924" s="275" t="str">
        <f>IF(ISBLANK(INDEX('Policy Characteristics'!E:E,MATCH($C924,'Policy Characteristics'!$C:$C,0))),"",INDEX('Policy Characteristics'!E:E,MATCH($C924,'Policy Characteristics'!$C:$C,0)))</f>
        <v>indst shift to hydrogen</v>
      </c>
      <c r="L924" s="283">
        <f>IF(ISBLANK(INDEX('Policy Characteristics'!F:F,MATCH($C924,'Policy Characteristics'!$C:$C,0))),"",INDEX('Policy Characteristics'!F:F,MATCH($C924,'Policy Characteristics'!$C:$C,0)))</f>
        <v>0</v>
      </c>
      <c r="M924" s="283">
        <f>IF(ISBLANK(INDEX('Policy Characteristics'!G:G,MATCH($C924,'Policy Characteristics'!$C:$C,0))),"",INDEX('Policy Characteristics'!G:G,MATCH($C924,'Policy Characteristics'!$C:$C,0)))</f>
        <v>1</v>
      </c>
      <c r="N924" s="283">
        <f>IF(ISBLANK(INDEX('Policy Characteristics'!H:H,MATCH($C924,'Policy Characteristics'!$C:$C,0))),"",INDEX('Policy Characteristics'!H:H,MATCH($C924,'Policy Characteristics'!$C:$C,0)))</f>
        <v>0.01</v>
      </c>
      <c r="O924" s="275" t="str">
        <f>IF(ISBLANK(INDEX('Policy Characteristics'!I:I,MATCH($C924,'Policy Characteristics'!$C:$C,0))),"",INDEX('Policy Characteristics'!I:I,MATCH($C924,'Policy Characteristics'!$C:$C,0)))</f>
        <v>% of fuel shifted</v>
      </c>
      <c r="P924" s="275" t="str">
        <f>IF(ISBLANK(INDEX('Policy Characteristics'!J:J,MATCH($C924,'Policy Characteristics'!$C:$C,0))),"",INDEX('Policy Characteristics'!J:J,MATCH($C924,'Policy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4" s="275" t="str">
        <f>IF(ISBLANK(INDEX('Policy Characteristics'!K:K,MATCH($C924,'Policy Characteristics'!$C:$C,0))),"",INDEX('Policy Characteristics'!K:K,MATCH($C924,'Policy Characteristics'!$C:$C,0)))</f>
        <v>industry-ag-main.html#fuel-switching</v>
      </c>
      <c r="R924" s="275" t="str">
        <f>IF(ISBLANK(INDEX('Policy Characteristics'!L:L,MATCH($C924,'Policy Characteristics'!$C:$C,0))),"",INDEX('Policy Characteristics'!L:L,MATCH($C924,'Policy Characteristics'!$C:$C,0)))</f>
        <v>industry-elec-and-hydrogen.html</v>
      </c>
    </row>
    <row r="925" spans="1:18" s="2" customFormat="1" x14ac:dyDescent="0.25">
      <c r="A925" s="275" t="str">
        <f>IF(ISBLANK(INDEX('Policy Characteristics'!A:A,MATCH($C925,'Policy Characteristics'!$C:$C,0))),"",INDEX('Policy Characteristics'!A:A,MATCH($C925,'Policy Characteristics'!$C:$C,0)))</f>
        <v>Industry</v>
      </c>
      <c r="B925" s="284" t="str">
        <f>IF(ISBLANK(INDEX('Policy Characteristics'!B:B,MATCH($C925,'Policy Characteristics'!$C:$C,0))),"",INDEX('Policy Characteristics'!B:B,MATCH($C925,'Policy Characteristics'!$C:$C,0)))</f>
        <v>Hydrogen Combustion</v>
      </c>
      <c r="C925" s="275" t="str">
        <f t="shared" si="39"/>
        <v>Fraction of Eligible Industrial Energy Use Shifted to Hydrogen</v>
      </c>
      <c r="D925" s="6" t="s">
        <v>3089</v>
      </c>
      <c r="E925" s="1" t="s">
        <v>3548</v>
      </c>
      <c r="F925" t="s">
        <v>3051</v>
      </c>
      <c r="G925" s="47" t="s">
        <v>3555</v>
      </c>
      <c r="H925" s="44">
        <v>2187</v>
      </c>
      <c r="I925" s="346" t="s">
        <v>43</v>
      </c>
      <c r="J925" s="276" t="str">
        <f>IF(ISBLANK(INDEX('Policy Characteristics'!D:D,MATCH($C925,'Policy Characteristics'!$C:$C,0))),"",INDEX('Policy Characteristics'!D:D,MATCH($C925,'Policy Characteristics'!$C:$C,0)))</f>
        <v>Hydrogen Combustion</v>
      </c>
      <c r="K925" s="275" t="str">
        <f>IF(ISBLANK(INDEX('Policy Characteristics'!E:E,MATCH($C925,'Policy Characteristics'!$C:$C,0))),"",INDEX('Policy Characteristics'!E:E,MATCH($C925,'Policy Characteristics'!$C:$C,0)))</f>
        <v>indst shift to hydrogen</v>
      </c>
      <c r="L925" s="283">
        <f>IF(ISBLANK(INDEX('Policy Characteristics'!F:F,MATCH($C925,'Policy Characteristics'!$C:$C,0))),"",INDEX('Policy Characteristics'!F:F,MATCH($C925,'Policy Characteristics'!$C:$C,0)))</f>
        <v>0</v>
      </c>
      <c r="M925" s="283">
        <f>IF(ISBLANK(INDEX('Policy Characteristics'!G:G,MATCH($C925,'Policy Characteristics'!$C:$C,0))),"",INDEX('Policy Characteristics'!G:G,MATCH($C925,'Policy Characteristics'!$C:$C,0)))</f>
        <v>1</v>
      </c>
      <c r="N925" s="283">
        <f>IF(ISBLANK(INDEX('Policy Characteristics'!H:H,MATCH($C925,'Policy Characteristics'!$C:$C,0))),"",INDEX('Policy Characteristics'!H:H,MATCH($C925,'Policy Characteristics'!$C:$C,0)))</f>
        <v>0.01</v>
      </c>
      <c r="O925" s="275" t="str">
        <f>IF(ISBLANK(INDEX('Policy Characteristics'!I:I,MATCH($C925,'Policy Characteristics'!$C:$C,0))),"",INDEX('Policy Characteristics'!I:I,MATCH($C925,'Policy Characteristics'!$C:$C,0)))</f>
        <v>% of fuel shifted</v>
      </c>
      <c r="P925" s="275" t="str">
        <f>IF(ISBLANK(INDEX('Policy Characteristics'!J:J,MATCH($C925,'Policy Characteristics'!$C:$C,0))),"",INDEX('Policy Characteristics'!J:J,MATCH($C925,'Policy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5" s="275" t="str">
        <f>IF(ISBLANK(INDEX('Policy Characteristics'!K:K,MATCH($C925,'Policy Characteristics'!$C:$C,0))),"",INDEX('Policy Characteristics'!K:K,MATCH($C925,'Policy Characteristics'!$C:$C,0)))</f>
        <v>industry-ag-main.html#fuel-switching</v>
      </c>
      <c r="R925" s="275" t="str">
        <f>IF(ISBLANK(INDEX('Policy Characteristics'!L:L,MATCH($C925,'Policy Characteristics'!$C:$C,0))),"",INDEX('Policy Characteristics'!L:L,MATCH($C925,'Policy Characteristics'!$C:$C,0)))</f>
        <v>industry-elec-and-hydrogen.html</v>
      </c>
    </row>
    <row r="926" spans="1:18" s="2" customFormat="1" x14ac:dyDescent="0.25">
      <c r="A926" s="275" t="str">
        <f>IF(ISBLANK(INDEX('Policy Characteristics'!A:A,MATCH($C926,'Policy Characteristics'!$C:$C,0))),"",INDEX('Policy Characteristics'!A:A,MATCH($C926,'Policy Characteristics'!$C:$C,0)))</f>
        <v>Industry</v>
      </c>
      <c r="B926" s="284" t="str">
        <f>IF(ISBLANK(INDEX('Policy Characteristics'!B:B,MATCH($C926,'Policy Characteristics'!$C:$C,0))),"",INDEX('Policy Characteristics'!B:B,MATCH($C926,'Policy Characteristics'!$C:$C,0)))</f>
        <v>Hydrogen Combustion</v>
      </c>
      <c r="C926" s="275" t="str">
        <f t="shared" si="39"/>
        <v>Fraction of Eligible Industrial Energy Use Shifted to Hydrogen</v>
      </c>
      <c r="D926" s="6" t="s">
        <v>3089</v>
      </c>
      <c r="E926" s="1" t="s">
        <v>3549</v>
      </c>
      <c r="F926" t="s">
        <v>3051</v>
      </c>
      <c r="G926" s="47" t="s">
        <v>3556</v>
      </c>
      <c r="H926" s="44">
        <v>2188</v>
      </c>
      <c r="I926" s="346" t="s">
        <v>43</v>
      </c>
      <c r="J926" s="276" t="str">
        <f>IF(ISBLANK(INDEX('Policy Characteristics'!D:D,MATCH($C926,'Policy Characteristics'!$C:$C,0))),"",INDEX('Policy Characteristics'!D:D,MATCH($C926,'Policy Characteristics'!$C:$C,0)))</f>
        <v>Hydrogen Combustion</v>
      </c>
      <c r="K926" s="275" t="str">
        <f>IF(ISBLANK(INDEX('Policy Characteristics'!E:E,MATCH($C926,'Policy Characteristics'!$C:$C,0))),"",INDEX('Policy Characteristics'!E:E,MATCH($C926,'Policy Characteristics'!$C:$C,0)))</f>
        <v>indst shift to hydrogen</v>
      </c>
      <c r="L926" s="283">
        <f>IF(ISBLANK(INDEX('Policy Characteristics'!F:F,MATCH($C926,'Policy Characteristics'!$C:$C,0))),"",INDEX('Policy Characteristics'!F:F,MATCH($C926,'Policy Characteristics'!$C:$C,0)))</f>
        <v>0</v>
      </c>
      <c r="M926" s="283">
        <f>IF(ISBLANK(INDEX('Policy Characteristics'!G:G,MATCH($C926,'Policy Characteristics'!$C:$C,0))),"",INDEX('Policy Characteristics'!G:G,MATCH($C926,'Policy Characteristics'!$C:$C,0)))</f>
        <v>1</v>
      </c>
      <c r="N926" s="283">
        <f>IF(ISBLANK(INDEX('Policy Characteristics'!H:H,MATCH($C926,'Policy Characteristics'!$C:$C,0))),"",INDEX('Policy Characteristics'!H:H,MATCH($C926,'Policy Characteristics'!$C:$C,0)))</f>
        <v>0.01</v>
      </c>
      <c r="O926" s="275" t="str">
        <f>IF(ISBLANK(INDEX('Policy Characteristics'!I:I,MATCH($C926,'Policy Characteristics'!$C:$C,0))),"",INDEX('Policy Characteristics'!I:I,MATCH($C926,'Policy Characteristics'!$C:$C,0)))</f>
        <v>% of fuel shifted</v>
      </c>
      <c r="P926" s="275" t="str">
        <f>IF(ISBLANK(INDEX('Policy Characteristics'!J:J,MATCH($C926,'Policy Characteristics'!$C:$C,0))),"",INDEX('Policy Characteristics'!J:J,MATCH($C926,'Policy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6" s="275" t="str">
        <f>IF(ISBLANK(INDEX('Policy Characteristics'!K:K,MATCH($C926,'Policy Characteristics'!$C:$C,0))),"",INDEX('Policy Characteristics'!K:K,MATCH($C926,'Policy Characteristics'!$C:$C,0)))</f>
        <v>industry-ag-main.html#fuel-switching</v>
      </c>
      <c r="R926" s="275" t="str">
        <f>IF(ISBLANK(INDEX('Policy Characteristics'!L:L,MATCH($C926,'Policy Characteristics'!$C:$C,0))),"",INDEX('Policy Characteristics'!L:L,MATCH($C926,'Policy Characteristics'!$C:$C,0)))</f>
        <v>industry-elec-and-hydrogen.html</v>
      </c>
    </row>
    <row r="927" spans="1:18" s="2" customFormat="1" x14ac:dyDescent="0.25">
      <c r="A927" s="275" t="str">
        <f>IF(ISBLANK(INDEX('Policy Characteristics'!A:A,MATCH($C927,'Policy Characteristics'!$C:$C,0))),"",INDEX('Policy Characteristics'!A:A,MATCH($C927,'Policy Characteristics'!$C:$C,0)))</f>
        <v>Industry</v>
      </c>
      <c r="B927" s="284" t="str">
        <f>IF(ISBLANK(INDEX('Policy Characteristics'!B:B,MATCH($C927,'Policy Characteristics'!$C:$C,0))),"",INDEX('Policy Characteristics'!B:B,MATCH($C927,'Policy Characteristics'!$C:$C,0)))</f>
        <v>Hydrogen Combustion</v>
      </c>
      <c r="C927" s="275" t="str">
        <f t="shared" si="39"/>
        <v>Fraction of Eligible Industrial Energy Use Shifted to Hydrogen</v>
      </c>
      <c r="D927" s="6" t="s">
        <v>3089</v>
      </c>
      <c r="E927" s="1" t="s">
        <v>3550</v>
      </c>
      <c r="F927" t="s">
        <v>3051</v>
      </c>
      <c r="G927" s="47" t="s">
        <v>3557</v>
      </c>
      <c r="H927" s="44">
        <v>2189</v>
      </c>
      <c r="I927" s="346" t="s">
        <v>43</v>
      </c>
      <c r="J927" s="276" t="str">
        <f>IF(ISBLANK(INDEX('Policy Characteristics'!D:D,MATCH($C927,'Policy Characteristics'!$C:$C,0))),"",INDEX('Policy Characteristics'!D:D,MATCH($C927,'Policy Characteristics'!$C:$C,0)))</f>
        <v>Hydrogen Combustion</v>
      </c>
      <c r="K927" s="275" t="str">
        <f>IF(ISBLANK(INDEX('Policy Characteristics'!E:E,MATCH($C927,'Policy Characteristics'!$C:$C,0))),"",INDEX('Policy Characteristics'!E:E,MATCH($C927,'Policy Characteristics'!$C:$C,0)))</f>
        <v>indst shift to hydrogen</v>
      </c>
      <c r="L927" s="283">
        <f>IF(ISBLANK(INDEX('Policy Characteristics'!F:F,MATCH($C927,'Policy Characteristics'!$C:$C,0))),"",INDEX('Policy Characteristics'!F:F,MATCH($C927,'Policy Characteristics'!$C:$C,0)))</f>
        <v>0</v>
      </c>
      <c r="M927" s="283">
        <f>IF(ISBLANK(INDEX('Policy Characteristics'!G:G,MATCH($C927,'Policy Characteristics'!$C:$C,0))),"",INDEX('Policy Characteristics'!G:G,MATCH($C927,'Policy Characteristics'!$C:$C,0)))</f>
        <v>1</v>
      </c>
      <c r="N927" s="283">
        <f>IF(ISBLANK(INDEX('Policy Characteristics'!H:H,MATCH($C927,'Policy Characteristics'!$C:$C,0))),"",INDEX('Policy Characteristics'!H:H,MATCH($C927,'Policy Characteristics'!$C:$C,0)))</f>
        <v>0.01</v>
      </c>
      <c r="O927" s="275" t="str">
        <f>IF(ISBLANK(INDEX('Policy Characteristics'!I:I,MATCH($C927,'Policy Characteristics'!$C:$C,0))),"",INDEX('Policy Characteristics'!I:I,MATCH($C927,'Policy Characteristics'!$C:$C,0)))</f>
        <v>% of fuel shifted</v>
      </c>
      <c r="P927" s="275" t="str">
        <f>IF(ISBLANK(INDEX('Policy Characteristics'!J:J,MATCH($C927,'Policy Characteristics'!$C:$C,0))),"",INDEX('Policy Characteristics'!J:J,MATCH($C927,'Policy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7" s="275" t="str">
        <f>IF(ISBLANK(INDEX('Policy Characteristics'!K:K,MATCH($C927,'Policy Characteristics'!$C:$C,0))),"",INDEX('Policy Characteristics'!K:K,MATCH($C927,'Policy Characteristics'!$C:$C,0)))</f>
        <v>industry-ag-main.html#fuel-switching</v>
      </c>
      <c r="R927" s="275" t="str">
        <f>IF(ISBLANK(INDEX('Policy Characteristics'!L:L,MATCH($C927,'Policy Characteristics'!$C:$C,0))),"",INDEX('Policy Characteristics'!L:L,MATCH($C927,'Policy Characteristics'!$C:$C,0)))</f>
        <v>industry-elec-and-hydrogen.html</v>
      </c>
    </row>
    <row r="928" spans="1:18" s="2" customFormat="1" x14ac:dyDescent="0.25">
      <c r="A928" s="275" t="str">
        <f>IF(ISBLANK(INDEX('Policy Characteristics'!A:A,MATCH($C928,'Policy Characteristics'!$C:$C,0))),"",INDEX('Policy Characteristics'!A:A,MATCH($C928,'Policy Characteristics'!$C:$C,0)))</f>
        <v>Industry</v>
      </c>
      <c r="B928" s="284" t="str">
        <f>IF(ISBLANK(INDEX('Policy Characteristics'!B:B,MATCH($C928,'Policy Characteristics'!$C:$C,0))),"",INDEX('Policy Characteristics'!B:B,MATCH($C928,'Policy Characteristics'!$C:$C,0)))</f>
        <v>Hydrogen Combustion</v>
      </c>
      <c r="C928" s="275" t="str">
        <f t="shared" si="39"/>
        <v>Fraction of Eligible Industrial Energy Use Shifted to Hydrogen</v>
      </c>
      <c r="D928" s="6" t="s">
        <v>3089</v>
      </c>
      <c r="E928" s="1" t="s">
        <v>3551</v>
      </c>
      <c r="F928" t="s">
        <v>3051</v>
      </c>
      <c r="G928" s="47" t="s">
        <v>3558</v>
      </c>
      <c r="H928" s="44">
        <v>2190</v>
      </c>
      <c r="I928" s="346" t="s">
        <v>44</v>
      </c>
      <c r="J928" s="276" t="str">
        <f>IF(ISBLANK(INDEX('Policy Characteristics'!D:D,MATCH($C928,'Policy Characteristics'!$C:$C,0))),"",INDEX('Policy Characteristics'!D:D,MATCH($C928,'Policy Characteristics'!$C:$C,0)))</f>
        <v>Hydrogen Combustion</v>
      </c>
      <c r="K928" s="275" t="str">
        <f>IF(ISBLANK(INDEX('Policy Characteristics'!E:E,MATCH($C928,'Policy Characteristics'!$C:$C,0))),"",INDEX('Policy Characteristics'!E:E,MATCH($C928,'Policy Characteristics'!$C:$C,0)))</f>
        <v>indst shift to hydrogen</v>
      </c>
      <c r="L928" s="283">
        <f>IF(ISBLANK(INDEX('Policy Characteristics'!F:F,MATCH($C928,'Policy Characteristics'!$C:$C,0))),"",INDEX('Policy Characteristics'!F:F,MATCH($C928,'Policy Characteristics'!$C:$C,0)))</f>
        <v>0</v>
      </c>
      <c r="M928" s="283">
        <f>IF(ISBLANK(INDEX('Policy Characteristics'!G:G,MATCH($C928,'Policy Characteristics'!$C:$C,0))),"",INDEX('Policy Characteristics'!G:G,MATCH($C928,'Policy Characteristics'!$C:$C,0)))</f>
        <v>1</v>
      </c>
      <c r="N928" s="283">
        <f>IF(ISBLANK(INDEX('Policy Characteristics'!H:H,MATCH($C928,'Policy Characteristics'!$C:$C,0))),"",INDEX('Policy Characteristics'!H:H,MATCH($C928,'Policy Characteristics'!$C:$C,0)))</f>
        <v>0.01</v>
      </c>
      <c r="O928" s="275" t="str">
        <f>IF(ISBLANK(INDEX('Policy Characteristics'!I:I,MATCH($C928,'Policy Characteristics'!$C:$C,0))),"",INDEX('Policy Characteristics'!I:I,MATCH($C928,'Policy Characteristics'!$C:$C,0)))</f>
        <v>% of fuel shifted</v>
      </c>
      <c r="P928" s="275" t="str">
        <f>IF(ISBLANK(INDEX('Policy Characteristics'!J:J,MATCH($C928,'Policy Characteristics'!$C:$C,0))),"",INDEX('Policy Characteristics'!J:J,MATCH($C928,'Policy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8" s="275" t="str">
        <f>IF(ISBLANK(INDEX('Policy Characteristics'!K:K,MATCH($C928,'Policy Characteristics'!$C:$C,0))),"",INDEX('Policy Characteristics'!K:K,MATCH($C928,'Policy Characteristics'!$C:$C,0)))</f>
        <v>industry-ag-main.html#fuel-switching</v>
      </c>
      <c r="R928" s="275" t="str">
        <f>IF(ISBLANK(INDEX('Policy Characteristics'!L:L,MATCH($C928,'Policy Characteristics'!$C:$C,0))),"",INDEX('Policy Characteristics'!L:L,MATCH($C928,'Policy Characteristics'!$C:$C,0)))</f>
        <v>industry-elec-and-hydrogen.html</v>
      </c>
    </row>
    <row r="929" spans="1:18" s="2" customFormat="1" x14ac:dyDescent="0.25">
      <c r="A929" s="275" t="str">
        <f>IF(ISBLANK(INDEX('Policy Characteristics'!A:A,MATCH($C929,'Policy Characteristics'!$C:$C,0))),"",INDEX('Policy Characteristics'!A:A,MATCH($C929,'Policy Characteristics'!$C:$C,0)))</f>
        <v>Industry</v>
      </c>
      <c r="B929" s="284" t="str">
        <f>IF(ISBLANK(INDEX('Policy Characteristics'!B:B,MATCH($C929,'Policy Characteristics'!$C:$C,0))),"",INDEX('Policy Characteristics'!B:B,MATCH($C929,'Policy Characteristics'!$C:$C,0)))</f>
        <v>Hydrogen Combustion</v>
      </c>
      <c r="C929" s="275" t="str">
        <f t="shared" si="39"/>
        <v>Fraction of Eligible Industrial Energy Use Shifted to Hydrogen</v>
      </c>
      <c r="D929" s="6" t="s">
        <v>3089</v>
      </c>
      <c r="E929" s="1" t="s">
        <v>3552</v>
      </c>
      <c r="F929" t="s">
        <v>3051</v>
      </c>
      <c r="G929" s="47" t="s">
        <v>3559</v>
      </c>
      <c r="H929" s="44">
        <v>2191</v>
      </c>
      <c r="I929" s="346" t="s">
        <v>44</v>
      </c>
      <c r="J929" s="276" t="str">
        <f>IF(ISBLANK(INDEX('Policy Characteristics'!D:D,MATCH($C929,'Policy Characteristics'!$C:$C,0))),"",INDEX('Policy Characteristics'!D:D,MATCH($C929,'Policy Characteristics'!$C:$C,0)))</f>
        <v>Hydrogen Combustion</v>
      </c>
      <c r="K929" s="275" t="str">
        <f>IF(ISBLANK(INDEX('Policy Characteristics'!E:E,MATCH($C929,'Policy Characteristics'!$C:$C,0))),"",INDEX('Policy Characteristics'!E:E,MATCH($C929,'Policy Characteristics'!$C:$C,0)))</f>
        <v>indst shift to hydrogen</v>
      </c>
      <c r="L929" s="283">
        <f>IF(ISBLANK(INDEX('Policy Characteristics'!F:F,MATCH($C929,'Policy Characteristics'!$C:$C,0))),"",INDEX('Policy Characteristics'!F:F,MATCH($C929,'Policy Characteristics'!$C:$C,0)))</f>
        <v>0</v>
      </c>
      <c r="M929" s="283">
        <f>IF(ISBLANK(INDEX('Policy Characteristics'!G:G,MATCH($C929,'Policy Characteristics'!$C:$C,0))),"",INDEX('Policy Characteristics'!G:G,MATCH($C929,'Policy Characteristics'!$C:$C,0)))</f>
        <v>1</v>
      </c>
      <c r="N929" s="283">
        <f>IF(ISBLANK(INDEX('Policy Characteristics'!H:H,MATCH($C929,'Policy Characteristics'!$C:$C,0))),"",INDEX('Policy Characteristics'!H:H,MATCH($C929,'Policy Characteristics'!$C:$C,0)))</f>
        <v>0.01</v>
      </c>
      <c r="O929" s="275" t="str">
        <f>IF(ISBLANK(INDEX('Policy Characteristics'!I:I,MATCH($C929,'Policy Characteristics'!$C:$C,0))),"",INDEX('Policy Characteristics'!I:I,MATCH($C929,'Policy Characteristics'!$C:$C,0)))</f>
        <v>% of fuel shifted</v>
      </c>
      <c r="P929" s="275" t="str">
        <f>IF(ISBLANK(INDEX('Policy Characteristics'!J:J,MATCH($C929,'Policy Characteristics'!$C:$C,0))),"",INDEX('Policy Characteristics'!J:J,MATCH($C929,'Policy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9" s="275" t="str">
        <f>IF(ISBLANK(INDEX('Policy Characteristics'!K:K,MATCH($C929,'Policy Characteristics'!$C:$C,0))),"",INDEX('Policy Characteristics'!K:K,MATCH($C929,'Policy Characteristics'!$C:$C,0)))</f>
        <v>industry-ag-main.html#fuel-switching</v>
      </c>
      <c r="R929" s="275" t="str">
        <f>IF(ISBLANK(INDEX('Policy Characteristics'!L:L,MATCH($C929,'Policy Characteristics'!$C:$C,0))),"",INDEX('Policy Characteristics'!L:L,MATCH($C929,'Policy Characteristics'!$C:$C,0)))</f>
        <v>industry-elec-and-hydrogen.html</v>
      </c>
    </row>
    <row r="930" spans="1:18" s="2" customFormat="1" x14ac:dyDescent="0.25">
      <c r="A930" s="275" t="str">
        <f>IF(ISBLANK(INDEX('Policy Characteristics'!A:A,MATCH($C930,'Policy Characteristics'!$C:$C,0))),"",INDEX('Policy Characteristics'!A:A,MATCH($C930,'Policy Characteristics'!$C:$C,0)))</f>
        <v>Industry</v>
      </c>
      <c r="B930" s="284" t="str">
        <f>IF(ISBLANK(INDEX('Policy Characteristics'!B:B,MATCH($C930,'Policy Characteristics'!$C:$C,0))),"",INDEX('Policy Characteristics'!B:B,MATCH($C930,'Policy Characteristics'!$C:$C,0)))</f>
        <v>Hydrogen Combustion</v>
      </c>
      <c r="C930" s="275" t="str">
        <f t="shared" si="39"/>
        <v>Fraction of Eligible Industrial Energy Use Shifted to Hydrogen</v>
      </c>
      <c r="D930" s="6" t="s">
        <v>3089</v>
      </c>
      <c r="E930" s="1" t="s">
        <v>3553</v>
      </c>
      <c r="F930" t="s">
        <v>3051</v>
      </c>
      <c r="G930" s="47" t="s">
        <v>3560</v>
      </c>
      <c r="H930" s="44">
        <v>2192</v>
      </c>
      <c r="I930" s="346" t="s">
        <v>44</v>
      </c>
      <c r="J930" s="276" t="str">
        <f>IF(ISBLANK(INDEX('Policy Characteristics'!D:D,MATCH($C930,'Policy Characteristics'!$C:$C,0))),"",INDEX('Policy Characteristics'!D:D,MATCH($C930,'Policy Characteristics'!$C:$C,0)))</f>
        <v>Hydrogen Combustion</v>
      </c>
      <c r="K930" s="275" t="str">
        <f>IF(ISBLANK(INDEX('Policy Characteristics'!E:E,MATCH($C930,'Policy Characteristics'!$C:$C,0))),"",INDEX('Policy Characteristics'!E:E,MATCH($C930,'Policy Characteristics'!$C:$C,0)))</f>
        <v>indst shift to hydrogen</v>
      </c>
      <c r="L930" s="283">
        <f>IF(ISBLANK(INDEX('Policy Characteristics'!F:F,MATCH($C930,'Policy Characteristics'!$C:$C,0))),"",INDEX('Policy Characteristics'!F:F,MATCH($C930,'Policy Characteristics'!$C:$C,0)))</f>
        <v>0</v>
      </c>
      <c r="M930" s="283">
        <f>IF(ISBLANK(INDEX('Policy Characteristics'!G:G,MATCH($C930,'Policy Characteristics'!$C:$C,0))),"",INDEX('Policy Characteristics'!G:G,MATCH($C930,'Policy Characteristics'!$C:$C,0)))</f>
        <v>1</v>
      </c>
      <c r="N930" s="283">
        <f>IF(ISBLANK(INDEX('Policy Characteristics'!H:H,MATCH($C930,'Policy Characteristics'!$C:$C,0))),"",INDEX('Policy Characteristics'!H:H,MATCH($C930,'Policy Characteristics'!$C:$C,0)))</f>
        <v>0.01</v>
      </c>
      <c r="O930" s="275" t="str">
        <f>IF(ISBLANK(INDEX('Policy Characteristics'!I:I,MATCH($C930,'Policy Characteristics'!$C:$C,0))),"",INDEX('Policy Characteristics'!I:I,MATCH($C930,'Policy Characteristics'!$C:$C,0)))</f>
        <v>% of fuel shifted</v>
      </c>
      <c r="P930" s="275" t="str">
        <f>IF(ISBLANK(INDEX('Policy Characteristics'!J:J,MATCH($C930,'Policy Characteristics'!$C:$C,0))),"",INDEX('Policy Characteristics'!J:J,MATCH($C930,'Policy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0" s="275" t="str">
        <f>IF(ISBLANK(INDEX('Policy Characteristics'!K:K,MATCH($C930,'Policy Characteristics'!$C:$C,0))),"",INDEX('Policy Characteristics'!K:K,MATCH($C930,'Policy Characteristics'!$C:$C,0)))</f>
        <v>industry-ag-main.html#fuel-switching</v>
      </c>
      <c r="R930" s="275" t="str">
        <f>IF(ISBLANK(INDEX('Policy Characteristics'!L:L,MATCH($C930,'Policy Characteristics'!$C:$C,0))),"",INDEX('Policy Characteristics'!L:L,MATCH($C930,'Policy Characteristics'!$C:$C,0)))</f>
        <v>industry-elec-and-hydrogen.html</v>
      </c>
    </row>
    <row r="931" spans="1:18" s="2" customFormat="1" x14ac:dyDescent="0.25">
      <c r="A931" s="275" t="str">
        <f>IF(ISBLANK(INDEX('Policy Characteristics'!A:A,MATCH($C931,'Policy Characteristics'!$C:$C,0))),"",INDEX('Policy Characteristics'!A:A,MATCH($C931,'Policy Characteristics'!$C:$C,0)))</f>
        <v>Industry</v>
      </c>
      <c r="B931" s="284" t="str">
        <f>IF(ISBLANK(INDEX('Policy Characteristics'!B:B,MATCH($C931,'Policy Characteristics'!$C:$C,0))),"",INDEX('Policy Characteristics'!B:B,MATCH($C931,'Policy Characteristics'!$C:$C,0)))</f>
        <v>Hydrogen Combustion</v>
      </c>
      <c r="C931" s="275" t="str">
        <f t="shared" si="39"/>
        <v>Fraction of Eligible Industrial Energy Use Shifted to Hydrogen</v>
      </c>
      <c r="D931" s="6" t="s">
        <v>3089</v>
      </c>
      <c r="E931" s="1" t="s">
        <v>3737</v>
      </c>
      <c r="F931" t="s">
        <v>3051</v>
      </c>
      <c r="G931" s="47" t="s">
        <v>3738</v>
      </c>
      <c r="H931" s="44">
        <v>2193</v>
      </c>
      <c r="I931" s="346" t="s">
        <v>43</v>
      </c>
      <c r="J931" s="276" t="str">
        <f>IF(ISBLANK(INDEX('Policy Characteristics'!D:D,MATCH($C931,'Policy Characteristics'!$C:$C,0))),"",INDEX('Policy Characteristics'!D:D,MATCH($C931,'Policy Characteristics'!$C:$C,0)))</f>
        <v>Hydrogen Combustion</v>
      </c>
      <c r="K931" s="275" t="str">
        <f>IF(ISBLANK(INDEX('Policy Characteristics'!E:E,MATCH($C931,'Policy Characteristics'!$C:$C,0))),"",INDEX('Policy Characteristics'!E:E,MATCH($C931,'Policy Characteristics'!$C:$C,0)))</f>
        <v>indst shift to hydrogen</v>
      </c>
      <c r="L931" s="283">
        <f>IF(ISBLANK(INDEX('Policy Characteristics'!F:F,MATCH($C931,'Policy Characteristics'!$C:$C,0))),"",INDEX('Policy Characteristics'!F:F,MATCH($C931,'Policy Characteristics'!$C:$C,0)))</f>
        <v>0</v>
      </c>
      <c r="M931" s="283">
        <f>IF(ISBLANK(INDEX('Policy Characteristics'!G:G,MATCH($C931,'Policy Characteristics'!$C:$C,0))),"",INDEX('Policy Characteristics'!G:G,MATCH($C931,'Policy Characteristics'!$C:$C,0)))</f>
        <v>1</v>
      </c>
      <c r="N931" s="283">
        <f>IF(ISBLANK(INDEX('Policy Characteristics'!H:H,MATCH($C931,'Policy Characteristics'!$C:$C,0))),"",INDEX('Policy Characteristics'!H:H,MATCH($C931,'Policy Characteristics'!$C:$C,0)))</f>
        <v>0.01</v>
      </c>
      <c r="O931" s="275" t="str">
        <f>IF(ISBLANK(INDEX('Policy Characteristics'!I:I,MATCH($C931,'Policy Characteristics'!$C:$C,0))),"",INDEX('Policy Characteristics'!I:I,MATCH($C931,'Policy Characteristics'!$C:$C,0)))</f>
        <v>% of fuel shifted</v>
      </c>
      <c r="P931" s="275" t="str">
        <f>IF(ISBLANK(INDEX('Policy Characteristics'!J:J,MATCH($C931,'Policy Characteristics'!$C:$C,0))),"",INDEX('Policy Characteristics'!J:J,MATCH($C931,'Policy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1" s="275" t="str">
        <f>IF(ISBLANK(INDEX('Policy Characteristics'!K:K,MATCH($C931,'Policy Characteristics'!$C:$C,0))),"",INDEX('Policy Characteristics'!K:K,MATCH($C931,'Policy Characteristics'!$C:$C,0)))</f>
        <v>industry-ag-main.html#fuel-switching</v>
      </c>
      <c r="R931" s="275" t="str">
        <f>IF(ISBLANK(INDEX('Policy Characteristics'!L:L,MATCH($C931,'Policy Characteristics'!$C:$C,0))),"",INDEX('Policy Characteristics'!L:L,MATCH($C931,'Policy Characteristics'!$C:$C,0)))</f>
        <v>industry-elec-and-hydrogen.html</v>
      </c>
    </row>
    <row r="932" spans="1:18" s="2" customFormat="1" x14ac:dyDescent="0.25">
      <c r="A932" s="275" t="str">
        <f>IF(ISBLANK(INDEX('Policy Characteristics'!A:A,MATCH($C932,'Policy Characteristics'!$C:$C,0))),"",INDEX('Policy Characteristics'!A:A,MATCH($C932,'Policy Characteristics'!$C:$C,0)))</f>
        <v>Industry</v>
      </c>
      <c r="B932" s="284" t="str">
        <f>IF(ISBLANK(INDEX('Policy Characteristics'!B:B,MATCH($C932,'Policy Characteristics'!$C:$C,0))),"",INDEX('Policy Characteristics'!B:B,MATCH($C932,'Policy Characteristics'!$C:$C,0)))</f>
        <v>Hydrogen Combustion</v>
      </c>
      <c r="C932" s="275" t="str">
        <f t="shared" si="39"/>
        <v>Fraction of Eligible Industrial Energy Use Shifted to Hydrogen</v>
      </c>
      <c r="D932" s="6" t="s">
        <v>3090</v>
      </c>
      <c r="E932" s="1" t="s">
        <v>3547</v>
      </c>
      <c r="F932" t="s">
        <v>3052</v>
      </c>
      <c r="G932" s="47" t="s">
        <v>3554</v>
      </c>
      <c r="H932" s="44">
        <v>2194</v>
      </c>
      <c r="I932" s="346" t="s">
        <v>43</v>
      </c>
      <c r="J932" s="276" t="str">
        <f>IF(ISBLANK(INDEX('Policy Characteristics'!D:D,MATCH($C932,'Policy Characteristics'!$C:$C,0))),"",INDEX('Policy Characteristics'!D:D,MATCH($C932,'Policy Characteristics'!$C:$C,0)))</f>
        <v>Hydrogen Combustion</v>
      </c>
      <c r="K932" s="275" t="str">
        <f>IF(ISBLANK(INDEX('Policy Characteristics'!E:E,MATCH($C932,'Policy Characteristics'!$C:$C,0))),"",INDEX('Policy Characteristics'!E:E,MATCH($C932,'Policy Characteristics'!$C:$C,0)))</f>
        <v>indst shift to hydrogen</v>
      </c>
      <c r="L932" s="283">
        <f>IF(ISBLANK(INDEX('Policy Characteristics'!F:F,MATCH($C932,'Policy Characteristics'!$C:$C,0))),"",INDEX('Policy Characteristics'!F:F,MATCH($C932,'Policy Characteristics'!$C:$C,0)))</f>
        <v>0</v>
      </c>
      <c r="M932" s="283">
        <f>IF(ISBLANK(INDEX('Policy Characteristics'!G:G,MATCH($C932,'Policy Characteristics'!$C:$C,0))),"",INDEX('Policy Characteristics'!G:G,MATCH($C932,'Policy Characteristics'!$C:$C,0)))</f>
        <v>1</v>
      </c>
      <c r="N932" s="283">
        <f>IF(ISBLANK(INDEX('Policy Characteristics'!H:H,MATCH($C932,'Policy Characteristics'!$C:$C,0))),"",INDEX('Policy Characteristics'!H:H,MATCH($C932,'Policy Characteristics'!$C:$C,0)))</f>
        <v>0.01</v>
      </c>
      <c r="O932" s="275" t="str">
        <f>IF(ISBLANK(INDEX('Policy Characteristics'!I:I,MATCH($C932,'Policy Characteristics'!$C:$C,0))),"",INDEX('Policy Characteristics'!I:I,MATCH($C932,'Policy Characteristics'!$C:$C,0)))</f>
        <v>% of fuel shifted</v>
      </c>
      <c r="P932" s="275" t="str">
        <f>IF(ISBLANK(INDEX('Policy Characteristics'!J:J,MATCH($C932,'Policy Characteristics'!$C:$C,0))),"",INDEX('Policy Characteristics'!J:J,MATCH($C932,'Policy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2" s="275" t="str">
        <f>IF(ISBLANK(INDEX('Policy Characteristics'!K:K,MATCH($C932,'Policy Characteristics'!$C:$C,0))),"",INDEX('Policy Characteristics'!K:K,MATCH($C932,'Policy Characteristics'!$C:$C,0)))</f>
        <v>industry-ag-main.html#fuel-switching</v>
      </c>
      <c r="R932" s="275" t="str">
        <f>IF(ISBLANK(INDEX('Policy Characteristics'!L:L,MATCH($C932,'Policy Characteristics'!$C:$C,0))),"",INDEX('Policy Characteristics'!L:L,MATCH($C932,'Policy Characteristics'!$C:$C,0)))</f>
        <v>industry-elec-and-hydrogen.html</v>
      </c>
    </row>
    <row r="933" spans="1:18" s="2" customFormat="1" x14ac:dyDescent="0.25">
      <c r="A933" s="275" t="str">
        <f>IF(ISBLANK(INDEX('Policy Characteristics'!A:A,MATCH($C933,'Policy Characteristics'!$C:$C,0))),"",INDEX('Policy Characteristics'!A:A,MATCH($C933,'Policy Characteristics'!$C:$C,0)))</f>
        <v>Industry</v>
      </c>
      <c r="B933" s="284" t="str">
        <f>IF(ISBLANK(INDEX('Policy Characteristics'!B:B,MATCH($C933,'Policy Characteristics'!$C:$C,0))),"",INDEX('Policy Characteristics'!B:B,MATCH($C933,'Policy Characteristics'!$C:$C,0)))</f>
        <v>Hydrogen Combustion</v>
      </c>
      <c r="C933" s="275" t="str">
        <f t="shared" si="39"/>
        <v>Fraction of Eligible Industrial Energy Use Shifted to Hydrogen</v>
      </c>
      <c r="D933" s="6" t="s">
        <v>3090</v>
      </c>
      <c r="E933" s="1" t="s">
        <v>3548</v>
      </c>
      <c r="F933" t="s">
        <v>3052</v>
      </c>
      <c r="G933" s="47" t="s">
        <v>3555</v>
      </c>
      <c r="H933" s="44">
        <v>2195</v>
      </c>
      <c r="I933" s="346" t="s">
        <v>43</v>
      </c>
      <c r="J933" s="276" t="str">
        <f>IF(ISBLANK(INDEX('Policy Characteristics'!D:D,MATCH($C933,'Policy Characteristics'!$C:$C,0))),"",INDEX('Policy Characteristics'!D:D,MATCH($C933,'Policy Characteristics'!$C:$C,0)))</f>
        <v>Hydrogen Combustion</v>
      </c>
      <c r="K933" s="275" t="str">
        <f>IF(ISBLANK(INDEX('Policy Characteristics'!E:E,MATCH($C933,'Policy Characteristics'!$C:$C,0))),"",INDEX('Policy Characteristics'!E:E,MATCH($C933,'Policy Characteristics'!$C:$C,0)))</f>
        <v>indst shift to hydrogen</v>
      </c>
      <c r="L933" s="283">
        <f>IF(ISBLANK(INDEX('Policy Characteristics'!F:F,MATCH($C933,'Policy Characteristics'!$C:$C,0))),"",INDEX('Policy Characteristics'!F:F,MATCH($C933,'Policy Characteristics'!$C:$C,0)))</f>
        <v>0</v>
      </c>
      <c r="M933" s="283">
        <f>IF(ISBLANK(INDEX('Policy Characteristics'!G:G,MATCH($C933,'Policy Characteristics'!$C:$C,0))),"",INDEX('Policy Characteristics'!G:G,MATCH($C933,'Policy Characteristics'!$C:$C,0)))</f>
        <v>1</v>
      </c>
      <c r="N933" s="283">
        <f>IF(ISBLANK(INDEX('Policy Characteristics'!H:H,MATCH($C933,'Policy Characteristics'!$C:$C,0))),"",INDEX('Policy Characteristics'!H:H,MATCH($C933,'Policy Characteristics'!$C:$C,0)))</f>
        <v>0.01</v>
      </c>
      <c r="O933" s="275" t="str">
        <f>IF(ISBLANK(INDEX('Policy Characteristics'!I:I,MATCH($C933,'Policy Characteristics'!$C:$C,0))),"",INDEX('Policy Characteristics'!I:I,MATCH($C933,'Policy Characteristics'!$C:$C,0)))</f>
        <v>% of fuel shifted</v>
      </c>
      <c r="P933" s="275" t="str">
        <f>IF(ISBLANK(INDEX('Policy Characteristics'!J:J,MATCH($C933,'Policy Characteristics'!$C:$C,0))),"",INDEX('Policy Characteristics'!J:J,MATCH($C933,'Policy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3" s="275" t="str">
        <f>IF(ISBLANK(INDEX('Policy Characteristics'!K:K,MATCH($C933,'Policy Characteristics'!$C:$C,0))),"",INDEX('Policy Characteristics'!K:K,MATCH($C933,'Policy Characteristics'!$C:$C,0)))</f>
        <v>industry-ag-main.html#fuel-switching</v>
      </c>
      <c r="R933" s="275" t="str">
        <f>IF(ISBLANK(INDEX('Policy Characteristics'!L:L,MATCH($C933,'Policy Characteristics'!$C:$C,0))),"",INDEX('Policy Characteristics'!L:L,MATCH($C933,'Policy Characteristics'!$C:$C,0)))</f>
        <v>industry-elec-and-hydrogen.html</v>
      </c>
    </row>
    <row r="934" spans="1:18" s="2" customFormat="1" x14ac:dyDescent="0.25">
      <c r="A934" s="275" t="str">
        <f>IF(ISBLANK(INDEX('Policy Characteristics'!A:A,MATCH($C934,'Policy Characteristics'!$C:$C,0))),"",INDEX('Policy Characteristics'!A:A,MATCH($C934,'Policy Characteristics'!$C:$C,0)))</f>
        <v>Industry</v>
      </c>
      <c r="B934" s="284" t="str">
        <f>IF(ISBLANK(INDEX('Policy Characteristics'!B:B,MATCH($C934,'Policy Characteristics'!$C:$C,0))),"",INDEX('Policy Characteristics'!B:B,MATCH($C934,'Policy Characteristics'!$C:$C,0)))</f>
        <v>Hydrogen Combustion</v>
      </c>
      <c r="C934" s="275" t="str">
        <f t="shared" si="39"/>
        <v>Fraction of Eligible Industrial Energy Use Shifted to Hydrogen</v>
      </c>
      <c r="D934" s="6" t="s">
        <v>3090</v>
      </c>
      <c r="E934" s="1" t="s">
        <v>3549</v>
      </c>
      <c r="F934" t="s">
        <v>3052</v>
      </c>
      <c r="G934" s="47" t="s">
        <v>3556</v>
      </c>
      <c r="H934" s="44">
        <v>2196</v>
      </c>
      <c r="I934" s="346" t="s">
        <v>43</v>
      </c>
      <c r="J934" s="276" t="str">
        <f>IF(ISBLANK(INDEX('Policy Characteristics'!D:D,MATCH($C934,'Policy Characteristics'!$C:$C,0))),"",INDEX('Policy Characteristics'!D:D,MATCH($C934,'Policy Characteristics'!$C:$C,0)))</f>
        <v>Hydrogen Combustion</v>
      </c>
      <c r="K934" s="275" t="str">
        <f>IF(ISBLANK(INDEX('Policy Characteristics'!E:E,MATCH($C934,'Policy Characteristics'!$C:$C,0))),"",INDEX('Policy Characteristics'!E:E,MATCH($C934,'Policy Characteristics'!$C:$C,0)))</f>
        <v>indst shift to hydrogen</v>
      </c>
      <c r="L934" s="283">
        <f>IF(ISBLANK(INDEX('Policy Characteristics'!F:F,MATCH($C934,'Policy Characteristics'!$C:$C,0))),"",INDEX('Policy Characteristics'!F:F,MATCH($C934,'Policy Characteristics'!$C:$C,0)))</f>
        <v>0</v>
      </c>
      <c r="M934" s="283">
        <f>IF(ISBLANK(INDEX('Policy Characteristics'!G:G,MATCH($C934,'Policy Characteristics'!$C:$C,0))),"",INDEX('Policy Characteristics'!G:G,MATCH($C934,'Policy Characteristics'!$C:$C,0)))</f>
        <v>1</v>
      </c>
      <c r="N934" s="283">
        <f>IF(ISBLANK(INDEX('Policy Characteristics'!H:H,MATCH($C934,'Policy Characteristics'!$C:$C,0))),"",INDEX('Policy Characteristics'!H:H,MATCH($C934,'Policy Characteristics'!$C:$C,0)))</f>
        <v>0.01</v>
      </c>
      <c r="O934" s="275" t="str">
        <f>IF(ISBLANK(INDEX('Policy Characteristics'!I:I,MATCH($C934,'Policy Characteristics'!$C:$C,0))),"",INDEX('Policy Characteristics'!I:I,MATCH($C934,'Policy Characteristics'!$C:$C,0)))</f>
        <v>% of fuel shifted</v>
      </c>
      <c r="P934" s="275" t="str">
        <f>IF(ISBLANK(INDEX('Policy Characteristics'!J:J,MATCH($C934,'Policy Characteristics'!$C:$C,0))),"",INDEX('Policy Characteristics'!J:J,MATCH($C934,'Policy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4" s="275" t="str">
        <f>IF(ISBLANK(INDEX('Policy Characteristics'!K:K,MATCH($C934,'Policy Characteristics'!$C:$C,0))),"",INDEX('Policy Characteristics'!K:K,MATCH($C934,'Policy Characteristics'!$C:$C,0)))</f>
        <v>industry-ag-main.html#fuel-switching</v>
      </c>
      <c r="R934" s="275" t="str">
        <f>IF(ISBLANK(INDEX('Policy Characteristics'!L:L,MATCH($C934,'Policy Characteristics'!$C:$C,0))),"",INDEX('Policy Characteristics'!L:L,MATCH($C934,'Policy Characteristics'!$C:$C,0)))</f>
        <v>industry-elec-and-hydrogen.html</v>
      </c>
    </row>
    <row r="935" spans="1:18" s="2" customFormat="1" x14ac:dyDescent="0.25">
      <c r="A935" s="275" t="str">
        <f>IF(ISBLANK(INDEX('Policy Characteristics'!A:A,MATCH($C935,'Policy Characteristics'!$C:$C,0))),"",INDEX('Policy Characteristics'!A:A,MATCH($C935,'Policy Characteristics'!$C:$C,0)))</f>
        <v>Industry</v>
      </c>
      <c r="B935" s="284" t="str">
        <f>IF(ISBLANK(INDEX('Policy Characteristics'!B:B,MATCH($C935,'Policy Characteristics'!$C:$C,0))),"",INDEX('Policy Characteristics'!B:B,MATCH($C935,'Policy Characteristics'!$C:$C,0)))</f>
        <v>Hydrogen Combustion</v>
      </c>
      <c r="C935" s="275" t="str">
        <f t="shared" si="39"/>
        <v>Fraction of Eligible Industrial Energy Use Shifted to Hydrogen</v>
      </c>
      <c r="D935" s="6" t="s">
        <v>3090</v>
      </c>
      <c r="E935" s="1" t="s">
        <v>3550</v>
      </c>
      <c r="F935" t="s">
        <v>3052</v>
      </c>
      <c r="G935" s="47" t="s">
        <v>3557</v>
      </c>
      <c r="H935" s="44">
        <v>2197</v>
      </c>
      <c r="I935" s="346" t="s">
        <v>43</v>
      </c>
      <c r="J935" s="276" t="str">
        <f>IF(ISBLANK(INDEX('Policy Characteristics'!D:D,MATCH($C935,'Policy Characteristics'!$C:$C,0))),"",INDEX('Policy Characteristics'!D:D,MATCH($C935,'Policy Characteristics'!$C:$C,0)))</f>
        <v>Hydrogen Combustion</v>
      </c>
      <c r="K935" s="275" t="str">
        <f>IF(ISBLANK(INDEX('Policy Characteristics'!E:E,MATCH($C935,'Policy Characteristics'!$C:$C,0))),"",INDEX('Policy Characteristics'!E:E,MATCH($C935,'Policy Characteristics'!$C:$C,0)))</f>
        <v>indst shift to hydrogen</v>
      </c>
      <c r="L935" s="283">
        <f>IF(ISBLANK(INDEX('Policy Characteristics'!F:F,MATCH($C935,'Policy Characteristics'!$C:$C,0))),"",INDEX('Policy Characteristics'!F:F,MATCH($C935,'Policy Characteristics'!$C:$C,0)))</f>
        <v>0</v>
      </c>
      <c r="M935" s="283">
        <f>IF(ISBLANK(INDEX('Policy Characteristics'!G:G,MATCH($C935,'Policy Characteristics'!$C:$C,0))),"",INDEX('Policy Characteristics'!G:G,MATCH($C935,'Policy Characteristics'!$C:$C,0)))</f>
        <v>1</v>
      </c>
      <c r="N935" s="283">
        <f>IF(ISBLANK(INDEX('Policy Characteristics'!H:H,MATCH($C935,'Policy Characteristics'!$C:$C,0))),"",INDEX('Policy Characteristics'!H:H,MATCH($C935,'Policy Characteristics'!$C:$C,0)))</f>
        <v>0.01</v>
      </c>
      <c r="O935" s="275" t="str">
        <f>IF(ISBLANK(INDEX('Policy Characteristics'!I:I,MATCH($C935,'Policy Characteristics'!$C:$C,0))),"",INDEX('Policy Characteristics'!I:I,MATCH($C935,'Policy Characteristics'!$C:$C,0)))</f>
        <v>% of fuel shifted</v>
      </c>
      <c r="P935" s="275" t="str">
        <f>IF(ISBLANK(INDEX('Policy Characteristics'!J:J,MATCH($C935,'Policy Characteristics'!$C:$C,0))),"",INDEX('Policy Characteristics'!J:J,MATCH($C935,'Policy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5" s="275" t="str">
        <f>IF(ISBLANK(INDEX('Policy Characteristics'!K:K,MATCH($C935,'Policy Characteristics'!$C:$C,0))),"",INDEX('Policy Characteristics'!K:K,MATCH($C935,'Policy Characteristics'!$C:$C,0)))</f>
        <v>industry-ag-main.html#fuel-switching</v>
      </c>
      <c r="R935" s="275" t="str">
        <f>IF(ISBLANK(INDEX('Policy Characteristics'!L:L,MATCH($C935,'Policy Characteristics'!$C:$C,0))),"",INDEX('Policy Characteristics'!L:L,MATCH($C935,'Policy Characteristics'!$C:$C,0)))</f>
        <v>industry-elec-and-hydrogen.html</v>
      </c>
    </row>
    <row r="936" spans="1:18" s="2" customFormat="1" x14ac:dyDescent="0.25">
      <c r="A936" s="275" t="str">
        <f>IF(ISBLANK(INDEX('Policy Characteristics'!A:A,MATCH($C936,'Policy Characteristics'!$C:$C,0))),"",INDEX('Policy Characteristics'!A:A,MATCH($C936,'Policy Characteristics'!$C:$C,0)))</f>
        <v>Industry</v>
      </c>
      <c r="B936" s="284" t="str">
        <f>IF(ISBLANK(INDEX('Policy Characteristics'!B:B,MATCH($C936,'Policy Characteristics'!$C:$C,0))),"",INDEX('Policy Characteristics'!B:B,MATCH($C936,'Policy Characteristics'!$C:$C,0)))</f>
        <v>Hydrogen Combustion</v>
      </c>
      <c r="C936" s="275" t="str">
        <f t="shared" si="39"/>
        <v>Fraction of Eligible Industrial Energy Use Shifted to Hydrogen</v>
      </c>
      <c r="D936" s="6" t="s">
        <v>3090</v>
      </c>
      <c r="E936" s="1" t="s">
        <v>3551</v>
      </c>
      <c r="F936" t="s">
        <v>3052</v>
      </c>
      <c r="G936" s="47" t="s">
        <v>3558</v>
      </c>
      <c r="H936" s="44">
        <v>2198</v>
      </c>
      <c r="I936" s="346" t="s">
        <v>44</v>
      </c>
      <c r="J936" s="276" t="str">
        <f>IF(ISBLANK(INDEX('Policy Characteristics'!D:D,MATCH($C936,'Policy Characteristics'!$C:$C,0))),"",INDEX('Policy Characteristics'!D:D,MATCH($C936,'Policy Characteristics'!$C:$C,0)))</f>
        <v>Hydrogen Combustion</v>
      </c>
      <c r="K936" s="275" t="str">
        <f>IF(ISBLANK(INDEX('Policy Characteristics'!E:E,MATCH($C936,'Policy Characteristics'!$C:$C,0))),"",INDEX('Policy Characteristics'!E:E,MATCH($C936,'Policy Characteristics'!$C:$C,0)))</f>
        <v>indst shift to hydrogen</v>
      </c>
      <c r="L936" s="283">
        <f>IF(ISBLANK(INDEX('Policy Characteristics'!F:F,MATCH($C936,'Policy Characteristics'!$C:$C,0))),"",INDEX('Policy Characteristics'!F:F,MATCH($C936,'Policy Characteristics'!$C:$C,0)))</f>
        <v>0</v>
      </c>
      <c r="M936" s="283">
        <f>IF(ISBLANK(INDEX('Policy Characteristics'!G:G,MATCH($C936,'Policy Characteristics'!$C:$C,0))),"",INDEX('Policy Characteristics'!G:G,MATCH($C936,'Policy Characteristics'!$C:$C,0)))</f>
        <v>1</v>
      </c>
      <c r="N936" s="283">
        <f>IF(ISBLANK(INDEX('Policy Characteristics'!H:H,MATCH($C936,'Policy Characteristics'!$C:$C,0))),"",INDEX('Policy Characteristics'!H:H,MATCH($C936,'Policy Characteristics'!$C:$C,0)))</f>
        <v>0.01</v>
      </c>
      <c r="O936" s="275" t="str">
        <f>IF(ISBLANK(INDEX('Policy Characteristics'!I:I,MATCH($C936,'Policy Characteristics'!$C:$C,0))),"",INDEX('Policy Characteristics'!I:I,MATCH($C936,'Policy Characteristics'!$C:$C,0)))</f>
        <v>% of fuel shifted</v>
      </c>
      <c r="P936" s="275" t="str">
        <f>IF(ISBLANK(INDEX('Policy Characteristics'!J:J,MATCH($C936,'Policy Characteristics'!$C:$C,0))),"",INDEX('Policy Characteristics'!J:J,MATCH($C936,'Policy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6" s="275" t="str">
        <f>IF(ISBLANK(INDEX('Policy Characteristics'!K:K,MATCH($C936,'Policy Characteristics'!$C:$C,0))),"",INDEX('Policy Characteristics'!K:K,MATCH($C936,'Policy Characteristics'!$C:$C,0)))</f>
        <v>industry-ag-main.html#fuel-switching</v>
      </c>
      <c r="R936" s="275" t="str">
        <f>IF(ISBLANK(INDEX('Policy Characteristics'!L:L,MATCH($C936,'Policy Characteristics'!$C:$C,0))),"",INDEX('Policy Characteristics'!L:L,MATCH($C936,'Policy Characteristics'!$C:$C,0)))</f>
        <v>industry-elec-and-hydrogen.html</v>
      </c>
    </row>
    <row r="937" spans="1:18" s="2" customFormat="1" x14ac:dyDescent="0.25">
      <c r="A937" s="275" t="str">
        <f>IF(ISBLANK(INDEX('Policy Characteristics'!A:A,MATCH($C937,'Policy Characteristics'!$C:$C,0))),"",INDEX('Policy Characteristics'!A:A,MATCH($C937,'Policy Characteristics'!$C:$C,0)))</f>
        <v>Industry</v>
      </c>
      <c r="B937" s="284" t="str">
        <f>IF(ISBLANK(INDEX('Policy Characteristics'!B:B,MATCH($C937,'Policy Characteristics'!$C:$C,0))),"",INDEX('Policy Characteristics'!B:B,MATCH($C937,'Policy Characteristics'!$C:$C,0)))</f>
        <v>Hydrogen Combustion</v>
      </c>
      <c r="C937" s="275" t="str">
        <f t="shared" si="39"/>
        <v>Fraction of Eligible Industrial Energy Use Shifted to Hydrogen</v>
      </c>
      <c r="D937" s="6" t="s">
        <v>3090</v>
      </c>
      <c r="E937" s="1" t="s">
        <v>3552</v>
      </c>
      <c r="F937" t="s">
        <v>3052</v>
      </c>
      <c r="G937" s="47" t="s">
        <v>3559</v>
      </c>
      <c r="H937" s="44">
        <v>2199</v>
      </c>
      <c r="I937" s="346" t="s">
        <v>43</v>
      </c>
      <c r="J937" s="276" t="str">
        <f>IF(ISBLANK(INDEX('Policy Characteristics'!D:D,MATCH($C937,'Policy Characteristics'!$C:$C,0))),"",INDEX('Policy Characteristics'!D:D,MATCH($C937,'Policy Characteristics'!$C:$C,0)))</f>
        <v>Hydrogen Combustion</v>
      </c>
      <c r="K937" s="275" t="str">
        <f>IF(ISBLANK(INDEX('Policy Characteristics'!E:E,MATCH($C937,'Policy Characteristics'!$C:$C,0))),"",INDEX('Policy Characteristics'!E:E,MATCH($C937,'Policy Characteristics'!$C:$C,0)))</f>
        <v>indst shift to hydrogen</v>
      </c>
      <c r="L937" s="283">
        <f>IF(ISBLANK(INDEX('Policy Characteristics'!F:F,MATCH($C937,'Policy Characteristics'!$C:$C,0))),"",INDEX('Policy Characteristics'!F:F,MATCH($C937,'Policy Characteristics'!$C:$C,0)))</f>
        <v>0</v>
      </c>
      <c r="M937" s="283">
        <f>IF(ISBLANK(INDEX('Policy Characteristics'!G:G,MATCH($C937,'Policy Characteristics'!$C:$C,0))),"",INDEX('Policy Characteristics'!G:G,MATCH($C937,'Policy Characteristics'!$C:$C,0)))</f>
        <v>1</v>
      </c>
      <c r="N937" s="283">
        <f>IF(ISBLANK(INDEX('Policy Characteristics'!H:H,MATCH($C937,'Policy Characteristics'!$C:$C,0))),"",INDEX('Policy Characteristics'!H:H,MATCH($C937,'Policy Characteristics'!$C:$C,0)))</f>
        <v>0.01</v>
      </c>
      <c r="O937" s="275" t="str">
        <f>IF(ISBLANK(INDEX('Policy Characteristics'!I:I,MATCH($C937,'Policy Characteristics'!$C:$C,0))),"",INDEX('Policy Characteristics'!I:I,MATCH($C937,'Policy Characteristics'!$C:$C,0)))</f>
        <v>% of fuel shifted</v>
      </c>
      <c r="P937" s="275" t="str">
        <f>IF(ISBLANK(INDEX('Policy Characteristics'!J:J,MATCH($C937,'Policy Characteristics'!$C:$C,0))),"",INDEX('Policy Characteristics'!J:J,MATCH($C937,'Policy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7" s="275" t="str">
        <f>IF(ISBLANK(INDEX('Policy Characteristics'!K:K,MATCH($C937,'Policy Characteristics'!$C:$C,0))),"",INDEX('Policy Characteristics'!K:K,MATCH($C937,'Policy Characteristics'!$C:$C,0)))</f>
        <v>industry-ag-main.html#fuel-switching</v>
      </c>
      <c r="R937" s="275" t="str">
        <f>IF(ISBLANK(INDEX('Policy Characteristics'!L:L,MATCH($C937,'Policy Characteristics'!$C:$C,0))),"",INDEX('Policy Characteristics'!L:L,MATCH($C937,'Policy Characteristics'!$C:$C,0)))</f>
        <v>industry-elec-and-hydrogen.html</v>
      </c>
    </row>
    <row r="938" spans="1:18" s="2" customFormat="1" x14ac:dyDescent="0.25">
      <c r="A938" s="275" t="str">
        <f>IF(ISBLANK(INDEX('Policy Characteristics'!A:A,MATCH($C938,'Policy Characteristics'!$C:$C,0))),"",INDEX('Policy Characteristics'!A:A,MATCH($C938,'Policy Characteristics'!$C:$C,0)))</f>
        <v>Industry</v>
      </c>
      <c r="B938" s="284" t="str">
        <f>IF(ISBLANK(INDEX('Policy Characteristics'!B:B,MATCH($C938,'Policy Characteristics'!$C:$C,0))),"",INDEX('Policy Characteristics'!B:B,MATCH($C938,'Policy Characteristics'!$C:$C,0)))</f>
        <v>Hydrogen Combustion</v>
      </c>
      <c r="C938" s="275" t="str">
        <f t="shared" si="39"/>
        <v>Fraction of Eligible Industrial Energy Use Shifted to Hydrogen</v>
      </c>
      <c r="D938" s="6" t="s">
        <v>3090</v>
      </c>
      <c r="E938" s="1" t="s">
        <v>3553</v>
      </c>
      <c r="F938" t="s">
        <v>3052</v>
      </c>
      <c r="G938" s="47" t="s">
        <v>3560</v>
      </c>
      <c r="H938" s="44">
        <v>2200</v>
      </c>
      <c r="I938" s="346" t="s">
        <v>44</v>
      </c>
      <c r="J938" s="276" t="str">
        <f>IF(ISBLANK(INDEX('Policy Characteristics'!D:D,MATCH($C938,'Policy Characteristics'!$C:$C,0))),"",INDEX('Policy Characteristics'!D:D,MATCH($C938,'Policy Characteristics'!$C:$C,0)))</f>
        <v>Hydrogen Combustion</v>
      </c>
      <c r="K938" s="275" t="str">
        <f>IF(ISBLANK(INDEX('Policy Characteristics'!E:E,MATCH($C938,'Policy Characteristics'!$C:$C,0))),"",INDEX('Policy Characteristics'!E:E,MATCH($C938,'Policy Characteristics'!$C:$C,0)))</f>
        <v>indst shift to hydrogen</v>
      </c>
      <c r="L938" s="283">
        <f>IF(ISBLANK(INDEX('Policy Characteristics'!F:F,MATCH($C938,'Policy Characteristics'!$C:$C,0))),"",INDEX('Policy Characteristics'!F:F,MATCH($C938,'Policy Characteristics'!$C:$C,0)))</f>
        <v>0</v>
      </c>
      <c r="M938" s="283">
        <f>IF(ISBLANK(INDEX('Policy Characteristics'!G:G,MATCH($C938,'Policy Characteristics'!$C:$C,0))),"",INDEX('Policy Characteristics'!G:G,MATCH($C938,'Policy Characteristics'!$C:$C,0)))</f>
        <v>1</v>
      </c>
      <c r="N938" s="283">
        <f>IF(ISBLANK(INDEX('Policy Characteristics'!H:H,MATCH($C938,'Policy Characteristics'!$C:$C,0))),"",INDEX('Policy Characteristics'!H:H,MATCH($C938,'Policy Characteristics'!$C:$C,0)))</f>
        <v>0.01</v>
      </c>
      <c r="O938" s="275" t="str">
        <f>IF(ISBLANK(INDEX('Policy Characteristics'!I:I,MATCH($C938,'Policy Characteristics'!$C:$C,0))),"",INDEX('Policy Characteristics'!I:I,MATCH($C938,'Policy Characteristics'!$C:$C,0)))</f>
        <v>% of fuel shifted</v>
      </c>
      <c r="P938" s="275" t="str">
        <f>IF(ISBLANK(INDEX('Policy Characteristics'!J:J,MATCH($C938,'Policy Characteristics'!$C:$C,0))),"",INDEX('Policy Characteristics'!J:J,MATCH($C938,'Policy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8" s="275" t="str">
        <f>IF(ISBLANK(INDEX('Policy Characteristics'!K:K,MATCH($C938,'Policy Characteristics'!$C:$C,0))),"",INDEX('Policy Characteristics'!K:K,MATCH($C938,'Policy Characteristics'!$C:$C,0)))</f>
        <v>industry-ag-main.html#fuel-switching</v>
      </c>
      <c r="R938" s="275" t="str">
        <f>IF(ISBLANK(INDEX('Policy Characteristics'!L:L,MATCH($C938,'Policy Characteristics'!$C:$C,0))),"",INDEX('Policy Characteristics'!L:L,MATCH($C938,'Policy Characteristics'!$C:$C,0)))</f>
        <v>industry-elec-and-hydrogen.html</v>
      </c>
    </row>
    <row r="939" spans="1:18" s="2" customFormat="1" x14ac:dyDescent="0.25">
      <c r="A939" s="275" t="str">
        <f>IF(ISBLANK(INDEX('Policy Characteristics'!A:A,MATCH($C939,'Policy Characteristics'!$C:$C,0))),"",INDEX('Policy Characteristics'!A:A,MATCH($C939,'Policy Characteristics'!$C:$C,0)))</f>
        <v>Industry</v>
      </c>
      <c r="B939" s="284" t="str">
        <f>IF(ISBLANK(INDEX('Policy Characteristics'!B:B,MATCH($C939,'Policy Characteristics'!$C:$C,0))),"",INDEX('Policy Characteristics'!B:B,MATCH($C939,'Policy Characteristics'!$C:$C,0)))</f>
        <v>Hydrogen Combustion</v>
      </c>
      <c r="C939" s="275" t="str">
        <f t="shared" si="39"/>
        <v>Fraction of Eligible Industrial Energy Use Shifted to Hydrogen</v>
      </c>
      <c r="D939" s="6" t="s">
        <v>3090</v>
      </c>
      <c r="E939" s="1" t="s">
        <v>3737</v>
      </c>
      <c r="F939" t="s">
        <v>3052</v>
      </c>
      <c r="G939" s="47" t="s">
        <v>3738</v>
      </c>
      <c r="H939" s="44">
        <v>2201</v>
      </c>
      <c r="I939" s="346" t="s">
        <v>44</v>
      </c>
      <c r="J939" s="276" t="str">
        <f>IF(ISBLANK(INDEX('Policy Characteristics'!D:D,MATCH($C939,'Policy Characteristics'!$C:$C,0))),"",INDEX('Policy Characteristics'!D:D,MATCH($C939,'Policy Characteristics'!$C:$C,0)))</f>
        <v>Hydrogen Combustion</v>
      </c>
      <c r="K939" s="275" t="str">
        <f>IF(ISBLANK(INDEX('Policy Characteristics'!E:E,MATCH($C939,'Policy Characteristics'!$C:$C,0))),"",INDEX('Policy Characteristics'!E:E,MATCH($C939,'Policy Characteristics'!$C:$C,0)))</f>
        <v>indst shift to hydrogen</v>
      </c>
      <c r="L939" s="283">
        <f>IF(ISBLANK(INDEX('Policy Characteristics'!F:F,MATCH($C939,'Policy Characteristics'!$C:$C,0))),"",INDEX('Policy Characteristics'!F:F,MATCH($C939,'Policy Characteristics'!$C:$C,0)))</f>
        <v>0</v>
      </c>
      <c r="M939" s="283">
        <f>IF(ISBLANK(INDEX('Policy Characteristics'!G:G,MATCH($C939,'Policy Characteristics'!$C:$C,0))),"",INDEX('Policy Characteristics'!G:G,MATCH($C939,'Policy Characteristics'!$C:$C,0)))</f>
        <v>1</v>
      </c>
      <c r="N939" s="283">
        <f>IF(ISBLANK(INDEX('Policy Characteristics'!H:H,MATCH($C939,'Policy Characteristics'!$C:$C,0))),"",INDEX('Policy Characteristics'!H:H,MATCH($C939,'Policy Characteristics'!$C:$C,0)))</f>
        <v>0.01</v>
      </c>
      <c r="O939" s="275" t="str">
        <f>IF(ISBLANK(INDEX('Policy Characteristics'!I:I,MATCH($C939,'Policy Characteristics'!$C:$C,0))),"",INDEX('Policy Characteristics'!I:I,MATCH($C939,'Policy Characteristics'!$C:$C,0)))</f>
        <v>% of fuel shifted</v>
      </c>
      <c r="P939" s="275" t="str">
        <f>IF(ISBLANK(INDEX('Policy Characteristics'!J:J,MATCH($C939,'Policy Characteristics'!$C:$C,0))),"",INDEX('Policy Characteristics'!J:J,MATCH($C939,'Policy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9" s="275" t="str">
        <f>IF(ISBLANK(INDEX('Policy Characteristics'!K:K,MATCH($C939,'Policy Characteristics'!$C:$C,0))),"",INDEX('Policy Characteristics'!K:K,MATCH($C939,'Policy Characteristics'!$C:$C,0)))</f>
        <v>industry-ag-main.html#fuel-switching</v>
      </c>
      <c r="R939" s="275" t="str">
        <f>IF(ISBLANK(INDEX('Policy Characteristics'!L:L,MATCH($C939,'Policy Characteristics'!$C:$C,0))),"",INDEX('Policy Characteristics'!L:L,MATCH($C939,'Policy Characteristics'!$C:$C,0)))</f>
        <v>industry-elec-and-hydrogen.html</v>
      </c>
    </row>
    <row r="940" spans="1:18" s="2" customFormat="1" x14ac:dyDescent="0.25">
      <c r="A940" s="275" t="str">
        <f>IF(ISBLANK(INDEX('Policy Characteristics'!A:A,MATCH($C940,'Policy Characteristics'!$C:$C,0))),"",INDEX('Policy Characteristics'!A:A,MATCH($C940,'Policy Characteristics'!$C:$C,0)))</f>
        <v>Industry</v>
      </c>
      <c r="B940" s="284" t="str">
        <f>IF(ISBLANK(INDEX('Policy Characteristics'!B:B,MATCH($C940,'Policy Characteristics'!$C:$C,0))),"",INDEX('Policy Characteristics'!B:B,MATCH($C940,'Policy Characteristics'!$C:$C,0)))</f>
        <v>Hydrogen Combustion</v>
      </c>
      <c r="C940" s="275" t="str">
        <f t="shared" si="39"/>
        <v>Fraction of Eligible Industrial Energy Use Shifted to Hydrogen</v>
      </c>
      <c r="D940" s="6" t="s">
        <v>3091</v>
      </c>
      <c r="E940" s="1" t="s">
        <v>3547</v>
      </c>
      <c r="F940" t="s">
        <v>3053</v>
      </c>
      <c r="G940" s="47" t="s">
        <v>3554</v>
      </c>
      <c r="H940" s="44">
        <v>2202</v>
      </c>
      <c r="I940" s="346" t="s">
        <v>43</v>
      </c>
      <c r="J940" s="276" t="str">
        <f>IF(ISBLANK(INDEX('Policy Characteristics'!D:D,MATCH($C940,'Policy Characteristics'!$C:$C,0))),"",INDEX('Policy Characteristics'!D:D,MATCH($C940,'Policy Characteristics'!$C:$C,0)))</f>
        <v>Hydrogen Combustion</v>
      </c>
      <c r="K940" s="275" t="str">
        <f>IF(ISBLANK(INDEX('Policy Characteristics'!E:E,MATCH($C940,'Policy Characteristics'!$C:$C,0))),"",INDEX('Policy Characteristics'!E:E,MATCH($C940,'Policy Characteristics'!$C:$C,0)))</f>
        <v>indst shift to hydrogen</v>
      </c>
      <c r="L940" s="283">
        <f>IF(ISBLANK(INDEX('Policy Characteristics'!F:F,MATCH($C940,'Policy Characteristics'!$C:$C,0))),"",INDEX('Policy Characteristics'!F:F,MATCH($C940,'Policy Characteristics'!$C:$C,0)))</f>
        <v>0</v>
      </c>
      <c r="M940" s="283">
        <f>IF(ISBLANK(INDEX('Policy Characteristics'!G:G,MATCH($C940,'Policy Characteristics'!$C:$C,0))),"",INDEX('Policy Characteristics'!G:G,MATCH($C940,'Policy Characteristics'!$C:$C,0)))</f>
        <v>1</v>
      </c>
      <c r="N940" s="283">
        <f>IF(ISBLANK(INDEX('Policy Characteristics'!H:H,MATCH($C940,'Policy Characteristics'!$C:$C,0))),"",INDEX('Policy Characteristics'!H:H,MATCH($C940,'Policy Characteristics'!$C:$C,0)))</f>
        <v>0.01</v>
      </c>
      <c r="O940" s="275" t="str">
        <f>IF(ISBLANK(INDEX('Policy Characteristics'!I:I,MATCH($C940,'Policy Characteristics'!$C:$C,0))),"",INDEX('Policy Characteristics'!I:I,MATCH($C940,'Policy Characteristics'!$C:$C,0)))</f>
        <v>% of fuel shifted</v>
      </c>
      <c r="P940" s="275" t="str">
        <f>IF(ISBLANK(INDEX('Policy Characteristics'!J:J,MATCH($C940,'Policy Characteristics'!$C:$C,0))),"",INDEX('Policy Characteristics'!J:J,MATCH($C940,'Policy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0" s="275" t="str">
        <f>IF(ISBLANK(INDEX('Policy Characteristics'!K:K,MATCH($C940,'Policy Characteristics'!$C:$C,0))),"",INDEX('Policy Characteristics'!K:K,MATCH($C940,'Policy Characteristics'!$C:$C,0)))</f>
        <v>industry-ag-main.html#fuel-switching</v>
      </c>
      <c r="R940" s="275" t="str">
        <f>IF(ISBLANK(INDEX('Policy Characteristics'!L:L,MATCH($C940,'Policy Characteristics'!$C:$C,0))),"",INDEX('Policy Characteristics'!L:L,MATCH($C940,'Policy Characteristics'!$C:$C,0)))</f>
        <v>industry-elec-and-hydrogen.html</v>
      </c>
    </row>
    <row r="941" spans="1:18" s="2" customFormat="1" x14ac:dyDescent="0.25">
      <c r="A941" s="275" t="str">
        <f>IF(ISBLANK(INDEX('Policy Characteristics'!A:A,MATCH($C941,'Policy Characteristics'!$C:$C,0))),"",INDEX('Policy Characteristics'!A:A,MATCH($C941,'Policy Characteristics'!$C:$C,0)))</f>
        <v>Industry</v>
      </c>
      <c r="B941" s="284" t="str">
        <f>IF(ISBLANK(INDEX('Policy Characteristics'!B:B,MATCH($C941,'Policy Characteristics'!$C:$C,0))),"",INDEX('Policy Characteristics'!B:B,MATCH($C941,'Policy Characteristics'!$C:$C,0)))</f>
        <v>Hydrogen Combustion</v>
      </c>
      <c r="C941" s="275" t="str">
        <f t="shared" si="39"/>
        <v>Fraction of Eligible Industrial Energy Use Shifted to Hydrogen</v>
      </c>
      <c r="D941" s="6" t="s">
        <v>3091</v>
      </c>
      <c r="E941" s="1" t="s">
        <v>3548</v>
      </c>
      <c r="F941" t="s">
        <v>3053</v>
      </c>
      <c r="G941" s="47" t="s">
        <v>3555</v>
      </c>
      <c r="H941" s="44">
        <v>2203</v>
      </c>
      <c r="I941" s="346" t="s">
        <v>43</v>
      </c>
      <c r="J941" s="276" t="str">
        <f>IF(ISBLANK(INDEX('Policy Characteristics'!D:D,MATCH($C941,'Policy Characteristics'!$C:$C,0))),"",INDEX('Policy Characteristics'!D:D,MATCH($C941,'Policy Characteristics'!$C:$C,0)))</f>
        <v>Hydrogen Combustion</v>
      </c>
      <c r="K941" s="275" t="str">
        <f>IF(ISBLANK(INDEX('Policy Characteristics'!E:E,MATCH($C941,'Policy Characteristics'!$C:$C,0))),"",INDEX('Policy Characteristics'!E:E,MATCH($C941,'Policy Characteristics'!$C:$C,0)))</f>
        <v>indst shift to hydrogen</v>
      </c>
      <c r="L941" s="283">
        <f>IF(ISBLANK(INDEX('Policy Characteristics'!F:F,MATCH($C941,'Policy Characteristics'!$C:$C,0))),"",INDEX('Policy Characteristics'!F:F,MATCH($C941,'Policy Characteristics'!$C:$C,0)))</f>
        <v>0</v>
      </c>
      <c r="M941" s="283">
        <f>IF(ISBLANK(INDEX('Policy Characteristics'!G:G,MATCH($C941,'Policy Characteristics'!$C:$C,0))),"",INDEX('Policy Characteristics'!G:G,MATCH($C941,'Policy Characteristics'!$C:$C,0)))</f>
        <v>1</v>
      </c>
      <c r="N941" s="283">
        <f>IF(ISBLANK(INDEX('Policy Characteristics'!H:H,MATCH($C941,'Policy Characteristics'!$C:$C,0))),"",INDEX('Policy Characteristics'!H:H,MATCH($C941,'Policy Characteristics'!$C:$C,0)))</f>
        <v>0.01</v>
      </c>
      <c r="O941" s="275" t="str">
        <f>IF(ISBLANK(INDEX('Policy Characteristics'!I:I,MATCH($C941,'Policy Characteristics'!$C:$C,0))),"",INDEX('Policy Characteristics'!I:I,MATCH($C941,'Policy Characteristics'!$C:$C,0)))</f>
        <v>% of fuel shifted</v>
      </c>
      <c r="P941" s="275" t="str">
        <f>IF(ISBLANK(INDEX('Policy Characteristics'!J:J,MATCH($C941,'Policy Characteristics'!$C:$C,0))),"",INDEX('Policy Characteristics'!J:J,MATCH($C941,'Policy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1" s="275" t="str">
        <f>IF(ISBLANK(INDEX('Policy Characteristics'!K:K,MATCH($C941,'Policy Characteristics'!$C:$C,0))),"",INDEX('Policy Characteristics'!K:K,MATCH($C941,'Policy Characteristics'!$C:$C,0)))</f>
        <v>industry-ag-main.html#fuel-switching</v>
      </c>
      <c r="R941" s="275" t="str">
        <f>IF(ISBLANK(INDEX('Policy Characteristics'!L:L,MATCH($C941,'Policy Characteristics'!$C:$C,0))),"",INDEX('Policy Characteristics'!L:L,MATCH($C941,'Policy Characteristics'!$C:$C,0)))</f>
        <v>industry-elec-and-hydrogen.html</v>
      </c>
    </row>
    <row r="942" spans="1:18" s="2" customFormat="1" x14ac:dyDescent="0.25">
      <c r="A942" s="275" t="str">
        <f>IF(ISBLANK(INDEX('Policy Characteristics'!A:A,MATCH($C942,'Policy Characteristics'!$C:$C,0))),"",INDEX('Policy Characteristics'!A:A,MATCH($C942,'Policy Characteristics'!$C:$C,0)))</f>
        <v>Industry</v>
      </c>
      <c r="B942" s="284" t="str">
        <f>IF(ISBLANK(INDEX('Policy Characteristics'!B:B,MATCH($C942,'Policy Characteristics'!$C:$C,0))),"",INDEX('Policy Characteristics'!B:B,MATCH($C942,'Policy Characteristics'!$C:$C,0)))</f>
        <v>Hydrogen Combustion</v>
      </c>
      <c r="C942" s="275" t="str">
        <f t="shared" si="39"/>
        <v>Fraction of Eligible Industrial Energy Use Shifted to Hydrogen</v>
      </c>
      <c r="D942" s="6" t="s">
        <v>3091</v>
      </c>
      <c r="E942" s="1" t="s">
        <v>3549</v>
      </c>
      <c r="F942" t="s">
        <v>3053</v>
      </c>
      <c r="G942" s="47" t="s">
        <v>3556</v>
      </c>
      <c r="H942" s="44">
        <v>2204</v>
      </c>
      <c r="I942" s="346" t="s">
        <v>43</v>
      </c>
      <c r="J942" s="276" t="str">
        <f>IF(ISBLANK(INDEX('Policy Characteristics'!D:D,MATCH($C942,'Policy Characteristics'!$C:$C,0))),"",INDEX('Policy Characteristics'!D:D,MATCH($C942,'Policy Characteristics'!$C:$C,0)))</f>
        <v>Hydrogen Combustion</v>
      </c>
      <c r="K942" s="275" t="str">
        <f>IF(ISBLANK(INDEX('Policy Characteristics'!E:E,MATCH($C942,'Policy Characteristics'!$C:$C,0))),"",INDEX('Policy Characteristics'!E:E,MATCH($C942,'Policy Characteristics'!$C:$C,0)))</f>
        <v>indst shift to hydrogen</v>
      </c>
      <c r="L942" s="283">
        <f>IF(ISBLANK(INDEX('Policy Characteristics'!F:F,MATCH($C942,'Policy Characteristics'!$C:$C,0))),"",INDEX('Policy Characteristics'!F:F,MATCH($C942,'Policy Characteristics'!$C:$C,0)))</f>
        <v>0</v>
      </c>
      <c r="M942" s="283">
        <f>IF(ISBLANK(INDEX('Policy Characteristics'!G:G,MATCH($C942,'Policy Characteristics'!$C:$C,0))),"",INDEX('Policy Characteristics'!G:G,MATCH($C942,'Policy Characteristics'!$C:$C,0)))</f>
        <v>1</v>
      </c>
      <c r="N942" s="283">
        <f>IF(ISBLANK(INDEX('Policy Characteristics'!H:H,MATCH($C942,'Policy Characteristics'!$C:$C,0))),"",INDEX('Policy Characteristics'!H:H,MATCH($C942,'Policy Characteristics'!$C:$C,0)))</f>
        <v>0.01</v>
      </c>
      <c r="O942" s="275" t="str">
        <f>IF(ISBLANK(INDEX('Policy Characteristics'!I:I,MATCH($C942,'Policy Characteristics'!$C:$C,0))),"",INDEX('Policy Characteristics'!I:I,MATCH($C942,'Policy Characteristics'!$C:$C,0)))</f>
        <v>% of fuel shifted</v>
      </c>
      <c r="P942" s="275" t="str">
        <f>IF(ISBLANK(INDEX('Policy Characteristics'!J:J,MATCH($C942,'Policy Characteristics'!$C:$C,0))),"",INDEX('Policy Characteristics'!J:J,MATCH($C942,'Policy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2" s="275" t="str">
        <f>IF(ISBLANK(INDEX('Policy Characteristics'!K:K,MATCH($C942,'Policy Characteristics'!$C:$C,0))),"",INDEX('Policy Characteristics'!K:K,MATCH($C942,'Policy Characteristics'!$C:$C,0)))</f>
        <v>industry-ag-main.html#fuel-switching</v>
      </c>
      <c r="R942" s="275" t="str">
        <f>IF(ISBLANK(INDEX('Policy Characteristics'!L:L,MATCH($C942,'Policy Characteristics'!$C:$C,0))),"",INDEX('Policy Characteristics'!L:L,MATCH($C942,'Policy Characteristics'!$C:$C,0)))</f>
        <v>industry-elec-and-hydrogen.html</v>
      </c>
    </row>
    <row r="943" spans="1:18" s="2" customFormat="1" x14ac:dyDescent="0.25">
      <c r="A943" s="275" t="str">
        <f>IF(ISBLANK(INDEX('Policy Characteristics'!A:A,MATCH($C943,'Policy Characteristics'!$C:$C,0))),"",INDEX('Policy Characteristics'!A:A,MATCH($C943,'Policy Characteristics'!$C:$C,0)))</f>
        <v>Industry</v>
      </c>
      <c r="B943" s="284" t="str">
        <f>IF(ISBLANK(INDEX('Policy Characteristics'!B:B,MATCH($C943,'Policy Characteristics'!$C:$C,0))),"",INDEX('Policy Characteristics'!B:B,MATCH($C943,'Policy Characteristics'!$C:$C,0)))</f>
        <v>Hydrogen Combustion</v>
      </c>
      <c r="C943" s="275" t="str">
        <f t="shared" si="39"/>
        <v>Fraction of Eligible Industrial Energy Use Shifted to Hydrogen</v>
      </c>
      <c r="D943" s="6" t="s">
        <v>3091</v>
      </c>
      <c r="E943" s="1" t="s">
        <v>3550</v>
      </c>
      <c r="F943" t="s">
        <v>3053</v>
      </c>
      <c r="G943" s="47" t="s">
        <v>3557</v>
      </c>
      <c r="H943" s="44">
        <v>2205</v>
      </c>
      <c r="I943" s="346" t="s">
        <v>43</v>
      </c>
      <c r="J943" s="276" t="str">
        <f>IF(ISBLANK(INDEX('Policy Characteristics'!D:D,MATCH($C943,'Policy Characteristics'!$C:$C,0))),"",INDEX('Policy Characteristics'!D:D,MATCH($C943,'Policy Characteristics'!$C:$C,0)))</f>
        <v>Hydrogen Combustion</v>
      </c>
      <c r="K943" s="275" t="str">
        <f>IF(ISBLANK(INDEX('Policy Characteristics'!E:E,MATCH($C943,'Policy Characteristics'!$C:$C,0))),"",INDEX('Policy Characteristics'!E:E,MATCH($C943,'Policy Characteristics'!$C:$C,0)))</f>
        <v>indst shift to hydrogen</v>
      </c>
      <c r="L943" s="283">
        <f>IF(ISBLANK(INDEX('Policy Characteristics'!F:F,MATCH($C943,'Policy Characteristics'!$C:$C,0))),"",INDEX('Policy Characteristics'!F:F,MATCH($C943,'Policy Characteristics'!$C:$C,0)))</f>
        <v>0</v>
      </c>
      <c r="M943" s="283">
        <f>IF(ISBLANK(INDEX('Policy Characteristics'!G:G,MATCH($C943,'Policy Characteristics'!$C:$C,0))),"",INDEX('Policy Characteristics'!G:G,MATCH($C943,'Policy Characteristics'!$C:$C,0)))</f>
        <v>1</v>
      </c>
      <c r="N943" s="283">
        <f>IF(ISBLANK(INDEX('Policy Characteristics'!H:H,MATCH($C943,'Policy Characteristics'!$C:$C,0))),"",INDEX('Policy Characteristics'!H:H,MATCH($C943,'Policy Characteristics'!$C:$C,0)))</f>
        <v>0.01</v>
      </c>
      <c r="O943" s="275" t="str">
        <f>IF(ISBLANK(INDEX('Policy Characteristics'!I:I,MATCH($C943,'Policy Characteristics'!$C:$C,0))),"",INDEX('Policy Characteristics'!I:I,MATCH($C943,'Policy Characteristics'!$C:$C,0)))</f>
        <v>% of fuel shifted</v>
      </c>
      <c r="P943" s="275" t="str">
        <f>IF(ISBLANK(INDEX('Policy Characteristics'!J:J,MATCH($C943,'Policy Characteristics'!$C:$C,0))),"",INDEX('Policy Characteristics'!J:J,MATCH($C943,'Policy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3" s="275" t="str">
        <f>IF(ISBLANK(INDEX('Policy Characteristics'!K:K,MATCH($C943,'Policy Characteristics'!$C:$C,0))),"",INDEX('Policy Characteristics'!K:K,MATCH($C943,'Policy Characteristics'!$C:$C,0)))</f>
        <v>industry-ag-main.html#fuel-switching</v>
      </c>
      <c r="R943" s="275" t="str">
        <f>IF(ISBLANK(INDEX('Policy Characteristics'!L:L,MATCH($C943,'Policy Characteristics'!$C:$C,0))),"",INDEX('Policy Characteristics'!L:L,MATCH($C943,'Policy Characteristics'!$C:$C,0)))</f>
        <v>industry-elec-and-hydrogen.html</v>
      </c>
    </row>
    <row r="944" spans="1:18" s="2" customFormat="1" x14ac:dyDescent="0.25">
      <c r="A944" s="275" t="str">
        <f>IF(ISBLANK(INDEX('Policy Characteristics'!A:A,MATCH($C944,'Policy Characteristics'!$C:$C,0))),"",INDEX('Policy Characteristics'!A:A,MATCH($C944,'Policy Characteristics'!$C:$C,0)))</f>
        <v>Industry</v>
      </c>
      <c r="B944" s="284" t="str">
        <f>IF(ISBLANK(INDEX('Policy Characteristics'!B:B,MATCH($C944,'Policy Characteristics'!$C:$C,0))),"",INDEX('Policy Characteristics'!B:B,MATCH($C944,'Policy Characteristics'!$C:$C,0)))</f>
        <v>Hydrogen Combustion</v>
      </c>
      <c r="C944" s="275" t="str">
        <f t="shared" si="39"/>
        <v>Fraction of Eligible Industrial Energy Use Shifted to Hydrogen</v>
      </c>
      <c r="D944" s="6" t="s">
        <v>3091</v>
      </c>
      <c r="E944" s="1" t="s">
        <v>3551</v>
      </c>
      <c r="F944" t="s">
        <v>3053</v>
      </c>
      <c r="G944" s="47" t="s">
        <v>3558</v>
      </c>
      <c r="H944" s="44">
        <v>2206</v>
      </c>
      <c r="I944" s="346" t="s">
        <v>44</v>
      </c>
      <c r="J944" s="276" t="str">
        <f>IF(ISBLANK(INDEX('Policy Characteristics'!D:D,MATCH($C944,'Policy Characteristics'!$C:$C,0))),"",INDEX('Policy Characteristics'!D:D,MATCH($C944,'Policy Characteristics'!$C:$C,0)))</f>
        <v>Hydrogen Combustion</v>
      </c>
      <c r="K944" s="275" t="str">
        <f>IF(ISBLANK(INDEX('Policy Characteristics'!E:E,MATCH($C944,'Policy Characteristics'!$C:$C,0))),"",INDEX('Policy Characteristics'!E:E,MATCH($C944,'Policy Characteristics'!$C:$C,0)))</f>
        <v>indst shift to hydrogen</v>
      </c>
      <c r="L944" s="283">
        <f>IF(ISBLANK(INDEX('Policy Characteristics'!F:F,MATCH($C944,'Policy Characteristics'!$C:$C,0))),"",INDEX('Policy Characteristics'!F:F,MATCH($C944,'Policy Characteristics'!$C:$C,0)))</f>
        <v>0</v>
      </c>
      <c r="M944" s="283">
        <f>IF(ISBLANK(INDEX('Policy Characteristics'!G:G,MATCH($C944,'Policy Characteristics'!$C:$C,0))),"",INDEX('Policy Characteristics'!G:G,MATCH($C944,'Policy Characteristics'!$C:$C,0)))</f>
        <v>1</v>
      </c>
      <c r="N944" s="283">
        <f>IF(ISBLANK(INDEX('Policy Characteristics'!H:H,MATCH($C944,'Policy Characteristics'!$C:$C,0))),"",INDEX('Policy Characteristics'!H:H,MATCH($C944,'Policy Characteristics'!$C:$C,0)))</f>
        <v>0.01</v>
      </c>
      <c r="O944" s="275" t="str">
        <f>IF(ISBLANK(INDEX('Policy Characteristics'!I:I,MATCH($C944,'Policy Characteristics'!$C:$C,0))),"",INDEX('Policy Characteristics'!I:I,MATCH($C944,'Policy Characteristics'!$C:$C,0)))</f>
        <v>% of fuel shifted</v>
      </c>
      <c r="P944" s="275" t="str">
        <f>IF(ISBLANK(INDEX('Policy Characteristics'!J:J,MATCH($C944,'Policy Characteristics'!$C:$C,0))),"",INDEX('Policy Characteristics'!J:J,MATCH($C944,'Policy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4" s="275" t="str">
        <f>IF(ISBLANK(INDEX('Policy Characteristics'!K:K,MATCH($C944,'Policy Characteristics'!$C:$C,0))),"",INDEX('Policy Characteristics'!K:K,MATCH($C944,'Policy Characteristics'!$C:$C,0)))</f>
        <v>industry-ag-main.html#fuel-switching</v>
      </c>
      <c r="R944" s="275" t="str">
        <f>IF(ISBLANK(INDEX('Policy Characteristics'!L:L,MATCH($C944,'Policy Characteristics'!$C:$C,0))),"",INDEX('Policy Characteristics'!L:L,MATCH($C944,'Policy Characteristics'!$C:$C,0)))</f>
        <v>industry-elec-and-hydrogen.html</v>
      </c>
    </row>
    <row r="945" spans="1:18" s="2" customFormat="1" x14ac:dyDescent="0.25">
      <c r="A945" s="275" t="str">
        <f>IF(ISBLANK(INDEX('Policy Characteristics'!A:A,MATCH($C945,'Policy Characteristics'!$C:$C,0))),"",INDEX('Policy Characteristics'!A:A,MATCH($C945,'Policy Characteristics'!$C:$C,0)))</f>
        <v>Industry</v>
      </c>
      <c r="B945" s="284" t="str">
        <f>IF(ISBLANK(INDEX('Policy Characteristics'!B:B,MATCH($C945,'Policy Characteristics'!$C:$C,0))),"",INDEX('Policy Characteristics'!B:B,MATCH($C945,'Policy Characteristics'!$C:$C,0)))</f>
        <v>Hydrogen Combustion</v>
      </c>
      <c r="C945" s="275" t="str">
        <f t="shared" si="39"/>
        <v>Fraction of Eligible Industrial Energy Use Shifted to Hydrogen</v>
      </c>
      <c r="D945" s="6" t="s">
        <v>3091</v>
      </c>
      <c r="E945" s="1" t="s">
        <v>3552</v>
      </c>
      <c r="F945" t="s">
        <v>3053</v>
      </c>
      <c r="G945" s="47" t="s">
        <v>3559</v>
      </c>
      <c r="H945" s="44">
        <v>2207</v>
      </c>
      <c r="I945" s="346" t="s">
        <v>43</v>
      </c>
      <c r="J945" s="276" t="str">
        <f>IF(ISBLANK(INDEX('Policy Characteristics'!D:D,MATCH($C945,'Policy Characteristics'!$C:$C,0))),"",INDEX('Policy Characteristics'!D:D,MATCH($C945,'Policy Characteristics'!$C:$C,0)))</f>
        <v>Hydrogen Combustion</v>
      </c>
      <c r="K945" s="275" t="str">
        <f>IF(ISBLANK(INDEX('Policy Characteristics'!E:E,MATCH($C945,'Policy Characteristics'!$C:$C,0))),"",INDEX('Policy Characteristics'!E:E,MATCH($C945,'Policy Characteristics'!$C:$C,0)))</f>
        <v>indst shift to hydrogen</v>
      </c>
      <c r="L945" s="283">
        <f>IF(ISBLANK(INDEX('Policy Characteristics'!F:F,MATCH($C945,'Policy Characteristics'!$C:$C,0))),"",INDEX('Policy Characteristics'!F:F,MATCH($C945,'Policy Characteristics'!$C:$C,0)))</f>
        <v>0</v>
      </c>
      <c r="M945" s="283">
        <f>IF(ISBLANK(INDEX('Policy Characteristics'!G:G,MATCH($C945,'Policy Characteristics'!$C:$C,0))),"",INDEX('Policy Characteristics'!G:G,MATCH($C945,'Policy Characteristics'!$C:$C,0)))</f>
        <v>1</v>
      </c>
      <c r="N945" s="283">
        <f>IF(ISBLANK(INDEX('Policy Characteristics'!H:H,MATCH($C945,'Policy Characteristics'!$C:$C,0))),"",INDEX('Policy Characteristics'!H:H,MATCH($C945,'Policy Characteristics'!$C:$C,0)))</f>
        <v>0.01</v>
      </c>
      <c r="O945" s="275" t="str">
        <f>IF(ISBLANK(INDEX('Policy Characteristics'!I:I,MATCH($C945,'Policy Characteristics'!$C:$C,0))),"",INDEX('Policy Characteristics'!I:I,MATCH($C945,'Policy Characteristics'!$C:$C,0)))</f>
        <v>% of fuel shifted</v>
      </c>
      <c r="P945" s="275" t="str">
        <f>IF(ISBLANK(INDEX('Policy Characteristics'!J:J,MATCH($C945,'Policy Characteristics'!$C:$C,0))),"",INDEX('Policy Characteristics'!J:J,MATCH($C945,'Policy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5" s="275" t="str">
        <f>IF(ISBLANK(INDEX('Policy Characteristics'!K:K,MATCH($C945,'Policy Characteristics'!$C:$C,0))),"",INDEX('Policy Characteristics'!K:K,MATCH($C945,'Policy Characteristics'!$C:$C,0)))</f>
        <v>industry-ag-main.html#fuel-switching</v>
      </c>
      <c r="R945" s="275" t="str">
        <f>IF(ISBLANK(INDEX('Policy Characteristics'!L:L,MATCH($C945,'Policy Characteristics'!$C:$C,0))),"",INDEX('Policy Characteristics'!L:L,MATCH($C945,'Policy Characteristics'!$C:$C,0)))</f>
        <v>industry-elec-and-hydrogen.html</v>
      </c>
    </row>
    <row r="946" spans="1:18" s="2" customFormat="1" x14ac:dyDescent="0.25">
      <c r="A946" s="275" t="str">
        <f>IF(ISBLANK(INDEX('Policy Characteristics'!A:A,MATCH($C946,'Policy Characteristics'!$C:$C,0))),"",INDEX('Policy Characteristics'!A:A,MATCH($C946,'Policy Characteristics'!$C:$C,0)))</f>
        <v>Industry</v>
      </c>
      <c r="B946" s="284" t="str">
        <f>IF(ISBLANK(INDEX('Policy Characteristics'!B:B,MATCH($C946,'Policy Characteristics'!$C:$C,0))),"",INDEX('Policy Characteristics'!B:B,MATCH($C946,'Policy Characteristics'!$C:$C,0)))</f>
        <v>Hydrogen Combustion</v>
      </c>
      <c r="C946" s="275" t="str">
        <f t="shared" si="39"/>
        <v>Fraction of Eligible Industrial Energy Use Shifted to Hydrogen</v>
      </c>
      <c r="D946" s="6" t="s">
        <v>3091</v>
      </c>
      <c r="E946" s="1" t="s">
        <v>3553</v>
      </c>
      <c r="F946" t="s">
        <v>3053</v>
      </c>
      <c r="G946" s="47" t="s">
        <v>3560</v>
      </c>
      <c r="H946" s="44">
        <v>2208</v>
      </c>
      <c r="I946" s="346" t="s">
        <v>44</v>
      </c>
      <c r="J946" s="276" t="str">
        <f>IF(ISBLANK(INDEX('Policy Characteristics'!D:D,MATCH($C946,'Policy Characteristics'!$C:$C,0))),"",INDEX('Policy Characteristics'!D:D,MATCH($C946,'Policy Characteristics'!$C:$C,0)))</f>
        <v>Hydrogen Combustion</v>
      </c>
      <c r="K946" s="275" t="str">
        <f>IF(ISBLANK(INDEX('Policy Characteristics'!E:E,MATCH($C946,'Policy Characteristics'!$C:$C,0))),"",INDEX('Policy Characteristics'!E:E,MATCH($C946,'Policy Characteristics'!$C:$C,0)))</f>
        <v>indst shift to hydrogen</v>
      </c>
      <c r="L946" s="283">
        <f>IF(ISBLANK(INDEX('Policy Characteristics'!F:F,MATCH($C946,'Policy Characteristics'!$C:$C,0))),"",INDEX('Policy Characteristics'!F:F,MATCH($C946,'Policy Characteristics'!$C:$C,0)))</f>
        <v>0</v>
      </c>
      <c r="M946" s="283">
        <f>IF(ISBLANK(INDEX('Policy Characteristics'!G:G,MATCH($C946,'Policy Characteristics'!$C:$C,0))),"",INDEX('Policy Characteristics'!G:G,MATCH($C946,'Policy Characteristics'!$C:$C,0)))</f>
        <v>1</v>
      </c>
      <c r="N946" s="283">
        <f>IF(ISBLANK(INDEX('Policy Characteristics'!H:H,MATCH($C946,'Policy Characteristics'!$C:$C,0))),"",INDEX('Policy Characteristics'!H:H,MATCH($C946,'Policy Characteristics'!$C:$C,0)))</f>
        <v>0.01</v>
      </c>
      <c r="O946" s="275" t="str">
        <f>IF(ISBLANK(INDEX('Policy Characteristics'!I:I,MATCH($C946,'Policy Characteristics'!$C:$C,0))),"",INDEX('Policy Characteristics'!I:I,MATCH($C946,'Policy Characteristics'!$C:$C,0)))</f>
        <v>% of fuel shifted</v>
      </c>
      <c r="P946" s="275" t="str">
        <f>IF(ISBLANK(INDEX('Policy Characteristics'!J:J,MATCH($C946,'Policy Characteristics'!$C:$C,0))),"",INDEX('Policy Characteristics'!J:J,MATCH($C946,'Policy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6" s="275" t="str">
        <f>IF(ISBLANK(INDEX('Policy Characteristics'!K:K,MATCH($C946,'Policy Characteristics'!$C:$C,0))),"",INDEX('Policy Characteristics'!K:K,MATCH($C946,'Policy Characteristics'!$C:$C,0)))</f>
        <v>industry-ag-main.html#fuel-switching</v>
      </c>
      <c r="R946" s="275" t="str">
        <f>IF(ISBLANK(INDEX('Policy Characteristics'!L:L,MATCH($C946,'Policy Characteristics'!$C:$C,0))),"",INDEX('Policy Characteristics'!L:L,MATCH($C946,'Policy Characteristics'!$C:$C,0)))</f>
        <v>industry-elec-and-hydrogen.html</v>
      </c>
    </row>
    <row r="947" spans="1:18" s="2" customFormat="1" x14ac:dyDescent="0.25">
      <c r="A947" s="275" t="str">
        <f>IF(ISBLANK(INDEX('Policy Characteristics'!A:A,MATCH($C947,'Policy Characteristics'!$C:$C,0))),"",INDEX('Policy Characteristics'!A:A,MATCH($C947,'Policy Characteristics'!$C:$C,0)))</f>
        <v>Industry</v>
      </c>
      <c r="B947" s="284" t="str">
        <f>IF(ISBLANK(INDEX('Policy Characteristics'!B:B,MATCH($C947,'Policy Characteristics'!$C:$C,0))),"",INDEX('Policy Characteristics'!B:B,MATCH($C947,'Policy Characteristics'!$C:$C,0)))</f>
        <v>Hydrogen Combustion</v>
      </c>
      <c r="C947" s="275" t="str">
        <f t="shared" si="39"/>
        <v>Fraction of Eligible Industrial Energy Use Shifted to Hydrogen</v>
      </c>
      <c r="D947" s="6" t="s">
        <v>3091</v>
      </c>
      <c r="E947" s="1" t="s">
        <v>3737</v>
      </c>
      <c r="F947" t="s">
        <v>3053</v>
      </c>
      <c r="G947" s="47" t="s">
        <v>3738</v>
      </c>
      <c r="H947" s="44">
        <v>2209</v>
      </c>
      <c r="I947" s="346" t="s">
        <v>44</v>
      </c>
      <c r="J947" s="276" t="str">
        <f>IF(ISBLANK(INDEX('Policy Characteristics'!D:D,MATCH($C947,'Policy Characteristics'!$C:$C,0))),"",INDEX('Policy Characteristics'!D:D,MATCH($C947,'Policy Characteristics'!$C:$C,0)))</f>
        <v>Hydrogen Combustion</v>
      </c>
      <c r="K947" s="275" t="str">
        <f>IF(ISBLANK(INDEX('Policy Characteristics'!E:E,MATCH($C947,'Policy Characteristics'!$C:$C,0))),"",INDEX('Policy Characteristics'!E:E,MATCH($C947,'Policy Characteristics'!$C:$C,0)))</f>
        <v>indst shift to hydrogen</v>
      </c>
      <c r="L947" s="283">
        <f>IF(ISBLANK(INDEX('Policy Characteristics'!F:F,MATCH($C947,'Policy Characteristics'!$C:$C,0))),"",INDEX('Policy Characteristics'!F:F,MATCH($C947,'Policy Characteristics'!$C:$C,0)))</f>
        <v>0</v>
      </c>
      <c r="M947" s="283">
        <f>IF(ISBLANK(INDEX('Policy Characteristics'!G:G,MATCH($C947,'Policy Characteristics'!$C:$C,0))),"",INDEX('Policy Characteristics'!G:G,MATCH($C947,'Policy Characteristics'!$C:$C,0)))</f>
        <v>1</v>
      </c>
      <c r="N947" s="283">
        <f>IF(ISBLANK(INDEX('Policy Characteristics'!H:H,MATCH($C947,'Policy Characteristics'!$C:$C,0))),"",INDEX('Policy Characteristics'!H:H,MATCH($C947,'Policy Characteristics'!$C:$C,0)))</f>
        <v>0.01</v>
      </c>
      <c r="O947" s="275" t="str">
        <f>IF(ISBLANK(INDEX('Policy Characteristics'!I:I,MATCH($C947,'Policy Characteristics'!$C:$C,0))),"",INDEX('Policy Characteristics'!I:I,MATCH($C947,'Policy Characteristics'!$C:$C,0)))</f>
        <v>% of fuel shifted</v>
      </c>
      <c r="P947" s="275" t="str">
        <f>IF(ISBLANK(INDEX('Policy Characteristics'!J:J,MATCH($C947,'Policy Characteristics'!$C:$C,0))),"",INDEX('Policy Characteristics'!J:J,MATCH($C947,'Policy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7" s="275" t="str">
        <f>IF(ISBLANK(INDEX('Policy Characteristics'!K:K,MATCH($C947,'Policy Characteristics'!$C:$C,0))),"",INDEX('Policy Characteristics'!K:K,MATCH($C947,'Policy Characteristics'!$C:$C,0)))</f>
        <v>industry-ag-main.html#fuel-switching</v>
      </c>
      <c r="R947" s="275" t="str">
        <f>IF(ISBLANK(INDEX('Policy Characteristics'!L:L,MATCH($C947,'Policy Characteristics'!$C:$C,0))),"",INDEX('Policy Characteristics'!L:L,MATCH($C947,'Policy Characteristics'!$C:$C,0)))</f>
        <v>industry-elec-and-hydrogen.html</v>
      </c>
    </row>
    <row r="948" spans="1:18" s="2" customFormat="1" x14ac:dyDescent="0.25">
      <c r="A948" s="275" t="str">
        <f>IF(ISBLANK(INDEX('Policy Characteristics'!A:A,MATCH($C948,'Policy Characteristics'!$C:$C,0))),"",INDEX('Policy Characteristics'!A:A,MATCH($C948,'Policy Characteristics'!$C:$C,0)))</f>
        <v>Industry</v>
      </c>
      <c r="B948" s="284" t="str">
        <f>IF(ISBLANK(INDEX('Policy Characteristics'!B:B,MATCH($C948,'Policy Characteristics'!$C:$C,0))),"",INDEX('Policy Characteristics'!B:B,MATCH($C948,'Policy Characteristics'!$C:$C,0)))</f>
        <v>Hydrogen Combustion</v>
      </c>
      <c r="C948" s="275" t="str">
        <f t="shared" si="39"/>
        <v>Fraction of Eligible Industrial Energy Use Shifted to Hydrogen</v>
      </c>
      <c r="D948" s="6" t="s">
        <v>3092</v>
      </c>
      <c r="E948" s="1" t="s">
        <v>3547</v>
      </c>
      <c r="F948" t="s">
        <v>3054</v>
      </c>
      <c r="G948" s="47" t="s">
        <v>3554</v>
      </c>
      <c r="H948" s="44">
        <v>2210</v>
      </c>
      <c r="I948" s="346" t="s">
        <v>44</v>
      </c>
      <c r="J948" s="276" t="str">
        <f>IF(ISBLANK(INDEX('Policy Characteristics'!D:D,MATCH($C948,'Policy Characteristics'!$C:$C,0))),"",INDEX('Policy Characteristics'!D:D,MATCH($C948,'Policy Characteristics'!$C:$C,0)))</f>
        <v>Hydrogen Combustion</v>
      </c>
      <c r="K948" s="275" t="str">
        <f>IF(ISBLANK(INDEX('Policy Characteristics'!E:E,MATCH($C948,'Policy Characteristics'!$C:$C,0))),"",INDEX('Policy Characteristics'!E:E,MATCH($C948,'Policy Characteristics'!$C:$C,0)))</f>
        <v>indst shift to hydrogen</v>
      </c>
      <c r="L948" s="283">
        <f>IF(ISBLANK(INDEX('Policy Characteristics'!F:F,MATCH($C948,'Policy Characteristics'!$C:$C,0))),"",INDEX('Policy Characteristics'!F:F,MATCH($C948,'Policy Characteristics'!$C:$C,0)))</f>
        <v>0</v>
      </c>
      <c r="M948" s="283">
        <f>IF(ISBLANK(INDEX('Policy Characteristics'!G:G,MATCH($C948,'Policy Characteristics'!$C:$C,0))),"",INDEX('Policy Characteristics'!G:G,MATCH($C948,'Policy Characteristics'!$C:$C,0)))</f>
        <v>1</v>
      </c>
      <c r="N948" s="283">
        <f>IF(ISBLANK(INDEX('Policy Characteristics'!H:H,MATCH($C948,'Policy Characteristics'!$C:$C,0))),"",INDEX('Policy Characteristics'!H:H,MATCH($C948,'Policy Characteristics'!$C:$C,0)))</f>
        <v>0.01</v>
      </c>
      <c r="O948" s="275" t="str">
        <f>IF(ISBLANK(INDEX('Policy Characteristics'!I:I,MATCH($C948,'Policy Characteristics'!$C:$C,0))),"",INDEX('Policy Characteristics'!I:I,MATCH($C948,'Policy Characteristics'!$C:$C,0)))</f>
        <v>% of fuel shifted</v>
      </c>
      <c r="P948" s="275" t="str">
        <f>IF(ISBLANK(INDEX('Policy Characteristics'!J:J,MATCH($C948,'Policy Characteristics'!$C:$C,0))),"",INDEX('Policy Characteristics'!J:J,MATCH($C948,'Policy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8" s="275" t="str">
        <f>IF(ISBLANK(INDEX('Policy Characteristics'!K:K,MATCH($C948,'Policy Characteristics'!$C:$C,0))),"",INDEX('Policy Characteristics'!K:K,MATCH($C948,'Policy Characteristics'!$C:$C,0)))</f>
        <v>industry-ag-main.html#fuel-switching</v>
      </c>
      <c r="R948" s="275" t="str">
        <f>IF(ISBLANK(INDEX('Policy Characteristics'!L:L,MATCH($C948,'Policy Characteristics'!$C:$C,0))),"",INDEX('Policy Characteristics'!L:L,MATCH($C948,'Policy Characteristics'!$C:$C,0)))</f>
        <v>industry-elec-and-hydrogen.html</v>
      </c>
    </row>
    <row r="949" spans="1:18" s="2" customFormat="1" x14ac:dyDescent="0.25">
      <c r="A949" s="275" t="str">
        <f>IF(ISBLANK(INDEX('Policy Characteristics'!A:A,MATCH($C949,'Policy Characteristics'!$C:$C,0))),"",INDEX('Policy Characteristics'!A:A,MATCH($C949,'Policy Characteristics'!$C:$C,0)))</f>
        <v>Industry</v>
      </c>
      <c r="B949" s="284" t="str">
        <f>IF(ISBLANK(INDEX('Policy Characteristics'!B:B,MATCH($C949,'Policy Characteristics'!$C:$C,0))),"",INDEX('Policy Characteristics'!B:B,MATCH($C949,'Policy Characteristics'!$C:$C,0)))</f>
        <v>Hydrogen Combustion</v>
      </c>
      <c r="C949" s="275" t="str">
        <f t="shared" si="39"/>
        <v>Fraction of Eligible Industrial Energy Use Shifted to Hydrogen</v>
      </c>
      <c r="D949" s="6" t="s">
        <v>3092</v>
      </c>
      <c r="E949" s="1" t="s">
        <v>3548</v>
      </c>
      <c r="F949" t="s">
        <v>3054</v>
      </c>
      <c r="G949" s="47" t="s">
        <v>3555</v>
      </c>
      <c r="H949" s="44">
        <v>2211</v>
      </c>
      <c r="I949" s="346" t="s">
        <v>44</v>
      </c>
      <c r="J949" s="276" t="str">
        <f>IF(ISBLANK(INDEX('Policy Characteristics'!D:D,MATCH($C949,'Policy Characteristics'!$C:$C,0))),"",INDEX('Policy Characteristics'!D:D,MATCH($C949,'Policy Characteristics'!$C:$C,0)))</f>
        <v>Hydrogen Combustion</v>
      </c>
      <c r="K949" s="275" t="str">
        <f>IF(ISBLANK(INDEX('Policy Characteristics'!E:E,MATCH($C949,'Policy Characteristics'!$C:$C,0))),"",INDEX('Policy Characteristics'!E:E,MATCH($C949,'Policy Characteristics'!$C:$C,0)))</f>
        <v>indst shift to hydrogen</v>
      </c>
      <c r="L949" s="283">
        <f>IF(ISBLANK(INDEX('Policy Characteristics'!F:F,MATCH($C949,'Policy Characteristics'!$C:$C,0))),"",INDEX('Policy Characteristics'!F:F,MATCH($C949,'Policy Characteristics'!$C:$C,0)))</f>
        <v>0</v>
      </c>
      <c r="M949" s="283">
        <f>IF(ISBLANK(INDEX('Policy Characteristics'!G:G,MATCH($C949,'Policy Characteristics'!$C:$C,0))),"",INDEX('Policy Characteristics'!G:G,MATCH($C949,'Policy Characteristics'!$C:$C,0)))</f>
        <v>1</v>
      </c>
      <c r="N949" s="283">
        <f>IF(ISBLANK(INDEX('Policy Characteristics'!H:H,MATCH($C949,'Policy Characteristics'!$C:$C,0))),"",INDEX('Policy Characteristics'!H:H,MATCH($C949,'Policy Characteristics'!$C:$C,0)))</f>
        <v>0.01</v>
      </c>
      <c r="O949" s="275" t="str">
        <f>IF(ISBLANK(INDEX('Policy Characteristics'!I:I,MATCH($C949,'Policy Characteristics'!$C:$C,0))),"",INDEX('Policy Characteristics'!I:I,MATCH($C949,'Policy Characteristics'!$C:$C,0)))</f>
        <v>% of fuel shifted</v>
      </c>
      <c r="P949" s="275" t="str">
        <f>IF(ISBLANK(INDEX('Policy Characteristics'!J:J,MATCH($C949,'Policy Characteristics'!$C:$C,0))),"",INDEX('Policy Characteristics'!J:J,MATCH($C949,'Policy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9" s="275" t="str">
        <f>IF(ISBLANK(INDEX('Policy Characteristics'!K:K,MATCH($C949,'Policy Characteristics'!$C:$C,0))),"",INDEX('Policy Characteristics'!K:K,MATCH($C949,'Policy Characteristics'!$C:$C,0)))</f>
        <v>industry-ag-main.html#fuel-switching</v>
      </c>
      <c r="R949" s="275" t="str">
        <f>IF(ISBLANK(INDEX('Policy Characteristics'!L:L,MATCH($C949,'Policy Characteristics'!$C:$C,0))),"",INDEX('Policy Characteristics'!L:L,MATCH($C949,'Policy Characteristics'!$C:$C,0)))</f>
        <v>industry-elec-and-hydrogen.html</v>
      </c>
    </row>
    <row r="950" spans="1:18" s="2" customFormat="1" x14ac:dyDescent="0.25">
      <c r="A950" s="275" t="str">
        <f>IF(ISBLANK(INDEX('Policy Characteristics'!A:A,MATCH($C950,'Policy Characteristics'!$C:$C,0))),"",INDEX('Policy Characteristics'!A:A,MATCH($C950,'Policy Characteristics'!$C:$C,0)))</f>
        <v>Industry</v>
      </c>
      <c r="B950" s="284" t="str">
        <f>IF(ISBLANK(INDEX('Policy Characteristics'!B:B,MATCH($C950,'Policy Characteristics'!$C:$C,0))),"",INDEX('Policy Characteristics'!B:B,MATCH($C950,'Policy Characteristics'!$C:$C,0)))</f>
        <v>Hydrogen Combustion</v>
      </c>
      <c r="C950" s="275" t="str">
        <f t="shared" si="39"/>
        <v>Fraction of Eligible Industrial Energy Use Shifted to Hydrogen</v>
      </c>
      <c r="D950" s="6" t="s">
        <v>3092</v>
      </c>
      <c r="E950" s="1" t="s">
        <v>3549</v>
      </c>
      <c r="F950" t="s">
        <v>3054</v>
      </c>
      <c r="G950" s="47" t="s">
        <v>3556</v>
      </c>
      <c r="H950" s="44">
        <v>2212</v>
      </c>
      <c r="I950" s="346" t="s">
        <v>44</v>
      </c>
      <c r="J950" s="276" t="str">
        <f>IF(ISBLANK(INDEX('Policy Characteristics'!D:D,MATCH($C950,'Policy Characteristics'!$C:$C,0))),"",INDEX('Policy Characteristics'!D:D,MATCH($C950,'Policy Characteristics'!$C:$C,0)))</f>
        <v>Hydrogen Combustion</v>
      </c>
      <c r="K950" s="275" t="str">
        <f>IF(ISBLANK(INDEX('Policy Characteristics'!E:E,MATCH($C950,'Policy Characteristics'!$C:$C,0))),"",INDEX('Policy Characteristics'!E:E,MATCH($C950,'Policy Characteristics'!$C:$C,0)))</f>
        <v>indst shift to hydrogen</v>
      </c>
      <c r="L950" s="283">
        <f>IF(ISBLANK(INDEX('Policy Characteristics'!F:F,MATCH($C950,'Policy Characteristics'!$C:$C,0))),"",INDEX('Policy Characteristics'!F:F,MATCH($C950,'Policy Characteristics'!$C:$C,0)))</f>
        <v>0</v>
      </c>
      <c r="M950" s="283">
        <f>IF(ISBLANK(INDEX('Policy Characteristics'!G:G,MATCH($C950,'Policy Characteristics'!$C:$C,0))),"",INDEX('Policy Characteristics'!G:G,MATCH($C950,'Policy Characteristics'!$C:$C,0)))</f>
        <v>1</v>
      </c>
      <c r="N950" s="283">
        <f>IF(ISBLANK(INDEX('Policy Characteristics'!H:H,MATCH($C950,'Policy Characteristics'!$C:$C,0))),"",INDEX('Policy Characteristics'!H:H,MATCH($C950,'Policy Characteristics'!$C:$C,0)))</f>
        <v>0.01</v>
      </c>
      <c r="O950" s="275" t="str">
        <f>IF(ISBLANK(INDEX('Policy Characteristics'!I:I,MATCH($C950,'Policy Characteristics'!$C:$C,0))),"",INDEX('Policy Characteristics'!I:I,MATCH($C950,'Policy Characteristics'!$C:$C,0)))</f>
        <v>% of fuel shifted</v>
      </c>
      <c r="P950" s="275" t="str">
        <f>IF(ISBLANK(INDEX('Policy Characteristics'!J:J,MATCH($C950,'Policy Characteristics'!$C:$C,0))),"",INDEX('Policy Characteristics'!J:J,MATCH($C950,'Policy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0" s="275" t="str">
        <f>IF(ISBLANK(INDEX('Policy Characteristics'!K:K,MATCH($C950,'Policy Characteristics'!$C:$C,0))),"",INDEX('Policy Characteristics'!K:K,MATCH($C950,'Policy Characteristics'!$C:$C,0)))</f>
        <v>industry-ag-main.html#fuel-switching</v>
      </c>
      <c r="R950" s="275" t="str">
        <f>IF(ISBLANK(INDEX('Policy Characteristics'!L:L,MATCH($C950,'Policy Characteristics'!$C:$C,0))),"",INDEX('Policy Characteristics'!L:L,MATCH($C950,'Policy Characteristics'!$C:$C,0)))</f>
        <v>industry-elec-and-hydrogen.html</v>
      </c>
    </row>
    <row r="951" spans="1:18" s="2" customFormat="1" x14ac:dyDescent="0.25">
      <c r="A951" s="275" t="str">
        <f>IF(ISBLANK(INDEX('Policy Characteristics'!A:A,MATCH($C951,'Policy Characteristics'!$C:$C,0))),"",INDEX('Policy Characteristics'!A:A,MATCH($C951,'Policy Characteristics'!$C:$C,0)))</f>
        <v>Industry</v>
      </c>
      <c r="B951" s="284" t="str">
        <f>IF(ISBLANK(INDEX('Policy Characteristics'!B:B,MATCH($C951,'Policy Characteristics'!$C:$C,0))),"",INDEX('Policy Characteristics'!B:B,MATCH($C951,'Policy Characteristics'!$C:$C,0)))</f>
        <v>Hydrogen Combustion</v>
      </c>
      <c r="C951" s="275" t="str">
        <f t="shared" si="39"/>
        <v>Fraction of Eligible Industrial Energy Use Shifted to Hydrogen</v>
      </c>
      <c r="D951" s="6" t="s">
        <v>3092</v>
      </c>
      <c r="E951" s="1" t="s">
        <v>3550</v>
      </c>
      <c r="F951" t="s">
        <v>3054</v>
      </c>
      <c r="G951" s="47" t="s">
        <v>3557</v>
      </c>
      <c r="H951" s="44">
        <v>2213</v>
      </c>
      <c r="I951" s="346" t="s">
        <v>44</v>
      </c>
      <c r="J951" s="276" t="str">
        <f>IF(ISBLANK(INDEX('Policy Characteristics'!D:D,MATCH($C951,'Policy Characteristics'!$C:$C,0))),"",INDEX('Policy Characteristics'!D:D,MATCH($C951,'Policy Characteristics'!$C:$C,0)))</f>
        <v>Hydrogen Combustion</v>
      </c>
      <c r="K951" s="275" t="str">
        <f>IF(ISBLANK(INDEX('Policy Characteristics'!E:E,MATCH($C951,'Policy Characteristics'!$C:$C,0))),"",INDEX('Policy Characteristics'!E:E,MATCH($C951,'Policy Characteristics'!$C:$C,0)))</f>
        <v>indst shift to hydrogen</v>
      </c>
      <c r="L951" s="283">
        <f>IF(ISBLANK(INDEX('Policy Characteristics'!F:F,MATCH($C951,'Policy Characteristics'!$C:$C,0))),"",INDEX('Policy Characteristics'!F:F,MATCH($C951,'Policy Characteristics'!$C:$C,0)))</f>
        <v>0</v>
      </c>
      <c r="M951" s="283">
        <f>IF(ISBLANK(INDEX('Policy Characteristics'!G:G,MATCH($C951,'Policy Characteristics'!$C:$C,0))),"",INDEX('Policy Characteristics'!G:G,MATCH($C951,'Policy Characteristics'!$C:$C,0)))</f>
        <v>1</v>
      </c>
      <c r="N951" s="283">
        <f>IF(ISBLANK(INDEX('Policy Characteristics'!H:H,MATCH($C951,'Policy Characteristics'!$C:$C,0))),"",INDEX('Policy Characteristics'!H:H,MATCH($C951,'Policy Characteristics'!$C:$C,0)))</f>
        <v>0.01</v>
      </c>
      <c r="O951" s="275" t="str">
        <f>IF(ISBLANK(INDEX('Policy Characteristics'!I:I,MATCH($C951,'Policy Characteristics'!$C:$C,0))),"",INDEX('Policy Characteristics'!I:I,MATCH($C951,'Policy Characteristics'!$C:$C,0)))</f>
        <v>% of fuel shifted</v>
      </c>
      <c r="P951" s="275" t="str">
        <f>IF(ISBLANK(INDEX('Policy Characteristics'!J:J,MATCH($C951,'Policy Characteristics'!$C:$C,0))),"",INDEX('Policy Characteristics'!J:J,MATCH($C951,'Policy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1" s="275" t="str">
        <f>IF(ISBLANK(INDEX('Policy Characteristics'!K:K,MATCH($C951,'Policy Characteristics'!$C:$C,0))),"",INDEX('Policy Characteristics'!K:K,MATCH($C951,'Policy Characteristics'!$C:$C,0)))</f>
        <v>industry-ag-main.html#fuel-switching</v>
      </c>
      <c r="R951" s="275" t="str">
        <f>IF(ISBLANK(INDEX('Policy Characteristics'!L:L,MATCH($C951,'Policy Characteristics'!$C:$C,0))),"",INDEX('Policy Characteristics'!L:L,MATCH($C951,'Policy Characteristics'!$C:$C,0)))</f>
        <v>industry-elec-and-hydrogen.html</v>
      </c>
    </row>
    <row r="952" spans="1:18" s="2" customFormat="1" x14ac:dyDescent="0.25">
      <c r="A952" s="275" t="str">
        <f>IF(ISBLANK(INDEX('Policy Characteristics'!A:A,MATCH($C952,'Policy Characteristics'!$C:$C,0))),"",INDEX('Policy Characteristics'!A:A,MATCH($C952,'Policy Characteristics'!$C:$C,0)))</f>
        <v>Industry</v>
      </c>
      <c r="B952" s="284" t="str">
        <f>IF(ISBLANK(INDEX('Policy Characteristics'!B:B,MATCH($C952,'Policy Characteristics'!$C:$C,0))),"",INDEX('Policy Characteristics'!B:B,MATCH($C952,'Policy Characteristics'!$C:$C,0)))</f>
        <v>Hydrogen Combustion</v>
      </c>
      <c r="C952" s="275" t="str">
        <f t="shared" si="39"/>
        <v>Fraction of Eligible Industrial Energy Use Shifted to Hydrogen</v>
      </c>
      <c r="D952" s="6" t="s">
        <v>3092</v>
      </c>
      <c r="E952" s="1" t="s">
        <v>3551</v>
      </c>
      <c r="F952" t="s">
        <v>3054</v>
      </c>
      <c r="G952" s="47" t="s">
        <v>3558</v>
      </c>
      <c r="H952" s="44">
        <v>2214</v>
      </c>
      <c r="I952" s="346" t="s">
        <v>44</v>
      </c>
      <c r="J952" s="276" t="str">
        <f>IF(ISBLANK(INDEX('Policy Characteristics'!D:D,MATCH($C952,'Policy Characteristics'!$C:$C,0))),"",INDEX('Policy Characteristics'!D:D,MATCH($C952,'Policy Characteristics'!$C:$C,0)))</f>
        <v>Hydrogen Combustion</v>
      </c>
      <c r="K952" s="275" t="str">
        <f>IF(ISBLANK(INDEX('Policy Characteristics'!E:E,MATCH($C952,'Policy Characteristics'!$C:$C,0))),"",INDEX('Policy Characteristics'!E:E,MATCH($C952,'Policy Characteristics'!$C:$C,0)))</f>
        <v>indst shift to hydrogen</v>
      </c>
      <c r="L952" s="283">
        <f>IF(ISBLANK(INDEX('Policy Characteristics'!F:F,MATCH($C952,'Policy Characteristics'!$C:$C,0))),"",INDEX('Policy Characteristics'!F:F,MATCH($C952,'Policy Characteristics'!$C:$C,0)))</f>
        <v>0</v>
      </c>
      <c r="M952" s="283">
        <f>IF(ISBLANK(INDEX('Policy Characteristics'!G:G,MATCH($C952,'Policy Characteristics'!$C:$C,0))),"",INDEX('Policy Characteristics'!G:G,MATCH($C952,'Policy Characteristics'!$C:$C,0)))</f>
        <v>1</v>
      </c>
      <c r="N952" s="283">
        <f>IF(ISBLANK(INDEX('Policy Characteristics'!H:H,MATCH($C952,'Policy Characteristics'!$C:$C,0))),"",INDEX('Policy Characteristics'!H:H,MATCH($C952,'Policy Characteristics'!$C:$C,0)))</f>
        <v>0.01</v>
      </c>
      <c r="O952" s="275" t="str">
        <f>IF(ISBLANK(INDEX('Policy Characteristics'!I:I,MATCH($C952,'Policy Characteristics'!$C:$C,0))),"",INDEX('Policy Characteristics'!I:I,MATCH($C952,'Policy Characteristics'!$C:$C,0)))</f>
        <v>% of fuel shifted</v>
      </c>
      <c r="P952" s="275" t="str">
        <f>IF(ISBLANK(INDEX('Policy Characteristics'!J:J,MATCH($C952,'Policy Characteristics'!$C:$C,0))),"",INDEX('Policy Characteristics'!J:J,MATCH($C952,'Policy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2" s="275" t="str">
        <f>IF(ISBLANK(INDEX('Policy Characteristics'!K:K,MATCH($C952,'Policy Characteristics'!$C:$C,0))),"",INDEX('Policy Characteristics'!K:K,MATCH($C952,'Policy Characteristics'!$C:$C,0)))</f>
        <v>industry-ag-main.html#fuel-switching</v>
      </c>
      <c r="R952" s="275" t="str">
        <f>IF(ISBLANK(INDEX('Policy Characteristics'!L:L,MATCH($C952,'Policy Characteristics'!$C:$C,0))),"",INDEX('Policy Characteristics'!L:L,MATCH($C952,'Policy Characteristics'!$C:$C,0)))</f>
        <v>industry-elec-and-hydrogen.html</v>
      </c>
    </row>
    <row r="953" spans="1:18" s="2" customFormat="1" x14ac:dyDescent="0.25">
      <c r="A953" s="275" t="str">
        <f>IF(ISBLANK(INDEX('Policy Characteristics'!A:A,MATCH($C953,'Policy Characteristics'!$C:$C,0))),"",INDEX('Policy Characteristics'!A:A,MATCH($C953,'Policy Characteristics'!$C:$C,0)))</f>
        <v>Industry</v>
      </c>
      <c r="B953" s="284" t="str">
        <f>IF(ISBLANK(INDEX('Policy Characteristics'!B:B,MATCH($C953,'Policy Characteristics'!$C:$C,0))),"",INDEX('Policy Characteristics'!B:B,MATCH($C953,'Policy Characteristics'!$C:$C,0)))</f>
        <v>Hydrogen Combustion</v>
      </c>
      <c r="C953" s="275" t="str">
        <f t="shared" si="39"/>
        <v>Fraction of Eligible Industrial Energy Use Shifted to Hydrogen</v>
      </c>
      <c r="D953" s="6" t="s">
        <v>3092</v>
      </c>
      <c r="E953" s="1" t="s">
        <v>3552</v>
      </c>
      <c r="F953" t="s">
        <v>3054</v>
      </c>
      <c r="G953" s="47" t="s">
        <v>3559</v>
      </c>
      <c r="H953" s="44">
        <v>2215</v>
      </c>
      <c r="I953" s="346" t="s">
        <v>43</v>
      </c>
      <c r="J953" s="276" t="str">
        <f>IF(ISBLANK(INDEX('Policy Characteristics'!D:D,MATCH($C953,'Policy Characteristics'!$C:$C,0))),"",INDEX('Policy Characteristics'!D:D,MATCH($C953,'Policy Characteristics'!$C:$C,0)))</f>
        <v>Hydrogen Combustion</v>
      </c>
      <c r="K953" s="275" t="str">
        <f>IF(ISBLANK(INDEX('Policy Characteristics'!E:E,MATCH($C953,'Policy Characteristics'!$C:$C,0))),"",INDEX('Policy Characteristics'!E:E,MATCH($C953,'Policy Characteristics'!$C:$C,0)))</f>
        <v>indst shift to hydrogen</v>
      </c>
      <c r="L953" s="283">
        <f>IF(ISBLANK(INDEX('Policy Characteristics'!F:F,MATCH($C953,'Policy Characteristics'!$C:$C,0))),"",INDEX('Policy Characteristics'!F:F,MATCH($C953,'Policy Characteristics'!$C:$C,0)))</f>
        <v>0</v>
      </c>
      <c r="M953" s="283">
        <f>IF(ISBLANK(INDEX('Policy Characteristics'!G:G,MATCH($C953,'Policy Characteristics'!$C:$C,0))),"",INDEX('Policy Characteristics'!G:G,MATCH($C953,'Policy Characteristics'!$C:$C,0)))</f>
        <v>1</v>
      </c>
      <c r="N953" s="283">
        <f>IF(ISBLANK(INDEX('Policy Characteristics'!H:H,MATCH($C953,'Policy Characteristics'!$C:$C,0))),"",INDEX('Policy Characteristics'!H:H,MATCH($C953,'Policy Characteristics'!$C:$C,0)))</f>
        <v>0.01</v>
      </c>
      <c r="O953" s="275" t="str">
        <f>IF(ISBLANK(INDEX('Policy Characteristics'!I:I,MATCH($C953,'Policy Characteristics'!$C:$C,0))),"",INDEX('Policy Characteristics'!I:I,MATCH($C953,'Policy Characteristics'!$C:$C,0)))</f>
        <v>% of fuel shifted</v>
      </c>
      <c r="P953" s="275" t="str">
        <f>IF(ISBLANK(INDEX('Policy Characteristics'!J:J,MATCH($C953,'Policy Characteristics'!$C:$C,0))),"",INDEX('Policy Characteristics'!J:J,MATCH($C953,'Policy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3" s="275" t="str">
        <f>IF(ISBLANK(INDEX('Policy Characteristics'!K:K,MATCH($C953,'Policy Characteristics'!$C:$C,0))),"",INDEX('Policy Characteristics'!K:K,MATCH($C953,'Policy Characteristics'!$C:$C,0)))</f>
        <v>industry-ag-main.html#fuel-switching</v>
      </c>
      <c r="R953" s="275" t="str">
        <f>IF(ISBLANK(INDEX('Policy Characteristics'!L:L,MATCH($C953,'Policy Characteristics'!$C:$C,0))),"",INDEX('Policy Characteristics'!L:L,MATCH($C953,'Policy Characteristics'!$C:$C,0)))</f>
        <v>industry-elec-and-hydrogen.html</v>
      </c>
    </row>
    <row r="954" spans="1:18" s="2" customFormat="1" x14ac:dyDescent="0.25">
      <c r="A954" s="275" t="str">
        <f>IF(ISBLANK(INDEX('Policy Characteristics'!A:A,MATCH($C954,'Policy Characteristics'!$C:$C,0))),"",INDEX('Policy Characteristics'!A:A,MATCH($C954,'Policy Characteristics'!$C:$C,0)))</f>
        <v>Industry</v>
      </c>
      <c r="B954" s="284" t="str">
        <f>IF(ISBLANK(INDEX('Policy Characteristics'!B:B,MATCH($C954,'Policy Characteristics'!$C:$C,0))),"",INDEX('Policy Characteristics'!B:B,MATCH($C954,'Policy Characteristics'!$C:$C,0)))</f>
        <v>Hydrogen Combustion</v>
      </c>
      <c r="C954" s="275" t="str">
        <f t="shared" si="39"/>
        <v>Fraction of Eligible Industrial Energy Use Shifted to Hydrogen</v>
      </c>
      <c r="D954" s="6" t="s">
        <v>3092</v>
      </c>
      <c r="E954" s="1" t="s">
        <v>3553</v>
      </c>
      <c r="F954" t="s">
        <v>3054</v>
      </c>
      <c r="G954" s="47" t="s">
        <v>3560</v>
      </c>
      <c r="H954" s="44">
        <v>2216</v>
      </c>
      <c r="I954" s="346" t="s">
        <v>44</v>
      </c>
      <c r="J954" s="276" t="str">
        <f>IF(ISBLANK(INDEX('Policy Characteristics'!D:D,MATCH($C954,'Policy Characteristics'!$C:$C,0))),"",INDEX('Policy Characteristics'!D:D,MATCH($C954,'Policy Characteristics'!$C:$C,0)))</f>
        <v>Hydrogen Combustion</v>
      </c>
      <c r="K954" s="275" t="str">
        <f>IF(ISBLANK(INDEX('Policy Characteristics'!E:E,MATCH($C954,'Policy Characteristics'!$C:$C,0))),"",INDEX('Policy Characteristics'!E:E,MATCH($C954,'Policy Characteristics'!$C:$C,0)))</f>
        <v>indst shift to hydrogen</v>
      </c>
      <c r="L954" s="283">
        <f>IF(ISBLANK(INDEX('Policy Characteristics'!F:F,MATCH($C954,'Policy Characteristics'!$C:$C,0))),"",INDEX('Policy Characteristics'!F:F,MATCH($C954,'Policy Characteristics'!$C:$C,0)))</f>
        <v>0</v>
      </c>
      <c r="M954" s="283">
        <f>IF(ISBLANK(INDEX('Policy Characteristics'!G:G,MATCH($C954,'Policy Characteristics'!$C:$C,0))),"",INDEX('Policy Characteristics'!G:G,MATCH($C954,'Policy Characteristics'!$C:$C,0)))</f>
        <v>1</v>
      </c>
      <c r="N954" s="283">
        <f>IF(ISBLANK(INDEX('Policy Characteristics'!H:H,MATCH($C954,'Policy Characteristics'!$C:$C,0))),"",INDEX('Policy Characteristics'!H:H,MATCH($C954,'Policy Characteristics'!$C:$C,0)))</f>
        <v>0.01</v>
      </c>
      <c r="O954" s="275" t="str">
        <f>IF(ISBLANK(INDEX('Policy Characteristics'!I:I,MATCH($C954,'Policy Characteristics'!$C:$C,0))),"",INDEX('Policy Characteristics'!I:I,MATCH($C954,'Policy Characteristics'!$C:$C,0)))</f>
        <v>% of fuel shifted</v>
      </c>
      <c r="P954" s="275" t="str">
        <f>IF(ISBLANK(INDEX('Policy Characteristics'!J:J,MATCH($C954,'Policy Characteristics'!$C:$C,0))),"",INDEX('Policy Characteristics'!J:J,MATCH($C954,'Policy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4" s="275" t="str">
        <f>IF(ISBLANK(INDEX('Policy Characteristics'!K:K,MATCH($C954,'Policy Characteristics'!$C:$C,0))),"",INDEX('Policy Characteristics'!K:K,MATCH($C954,'Policy Characteristics'!$C:$C,0)))</f>
        <v>industry-ag-main.html#fuel-switching</v>
      </c>
      <c r="R954" s="275" t="str">
        <f>IF(ISBLANK(INDEX('Policy Characteristics'!L:L,MATCH($C954,'Policy Characteristics'!$C:$C,0))),"",INDEX('Policy Characteristics'!L:L,MATCH($C954,'Policy Characteristics'!$C:$C,0)))</f>
        <v>industry-elec-and-hydrogen.html</v>
      </c>
    </row>
    <row r="955" spans="1:18" s="2" customFormat="1" x14ac:dyDescent="0.25">
      <c r="A955" s="275" t="str">
        <f>IF(ISBLANK(INDEX('Policy Characteristics'!A:A,MATCH($C955,'Policy Characteristics'!$C:$C,0))),"",INDEX('Policy Characteristics'!A:A,MATCH($C955,'Policy Characteristics'!$C:$C,0)))</f>
        <v>Industry</v>
      </c>
      <c r="B955" s="284" t="str">
        <f>IF(ISBLANK(INDEX('Policy Characteristics'!B:B,MATCH($C955,'Policy Characteristics'!$C:$C,0))),"",INDEX('Policy Characteristics'!B:B,MATCH($C955,'Policy Characteristics'!$C:$C,0)))</f>
        <v>Hydrogen Combustion</v>
      </c>
      <c r="C955" s="275" t="str">
        <f t="shared" si="39"/>
        <v>Fraction of Eligible Industrial Energy Use Shifted to Hydrogen</v>
      </c>
      <c r="D955" s="6" t="s">
        <v>3092</v>
      </c>
      <c r="E955" s="1" t="s">
        <v>3737</v>
      </c>
      <c r="F955" t="s">
        <v>3054</v>
      </c>
      <c r="G955" s="47" t="s">
        <v>3738</v>
      </c>
      <c r="H955" s="44">
        <v>2217</v>
      </c>
      <c r="I955" s="346" t="s">
        <v>44</v>
      </c>
      <c r="J955" s="276" t="str">
        <f>IF(ISBLANK(INDEX('Policy Characteristics'!D:D,MATCH($C955,'Policy Characteristics'!$C:$C,0))),"",INDEX('Policy Characteristics'!D:D,MATCH($C955,'Policy Characteristics'!$C:$C,0)))</f>
        <v>Hydrogen Combustion</v>
      </c>
      <c r="K955" s="275" t="str">
        <f>IF(ISBLANK(INDEX('Policy Characteristics'!E:E,MATCH($C955,'Policy Characteristics'!$C:$C,0))),"",INDEX('Policy Characteristics'!E:E,MATCH($C955,'Policy Characteristics'!$C:$C,0)))</f>
        <v>indst shift to hydrogen</v>
      </c>
      <c r="L955" s="283">
        <f>IF(ISBLANK(INDEX('Policy Characteristics'!F:F,MATCH($C955,'Policy Characteristics'!$C:$C,0))),"",INDEX('Policy Characteristics'!F:F,MATCH($C955,'Policy Characteristics'!$C:$C,0)))</f>
        <v>0</v>
      </c>
      <c r="M955" s="283">
        <f>IF(ISBLANK(INDEX('Policy Characteristics'!G:G,MATCH($C955,'Policy Characteristics'!$C:$C,0))),"",INDEX('Policy Characteristics'!G:G,MATCH($C955,'Policy Characteristics'!$C:$C,0)))</f>
        <v>1</v>
      </c>
      <c r="N955" s="283">
        <f>IF(ISBLANK(INDEX('Policy Characteristics'!H:H,MATCH($C955,'Policy Characteristics'!$C:$C,0))),"",INDEX('Policy Characteristics'!H:H,MATCH($C955,'Policy Characteristics'!$C:$C,0)))</f>
        <v>0.01</v>
      </c>
      <c r="O955" s="275" t="str">
        <f>IF(ISBLANK(INDEX('Policy Characteristics'!I:I,MATCH($C955,'Policy Characteristics'!$C:$C,0))),"",INDEX('Policy Characteristics'!I:I,MATCH($C955,'Policy Characteristics'!$C:$C,0)))</f>
        <v>% of fuel shifted</v>
      </c>
      <c r="P955" s="275" t="str">
        <f>IF(ISBLANK(INDEX('Policy Characteristics'!J:J,MATCH($C955,'Policy Characteristics'!$C:$C,0))),"",INDEX('Policy Characteristics'!J:J,MATCH($C955,'Policy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5" s="275" t="str">
        <f>IF(ISBLANK(INDEX('Policy Characteristics'!K:K,MATCH($C955,'Policy Characteristics'!$C:$C,0))),"",INDEX('Policy Characteristics'!K:K,MATCH($C955,'Policy Characteristics'!$C:$C,0)))</f>
        <v>industry-ag-main.html#fuel-switching</v>
      </c>
      <c r="R955" s="275" t="str">
        <f>IF(ISBLANK(INDEX('Policy Characteristics'!L:L,MATCH($C955,'Policy Characteristics'!$C:$C,0))),"",INDEX('Policy Characteristics'!L:L,MATCH($C955,'Policy Characteristics'!$C:$C,0)))</f>
        <v>industry-elec-and-hydrogen.html</v>
      </c>
    </row>
    <row r="956" spans="1:18" s="2" customFormat="1" x14ac:dyDescent="0.25">
      <c r="A956" s="275" t="str">
        <f>IF(ISBLANK(INDEX('Policy Characteristics'!A:A,MATCH($C956,'Policy Characteristics'!$C:$C,0))),"",INDEX('Policy Characteristics'!A:A,MATCH($C956,'Policy Characteristics'!$C:$C,0)))</f>
        <v>Industry</v>
      </c>
      <c r="B956" s="284" t="str">
        <f>IF(ISBLANK(INDEX('Policy Characteristics'!B:B,MATCH($C956,'Policy Characteristics'!$C:$C,0))),"",INDEX('Policy Characteristics'!B:B,MATCH($C956,'Policy Characteristics'!$C:$C,0)))</f>
        <v>Hydrogen Combustion</v>
      </c>
      <c r="C956" s="275" t="str">
        <f t="shared" si="39"/>
        <v>Fraction of Eligible Industrial Energy Use Shifted to Hydrogen</v>
      </c>
      <c r="D956" s="6" t="s">
        <v>3093</v>
      </c>
      <c r="E956" s="1" t="s">
        <v>3547</v>
      </c>
      <c r="F956" t="s">
        <v>3096</v>
      </c>
      <c r="G956" s="47" t="s">
        <v>3554</v>
      </c>
      <c r="H956" s="44">
        <v>2218</v>
      </c>
      <c r="I956" s="346" t="s">
        <v>43</v>
      </c>
      <c r="J956" s="276" t="str">
        <f>IF(ISBLANK(INDEX('Policy Characteristics'!D:D,MATCH($C956,'Policy Characteristics'!$C:$C,0))),"",INDEX('Policy Characteristics'!D:D,MATCH($C956,'Policy Characteristics'!$C:$C,0)))</f>
        <v>Hydrogen Combustion</v>
      </c>
      <c r="K956" s="275" t="str">
        <f>IF(ISBLANK(INDEX('Policy Characteristics'!E:E,MATCH($C956,'Policy Characteristics'!$C:$C,0))),"",INDEX('Policy Characteristics'!E:E,MATCH($C956,'Policy Characteristics'!$C:$C,0)))</f>
        <v>indst shift to hydrogen</v>
      </c>
      <c r="L956" s="283">
        <f>IF(ISBLANK(INDEX('Policy Characteristics'!F:F,MATCH($C956,'Policy Characteristics'!$C:$C,0))),"",INDEX('Policy Characteristics'!F:F,MATCH($C956,'Policy Characteristics'!$C:$C,0)))</f>
        <v>0</v>
      </c>
      <c r="M956" s="283">
        <f>IF(ISBLANK(INDEX('Policy Characteristics'!G:G,MATCH($C956,'Policy Characteristics'!$C:$C,0))),"",INDEX('Policy Characteristics'!G:G,MATCH($C956,'Policy Characteristics'!$C:$C,0)))</f>
        <v>1</v>
      </c>
      <c r="N956" s="283">
        <f>IF(ISBLANK(INDEX('Policy Characteristics'!H:H,MATCH($C956,'Policy Characteristics'!$C:$C,0))),"",INDEX('Policy Characteristics'!H:H,MATCH($C956,'Policy Characteristics'!$C:$C,0)))</f>
        <v>0.01</v>
      </c>
      <c r="O956" s="275" t="str">
        <f>IF(ISBLANK(INDEX('Policy Characteristics'!I:I,MATCH($C956,'Policy Characteristics'!$C:$C,0))),"",INDEX('Policy Characteristics'!I:I,MATCH($C956,'Policy Characteristics'!$C:$C,0)))</f>
        <v>% of fuel shifted</v>
      </c>
      <c r="P956" s="275" t="str">
        <f>IF(ISBLANK(INDEX('Policy Characteristics'!J:J,MATCH($C956,'Policy Characteristics'!$C:$C,0))),"",INDEX('Policy Characteristics'!J:J,MATCH($C956,'Policy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6" s="275" t="str">
        <f>IF(ISBLANK(INDEX('Policy Characteristics'!K:K,MATCH($C956,'Policy Characteristics'!$C:$C,0))),"",INDEX('Policy Characteristics'!K:K,MATCH($C956,'Policy Characteristics'!$C:$C,0)))</f>
        <v>industry-ag-main.html#fuel-switching</v>
      </c>
      <c r="R956" s="275" t="str">
        <f>IF(ISBLANK(INDEX('Policy Characteristics'!L:L,MATCH($C956,'Policy Characteristics'!$C:$C,0))),"",INDEX('Policy Characteristics'!L:L,MATCH($C956,'Policy Characteristics'!$C:$C,0)))</f>
        <v>industry-elec-and-hydrogen.html</v>
      </c>
    </row>
    <row r="957" spans="1:18" s="2" customFormat="1" x14ac:dyDescent="0.25">
      <c r="A957" s="275" t="str">
        <f>IF(ISBLANK(INDEX('Policy Characteristics'!A:A,MATCH($C957,'Policy Characteristics'!$C:$C,0))),"",INDEX('Policy Characteristics'!A:A,MATCH($C957,'Policy Characteristics'!$C:$C,0)))</f>
        <v>Industry</v>
      </c>
      <c r="B957" s="284" t="str">
        <f>IF(ISBLANK(INDEX('Policy Characteristics'!B:B,MATCH($C957,'Policy Characteristics'!$C:$C,0))),"",INDEX('Policy Characteristics'!B:B,MATCH($C957,'Policy Characteristics'!$C:$C,0)))</f>
        <v>Hydrogen Combustion</v>
      </c>
      <c r="C957" s="275" t="str">
        <f t="shared" si="39"/>
        <v>Fraction of Eligible Industrial Energy Use Shifted to Hydrogen</v>
      </c>
      <c r="D957" s="6" t="s">
        <v>3093</v>
      </c>
      <c r="E957" s="1" t="s">
        <v>3548</v>
      </c>
      <c r="F957" t="s">
        <v>3096</v>
      </c>
      <c r="G957" s="47" t="s">
        <v>3555</v>
      </c>
      <c r="H957" s="44">
        <v>2219</v>
      </c>
      <c r="I957" s="346" t="s">
        <v>44</v>
      </c>
      <c r="J957" s="276" t="str">
        <f>IF(ISBLANK(INDEX('Policy Characteristics'!D:D,MATCH($C957,'Policy Characteristics'!$C:$C,0))),"",INDEX('Policy Characteristics'!D:D,MATCH($C957,'Policy Characteristics'!$C:$C,0)))</f>
        <v>Hydrogen Combustion</v>
      </c>
      <c r="K957" s="275" t="str">
        <f>IF(ISBLANK(INDEX('Policy Characteristics'!E:E,MATCH($C957,'Policy Characteristics'!$C:$C,0))),"",INDEX('Policy Characteristics'!E:E,MATCH($C957,'Policy Characteristics'!$C:$C,0)))</f>
        <v>indst shift to hydrogen</v>
      </c>
      <c r="L957" s="283">
        <f>IF(ISBLANK(INDEX('Policy Characteristics'!F:F,MATCH($C957,'Policy Characteristics'!$C:$C,0))),"",INDEX('Policy Characteristics'!F:F,MATCH($C957,'Policy Characteristics'!$C:$C,0)))</f>
        <v>0</v>
      </c>
      <c r="M957" s="283">
        <f>IF(ISBLANK(INDEX('Policy Characteristics'!G:G,MATCH($C957,'Policy Characteristics'!$C:$C,0))),"",INDEX('Policy Characteristics'!G:G,MATCH($C957,'Policy Characteristics'!$C:$C,0)))</f>
        <v>1</v>
      </c>
      <c r="N957" s="283">
        <f>IF(ISBLANK(INDEX('Policy Characteristics'!H:H,MATCH($C957,'Policy Characteristics'!$C:$C,0))),"",INDEX('Policy Characteristics'!H:H,MATCH($C957,'Policy Characteristics'!$C:$C,0)))</f>
        <v>0.01</v>
      </c>
      <c r="O957" s="275" t="str">
        <f>IF(ISBLANK(INDEX('Policy Characteristics'!I:I,MATCH($C957,'Policy Characteristics'!$C:$C,0))),"",INDEX('Policy Characteristics'!I:I,MATCH($C957,'Policy Characteristics'!$C:$C,0)))</f>
        <v>% of fuel shifted</v>
      </c>
      <c r="P957" s="275" t="str">
        <f>IF(ISBLANK(INDEX('Policy Characteristics'!J:J,MATCH($C957,'Policy Characteristics'!$C:$C,0))),"",INDEX('Policy Characteristics'!J:J,MATCH($C957,'Policy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7" s="275" t="str">
        <f>IF(ISBLANK(INDEX('Policy Characteristics'!K:K,MATCH($C957,'Policy Characteristics'!$C:$C,0))),"",INDEX('Policy Characteristics'!K:K,MATCH($C957,'Policy Characteristics'!$C:$C,0)))</f>
        <v>industry-ag-main.html#fuel-switching</v>
      </c>
      <c r="R957" s="275" t="str">
        <f>IF(ISBLANK(INDEX('Policy Characteristics'!L:L,MATCH($C957,'Policy Characteristics'!$C:$C,0))),"",INDEX('Policy Characteristics'!L:L,MATCH($C957,'Policy Characteristics'!$C:$C,0)))</f>
        <v>industry-elec-and-hydrogen.html</v>
      </c>
    </row>
    <row r="958" spans="1:18" s="2" customFormat="1" x14ac:dyDescent="0.25">
      <c r="A958" s="275" t="str">
        <f>IF(ISBLANK(INDEX('Policy Characteristics'!A:A,MATCH($C958,'Policy Characteristics'!$C:$C,0))),"",INDEX('Policy Characteristics'!A:A,MATCH($C958,'Policy Characteristics'!$C:$C,0)))</f>
        <v>Industry</v>
      </c>
      <c r="B958" s="284" t="str">
        <f>IF(ISBLANK(INDEX('Policy Characteristics'!B:B,MATCH($C958,'Policy Characteristics'!$C:$C,0))),"",INDEX('Policy Characteristics'!B:B,MATCH($C958,'Policy Characteristics'!$C:$C,0)))</f>
        <v>Hydrogen Combustion</v>
      </c>
      <c r="C958" s="275" t="str">
        <f t="shared" si="39"/>
        <v>Fraction of Eligible Industrial Energy Use Shifted to Hydrogen</v>
      </c>
      <c r="D958" s="6" t="s">
        <v>3093</v>
      </c>
      <c r="E958" s="1" t="s">
        <v>3549</v>
      </c>
      <c r="F958" t="s">
        <v>3096</v>
      </c>
      <c r="G958" s="47" t="s">
        <v>3556</v>
      </c>
      <c r="H958" s="44">
        <v>2220</v>
      </c>
      <c r="I958" s="346" t="s">
        <v>44</v>
      </c>
      <c r="J958" s="276" t="str">
        <f>IF(ISBLANK(INDEX('Policy Characteristics'!D:D,MATCH($C958,'Policy Characteristics'!$C:$C,0))),"",INDEX('Policy Characteristics'!D:D,MATCH($C958,'Policy Characteristics'!$C:$C,0)))</f>
        <v>Hydrogen Combustion</v>
      </c>
      <c r="K958" s="275" t="str">
        <f>IF(ISBLANK(INDEX('Policy Characteristics'!E:E,MATCH($C958,'Policy Characteristics'!$C:$C,0))),"",INDEX('Policy Characteristics'!E:E,MATCH($C958,'Policy Characteristics'!$C:$C,0)))</f>
        <v>indst shift to hydrogen</v>
      </c>
      <c r="L958" s="283">
        <f>IF(ISBLANK(INDEX('Policy Characteristics'!F:F,MATCH($C958,'Policy Characteristics'!$C:$C,0))),"",INDEX('Policy Characteristics'!F:F,MATCH($C958,'Policy Characteristics'!$C:$C,0)))</f>
        <v>0</v>
      </c>
      <c r="M958" s="283">
        <f>IF(ISBLANK(INDEX('Policy Characteristics'!G:G,MATCH($C958,'Policy Characteristics'!$C:$C,0))),"",INDEX('Policy Characteristics'!G:G,MATCH($C958,'Policy Characteristics'!$C:$C,0)))</f>
        <v>1</v>
      </c>
      <c r="N958" s="283">
        <f>IF(ISBLANK(INDEX('Policy Characteristics'!H:H,MATCH($C958,'Policy Characteristics'!$C:$C,0))),"",INDEX('Policy Characteristics'!H:H,MATCH($C958,'Policy Characteristics'!$C:$C,0)))</f>
        <v>0.01</v>
      </c>
      <c r="O958" s="275" t="str">
        <f>IF(ISBLANK(INDEX('Policy Characteristics'!I:I,MATCH($C958,'Policy Characteristics'!$C:$C,0))),"",INDEX('Policy Characteristics'!I:I,MATCH($C958,'Policy Characteristics'!$C:$C,0)))</f>
        <v>% of fuel shifted</v>
      </c>
      <c r="P958" s="275" t="str">
        <f>IF(ISBLANK(INDEX('Policy Characteristics'!J:J,MATCH($C958,'Policy Characteristics'!$C:$C,0))),"",INDEX('Policy Characteristics'!J:J,MATCH($C958,'Policy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8" s="275" t="str">
        <f>IF(ISBLANK(INDEX('Policy Characteristics'!K:K,MATCH($C958,'Policy Characteristics'!$C:$C,0))),"",INDEX('Policy Characteristics'!K:K,MATCH($C958,'Policy Characteristics'!$C:$C,0)))</f>
        <v>industry-ag-main.html#fuel-switching</v>
      </c>
      <c r="R958" s="275" t="str">
        <f>IF(ISBLANK(INDEX('Policy Characteristics'!L:L,MATCH($C958,'Policy Characteristics'!$C:$C,0))),"",INDEX('Policy Characteristics'!L:L,MATCH($C958,'Policy Characteristics'!$C:$C,0)))</f>
        <v>industry-elec-and-hydrogen.html</v>
      </c>
    </row>
    <row r="959" spans="1:18" s="2" customFormat="1" x14ac:dyDescent="0.25">
      <c r="A959" s="275" t="str">
        <f>IF(ISBLANK(INDEX('Policy Characteristics'!A:A,MATCH($C959,'Policy Characteristics'!$C:$C,0))),"",INDEX('Policy Characteristics'!A:A,MATCH($C959,'Policy Characteristics'!$C:$C,0)))</f>
        <v>Industry</v>
      </c>
      <c r="B959" s="284" t="str">
        <f>IF(ISBLANK(INDEX('Policy Characteristics'!B:B,MATCH($C959,'Policy Characteristics'!$C:$C,0))),"",INDEX('Policy Characteristics'!B:B,MATCH($C959,'Policy Characteristics'!$C:$C,0)))</f>
        <v>Hydrogen Combustion</v>
      </c>
      <c r="C959" s="275" t="str">
        <f t="shared" si="39"/>
        <v>Fraction of Eligible Industrial Energy Use Shifted to Hydrogen</v>
      </c>
      <c r="D959" s="6" t="s">
        <v>3093</v>
      </c>
      <c r="E959" s="1" t="s">
        <v>3550</v>
      </c>
      <c r="F959" t="s">
        <v>3096</v>
      </c>
      <c r="G959" s="47" t="s">
        <v>3557</v>
      </c>
      <c r="H959" s="44">
        <v>2221</v>
      </c>
      <c r="I959" s="346" t="s">
        <v>44</v>
      </c>
      <c r="J959" s="276" t="str">
        <f>IF(ISBLANK(INDEX('Policy Characteristics'!D:D,MATCH($C959,'Policy Characteristics'!$C:$C,0))),"",INDEX('Policy Characteristics'!D:D,MATCH($C959,'Policy Characteristics'!$C:$C,0)))</f>
        <v>Hydrogen Combustion</v>
      </c>
      <c r="K959" s="275" t="str">
        <f>IF(ISBLANK(INDEX('Policy Characteristics'!E:E,MATCH($C959,'Policy Characteristics'!$C:$C,0))),"",INDEX('Policy Characteristics'!E:E,MATCH($C959,'Policy Characteristics'!$C:$C,0)))</f>
        <v>indst shift to hydrogen</v>
      </c>
      <c r="L959" s="283">
        <f>IF(ISBLANK(INDEX('Policy Characteristics'!F:F,MATCH($C959,'Policy Characteristics'!$C:$C,0))),"",INDEX('Policy Characteristics'!F:F,MATCH($C959,'Policy Characteristics'!$C:$C,0)))</f>
        <v>0</v>
      </c>
      <c r="M959" s="283">
        <f>IF(ISBLANK(INDEX('Policy Characteristics'!G:G,MATCH($C959,'Policy Characteristics'!$C:$C,0))),"",INDEX('Policy Characteristics'!G:G,MATCH($C959,'Policy Characteristics'!$C:$C,0)))</f>
        <v>1</v>
      </c>
      <c r="N959" s="283">
        <f>IF(ISBLANK(INDEX('Policy Characteristics'!H:H,MATCH($C959,'Policy Characteristics'!$C:$C,0))),"",INDEX('Policy Characteristics'!H:H,MATCH($C959,'Policy Characteristics'!$C:$C,0)))</f>
        <v>0.01</v>
      </c>
      <c r="O959" s="275" t="str">
        <f>IF(ISBLANK(INDEX('Policy Characteristics'!I:I,MATCH($C959,'Policy Characteristics'!$C:$C,0))),"",INDEX('Policy Characteristics'!I:I,MATCH($C959,'Policy Characteristics'!$C:$C,0)))</f>
        <v>% of fuel shifted</v>
      </c>
      <c r="P959" s="275" t="str">
        <f>IF(ISBLANK(INDEX('Policy Characteristics'!J:J,MATCH($C959,'Policy Characteristics'!$C:$C,0))),"",INDEX('Policy Characteristics'!J:J,MATCH($C959,'Policy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9" s="275" t="str">
        <f>IF(ISBLANK(INDEX('Policy Characteristics'!K:K,MATCH($C959,'Policy Characteristics'!$C:$C,0))),"",INDEX('Policy Characteristics'!K:K,MATCH($C959,'Policy Characteristics'!$C:$C,0)))</f>
        <v>industry-ag-main.html#fuel-switching</v>
      </c>
      <c r="R959" s="275" t="str">
        <f>IF(ISBLANK(INDEX('Policy Characteristics'!L:L,MATCH($C959,'Policy Characteristics'!$C:$C,0))),"",INDEX('Policy Characteristics'!L:L,MATCH($C959,'Policy Characteristics'!$C:$C,0)))</f>
        <v>industry-elec-and-hydrogen.html</v>
      </c>
    </row>
    <row r="960" spans="1:18" s="2" customFormat="1" x14ac:dyDescent="0.25">
      <c r="A960" s="275" t="str">
        <f>IF(ISBLANK(INDEX('Policy Characteristics'!A:A,MATCH($C960,'Policy Characteristics'!$C:$C,0))),"",INDEX('Policy Characteristics'!A:A,MATCH($C960,'Policy Characteristics'!$C:$C,0)))</f>
        <v>Industry</v>
      </c>
      <c r="B960" s="284" t="str">
        <f>IF(ISBLANK(INDEX('Policy Characteristics'!B:B,MATCH($C960,'Policy Characteristics'!$C:$C,0))),"",INDEX('Policy Characteristics'!B:B,MATCH($C960,'Policy Characteristics'!$C:$C,0)))</f>
        <v>Hydrogen Combustion</v>
      </c>
      <c r="C960" s="275" t="str">
        <f t="shared" si="39"/>
        <v>Fraction of Eligible Industrial Energy Use Shifted to Hydrogen</v>
      </c>
      <c r="D960" s="6" t="s">
        <v>3093</v>
      </c>
      <c r="E960" s="1" t="s">
        <v>3551</v>
      </c>
      <c r="F960" t="s">
        <v>3096</v>
      </c>
      <c r="G960" s="47" t="s">
        <v>3558</v>
      </c>
      <c r="H960" s="44">
        <v>2222</v>
      </c>
      <c r="I960" s="346" t="s">
        <v>44</v>
      </c>
      <c r="J960" s="276" t="str">
        <f>IF(ISBLANK(INDEX('Policy Characteristics'!D:D,MATCH($C960,'Policy Characteristics'!$C:$C,0))),"",INDEX('Policy Characteristics'!D:D,MATCH($C960,'Policy Characteristics'!$C:$C,0)))</f>
        <v>Hydrogen Combustion</v>
      </c>
      <c r="K960" s="275" t="str">
        <f>IF(ISBLANK(INDEX('Policy Characteristics'!E:E,MATCH($C960,'Policy Characteristics'!$C:$C,0))),"",INDEX('Policy Characteristics'!E:E,MATCH($C960,'Policy Characteristics'!$C:$C,0)))</f>
        <v>indst shift to hydrogen</v>
      </c>
      <c r="L960" s="283">
        <f>IF(ISBLANK(INDEX('Policy Characteristics'!F:F,MATCH($C960,'Policy Characteristics'!$C:$C,0))),"",INDEX('Policy Characteristics'!F:F,MATCH($C960,'Policy Characteristics'!$C:$C,0)))</f>
        <v>0</v>
      </c>
      <c r="M960" s="283">
        <f>IF(ISBLANK(INDEX('Policy Characteristics'!G:G,MATCH($C960,'Policy Characteristics'!$C:$C,0))),"",INDEX('Policy Characteristics'!G:G,MATCH($C960,'Policy Characteristics'!$C:$C,0)))</f>
        <v>1</v>
      </c>
      <c r="N960" s="283">
        <f>IF(ISBLANK(INDEX('Policy Characteristics'!H:H,MATCH($C960,'Policy Characteristics'!$C:$C,0))),"",INDEX('Policy Characteristics'!H:H,MATCH($C960,'Policy Characteristics'!$C:$C,0)))</f>
        <v>0.01</v>
      </c>
      <c r="O960" s="275" t="str">
        <f>IF(ISBLANK(INDEX('Policy Characteristics'!I:I,MATCH($C960,'Policy Characteristics'!$C:$C,0))),"",INDEX('Policy Characteristics'!I:I,MATCH($C960,'Policy Characteristics'!$C:$C,0)))</f>
        <v>% of fuel shifted</v>
      </c>
      <c r="P960" s="275" t="str">
        <f>IF(ISBLANK(INDEX('Policy Characteristics'!J:J,MATCH($C960,'Policy Characteristics'!$C:$C,0))),"",INDEX('Policy Characteristics'!J:J,MATCH($C960,'Policy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0" s="275" t="str">
        <f>IF(ISBLANK(INDEX('Policy Characteristics'!K:K,MATCH($C960,'Policy Characteristics'!$C:$C,0))),"",INDEX('Policy Characteristics'!K:K,MATCH($C960,'Policy Characteristics'!$C:$C,0)))</f>
        <v>industry-ag-main.html#fuel-switching</v>
      </c>
      <c r="R960" s="275" t="str">
        <f>IF(ISBLANK(INDEX('Policy Characteristics'!L:L,MATCH($C960,'Policy Characteristics'!$C:$C,0))),"",INDEX('Policy Characteristics'!L:L,MATCH($C960,'Policy Characteristics'!$C:$C,0)))</f>
        <v>industry-elec-and-hydrogen.html</v>
      </c>
    </row>
    <row r="961" spans="1:18" s="2" customFormat="1" x14ac:dyDescent="0.25">
      <c r="A961" s="275" t="str">
        <f>IF(ISBLANK(INDEX('Policy Characteristics'!A:A,MATCH($C961,'Policy Characteristics'!$C:$C,0))),"",INDEX('Policy Characteristics'!A:A,MATCH($C961,'Policy Characteristics'!$C:$C,0)))</f>
        <v>Industry</v>
      </c>
      <c r="B961" s="284" t="str">
        <f>IF(ISBLANK(INDEX('Policy Characteristics'!B:B,MATCH($C961,'Policy Characteristics'!$C:$C,0))),"",INDEX('Policy Characteristics'!B:B,MATCH($C961,'Policy Characteristics'!$C:$C,0)))</f>
        <v>Hydrogen Combustion</v>
      </c>
      <c r="C961" s="275" t="str">
        <f t="shared" si="39"/>
        <v>Fraction of Eligible Industrial Energy Use Shifted to Hydrogen</v>
      </c>
      <c r="D961" s="6" t="s">
        <v>3093</v>
      </c>
      <c r="E961" s="1" t="s">
        <v>3552</v>
      </c>
      <c r="F961" t="s">
        <v>3096</v>
      </c>
      <c r="G961" s="47" t="s">
        <v>3559</v>
      </c>
      <c r="H961" s="44">
        <v>2223</v>
      </c>
      <c r="I961" s="346" t="s">
        <v>44</v>
      </c>
      <c r="J961" s="276" t="str">
        <f>IF(ISBLANK(INDEX('Policy Characteristics'!D:D,MATCH($C961,'Policy Characteristics'!$C:$C,0))),"",INDEX('Policy Characteristics'!D:D,MATCH($C961,'Policy Characteristics'!$C:$C,0)))</f>
        <v>Hydrogen Combustion</v>
      </c>
      <c r="K961" s="275" t="str">
        <f>IF(ISBLANK(INDEX('Policy Characteristics'!E:E,MATCH($C961,'Policy Characteristics'!$C:$C,0))),"",INDEX('Policy Characteristics'!E:E,MATCH($C961,'Policy Characteristics'!$C:$C,0)))</f>
        <v>indst shift to hydrogen</v>
      </c>
      <c r="L961" s="283">
        <f>IF(ISBLANK(INDEX('Policy Characteristics'!F:F,MATCH($C961,'Policy Characteristics'!$C:$C,0))),"",INDEX('Policy Characteristics'!F:F,MATCH($C961,'Policy Characteristics'!$C:$C,0)))</f>
        <v>0</v>
      </c>
      <c r="M961" s="283">
        <f>IF(ISBLANK(INDEX('Policy Characteristics'!G:G,MATCH($C961,'Policy Characteristics'!$C:$C,0))),"",INDEX('Policy Characteristics'!G:G,MATCH($C961,'Policy Characteristics'!$C:$C,0)))</f>
        <v>1</v>
      </c>
      <c r="N961" s="283">
        <f>IF(ISBLANK(INDEX('Policy Characteristics'!H:H,MATCH($C961,'Policy Characteristics'!$C:$C,0))),"",INDEX('Policy Characteristics'!H:H,MATCH($C961,'Policy Characteristics'!$C:$C,0)))</f>
        <v>0.01</v>
      </c>
      <c r="O961" s="275" t="str">
        <f>IF(ISBLANK(INDEX('Policy Characteristics'!I:I,MATCH($C961,'Policy Characteristics'!$C:$C,0))),"",INDEX('Policy Characteristics'!I:I,MATCH($C961,'Policy Characteristics'!$C:$C,0)))</f>
        <v>% of fuel shifted</v>
      </c>
      <c r="P961" s="275" t="str">
        <f>IF(ISBLANK(INDEX('Policy Characteristics'!J:J,MATCH($C961,'Policy Characteristics'!$C:$C,0))),"",INDEX('Policy Characteristics'!J:J,MATCH($C961,'Policy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1" s="275" t="str">
        <f>IF(ISBLANK(INDEX('Policy Characteristics'!K:K,MATCH($C961,'Policy Characteristics'!$C:$C,0))),"",INDEX('Policy Characteristics'!K:K,MATCH($C961,'Policy Characteristics'!$C:$C,0)))</f>
        <v>industry-ag-main.html#fuel-switching</v>
      </c>
      <c r="R961" s="275" t="str">
        <f>IF(ISBLANK(INDEX('Policy Characteristics'!L:L,MATCH($C961,'Policy Characteristics'!$C:$C,0))),"",INDEX('Policy Characteristics'!L:L,MATCH($C961,'Policy Characteristics'!$C:$C,0)))</f>
        <v>industry-elec-and-hydrogen.html</v>
      </c>
    </row>
    <row r="962" spans="1:18" s="2" customFormat="1" x14ac:dyDescent="0.25">
      <c r="A962" s="275" t="str">
        <f>IF(ISBLANK(INDEX('Policy Characteristics'!A:A,MATCH($C962,'Policy Characteristics'!$C:$C,0))),"",INDEX('Policy Characteristics'!A:A,MATCH($C962,'Policy Characteristics'!$C:$C,0)))</f>
        <v>Industry</v>
      </c>
      <c r="B962" s="284" t="str">
        <f>IF(ISBLANK(INDEX('Policy Characteristics'!B:B,MATCH($C962,'Policy Characteristics'!$C:$C,0))),"",INDEX('Policy Characteristics'!B:B,MATCH($C962,'Policy Characteristics'!$C:$C,0)))</f>
        <v>Hydrogen Combustion</v>
      </c>
      <c r="C962" s="275" t="str">
        <f t="shared" si="39"/>
        <v>Fraction of Eligible Industrial Energy Use Shifted to Hydrogen</v>
      </c>
      <c r="D962" s="6" t="s">
        <v>3093</v>
      </c>
      <c r="E962" s="1" t="s">
        <v>3553</v>
      </c>
      <c r="F962" t="s">
        <v>3096</v>
      </c>
      <c r="G962" s="47" t="s">
        <v>3560</v>
      </c>
      <c r="H962" s="44">
        <v>2224</v>
      </c>
      <c r="I962" s="346" t="s">
        <v>44</v>
      </c>
      <c r="J962" s="276" t="str">
        <f>IF(ISBLANK(INDEX('Policy Characteristics'!D:D,MATCH($C962,'Policy Characteristics'!$C:$C,0))),"",INDEX('Policy Characteristics'!D:D,MATCH($C962,'Policy Characteristics'!$C:$C,0)))</f>
        <v>Hydrogen Combustion</v>
      </c>
      <c r="K962" s="275" t="str">
        <f>IF(ISBLANK(INDEX('Policy Characteristics'!E:E,MATCH($C962,'Policy Characteristics'!$C:$C,0))),"",INDEX('Policy Characteristics'!E:E,MATCH($C962,'Policy Characteristics'!$C:$C,0)))</f>
        <v>indst shift to hydrogen</v>
      </c>
      <c r="L962" s="283">
        <f>IF(ISBLANK(INDEX('Policy Characteristics'!F:F,MATCH($C962,'Policy Characteristics'!$C:$C,0))),"",INDEX('Policy Characteristics'!F:F,MATCH($C962,'Policy Characteristics'!$C:$C,0)))</f>
        <v>0</v>
      </c>
      <c r="M962" s="283">
        <f>IF(ISBLANK(INDEX('Policy Characteristics'!G:G,MATCH($C962,'Policy Characteristics'!$C:$C,0))),"",INDEX('Policy Characteristics'!G:G,MATCH($C962,'Policy Characteristics'!$C:$C,0)))</f>
        <v>1</v>
      </c>
      <c r="N962" s="283">
        <f>IF(ISBLANK(INDEX('Policy Characteristics'!H:H,MATCH($C962,'Policy Characteristics'!$C:$C,0))),"",INDEX('Policy Characteristics'!H:H,MATCH($C962,'Policy Characteristics'!$C:$C,0)))</f>
        <v>0.01</v>
      </c>
      <c r="O962" s="275" t="str">
        <f>IF(ISBLANK(INDEX('Policy Characteristics'!I:I,MATCH($C962,'Policy Characteristics'!$C:$C,0))),"",INDEX('Policy Characteristics'!I:I,MATCH($C962,'Policy Characteristics'!$C:$C,0)))</f>
        <v>% of fuel shifted</v>
      </c>
      <c r="P962" s="275" t="str">
        <f>IF(ISBLANK(INDEX('Policy Characteristics'!J:J,MATCH($C962,'Policy Characteristics'!$C:$C,0))),"",INDEX('Policy Characteristics'!J:J,MATCH($C962,'Policy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2" s="275" t="str">
        <f>IF(ISBLANK(INDEX('Policy Characteristics'!K:K,MATCH($C962,'Policy Characteristics'!$C:$C,0))),"",INDEX('Policy Characteristics'!K:K,MATCH($C962,'Policy Characteristics'!$C:$C,0)))</f>
        <v>industry-ag-main.html#fuel-switching</v>
      </c>
      <c r="R962" s="275" t="str">
        <f>IF(ISBLANK(INDEX('Policy Characteristics'!L:L,MATCH($C962,'Policy Characteristics'!$C:$C,0))),"",INDEX('Policy Characteristics'!L:L,MATCH($C962,'Policy Characteristics'!$C:$C,0)))</f>
        <v>industry-elec-and-hydrogen.html</v>
      </c>
    </row>
    <row r="963" spans="1:18" s="2" customFormat="1" x14ac:dyDescent="0.25">
      <c r="A963" s="275" t="str">
        <f>IF(ISBLANK(INDEX('Policy Characteristics'!A:A,MATCH($C963,'Policy Characteristics'!$C:$C,0))),"",INDEX('Policy Characteristics'!A:A,MATCH($C963,'Policy Characteristics'!$C:$C,0)))</f>
        <v>Industry</v>
      </c>
      <c r="B963" s="284" t="str">
        <f>IF(ISBLANK(INDEX('Policy Characteristics'!B:B,MATCH($C963,'Policy Characteristics'!$C:$C,0))),"",INDEX('Policy Characteristics'!B:B,MATCH($C963,'Policy Characteristics'!$C:$C,0)))</f>
        <v>Hydrogen Combustion</v>
      </c>
      <c r="C963" s="275" t="str">
        <f t="shared" si="39"/>
        <v>Fraction of Eligible Industrial Energy Use Shifted to Hydrogen</v>
      </c>
      <c r="D963" s="6" t="s">
        <v>3093</v>
      </c>
      <c r="E963" s="1" t="s">
        <v>3737</v>
      </c>
      <c r="F963" t="s">
        <v>3096</v>
      </c>
      <c r="G963" s="47" t="s">
        <v>3738</v>
      </c>
      <c r="H963" s="44">
        <v>2225</v>
      </c>
      <c r="I963" s="346" t="s">
        <v>44</v>
      </c>
      <c r="J963" s="276" t="str">
        <f>IF(ISBLANK(INDEX('Policy Characteristics'!D:D,MATCH($C963,'Policy Characteristics'!$C:$C,0))),"",INDEX('Policy Characteristics'!D:D,MATCH($C963,'Policy Characteristics'!$C:$C,0)))</f>
        <v>Hydrogen Combustion</v>
      </c>
      <c r="K963" s="275" t="str">
        <f>IF(ISBLANK(INDEX('Policy Characteristics'!E:E,MATCH($C963,'Policy Characteristics'!$C:$C,0))),"",INDEX('Policy Characteristics'!E:E,MATCH($C963,'Policy Characteristics'!$C:$C,0)))</f>
        <v>indst shift to hydrogen</v>
      </c>
      <c r="L963" s="283">
        <f>IF(ISBLANK(INDEX('Policy Characteristics'!F:F,MATCH($C963,'Policy Characteristics'!$C:$C,0))),"",INDEX('Policy Characteristics'!F:F,MATCH($C963,'Policy Characteristics'!$C:$C,0)))</f>
        <v>0</v>
      </c>
      <c r="M963" s="283">
        <f>IF(ISBLANK(INDEX('Policy Characteristics'!G:G,MATCH($C963,'Policy Characteristics'!$C:$C,0))),"",INDEX('Policy Characteristics'!G:G,MATCH($C963,'Policy Characteristics'!$C:$C,0)))</f>
        <v>1</v>
      </c>
      <c r="N963" s="283">
        <f>IF(ISBLANK(INDEX('Policy Characteristics'!H:H,MATCH($C963,'Policy Characteristics'!$C:$C,0))),"",INDEX('Policy Characteristics'!H:H,MATCH($C963,'Policy Characteristics'!$C:$C,0)))</f>
        <v>0.01</v>
      </c>
      <c r="O963" s="275" t="str">
        <f>IF(ISBLANK(INDEX('Policy Characteristics'!I:I,MATCH($C963,'Policy Characteristics'!$C:$C,0))),"",INDEX('Policy Characteristics'!I:I,MATCH($C963,'Policy Characteristics'!$C:$C,0)))</f>
        <v>% of fuel shifted</v>
      </c>
      <c r="P963" s="275" t="str">
        <f>IF(ISBLANK(INDEX('Policy Characteristics'!J:J,MATCH($C963,'Policy Characteristics'!$C:$C,0))),"",INDEX('Policy Characteristics'!J:J,MATCH($C963,'Policy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3" s="275" t="str">
        <f>IF(ISBLANK(INDEX('Policy Characteristics'!K:K,MATCH($C963,'Policy Characteristics'!$C:$C,0))),"",INDEX('Policy Characteristics'!K:K,MATCH($C963,'Policy Characteristics'!$C:$C,0)))</f>
        <v>industry-ag-main.html#fuel-switching</v>
      </c>
      <c r="R963" s="275" t="str">
        <f>IF(ISBLANK(INDEX('Policy Characteristics'!L:L,MATCH($C963,'Policy Characteristics'!$C:$C,0))),"",INDEX('Policy Characteristics'!L:L,MATCH($C963,'Policy Characteristics'!$C:$C,0)))</f>
        <v>industry-elec-and-hydrogen.html</v>
      </c>
    </row>
    <row r="964" spans="1:18" s="2" customFormat="1" x14ac:dyDescent="0.25">
      <c r="A964" s="275" t="str">
        <f>IF(ISBLANK(INDEX('Policy Characteristics'!A:A,MATCH($C964,'Policy Characteristics'!$C:$C,0))),"",INDEX('Policy Characteristics'!A:A,MATCH($C964,'Policy Characteristics'!$C:$C,0)))</f>
        <v>Industry</v>
      </c>
      <c r="B964" s="284" t="str">
        <f>IF(ISBLANK(INDEX('Policy Characteristics'!B:B,MATCH($C964,'Policy Characteristics'!$C:$C,0))),"",INDEX('Policy Characteristics'!B:B,MATCH($C964,'Policy Characteristics'!$C:$C,0)))</f>
        <v>Hydrogen Combustion</v>
      </c>
      <c r="C964" s="275" t="str">
        <f t="shared" si="39"/>
        <v>Fraction of Eligible Industrial Energy Use Shifted to Hydrogen</v>
      </c>
      <c r="D964" s="6" t="s">
        <v>3094</v>
      </c>
      <c r="E964" s="1" t="s">
        <v>3547</v>
      </c>
      <c r="F964" t="s">
        <v>3055</v>
      </c>
      <c r="G964" s="47" t="s">
        <v>3554</v>
      </c>
      <c r="H964" s="44">
        <v>2226</v>
      </c>
      <c r="I964" s="346" t="s">
        <v>44</v>
      </c>
      <c r="J964" s="276" t="str">
        <f>IF(ISBLANK(INDEX('Policy Characteristics'!D:D,MATCH($C964,'Policy Characteristics'!$C:$C,0))),"",INDEX('Policy Characteristics'!D:D,MATCH($C964,'Policy Characteristics'!$C:$C,0)))</f>
        <v>Hydrogen Combustion</v>
      </c>
      <c r="K964" s="275" t="str">
        <f>IF(ISBLANK(INDEX('Policy Characteristics'!E:E,MATCH($C964,'Policy Characteristics'!$C:$C,0))),"",INDEX('Policy Characteristics'!E:E,MATCH($C964,'Policy Characteristics'!$C:$C,0)))</f>
        <v>indst shift to hydrogen</v>
      </c>
      <c r="L964" s="283">
        <f>IF(ISBLANK(INDEX('Policy Characteristics'!F:F,MATCH($C964,'Policy Characteristics'!$C:$C,0))),"",INDEX('Policy Characteristics'!F:F,MATCH($C964,'Policy Characteristics'!$C:$C,0)))</f>
        <v>0</v>
      </c>
      <c r="M964" s="283">
        <f>IF(ISBLANK(INDEX('Policy Characteristics'!G:G,MATCH($C964,'Policy Characteristics'!$C:$C,0))),"",INDEX('Policy Characteristics'!G:G,MATCH($C964,'Policy Characteristics'!$C:$C,0)))</f>
        <v>1</v>
      </c>
      <c r="N964" s="283">
        <f>IF(ISBLANK(INDEX('Policy Characteristics'!H:H,MATCH($C964,'Policy Characteristics'!$C:$C,0))),"",INDEX('Policy Characteristics'!H:H,MATCH($C964,'Policy Characteristics'!$C:$C,0)))</f>
        <v>0.01</v>
      </c>
      <c r="O964" s="275" t="str">
        <f>IF(ISBLANK(INDEX('Policy Characteristics'!I:I,MATCH($C964,'Policy Characteristics'!$C:$C,0))),"",INDEX('Policy Characteristics'!I:I,MATCH($C964,'Policy Characteristics'!$C:$C,0)))</f>
        <v>% of fuel shifted</v>
      </c>
      <c r="P964" s="275" t="str">
        <f>IF(ISBLANK(INDEX('Policy Characteristics'!J:J,MATCH($C964,'Policy Characteristics'!$C:$C,0))),"",INDEX('Policy Characteristics'!J:J,MATCH($C964,'Policy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4" s="275" t="str">
        <f>IF(ISBLANK(INDEX('Policy Characteristics'!K:K,MATCH($C964,'Policy Characteristics'!$C:$C,0))),"",INDEX('Policy Characteristics'!K:K,MATCH($C964,'Policy Characteristics'!$C:$C,0)))</f>
        <v>industry-ag-main.html#fuel-switching</v>
      </c>
      <c r="R964" s="275" t="str">
        <f>IF(ISBLANK(INDEX('Policy Characteristics'!L:L,MATCH($C964,'Policy Characteristics'!$C:$C,0))),"",INDEX('Policy Characteristics'!L:L,MATCH($C964,'Policy Characteristics'!$C:$C,0)))</f>
        <v>industry-elec-and-hydrogen.html</v>
      </c>
    </row>
    <row r="965" spans="1:18" s="2" customFormat="1" x14ac:dyDescent="0.25">
      <c r="A965" s="275" t="str">
        <f>IF(ISBLANK(INDEX('Policy Characteristics'!A:A,MATCH($C965,'Policy Characteristics'!$C:$C,0))),"",INDEX('Policy Characteristics'!A:A,MATCH($C965,'Policy Characteristics'!$C:$C,0)))</f>
        <v>Industry</v>
      </c>
      <c r="B965" s="284" t="str">
        <f>IF(ISBLANK(INDEX('Policy Characteristics'!B:B,MATCH($C965,'Policy Characteristics'!$C:$C,0))),"",INDEX('Policy Characteristics'!B:B,MATCH($C965,'Policy Characteristics'!$C:$C,0)))</f>
        <v>Hydrogen Combustion</v>
      </c>
      <c r="C965" s="275" t="str">
        <f t="shared" si="39"/>
        <v>Fraction of Eligible Industrial Energy Use Shifted to Hydrogen</v>
      </c>
      <c r="D965" s="6" t="s">
        <v>3094</v>
      </c>
      <c r="E965" s="1" t="s">
        <v>3548</v>
      </c>
      <c r="F965" t="s">
        <v>3055</v>
      </c>
      <c r="G965" s="47" t="s">
        <v>3555</v>
      </c>
      <c r="H965" s="44">
        <v>2227</v>
      </c>
      <c r="I965" s="346" t="s">
        <v>43</v>
      </c>
      <c r="J965" s="276" t="str">
        <f>IF(ISBLANK(INDEX('Policy Characteristics'!D:D,MATCH($C965,'Policy Characteristics'!$C:$C,0))),"",INDEX('Policy Characteristics'!D:D,MATCH($C965,'Policy Characteristics'!$C:$C,0)))</f>
        <v>Hydrogen Combustion</v>
      </c>
      <c r="K965" s="275" t="str">
        <f>IF(ISBLANK(INDEX('Policy Characteristics'!E:E,MATCH($C965,'Policy Characteristics'!$C:$C,0))),"",INDEX('Policy Characteristics'!E:E,MATCH($C965,'Policy Characteristics'!$C:$C,0)))</f>
        <v>indst shift to hydrogen</v>
      </c>
      <c r="L965" s="283">
        <f>IF(ISBLANK(INDEX('Policy Characteristics'!F:F,MATCH($C965,'Policy Characteristics'!$C:$C,0))),"",INDEX('Policy Characteristics'!F:F,MATCH($C965,'Policy Characteristics'!$C:$C,0)))</f>
        <v>0</v>
      </c>
      <c r="M965" s="283">
        <f>IF(ISBLANK(INDEX('Policy Characteristics'!G:G,MATCH($C965,'Policy Characteristics'!$C:$C,0))),"",INDEX('Policy Characteristics'!G:G,MATCH($C965,'Policy Characteristics'!$C:$C,0)))</f>
        <v>1</v>
      </c>
      <c r="N965" s="283">
        <f>IF(ISBLANK(INDEX('Policy Characteristics'!H:H,MATCH($C965,'Policy Characteristics'!$C:$C,0))),"",INDEX('Policy Characteristics'!H:H,MATCH($C965,'Policy Characteristics'!$C:$C,0)))</f>
        <v>0.01</v>
      </c>
      <c r="O965" s="275" t="str">
        <f>IF(ISBLANK(INDEX('Policy Characteristics'!I:I,MATCH($C965,'Policy Characteristics'!$C:$C,0))),"",INDEX('Policy Characteristics'!I:I,MATCH($C965,'Policy Characteristics'!$C:$C,0)))</f>
        <v>% of fuel shifted</v>
      </c>
      <c r="P965" s="275" t="str">
        <f>IF(ISBLANK(INDEX('Policy Characteristics'!J:J,MATCH($C965,'Policy Characteristics'!$C:$C,0))),"",INDEX('Policy Characteristics'!J:J,MATCH($C965,'Policy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5" s="275" t="str">
        <f>IF(ISBLANK(INDEX('Policy Characteristics'!K:K,MATCH($C965,'Policy Characteristics'!$C:$C,0))),"",INDEX('Policy Characteristics'!K:K,MATCH($C965,'Policy Characteristics'!$C:$C,0)))</f>
        <v>industry-ag-main.html#fuel-switching</v>
      </c>
      <c r="R965" s="275" t="str">
        <f>IF(ISBLANK(INDEX('Policy Characteristics'!L:L,MATCH($C965,'Policy Characteristics'!$C:$C,0))),"",INDEX('Policy Characteristics'!L:L,MATCH($C965,'Policy Characteristics'!$C:$C,0)))</f>
        <v>industry-elec-and-hydrogen.html</v>
      </c>
    </row>
    <row r="966" spans="1:18" s="2" customFormat="1" x14ac:dyDescent="0.25">
      <c r="A966" s="275" t="str">
        <f>IF(ISBLANK(INDEX('Policy Characteristics'!A:A,MATCH($C966,'Policy Characteristics'!$C:$C,0))),"",INDEX('Policy Characteristics'!A:A,MATCH($C966,'Policy Characteristics'!$C:$C,0)))</f>
        <v>Industry</v>
      </c>
      <c r="B966" s="284" t="str">
        <f>IF(ISBLANK(INDEX('Policy Characteristics'!B:B,MATCH($C966,'Policy Characteristics'!$C:$C,0))),"",INDEX('Policy Characteristics'!B:B,MATCH($C966,'Policy Characteristics'!$C:$C,0)))</f>
        <v>Hydrogen Combustion</v>
      </c>
      <c r="C966" s="275" t="str">
        <f t="shared" ref="C966:C971" si="40">C$772</f>
        <v>Fraction of Eligible Industrial Energy Use Shifted to Hydrogen</v>
      </c>
      <c r="D966" s="6" t="s">
        <v>3094</v>
      </c>
      <c r="E966" s="1" t="s">
        <v>3549</v>
      </c>
      <c r="F966" t="s">
        <v>3055</v>
      </c>
      <c r="G966" s="47" t="s">
        <v>3556</v>
      </c>
      <c r="H966" s="44">
        <v>2228</v>
      </c>
      <c r="I966" s="346" t="s">
        <v>44</v>
      </c>
      <c r="J966" s="276" t="str">
        <f>IF(ISBLANK(INDEX('Policy Characteristics'!D:D,MATCH($C966,'Policy Characteristics'!$C:$C,0))),"",INDEX('Policy Characteristics'!D:D,MATCH($C966,'Policy Characteristics'!$C:$C,0)))</f>
        <v>Hydrogen Combustion</v>
      </c>
      <c r="K966" s="275" t="str">
        <f>IF(ISBLANK(INDEX('Policy Characteristics'!E:E,MATCH($C966,'Policy Characteristics'!$C:$C,0))),"",INDEX('Policy Characteristics'!E:E,MATCH($C966,'Policy Characteristics'!$C:$C,0)))</f>
        <v>indst shift to hydrogen</v>
      </c>
      <c r="L966" s="283">
        <f>IF(ISBLANK(INDEX('Policy Characteristics'!F:F,MATCH($C966,'Policy Characteristics'!$C:$C,0))),"",INDEX('Policy Characteristics'!F:F,MATCH($C966,'Policy Characteristics'!$C:$C,0)))</f>
        <v>0</v>
      </c>
      <c r="M966" s="283">
        <f>IF(ISBLANK(INDEX('Policy Characteristics'!G:G,MATCH($C966,'Policy Characteristics'!$C:$C,0))),"",INDEX('Policy Characteristics'!G:G,MATCH($C966,'Policy Characteristics'!$C:$C,0)))</f>
        <v>1</v>
      </c>
      <c r="N966" s="283">
        <f>IF(ISBLANK(INDEX('Policy Characteristics'!H:H,MATCH($C966,'Policy Characteristics'!$C:$C,0))),"",INDEX('Policy Characteristics'!H:H,MATCH($C966,'Policy Characteristics'!$C:$C,0)))</f>
        <v>0.01</v>
      </c>
      <c r="O966" s="275" t="str">
        <f>IF(ISBLANK(INDEX('Policy Characteristics'!I:I,MATCH($C966,'Policy Characteristics'!$C:$C,0))),"",INDEX('Policy Characteristics'!I:I,MATCH($C966,'Policy Characteristics'!$C:$C,0)))</f>
        <v>% of fuel shifted</v>
      </c>
      <c r="P966" s="275" t="str">
        <f>IF(ISBLANK(INDEX('Policy Characteristics'!J:J,MATCH($C966,'Policy Characteristics'!$C:$C,0))),"",INDEX('Policy Characteristics'!J:J,MATCH($C966,'Policy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6" s="275" t="str">
        <f>IF(ISBLANK(INDEX('Policy Characteristics'!K:K,MATCH($C966,'Policy Characteristics'!$C:$C,0))),"",INDEX('Policy Characteristics'!K:K,MATCH($C966,'Policy Characteristics'!$C:$C,0)))</f>
        <v>industry-ag-main.html#fuel-switching</v>
      </c>
      <c r="R966" s="275" t="str">
        <f>IF(ISBLANK(INDEX('Policy Characteristics'!L:L,MATCH($C966,'Policy Characteristics'!$C:$C,0))),"",INDEX('Policy Characteristics'!L:L,MATCH($C966,'Policy Characteristics'!$C:$C,0)))</f>
        <v>industry-elec-and-hydrogen.html</v>
      </c>
    </row>
    <row r="967" spans="1:18" s="2" customFormat="1" x14ac:dyDescent="0.25">
      <c r="A967" s="275" t="str">
        <f>IF(ISBLANK(INDEX('Policy Characteristics'!A:A,MATCH($C967,'Policy Characteristics'!$C:$C,0))),"",INDEX('Policy Characteristics'!A:A,MATCH($C967,'Policy Characteristics'!$C:$C,0)))</f>
        <v>Industry</v>
      </c>
      <c r="B967" s="284" t="str">
        <f>IF(ISBLANK(INDEX('Policy Characteristics'!B:B,MATCH($C967,'Policy Characteristics'!$C:$C,0))),"",INDEX('Policy Characteristics'!B:B,MATCH($C967,'Policy Characteristics'!$C:$C,0)))</f>
        <v>Hydrogen Combustion</v>
      </c>
      <c r="C967" s="275" t="str">
        <f t="shared" si="40"/>
        <v>Fraction of Eligible Industrial Energy Use Shifted to Hydrogen</v>
      </c>
      <c r="D967" s="6" t="s">
        <v>3094</v>
      </c>
      <c r="E967" s="1" t="s">
        <v>3550</v>
      </c>
      <c r="F967" t="s">
        <v>3055</v>
      </c>
      <c r="G967" s="47" t="s">
        <v>3557</v>
      </c>
      <c r="H967" s="44">
        <v>2229</v>
      </c>
      <c r="I967" s="346" t="s">
        <v>44</v>
      </c>
      <c r="J967" s="276" t="str">
        <f>IF(ISBLANK(INDEX('Policy Characteristics'!D:D,MATCH($C967,'Policy Characteristics'!$C:$C,0))),"",INDEX('Policy Characteristics'!D:D,MATCH($C967,'Policy Characteristics'!$C:$C,0)))</f>
        <v>Hydrogen Combustion</v>
      </c>
      <c r="K967" s="275" t="str">
        <f>IF(ISBLANK(INDEX('Policy Characteristics'!E:E,MATCH($C967,'Policy Characteristics'!$C:$C,0))),"",INDEX('Policy Characteristics'!E:E,MATCH($C967,'Policy Characteristics'!$C:$C,0)))</f>
        <v>indst shift to hydrogen</v>
      </c>
      <c r="L967" s="283">
        <f>IF(ISBLANK(INDEX('Policy Characteristics'!F:F,MATCH($C967,'Policy Characteristics'!$C:$C,0))),"",INDEX('Policy Characteristics'!F:F,MATCH($C967,'Policy Characteristics'!$C:$C,0)))</f>
        <v>0</v>
      </c>
      <c r="M967" s="283">
        <f>IF(ISBLANK(INDEX('Policy Characteristics'!G:G,MATCH($C967,'Policy Characteristics'!$C:$C,0))),"",INDEX('Policy Characteristics'!G:G,MATCH($C967,'Policy Characteristics'!$C:$C,0)))</f>
        <v>1</v>
      </c>
      <c r="N967" s="283">
        <f>IF(ISBLANK(INDEX('Policy Characteristics'!H:H,MATCH($C967,'Policy Characteristics'!$C:$C,0))),"",INDEX('Policy Characteristics'!H:H,MATCH($C967,'Policy Characteristics'!$C:$C,0)))</f>
        <v>0.01</v>
      </c>
      <c r="O967" s="275" t="str">
        <f>IF(ISBLANK(INDEX('Policy Characteristics'!I:I,MATCH($C967,'Policy Characteristics'!$C:$C,0))),"",INDEX('Policy Characteristics'!I:I,MATCH($C967,'Policy Characteristics'!$C:$C,0)))</f>
        <v>% of fuel shifted</v>
      </c>
      <c r="P967" s="275" t="str">
        <f>IF(ISBLANK(INDEX('Policy Characteristics'!J:J,MATCH($C967,'Policy Characteristics'!$C:$C,0))),"",INDEX('Policy Characteristics'!J:J,MATCH($C967,'Policy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7" s="275" t="str">
        <f>IF(ISBLANK(INDEX('Policy Characteristics'!K:K,MATCH($C967,'Policy Characteristics'!$C:$C,0))),"",INDEX('Policy Characteristics'!K:K,MATCH($C967,'Policy Characteristics'!$C:$C,0)))</f>
        <v>industry-ag-main.html#fuel-switching</v>
      </c>
      <c r="R967" s="275" t="str">
        <f>IF(ISBLANK(INDEX('Policy Characteristics'!L:L,MATCH($C967,'Policy Characteristics'!$C:$C,0))),"",INDEX('Policy Characteristics'!L:L,MATCH($C967,'Policy Characteristics'!$C:$C,0)))</f>
        <v>industry-elec-and-hydrogen.html</v>
      </c>
    </row>
    <row r="968" spans="1:18" s="2" customFormat="1" x14ac:dyDescent="0.25">
      <c r="A968" s="275" t="str">
        <f>IF(ISBLANK(INDEX('Policy Characteristics'!A:A,MATCH($C968,'Policy Characteristics'!$C:$C,0))),"",INDEX('Policy Characteristics'!A:A,MATCH($C968,'Policy Characteristics'!$C:$C,0)))</f>
        <v>Industry</v>
      </c>
      <c r="B968" s="284" t="str">
        <f>IF(ISBLANK(INDEX('Policy Characteristics'!B:B,MATCH($C968,'Policy Characteristics'!$C:$C,0))),"",INDEX('Policy Characteristics'!B:B,MATCH($C968,'Policy Characteristics'!$C:$C,0)))</f>
        <v>Hydrogen Combustion</v>
      </c>
      <c r="C968" s="275" t="str">
        <f t="shared" si="40"/>
        <v>Fraction of Eligible Industrial Energy Use Shifted to Hydrogen</v>
      </c>
      <c r="D968" s="6" t="s">
        <v>3094</v>
      </c>
      <c r="E968" s="1" t="s">
        <v>3551</v>
      </c>
      <c r="F968" t="s">
        <v>3055</v>
      </c>
      <c r="G968" s="47" t="s">
        <v>3558</v>
      </c>
      <c r="H968" s="44">
        <v>2230</v>
      </c>
      <c r="I968" s="346" t="s">
        <v>44</v>
      </c>
      <c r="J968" s="276" t="str">
        <f>IF(ISBLANK(INDEX('Policy Characteristics'!D:D,MATCH($C968,'Policy Characteristics'!$C:$C,0))),"",INDEX('Policy Characteristics'!D:D,MATCH($C968,'Policy Characteristics'!$C:$C,0)))</f>
        <v>Hydrogen Combustion</v>
      </c>
      <c r="K968" s="275" t="str">
        <f>IF(ISBLANK(INDEX('Policy Characteristics'!E:E,MATCH($C968,'Policy Characteristics'!$C:$C,0))),"",INDEX('Policy Characteristics'!E:E,MATCH($C968,'Policy Characteristics'!$C:$C,0)))</f>
        <v>indst shift to hydrogen</v>
      </c>
      <c r="L968" s="283">
        <f>IF(ISBLANK(INDEX('Policy Characteristics'!F:F,MATCH($C968,'Policy Characteristics'!$C:$C,0))),"",INDEX('Policy Characteristics'!F:F,MATCH($C968,'Policy Characteristics'!$C:$C,0)))</f>
        <v>0</v>
      </c>
      <c r="M968" s="283">
        <f>IF(ISBLANK(INDEX('Policy Characteristics'!G:G,MATCH($C968,'Policy Characteristics'!$C:$C,0))),"",INDEX('Policy Characteristics'!G:G,MATCH($C968,'Policy Characteristics'!$C:$C,0)))</f>
        <v>1</v>
      </c>
      <c r="N968" s="283">
        <f>IF(ISBLANK(INDEX('Policy Characteristics'!H:H,MATCH($C968,'Policy Characteristics'!$C:$C,0))),"",INDEX('Policy Characteristics'!H:H,MATCH($C968,'Policy Characteristics'!$C:$C,0)))</f>
        <v>0.01</v>
      </c>
      <c r="O968" s="275" t="str">
        <f>IF(ISBLANK(INDEX('Policy Characteristics'!I:I,MATCH($C968,'Policy Characteristics'!$C:$C,0))),"",INDEX('Policy Characteristics'!I:I,MATCH($C968,'Policy Characteristics'!$C:$C,0)))</f>
        <v>% of fuel shifted</v>
      </c>
      <c r="P968" s="275" t="str">
        <f>IF(ISBLANK(INDEX('Policy Characteristics'!J:J,MATCH($C968,'Policy Characteristics'!$C:$C,0))),"",INDEX('Policy Characteristics'!J:J,MATCH($C968,'Policy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8" s="275" t="str">
        <f>IF(ISBLANK(INDEX('Policy Characteristics'!K:K,MATCH($C968,'Policy Characteristics'!$C:$C,0))),"",INDEX('Policy Characteristics'!K:K,MATCH($C968,'Policy Characteristics'!$C:$C,0)))</f>
        <v>industry-ag-main.html#fuel-switching</v>
      </c>
      <c r="R968" s="275" t="str">
        <f>IF(ISBLANK(INDEX('Policy Characteristics'!L:L,MATCH($C968,'Policy Characteristics'!$C:$C,0))),"",INDEX('Policy Characteristics'!L:L,MATCH($C968,'Policy Characteristics'!$C:$C,0)))</f>
        <v>industry-elec-and-hydrogen.html</v>
      </c>
    </row>
    <row r="969" spans="1:18" s="2" customFormat="1" x14ac:dyDescent="0.25">
      <c r="A969" s="275" t="str">
        <f>IF(ISBLANK(INDEX('Policy Characteristics'!A:A,MATCH($C969,'Policy Characteristics'!$C:$C,0))),"",INDEX('Policy Characteristics'!A:A,MATCH($C969,'Policy Characteristics'!$C:$C,0)))</f>
        <v>Industry</v>
      </c>
      <c r="B969" s="284" t="str">
        <f>IF(ISBLANK(INDEX('Policy Characteristics'!B:B,MATCH($C969,'Policy Characteristics'!$C:$C,0))),"",INDEX('Policy Characteristics'!B:B,MATCH($C969,'Policy Characteristics'!$C:$C,0)))</f>
        <v>Hydrogen Combustion</v>
      </c>
      <c r="C969" s="275" t="str">
        <f t="shared" si="40"/>
        <v>Fraction of Eligible Industrial Energy Use Shifted to Hydrogen</v>
      </c>
      <c r="D969" s="6" t="s">
        <v>3094</v>
      </c>
      <c r="E969" s="1" t="s">
        <v>3552</v>
      </c>
      <c r="F969" t="s">
        <v>3055</v>
      </c>
      <c r="G969" s="47" t="s">
        <v>3559</v>
      </c>
      <c r="H969" s="44">
        <v>2231</v>
      </c>
      <c r="I969" s="346" t="s">
        <v>44</v>
      </c>
      <c r="J969" s="276" t="str">
        <f>IF(ISBLANK(INDEX('Policy Characteristics'!D:D,MATCH($C969,'Policy Characteristics'!$C:$C,0))),"",INDEX('Policy Characteristics'!D:D,MATCH($C969,'Policy Characteristics'!$C:$C,0)))</f>
        <v>Hydrogen Combustion</v>
      </c>
      <c r="K969" s="275" t="str">
        <f>IF(ISBLANK(INDEX('Policy Characteristics'!E:E,MATCH($C969,'Policy Characteristics'!$C:$C,0))),"",INDEX('Policy Characteristics'!E:E,MATCH($C969,'Policy Characteristics'!$C:$C,0)))</f>
        <v>indst shift to hydrogen</v>
      </c>
      <c r="L969" s="283">
        <f>IF(ISBLANK(INDEX('Policy Characteristics'!F:F,MATCH($C969,'Policy Characteristics'!$C:$C,0))),"",INDEX('Policy Characteristics'!F:F,MATCH($C969,'Policy Characteristics'!$C:$C,0)))</f>
        <v>0</v>
      </c>
      <c r="M969" s="283">
        <f>IF(ISBLANK(INDEX('Policy Characteristics'!G:G,MATCH($C969,'Policy Characteristics'!$C:$C,0))),"",INDEX('Policy Characteristics'!G:G,MATCH($C969,'Policy Characteristics'!$C:$C,0)))</f>
        <v>1</v>
      </c>
      <c r="N969" s="283">
        <f>IF(ISBLANK(INDEX('Policy Characteristics'!H:H,MATCH($C969,'Policy Characteristics'!$C:$C,0))),"",INDEX('Policy Characteristics'!H:H,MATCH($C969,'Policy Characteristics'!$C:$C,0)))</f>
        <v>0.01</v>
      </c>
      <c r="O969" s="275" t="str">
        <f>IF(ISBLANK(INDEX('Policy Characteristics'!I:I,MATCH($C969,'Policy Characteristics'!$C:$C,0))),"",INDEX('Policy Characteristics'!I:I,MATCH($C969,'Policy Characteristics'!$C:$C,0)))</f>
        <v>% of fuel shifted</v>
      </c>
      <c r="P969" s="275" t="str">
        <f>IF(ISBLANK(INDEX('Policy Characteristics'!J:J,MATCH($C969,'Policy Characteristics'!$C:$C,0))),"",INDEX('Policy Characteristics'!J:J,MATCH($C969,'Policy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9" s="275" t="str">
        <f>IF(ISBLANK(INDEX('Policy Characteristics'!K:K,MATCH($C969,'Policy Characteristics'!$C:$C,0))),"",INDEX('Policy Characteristics'!K:K,MATCH($C969,'Policy Characteristics'!$C:$C,0)))</f>
        <v>industry-ag-main.html#fuel-switching</v>
      </c>
      <c r="R969" s="275" t="str">
        <f>IF(ISBLANK(INDEX('Policy Characteristics'!L:L,MATCH($C969,'Policy Characteristics'!$C:$C,0))),"",INDEX('Policy Characteristics'!L:L,MATCH($C969,'Policy Characteristics'!$C:$C,0)))</f>
        <v>industry-elec-and-hydrogen.html</v>
      </c>
    </row>
    <row r="970" spans="1:18" s="2" customFormat="1" x14ac:dyDescent="0.25">
      <c r="A970" s="275" t="str">
        <f>IF(ISBLANK(INDEX('Policy Characteristics'!A:A,MATCH($C970,'Policy Characteristics'!$C:$C,0))),"",INDEX('Policy Characteristics'!A:A,MATCH($C970,'Policy Characteristics'!$C:$C,0)))</f>
        <v>Industry</v>
      </c>
      <c r="B970" s="284" t="str">
        <f>IF(ISBLANK(INDEX('Policy Characteristics'!B:B,MATCH($C970,'Policy Characteristics'!$C:$C,0))),"",INDEX('Policy Characteristics'!B:B,MATCH($C970,'Policy Characteristics'!$C:$C,0)))</f>
        <v>Hydrogen Combustion</v>
      </c>
      <c r="C970" s="275" t="str">
        <f t="shared" si="40"/>
        <v>Fraction of Eligible Industrial Energy Use Shifted to Hydrogen</v>
      </c>
      <c r="D970" s="6" t="s">
        <v>3094</v>
      </c>
      <c r="E970" s="1" t="s">
        <v>3553</v>
      </c>
      <c r="F970" t="s">
        <v>3055</v>
      </c>
      <c r="G970" s="47" t="s">
        <v>3560</v>
      </c>
      <c r="H970" s="44">
        <v>2232</v>
      </c>
      <c r="I970" s="346" t="s">
        <v>44</v>
      </c>
      <c r="J970" s="276" t="str">
        <f>IF(ISBLANK(INDEX('Policy Characteristics'!D:D,MATCH($C970,'Policy Characteristics'!$C:$C,0))),"",INDEX('Policy Characteristics'!D:D,MATCH($C970,'Policy Characteristics'!$C:$C,0)))</f>
        <v>Hydrogen Combustion</v>
      </c>
      <c r="K970" s="275" t="str">
        <f>IF(ISBLANK(INDEX('Policy Characteristics'!E:E,MATCH($C970,'Policy Characteristics'!$C:$C,0))),"",INDEX('Policy Characteristics'!E:E,MATCH($C970,'Policy Characteristics'!$C:$C,0)))</f>
        <v>indst shift to hydrogen</v>
      </c>
      <c r="L970" s="283">
        <f>IF(ISBLANK(INDEX('Policy Characteristics'!F:F,MATCH($C970,'Policy Characteristics'!$C:$C,0))),"",INDEX('Policy Characteristics'!F:F,MATCH($C970,'Policy Characteristics'!$C:$C,0)))</f>
        <v>0</v>
      </c>
      <c r="M970" s="283">
        <f>IF(ISBLANK(INDEX('Policy Characteristics'!G:G,MATCH($C970,'Policy Characteristics'!$C:$C,0))),"",INDEX('Policy Characteristics'!G:G,MATCH($C970,'Policy Characteristics'!$C:$C,0)))</f>
        <v>1</v>
      </c>
      <c r="N970" s="283">
        <f>IF(ISBLANK(INDEX('Policy Characteristics'!H:H,MATCH($C970,'Policy Characteristics'!$C:$C,0))),"",INDEX('Policy Characteristics'!H:H,MATCH($C970,'Policy Characteristics'!$C:$C,0)))</f>
        <v>0.01</v>
      </c>
      <c r="O970" s="275" t="str">
        <f>IF(ISBLANK(INDEX('Policy Characteristics'!I:I,MATCH($C970,'Policy Characteristics'!$C:$C,0))),"",INDEX('Policy Characteristics'!I:I,MATCH($C970,'Policy Characteristics'!$C:$C,0)))</f>
        <v>% of fuel shifted</v>
      </c>
      <c r="P970" s="275" t="str">
        <f>IF(ISBLANK(INDEX('Policy Characteristics'!J:J,MATCH($C970,'Policy Characteristics'!$C:$C,0))),"",INDEX('Policy Characteristics'!J:J,MATCH($C970,'Policy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0" s="275" t="str">
        <f>IF(ISBLANK(INDEX('Policy Characteristics'!K:K,MATCH($C970,'Policy Characteristics'!$C:$C,0))),"",INDEX('Policy Characteristics'!K:K,MATCH($C970,'Policy Characteristics'!$C:$C,0)))</f>
        <v>industry-ag-main.html#fuel-switching</v>
      </c>
      <c r="R970" s="275" t="str">
        <f>IF(ISBLANK(INDEX('Policy Characteristics'!L:L,MATCH($C970,'Policy Characteristics'!$C:$C,0))),"",INDEX('Policy Characteristics'!L:L,MATCH($C970,'Policy Characteristics'!$C:$C,0)))</f>
        <v>industry-elec-and-hydrogen.html</v>
      </c>
    </row>
    <row r="971" spans="1:18" s="2" customFormat="1" x14ac:dyDescent="0.25">
      <c r="A971" s="275" t="str">
        <f>IF(ISBLANK(INDEX('Policy Characteristics'!A:A,MATCH($C971,'Policy Characteristics'!$C:$C,0))),"",INDEX('Policy Characteristics'!A:A,MATCH($C971,'Policy Characteristics'!$C:$C,0)))</f>
        <v>Industry</v>
      </c>
      <c r="B971" s="284" t="str">
        <f>IF(ISBLANK(INDEX('Policy Characteristics'!B:B,MATCH($C971,'Policy Characteristics'!$C:$C,0))),"",INDEX('Policy Characteristics'!B:B,MATCH($C971,'Policy Characteristics'!$C:$C,0)))</f>
        <v>Hydrogen Combustion</v>
      </c>
      <c r="C971" s="275" t="str">
        <f t="shared" si="40"/>
        <v>Fraction of Eligible Industrial Energy Use Shifted to Hydrogen</v>
      </c>
      <c r="D971" s="6" t="s">
        <v>3094</v>
      </c>
      <c r="E971" s="1" t="s">
        <v>3737</v>
      </c>
      <c r="F971" t="s">
        <v>3055</v>
      </c>
      <c r="G971" s="47" t="s">
        <v>3738</v>
      </c>
      <c r="H971" s="44">
        <v>2233</v>
      </c>
      <c r="I971" s="346" t="s">
        <v>44</v>
      </c>
      <c r="J971" s="276" t="str">
        <f>IF(ISBLANK(INDEX('Policy Characteristics'!D:D,MATCH($C971,'Policy Characteristics'!$C:$C,0))),"",INDEX('Policy Characteristics'!D:D,MATCH($C971,'Policy Characteristics'!$C:$C,0)))</f>
        <v>Hydrogen Combustion</v>
      </c>
      <c r="K971" s="275" t="str">
        <f>IF(ISBLANK(INDEX('Policy Characteristics'!E:E,MATCH($C971,'Policy Characteristics'!$C:$C,0))),"",INDEX('Policy Characteristics'!E:E,MATCH($C971,'Policy Characteristics'!$C:$C,0)))</f>
        <v>indst shift to hydrogen</v>
      </c>
      <c r="L971" s="283">
        <f>IF(ISBLANK(INDEX('Policy Characteristics'!F:F,MATCH($C971,'Policy Characteristics'!$C:$C,0))),"",INDEX('Policy Characteristics'!F:F,MATCH($C971,'Policy Characteristics'!$C:$C,0)))</f>
        <v>0</v>
      </c>
      <c r="M971" s="283">
        <f>IF(ISBLANK(INDEX('Policy Characteristics'!G:G,MATCH($C971,'Policy Characteristics'!$C:$C,0))),"",INDEX('Policy Characteristics'!G:G,MATCH($C971,'Policy Characteristics'!$C:$C,0)))</f>
        <v>1</v>
      </c>
      <c r="N971" s="283">
        <f>IF(ISBLANK(INDEX('Policy Characteristics'!H:H,MATCH($C971,'Policy Characteristics'!$C:$C,0))),"",INDEX('Policy Characteristics'!H:H,MATCH($C971,'Policy Characteristics'!$C:$C,0)))</f>
        <v>0.01</v>
      </c>
      <c r="O971" s="275" t="str">
        <f>IF(ISBLANK(INDEX('Policy Characteristics'!I:I,MATCH($C971,'Policy Characteristics'!$C:$C,0))),"",INDEX('Policy Characteristics'!I:I,MATCH($C971,'Policy Characteristics'!$C:$C,0)))</f>
        <v>% of fuel shifted</v>
      </c>
      <c r="P971" s="275" t="str">
        <f>IF(ISBLANK(INDEX('Policy Characteristics'!J:J,MATCH($C971,'Policy Characteristics'!$C:$C,0))),"",INDEX('Policy Characteristics'!J:J,MATCH($C971,'Policy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1" s="275" t="str">
        <f>IF(ISBLANK(INDEX('Policy Characteristics'!K:K,MATCH($C971,'Policy Characteristics'!$C:$C,0))),"",INDEX('Policy Characteristics'!K:K,MATCH($C971,'Policy Characteristics'!$C:$C,0)))</f>
        <v>industry-ag-main.html#fuel-switching</v>
      </c>
      <c r="R971" s="275" t="str">
        <f>IF(ISBLANK(INDEX('Policy Characteristics'!L:L,MATCH($C971,'Policy Characteristics'!$C:$C,0))),"",INDEX('Policy Characteristics'!L:L,MATCH($C971,'Policy Characteristics'!$C:$C,0)))</f>
        <v>industry-elec-and-hydrogen.html</v>
      </c>
    </row>
    <row r="972" spans="1:18" s="4" customFormat="1" x14ac:dyDescent="0.25">
      <c r="A972" s="275" t="str">
        <f>IF(ISBLANK(INDEX('Policy Characteristics'!A:A,MATCH($C972,'Policy Characteristics'!$C:$C,0))),"",INDEX('Policy Characteristics'!A:A,MATCH($C972,'Policy Characteristics'!$C:$C,0)))</f>
        <v>Industry</v>
      </c>
      <c r="B972" s="284" t="str">
        <f>IF(ISBLANK(INDEX('Policy Characteristics'!B:B,MATCH($C972,'Policy Characteristics'!$C:$C,0))),"",INDEX('Policy Characteristics'!B:B,MATCH($C972,'Policy Characteristics'!$C:$C,0)))</f>
        <v>Improved System Design</v>
      </c>
      <c r="C972" t="s">
        <v>285</v>
      </c>
      <c r="D972" s="47"/>
      <c r="E972" s="47"/>
      <c r="F972" s="47"/>
      <c r="G972" s="47"/>
      <c r="H972" s="44">
        <v>54</v>
      </c>
      <c r="I972" s="346" t="s">
        <v>43</v>
      </c>
      <c r="J972" s="276" t="str">
        <f>IF(ISBLANK(INDEX('Policy Characteristics'!D:D,MATCH($C972,'Policy Characteristics'!$C:$C,0))),"",INDEX('Policy Characteristics'!D:D,MATCH($C972,'Policy Characteristics'!$C:$C,0)))</f>
        <v>Improved System Design</v>
      </c>
      <c r="K972" s="275" t="str">
        <f>IF(ISBLANK(INDEX('Policy Characteristics'!E:E,MATCH($C972,'Policy Characteristics'!$C:$C,0))),"",INDEX('Policy Characteristics'!E:E,MATCH($C972,'Policy Characteristics'!$C:$C,0)))</f>
        <v>indst system integration</v>
      </c>
      <c r="L972" s="283">
        <f>IF(ISBLANK(INDEX('Policy Characteristics'!F:F,MATCH($C972,'Policy Characteristics'!$C:$C,0))),"",INDEX('Policy Characteristics'!F:F,MATCH($C972,'Policy Characteristics'!$C:$C,0)))</f>
        <v>0</v>
      </c>
      <c r="M972" s="283">
        <f>IF(ISBLANK(INDEX('Policy Characteristics'!G:G,MATCH($C972,'Policy Characteristics'!$C:$C,0))),"",INDEX('Policy Characteristics'!G:G,MATCH($C972,'Policy Characteristics'!$C:$C,0)))</f>
        <v>1</v>
      </c>
      <c r="N972" s="283">
        <f>IF(ISBLANK(INDEX('Policy Characteristics'!H:H,MATCH($C972,'Policy Characteristics'!$C:$C,0))),"",INDEX('Policy Characteristics'!H:H,MATCH($C972,'Policy Characteristics'!$C:$C,0)))</f>
        <v>0.01</v>
      </c>
      <c r="O972" s="275" t="str">
        <f>IF(ISBLANK(INDEX('Policy Characteristics'!I:I,MATCH($C972,'Policy Characteristics'!$C:$C,0))),"",INDEX('Policy Characteristics'!I:I,MATCH($C972,'Policy Characteristics'!$C:$C,0)))</f>
        <v>% of potential achieved</v>
      </c>
      <c r="P972" s="275" t="str">
        <f>IF(ISBLANK(INDEX('Policy Characteristics'!J:J,MATCH($C972,'Policy Characteristics'!$C:$C,0))),"",INDEX('Policy Characteristics'!J:J,MATCH($C972,'Policy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972" s="275" t="str">
        <f>IF(ISBLANK(INDEX('Policy Characteristics'!K:K,MATCH($C972,'Policy Characteristics'!$C:$C,0))),"",INDEX('Policy Characteristics'!K:K,MATCH($C972,'Policy Characteristics'!$C:$C,0)))</f>
        <v>industry-ag-main.html#system-integ</v>
      </c>
      <c r="R972" s="275" t="str">
        <f>IF(ISBLANK(INDEX('Policy Characteristics'!L:L,MATCH($C972,'Policy Characteristics'!$C:$C,0))),"",INDEX('Policy Characteristics'!L:L,MATCH($C972,'Policy Characteristics'!$C:$C,0)))</f>
        <v>improved-system-design.html</v>
      </c>
    </row>
    <row r="973" spans="1:18" s="4" customFormat="1" x14ac:dyDescent="0.25">
      <c r="A973" s="275" t="str">
        <f>IF(ISBLANK(INDEX('Policy Characteristics'!A:A,MATCH($C973,'Policy Characteristics'!$C:$C,0))),"",INDEX('Policy Characteristics'!A:A,MATCH($C973,'Policy Characteristics'!$C:$C,0)))</f>
        <v>Industry</v>
      </c>
      <c r="B973" s="284" t="str">
        <f>IF(ISBLANK(INDEX('Policy Characteristics'!B:B,MATCH($C973,'Policy Characteristics'!$C:$C,0))),"",INDEX('Policy Characteristics'!B:B,MATCH($C973,'Policy Characteristics'!$C:$C,0)))</f>
        <v>Industry Energy Efficiency Standards</v>
      </c>
      <c r="C973" t="s">
        <v>284</v>
      </c>
      <c r="D973" s="47" t="s">
        <v>3070</v>
      </c>
      <c r="E973" s="47" t="s">
        <v>2401</v>
      </c>
      <c r="F973" t="s">
        <v>3095</v>
      </c>
      <c r="G973" s="47" t="s">
        <v>2407</v>
      </c>
      <c r="H973" s="44">
        <v>958</v>
      </c>
      <c r="I973" s="346" t="s">
        <v>43</v>
      </c>
      <c r="J973" s="276" t="str">
        <f>IF(ISBLANK(INDEX('Policy Characteristics'!D:D,MATCH($C973,'Policy Characteristics'!$C:$C,0))),"",INDEX('Policy Characteristics'!D:D,MATCH($C973,'Policy Characteristics'!$C:$C,0)))</f>
        <v>Industry Energy Efficiency Standards</v>
      </c>
      <c r="K973" s="275" t="str">
        <f>IF(ISBLANK(INDEX('Policy Characteristics'!E:E,MATCH($C973,'Policy Characteristics'!$C:$C,0))),"",INDEX('Policy Characteristics'!E:E,MATCH($C973,'Policy Characteristics'!$C:$C,0)))</f>
        <v>indst efficiency standards</v>
      </c>
      <c r="L973" s="283">
        <f>IF(ISBLANK(INDEX('Policy Characteristics'!F:F,MATCH($C973,'Policy Characteristics'!$C:$C,0))),"",INDEX('Policy Characteristics'!F:F,MATCH($C973,'Policy Characteristics'!$C:$C,0)))</f>
        <v>0</v>
      </c>
      <c r="M973" s="283">
        <f>IF(ISBLANK(INDEX('Policy Characteristics'!G:G,MATCH($C973,'Policy Characteristics'!$C:$C,0))),"",INDEX('Policy Characteristics'!G:G,MATCH($C973,'Policy Characteristics'!$C:$C,0)))</f>
        <v>0.25</v>
      </c>
      <c r="N973" s="283">
        <f>IF(ISBLANK(INDEX('Policy Characteristics'!H:H,MATCH($C973,'Policy Characteristics'!$C:$C,0))),"",INDEX('Policy Characteristics'!H:H,MATCH($C973,'Policy Characteristics'!$C:$C,0)))</f>
        <v>0.01</v>
      </c>
      <c r="O973" s="275" t="str">
        <f>IF(ISBLANK(INDEX('Policy Characteristics'!I:I,MATCH($C973,'Policy Characteristics'!$C:$C,0))),"",INDEX('Policy Characteristics'!I:I,MATCH($C973,'Policy Characteristics'!$C:$C,0)))</f>
        <v>% reduction in energy use</v>
      </c>
      <c r="P973" s="275" t="str">
        <f>IF(ISBLANK(INDEX('Policy Characteristics'!J:J,MATCH($C973,'Policy Characteristics'!$C:$C,0))),"",INDEX('Policy Characteristics'!J:J,MATCH($C973,'Policy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3" s="275" t="str">
        <f>IF(ISBLANK(INDEX('Policy Characteristics'!K:K,MATCH($C973,'Policy Characteristics'!$C:$C,0))),"",INDEX('Policy Characteristics'!K:K,MATCH($C973,'Policy Characteristics'!$C:$C,0)))</f>
        <v>industry-ag-main.html#eff-stds</v>
      </c>
      <c r="R973" s="275" t="str">
        <f>IF(ISBLANK(INDEX('Policy Characteristics'!L:L,MATCH($C973,'Policy Characteristics'!$C:$C,0))),"",INDEX('Policy Characteristics'!L:L,MATCH($C973,'Policy Characteristics'!$C:$C,0)))</f>
        <v>industry-energy-efficiency-standards.html</v>
      </c>
    </row>
    <row r="974" spans="1:18" s="4" customFormat="1" x14ac:dyDescent="0.25">
      <c r="A974" s="275" t="str">
        <f>IF(ISBLANK(INDEX('Policy Characteristics'!A:A,MATCH($C974,'Policy Characteristics'!$C:$C,0))),"",INDEX('Policy Characteristics'!A:A,MATCH($C974,'Policy Characteristics'!$C:$C,0)))</f>
        <v>Industry</v>
      </c>
      <c r="B974" s="284" t="str">
        <f>IF(ISBLANK(INDEX('Policy Characteristics'!B:B,MATCH($C974,'Policy Characteristics'!$C:$C,0))),"",INDEX('Policy Characteristics'!B:B,MATCH($C974,'Policy Characteristics'!$C:$C,0)))</f>
        <v>Industry Energy Efficiency Standards</v>
      </c>
      <c r="C974" s="275" t="str">
        <f t="shared" ref="C974:C1037" si="41">C$973</f>
        <v>Percentage Improvement in Eqpt Efficiency Standards above BAU</v>
      </c>
      <c r="D974" s="47" t="s">
        <v>3070</v>
      </c>
      <c r="E974" s="47" t="s">
        <v>2402</v>
      </c>
      <c r="F974" t="s">
        <v>3095</v>
      </c>
      <c r="G974" s="47" t="s">
        <v>2410</v>
      </c>
      <c r="H974" s="44">
        <v>959</v>
      </c>
      <c r="I974" s="346" t="s">
        <v>44</v>
      </c>
      <c r="J974" s="276" t="str">
        <f>IF(ISBLANK(INDEX('Policy Characteristics'!D:D,MATCH($C974,'Policy Characteristics'!$C:$C,0))),"",INDEX('Policy Characteristics'!D:D,MATCH($C974,'Policy Characteristics'!$C:$C,0)))</f>
        <v>Industry Energy Efficiency Standards</v>
      </c>
      <c r="K974" s="275" t="str">
        <f>IF(ISBLANK(INDEX('Policy Characteristics'!E:E,MATCH($C974,'Policy Characteristics'!$C:$C,0))),"",INDEX('Policy Characteristics'!E:E,MATCH($C974,'Policy Characteristics'!$C:$C,0)))</f>
        <v>indst efficiency standards</v>
      </c>
      <c r="L974" s="283">
        <f>IF(ISBLANK(INDEX('Policy Characteristics'!F:F,MATCH($C974,'Policy Characteristics'!$C:$C,0))),"",INDEX('Policy Characteristics'!F:F,MATCH($C974,'Policy Characteristics'!$C:$C,0)))</f>
        <v>0</v>
      </c>
      <c r="M974" s="283">
        <f>IF(ISBLANK(INDEX('Policy Characteristics'!G:G,MATCH($C974,'Policy Characteristics'!$C:$C,0))),"",INDEX('Policy Characteristics'!G:G,MATCH($C974,'Policy Characteristics'!$C:$C,0)))</f>
        <v>0.25</v>
      </c>
      <c r="N974" s="283">
        <f>IF(ISBLANK(INDEX('Policy Characteristics'!H:H,MATCH($C974,'Policy Characteristics'!$C:$C,0))),"",INDEX('Policy Characteristics'!H:H,MATCH($C974,'Policy Characteristics'!$C:$C,0)))</f>
        <v>0.01</v>
      </c>
      <c r="O974" s="275" t="str">
        <f>IF(ISBLANK(INDEX('Policy Characteristics'!I:I,MATCH($C974,'Policy Characteristics'!$C:$C,0))),"",INDEX('Policy Characteristics'!I:I,MATCH($C974,'Policy Characteristics'!$C:$C,0)))</f>
        <v>% reduction in energy use</v>
      </c>
      <c r="P974" s="275" t="str">
        <f>IF(ISBLANK(INDEX('Policy Characteristics'!J:J,MATCH($C974,'Policy Characteristics'!$C:$C,0))),"",INDEX('Policy Characteristics'!J:J,MATCH($C974,'Policy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4" s="275" t="str">
        <f>IF(ISBLANK(INDEX('Policy Characteristics'!K:K,MATCH($C974,'Policy Characteristics'!$C:$C,0))),"",INDEX('Policy Characteristics'!K:K,MATCH($C974,'Policy Characteristics'!$C:$C,0)))</f>
        <v>industry-ag-main.html#eff-stds</v>
      </c>
      <c r="R974" s="275" t="str">
        <f>IF(ISBLANK(INDEX('Policy Characteristics'!L:L,MATCH($C974,'Policy Characteristics'!$C:$C,0))),"",INDEX('Policy Characteristics'!L:L,MATCH($C974,'Policy Characteristics'!$C:$C,0)))</f>
        <v>industry-energy-efficiency-standards.html</v>
      </c>
    </row>
    <row r="975" spans="1:18" s="4" customFormat="1" x14ac:dyDescent="0.25">
      <c r="A975" s="275" t="str">
        <f>IF(ISBLANK(INDEX('Policy Characteristics'!A:A,MATCH($C975,'Policy Characteristics'!$C:$C,0))),"",INDEX('Policy Characteristics'!A:A,MATCH($C975,'Policy Characteristics'!$C:$C,0)))</f>
        <v>Industry</v>
      </c>
      <c r="B975" s="284" t="str">
        <f>IF(ISBLANK(INDEX('Policy Characteristics'!B:B,MATCH($C975,'Policy Characteristics'!$C:$C,0))),"",INDEX('Policy Characteristics'!B:B,MATCH($C975,'Policy Characteristics'!$C:$C,0)))</f>
        <v>Industry Energy Efficiency Standards</v>
      </c>
      <c r="C975" s="275" t="str">
        <f t="shared" si="41"/>
        <v>Percentage Improvement in Eqpt Efficiency Standards above BAU</v>
      </c>
      <c r="D975" s="47" t="s">
        <v>3070</v>
      </c>
      <c r="E975" s="47" t="s">
        <v>2403</v>
      </c>
      <c r="F975" t="s">
        <v>3095</v>
      </c>
      <c r="G975" s="47" t="s">
        <v>2411</v>
      </c>
      <c r="H975" s="44">
        <v>960</v>
      </c>
      <c r="I975" s="346" t="s">
        <v>43</v>
      </c>
      <c r="J975" s="276" t="str">
        <f>IF(ISBLANK(INDEX('Policy Characteristics'!D:D,MATCH($C975,'Policy Characteristics'!$C:$C,0))),"",INDEX('Policy Characteristics'!D:D,MATCH($C975,'Policy Characteristics'!$C:$C,0)))</f>
        <v>Industry Energy Efficiency Standards</v>
      </c>
      <c r="K975" s="275" t="str">
        <f>IF(ISBLANK(INDEX('Policy Characteristics'!E:E,MATCH($C975,'Policy Characteristics'!$C:$C,0))),"",INDEX('Policy Characteristics'!E:E,MATCH($C975,'Policy Characteristics'!$C:$C,0)))</f>
        <v>indst efficiency standards</v>
      </c>
      <c r="L975" s="283">
        <f>IF(ISBLANK(INDEX('Policy Characteristics'!F:F,MATCH($C975,'Policy Characteristics'!$C:$C,0))),"",INDEX('Policy Characteristics'!F:F,MATCH($C975,'Policy Characteristics'!$C:$C,0)))</f>
        <v>0</v>
      </c>
      <c r="M975" s="283">
        <f>IF(ISBLANK(INDEX('Policy Characteristics'!G:G,MATCH($C975,'Policy Characteristics'!$C:$C,0))),"",INDEX('Policy Characteristics'!G:G,MATCH($C975,'Policy Characteristics'!$C:$C,0)))</f>
        <v>0.25</v>
      </c>
      <c r="N975" s="283">
        <f>IF(ISBLANK(INDEX('Policy Characteristics'!H:H,MATCH($C975,'Policy Characteristics'!$C:$C,0))),"",INDEX('Policy Characteristics'!H:H,MATCH($C975,'Policy Characteristics'!$C:$C,0)))</f>
        <v>0.01</v>
      </c>
      <c r="O975" s="275" t="str">
        <f>IF(ISBLANK(INDEX('Policy Characteristics'!I:I,MATCH($C975,'Policy Characteristics'!$C:$C,0))),"",INDEX('Policy Characteristics'!I:I,MATCH($C975,'Policy Characteristics'!$C:$C,0)))</f>
        <v>% reduction in energy use</v>
      </c>
      <c r="P975" s="275" t="str">
        <f>IF(ISBLANK(INDEX('Policy Characteristics'!J:J,MATCH($C975,'Policy Characteristics'!$C:$C,0))),"",INDEX('Policy Characteristics'!J:J,MATCH($C975,'Policy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5" s="275" t="str">
        <f>IF(ISBLANK(INDEX('Policy Characteristics'!K:K,MATCH($C975,'Policy Characteristics'!$C:$C,0))),"",INDEX('Policy Characteristics'!K:K,MATCH($C975,'Policy Characteristics'!$C:$C,0)))</f>
        <v>industry-ag-main.html#eff-stds</v>
      </c>
      <c r="R975" s="275" t="str">
        <f>IF(ISBLANK(INDEX('Policy Characteristics'!L:L,MATCH($C975,'Policy Characteristics'!$C:$C,0))),"",INDEX('Policy Characteristics'!L:L,MATCH($C975,'Policy Characteristics'!$C:$C,0)))</f>
        <v>industry-energy-efficiency-standards.html</v>
      </c>
    </row>
    <row r="976" spans="1:18" s="4" customFormat="1" x14ac:dyDescent="0.25">
      <c r="A976" s="275" t="str">
        <f>IF(ISBLANK(INDEX('Policy Characteristics'!A:A,MATCH($C976,'Policy Characteristics'!$C:$C,0))),"",INDEX('Policy Characteristics'!A:A,MATCH($C976,'Policy Characteristics'!$C:$C,0)))</f>
        <v>Industry</v>
      </c>
      <c r="B976" s="284" t="str">
        <f>IF(ISBLANK(INDEX('Policy Characteristics'!B:B,MATCH($C976,'Policy Characteristics'!$C:$C,0))),"",INDEX('Policy Characteristics'!B:B,MATCH($C976,'Policy Characteristics'!$C:$C,0)))</f>
        <v>Industry Energy Efficiency Standards</v>
      </c>
      <c r="C976" s="275" t="str">
        <f t="shared" si="41"/>
        <v>Percentage Improvement in Eqpt Efficiency Standards above BAU</v>
      </c>
      <c r="D976" s="47" t="s">
        <v>3070</v>
      </c>
      <c r="E976" s="47" t="s">
        <v>2404</v>
      </c>
      <c r="F976" t="s">
        <v>3095</v>
      </c>
      <c r="G976" s="47" t="s">
        <v>2408</v>
      </c>
      <c r="H976" s="44">
        <v>961</v>
      </c>
      <c r="I976" s="346" t="s">
        <v>44</v>
      </c>
      <c r="J976" s="276" t="str">
        <f>IF(ISBLANK(INDEX('Policy Characteristics'!D:D,MATCH($C976,'Policy Characteristics'!$C:$C,0))),"",INDEX('Policy Characteristics'!D:D,MATCH($C976,'Policy Characteristics'!$C:$C,0)))</f>
        <v>Industry Energy Efficiency Standards</v>
      </c>
      <c r="K976" s="275" t="str">
        <f>IF(ISBLANK(INDEX('Policy Characteristics'!E:E,MATCH($C976,'Policy Characteristics'!$C:$C,0))),"",INDEX('Policy Characteristics'!E:E,MATCH($C976,'Policy Characteristics'!$C:$C,0)))</f>
        <v>indst efficiency standards</v>
      </c>
      <c r="L976" s="283">
        <f>IF(ISBLANK(INDEX('Policy Characteristics'!F:F,MATCH($C976,'Policy Characteristics'!$C:$C,0))),"",INDEX('Policy Characteristics'!F:F,MATCH($C976,'Policy Characteristics'!$C:$C,0)))</f>
        <v>0</v>
      </c>
      <c r="M976" s="283">
        <f>IF(ISBLANK(INDEX('Policy Characteristics'!G:G,MATCH($C976,'Policy Characteristics'!$C:$C,0))),"",INDEX('Policy Characteristics'!G:G,MATCH($C976,'Policy Characteristics'!$C:$C,0)))</f>
        <v>0.25</v>
      </c>
      <c r="N976" s="283">
        <f>IF(ISBLANK(INDEX('Policy Characteristics'!H:H,MATCH($C976,'Policy Characteristics'!$C:$C,0))),"",INDEX('Policy Characteristics'!H:H,MATCH($C976,'Policy Characteristics'!$C:$C,0)))</f>
        <v>0.01</v>
      </c>
      <c r="O976" s="275" t="str">
        <f>IF(ISBLANK(INDEX('Policy Characteristics'!I:I,MATCH($C976,'Policy Characteristics'!$C:$C,0))),"",INDEX('Policy Characteristics'!I:I,MATCH($C976,'Policy Characteristics'!$C:$C,0)))</f>
        <v>% reduction in energy use</v>
      </c>
      <c r="P976" s="275" t="str">
        <f>IF(ISBLANK(INDEX('Policy Characteristics'!J:J,MATCH($C976,'Policy Characteristics'!$C:$C,0))),"",INDEX('Policy Characteristics'!J:J,MATCH($C976,'Policy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6" s="275" t="str">
        <f>IF(ISBLANK(INDEX('Policy Characteristics'!K:K,MATCH($C976,'Policy Characteristics'!$C:$C,0))),"",INDEX('Policy Characteristics'!K:K,MATCH($C976,'Policy Characteristics'!$C:$C,0)))</f>
        <v>industry-ag-main.html#eff-stds</v>
      </c>
      <c r="R976" s="275" t="str">
        <f>IF(ISBLANK(INDEX('Policy Characteristics'!L:L,MATCH($C976,'Policy Characteristics'!$C:$C,0))),"",INDEX('Policy Characteristics'!L:L,MATCH($C976,'Policy Characteristics'!$C:$C,0)))</f>
        <v>industry-energy-efficiency-standards.html</v>
      </c>
    </row>
    <row r="977" spans="1:18" s="4" customFormat="1" x14ac:dyDescent="0.25">
      <c r="A977" s="275" t="str">
        <f>IF(ISBLANK(INDEX('Policy Characteristics'!A:A,MATCH($C977,'Policy Characteristics'!$C:$C,0))),"",INDEX('Policy Characteristics'!A:A,MATCH($C977,'Policy Characteristics'!$C:$C,0)))</f>
        <v>Industry</v>
      </c>
      <c r="B977" s="284" t="str">
        <f>IF(ISBLANK(INDEX('Policy Characteristics'!B:B,MATCH($C977,'Policy Characteristics'!$C:$C,0))),"",INDEX('Policy Characteristics'!B:B,MATCH($C977,'Policy Characteristics'!$C:$C,0)))</f>
        <v>Industry Energy Efficiency Standards</v>
      </c>
      <c r="C977" s="275" t="str">
        <f t="shared" si="41"/>
        <v>Percentage Improvement in Eqpt Efficiency Standards above BAU</v>
      </c>
      <c r="D977" s="47" t="s">
        <v>3070</v>
      </c>
      <c r="E977" s="47" t="s">
        <v>2405</v>
      </c>
      <c r="F977" t="s">
        <v>3095</v>
      </c>
      <c r="G977" s="47" t="s">
        <v>2409</v>
      </c>
      <c r="H977" s="44">
        <v>962</v>
      </c>
      <c r="I977" s="346" t="s">
        <v>43</v>
      </c>
      <c r="J977" s="276" t="str">
        <f>IF(ISBLANK(INDEX('Policy Characteristics'!D:D,MATCH($C977,'Policy Characteristics'!$C:$C,0))),"",INDEX('Policy Characteristics'!D:D,MATCH($C977,'Policy Characteristics'!$C:$C,0)))</f>
        <v>Industry Energy Efficiency Standards</v>
      </c>
      <c r="K977" s="275" t="str">
        <f>IF(ISBLANK(INDEX('Policy Characteristics'!E:E,MATCH($C977,'Policy Characteristics'!$C:$C,0))),"",INDEX('Policy Characteristics'!E:E,MATCH($C977,'Policy Characteristics'!$C:$C,0)))</f>
        <v>indst efficiency standards</v>
      </c>
      <c r="L977" s="283">
        <f>IF(ISBLANK(INDEX('Policy Characteristics'!F:F,MATCH($C977,'Policy Characteristics'!$C:$C,0))),"",INDEX('Policy Characteristics'!F:F,MATCH($C977,'Policy Characteristics'!$C:$C,0)))</f>
        <v>0</v>
      </c>
      <c r="M977" s="283">
        <f>IF(ISBLANK(INDEX('Policy Characteristics'!G:G,MATCH($C977,'Policy Characteristics'!$C:$C,0))),"",INDEX('Policy Characteristics'!G:G,MATCH($C977,'Policy Characteristics'!$C:$C,0)))</f>
        <v>0.25</v>
      </c>
      <c r="N977" s="283">
        <f>IF(ISBLANK(INDEX('Policy Characteristics'!H:H,MATCH($C977,'Policy Characteristics'!$C:$C,0))),"",INDEX('Policy Characteristics'!H:H,MATCH($C977,'Policy Characteristics'!$C:$C,0)))</f>
        <v>0.01</v>
      </c>
      <c r="O977" s="275" t="str">
        <f>IF(ISBLANK(INDEX('Policy Characteristics'!I:I,MATCH($C977,'Policy Characteristics'!$C:$C,0))),"",INDEX('Policy Characteristics'!I:I,MATCH($C977,'Policy Characteristics'!$C:$C,0)))</f>
        <v>% reduction in energy use</v>
      </c>
      <c r="P977" s="275" t="str">
        <f>IF(ISBLANK(INDEX('Policy Characteristics'!J:J,MATCH($C977,'Policy Characteristics'!$C:$C,0))),"",INDEX('Policy Characteristics'!J:J,MATCH($C977,'Policy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7" s="275" t="str">
        <f>IF(ISBLANK(INDEX('Policy Characteristics'!K:K,MATCH($C977,'Policy Characteristics'!$C:$C,0))),"",INDEX('Policy Characteristics'!K:K,MATCH($C977,'Policy Characteristics'!$C:$C,0)))</f>
        <v>industry-ag-main.html#eff-stds</v>
      </c>
      <c r="R977" s="275" t="str">
        <f>IF(ISBLANK(INDEX('Policy Characteristics'!L:L,MATCH($C977,'Policy Characteristics'!$C:$C,0))),"",INDEX('Policy Characteristics'!L:L,MATCH($C977,'Policy Characteristics'!$C:$C,0)))</f>
        <v>industry-energy-efficiency-standards.html</v>
      </c>
    </row>
    <row r="978" spans="1:18" s="4" customFormat="1" x14ac:dyDescent="0.25">
      <c r="A978" s="275" t="str">
        <f>IF(ISBLANK(INDEX('Policy Characteristics'!A:A,MATCH($C978,'Policy Characteristics'!$C:$C,0))),"",INDEX('Policy Characteristics'!A:A,MATCH($C978,'Policy Characteristics'!$C:$C,0)))</f>
        <v>Industry</v>
      </c>
      <c r="B978" s="284" t="str">
        <f>IF(ISBLANK(INDEX('Policy Characteristics'!B:B,MATCH($C978,'Policy Characteristics'!$C:$C,0))),"",INDEX('Policy Characteristics'!B:B,MATCH($C978,'Policy Characteristics'!$C:$C,0)))</f>
        <v>Industry Energy Efficiency Standards</v>
      </c>
      <c r="C978" s="275" t="str">
        <f t="shared" si="41"/>
        <v>Percentage Improvement in Eqpt Efficiency Standards above BAU</v>
      </c>
      <c r="D978" s="47" t="s">
        <v>3070</v>
      </c>
      <c r="E978" s="47" t="s">
        <v>2406</v>
      </c>
      <c r="F978" t="s">
        <v>3095</v>
      </c>
      <c r="G978" s="47" t="s">
        <v>2412</v>
      </c>
      <c r="H978" s="44">
        <v>963</v>
      </c>
      <c r="I978" s="346" t="s">
        <v>44</v>
      </c>
      <c r="J978" s="276" t="str">
        <f>IF(ISBLANK(INDEX('Policy Characteristics'!D:D,MATCH($C978,'Policy Characteristics'!$C:$C,0))),"",INDEX('Policy Characteristics'!D:D,MATCH($C978,'Policy Characteristics'!$C:$C,0)))</f>
        <v>Industry Energy Efficiency Standards</v>
      </c>
      <c r="K978" s="275" t="str">
        <f>IF(ISBLANK(INDEX('Policy Characteristics'!E:E,MATCH($C978,'Policy Characteristics'!$C:$C,0))),"",INDEX('Policy Characteristics'!E:E,MATCH($C978,'Policy Characteristics'!$C:$C,0)))</f>
        <v>indst efficiency standards</v>
      </c>
      <c r="L978" s="283">
        <f>IF(ISBLANK(INDEX('Policy Characteristics'!F:F,MATCH($C978,'Policy Characteristics'!$C:$C,0))),"",INDEX('Policy Characteristics'!F:F,MATCH($C978,'Policy Characteristics'!$C:$C,0)))</f>
        <v>0</v>
      </c>
      <c r="M978" s="283">
        <f>IF(ISBLANK(INDEX('Policy Characteristics'!G:G,MATCH($C978,'Policy Characteristics'!$C:$C,0))),"",INDEX('Policy Characteristics'!G:G,MATCH($C978,'Policy Characteristics'!$C:$C,0)))</f>
        <v>0.25</v>
      </c>
      <c r="N978" s="283">
        <f>IF(ISBLANK(INDEX('Policy Characteristics'!H:H,MATCH($C978,'Policy Characteristics'!$C:$C,0))),"",INDEX('Policy Characteristics'!H:H,MATCH($C978,'Policy Characteristics'!$C:$C,0)))</f>
        <v>0.01</v>
      </c>
      <c r="O978" s="275" t="str">
        <f>IF(ISBLANK(INDEX('Policy Characteristics'!I:I,MATCH($C978,'Policy Characteristics'!$C:$C,0))),"",INDEX('Policy Characteristics'!I:I,MATCH($C978,'Policy Characteristics'!$C:$C,0)))</f>
        <v>% reduction in energy use</v>
      </c>
      <c r="P978" s="275" t="str">
        <f>IF(ISBLANK(INDEX('Policy Characteristics'!J:J,MATCH($C978,'Policy Characteristics'!$C:$C,0))),"",INDEX('Policy Characteristics'!J:J,MATCH($C978,'Policy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8" s="275" t="str">
        <f>IF(ISBLANK(INDEX('Policy Characteristics'!K:K,MATCH($C978,'Policy Characteristics'!$C:$C,0))),"",INDEX('Policy Characteristics'!K:K,MATCH($C978,'Policy Characteristics'!$C:$C,0)))</f>
        <v>industry-ag-main.html#eff-stds</v>
      </c>
      <c r="R978" s="275" t="str">
        <f>IF(ISBLANK(INDEX('Policy Characteristics'!L:L,MATCH($C978,'Policy Characteristics'!$C:$C,0))),"",INDEX('Policy Characteristics'!L:L,MATCH($C978,'Policy Characteristics'!$C:$C,0)))</f>
        <v>industry-energy-efficiency-standards.html</v>
      </c>
    </row>
    <row r="979" spans="1:18" x14ac:dyDescent="0.25">
      <c r="A979" s="275" t="str">
        <f>IF(ISBLANK(INDEX('Policy Characteristics'!A:A,MATCH($C979,'Policy Characteristics'!$C:$C,0))),"",INDEX('Policy Characteristics'!A:A,MATCH($C979,'Policy Characteristics'!$C:$C,0)))</f>
        <v>Industry</v>
      </c>
      <c r="B979" s="284" t="str">
        <f>IF(ISBLANK(INDEX('Policy Characteristics'!B:B,MATCH($C979,'Policy Characteristics'!$C:$C,0))),"",INDEX('Policy Characteristics'!B:B,MATCH($C979,'Policy Characteristics'!$C:$C,0)))</f>
        <v>Industry Energy Efficiency Standards</v>
      </c>
      <c r="C979" s="275" t="str">
        <f t="shared" si="41"/>
        <v>Percentage Improvement in Eqpt Efficiency Standards above BAU</v>
      </c>
      <c r="D979" s="47" t="s">
        <v>3070</v>
      </c>
      <c r="E979" s="47" t="s">
        <v>2709</v>
      </c>
      <c r="F979" t="s">
        <v>3095</v>
      </c>
      <c r="G979" s="47" t="s">
        <v>2712</v>
      </c>
      <c r="H979" s="44">
        <v>964</v>
      </c>
      <c r="I979" s="346" t="s">
        <v>44</v>
      </c>
      <c r="J979" s="276" t="str">
        <f>IF(ISBLANK(INDEX('Policy Characteristics'!D:D,MATCH($C979,'Policy Characteristics'!$C:$C,0))),"",INDEX('Policy Characteristics'!D:D,MATCH($C979,'Policy Characteristics'!$C:$C,0)))</f>
        <v>Industry Energy Efficiency Standards</v>
      </c>
      <c r="K979" s="275" t="str">
        <f>IF(ISBLANK(INDEX('Policy Characteristics'!E:E,MATCH($C979,'Policy Characteristics'!$C:$C,0))),"",INDEX('Policy Characteristics'!E:E,MATCH($C979,'Policy Characteristics'!$C:$C,0)))</f>
        <v>indst efficiency standards</v>
      </c>
      <c r="L979" s="283">
        <f>IF(ISBLANK(INDEX('Policy Characteristics'!F:F,MATCH($C979,'Policy Characteristics'!$C:$C,0))),"",INDEX('Policy Characteristics'!F:F,MATCH($C979,'Policy Characteristics'!$C:$C,0)))</f>
        <v>0</v>
      </c>
      <c r="M979" s="283">
        <f>IF(ISBLANK(INDEX('Policy Characteristics'!G:G,MATCH($C979,'Policy Characteristics'!$C:$C,0))),"",INDEX('Policy Characteristics'!G:G,MATCH($C979,'Policy Characteristics'!$C:$C,0)))</f>
        <v>0.25</v>
      </c>
      <c r="N979" s="283">
        <f>IF(ISBLANK(INDEX('Policy Characteristics'!H:H,MATCH($C979,'Policy Characteristics'!$C:$C,0))),"",INDEX('Policy Characteristics'!H:H,MATCH($C979,'Policy Characteristics'!$C:$C,0)))</f>
        <v>0.01</v>
      </c>
      <c r="O979" s="275" t="str">
        <f>IF(ISBLANK(INDEX('Policy Characteristics'!I:I,MATCH($C979,'Policy Characteristics'!$C:$C,0))),"",INDEX('Policy Characteristics'!I:I,MATCH($C979,'Policy Characteristics'!$C:$C,0)))</f>
        <v>% reduction in energy use</v>
      </c>
      <c r="P979" s="275" t="str">
        <f>IF(ISBLANK(INDEX('Policy Characteristics'!J:J,MATCH($C979,'Policy Characteristics'!$C:$C,0))),"",INDEX('Policy Characteristics'!J:J,MATCH($C979,'Policy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9" s="275" t="str">
        <f>IF(ISBLANK(INDEX('Policy Characteristics'!K:K,MATCH($C979,'Policy Characteristics'!$C:$C,0))),"",INDEX('Policy Characteristics'!K:K,MATCH($C979,'Policy Characteristics'!$C:$C,0)))</f>
        <v>industry-ag-main.html#eff-stds</v>
      </c>
      <c r="R979" s="275" t="str">
        <f>IF(ISBLANK(INDEX('Policy Characteristics'!L:L,MATCH($C979,'Policy Characteristics'!$C:$C,0))),"",INDEX('Policy Characteristics'!L:L,MATCH($C979,'Policy Characteristics'!$C:$C,0)))</f>
        <v>industry-energy-efficiency-standards.html</v>
      </c>
    </row>
    <row r="980" spans="1:18" s="4" customFormat="1" x14ac:dyDescent="0.25">
      <c r="A980" s="275" t="str">
        <f>IF(ISBLANK(INDEX('Policy Characteristics'!A:A,MATCH($C980,'Policy Characteristics'!$C:$C,0))),"",INDEX('Policy Characteristics'!A:A,MATCH($C980,'Policy Characteristics'!$C:$C,0)))</f>
        <v>Industry</v>
      </c>
      <c r="B980" s="284" t="str">
        <f>IF(ISBLANK(INDEX('Policy Characteristics'!B:B,MATCH($C980,'Policy Characteristics'!$C:$C,0))),"",INDEX('Policy Characteristics'!B:B,MATCH($C980,'Policy Characteristics'!$C:$C,0)))</f>
        <v>Industry Energy Efficiency Standards</v>
      </c>
      <c r="C980" s="275" t="str">
        <f t="shared" si="41"/>
        <v>Percentage Improvement in Eqpt Efficiency Standards above BAU</v>
      </c>
      <c r="D980" s="47" t="s">
        <v>3070</v>
      </c>
      <c r="E980" s="47" t="s">
        <v>2710</v>
      </c>
      <c r="F980" t="s">
        <v>3095</v>
      </c>
      <c r="G980" s="47" t="s">
        <v>2714</v>
      </c>
      <c r="H980" s="44">
        <v>965</v>
      </c>
      <c r="I980" s="346" t="s">
        <v>43</v>
      </c>
      <c r="J980" s="276" t="str">
        <f>IF(ISBLANK(INDEX('Policy Characteristics'!D:D,MATCH($C980,'Policy Characteristics'!$C:$C,0))),"",INDEX('Policy Characteristics'!D:D,MATCH($C980,'Policy Characteristics'!$C:$C,0)))</f>
        <v>Industry Energy Efficiency Standards</v>
      </c>
      <c r="K980" s="275" t="str">
        <f>IF(ISBLANK(INDEX('Policy Characteristics'!E:E,MATCH($C980,'Policy Characteristics'!$C:$C,0))),"",INDEX('Policy Characteristics'!E:E,MATCH($C980,'Policy Characteristics'!$C:$C,0)))</f>
        <v>indst efficiency standards</v>
      </c>
      <c r="L980" s="283">
        <f>IF(ISBLANK(INDEX('Policy Characteristics'!F:F,MATCH($C980,'Policy Characteristics'!$C:$C,0))),"",INDEX('Policy Characteristics'!F:F,MATCH($C980,'Policy Characteristics'!$C:$C,0)))</f>
        <v>0</v>
      </c>
      <c r="M980" s="283">
        <f>IF(ISBLANK(INDEX('Policy Characteristics'!G:G,MATCH($C980,'Policy Characteristics'!$C:$C,0))),"",INDEX('Policy Characteristics'!G:G,MATCH($C980,'Policy Characteristics'!$C:$C,0)))</f>
        <v>0.25</v>
      </c>
      <c r="N980" s="283">
        <f>IF(ISBLANK(INDEX('Policy Characteristics'!H:H,MATCH($C980,'Policy Characteristics'!$C:$C,0))),"",INDEX('Policy Characteristics'!H:H,MATCH($C980,'Policy Characteristics'!$C:$C,0)))</f>
        <v>0.01</v>
      </c>
      <c r="O980" s="275" t="str">
        <f>IF(ISBLANK(INDEX('Policy Characteristics'!I:I,MATCH($C980,'Policy Characteristics'!$C:$C,0))),"",INDEX('Policy Characteristics'!I:I,MATCH($C980,'Policy Characteristics'!$C:$C,0)))</f>
        <v>% reduction in energy use</v>
      </c>
      <c r="P980" s="275" t="str">
        <f>IF(ISBLANK(INDEX('Policy Characteristics'!J:J,MATCH($C980,'Policy Characteristics'!$C:$C,0))),"",INDEX('Policy Characteristics'!J:J,MATCH($C980,'Policy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0" s="275" t="str">
        <f>IF(ISBLANK(INDEX('Policy Characteristics'!K:K,MATCH($C980,'Policy Characteristics'!$C:$C,0))),"",INDEX('Policy Characteristics'!K:K,MATCH($C980,'Policy Characteristics'!$C:$C,0)))</f>
        <v>industry-ag-main.html#eff-stds</v>
      </c>
      <c r="R980" s="275" t="str">
        <f>IF(ISBLANK(INDEX('Policy Characteristics'!L:L,MATCH($C980,'Policy Characteristics'!$C:$C,0))),"",INDEX('Policy Characteristics'!L:L,MATCH($C980,'Policy Characteristics'!$C:$C,0)))</f>
        <v>industry-energy-efficiency-standards.html</v>
      </c>
    </row>
    <row r="981" spans="1:18" s="4" customFormat="1" x14ac:dyDescent="0.25">
      <c r="A981" s="275" t="str">
        <f>IF(ISBLANK(INDEX('Policy Characteristics'!A:A,MATCH($C981,'Policy Characteristics'!$C:$C,0))),"",INDEX('Policy Characteristics'!A:A,MATCH($C981,'Policy Characteristics'!$C:$C,0)))</f>
        <v>Industry</v>
      </c>
      <c r="B981" s="284" t="str">
        <f>IF(ISBLANK(INDEX('Policy Characteristics'!B:B,MATCH($C981,'Policy Characteristics'!$C:$C,0))),"",INDEX('Policy Characteristics'!B:B,MATCH($C981,'Policy Characteristics'!$C:$C,0)))</f>
        <v>Industry Energy Efficiency Standards</v>
      </c>
      <c r="C981" s="275" t="str">
        <f t="shared" si="41"/>
        <v>Percentage Improvement in Eqpt Efficiency Standards above BAU</v>
      </c>
      <c r="D981" s="47" t="s">
        <v>3070</v>
      </c>
      <c r="E981" s="47" t="s">
        <v>2711</v>
      </c>
      <c r="F981" t="s">
        <v>3095</v>
      </c>
      <c r="G981" s="47" t="s">
        <v>2715</v>
      </c>
      <c r="H981" s="44">
        <v>966</v>
      </c>
      <c r="I981" s="346" t="s">
        <v>43</v>
      </c>
      <c r="J981" s="276" t="str">
        <f>IF(ISBLANK(INDEX('Policy Characteristics'!D:D,MATCH($C981,'Policy Characteristics'!$C:$C,0))),"",INDEX('Policy Characteristics'!D:D,MATCH($C981,'Policy Characteristics'!$C:$C,0)))</f>
        <v>Industry Energy Efficiency Standards</v>
      </c>
      <c r="K981" s="275" t="str">
        <f>IF(ISBLANK(INDEX('Policy Characteristics'!E:E,MATCH($C981,'Policy Characteristics'!$C:$C,0))),"",INDEX('Policy Characteristics'!E:E,MATCH($C981,'Policy Characteristics'!$C:$C,0)))</f>
        <v>indst efficiency standards</v>
      </c>
      <c r="L981" s="283">
        <f>IF(ISBLANK(INDEX('Policy Characteristics'!F:F,MATCH($C981,'Policy Characteristics'!$C:$C,0))),"",INDEX('Policy Characteristics'!F:F,MATCH($C981,'Policy Characteristics'!$C:$C,0)))</f>
        <v>0</v>
      </c>
      <c r="M981" s="283">
        <f>IF(ISBLANK(INDEX('Policy Characteristics'!G:G,MATCH($C981,'Policy Characteristics'!$C:$C,0))),"",INDEX('Policy Characteristics'!G:G,MATCH($C981,'Policy Characteristics'!$C:$C,0)))</f>
        <v>0.25</v>
      </c>
      <c r="N981" s="283">
        <f>IF(ISBLANK(INDEX('Policy Characteristics'!H:H,MATCH($C981,'Policy Characteristics'!$C:$C,0))),"",INDEX('Policy Characteristics'!H:H,MATCH($C981,'Policy Characteristics'!$C:$C,0)))</f>
        <v>0.01</v>
      </c>
      <c r="O981" s="275" t="str">
        <f>IF(ISBLANK(INDEX('Policy Characteristics'!I:I,MATCH($C981,'Policy Characteristics'!$C:$C,0))),"",INDEX('Policy Characteristics'!I:I,MATCH($C981,'Policy Characteristics'!$C:$C,0)))</f>
        <v>% reduction in energy use</v>
      </c>
      <c r="P981" s="275" t="str">
        <f>IF(ISBLANK(INDEX('Policy Characteristics'!J:J,MATCH($C981,'Policy Characteristics'!$C:$C,0))),"",INDEX('Policy Characteristics'!J:J,MATCH($C981,'Policy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1" s="275" t="str">
        <f>IF(ISBLANK(INDEX('Policy Characteristics'!K:K,MATCH($C981,'Policy Characteristics'!$C:$C,0))),"",INDEX('Policy Characteristics'!K:K,MATCH($C981,'Policy Characteristics'!$C:$C,0)))</f>
        <v>industry-ag-main.html#eff-stds</v>
      </c>
      <c r="R981" s="275" t="str">
        <f>IF(ISBLANK(INDEX('Policy Characteristics'!L:L,MATCH($C981,'Policy Characteristics'!$C:$C,0))),"",INDEX('Policy Characteristics'!L:L,MATCH($C981,'Policy Characteristics'!$C:$C,0)))</f>
        <v>industry-energy-efficiency-standards.html</v>
      </c>
    </row>
    <row r="982" spans="1:18" s="4" customFormat="1" x14ac:dyDescent="0.25">
      <c r="A982" s="275" t="str">
        <f>IF(ISBLANK(INDEX('Policy Characteristics'!A:A,MATCH($C982,'Policy Characteristics'!$C:$C,0))),"",INDEX('Policy Characteristics'!A:A,MATCH($C982,'Policy Characteristics'!$C:$C,0)))</f>
        <v>Industry</v>
      </c>
      <c r="B982" s="284" t="str">
        <f>IF(ISBLANK(INDEX('Policy Characteristics'!B:B,MATCH($C982,'Policy Characteristics'!$C:$C,0))),"",INDEX('Policy Characteristics'!B:B,MATCH($C982,'Policy Characteristics'!$C:$C,0)))</f>
        <v>Industry Energy Efficiency Standards</v>
      </c>
      <c r="C982" s="275" t="str">
        <f t="shared" si="41"/>
        <v>Percentage Improvement in Eqpt Efficiency Standards above BAU</v>
      </c>
      <c r="D982" s="47" t="s">
        <v>3070</v>
      </c>
      <c r="E982" s="47" t="s">
        <v>2708</v>
      </c>
      <c r="F982" t="s">
        <v>3095</v>
      </c>
      <c r="G982" s="47" t="s">
        <v>2713</v>
      </c>
      <c r="H982" s="44">
        <v>967</v>
      </c>
      <c r="I982" s="346" t="s">
        <v>44</v>
      </c>
      <c r="J982" s="276" t="str">
        <f>IF(ISBLANK(INDEX('Policy Characteristics'!D:D,MATCH($C982,'Policy Characteristics'!$C:$C,0))),"",INDEX('Policy Characteristics'!D:D,MATCH($C982,'Policy Characteristics'!$C:$C,0)))</f>
        <v>Industry Energy Efficiency Standards</v>
      </c>
      <c r="K982" s="275" t="str">
        <f>IF(ISBLANK(INDEX('Policy Characteristics'!E:E,MATCH($C982,'Policy Characteristics'!$C:$C,0))),"",INDEX('Policy Characteristics'!E:E,MATCH($C982,'Policy Characteristics'!$C:$C,0)))</f>
        <v>indst efficiency standards</v>
      </c>
      <c r="L982" s="283">
        <f>IF(ISBLANK(INDEX('Policy Characteristics'!F:F,MATCH($C982,'Policy Characteristics'!$C:$C,0))),"",INDEX('Policy Characteristics'!F:F,MATCH($C982,'Policy Characteristics'!$C:$C,0)))</f>
        <v>0</v>
      </c>
      <c r="M982" s="283">
        <f>IF(ISBLANK(INDEX('Policy Characteristics'!G:G,MATCH($C982,'Policy Characteristics'!$C:$C,0))),"",INDEX('Policy Characteristics'!G:G,MATCH($C982,'Policy Characteristics'!$C:$C,0)))</f>
        <v>0.25</v>
      </c>
      <c r="N982" s="283">
        <f>IF(ISBLANK(INDEX('Policy Characteristics'!H:H,MATCH($C982,'Policy Characteristics'!$C:$C,0))),"",INDEX('Policy Characteristics'!H:H,MATCH($C982,'Policy Characteristics'!$C:$C,0)))</f>
        <v>0.01</v>
      </c>
      <c r="O982" s="275" t="str">
        <f>IF(ISBLANK(INDEX('Policy Characteristics'!I:I,MATCH($C982,'Policy Characteristics'!$C:$C,0))),"",INDEX('Policy Characteristics'!I:I,MATCH($C982,'Policy Characteristics'!$C:$C,0)))</f>
        <v>% reduction in energy use</v>
      </c>
      <c r="P982" s="275" t="str">
        <f>IF(ISBLANK(INDEX('Policy Characteristics'!J:J,MATCH($C982,'Policy Characteristics'!$C:$C,0))),"",INDEX('Policy Characteristics'!J:J,MATCH($C982,'Policy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2" s="275" t="str">
        <f>IF(ISBLANK(INDEX('Policy Characteristics'!K:K,MATCH($C982,'Policy Characteristics'!$C:$C,0))),"",INDEX('Policy Characteristics'!K:K,MATCH($C982,'Policy Characteristics'!$C:$C,0)))</f>
        <v>industry-ag-main.html#eff-stds</v>
      </c>
      <c r="R982" s="275" t="str">
        <f>IF(ISBLANK(INDEX('Policy Characteristics'!L:L,MATCH($C982,'Policy Characteristics'!$C:$C,0))),"",INDEX('Policy Characteristics'!L:L,MATCH($C982,'Policy Characteristics'!$C:$C,0)))</f>
        <v>industry-energy-efficiency-standards.html</v>
      </c>
    </row>
    <row r="983" spans="1:18" s="4" customFormat="1" x14ac:dyDescent="0.25">
      <c r="A983" s="275" t="str">
        <f>IF(ISBLANK(INDEX('Policy Characteristics'!A:A,MATCH($C983,'Policy Characteristics'!$C:$C,0))),"",INDEX('Policy Characteristics'!A:A,MATCH($C983,'Policy Characteristics'!$C:$C,0)))</f>
        <v>Industry</v>
      </c>
      <c r="B983" s="284" t="str">
        <f>IF(ISBLANK(INDEX('Policy Characteristics'!B:B,MATCH($C983,'Policy Characteristics'!$C:$C,0))),"",INDEX('Policy Characteristics'!B:B,MATCH($C983,'Policy Characteristics'!$C:$C,0)))</f>
        <v>Industry Energy Efficiency Standards</v>
      </c>
      <c r="C983" s="275" t="str">
        <f t="shared" si="41"/>
        <v>Percentage Improvement in Eqpt Efficiency Standards above BAU</v>
      </c>
      <c r="D983" s="6" t="s">
        <v>3071</v>
      </c>
      <c r="E983" s="47" t="s">
        <v>2401</v>
      </c>
      <c r="F983" t="s">
        <v>2763</v>
      </c>
      <c r="G983" s="47" t="s">
        <v>2407</v>
      </c>
      <c r="H983" s="44">
        <v>968</v>
      </c>
      <c r="I983" s="346" t="s">
        <v>43</v>
      </c>
      <c r="J983" s="276" t="str">
        <f>IF(ISBLANK(INDEX('Policy Characteristics'!D:D,MATCH($C983,'Policy Characteristics'!$C:$C,0))),"",INDEX('Policy Characteristics'!D:D,MATCH($C983,'Policy Characteristics'!$C:$C,0)))</f>
        <v>Industry Energy Efficiency Standards</v>
      </c>
      <c r="K983" s="275" t="str">
        <f>IF(ISBLANK(INDEX('Policy Characteristics'!E:E,MATCH($C983,'Policy Characteristics'!$C:$C,0))),"",INDEX('Policy Characteristics'!E:E,MATCH($C983,'Policy Characteristics'!$C:$C,0)))</f>
        <v>indst efficiency standards</v>
      </c>
      <c r="L983" s="283">
        <f>IF(ISBLANK(INDEX('Policy Characteristics'!F:F,MATCH($C983,'Policy Characteristics'!$C:$C,0))),"",INDEX('Policy Characteristics'!F:F,MATCH($C983,'Policy Characteristics'!$C:$C,0)))</f>
        <v>0</v>
      </c>
      <c r="M983" s="283">
        <f>IF(ISBLANK(INDEX('Policy Characteristics'!G:G,MATCH($C983,'Policy Characteristics'!$C:$C,0))),"",INDEX('Policy Characteristics'!G:G,MATCH($C983,'Policy Characteristics'!$C:$C,0)))</f>
        <v>0.25</v>
      </c>
      <c r="N983" s="283">
        <f>IF(ISBLANK(INDEX('Policy Characteristics'!H:H,MATCH($C983,'Policy Characteristics'!$C:$C,0))),"",INDEX('Policy Characteristics'!H:H,MATCH($C983,'Policy Characteristics'!$C:$C,0)))</f>
        <v>0.01</v>
      </c>
      <c r="O983" s="275" t="str">
        <f>IF(ISBLANK(INDEX('Policy Characteristics'!I:I,MATCH($C983,'Policy Characteristics'!$C:$C,0))),"",INDEX('Policy Characteristics'!I:I,MATCH($C983,'Policy Characteristics'!$C:$C,0)))</f>
        <v>% reduction in energy use</v>
      </c>
      <c r="P983" s="275" t="str">
        <f>IF(ISBLANK(INDEX('Policy Characteristics'!J:J,MATCH($C983,'Policy Characteristics'!$C:$C,0))),"",INDEX('Policy Characteristics'!J:J,MATCH($C983,'Policy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3" s="275" t="str">
        <f>IF(ISBLANK(INDEX('Policy Characteristics'!K:K,MATCH($C983,'Policy Characteristics'!$C:$C,0))),"",INDEX('Policy Characteristics'!K:K,MATCH($C983,'Policy Characteristics'!$C:$C,0)))</f>
        <v>industry-ag-main.html#eff-stds</v>
      </c>
      <c r="R983" s="275" t="str">
        <f>IF(ISBLANK(INDEX('Policy Characteristics'!L:L,MATCH($C983,'Policy Characteristics'!$C:$C,0))),"",INDEX('Policy Characteristics'!L:L,MATCH($C983,'Policy Characteristics'!$C:$C,0)))</f>
        <v>industry-energy-efficiency-standards.html</v>
      </c>
    </row>
    <row r="984" spans="1:18" s="4" customFormat="1" x14ac:dyDescent="0.25">
      <c r="A984" s="275" t="str">
        <f>IF(ISBLANK(INDEX('Policy Characteristics'!A:A,MATCH($C984,'Policy Characteristics'!$C:$C,0))),"",INDEX('Policy Characteristics'!A:A,MATCH($C984,'Policy Characteristics'!$C:$C,0)))</f>
        <v>Industry</v>
      </c>
      <c r="B984" s="284" t="str">
        <f>IF(ISBLANK(INDEX('Policy Characteristics'!B:B,MATCH($C984,'Policy Characteristics'!$C:$C,0))),"",INDEX('Policy Characteristics'!B:B,MATCH($C984,'Policy Characteristics'!$C:$C,0)))</f>
        <v>Industry Energy Efficiency Standards</v>
      </c>
      <c r="C984" s="275" t="str">
        <f t="shared" si="41"/>
        <v>Percentage Improvement in Eqpt Efficiency Standards above BAU</v>
      </c>
      <c r="D984" s="6" t="s">
        <v>3071</v>
      </c>
      <c r="E984" s="47" t="s">
        <v>2402</v>
      </c>
      <c r="F984" t="s">
        <v>2763</v>
      </c>
      <c r="G984" s="47" t="s">
        <v>2410</v>
      </c>
      <c r="H984" s="44">
        <v>969</v>
      </c>
      <c r="I984" s="346" t="s">
        <v>43</v>
      </c>
      <c r="J984" s="276" t="str">
        <f>IF(ISBLANK(INDEX('Policy Characteristics'!D:D,MATCH($C984,'Policy Characteristics'!$C:$C,0))),"",INDEX('Policy Characteristics'!D:D,MATCH($C984,'Policy Characteristics'!$C:$C,0)))</f>
        <v>Industry Energy Efficiency Standards</v>
      </c>
      <c r="K984" s="275" t="str">
        <f>IF(ISBLANK(INDEX('Policy Characteristics'!E:E,MATCH($C984,'Policy Characteristics'!$C:$C,0))),"",INDEX('Policy Characteristics'!E:E,MATCH($C984,'Policy Characteristics'!$C:$C,0)))</f>
        <v>indst efficiency standards</v>
      </c>
      <c r="L984" s="283">
        <f>IF(ISBLANK(INDEX('Policy Characteristics'!F:F,MATCH($C984,'Policy Characteristics'!$C:$C,0))),"",INDEX('Policy Characteristics'!F:F,MATCH($C984,'Policy Characteristics'!$C:$C,0)))</f>
        <v>0</v>
      </c>
      <c r="M984" s="283">
        <f>IF(ISBLANK(INDEX('Policy Characteristics'!G:G,MATCH($C984,'Policy Characteristics'!$C:$C,0))),"",INDEX('Policy Characteristics'!G:G,MATCH($C984,'Policy Characteristics'!$C:$C,0)))</f>
        <v>0.25</v>
      </c>
      <c r="N984" s="283">
        <f>IF(ISBLANK(INDEX('Policy Characteristics'!H:H,MATCH($C984,'Policy Characteristics'!$C:$C,0))),"",INDEX('Policy Characteristics'!H:H,MATCH($C984,'Policy Characteristics'!$C:$C,0)))</f>
        <v>0.01</v>
      </c>
      <c r="O984" s="275" t="str">
        <f>IF(ISBLANK(INDEX('Policy Characteristics'!I:I,MATCH($C984,'Policy Characteristics'!$C:$C,0))),"",INDEX('Policy Characteristics'!I:I,MATCH($C984,'Policy Characteristics'!$C:$C,0)))</f>
        <v>% reduction in energy use</v>
      </c>
      <c r="P984" s="275" t="str">
        <f>IF(ISBLANK(INDEX('Policy Characteristics'!J:J,MATCH($C984,'Policy Characteristics'!$C:$C,0))),"",INDEX('Policy Characteristics'!J:J,MATCH($C984,'Policy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4" s="275" t="str">
        <f>IF(ISBLANK(INDEX('Policy Characteristics'!K:K,MATCH($C984,'Policy Characteristics'!$C:$C,0))),"",INDEX('Policy Characteristics'!K:K,MATCH($C984,'Policy Characteristics'!$C:$C,0)))</f>
        <v>industry-ag-main.html#eff-stds</v>
      </c>
      <c r="R984" s="275" t="str">
        <f>IF(ISBLANK(INDEX('Policy Characteristics'!L:L,MATCH($C984,'Policy Characteristics'!$C:$C,0))),"",INDEX('Policy Characteristics'!L:L,MATCH($C984,'Policy Characteristics'!$C:$C,0)))</f>
        <v>industry-energy-efficiency-standards.html</v>
      </c>
    </row>
    <row r="985" spans="1:18" s="4" customFormat="1" x14ac:dyDescent="0.25">
      <c r="A985" s="275" t="str">
        <f>IF(ISBLANK(INDEX('Policy Characteristics'!A:A,MATCH($C985,'Policy Characteristics'!$C:$C,0))),"",INDEX('Policy Characteristics'!A:A,MATCH($C985,'Policy Characteristics'!$C:$C,0)))</f>
        <v>Industry</v>
      </c>
      <c r="B985" s="284" t="str">
        <f>IF(ISBLANK(INDEX('Policy Characteristics'!B:B,MATCH($C985,'Policy Characteristics'!$C:$C,0))),"",INDEX('Policy Characteristics'!B:B,MATCH($C985,'Policy Characteristics'!$C:$C,0)))</f>
        <v>Industry Energy Efficiency Standards</v>
      </c>
      <c r="C985" s="275" t="str">
        <f t="shared" si="41"/>
        <v>Percentage Improvement in Eqpt Efficiency Standards above BAU</v>
      </c>
      <c r="D985" s="6" t="s">
        <v>3071</v>
      </c>
      <c r="E985" s="47" t="s">
        <v>2403</v>
      </c>
      <c r="F985" t="s">
        <v>2763</v>
      </c>
      <c r="G985" s="47" t="s">
        <v>2411</v>
      </c>
      <c r="H985" s="44">
        <v>970</v>
      </c>
      <c r="I985" s="346" t="s">
        <v>43</v>
      </c>
      <c r="J985" s="276" t="str">
        <f>IF(ISBLANK(INDEX('Policy Characteristics'!D:D,MATCH($C985,'Policy Characteristics'!$C:$C,0))),"",INDEX('Policy Characteristics'!D:D,MATCH($C985,'Policy Characteristics'!$C:$C,0)))</f>
        <v>Industry Energy Efficiency Standards</v>
      </c>
      <c r="K985" s="275" t="str">
        <f>IF(ISBLANK(INDEX('Policy Characteristics'!E:E,MATCH($C985,'Policy Characteristics'!$C:$C,0))),"",INDEX('Policy Characteristics'!E:E,MATCH($C985,'Policy Characteristics'!$C:$C,0)))</f>
        <v>indst efficiency standards</v>
      </c>
      <c r="L985" s="283">
        <f>IF(ISBLANK(INDEX('Policy Characteristics'!F:F,MATCH($C985,'Policy Characteristics'!$C:$C,0))),"",INDEX('Policy Characteristics'!F:F,MATCH($C985,'Policy Characteristics'!$C:$C,0)))</f>
        <v>0</v>
      </c>
      <c r="M985" s="283">
        <f>IF(ISBLANK(INDEX('Policy Characteristics'!G:G,MATCH($C985,'Policy Characteristics'!$C:$C,0))),"",INDEX('Policy Characteristics'!G:G,MATCH($C985,'Policy Characteristics'!$C:$C,0)))</f>
        <v>0.25</v>
      </c>
      <c r="N985" s="283">
        <f>IF(ISBLANK(INDEX('Policy Characteristics'!H:H,MATCH($C985,'Policy Characteristics'!$C:$C,0))),"",INDEX('Policy Characteristics'!H:H,MATCH($C985,'Policy Characteristics'!$C:$C,0)))</f>
        <v>0.01</v>
      </c>
      <c r="O985" s="275" t="str">
        <f>IF(ISBLANK(INDEX('Policy Characteristics'!I:I,MATCH($C985,'Policy Characteristics'!$C:$C,0))),"",INDEX('Policy Characteristics'!I:I,MATCH($C985,'Policy Characteristics'!$C:$C,0)))</f>
        <v>% reduction in energy use</v>
      </c>
      <c r="P985" s="275" t="str">
        <f>IF(ISBLANK(INDEX('Policy Characteristics'!J:J,MATCH($C985,'Policy Characteristics'!$C:$C,0))),"",INDEX('Policy Characteristics'!J:J,MATCH($C985,'Policy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5" s="275" t="str">
        <f>IF(ISBLANK(INDEX('Policy Characteristics'!K:K,MATCH($C985,'Policy Characteristics'!$C:$C,0))),"",INDEX('Policy Characteristics'!K:K,MATCH($C985,'Policy Characteristics'!$C:$C,0)))</f>
        <v>industry-ag-main.html#eff-stds</v>
      </c>
      <c r="R985" s="275" t="str">
        <f>IF(ISBLANK(INDEX('Policy Characteristics'!L:L,MATCH($C985,'Policy Characteristics'!$C:$C,0))),"",INDEX('Policy Characteristics'!L:L,MATCH($C985,'Policy Characteristics'!$C:$C,0)))</f>
        <v>industry-energy-efficiency-standards.html</v>
      </c>
    </row>
    <row r="986" spans="1:18" s="4" customFormat="1" x14ac:dyDescent="0.25">
      <c r="A986" s="275" t="str">
        <f>IF(ISBLANK(INDEX('Policy Characteristics'!A:A,MATCH($C986,'Policy Characteristics'!$C:$C,0))),"",INDEX('Policy Characteristics'!A:A,MATCH($C986,'Policy Characteristics'!$C:$C,0)))</f>
        <v>Industry</v>
      </c>
      <c r="B986" s="284" t="str">
        <f>IF(ISBLANK(INDEX('Policy Characteristics'!B:B,MATCH($C986,'Policy Characteristics'!$C:$C,0))),"",INDEX('Policy Characteristics'!B:B,MATCH($C986,'Policy Characteristics'!$C:$C,0)))</f>
        <v>Industry Energy Efficiency Standards</v>
      </c>
      <c r="C986" s="275" t="str">
        <f t="shared" si="41"/>
        <v>Percentage Improvement in Eqpt Efficiency Standards above BAU</v>
      </c>
      <c r="D986" s="6" t="s">
        <v>3071</v>
      </c>
      <c r="E986" s="47" t="s">
        <v>2404</v>
      </c>
      <c r="F986" t="s">
        <v>2763</v>
      </c>
      <c r="G986" s="47" t="s">
        <v>2408</v>
      </c>
      <c r="H986" s="44">
        <v>971</v>
      </c>
      <c r="I986" s="346" t="s">
        <v>44</v>
      </c>
      <c r="J986" s="276" t="str">
        <f>IF(ISBLANK(INDEX('Policy Characteristics'!D:D,MATCH($C986,'Policy Characteristics'!$C:$C,0))),"",INDEX('Policy Characteristics'!D:D,MATCH($C986,'Policy Characteristics'!$C:$C,0)))</f>
        <v>Industry Energy Efficiency Standards</v>
      </c>
      <c r="K986" s="275" t="str">
        <f>IF(ISBLANK(INDEX('Policy Characteristics'!E:E,MATCH($C986,'Policy Characteristics'!$C:$C,0))),"",INDEX('Policy Characteristics'!E:E,MATCH($C986,'Policy Characteristics'!$C:$C,0)))</f>
        <v>indst efficiency standards</v>
      </c>
      <c r="L986" s="283">
        <f>IF(ISBLANK(INDEX('Policy Characteristics'!F:F,MATCH($C986,'Policy Characteristics'!$C:$C,0))),"",INDEX('Policy Characteristics'!F:F,MATCH($C986,'Policy Characteristics'!$C:$C,0)))</f>
        <v>0</v>
      </c>
      <c r="M986" s="283">
        <f>IF(ISBLANK(INDEX('Policy Characteristics'!G:G,MATCH($C986,'Policy Characteristics'!$C:$C,0))),"",INDEX('Policy Characteristics'!G:G,MATCH($C986,'Policy Characteristics'!$C:$C,0)))</f>
        <v>0.25</v>
      </c>
      <c r="N986" s="283">
        <f>IF(ISBLANK(INDEX('Policy Characteristics'!H:H,MATCH($C986,'Policy Characteristics'!$C:$C,0))),"",INDEX('Policy Characteristics'!H:H,MATCH($C986,'Policy Characteristics'!$C:$C,0)))</f>
        <v>0.01</v>
      </c>
      <c r="O986" s="275" t="str">
        <f>IF(ISBLANK(INDEX('Policy Characteristics'!I:I,MATCH($C986,'Policy Characteristics'!$C:$C,0))),"",INDEX('Policy Characteristics'!I:I,MATCH($C986,'Policy Characteristics'!$C:$C,0)))</f>
        <v>% reduction in energy use</v>
      </c>
      <c r="P986" s="275" t="str">
        <f>IF(ISBLANK(INDEX('Policy Characteristics'!J:J,MATCH($C986,'Policy Characteristics'!$C:$C,0))),"",INDEX('Policy Characteristics'!J:J,MATCH($C986,'Policy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6" s="275" t="str">
        <f>IF(ISBLANK(INDEX('Policy Characteristics'!K:K,MATCH($C986,'Policy Characteristics'!$C:$C,0))),"",INDEX('Policy Characteristics'!K:K,MATCH($C986,'Policy Characteristics'!$C:$C,0)))</f>
        <v>industry-ag-main.html#eff-stds</v>
      </c>
      <c r="R986" s="275" t="str">
        <f>IF(ISBLANK(INDEX('Policy Characteristics'!L:L,MATCH($C986,'Policy Characteristics'!$C:$C,0))),"",INDEX('Policy Characteristics'!L:L,MATCH($C986,'Policy Characteristics'!$C:$C,0)))</f>
        <v>industry-energy-efficiency-standards.html</v>
      </c>
    </row>
    <row r="987" spans="1:18" s="4" customFormat="1" x14ac:dyDescent="0.25">
      <c r="A987" s="275" t="str">
        <f>IF(ISBLANK(INDEX('Policy Characteristics'!A:A,MATCH($C987,'Policy Characteristics'!$C:$C,0))),"",INDEX('Policy Characteristics'!A:A,MATCH($C987,'Policy Characteristics'!$C:$C,0)))</f>
        <v>Industry</v>
      </c>
      <c r="B987" s="284" t="str">
        <f>IF(ISBLANK(INDEX('Policy Characteristics'!B:B,MATCH($C987,'Policy Characteristics'!$C:$C,0))),"",INDEX('Policy Characteristics'!B:B,MATCH($C987,'Policy Characteristics'!$C:$C,0)))</f>
        <v>Industry Energy Efficiency Standards</v>
      </c>
      <c r="C987" s="275" t="str">
        <f t="shared" si="41"/>
        <v>Percentage Improvement in Eqpt Efficiency Standards above BAU</v>
      </c>
      <c r="D987" s="6" t="s">
        <v>3071</v>
      </c>
      <c r="E987" s="47" t="s">
        <v>2405</v>
      </c>
      <c r="F987" t="s">
        <v>2763</v>
      </c>
      <c r="G987" s="47" t="s">
        <v>2409</v>
      </c>
      <c r="H987" s="44">
        <v>972</v>
      </c>
      <c r="I987" s="346" t="s">
        <v>43</v>
      </c>
      <c r="J987" s="276" t="str">
        <f>IF(ISBLANK(INDEX('Policy Characteristics'!D:D,MATCH($C987,'Policy Characteristics'!$C:$C,0))),"",INDEX('Policy Characteristics'!D:D,MATCH($C987,'Policy Characteristics'!$C:$C,0)))</f>
        <v>Industry Energy Efficiency Standards</v>
      </c>
      <c r="K987" s="275" t="str">
        <f>IF(ISBLANK(INDEX('Policy Characteristics'!E:E,MATCH($C987,'Policy Characteristics'!$C:$C,0))),"",INDEX('Policy Characteristics'!E:E,MATCH($C987,'Policy Characteristics'!$C:$C,0)))</f>
        <v>indst efficiency standards</v>
      </c>
      <c r="L987" s="283">
        <f>IF(ISBLANK(INDEX('Policy Characteristics'!F:F,MATCH($C987,'Policy Characteristics'!$C:$C,0))),"",INDEX('Policy Characteristics'!F:F,MATCH($C987,'Policy Characteristics'!$C:$C,0)))</f>
        <v>0</v>
      </c>
      <c r="M987" s="283">
        <f>IF(ISBLANK(INDEX('Policy Characteristics'!G:G,MATCH($C987,'Policy Characteristics'!$C:$C,0))),"",INDEX('Policy Characteristics'!G:G,MATCH($C987,'Policy Characteristics'!$C:$C,0)))</f>
        <v>0.25</v>
      </c>
      <c r="N987" s="283">
        <f>IF(ISBLANK(INDEX('Policy Characteristics'!H:H,MATCH($C987,'Policy Characteristics'!$C:$C,0))),"",INDEX('Policy Characteristics'!H:H,MATCH($C987,'Policy Characteristics'!$C:$C,0)))</f>
        <v>0.01</v>
      </c>
      <c r="O987" s="275" t="str">
        <f>IF(ISBLANK(INDEX('Policy Characteristics'!I:I,MATCH($C987,'Policy Characteristics'!$C:$C,0))),"",INDEX('Policy Characteristics'!I:I,MATCH($C987,'Policy Characteristics'!$C:$C,0)))</f>
        <v>% reduction in energy use</v>
      </c>
      <c r="P987" s="275" t="str">
        <f>IF(ISBLANK(INDEX('Policy Characteristics'!J:J,MATCH($C987,'Policy Characteristics'!$C:$C,0))),"",INDEX('Policy Characteristics'!J:J,MATCH($C987,'Policy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7" s="275" t="str">
        <f>IF(ISBLANK(INDEX('Policy Characteristics'!K:K,MATCH($C987,'Policy Characteristics'!$C:$C,0))),"",INDEX('Policy Characteristics'!K:K,MATCH($C987,'Policy Characteristics'!$C:$C,0)))</f>
        <v>industry-ag-main.html#eff-stds</v>
      </c>
      <c r="R987" s="275" t="str">
        <f>IF(ISBLANK(INDEX('Policy Characteristics'!L:L,MATCH($C987,'Policy Characteristics'!$C:$C,0))),"",INDEX('Policy Characteristics'!L:L,MATCH($C987,'Policy Characteristics'!$C:$C,0)))</f>
        <v>industry-energy-efficiency-standards.html</v>
      </c>
    </row>
    <row r="988" spans="1:18" s="4" customFormat="1" x14ac:dyDescent="0.25">
      <c r="A988" s="275" t="str">
        <f>IF(ISBLANK(INDEX('Policy Characteristics'!A:A,MATCH($C988,'Policy Characteristics'!$C:$C,0))),"",INDEX('Policy Characteristics'!A:A,MATCH($C988,'Policy Characteristics'!$C:$C,0)))</f>
        <v>Industry</v>
      </c>
      <c r="B988" s="284" t="str">
        <f>IF(ISBLANK(INDEX('Policy Characteristics'!B:B,MATCH($C988,'Policy Characteristics'!$C:$C,0))),"",INDEX('Policy Characteristics'!B:B,MATCH($C988,'Policy Characteristics'!$C:$C,0)))</f>
        <v>Industry Energy Efficiency Standards</v>
      </c>
      <c r="C988" s="275" t="str">
        <f t="shared" si="41"/>
        <v>Percentage Improvement in Eqpt Efficiency Standards above BAU</v>
      </c>
      <c r="D988" s="6" t="s">
        <v>3071</v>
      </c>
      <c r="E988" s="47" t="s">
        <v>2406</v>
      </c>
      <c r="F988" t="s">
        <v>2763</v>
      </c>
      <c r="G988" s="47" t="s">
        <v>2412</v>
      </c>
      <c r="H988" s="44">
        <v>973</v>
      </c>
      <c r="I988" s="346" t="s">
        <v>44</v>
      </c>
      <c r="J988" s="276" t="str">
        <f>IF(ISBLANK(INDEX('Policy Characteristics'!D:D,MATCH($C988,'Policy Characteristics'!$C:$C,0))),"",INDEX('Policy Characteristics'!D:D,MATCH($C988,'Policy Characteristics'!$C:$C,0)))</f>
        <v>Industry Energy Efficiency Standards</v>
      </c>
      <c r="K988" s="275" t="str">
        <f>IF(ISBLANK(INDEX('Policy Characteristics'!E:E,MATCH($C988,'Policy Characteristics'!$C:$C,0))),"",INDEX('Policy Characteristics'!E:E,MATCH($C988,'Policy Characteristics'!$C:$C,0)))</f>
        <v>indst efficiency standards</v>
      </c>
      <c r="L988" s="283">
        <f>IF(ISBLANK(INDEX('Policy Characteristics'!F:F,MATCH($C988,'Policy Characteristics'!$C:$C,0))),"",INDEX('Policy Characteristics'!F:F,MATCH($C988,'Policy Characteristics'!$C:$C,0)))</f>
        <v>0</v>
      </c>
      <c r="M988" s="283">
        <f>IF(ISBLANK(INDEX('Policy Characteristics'!G:G,MATCH($C988,'Policy Characteristics'!$C:$C,0))),"",INDEX('Policy Characteristics'!G:G,MATCH($C988,'Policy Characteristics'!$C:$C,0)))</f>
        <v>0.25</v>
      </c>
      <c r="N988" s="283">
        <f>IF(ISBLANK(INDEX('Policy Characteristics'!H:H,MATCH($C988,'Policy Characteristics'!$C:$C,0))),"",INDEX('Policy Characteristics'!H:H,MATCH($C988,'Policy Characteristics'!$C:$C,0)))</f>
        <v>0.01</v>
      </c>
      <c r="O988" s="275" t="str">
        <f>IF(ISBLANK(INDEX('Policy Characteristics'!I:I,MATCH($C988,'Policy Characteristics'!$C:$C,0))),"",INDEX('Policy Characteristics'!I:I,MATCH($C988,'Policy Characteristics'!$C:$C,0)))</f>
        <v>% reduction in energy use</v>
      </c>
      <c r="P988" s="275" t="str">
        <f>IF(ISBLANK(INDEX('Policy Characteristics'!J:J,MATCH($C988,'Policy Characteristics'!$C:$C,0))),"",INDEX('Policy Characteristics'!J:J,MATCH($C988,'Policy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8" s="275" t="str">
        <f>IF(ISBLANK(INDEX('Policy Characteristics'!K:K,MATCH($C988,'Policy Characteristics'!$C:$C,0))),"",INDEX('Policy Characteristics'!K:K,MATCH($C988,'Policy Characteristics'!$C:$C,0)))</f>
        <v>industry-ag-main.html#eff-stds</v>
      </c>
      <c r="R988" s="275" t="str">
        <f>IF(ISBLANK(INDEX('Policy Characteristics'!L:L,MATCH($C988,'Policy Characteristics'!$C:$C,0))),"",INDEX('Policy Characteristics'!L:L,MATCH($C988,'Policy Characteristics'!$C:$C,0)))</f>
        <v>industry-energy-efficiency-standards.html</v>
      </c>
    </row>
    <row r="989" spans="1:18" s="4" customFormat="1" x14ac:dyDescent="0.25">
      <c r="A989" s="275" t="str">
        <f>IF(ISBLANK(INDEX('Policy Characteristics'!A:A,MATCH($C989,'Policy Characteristics'!$C:$C,0))),"",INDEX('Policy Characteristics'!A:A,MATCH($C989,'Policy Characteristics'!$C:$C,0)))</f>
        <v>Industry</v>
      </c>
      <c r="B989" s="284" t="str">
        <f>IF(ISBLANK(INDEX('Policy Characteristics'!B:B,MATCH($C989,'Policy Characteristics'!$C:$C,0))),"",INDEX('Policy Characteristics'!B:B,MATCH($C989,'Policy Characteristics'!$C:$C,0)))</f>
        <v>Industry Energy Efficiency Standards</v>
      </c>
      <c r="C989" s="275" t="str">
        <f t="shared" si="41"/>
        <v>Percentage Improvement in Eqpt Efficiency Standards above BAU</v>
      </c>
      <c r="D989" s="6" t="s">
        <v>3071</v>
      </c>
      <c r="E989" s="47" t="s">
        <v>2709</v>
      </c>
      <c r="F989" t="s">
        <v>2763</v>
      </c>
      <c r="G989" s="47" t="s">
        <v>2712</v>
      </c>
      <c r="H989" s="44">
        <v>974</v>
      </c>
      <c r="I989" s="346" t="s">
        <v>44</v>
      </c>
      <c r="J989" s="276" t="str">
        <f>IF(ISBLANK(INDEX('Policy Characteristics'!D:D,MATCH($C989,'Policy Characteristics'!$C:$C,0))),"",INDEX('Policy Characteristics'!D:D,MATCH($C989,'Policy Characteristics'!$C:$C,0)))</f>
        <v>Industry Energy Efficiency Standards</v>
      </c>
      <c r="K989" s="275" t="str">
        <f>IF(ISBLANK(INDEX('Policy Characteristics'!E:E,MATCH($C989,'Policy Characteristics'!$C:$C,0))),"",INDEX('Policy Characteristics'!E:E,MATCH($C989,'Policy Characteristics'!$C:$C,0)))</f>
        <v>indst efficiency standards</v>
      </c>
      <c r="L989" s="283">
        <f>IF(ISBLANK(INDEX('Policy Characteristics'!F:F,MATCH($C989,'Policy Characteristics'!$C:$C,0))),"",INDEX('Policy Characteristics'!F:F,MATCH($C989,'Policy Characteristics'!$C:$C,0)))</f>
        <v>0</v>
      </c>
      <c r="M989" s="283">
        <f>IF(ISBLANK(INDEX('Policy Characteristics'!G:G,MATCH($C989,'Policy Characteristics'!$C:$C,0))),"",INDEX('Policy Characteristics'!G:G,MATCH($C989,'Policy Characteristics'!$C:$C,0)))</f>
        <v>0.25</v>
      </c>
      <c r="N989" s="283">
        <f>IF(ISBLANK(INDEX('Policy Characteristics'!H:H,MATCH($C989,'Policy Characteristics'!$C:$C,0))),"",INDEX('Policy Characteristics'!H:H,MATCH($C989,'Policy Characteristics'!$C:$C,0)))</f>
        <v>0.01</v>
      </c>
      <c r="O989" s="275" t="str">
        <f>IF(ISBLANK(INDEX('Policy Characteristics'!I:I,MATCH($C989,'Policy Characteristics'!$C:$C,0))),"",INDEX('Policy Characteristics'!I:I,MATCH($C989,'Policy Characteristics'!$C:$C,0)))</f>
        <v>% reduction in energy use</v>
      </c>
      <c r="P989" s="275" t="str">
        <f>IF(ISBLANK(INDEX('Policy Characteristics'!J:J,MATCH($C989,'Policy Characteristics'!$C:$C,0))),"",INDEX('Policy Characteristics'!J:J,MATCH($C989,'Policy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9" s="275" t="str">
        <f>IF(ISBLANK(INDEX('Policy Characteristics'!K:K,MATCH($C989,'Policy Characteristics'!$C:$C,0))),"",INDEX('Policy Characteristics'!K:K,MATCH($C989,'Policy Characteristics'!$C:$C,0)))</f>
        <v>industry-ag-main.html#eff-stds</v>
      </c>
      <c r="R989" s="275" t="str">
        <f>IF(ISBLANK(INDEX('Policy Characteristics'!L:L,MATCH($C989,'Policy Characteristics'!$C:$C,0))),"",INDEX('Policy Characteristics'!L:L,MATCH($C989,'Policy Characteristics'!$C:$C,0)))</f>
        <v>industry-energy-efficiency-standards.html</v>
      </c>
    </row>
    <row r="990" spans="1:18" s="4" customFormat="1" x14ac:dyDescent="0.25">
      <c r="A990" s="275" t="str">
        <f>IF(ISBLANK(INDEX('Policy Characteristics'!A:A,MATCH($C990,'Policy Characteristics'!$C:$C,0))),"",INDEX('Policy Characteristics'!A:A,MATCH($C990,'Policy Characteristics'!$C:$C,0)))</f>
        <v>Industry</v>
      </c>
      <c r="B990" s="284" t="str">
        <f>IF(ISBLANK(INDEX('Policy Characteristics'!B:B,MATCH($C990,'Policy Characteristics'!$C:$C,0))),"",INDEX('Policy Characteristics'!B:B,MATCH($C990,'Policy Characteristics'!$C:$C,0)))</f>
        <v>Industry Energy Efficiency Standards</v>
      </c>
      <c r="C990" s="275" t="str">
        <f t="shared" si="41"/>
        <v>Percentage Improvement in Eqpt Efficiency Standards above BAU</v>
      </c>
      <c r="D990" s="6" t="s">
        <v>3071</v>
      </c>
      <c r="E990" s="47" t="s">
        <v>2710</v>
      </c>
      <c r="F990" t="s">
        <v>2763</v>
      </c>
      <c r="G990" s="47" t="s">
        <v>2714</v>
      </c>
      <c r="H990" s="44">
        <v>975</v>
      </c>
      <c r="I990" s="346" t="s">
        <v>43</v>
      </c>
      <c r="J990" s="276" t="str">
        <f>IF(ISBLANK(INDEX('Policy Characteristics'!D:D,MATCH($C990,'Policy Characteristics'!$C:$C,0))),"",INDEX('Policy Characteristics'!D:D,MATCH($C990,'Policy Characteristics'!$C:$C,0)))</f>
        <v>Industry Energy Efficiency Standards</v>
      </c>
      <c r="K990" s="275" t="str">
        <f>IF(ISBLANK(INDEX('Policy Characteristics'!E:E,MATCH($C990,'Policy Characteristics'!$C:$C,0))),"",INDEX('Policy Characteristics'!E:E,MATCH($C990,'Policy Characteristics'!$C:$C,0)))</f>
        <v>indst efficiency standards</v>
      </c>
      <c r="L990" s="283">
        <f>IF(ISBLANK(INDEX('Policy Characteristics'!F:F,MATCH($C990,'Policy Characteristics'!$C:$C,0))),"",INDEX('Policy Characteristics'!F:F,MATCH($C990,'Policy Characteristics'!$C:$C,0)))</f>
        <v>0</v>
      </c>
      <c r="M990" s="283">
        <f>IF(ISBLANK(INDEX('Policy Characteristics'!G:G,MATCH($C990,'Policy Characteristics'!$C:$C,0))),"",INDEX('Policy Characteristics'!G:G,MATCH($C990,'Policy Characteristics'!$C:$C,0)))</f>
        <v>0.25</v>
      </c>
      <c r="N990" s="283">
        <f>IF(ISBLANK(INDEX('Policy Characteristics'!H:H,MATCH($C990,'Policy Characteristics'!$C:$C,0))),"",INDEX('Policy Characteristics'!H:H,MATCH($C990,'Policy Characteristics'!$C:$C,0)))</f>
        <v>0.01</v>
      </c>
      <c r="O990" s="275" t="str">
        <f>IF(ISBLANK(INDEX('Policy Characteristics'!I:I,MATCH($C990,'Policy Characteristics'!$C:$C,0))),"",INDEX('Policy Characteristics'!I:I,MATCH($C990,'Policy Characteristics'!$C:$C,0)))</f>
        <v>% reduction in energy use</v>
      </c>
      <c r="P990" s="275" t="str">
        <f>IF(ISBLANK(INDEX('Policy Characteristics'!J:J,MATCH($C990,'Policy Characteristics'!$C:$C,0))),"",INDEX('Policy Characteristics'!J:J,MATCH($C990,'Policy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0" s="275" t="str">
        <f>IF(ISBLANK(INDEX('Policy Characteristics'!K:K,MATCH($C990,'Policy Characteristics'!$C:$C,0))),"",INDEX('Policy Characteristics'!K:K,MATCH($C990,'Policy Characteristics'!$C:$C,0)))</f>
        <v>industry-ag-main.html#eff-stds</v>
      </c>
      <c r="R990" s="275" t="str">
        <f>IF(ISBLANK(INDEX('Policy Characteristics'!L:L,MATCH($C990,'Policy Characteristics'!$C:$C,0))),"",INDEX('Policy Characteristics'!L:L,MATCH($C990,'Policy Characteristics'!$C:$C,0)))</f>
        <v>industry-energy-efficiency-standards.html</v>
      </c>
    </row>
    <row r="991" spans="1:18" s="4" customFormat="1" x14ac:dyDescent="0.25">
      <c r="A991" s="275" t="str">
        <f>IF(ISBLANK(INDEX('Policy Characteristics'!A:A,MATCH($C991,'Policy Characteristics'!$C:$C,0))),"",INDEX('Policy Characteristics'!A:A,MATCH($C991,'Policy Characteristics'!$C:$C,0)))</f>
        <v>Industry</v>
      </c>
      <c r="B991" s="284" t="str">
        <f>IF(ISBLANK(INDEX('Policy Characteristics'!B:B,MATCH($C991,'Policy Characteristics'!$C:$C,0))),"",INDEX('Policy Characteristics'!B:B,MATCH($C991,'Policy Characteristics'!$C:$C,0)))</f>
        <v>Industry Energy Efficiency Standards</v>
      </c>
      <c r="C991" s="275" t="str">
        <f t="shared" si="41"/>
        <v>Percentage Improvement in Eqpt Efficiency Standards above BAU</v>
      </c>
      <c r="D991" s="6" t="s">
        <v>3071</v>
      </c>
      <c r="E991" s="47" t="s">
        <v>2711</v>
      </c>
      <c r="F991" t="s">
        <v>2763</v>
      </c>
      <c r="G991" s="47" t="s">
        <v>2715</v>
      </c>
      <c r="H991" s="44">
        <v>976</v>
      </c>
      <c r="I991" s="346" t="s">
        <v>44</v>
      </c>
      <c r="J991" s="276" t="str">
        <f>IF(ISBLANK(INDEX('Policy Characteristics'!D:D,MATCH($C991,'Policy Characteristics'!$C:$C,0))),"",INDEX('Policy Characteristics'!D:D,MATCH($C991,'Policy Characteristics'!$C:$C,0)))</f>
        <v>Industry Energy Efficiency Standards</v>
      </c>
      <c r="K991" s="275" t="str">
        <f>IF(ISBLANK(INDEX('Policy Characteristics'!E:E,MATCH($C991,'Policy Characteristics'!$C:$C,0))),"",INDEX('Policy Characteristics'!E:E,MATCH($C991,'Policy Characteristics'!$C:$C,0)))</f>
        <v>indst efficiency standards</v>
      </c>
      <c r="L991" s="283">
        <f>IF(ISBLANK(INDEX('Policy Characteristics'!F:F,MATCH($C991,'Policy Characteristics'!$C:$C,0))),"",INDEX('Policy Characteristics'!F:F,MATCH($C991,'Policy Characteristics'!$C:$C,0)))</f>
        <v>0</v>
      </c>
      <c r="M991" s="283">
        <f>IF(ISBLANK(INDEX('Policy Characteristics'!G:G,MATCH($C991,'Policy Characteristics'!$C:$C,0))),"",INDEX('Policy Characteristics'!G:G,MATCH($C991,'Policy Characteristics'!$C:$C,0)))</f>
        <v>0.25</v>
      </c>
      <c r="N991" s="283">
        <f>IF(ISBLANK(INDEX('Policy Characteristics'!H:H,MATCH($C991,'Policy Characteristics'!$C:$C,0))),"",INDEX('Policy Characteristics'!H:H,MATCH($C991,'Policy Characteristics'!$C:$C,0)))</f>
        <v>0.01</v>
      </c>
      <c r="O991" s="275" t="str">
        <f>IF(ISBLANK(INDEX('Policy Characteristics'!I:I,MATCH($C991,'Policy Characteristics'!$C:$C,0))),"",INDEX('Policy Characteristics'!I:I,MATCH($C991,'Policy Characteristics'!$C:$C,0)))</f>
        <v>% reduction in energy use</v>
      </c>
      <c r="P991" s="275" t="str">
        <f>IF(ISBLANK(INDEX('Policy Characteristics'!J:J,MATCH($C991,'Policy Characteristics'!$C:$C,0))),"",INDEX('Policy Characteristics'!J:J,MATCH($C991,'Policy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1" s="275" t="str">
        <f>IF(ISBLANK(INDEX('Policy Characteristics'!K:K,MATCH($C991,'Policy Characteristics'!$C:$C,0))),"",INDEX('Policy Characteristics'!K:K,MATCH($C991,'Policy Characteristics'!$C:$C,0)))</f>
        <v>industry-ag-main.html#eff-stds</v>
      </c>
      <c r="R991" s="275" t="str">
        <f>IF(ISBLANK(INDEX('Policy Characteristics'!L:L,MATCH($C991,'Policy Characteristics'!$C:$C,0))),"",INDEX('Policy Characteristics'!L:L,MATCH($C991,'Policy Characteristics'!$C:$C,0)))</f>
        <v>industry-energy-efficiency-standards.html</v>
      </c>
    </row>
    <row r="992" spans="1:18" s="4" customFormat="1" x14ac:dyDescent="0.25">
      <c r="A992" s="275" t="str">
        <f>IF(ISBLANK(INDEX('Policy Characteristics'!A:A,MATCH($C992,'Policy Characteristics'!$C:$C,0))),"",INDEX('Policy Characteristics'!A:A,MATCH($C992,'Policy Characteristics'!$C:$C,0)))</f>
        <v>Industry</v>
      </c>
      <c r="B992" s="284" t="str">
        <f>IF(ISBLANK(INDEX('Policy Characteristics'!B:B,MATCH($C992,'Policy Characteristics'!$C:$C,0))),"",INDEX('Policy Characteristics'!B:B,MATCH($C992,'Policy Characteristics'!$C:$C,0)))</f>
        <v>Industry Energy Efficiency Standards</v>
      </c>
      <c r="C992" s="275" t="str">
        <f t="shared" si="41"/>
        <v>Percentage Improvement in Eqpt Efficiency Standards above BAU</v>
      </c>
      <c r="D992" s="6" t="s">
        <v>3071</v>
      </c>
      <c r="E992" s="47" t="s">
        <v>2708</v>
      </c>
      <c r="F992" t="s">
        <v>2763</v>
      </c>
      <c r="G992" s="47" t="s">
        <v>2713</v>
      </c>
      <c r="H992" s="44">
        <v>977</v>
      </c>
      <c r="I992" s="346" t="s">
        <v>44</v>
      </c>
      <c r="J992" s="276" t="str">
        <f>IF(ISBLANK(INDEX('Policy Characteristics'!D:D,MATCH($C992,'Policy Characteristics'!$C:$C,0))),"",INDEX('Policy Characteristics'!D:D,MATCH($C992,'Policy Characteristics'!$C:$C,0)))</f>
        <v>Industry Energy Efficiency Standards</v>
      </c>
      <c r="K992" s="275" t="str">
        <f>IF(ISBLANK(INDEX('Policy Characteristics'!E:E,MATCH($C992,'Policy Characteristics'!$C:$C,0))),"",INDEX('Policy Characteristics'!E:E,MATCH($C992,'Policy Characteristics'!$C:$C,0)))</f>
        <v>indst efficiency standards</v>
      </c>
      <c r="L992" s="283">
        <f>IF(ISBLANK(INDEX('Policy Characteristics'!F:F,MATCH($C992,'Policy Characteristics'!$C:$C,0))),"",INDEX('Policy Characteristics'!F:F,MATCH($C992,'Policy Characteristics'!$C:$C,0)))</f>
        <v>0</v>
      </c>
      <c r="M992" s="283">
        <f>IF(ISBLANK(INDEX('Policy Characteristics'!G:G,MATCH($C992,'Policy Characteristics'!$C:$C,0))),"",INDEX('Policy Characteristics'!G:G,MATCH($C992,'Policy Characteristics'!$C:$C,0)))</f>
        <v>0.25</v>
      </c>
      <c r="N992" s="283">
        <f>IF(ISBLANK(INDEX('Policy Characteristics'!H:H,MATCH($C992,'Policy Characteristics'!$C:$C,0))),"",INDEX('Policy Characteristics'!H:H,MATCH($C992,'Policy Characteristics'!$C:$C,0)))</f>
        <v>0.01</v>
      </c>
      <c r="O992" s="275" t="str">
        <f>IF(ISBLANK(INDEX('Policy Characteristics'!I:I,MATCH($C992,'Policy Characteristics'!$C:$C,0))),"",INDEX('Policy Characteristics'!I:I,MATCH($C992,'Policy Characteristics'!$C:$C,0)))</f>
        <v>% reduction in energy use</v>
      </c>
      <c r="P992" s="275" t="str">
        <f>IF(ISBLANK(INDEX('Policy Characteristics'!J:J,MATCH($C992,'Policy Characteristics'!$C:$C,0))),"",INDEX('Policy Characteristics'!J:J,MATCH($C992,'Policy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2" s="275" t="str">
        <f>IF(ISBLANK(INDEX('Policy Characteristics'!K:K,MATCH($C992,'Policy Characteristics'!$C:$C,0))),"",INDEX('Policy Characteristics'!K:K,MATCH($C992,'Policy Characteristics'!$C:$C,0)))</f>
        <v>industry-ag-main.html#eff-stds</v>
      </c>
      <c r="R992" s="275" t="str">
        <f>IF(ISBLANK(INDEX('Policy Characteristics'!L:L,MATCH($C992,'Policy Characteristics'!$C:$C,0))),"",INDEX('Policy Characteristics'!L:L,MATCH($C992,'Policy Characteristics'!$C:$C,0)))</f>
        <v>industry-energy-efficiency-standards.html</v>
      </c>
    </row>
    <row r="993" spans="1:18" s="4" customFormat="1" x14ac:dyDescent="0.25">
      <c r="A993" s="275" t="str">
        <f>IF(ISBLANK(INDEX('Policy Characteristics'!A:A,MATCH($C993,'Policy Characteristics'!$C:$C,0))),"",INDEX('Policy Characteristics'!A:A,MATCH($C993,'Policy Characteristics'!$C:$C,0)))</f>
        <v>Industry</v>
      </c>
      <c r="B993" s="284" t="str">
        <f>IF(ISBLANK(INDEX('Policy Characteristics'!B:B,MATCH($C993,'Policy Characteristics'!$C:$C,0))),"",INDEX('Policy Characteristics'!B:B,MATCH($C993,'Policy Characteristics'!$C:$C,0)))</f>
        <v>Industry Energy Efficiency Standards</v>
      </c>
      <c r="C993" s="275" t="str">
        <f t="shared" si="41"/>
        <v>Percentage Improvement in Eqpt Efficiency Standards above BAU</v>
      </c>
      <c r="D993" s="6" t="s">
        <v>3072</v>
      </c>
      <c r="E993" s="47" t="s">
        <v>2401</v>
      </c>
      <c r="F993" t="s">
        <v>3036</v>
      </c>
      <c r="G993" s="47" t="s">
        <v>2407</v>
      </c>
      <c r="H993" s="44">
        <v>978</v>
      </c>
      <c r="I993" s="346" t="s">
        <v>43</v>
      </c>
      <c r="J993" s="276" t="str">
        <f>IF(ISBLANK(INDEX('Policy Characteristics'!D:D,MATCH($C993,'Policy Characteristics'!$C:$C,0))),"",INDEX('Policy Characteristics'!D:D,MATCH($C993,'Policy Characteristics'!$C:$C,0)))</f>
        <v>Industry Energy Efficiency Standards</v>
      </c>
      <c r="K993" s="275" t="str">
        <f>IF(ISBLANK(INDEX('Policy Characteristics'!E:E,MATCH($C993,'Policy Characteristics'!$C:$C,0))),"",INDEX('Policy Characteristics'!E:E,MATCH($C993,'Policy Characteristics'!$C:$C,0)))</f>
        <v>indst efficiency standards</v>
      </c>
      <c r="L993" s="283">
        <f>IF(ISBLANK(INDEX('Policy Characteristics'!F:F,MATCH($C993,'Policy Characteristics'!$C:$C,0))),"",INDEX('Policy Characteristics'!F:F,MATCH($C993,'Policy Characteristics'!$C:$C,0)))</f>
        <v>0</v>
      </c>
      <c r="M993" s="283">
        <f>IF(ISBLANK(INDEX('Policy Characteristics'!G:G,MATCH($C993,'Policy Characteristics'!$C:$C,0))),"",INDEX('Policy Characteristics'!G:G,MATCH($C993,'Policy Characteristics'!$C:$C,0)))</f>
        <v>0.25</v>
      </c>
      <c r="N993" s="283">
        <f>IF(ISBLANK(INDEX('Policy Characteristics'!H:H,MATCH($C993,'Policy Characteristics'!$C:$C,0))),"",INDEX('Policy Characteristics'!H:H,MATCH($C993,'Policy Characteristics'!$C:$C,0)))</f>
        <v>0.01</v>
      </c>
      <c r="O993" s="275" t="str">
        <f>IF(ISBLANK(INDEX('Policy Characteristics'!I:I,MATCH($C993,'Policy Characteristics'!$C:$C,0))),"",INDEX('Policy Characteristics'!I:I,MATCH($C993,'Policy Characteristics'!$C:$C,0)))</f>
        <v>% reduction in energy use</v>
      </c>
      <c r="P993" s="275" t="str">
        <f>IF(ISBLANK(INDEX('Policy Characteristics'!J:J,MATCH($C993,'Policy Characteristics'!$C:$C,0))),"",INDEX('Policy Characteristics'!J:J,MATCH($C993,'Policy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3" s="275" t="str">
        <f>IF(ISBLANK(INDEX('Policy Characteristics'!K:K,MATCH($C993,'Policy Characteristics'!$C:$C,0))),"",INDEX('Policy Characteristics'!K:K,MATCH($C993,'Policy Characteristics'!$C:$C,0)))</f>
        <v>industry-ag-main.html#eff-stds</v>
      </c>
      <c r="R993" s="275" t="str">
        <f>IF(ISBLANK(INDEX('Policy Characteristics'!L:L,MATCH($C993,'Policy Characteristics'!$C:$C,0))),"",INDEX('Policy Characteristics'!L:L,MATCH($C993,'Policy Characteristics'!$C:$C,0)))</f>
        <v>industry-energy-efficiency-standards.html</v>
      </c>
    </row>
    <row r="994" spans="1:18" s="4" customFormat="1" x14ac:dyDescent="0.25">
      <c r="A994" s="275" t="str">
        <f>IF(ISBLANK(INDEX('Policy Characteristics'!A:A,MATCH($C994,'Policy Characteristics'!$C:$C,0))),"",INDEX('Policy Characteristics'!A:A,MATCH($C994,'Policy Characteristics'!$C:$C,0)))</f>
        <v>Industry</v>
      </c>
      <c r="B994" s="284" t="str">
        <f>IF(ISBLANK(INDEX('Policy Characteristics'!B:B,MATCH($C994,'Policy Characteristics'!$C:$C,0))),"",INDEX('Policy Characteristics'!B:B,MATCH($C994,'Policy Characteristics'!$C:$C,0)))</f>
        <v>Industry Energy Efficiency Standards</v>
      </c>
      <c r="C994" s="275" t="str">
        <f t="shared" si="41"/>
        <v>Percentage Improvement in Eqpt Efficiency Standards above BAU</v>
      </c>
      <c r="D994" s="6" t="s">
        <v>3072</v>
      </c>
      <c r="E994" s="47" t="s">
        <v>2402</v>
      </c>
      <c r="F994" t="s">
        <v>3036</v>
      </c>
      <c r="G994" s="47" t="s">
        <v>2410</v>
      </c>
      <c r="H994" s="44">
        <v>979</v>
      </c>
      <c r="I994" s="346" t="s">
        <v>44</v>
      </c>
      <c r="J994" s="276" t="str">
        <f>IF(ISBLANK(INDEX('Policy Characteristics'!D:D,MATCH($C994,'Policy Characteristics'!$C:$C,0))),"",INDEX('Policy Characteristics'!D:D,MATCH($C994,'Policy Characteristics'!$C:$C,0)))</f>
        <v>Industry Energy Efficiency Standards</v>
      </c>
      <c r="K994" s="275" t="str">
        <f>IF(ISBLANK(INDEX('Policy Characteristics'!E:E,MATCH($C994,'Policy Characteristics'!$C:$C,0))),"",INDEX('Policy Characteristics'!E:E,MATCH($C994,'Policy Characteristics'!$C:$C,0)))</f>
        <v>indst efficiency standards</v>
      </c>
      <c r="L994" s="283">
        <f>IF(ISBLANK(INDEX('Policy Characteristics'!F:F,MATCH($C994,'Policy Characteristics'!$C:$C,0))),"",INDEX('Policy Characteristics'!F:F,MATCH($C994,'Policy Characteristics'!$C:$C,0)))</f>
        <v>0</v>
      </c>
      <c r="M994" s="283">
        <f>IF(ISBLANK(INDEX('Policy Characteristics'!G:G,MATCH($C994,'Policy Characteristics'!$C:$C,0))),"",INDEX('Policy Characteristics'!G:G,MATCH($C994,'Policy Characteristics'!$C:$C,0)))</f>
        <v>0.25</v>
      </c>
      <c r="N994" s="283">
        <f>IF(ISBLANK(INDEX('Policy Characteristics'!H:H,MATCH($C994,'Policy Characteristics'!$C:$C,0))),"",INDEX('Policy Characteristics'!H:H,MATCH($C994,'Policy Characteristics'!$C:$C,0)))</f>
        <v>0.01</v>
      </c>
      <c r="O994" s="275" t="str">
        <f>IF(ISBLANK(INDEX('Policy Characteristics'!I:I,MATCH($C994,'Policy Characteristics'!$C:$C,0))),"",INDEX('Policy Characteristics'!I:I,MATCH($C994,'Policy Characteristics'!$C:$C,0)))</f>
        <v>% reduction in energy use</v>
      </c>
      <c r="P994" s="275" t="str">
        <f>IF(ISBLANK(INDEX('Policy Characteristics'!J:J,MATCH($C994,'Policy Characteristics'!$C:$C,0))),"",INDEX('Policy Characteristics'!J:J,MATCH($C994,'Policy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4" s="275" t="str">
        <f>IF(ISBLANK(INDEX('Policy Characteristics'!K:K,MATCH($C994,'Policy Characteristics'!$C:$C,0))),"",INDEX('Policy Characteristics'!K:K,MATCH($C994,'Policy Characteristics'!$C:$C,0)))</f>
        <v>industry-ag-main.html#eff-stds</v>
      </c>
      <c r="R994" s="275" t="str">
        <f>IF(ISBLANK(INDEX('Policy Characteristics'!L:L,MATCH($C994,'Policy Characteristics'!$C:$C,0))),"",INDEX('Policy Characteristics'!L:L,MATCH($C994,'Policy Characteristics'!$C:$C,0)))</f>
        <v>industry-energy-efficiency-standards.html</v>
      </c>
    </row>
    <row r="995" spans="1:18" s="4" customFormat="1" x14ac:dyDescent="0.25">
      <c r="A995" s="275" t="str">
        <f>IF(ISBLANK(INDEX('Policy Characteristics'!A:A,MATCH($C995,'Policy Characteristics'!$C:$C,0))),"",INDEX('Policy Characteristics'!A:A,MATCH($C995,'Policy Characteristics'!$C:$C,0)))</f>
        <v>Industry</v>
      </c>
      <c r="B995" s="284" t="str">
        <f>IF(ISBLANK(INDEX('Policy Characteristics'!B:B,MATCH($C995,'Policy Characteristics'!$C:$C,0))),"",INDEX('Policy Characteristics'!B:B,MATCH($C995,'Policy Characteristics'!$C:$C,0)))</f>
        <v>Industry Energy Efficiency Standards</v>
      </c>
      <c r="C995" s="275" t="str">
        <f t="shared" si="41"/>
        <v>Percentage Improvement in Eqpt Efficiency Standards above BAU</v>
      </c>
      <c r="D995" s="6" t="s">
        <v>3072</v>
      </c>
      <c r="E995" s="47" t="s">
        <v>2403</v>
      </c>
      <c r="F995" t="s">
        <v>3036</v>
      </c>
      <c r="G995" s="47" t="s">
        <v>2411</v>
      </c>
      <c r="H995" s="44">
        <v>980</v>
      </c>
      <c r="I995" s="346" t="s">
        <v>43</v>
      </c>
      <c r="J995" s="276" t="str">
        <f>IF(ISBLANK(INDEX('Policy Characteristics'!D:D,MATCH($C995,'Policy Characteristics'!$C:$C,0))),"",INDEX('Policy Characteristics'!D:D,MATCH($C995,'Policy Characteristics'!$C:$C,0)))</f>
        <v>Industry Energy Efficiency Standards</v>
      </c>
      <c r="K995" s="275" t="str">
        <f>IF(ISBLANK(INDEX('Policy Characteristics'!E:E,MATCH($C995,'Policy Characteristics'!$C:$C,0))),"",INDEX('Policy Characteristics'!E:E,MATCH($C995,'Policy Characteristics'!$C:$C,0)))</f>
        <v>indst efficiency standards</v>
      </c>
      <c r="L995" s="283">
        <f>IF(ISBLANK(INDEX('Policy Characteristics'!F:F,MATCH($C995,'Policy Characteristics'!$C:$C,0))),"",INDEX('Policy Characteristics'!F:F,MATCH($C995,'Policy Characteristics'!$C:$C,0)))</f>
        <v>0</v>
      </c>
      <c r="M995" s="283">
        <f>IF(ISBLANK(INDEX('Policy Characteristics'!G:G,MATCH($C995,'Policy Characteristics'!$C:$C,0))),"",INDEX('Policy Characteristics'!G:G,MATCH($C995,'Policy Characteristics'!$C:$C,0)))</f>
        <v>0.25</v>
      </c>
      <c r="N995" s="283">
        <f>IF(ISBLANK(INDEX('Policy Characteristics'!H:H,MATCH($C995,'Policy Characteristics'!$C:$C,0))),"",INDEX('Policy Characteristics'!H:H,MATCH($C995,'Policy Characteristics'!$C:$C,0)))</f>
        <v>0.01</v>
      </c>
      <c r="O995" s="275" t="str">
        <f>IF(ISBLANK(INDEX('Policy Characteristics'!I:I,MATCH($C995,'Policy Characteristics'!$C:$C,0))),"",INDEX('Policy Characteristics'!I:I,MATCH($C995,'Policy Characteristics'!$C:$C,0)))</f>
        <v>% reduction in energy use</v>
      </c>
      <c r="P995" s="275" t="str">
        <f>IF(ISBLANK(INDEX('Policy Characteristics'!J:J,MATCH($C995,'Policy Characteristics'!$C:$C,0))),"",INDEX('Policy Characteristics'!J:J,MATCH($C995,'Policy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5" s="275" t="str">
        <f>IF(ISBLANK(INDEX('Policy Characteristics'!K:K,MATCH($C995,'Policy Characteristics'!$C:$C,0))),"",INDEX('Policy Characteristics'!K:K,MATCH($C995,'Policy Characteristics'!$C:$C,0)))</f>
        <v>industry-ag-main.html#eff-stds</v>
      </c>
      <c r="R995" s="275" t="str">
        <f>IF(ISBLANK(INDEX('Policy Characteristics'!L:L,MATCH($C995,'Policy Characteristics'!$C:$C,0))),"",INDEX('Policy Characteristics'!L:L,MATCH($C995,'Policy Characteristics'!$C:$C,0)))</f>
        <v>industry-energy-efficiency-standards.html</v>
      </c>
    </row>
    <row r="996" spans="1:18" s="4" customFormat="1" x14ac:dyDescent="0.25">
      <c r="A996" s="275" t="str">
        <f>IF(ISBLANK(INDEX('Policy Characteristics'!A:A,MATCH($C996,'Policy Characteristics'!$C:$C,0))),"",INDEX('Policy Characteristics'!A:A,MATCH($C996,'Policy Characteristics'!$C:$C,0)))</f>
        <v>Industry</v>
      </c>
      <c r="B996" s="284" t="str">
        <f>IF(ISBLANK(INDEX('Policy Characteristics'!B:B,MATCH($C996,'Policy Characteristics'!$C:$C,0))),"",INDEX('Policy Characteristics'!B:B,MATCH($C996,'Policy Characteristics'!$C:$C,0)))</f>
        <v>Industry Energy Efficiency Standards</v>
      </c>
      <c r="C996" s="275" t="str">
        <f t="shared" si="41"/>
        <v>Percentage Improvement in Eqpt Efficiency Standards above BAU</v>
      </c>
      <c r="D996" s="6" t="s">
        <v>3072</v>
      </c>
      <c r="E996" s="47" t="s">
        <v>2404</v>
      </c>
      <c r="F996" t="s">
        <v>3036</v>
      </c>
      <c r="G996" s="47" t="s">
        <v>2408</v>
      </c>
      <c r="H996" s="44">
        <v>981</v>
      </c>
      <c r="I996" s="346" t="s">
        <v>44</v>
      </c>
      <c r="J996" s="276" t="str">
        <f>IF(ISBLANK(INDEX('Policy Characteristics'!D:D,MATCH($C996,'Policy Characteristics'!$C:$C,0))),"",INDEX('Policy Characteristics'!D:D,MATCH($C996,'Policy Characteristics'!$C:$C,0)))</f>
        <v>Industry Energy Efficiency Standards</v>
      </c>
      <c r="K996" s="275" t="str">
        <f>IF(ISBLANK(INDEX('Policy Characteristics'!E:E,MATCH($C996,'Policy Characteristics'!$C:$C,0))),"",INDEX('Policy Characteristics'!E:E,MATCH($C996,'Policy Characteristics'!$C:$C,0)))</f>
        <v>indst efficiency standards</v>
      </c>
      <c r="L996" s="283">
        <f>IF(ISBLANK(INDEX('Policy Characteristics'!F:F,MATCH($C996,'Policy Characteristics'!$C:$C,0))),"",INDEX('Policy Characteristics'!F:F,MATCH($C996,'Policy Characteristics'!$C:$C,0)))</f>
        <v>0</v>
      </c>
      <c r="M996" s="283">
        <f>IF(ISBLANK(INDEX('Policy Characteristics'!G:G,MATCH($C996,'Policy Characteristics'!$C:$C,0))),"",INDEX('Policy Characteristics'!G:G,MATCH($C996,'Policy Characteristics'!$C:$C,0)))</f>
        <v>0.25</v>
      </c>
      <c r="N996" s="283">
        <f>IF(ISBLANK(INDEX('Policy Characteristics'!H:H,MATCH($C996,'Policy Characteristics'!$C:$C,0))),"",INDEX('Policy Characteristics'!H:H,MATCH($C996,'Policy Characteristics'!$C:$C,0)))</f>
        <v>0.01</v>
      </c>
      <c r="O996" s="275" t="str">
        <f>IF(ISBLANK(INDEX('Policy Characteristics'!I:I,MATCH($C996,'Policy Characteristics'!$C:$C,0))),"",INDEX('Policy Characteristics'!I:I,MATCH($C996,'Policy Characteristics'!$C:$C,0)))</f>
        <v>% reduction in energy use</v>
      </c>
      <c r="P996" s="275" t="str">
        <f>IF(ISBLANK(INDEX('Policy Characteristics'!J:J,MATCH($C996,'Policy Characteristics'!$C:$C,0))),"",INDEX('Policy Characteristics'!J:J,MATCH($C996,'Policy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6" s="275" t="str">
        <f>IF(ISBLANK(INDEX('Policy Characteristics'!K:K,MATCH($C996,'Policy Characteristics'!$C:$C,0))),"",INDEX('Policy Characteristics'!K:K,MATCH($C996,'Policy Characteristics'!$C:$C,0)))</f>
        <v>industry-ag-main.html#eff-stds</v>
      </c>
      <c r="R996" s="275" t="str">
        <f>IF(ISBLANK(INDEX('Policy Characteristics'!L:L,MATCH($C996,'Policy Characteristics'!$C:$C,0))),"",INDEX('Policy Characteristics'!L:L,MATCH($C996,'Policy Characteristics'!$C:$C,0)))</f>
        <v>industry-energy-efficiency-standards.html</v>
      </c>
    </row>
    <row r="997" spans="1:18" s="4" customFormat="1" x14ac:dyDescent="0.25">
      <c r="A997" s="275" t="str">
        <f>IF(ISBLANK(INDEX('Policy Characteristics'!A:A,MATCH($C997,'Policy Characteristics'!$C:$C,0))),"",INDEX('Policy Characteristics'!A:A,MATCH($C997,'Policy Characteristics'!$C:$C,0)))</f>
        <v>Industry</v>
      </c>
      <c r="B997" s="284" t="str">
        <f>IF(ISBLANK(INDEX('Policy Characteristics'!B:B,MATCH($C997,'Policy Characteristics'!$C:$C,0))),"",INDEX('Policy Characteristics'!B:B,MATCH($C997,'Policy Characteristics'!$C:$C,0)))</f>
        <v>Industry Energy Efficiency Standards</v>
      </c>
      <c r="C997" s="275" t="str">
        <f t="shared" si="41"/>
        <v>Percentage Improvement in Eqpt Efficiency Standards above BAU</v>
      </c>
      <c r="D997" s="6" t="s">
        <v>3072</v>
      </c>
      <c r="E997" s="47" t="s">
        <v>2405</v>
      </c>
      <c r="F997" t="s">
        <v>3036</v>
      </c>
      <c r="G997" s="47" t="s">
        <v>2409</v>
      </c>
      <c r="H997" s="44">
        <v>982</v>
      </c>
      <c r="I997" s="346" t="s">
        <v>43</v>
      </c>
      <c r="J997" s="276" t="str">
        <f>IF(ISBLANK(INDEX('Policy Characteristics'!D:D,MATCH($C997,'Policy Characteristics'!$C:$C,0))),"",INDEX('Policy Characteristics'!D:D,MATCH($C997,'Policy Characteristics'!$C:$C,0)))</f>
        <v>Industry Energy Efficiency Standards</v>
      </c>
      <c r="K997" s="275" t="str">
        <f>IF(ISBLANK(INDEX('Policy Characteristics'!E:E,MATCH($C997,'Policy Characteristics'!$C:$C,0))),"",INDEX('Policy Characteristics'!E:E,MATCH($C997,'Policy Characteristics'!$C:$C,0)))</f>
        <v>indst efficiency standards</v>
      </c>
      <c r="L997" s="283">
        <f>IF(ISBLANK(INDEX('Policy Characteristics'!F:F,MATCH($C997,'Policy Characteristics'!$C:$C,0))),"",INDEX('Policy Characteristics'!F:F,MATCH($C997,'Policy Characteristics'!$C:$C,0)))</f>
        <v>0</v>
      </c>
      <c r="M997" s="283">
        <f>IF(ISBLANK(INDEX('Policy Characteristics'!G:G,MATCH($C997,'Policy Characteristics'!$C:$C,0))),"",INDEX('Policy Characteristics'!G:G,MATCH($C997,'Policy Characteristics'!$C:$C,0)))</f>
        <v>0.25</v>
      </c>
      <c r="N997" s="283">
        <f>IF(ISBLANK(INDEX('Policy Characteristics'!H:H,MATCH($C997,'Policy Characteristics'!$C:$C,0))),"",INDEX('Policy Characteristics'!H:H,MATCH($C997,'Policy Characteristics'!$C:$C,0)))</f>
        <v>0.01</v>
      </c>
      <c r="O997" s="275" t="str">
        <f>IF(ISBLANK(INDEX('Policy Characteristics'!I:I,MATCH($C997,'Policy Characteristics'!$C:$C,0))),"",INDEX('Policy Characteristics'!I:I,MATCH($C997,'Policy Characteristics'!$C:$C,0)))</f>
        <v>% reduction in energy use</v>
      </c>
      <c r="P997" s="275" t="str">
        <f>IF(ISBLANK(INDEX('Policy Characteristics'!J:J,MATCH($C997,'Policy Characteristics'!$C:$C,0))),"",INDEX('Policy Characteristics'!J:J,MATCH($C997,'Policy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7" s="275" t="str">
        <f>IF(ISBLANK(INDEX('Policy Characteristics'!K:K,MATCH($C997,'Policy Characteristics'!$C:$C,0))),"",INDEX('Policy Characteristics'!K:K,MATCH($C997,'Policy Characteristics'!$C:$C,0)))</f>
        <v>industry-ag-main.html#eff-stds</v>
      </c>
      <c r="R997" s="275" t="str">
        <f>IF(ISBLANK(INDEX('Policy Characteristics'!L:L,MATCH($C997,'Policy Characteristics'!$C:$C,0))),"",INDEX('Policy Characteristics'!L:L,MATCH($C997,'Policy Characteristics'!$C:$C,0)))</f>
        <v>industry-energy-efficiency-standards.html</v>
      </c>
    </row>
    <row r="998" spans="1:18" s="4" customFormat="1" x14ac:dyDescent="0.25">
      <c r="A998" s="275" t="str">
        <f>IF(ISBLANK(INDEX('Policy Characteristics'!A:A,MATCH($C998,'Policy Characteristics'!$C:$C,0))),"",INDEX('Policy Characteristics'!A:A,MATCH($C998,'Policy Characteristics'!$C:$C,0)))</f>
        <v>Industry</v>
      </c>
      <c r="B998" s="284" t="str">
        <f>IF(ISBLANK(INDEX('Policy Characteristics'!B:B,MATCH($C998,'Policy Characteristics'!$C:$C,0))),"",INDEX('Policy Characteristics'!B:B,MATCH($C998,'Policy Characteristics'!$C:$C,0)))</f>
        <v>Industry Energy Efficiency Standards</v>
      </c>
      <c r="C998" s="275" t="str">
        <f t="shared" si="41"/>
        <v>Percentage Improvement in Eqpt Efficiency Standards above BAU</v>
      </c>
      <c r="D998" s="6" t="s">
        <v>3072</v>
      </c>
      <c r="E998" s="47" t="s">
        <v>2406</v>
      </c>
      <c r="F998" t="s">
        <v>3036</v>
      </c>
      <c r="G998" s="47" t="s">
        <v>2412</v>
      </c>
      <c r="H998" s="44">
        <v>983</v>
      </c>
      <c r="I998" s="346" t="s">
        <v>44</v>
      </c>
      <c r="J998" s="276" t="str">
        <f>IF(ISBLANK(INDEX('Policy Characteristics'!D:D,MATCH($C998,'Policy Characteristics'!$C:$C,0))),"",INDEX('Policy Characteristics'!D:D,MATCH($C998,'Policy Characteristics'!$C:$C,0)))</f>
        <v>Industry Energy Efficiency Standards</v>
      </c>
      <c r="K998" s="275" t="str">
        <f>IF(ISBLANK(INDEX('Policy Characteristics'!E:E,MATCH($C998,'Policy Characteristics'!$C:$C,0))),"",INDEX('Policy Characteristics'!E:E,MATCH($C998,'Policy Characteristics'!$C:$C,0)))</f>
        <v>indst efficiency standards</v>
      </c>
      <c r="L998" s="283">
        <f>IF(ISBLANK(INDEX('Policy Characteristics'!F:F,MATCH($C998,'Policy Characteristics'!$C:$C,0))),"",INDEX('Policy Characteristics'!F:F,MATCH($C998,'Policy Characteristics'!$C:$C,0)))</f>
        <v>0</v>
      </c>
      <c r="M998" s="283">
        <f>IF(ISBLANK(INDEX('Policy Characteristics'!G:G,MATCH($C998,'Policy Characteristics'!$C:$C,0))),"",INDEX('Policy Characteristics'!G:G,MATCH($C998,'Policy Characteristics'!$C:$C,0)))</f>
        <v>0.25</v>
      </c>
      <c r="N998" s="283">
        <f>IF(ISBLANK(INDEX('Policy Characteristics'!H:H,MATCH($C998,'Policy Characteristics'!$C:$C,0))),"",INDEX('Policy Characteristics'!H:H,MATCH($C998,'Policy Characteristics'!$C:$C,0)))</f>
        <v>0.01</v>
      </c>
      <c r="O998" s="275" t="str">
        <f>IF(ISBLANK(INDEX('Policy Characteristics'!I:I,MATCH($C998,'Policy Characteristics'!$C:$C,0))),"",INDEX('Policy Characteristics'!I:I,MATCH($C998,'Policy Characteristics'!$C:$C,0)))</f>
        <v>% reduction in energy use</v>
      </c>
      <c r="P998" s="275" t="str">
        <f>IF(ISBLANK(INDEX('Policy Characteristics'!J:J,MATCH($C998,'Policy Characteristics'!$C:$C,0))),"",INDEX('Policy Characteristics'!J:J,MATCH($C998,'Policy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8" s="275" t="str">
        <f>IF(ISBLANK(INDEX('Policy Characteristics'!K:K,MATCH($C998,'Policy Characteristics'!$C:$C,0))),"",INDEX('Policy Characteristics'!K:K,MATCH($C998,'Policy Characteristics'!$C:$C,0)))</f>
        <v>industry-ag-main.html#eff-stds</v>
      </c>
      <c r="R998" s="275" t="str">
        <f>IF(ISBLANK(INDEX('Policy Characteristics'!L:L,MATCH($C998,'Policy Characteristics'!$C:$C,0))),"",INDEX('Policy Characteristics'!L:L,MATCH($C998,'Policy Characteristics'!$C:$C,0)))</f>
        <v>industry-energy-efficiency-standards.html</v>
      </c>
    </row>
    <row r="999" spans="1:18" s="4" customFormat="1" x14ac:dyDescent="0.25">
      <c r="A999" s="275" t="str">
        <f>IF(ISBLANK(INDEX('Policy Characteristics'!A:A,MATCH($C999,'Policy Characteristics'!$C:$C,0))),"",INDEX('Policy Characteristics'!A:A,MATCH($C999,'Policy Characteristics'!$C:$C,0)))</f>
        <v>Industry</v>
      </c>
      <c r="B999" s="284" t="str">
        <f>IF(ISBLANK(INDEX('Policy Characteristics'!B:B,MATCH($C999,'Policy Characteristics'!$C:$C,0))),"",INDEX('Policy Characteristics'!B:B,MATCH($C999,'Policy Characteristics'!$C:$C,0)))</f>
        <v>Industry Energy Efficiency Standards</v>
      </c>
      <c r="C999" s="275" t="str">
        <f t="shared" si="41"/>
        <v>Percentage Improvement in Eqpt Efficiency Standards above BAU</v>
      </c>
      <c r="D999" s="6" t="s">
        <v>3072</v>
      </c>
      <c r="E999" s="47" t="s">
        <v>2709</v>
      </c>
      <c r="F999" t="s">
        <v>3036</v>
      </c>
      <c r="G999" s="47" t="s">
        <v>2712</v>
      </c>
      <c r="H999" s="44">
        <v>984</v>
      </c>
      <c r="I999" s="346" t="s">
        <v>44</v>
      </c>
      <c r="J999" s="276" t="str">
        <f>IF(ISBLANK(INDEX('Policy Characteristics'!D:D,MATCH($C999,'Policy Characteristics'!$C:$C,0))),"",INDEX('Policy Characteristics'!D:D,MATCH($C999,'Policy Characteristics'!$C:$C,0)))</f>
        <v>Industry Energy Efficiency Standards</v>
      </c>
      <c r="K999" s="275" t="str">
        <f>IF(ISBLANK(INDEX('Policy Characteristics'!E:E,MATCH($C999,'Policy Characteristics'!$C:$C,0))),"",INDEX('Policy Characteristics'!E:E,MATCH($C999,'Policy Characteristics'!$C:$C,0)))</f>
        <v>indst efficiency standards</v>
      </c>
      <c r="L999" s="283">
        <f>IF(ISBLANK(INDEX('Policy Characteristics'!F:F,MATCH($C999,'Policy Characteristics'!$C:$C,0))),"",INDEX('Policy Characteristics'!F:F,MATCH($C999,'Policy Characteristics'!$C:$C,0)))</f>
        <v>0</v>
      </c>
      <c r="M999" s="283">
        <f>IF(ISBLANK(INDEX('Policy Characteristics'!G:G,MATCH($C999,'Policy Characteristics'!$C:$C,0))),"",INDEX('Policy Characteristics'!G:G,MATCH($C999,'Policy Characteristics'!$C:$C,0)))</f>
        <v>0.25</v>
      </c>
      <c r="N999" s="283">
        <f>IF(ISBLANK(INDEX('Policy Characteristics'!H:H,MATCH($C999,'Policy Characteristics'!$C:$C,0))),"",INDEX('Policy Characteristics'!H:H,MATCH($C999,'Policy Characteristics'!$C:$C,0)))</f>
        <v>0.01</v>
      </c>
      <c r="O999" s="275" t="str">
        <f>IF(ISBLANK(INDEX('Policy Characteristics'!I:I,MATCH($C999,'Policy Characteristics'!$C:$C,0))),"",INDEX('Policy Characteristics'!I:I,MATCH($C999,'Policy Characteristics'!$C:$C,0)))</f>
        <v>% reduction in energy use</v>
      </c>
      <c r="P999" s="275" t="str">
        <f>IF(ISBLANK(INDEX('Policy Characteristics'!J:J,MATCH($C999,'Policy Characteristics'!$C:$C,0))),"",INDEX('Policy Characteristics'!J:J,MATCH($C999,'Policy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9" s="275" t="str">
        <f>IF(ISBLANK(INDEX('Policy Characteristics'!K:K,MATCH($C999,'Policy Characteristics'!$C:$C,0))),"",INDEX('Policy Characteristics'!K:K,MATCH($C999,'Policy Characteristics'!$C:$C,0)))</f>
        <v>industry-ag-main.html#eff-stds</v>
      </c>
      <c r="R999" s="275" t="str">
        <f>IF(ISBLANK(INDEX('Policy Characteristics'!L:L,MATCH($C999,'Policy Characteristics'!$C:$C,0))),"",INDEX('Policy Characteristics'!L:L,MATCH($C999,'Policy Characteristics'!$C:$C,0)))</f>
        <v>industry-energy-efficiency-standards.html</v>
      </c>
    </row>
    <row r="1000" spans="1:18" s="4" customFormat="1" x14ac:dyDescent="0.25">
      <c r="A1000" s="275" t="str">
        <f>IF(ISBLANK(INDEX('Policy Characteristics'!A:A,MATCH($C1000,'Policy Characteristics'!$C:$C,0))),"",INDEX('Policy Characteristics'!A:A,MATCH($C1000,'Policy Characteristics'!$C:$C,0)))</f>
        <v>Industry</v>
      </c>
      <c r="B1000" s="284" t="str">
        <f>IF(ISBLANK(INDEX('Policy Characteristics'!B:B,MATCH($C1000,'Policy Characteristics'!$C:$C,0))),"",INDEX('Policy Characteristics'!B:B,MATCH($C1000,'Policy Characteristics'!$C:$C,0)))</f>
        <v>Industry Energy Efficiency Standards</v>
      </c>
      <c r="C1000" s="275" t="str">
        <f t="shared" si="41"/>
        <v>Percentage Improvement in Eqpt Efficiency Standards above BAU</v>
      </c>
      <c r="D1000" s="6" t="s">
        <v>3072</v>
      </c>
      <c r="E1000" s="47" t="s">
        <v>2710</v>
      </c>
      <c r="F1000" t="s">
        <v>3036</v>
      </c>
      <c r="G1000" s="47" t="s">
        <v>2714</v>
      </c>
      <c r="H1000" s="44">
        <v>985</v>
      </c>
      <c r="I1000" s="346" t="s">
        <v>43</v>
      </c>
      <c r="J1000" s="276" t="str">
        <f>IF(ISBLANK(INDEX('Policy Characteristics'!D:D,MATCH($C1000,'Policy Characteristics'!$C:$C,0))),"",INDEX('Policy Characteristics'!D:D,MATCH($C1000,'Policy Characteristics'!$C:$C,0)))</f>
        <v>Industry Energy Efficiency Standards</v>
      </c>
      <c r="K1000" s="275" t="str">
        <f>IF(ISBLANK(INDEX('Policy Characteristics'!E:E,MATCH($C1000,'Policy Characteristics'!$C:$C,0))),"",INDEX('Policy Characteristics'!E:E,MATCH($C1000,'Policy Characteristics'!$C:$C,0)))</f>
        <v>indst efficiency standards</v>
      </c>
      <c r="L1000" s="283">
        <f>IF(ISBLANK(INDEX('Policy Characteristics'!F:F,MATCH($C1000,'Policy Characteristics'!$C:$C,0))),"",INDEX('Policy Characteristics'!F:F,MATCH($C1000,'Policy Characteristics'!$C:$C,0)))</f>
        <v>0</v>
      </c>
      <c r="M1000" s="283">
        <f>IF(ISBLANK(INDEX('Policy Characteristics'!G:G,MATCH($C1000,'Policy Characteristics'!$C:$C,0))),"",INDEX('Policy Characteristics'!G:G,MATCH($C1000,'Policy Characteristics'!$C:$C,0)))</f>
        <v>0.25</v>
      </c>
      <c r="N1000" s="283">
        <f>IF(ISBLANK(INDEX('Policy Characteristics'!H:H,MATCH($C1000,'Policy Characteristics'!$C:$C,0))),"",INDEX('Policy Characteristics'!H:H,MATCH($C1000,'Policy Characteristics'!$C:$C,0)))</f>
        <v>0.01</v>
      </c>
      <c r="O1000" s="275" t="str">
        <f>IF(ISBLANK(INDEX('Policy Characteristics'!I:I,MATCH($C1000,'Policy Characteristics'!$C:$C,0))),"",INDEX('Policy Characteristics'!I:I,MATCH($C1000,'Policy Characteristics'!$C:$C,0)))</f>
        <v>% reduction in energy use</v>
      </c>
      <c r="P1000" s="275" t="str">
        <f>IF(ISBLANK(INDEX('Policy Characteristics'!J:J,MATCH($C1000,'Policy Characteristics'!$C:$C,0))),"",INDEX('Policy Characteristics'!J:J,MATCH($C1000,'Policy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0" s="275" t="str">
        <f>IF(ISBLANK(INDEX('Policy Characteristics'!K:K,MATCH($C1000,'Policy Characteristics'!$C:$C,0))),"",INDEX('Policy Characteristics'!K:K,MATCH($C1000,'Policy Characteristics'!$C:$C,0)))</f>
        <v>industry-ag-main.html#eff-stds</v>
      </c>
      <c r="R1000" s="275" t="str">
        <f>IF(ISBLANK(INDEX('Policy Characteristics'!L:L,MATCH($C1000,'Policy Characteristics'!$C:$C,0))),"",INDEX('Policy Characteristics'!L:L,MATCH($C1000,'Policy Characteristics'!$C:$C,0)))</f>
        <v>industry-energy-efficiency-standards.html</v>
      </c>
    </row>
    <row r="1001" spans="1:18" s="4" customFormat="1" x14ac:dyDescent="0.25">
      <c r="A1001" s="275" t="str">
        <f>IF(ISBLANK(INDEX('Policy Characteristics'!A:A,MATCH($C1001,'Policy Characteristics'!$C:$C,0))),"",INDEX('Policy Characteristics'!A:A,MATCH($C1001,'Policy Characteristics'!$C:$C,0)))</f>
        <v>Industry</v>
      </c>
      <c r="B1001" s="284" t="str">
        <f>IF(ISBLANK(INDEX('Policy Characteristics'!B:B,MATCH($C1001,'Policy Characteristics'!$C:$C,0))),"",INDEX('Policy Characteristics'!B:B,MATCH($C1001,'Policy Characteristics'!$C:$C,0)))</f>
        <v>Industry Energy Efficiency Standards</v>
      </c>
      <c r="C1001" s="275" t="str">
        <f t="shared" si="41"/>
        <v>Percentage Improvement in Eqpt Efficiency Standards above BAU</v>
      </c>
      <c r="D1001" s="6" t="s">
        <v>3072</v>
      </c>
      <c r="E1001" s="47" t="s">
        <v>2711</v>
      </c>
      <c r="F1001" t="s">
        <v>3036</v>
      </c>
      <c r="G1001" s="47" t="s">
        <v>2715</v>
      </c>
      <c r="H1001" s="44">
        <v>986</v>
      </c>
      <c r="I1001" s="346" t="s">
        <v>44</v>
      </c>
      <c r="J1001" s="276" t="str">
        <f>IF(ISBLANK(INDEX('Policy Characteristics'!D:D,MATCH($C1001,'Policy Characteristics'!$C:$C,0))),"",INDEX('Policy Characteristics'!D:D,MATCH($C1001,'Policy Characteristics'!$C:$C,0)))</f>
        <v>Industry Energy Efficiency Standards</v>
      </c>
      <c r="K1001" s="275" t="str">
        <f>IF(ISBLANK(INDEX('Policy Characteristics'!E:E,MATCH($C1001,'Policy Characteristics'!$C:$C,0))),"",INDEX('Policy Characteristics'!E:E,MATCH($C1001,'Policy Characteristics'!$C:$C,0)))</f>
        <v>indst efficiency standards</v>
      </c>
      <c r="L1001" s="283">
        <f>IF(ISBLANK(INDEX('Policy Characteristics'!F:F,MATCH($C1001,'Policy Characteristics'!$C:$C,0))),"",INDEX('Policy Characteristics'!F:F,MATCH($C1001,'Policy Characteristics'!$C:$C,0)))</f>
        <v>0</v>
      </c>
      <c r="M1001" s="283">
        <f>IF(ISBLANK(INDEX('Policy Characteristics'!G:G,MATCH($C1001,'Policy Characteristics'!$C:$C,0))),"",INDEX('Policy Characteristics'!G:G,MATCH($C1001,'Policy Characteristics'!$C:$C,0)))</f>
        <v>0.25</v>
      </c>
      <c r="N1001" s="283">
        <f>IF(ISBLANK(INDEX('Policy Characteristics'!H:H,MATCH($C1001,'Policy Characteristics'!$C:$C,0))),"",INDEX('Policy Characteristics'!H:H,MATCH($C1001,'Policy Characteristics'!$C:$C,0)))</f>
        <v>0.01</v>
      </c>
      <c r="O1001" s="275" t="str">
        <f>IF(ISBLANK(INDEX('Policy Characteristics'!I:I,MATCH($C1001,'Policy Characteristics'!$C:$C,0))),"",INDEX('Policy Characteristics'!I:I,MATCH($C1001,'Policy Characteristics'!$C:$C,0)))</f>
        <v>% reduction in energy use</v>
      </c>
      <c r="P1001" s="275" t="str">
        <f>IF(ISBLANK(INDEX('Policy Characteristics'!J:J,MATCH($C1001,'Policy Characteristics'!$C:$C,0))),"",INDEX('Policy Characteristics'!J:J,MATCH($C1001,'Policy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1" s="275" t="str">
        <f>IF(ISBLANK(INDEX('Policy Characteristics'!K:K,MATCH($C1001,'Policy Characteristics'!$C:$C,0))),"",INDEX('Policy Characteristics'!K:K,MATCH($C1001,'Policy Characteristics'!$C:$C,0)))</f>
        <v>industry-ag-main.html#eff-stds</v>
      </c>
      <c r="R1001" s="275" t="str">
        <f>IF(ISBLANK(INDEX('Policy Characteristics'!L:L,MATCH($C1001,'Policy Characteristics'!$C:$C,0))),"",INDEX('Policy Characteristics'!L:L,MATCH($C1001,'Policy Characteristics'!$C:$C,0)))</f>
        <v>industry-energy-efficiency-standards.html</v>
      </c>
    </row>
    <row r="1002" spans="1:18" s="4" customFormat="1" x14ac:dyDescent="0.25">
      <c r="A1002" s="275" t="str">
        <f>IF(ISBLANK(INDEX('Policy Characteristics'!A:A,MATCH($C1002,'Policy Characteristics'!$C:$C,0))),"",INDEX('Policy Characteristics'!A:A,MATCH($C1002,'Policy Characteristics'!$C:$C,0)))</f>
        <v>Industry</v>
      </c>
      <c r="B1002" s="284" t="str">
        <f>IF(ISBLANK(INDEX('Policy Characteristics'!B:B,MATCH($C1002,'Policy Characteristics'!$C:$C,0))),"",INDEX('Policy Characteristics'!B:B,MATCH($C1002,'Policy Characteristics'!$C:$C,0)))</f>
        <v>Industry Energy Efficiency Standards</v>
      </c>
      <c r="C1002" s="275" t="str">
        <f t="shared" si="41"/>
        <v>Percentage Improvement in Eqpt Efficiency Standards above BAU</v>
      </c>
      <c r="D1002" s="6" t="s">
        <v>3072</v>
      </c>
      <c r="E1002" s="47" t="s">
        <v>2708</v>
      </c>
      <c r="F1002" t="s">
        <v>3036</v>
      </c>
      <c r="G1002" s="47" t="s">
        <v>2713</v>
      </c>
      <c r="H1002" s="44">
        <v>987</v>
      </c>
      <c r="I1002" s="346" t="s">
        <v>44</v>
      </c>
      <c r="J1002" s="276" t="str">
        <f>IF(ISBLANK(INDEX('Policy Characteristics'!D:D,MATCH($C1002,'Policy Characteristics'!$C:$C,0))),"",INDEX('Policy Characteristics'!D:D,MATCH($C1002,'Policy Characteristics'!$C:$C,0)))</f>
        <v>Industry Energy Efficiency Standards</v>
      </c>
      <c r="K1002" s="275" t="str">
        <f>IF(ISBLANK(INDEX('Policy Characteristics'!E:E,MATCH($C1002,'Policy Characteristics'!$C:$C,0))),"",INDEX('Policy Characteristics'!E:E,MATCH($C1002,'Policy Characteristics'!$C:$C,0)))</f>
        <v>indst efficiency standards</v>
      </c>
      <c r="L1002" s="283">
        <f>IF(ISBLANK(INDEX('Policy Characteristics'!F:F,MATCH($C1002,'Policy Characteristics'!$C:$C,0))),"",INDEX('Policy Characteristics'!F:F,MATCH($C1002,'Policy Characteristics'!$C:$C,0)))</f>
        <v>0</v>
      </c>
      <c r="M1002" s="283">
        <f>IF(ISBLANK(INDEX('Policy Characteristics'!G:G,MATCH($C1002,'Policy Characteristics'!$C:$C,0))),"",INDEX('Policy Characteristics'!G:G,MATCH($C1002,'Policy Characteristics'!$C:$C,0)))</f>
        <v>0.25</v>
      </c>
      <c r="N1002" s="283">
        <f>IF(ISBLANK(INDEX('Policy Characteristics'!H:H,MATCH($C1002,'Policy Characteristics'!$C:$C,0))),"",INDEX('Policy Characteristics'!H:H,MATCH($C1002,'Policy Characteristics'!$C:$C,0)))</f>
        <v>0.01</v>
      </c>
      <c r="O1002" s="275" t="str">
        <f>IF(ISBLANK(INDEX('Policy Characteristics'!I:I,MATCH($C1002,'Policy Characteristics'!$C:$C,0))),"",INDEX('Policy Characteristics'!I:I,MATCH($C1002,'Policy Characteristics'!$C:$C,0)))</f>
        <v>% reduction in energy use</v>
      </c>
      <c r="P1002" s="275" t="str">
        <f>IF(ISBLANK(INDEX('Policy Characteristics'!J:J,MATCH($C1002,'Policy Characteristics'!$C:$C,0))),"",INDEX('Policy Characteristics'!J:J,MATCH($C1002,'Policy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2" s="275" t="str">
        <f>IF(ISBLANK(INDEX('Policy Characteristics'!K:K,MATCH($C1002,'Policy Characteristics'!$C:$C,0))),"",INDEX('Policy Characteristics'!K:K,MATCH($C1002,'Policy Characteristics'!$C:$C,0)))</f>
        <v>industry-ag-main.html#eff-stds</v>
      </c>
      <c r="R1002" s="275" t="str">
        <f>IF(ISBLANK(INDEX('Policy Characteristics'!L:L,MATCH($C1002,'Policy Characteristics'!$C:$C,0))),"",INDEX('Policy Characteristics'!L:L,MATCH($C1002,'Policy Characteristics'!$C:$C,0)))</f>
        <v>industry-energy-efficiency-standards.html</v>
      </c>
    </row>
    <row r="1003" spans="1:18" s="4" customFormat="1" x14ac:dyDescent="0.25">
      <c r="A1003" s="275" t="str">
        <f>IF(ISBLANK(INDEX('Policy Characteristics'!A:A,MATCH($C1003,'Policy Characteristics'!$C:$C,0))),"",INDEX('Policy Characteristics'!A:A,MATCH($C1003,'Policy Characteristics'!$C:$C,0)))</f>
        <v>Industry</v>
      </c>
      <c r="B1003" s="284" t="str">
        <f>IF(ISBLANK(INDEX('Policy Characteristics'!B:B,MATCH($C1003,'Policy Characteristics'!$C:$C,0))),"",INDEX('Policy Characteristics'!B:B,MATCH($C1003,'Policy Characteristics'!$C:$C,0)))</f>
        <v>Industry Energy Efficiency Standards</v>
      </c>
      <c r="C1003" s="275" t="str">
        <f t="shared" si="41"/>
        <v>Percentage Improvement in Eqpt Efficiency Standards above BAU</v>
      </c>
      <c r="D1003" s="6" t="s">
        <v>3073</v>
      </c>
      <c r="E1003" s="47" t="s">
        <v>2401</v>
      </c>
      <c r="F1003" t="s">
        <v>3037</v>
      </c>
      <c r="G1003" s="47" t="s">
        <v>2407</v>
      </c>
      <c r="H1003" s="44">
        <v>988</v>
      </c>
      <c r="I1003" s="346" t="s">
        <v>43</v>
      </c>
      <c r="J1003" s="276" t="str">
        <f>IF(ISBLANK(INDEX('Policy Characteristics'!D:D,MATCH($C1003,'Policy Characteristics'!$C:$C,0))),"",INDEX('Policy Characteristics'!D:D,MATCH($C1003,'Policy Characteristics'!$C:$C,0)))</f>
        <v>Industry Energy Efficiency Standards</v>
      </c>
      <c r="K1003" s="275" t="str">
        <f>IF(ISBLANK(INDEX('Policy Characteristics'!E:E,MATCH($C1003,'Policy Characteristics'!$C:$C,0))),"",INDEX('Policy Characteristics'!E:E,MATCH($C1003,'Policy Characteristics'!$C:$C,0)))</f>
        <v>indst efficiency standards</v>
      </c>
      <c r="L1003" s="283">
        <f>IF(ISBLANK(INDEX('Policy Characteristics'!F:F,MATCH($C1003,'Policy Characteristics'!$C:$C,0))),"",INDEX('Policy Characteristics'!F:F,MATCH($C1003,'Policy Characteristics'!$C:$C,0)))</f>
        <v>0</v>
      </c>
      <c r="M1003" s="283">
        <f>IF(ISBLANK(INDEX('Policy Characteristics'!G:G,MATCH($C1003,'Policy Characteristics'!$C:$C,0))),"",INDEX('Policy Characteristics'!G:G,MATCH($C1003,'Policy Characteristics'!$C:$C,0)))</f>
        <v>0.25</v>
      </c>
      <c r="N1003" s="283">
        <f>IF(ISBLANK(INDEX('Policy Characteristics'!H:H,MATCH($C1003,'Policy Characteristics'!$C:$C,0))),"",INDEX('Policy Characteristics'!H:H,MATCH($C1003,'Policy Characteristics'!$C:$C,0)))</f>
        <v>0.01</v>
      </c>
      <c r="O1003" s="275" t="str">
        <f>IF(ISBLANK(INDEX('Policy Characteristics'!I:I,MATCH($C1003,'Policy Characteristics'!$C:$C,0))),"",INDEX('Policy Characteristics'!I:I,MATCH($C1003,'Policy Characteristics'!$C:$C,0)))</f>
        <v>% reduction in energy use</v>
      </c>
      <c r="P1003" s="275" t="str">
        <f>IF(ISBLANK(INDEX('Policy Characteristics'!J:J,MATCH($C1003,'Policy Characteristics'!$C:$C,0))),"",INDEX('Policy Characteristics'!J:J,MATCH($C1003,'Policy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3" s="275" t="str">
        <f>IF(ISBLANK(INDEX('Policy Characteristics'!K:K,MATCH($C1003,'Policy Characteristics'!$C:$C,0))),"",INDEX('Policy Characteristics'!K:K,MATCH($C1003,'Policy Characteristics'!$C:$C,0)))</f>
        <v>industry-ag-main.html#eff-stds</v>
      </c>
      <c r="R1003" s="275" t="str">
        <f>IF(ISBLANK(INDEX('Policy Characteristics'!L:L,MATCH($C1003,'Policy Characteristics'!$C:$C,0))),"",INDEX('Policy Characteristics'!L:L,MATCH($C1003,'Policy Characteristics'!$C:$C,0)))</f>
        <v>industry-energy-efficiency-standards.html</v>
      </c>
    </row>
    <row r="1004" spans="1:18" s="4" customFormat="1" x14ac:dyDescent="0.25">
      <c r="A1004" s="275" t="str">
        <f>IF(ISBLANK(INDEX('Policy Characteristics'!A:A,MATCH($C1004,'Policy Characteristics'!$C:$C,0))),"",INDEX('Policy Characteristics'!A:A,MATCH($C1004,'Policy Characteristics'!$C:$C,0)))</f>
        <v>Industry</v>
      </c>
      <c r="B1004" s="284" t="str">
        <f>IF(ISBLANK(INDEX('Policy Characteristics'!B:B,MATCH($C1004,'Policy Characteristics'!$C:$C,0))),"",INDEX('Policy Characteristics'!B:B,MATCH($C1004,'Policy Characteristics'!$C:$C,0)))</f>
        <v>Industry Energy Efficiency Standards</v>
      </c>
      <c r="C1004" s="275" t="str">
        <f t="shared" si="41"/>
        <v>Percentage Improvement in Eqpt Efficiency Standards above BAU</v>
      </c>
      <c r="D1004" s="6" t="s">
        <v>3073</v>
      </c>
      <c r="E1004" s="47" t="s">
        <v>2402</v>
      </c>
      <c r="F1004" t="s">
        <v>3037</v>
      </c>
      <c r="G1004" s="47" t="s">
        <v>2410</v>
      </c>
      <c r="H1004" s="44">
        <v>989</v>
      </c>
      <c r="I1004" s="346" t="s">
        <v>44</v>
      </c>
      <c r="J1004" s="276" t="str">
        <f>IF(ISBLANK(INDEX('Policy Characteristics'!D:D,MATCH($C1004,'Policy Characteristics'!$C:$C,0))),"",INDEX('Policy Characteristics'!D:D,MATCH($C1004,'Policy Characteristics'!$C:$C,0)))</f>
        <v>Industry Energy Efficiency Standards</v>
      </c>
      <c r="K1004" s="275" t="str">
        <f>IF(ISBLANK(INDEX('Policy Characteristics'!E:E,MATCH($C1004,'Policy Characteristics'!$C:$C,0))),"",INDEX('Policy Characteristics'!E:E,MATCH($C1004,'Policy Characteristics'!$C:$C,0)))</f>
        <v>indst efficiency standards</v>
      </c>
      <c r="L1004" s="283">
        <f>IF(ISBLANK(INDEX('Policy Characteristics'!F:F,MATCH($C1004,'Policy Characteristics'!$C:$C,0))),"",INDEX('Policy Characteristics'!F:F,MATCH($C1004,'Policy Characteristics'!$C:$C,0)))</f>
        <v>0</v>
      </c>
      <c r="M1004" s="283">
        <f>IF(ISBLANK(INDEX('Policy Characteristics'!G:G,MATCH($C1004,'Policy Characteristics'!$C:$C,0))),"",INDEX('Policy Characteristics'!G:G,MATCH($C1004,'Policy Characteristics'!$C:$C,0)))</f>
        <v>0.25</v>
      </c>
      <c r="N1004" s="283">
        <f>IF(ISBLANK(INDEX('Policy Characteristics'!H:H,MATCH($C1004,'Policy Characteristics'!$C:$C,0))),"",INDEX('Policy Characteristics'!H:H,MATCH($C1004,'Policy Characteristics'!$C:$C,0)))</f>
        <v>0.01</v>
      </c>
      <c r="O1004" s="275" t="str">
        <f>IF(ISBLANK(INDEX('Policy Characteristics'!I:I,MATCH($C1004,'Policy Characteristics'!$C:$C,0))),"",INDEX('Policy Characteristics'!I:I,MATCH($C1004,'Policy Characteristics'!$C:$C,0)))</f>
        <v>% reduction in energy use</v>
      </c>
      <c r="P1004" s="275" t="str">
        <f>IF(ISBLANK(INDEX('Policy Characteristics'!J:J,MATCH($C1004,'Policy Characteristics'!$C:$C,0))),"",INDEX('Policy Characteristics'!J:J,MATCH($C1004,'Policy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4" s="275" t="str">
        <f>IF(ISBLANK(INDEX('Policy Characteristics'!K:K,MATCH($C1004,'Policy Characteristics'!$C:$C,0))),"",INDEX('Policy Characteristics'!K:K,MATCH($C1004,'Policy Characteristics'!$C:$C,0)))</f>
        <v>industry-ag-main.html#eff-stds</v>
      </c>
      <c r="R1004" s="275" t="str">
        <f>IF(ISBLANK(INDEX('Policy Characteristics'!L:L,MATCH($C1004,'Policy Characteristics'!$C:$C,0))),"",INDEX('Policy Characteristics'!L:L,MATCH($C1004,'Policy Characteristics'!$C:$C,0)))</f>
        <v>industry-energy-efficiency-standards.html</v>
      </c>
    </row>
    <row r="1005" spans="1:18" s="4" customFormat="1" x14ac:dyDescent="0.25">
      <c r="A1005" s="275" t="str">
        <f>IF(ISBLANK(INDEX('Policy Characteristics'!A:A,MATCH($C1005,'Policy Characteristics'!$C:$C,0))),"",INDEX('Policy Characteristics'!A:A,MATCH($C1005,'Policy Characteristics'!$C:$C,0)))</f>
        <v>Industry</v>
      </c>
      <c r="B1005" s="284" t="str">
        <f>IF(ISBLANK(INDEX('Policy Characteristics'!B:B,MATCH($C1005,'Policy Characteristics'!$C:$C,0))),"",INDEX('Policy Characteristics'!B:B,MATCH($C1005,'Policy Characteristics'!$C:$C,0)))</f>
        <v>Industry Energy Efficiency Standards</v>
      </c>
      <c r="C1005" s="275" t="str">
        <f t="shared" si="41"/>
        <v>Percentage Improvement in Eqpt Efficiency Standards above BAU</v>
      </c>
      <c r="D1005" s="6" t="s">
        <v>3073</v>
      </c>
      <c r="E1005" s="47" t="s">
        <v>2403</v>
      </c>
      <c r="F1005" t="s">
        <v>3037</v>
      </c>
      <c r="G1005" s="47" t="s">
        <v>2411</v>
      </c>
      <c r="H1005" s="44">
        <v>990</v>
      </c>
      <c r="I1005" s="346" t="s">
        <v>43</v>
      </c>
      <c r="J1005" s="276" t="str">
        <f>IF(ISBLANK(INDEX('Policy Characteristics'!D:D,MATCH($C1005,'Policy Characteristics'!$C:$C,0))),"",INDEX('Policy Characteristics'!D:D,MATCH($C1005,'Policy Characteristics'!$C:$C,0)))</f>
        <v>Industry Energy Efficiency Standards</v>
      </c>
      <c r="K1005" s="275" t="str">
        <f>IF(ISBLANK(INDEX('Policy Characteristics'!E:E,MATCH($C1005,'Policy Characteristics'!$C:$C,0))),"",INDEX('Policy Characteristics'!E:E,MATCH($C1005,'Policy Characteristics'!$C:$C,0)))</f>
        <v>indst efficiency standards</v>
      </c>
      <c r="L1005" s="283">
        <f>IF(ISBLANK(INDEX('Policy Characteristics'!F:F,MATCH($C1005,'Policy Characteristics'!$C:$C,0))),"",INDEX('Policy Characteristics'!F:F,MATCH($C1005,'Policy Characteristics'!$C:$C,0)))</f>
        <v>0</v>
      </c>
      <c r="M1005" s="283">
        <f>IF(ISBLANK(INDEX('Policy Characteristics'!G:G,MATCH($C1005,'Policy Characteristics'!$C:$C,0))),"",INDEX('Policy Characteristics'!G:G,MATCH($C1005,'Policy Characteristics'!$C:$C,0)))</f>
        <v>0.25</v>
      </c>
      <c r="N1005" s="283">
        <f>IF(ISBLANK(INDEX('Policy Characteristics'!H:H,MATCH($C1005,'Policy Characteristics'!$C:$C,0))),"",INDEX('Policy Characteristics'!H:H,MATCH($C1005,'Policy Characteristics'!$C:$C,0)))</f>
        <v>0.01</v>
      </c>
      <c r="O1005" s="275" t="str">
        <f>IF(ISBLANK(INDEX('Policy Characteristics'!I:I,MATCH($C1005,'Policy Characteristics'!$C:$C,0))),"",INDEX('Policy Characteristics'!I:I,MATCH($C1005,'Policy Characteristics'!$C:$C,0)))</f>
        <v>% reduction in energy use</v>
      </c>
      <c r="P1005" s="275" t="str">
        <f>IF(ISBLANK(INDEX('Policy Characteristics'!J:J,MATCH($C1005,'Policy Characteristics'!$C:$C,0))),"",INDEX('Policy Characteristics'!J:J,MATCH($C1005,'Policy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5" s="275" t="str">
        <f>IF(ISBLANK(INDEX('Policy Characteristics'!K:K,MATCH($C1005,'Policy Characteristics'!$C:$C,0))),"",INDEX('Policy Characteristics'!K:K,MATCH($C1005,'Policy Characteristics'!$C:$C,0)))</f>
        <v>industry-ag-main.html#eff-stds</v>
      </c>
      <c r="R1005" s="275" t="str">
        <f>IF(ISBLANK(INDEX('Policy Characteristics'!L:L,MATCH($C1005,'Policy Characteristics'!$C:$C,0))),"",INDEX('Policy Characteristics'!L:L,MATCH($C1005,'Policy Characteristics'!$C:$C,0)))</f>
        <v>industry-energy-efficiency-standards.html</v>
      </c>
    </row>
    <row r="1006" spans="1:18" s="4" customFormat="1" x14ac:dyDescent="0.25">
      <c r="A1006" s="275" t="str">
        <f>IF(ISBLANK(INDEX('Policy Characteristics'!A:A,MATCH($C1006,'Policy Characteristics'!$C:$C,0))),"",INDEX('Policy Characteristics'!A:A,MATCH($C1006,'Policy Characteristics'!$C:$C,0)))</f>
        <v>Industry</v>
      </c>
      <c r="B1006" s="284" t="str">
        <f>IF(ISBLANK(INDEX('Policy Characteristics'!B:B,MATCH($C1006,'Policy Characteristics'!$C:$C,0))),"",INDEX('Policy Characteristics'!B:B,MATCH($C1006,'Policy Characteristics'!$C:$C,0)))</f>
        <v>Industry Energy Efficiency Standards</v>
      </c>
      <c r="C1006" s="275" t="str">
        <f t="shared" si="41"/>
        <v>Percentage Improvement in Eqpt Efficiency Standards above BAU</v>
      </c>
      <c r="D1006" s="6" t="s">
        <v>3073</v>
      </c>
      <c r="E1006" s="47" t="s">
        <v>2404</v>
      </c>
      <c r="F1006" t="s">
        <v>3037</v>
      </c>
      <c r="G1006" s="47" t="s">
        <v>2408</v>
      </c>
      <c r="H1006" s="44">
        <v>991</v>
      </c>
      <c r="I1006" s="346" t="s">
        <v>44</v>
      </c>
      <c r="J1006" s="276" t="str">
        <f>IF(ISBLANK(INDEX('Policy Characteristics'!D:D,MATCH($C1006,'Policy Characteristics'!$C:$C,0))),"",INDEX('Policy Characteristics'!D:D,MATCH($C1006,'Policy Characteristics'!$C:$C,0)))</f>
        <v>Industry Energy Efficiency Standards</v>
      </c>
      <c r="K1006" s="275" t="str">
        <f>IF(ISBLANK(INDEX('Policy Characteristics'!E:E,MATCH($C1006,'Policy Characteristics'!$C:$C,0))),"",INDEX('Policy Characteristics'!E:E,MATCH($C1006,'Policy Characteristics'!$C:$C,0)))</f>
        <v>indst efficiency standards</v>
      </c>
      <c r="L1006" s="283">
        <f>IF(ISBLANK(INDEX('Policy Characteristics'!F:F,MATCH($C1006,'Policy Characteristics'!$C:$C,0))),"",INDEX('Policy Characteristics'!F:F,MATCH($C1006,'Policy Characteristics'!$C:$C,0)))</f>
        <v>0</v>
      </c>
      <c r="M1006" s="283">
        <f>IF(ISBLANK(INDEX('Policy Characteristics'!G:G,MATCH($C1006,'Policy Characteristics'!$C:$C,0))),"",INDEX('Policy Characteristics'!G:G,MATCH($C1006,'Policy Characteristics'!$C:$C,0)))</f>
        <v>0.25</v>
      </c>
      <c r="N1006" s="283">
        <f>IF(ISBLANK(INDEX('Policy Characteristics'!H:H,MATCH($C1006,'Policy Characteristics'!$C:$C,0))),"",INDEX('Policy Characteristics'!H:H,MATCH($C1006,'Policy Characteristics'!$C:$C,0)))</f>
        <v>0.01</v>
      </c>
      <c r="O1006" s="275" t="str">
        <f>IF(ISBLANK(INDEX('Policy Characteristics'!I:I,MATCH($C1006,'Policy Characteristics'!$C:$C,0))),"",INDEX('Policy Characteristics'!I:I,MATCH($C1006,'Policy Characteristics'!$C:$C,0)))</f>
        <v>% reduction in energy use</v>
      </c>
      <c r="P1006" s="275" t="str">
        <f>IF(ISBLANK(INDEX('Policy Characteristics'!J:J,MATCH($C1006,'Policy Characteristics'!$C:$C,0))),"",INDEX('Policy Characteristics'!J:J,MATCH($C1006,'Policy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6" s="275" t="str">
        <f>IF(ISBLANK(INDEX('Policy Characteristics'!K:K,MATCH($C1006,'Policy Characteristics'!$C:$C,0))),"",INDEX('Policy Characteristics'!K:K,MATCH($C1006,'Policy Characteristics'!$C:$C,0)))</f>
        <v>industry-ag-main.html#eff-stds</v>
      </c>
      <c r="R1006" s="275" t="str">
        <f>IF(ISBLANK(INDEX('Policy Characteristics'!L:L,MATCH($C1006,'Policy Characteristics'!$C:$C,0))),"",INDEX('Policy Characteristics'!L:L,MATCH($C1006,'Policy Characteristics'!$C:$C,0)))</f>
        <v>industry-energy-efficiency-standards.html</v>
      </c>
    </row>
    <row r="1007" spans="1:18" s="4" customFormat="1" x14ac:dyDescent="0.25">
      <c r="A1007" s="275" t="str">
        <f>IF(ISBLANK(INDEX('Policy Characteristics'!A:A,MATCH($C1007,'Policy Characteristics'!$C:$C,0))),"",INDEX('Policy Characteristics'!A:A,MATCH($C1007,'Policy Characteristics'!$C:$C,0)))</f>
        <v>Industry</v>
      </c>
      <c r="B1007" s="284" t="str">
        <f>IF(ISBLANK(INDEX('Policy Characteristics'!B:B,MATCH($C1007,'Policy Characteristics'!$C:$C,0))),"",INDEX('Policy Characteristics'!B:B,MATCH($C1007,'Policy Characteristics'!$C:$C,0)))</f>
        <v>Industry Energy Efficiency Standards</v>
      </c>
      <c r="C1007" s="275" t="str">
        <f t="shared" si="41"/>
        <v>Percentage Improvement in Eqpt Efficiency Standards above BAU</v>
      </c>
      <c r="D1007" s="6" t="s">
        <v>3073</v>
      </c>
      <c r="E1007" s="47" t="s">
        <v>2405</v>
      </c>
      <c r="F1007" t="s">
        <v>3037</v>
      </c>
      <c r="G1007" s="47" t="s">
        <v>2409</v>
      </c>
      <c r="H1007" s="44">
        <v>992</v>
      </c>
      <c r="I1007" s="346" t="s">
        <v>43</v>
      </c>
      <c r="J1007" s="276" t="str">
        <f>IF(ISBLANK(INDEX('Policy Characteristics'!D:D,MATCH($C1007,'Policy Characteristics'!$C:$C,0))),"",INDEX('Policy Characteristics'!D:D,MATCH($C1007,'Policy Characteristics'!$C:$C,0)))</f>
        <v>Industry Energy Efficiency Standards</v>
      </c>
      <c r="K1007" s="275" t="str">
        <f>IF(ISBLANK(INDEX('Policy Characteristics'!E:E,MATCH($C1007,'Policy Characteristics'!$C:$C,0))),"",INDEX('Policy Characteristics'!E:E,MATCH($C1007,'Policy Characteristics'!$C:$C,0)))</f>
        <v>indst efficiency standards</v>
      </c>
      <c r="L1007" s="283">
        <f>IF(ISBLANK(INDEX('Policy Characteristics'!F:F,MATCH($C1007,'Policy Characteristics'!$C:$C,0))),"",INDEX('Policy Characteristics'!F:F,MATCH($C1007,'Policy Characteristics'!$C:$C,0)))</f>
        <v>0</v>
      </c>
      <c r="M1007" s="283">
        <f>IF(ISBLANK(INDEX('Policy Characteristics'!G:G,MATCH($C1007,'Policy Characteristics'!$C:$C,0))),"",INDEX('Policy Characteristics'!G:G,MATCH($C1007,'Policy Characteristics'!$C:$C,0)))</f>
        <v>0.25</v>
      </c>
      <c r="N1007" s="283">
        <f>IF(ISBLANK(INDEX('Policy Characteristics'!H:H,MATCH($C1007,'Policy Characteristics'!$C:$C,0))),"",INDEX('Policy Characteristics'!H:H,MATCH($C1007,'Policy Characteristics'!$C:$C,0)))</f>
        <v>0.01</v>
      </c>
      <c r="O1007" s="275" t="str">
        <f>IF(ISBLANK(INDEX('Policy Characteristics'!I:I,MATCH($C1007,'Policy Characteristics'!$C:$C,0))),"",INDEX('Policy Characteristics'!I:I,MATCH($C1007,'Policy Characteristics'!$C:$C,0)))</f>
        <v>% reduction in energy use</v>
      </c>
      <c r="P1007" s="275" t="str">
        <f>IF(ISBLANK(INDEX('Policy Characteristics'!J:J,MATCH($C1007,'Policy Characteristics'!$C:$C,0))),"",INDEX('Policy Characteristics'!J:J,MATCH($C1007,'Policy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7" s="275" t="str">
        <f>IF(ISBLANK(INDEX('Policy Characteristics'!K:K,MATCH($C1007,'Policy Characteristics'!$C:$C,0))),"",INDEX('Policy Characteristics'!K:K,MATCH($C1007,'Policy Characteristics'!$C:$C,0)))</f>
        <v>industry-ag-main.html#eff-stds</v>
      </c>
      <c r="R1007" s="275" t="str">
        <f>IF(ISBLANK(INDEX('Policy Characteristics'!L:L,MATCH($C1007,'Policy Characteristics'!$C:$C,0))),"",INDEX('Policy Characteristics'!L:L,MATCH($C1007,'Policy Characteristics'!$C:$C,0)))</f>
        <v>industry-energy-efficiency-standards.html</v>
      </c>
    </row>
    <row r="1008" spans="1:18" s="4" customFormat="1" x14ac:dyDescent="0.25">
      <c r="A1008" s="275" t="str">
        <f>IF(ISBLANK(INDEX('Policy Characteristics'!A:A,MATCH($C1008,'Policy Characteristics'!$C:$C,0))),"",INDEX('Policy Characteristics'!A:A,MATCH($C1008,'Policy Characteristics'!$C:$C,0)))</f>
        <v>Industry</v>
      </c>
      <c r="B1008" s="284" t="str">
        <f>IF(ISBLANK(INDEX('Policy Characteristics'!B:B,MATCH($C1008,'Policy Characteristics'!$C:$C,0))),"",INDEX('Policy Characteristics'!B:B,MATCH($C1008,'Policy Characteristics'!$C:$C,0)))</f>
        <v>Industry Energy Efficiency Standards</v>
      </c>
      <c r="C1008" s="275" t="str">
        <f t="shared" si="41"/>
        <v>Percentage Improvement in Eqpt Efficiency Standards above BAU</v>
      </c>
      <c r="D1008" s="6" t="s">
        <v>3073</v>
      </c>
      <c r="E1008" s="47" t="s">
        <v>2406</v>
      </c>
      <c r="F1008" t="s">
        <v>3037</v>
      </c>
      <c r="G1008" s="47" t="s">
        <v>2412</v>
      </c>
      <c r="H1008" s="44">
        <v>993</v>
      </c>
      <c r="I1008" s="346" t="s">
        <v>44</v>
      </c>
      <c r="J1008" s="276" t="str">
        <f>IF(ISBLANK(INDEX('Policy Characteristics'!D:D,MATCH($C1008,'Policy Characteristics'!$C:$C,0))),"",INDEX('Policy Characteristics'!D:D,MATCH($C1008,'Policy Characteristics'!$C:$C,0)))</f>
        <v>Industry Energy Efficiency Standards</v>
      </c>
      <c r="K1008" s="275" t="str">
        <f>IF(ISBLANK(INDEX('Policy Characteristics'!E:E,MATCH($C1008,'Policy Characteristics'!$C:$C,0))),"",INDEX('Policy Characteristics'!E:E,MATCH($C1008,'Policy Characteristics'!$C:$C,0)))</f>
        <v>indst efficiency standards</v>
      </c>
      <c r="L1008" s="283">
        <f>IF(ISBLANK(INDEX('Policy Characteristics'!F:F,MATCH($C1008,'Policy Characteristics'!$C:$C,0))),"",INDEX('Policy Characteristics'!F:F,MATCH($C1008,'Policy Characteristics'!$C:$C,0)))</f>
        <v>0</v>
      </c>
      <c r="M1008" s="283">
        <f>IF(ISBLANK(INDEX('Policy Characteristics'!G:G,MATCH($C1008,'Policy Characteristics'!$C:$C,0))),"",INDEX('Policy Characteristics'!G:G,MATCH($C1008,'Policy Characteristics'!$C:$C,0)))</f>
        <v>0.25</v>
      </c>
      <c r="N1008" s="283">
        <f>IF(ISBLANK(INDEX('Policy Characteristics'!H:H,MATCH($C1008,'Policy Characteristics'!$C:$C,0))),"",INDEX('Policy Characteristics'!H:H,MATCH($C1008,'Policy Characteristics'!$C:$C,0)))</f>
        <v>0.01</v>
      </c>
      <c r="O1008" s="275" t="str">
        <f>IF(ISBLANK(INDEX('Policy Characteristics'!I:I,MATCH($C1008,'Policy Characteristics'!$C:$C,0))),"",INDEX('Policy Characteristics'!I:I,MATCH($C1008,'Policy Characteristics'!$C:$C,0)))</f>
        <v>% reduction in energy use</v>
      </c>
      <c r="P1008" s="275" t="str">
        <f>IF(ISBLANK(INDEX('Policy Characteristics'!J:J,MATCH($C1008,'Policy Characteristics'!$C:$C,0))),"",INDEX('Policy Characteristics'!J:J,MATCH($C1008,'Policy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8" s="275" t="str">
        <f>IF(ISBLANK(INDEX('Policy Characteristics'!K:K,MATCH($C1008,'Policy Characteristics'!$C:$C,0))),"",INDEX('Policy Characteristics'!K:K,MATCH($C1008,'Policy Characteristics'!$C:$C,0)))</f>
        <v>industry-ag-main.html#eff-stds</v>
      </c>
      <c r="R1008" s="275" t="str">
        <f>IF(ISBLANK(INDEX('Policy Characteristics'!L:L,MATCH($C1008,'Policy Characteristics'!$C:$C,0))),"",INDEX('Policy Characteristics'!L:L,MATCH($C1008,'Policy Characteristics'!$C:$C,0)))</f>
        <v>industry-energy-efficiency-standards.html</v>
      </c>
    </row>
    <row r="1009" spans="1:18" s="4" customFormat="1" x14ac:dyDescent="0.25">
      <c r="A1009" s="275" t="str">
        <f>IF(ISBLANK(INDEX('Policy Characteristics'!A:A,MATCH($C1009,'Policy Characteristics'!$C:$C,0))),"",INDEX('Policy Characteristics'!A:A,MATCH($C1009,'Policy Characteristics'!$C:$C,0)))</f>
        <v>Industry</v>
      </c>
      <c r="B1009" s="284" t="str">
        <f>IF(ISBLANK(INDEX('Policy Characteristics'!B:B,MATCH($C1009,'Policy Characteristics'!$C:$C,0))),"",INDEX('Policy Characteristics'!B:B,MATCH($C1009,'Policy Characteristics'!$C:$C,0)))</f>
        <v>Industry Energy Efficiency Standards</v>
      </c>
      <c r="C1009" s="275" t="str">
        <f t="shared" si="41"/>
        <v>Percentage Improvement in Eqpt Efficiency Standards above BAU</v>
      </c>
      <c r="D1009" s="6" t="s">
        <v>3073</v>
      </c>
      <c r="E1009" s="47" t="s">
        <v>2709</v>
      </c>
      <c r="F1009" t="s">
        <v>3037</v>
      </c>
      <c r="G1009" s="47" t="s">
        <v>2712</v>
      </c>
      <c r="H1009" s="44">
        <v>994</v>
      </c>
      <c r="I1009" s="346" t="s">
        <v>44</v>
      </c>
      <c r="J1009" s="276" t="str">
        <f>IF(ISBLANK(INDEX('Policy Characteristics'!D:D,MATCH($C1009,'Policy Characteristics'!$C:$C,0))),"",INDEX('Policy Characteristics'!D:D,MATCH($C1009,'Policy Characteristics'!$C:$C,0)))</f>
        <v>Industry Energy Efficiency Standards</v>
      </c>
      <c r="K1009" s="275" t="str">
        <f>IF(ISBLANK(INDEX('Policy Characteristics'!E:E,MATCH($C1009,'Policy Characteristics'!$C:$C,0))),"",INDEX('Policy Characteristics'!E:E,MATCH($C1009,'Policy Characteristics'!$C:$C,0)))</f>
        <v>indst efficiency standards</v>
      </c>
      <c r="L1009" s="283">
        <f>IF(ISBLANK(INDEX('Policy Characteristics'!F:F,MATCH($C1009,'Policy Characteristics'!$C:$C,0))),"",INDEX('Policy Characteristics'!F:F,MATCH($C1009,'Policy Characteristics'!$C:$C,0)))</f>
        <v>0</v>
      </c>
      <c r="M1009" s="283">
        <f>IF(ISBLANK(INDEX('Policy Characteristics'!G:G,MATCH($C1009,'Policy Characteristics'!$C:$C,0))),"",INDEX('Policy Characteristics'!G:G,MATCH($C1009,'Policy Characteristics'!$C:$C,0)))</f>
        <v>0.25</v>
      </c>
      <c r="N1009" s="283">
        <f>IF(ISBLANK(INDEX('Policy Characteristics'!H:H,MATCH($C1009,'Policy Characteristics'!$C:$C,0))),"",INDEX('Policy Characteristics'!H:H,MATCH($C1009,'Policy Characteristics'!$C:$C,0)))</f>
        <v>0.01</v>
      </c>
      <c r="O1009" s="275" t="str">
        <f>IF(ISBLANK(INDEX('Policy Characteristics'!I:I,MATCH($C1009,'Policy Characteristics'!$C:$C,0))),"",INDEX('Policy Characteristics'!I:I,MATCH($C1009,'Policy Characteristics'!$C:$C,0)))</f>
        <v>% reduction in energy use</v>
      </c>
      <c r="P1009" s="275" t="str">
        <f>IF(ISBLANK(INDEX('Policy Characteristics'!J:J,MATCH($C1009,'Policy Characteristics'!$C:$C,0))),"",INDEX('Policy Characteristics'!J:J,MATCH($C1009,'Policy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9" s="275" t="str">
        <f>IF(ISBLANK(INDEX('Policy Characteristics'!K:K,MATCH($C1009,'Policy Characteristics'!$C:$C,0))),"",INDEX('Policy Characteristics'!K:K,MATCH($C1009,'Policy Characteristics'!$C:$C,0)))</f>
        <v>industry-ag-main.html#eff-stds</v>
      </c>
      <c r="R1009" s="275" t="str">
        <f>IF(ISBLANK(INDEX('Policy Characteristics'!L:L,MATCH($C1009,'Policy Characteristics'!$C:$C,0))),"",INDEX('Policy Characteristics'!L:L,MATCH($C1009,'Policy Characteristics'!$C:$C,0)))</f>
        <v>industry-energy-efficiency-standards.html</v>
      </c>
    </row>
    <row r="1010" spans="1:18" s="4" customFormat="1" x14ac:dyDescent="0.25">
      <c r="A1010" s="275" t="str">
        <f>IF(ISBLANK(INDEX('Policy Characteristics'!A:A,MATCH($C1010,'Policy Characteristics'!$C:$C,0))),"",INDEX('Policy Characteristics'!A:A,MATCH($C1010,'Policy Characteristics'!$C:$C,0)))</f>
        <v>Industry</v>
      </c>
      <c r="B1010" s="284" t="str">
        <f>IF(ISBLANK(INDEX('Policy Characteristics'!B:B,MATCH($C1010,'Policy Characteristics'!$C:$C,0))),"",INDEX('Policy Characteristics'!B:B,MATCH($C1010,'Policy Characteristics'!$C:$C,0)))</f>
        <v>Industry Energy Efficiency Standards</v>
      </c>
      <c r="C1010" s="275" t="str">
        <f t="shared" si="41"/>
        <v>Percentage Improvement in Eqpt Efficiency Standards above BAU</v>
      </c>
      <c r="D1010" s="6" t="s">
        <v>3073</v>
      </c>
      <c r="E1010" s="47" t="s">
        <v>2710</v>
      </c>
      <c r="F1010" t="s">
        <v>3037</v>
      </c>
      <c r="G1010" s="47" t="s">
        <v>2714</v>
      </c>
      <c r="H1010" s="44">
        <v>995</v>
      </c>
      <c r="I1010" s="346" t="s">
        <v>43</v>
      </c>
      <c r="J1010" s="276" t="str">
        <f>IF(ISBLANK(INDEX('Policy Characteristics'!D:D,MATCH($C1010,'Policy Characteristics'!$C:$C,0))),"",INDEX('Policy Characteristics'!D:D,MATCH($C1010,'Policy Characteristics'!$C:$C,0)))</f>
        <v>Industry Energy Efficiency Standards</v>
      </c>
      <c r="K1010" s="275" t="str">
        <f>IF(ISBLANK(INDEX('Policy Characteristics'!E:E,MATCH($C1010,'Policy Characteristics'!$C:$C,0))),"",INDEX('Policy Characteristics'!E:E,MATCH($C1010,'Policy Characteristics'!$C:$C,0)))</f>
        <v>indst efficiency standards</v>
      </c>
      <c r="L1010" s="283">
        <f>IF(ISBLANK(INDEX('Policy Characteristics'!F:F,MATCH($C1010,'Policy Characteristics'!$C:$C,0))),"",INDEX('Policy Characteristics'!F:F,MATCH($C1010,'Policy Characteristics'!$C:$C,0)))</f>
        <v>0</v>
      </c>
      <c r="M1010" s="283">
        <f>IF(ISBLANK(INDEX('Policy Characteristics'!G:G,MATCH($C1010,'Policy Characteristics'!$C:$C,0))),"",INDEX('Policy Characteristics'!G:G,MATCH($C1010,'Policy Characteristics'!$C:$C,0)))</f>
        <v>0.25</v>
      </c>
      <c r="N1010" s="283">
        <f>IF(ISBLANK(INDEX('Policy Characteristics'!H:H,MATCH($C1010,'Policy Characteristics'!$C:$C,0))),"",INDEX('Policy Characteristics'!H:H,MATCH($C1010,'Policy Characteristics'!$C:$C,0)))</f>
        <v>0.01</v>
      </c>
      <c r="O1010" s="275" t="str">
        <f>IF(ISBLANK(INDEX('Policy Characteristics'!I:I,MATCH($C1010,'Policy Characteristics'!$C:$C,0))),"",INDEX('Policy Characteristics'!I:I,MATCH($C1010,'Policy Characteristics'!$C:$C,0)))</f>
        <v>% reduction in energy use</v>
      </c>
      <c r="P1010" s="275" t="str">
        <f>IF(ISBLANK(INDEX('Policy Characteristics'!J:J,MATCH($C1010,'Policy Characteristics'!$C:$C,0))),"",INDEX('Policy Characteristics'!J:J,MATCH($C1010,'Policy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0" s="275" t="str">
        <f>IF(ISBLANK(INDEX('Policy Characteristics'!K:K,MATCH($C1010,'Policy Characteristics'!$C:$C,0))),"",INDEX('Policy Characteristics'!K:K,MATCH($C1010,'Policy Characteristics'!$C:$C,0)))</f>
        <v>industry-ag-main.html#eff-stds</v>
      </c>
      <c r="R1010" s="275" t="str">
        <f>IF(ISBLANK(INDEX('Policy Characteristics'!L:L,MATCH($C1010,'Policy Characteristics'!$C:$C,0))),"",INDEX('Policy Characteristics'!L:L,MATCH($C1010,'Policy Characteristics'!$C:$C,0)))</f>
        <v>industry-energy-efficiency-standards.html</v>
      </c>
    </row>
    <row r="1011" spans="1:18" s="4" customFormat="1" x14ac:dyDescent="0.25">
      <c r="A1011" s="275" t="str">
        <f>IF(ISBLANK(INDEX('Policy Characteristics'!A:A,MATCH($C1011,'Policy Characteristics'!$C:$C,0))),"",INDEX('Policy Characteristics'!A:A,MATCH($C1011,'Policy Characteristics'!$C:$C,0)))</f>
        <v>Industry</v>
      </c>
      <c r="B1011" s="284" t="str">
        <f>IF(ISBLANK(INDEX('Policy Characteristics'!B:B,MATCH($C1011,'Policy Characteristics'!$C:$C,0))),"",INDEX('Policy Characteristics'!B:B,MATCH($C1011,'Policy Characteristics'!$C:$C,0)))</f>
        <v>Industry Energy Efficiency Standards</v>
      </c>
      <c r="C1011" s="275" t="str">
        <f t="shared" si="41"/>
        <v>Percentage Improvement in Eqpt Efficiency Standards above BAU</v>
      </c>
      <c r="D1011" s="6" t="s">
        <v>3073</v>
      </c>
      <c r="E1011" s="47" t="s">
        <v>2711</v>
      </c>
      <c r="F1011" t="s">
        <v>3037</v>
      </c>
      <c r="G1011" s="47" t="s">
        <v>2715</v>
      </c>
      <c r="H1011" s="44">
        <v>996</v>
      </c>
      <c r="I1011" s="346" t="s">
        <v>44</v>
      </c>
      <c r="J1011" s="276" t="str">
        <f>IF(ISBLANK(INDEX('Policy Characteristics'!D:D,MATCH($C1011,'Policy Characteristics'!$C:$C,0))),"",INDEX('Policy Characteristics'!D:D,MATCH($C1011,'Policy Characteristics'!$C:$C,0)))</f>
        <v>Industry Energy Efficiency Standards</v>
      </c>
      <c r="K1011" s="275" t="str">
        <f>IF(ISBLANK(INDEX('Policy Characteristics'!E:E,MATCH($C1011,'Policy Characteristics'!$C:$C,0))),"",INDEX('Policy Characteristics'!E:E,MATCH($C1011,'Policy Characteristics'!$C:$C,0)))</f>
        <v>indst efficiency standards</v>
      </c>
      <c r="L1011" s="283">
        <f>IF(ISBLANK(INDEX('Policy Characteristics'!F:F,MATCH($C1011,'Policy Characteristics'!$C:$C,0))),"",INDEX('Policy Characteristics'!F:F,MATCH($C1011,'Policy Characteristics'!$C:$C,0)))</f>
        <v>0</v>
      </c>
      <c r="M1011" s="283">
        <f>IF(ISBLANK(INDEX('Policy Characteristics'!G:G,MATCH($C1011,'Policy Characteristics'!$C:$C,0))),"",INDEX('Policy Characteristics'!G:G,MATCH($C1011,'Policy Characteristics'!$C:$C,0)))</f>
        <v>0.25</v>
      </c>
      <c r="N1011" s="283">
        <f>IF(ISBLANK(INDEX('Policy Characteristics'!H:H,MATCH($C1011,'Policy Characteristics'!$C:$C,0))),"",INDEX('Policy Characteristics'!H:H,MATCH($C1011,'Policy Characteristics'!$C:$C,0)))</f>
        <v>0.01</v>
      </c>
      <c r="O1011" s="275" t="str">
        <f>IF(ISBLANK(INDEX('Policy Characteristics'!I:I,MATCH($C1011,'Policy Characteristics'!$C:$C,0))),"",INDEX('Policy Characteristics'!I:I,MATCH($C1011,'Policy Characteristics'!$C:$C,0)))</f>
        <v>% reduction in energy use</v>
      </c>
      <c r="P1011" s="275" t="str">
        <f>IF(ISBLANK(INDEX('Policy Characteristics'!J:J,MATCH($C1011,'Policy Characteristics'!$C:$C,0))),"",INDEX('Policy Characteristics'!J:J,MATCH($C1011,'Policy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1" s="275" t="str">
        <f>IF(ISBLANK(INDEX('Policy Characteristics'!K:K,MATCH($C1011,'Policy Characteristics'!$C:$C,0))),"",INDEX('Policy Characteristics'!K:K,MATCH($C1011,'Policy Characteristics'!$C:$C,0)))</f>
        <v>industry-ag-main.html#eff-stds</v>
      </c>
      <c r="R1011" s="275" t="str">
        <f>IF(ISBLANK(INDEX('Policy Characteristics'!L:L,MATCH($C1011,'Policy Characteristics'!$C:$C,0))),"",INDEX('Policy Characteristics'!L:L,MATCH($C1011,'Policy Characteristics'!$C:$C,0)))</f>
        <v>industry-energy-efficiency-standards.html</v>
      </c>
    </row>
    <row r="1012" spans="1:18" s="4" customFormat="1" x14ac:dyDescent="0.25">
      <c r="A1012" s="275" t="str">
        <f>IF(ISBLANK(INDEX('Policy Characteristics'!A:A,MATCH($C1012,'Policy Characteristics'!$C:$C,0))),"",INDEX('Policy Characteristics'!A:A,MATCH($C1012,'Policy Characteristics'!$C:$C,0)))</f>
        <v>Industry</v>
      </c>
      <c r="B1012" s="284" t="str">
        <f>IF(ISBLANK(INDEX('Policy Characteristics'!B:B,MATCH($C1012,'Policy Characteristics'!$C:$C,0))),"",INDEX('Policy Characteristics'!B:B,MATCH($C1012,'Policy Characteristics'!$C:$C,0)))</f>
        <v>Industry Energy Efficiency Standards</v>
      </c>
      <c r="C1012" s="275" t="str">
        <f t="shared" si="41"/>
        <v>Percentage Improvement in Eqpt Efficiency Standards above BAU</v>
      </c>
      <c r="D1012" s="6" t="s">
        <v>3073</v>
      </c>
      <c r="E1012" s="47" t="s">
        <v>2708</v>
      </c>
      <c r="F1012" t="s">
        <v>3037</v>
      </c>
      <c r="G1012" s="47" t="s">
        <v>2713</v>
      </c>
      <c r="H1012" s="44">
        <v>997</v>
      </c>
      <c r="I1012" s="346" t="s">
        <v>44</v>
      </c>
      <c r="J1012" s="276" t="str">
        <f>IF(ISBLANK(INDEX('Policy Characteristics'!D:D,MATCH($C1012,'Policy Characteristics'!$C:$C,0))),"",INDEX('Policy Characteristics'!D:D,MATCH($C1012,'Policy Characteristics'!$C:$C,0)))</f>
        <v>Industry Energy Efficiency Standards</v>
      </c>
      <c r="K1012" s="275" t="str">
        <f>IF(ISBLANK(INDEX('Policy Characteristics'!E:E,MATCH($C1012,'Policy Characteristics'!$C:$C,0))),"",INDEX('Policy Characteristics'!E:E,MATCH($C1012,'Policy Characteristics'!$C:$C,0)))</f>
        <v>indst efficiency standards</v>
      </c>
      <c r="L1012" s="283">
        <f>IF(ISBLANK(INDEX('Policy Characteristics'!F:F,MATCH($C1012,'Policy Characteristics'!$C:$C,0))),"",INDEX('Policy Characteristics'!F:F,MATCH($C1012,'Policy Characteristics'!$C:$C,0)))</f>
        <v>0</v>
      </c>
      <c r="M1012" s="283">
        <f>IF(ISBLANK(INDEX('Policy Characteristics'!G:G,MATCH($C1012,'Policy Characteristics'!$C:$C,0))),"",INDEX('Policy Characteristics'!G:G,MATCH($C1012,'Policy Characteristics'!$C:$C,0)))</f>
        <v>0.25</v>
      </c>
      <c r="N1012" s="283">
        <f>IF(ISBLANK(INDEX('Policy Characteristics'!H:H,MATCH($C1012,'Policy Characteristics'!$C:$C,0))),"",INDEX('Policy Characteristics'!H:H,MATCH($C1012,'Policy Characteristics'!$C:$C,0)))</f>
        <v>0.01</v>
      </c>
      <c r="O1012" s="275" t="str">
        <f>IF(ISBLANK(INDEX('Policy Characteristics'!I:I,MATCH($C1012,'Policy Characteristics'!$C:$C,0))),"",INDEX('Policy Characteristics'!I:I,MATCH($C1012,'Policy Characteristics'!$C:$C,0)))</f>
        <v>% reduction in energy use</v>
      </c>
      <c r="P1012" s="275" t="str">
        <f>IF(ISBLANK(INDEX('Policy Characteristics'!J:J,MATCH($C1012,'Policy Characteristics'!$C:$C,0))),"",INDEX('Policy Characteristics'!J:J,MATCH($C1012,'Policy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2" s="275" t="str">
        <f>IF(ISBLANK(INDEX('Policy Characteristics'!K:K,MATCH($C1012,'Policy Characteristics'!$C:$C,0))),"",INDEX('Policy Characteristics'!K:K,MATCH($C1012,'Policy Characteristics'!$C:$C,0)))</f>
        <v>industry-ag-main.html#eff-stds</v>
      </c>
      <c r="R1012" s="275" t="str">
        <f>IF(ISBLANK(INDEX('Policy Characteristics'!L:L,MATCH($C1012,'Policy Characteristics'!$C:$C,0))),"",INDEX('Policy Characteristics'!L:L,MATCH($C1012,'Policy Characteristics'!$C:$C,0)))</f>
        <v>industry-energy-efficiency-standards.html</v>
      </c>
    </row>
    <row r="1013" spans="1:18" s="4" customFormat="1" x14ac:dyDescent="0.25">
      <c r="A1013" s="275" t="str">
        <f>IF(ISBLANK(INDEX('Policy Characteristics'!A:A,MATCH($C1013,'Policy Characteristics'!$C:$C,0))),"",INDEX('Policy Characteristics'!A:A,MATCH($C1013,'Policy Characteristics'!$C:$C,0)))</f>
        <v>Industry</v>
      </c>
      <c r="B1013" s="284" t="str">
        <f>IF(ISBLANK(INDEX('Policy Characteristics'!B:B,MATCH($C1013,'Policy Characteristics'!$C:$C,0))),"",INDEX('Policy Characteristics'!B:B,MATCH($C1013,'Policy Characteristics'!$C:$C,0)))</f>
        <v>Industry Energy Efficiency Standards</v>
      </c>
      <c r="C1013" s="275" t="str">
        <f t="shared" si="41"/>
        <v>Percentage Improvement in Eqpt Efficiency Standards above BAU</v>
      </c>
      <c r="D1013" s="6" t="s">
        <v>3074</v>
      </c>
      <c r="E1013" s="47" t="s">
        <v>2401</v>
      </c>
      <c r="F1013" t="s">
        <v>3038</v>
      </c>
      <c r="G1013" s="47" t="s">
        <v>2407</v>
      </c>
      <c r="H1013" s="44">
        <v>998</v>
      </c>
      <c r="I1013" s="346" t="s">
        <v>43</v>
      </c>
      <c r="J1013" s="276" t="str">
        <f>IF(ISBLANK(INDEX('Policy Characteristics'!D:D,MATCH($C1013,'Policy Characteristics'!$C:$C,0))),"",INDEX('Policy Characteristics'!D:D,MATCH($C1013,'Policy Characteristics'!$C:$C,0)))</f>
        <v>Industry Energy Efficiency Standards</v>
      </c>
      <c r="K1013" s="275" t="str">
        <f>IF(ISBLANK(INDEX('Policy Characteristics'!E:E,MATCH($C1013,'Policy Characteristics'!$C:$C,0))),"",INDEX('Policy Characteristics'!E:E,MATCH($C1013,'Policy Characteristics'!$C:$C,0)))</f>
        <v>indst efficiency standards</v>
      </c>
      <c r="L1013" s="283">
        <f>IF(ISBLANK(INDEX('Policy Characteristics'!F:F,MATCH($C1013,'Policy Characteristics'!$C:$C,0))),"",INDEX('Policy Characteristics'!F:F,MATCH($C1013,'Policy Characteristics'!$C:$C,0)))</f>
        <v>0</v>
      </c>
      <c r="M1013" s="283">
        <f>IF(ISBLANK(INDEX('Policy Characteristics'!G:G,MATCH($C1013,'Policy Characteristics'!$C:$C,0))),"",INDEX('Policy Characteristics'!G:G,MATCH($C1013,'Policy Characteristics'!$C:$C,0)))</f>
        <v>0.25</v>
      </c>
      <c r="N1013" s="283">
        <f>IF(ISBLANK(INDEX('Policy Characteristics'!H:H,MATCH($C1013,'Policy Characteristics'!$C:$C,0))),"",INDEX('Policy Characteristics'!H:H,MATCH($C1013,'Policy Characteristics'!$C:$C,0)))</f>
        <v>0.01</v>
      </c>
      <c r="O1013" s="275" t="str">
        <f>IF(ISBLANK(INDEX('Policy Characteristics'!I:I,MATCH($C1013,'Policy Characteristics'!$C:$C,0))),"",INDEX('Policy Characteristics'!I:I,MATCH($C1013,'Policy Characteristics'!$C:$C,0)))</f>
        <v>% reduction in energy use</v>
      </c>
      <c r="P1013" s="275" t="str">
        <f>IF(ISBLANK(INDEX('Policy Characteristics'!J:J,MATCH($C1013,'Policy Characteristics'!$C:$C,0))),"",INDEX('Policy Characteristics'!J:J,MATCH($C1013,'Policy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3" s="275" t="str">
        <f>IF(ISBLANK(INDEX('Policy Characteristics'!K:K,MATCH($C1013,'Policy Characteristics'!$C:$C,0))),"",INDEX('Policy Characteristics'!K:K,MATCH($C1013,'Policy Characteristics'!$C:$C,0)))</f>
        <v>industry-ag-main.html#eff-stds</v>
      </c>
      <c r="R1013" s="275" t="str">
        <f>IF(ISBLANK(INDEX('Policy Characteristics'!L:L,MATCH($C1013,'Policy Characteristics'!$C:$C,0))),"",INDEX('Policy Characteristics'!L:L,MATCH($C1013,'Policy Characteristics'!$C:$C,0)))</f>
        <v>industry-energy-efficiency-standards.html</v>
      </c>
    </row>
    <row r="1014" spans="1:18" s="4" customFormat="1" x14ac:dyDescent="0.25">
      <c r="A1014" s="275" t="str">
        <f>IF(ISBLANK(INDEX('Policy Characteristics'!A:A,MATCH($C1014,'Policy Characteristics'!$C:$C,0))),"",INDEX('Policy Characteristics'!A:A,MATCH($C1014,'Policy Characteristics'!$C:$C,0)))</f>
        <v>Industry</v>
      </c>
      <c r="B1014" s="284" t="str">
        <f>IF(ISBLANK(INDEX('Policy Characteristics'!B:B,MATCH($C1014,'Policy Characteristics'!$C:$C,0))),"",INDEX('Policy Characteristics'!B:B,MATCH($C1014,'Policy Characteristics'!$C:$C,0)))</f>
        <v>Industry Energy Efficiency Standards</v>
      </c>
      <c r="C1014" s="275" t="str">
        <f t="shared" si="41"/>
        <v>Percentage Improvement in Eqpt Efficiency Standards above BAU</v>
      </c>
      <c r="D1014" s="6" t="s">
        <v>3074</v>
      </c>
      <c r="E1014" s="47" t="s">
        <v>2402</v>
      </c>
      <c r="F1014" t="s">
        <v>3038</v>
      </c>
      <c r="G1014" s="47" t="s">
        <v>2410</v>
      </c>
      <c r="H1014" s="44">
        <v>999</v>
      </c>
      <c r="I1014" s="346" t="s">
        <v>43</v>
      </c>
      <c r="J1014" s="276" t="str">
        <f>IF(ISBLANK(INDEX('Policy Characteristics'!D:D,MATCH($C1014,'Policy Characteristics'!$C:$C,0))),"",INDEX('Policy Characteristics'!D:D,MATCH($C1014,'Policy Characteristics'!$C:$C,0)))</f>
        <v>Industry Energy Efficiency Standards</v>
      </c>
      <c r="K1014" s="275" t="str">
        <f>IF(ISBLANK(INDEX('Policy Characteristics'!E:E,MATCH($C1014,'Policy Characteristics'!$C:$C,0))),"",INDEX('Policy Characteristics'!E:E,MATCH($C1014,'Policy Characteristics'!$C:$C,0)))</f>
        <v>indst efficiency standards</v>
      </c>
      <c r="L1014" s="283">
        <f>IF(ISBLANK(INDEX('Policy Characteristics'!F:F,MATCH($C1014,'Policy Characteristics'!$C:$C,0))),"",INDEX('Policy Characteristics'!F:F,MATCH($C1014,'Policy Characteristics'!$C:$C,0)))</f>
        <v>0</v>
      </c>
      <c r="M1014" s="283">
        <f>IF(ISBLANK(INDEX('Policy Characteristics'!G:G,MATCH($C1014,'Policy Characteristics'!$C:$C,0))),"",INDEX('Policy Characteristics'!G:G,MATCH($C1014,'Policy Characteristics'!$C:$C,0)))</f>
        <v>0.25</v>
      </c>
      <c r="N1014" s="283">
        <f>IF(ISBLANK(INDEX('Policy Characteristics'!H:H,MATCH($C1014,'Policy Characteristics'!$C:$C,0))),"",INDEX('Policy Characteristics'!H:H,MATCH($C1014,'Policy Characteristics'!$C:$C,0)))</f>
        <v>0.01</v>
      </c>
      <c r="O1014" s="275" t="str">
        <f>IF(ISBLANK(INDEX('Policy Characteristics'!I:I,MATCH($C1014,'Policy Characteristics'!$C:$C,0))),"",INDEX('Policy Characteristics'!I:I,MATCH($C1014,'Policy Characteristics'!$C:$C,0)))</f>
        <v>% reduction in energy use</v>
      </c>
      <c r="P1014" s="275" t="str">
        <f>IF(ISBLANK(INDEX('Policy Characteristics'!J:J,MATCH($C1014,'Policy Characteristics'!$C:$C,0))),"",INDEX('Policy Characteristics'!J:J,MATCH($C1014,'Policy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4" s="275" t="str">
        <f>IF(ISBLANK(INDEX('Policy Characteristics'!K:K,MATCH($C1014,'Policy Characteristics'!$C:$C,0))),"",INDEX('Policy Characteristics'!K:K,MATCH($C1014,'Policy Characteristics'!$C:$C,0)))</f>
        <v>industry-ag-main.html#eff-stds</v>
      </c>
      <c r="R1014" s="275" t="str">
        <f>IF(ISBLANK(INDEX('Policy Characteristics'!L:L,MATCH($C1014,'Policy Characteristics'!$C:$C,0))),"",INDEX('Policy Characteristics'!L:L,MATCH($C1014,'Policy Characteristics'!$C:$C,0)))</f>
        <v>industry-energy-efficiency-standards.html</v>
      </c>
    </row>
    <row r="1015" spans="1:18" s="4" customFormat="1" x14ac:dyDescent="0.25">
      <c r="A1015" s="275" t="str">
        <f>IF(ISBLANK(INDEX('Policy Characteristics'!A:A,MATCH($C1015,'Policy Characteristics'!$C:$C,0))),"",INDEX('Policy Characteristics'!A:A,MATCH($C1015,'Policy Characteristics'!$C:$C,0)))</f>
        <v>Industry</v>
      </c>
      <c r="B1015" s="284" t="str">
        <f>IF(ISBLANK(INDEX('Policy Characteristics'!B:B,MATCH($C1015,'Policy Characteristics'!$C:$C,0))),"",INDEX('Policy Characteristics'!B:B,MATCH($C1015,'Policy Characteristics'!$C:$C,0)))</f>
        <v>Industry Energy Efficiency Standards</v>
      </c>
      <c r="C1015" s="275" t="str">
        <f t="shared" si="41"/>
        <v>Percentage Improvement in Eqpt Efficiency Standards above BAU</v>
      </c>
      <c r="D1015" s="6" t="s">
        <v>3074</v>
      </c>
      <c r="E1015" s="47" t="s">
        <v>2403</v>
      </c>
      <c r="F1015" t="s">
        <v>3038</v>
      </c>
      <c r="G1015" s="47" t="s">
        <v>2411</v>
      </c>
      <c r="H1015" s="44">
        <v>1000</v>
      </c>
      <c r="I1015" s="346" t="s">
        <v>43</v>
      </c>
      <c r="J1015" s="276" t="str">
        <f>IF(ISBLANK(INDEX('Policy Characteristics'!D:D,MATCH($C1015,'Policy Characteristics'!$C:$C,0))),"",INDEX('Policy Characteristics'!D:D,MATCH($C1015,'Policy Characteristics'!$C:$C,0)))</f>
        <v>Industry Energy Efficiency Standards</v>
      </c>
      <c r="K1015" s="275" t="str">
        <f>IF(ISBLANK(INDEX('Policy Characteristics'!E:E,MATCH($C1015,'Policy Characteristics'!$C:$C,0))),"",INDEX('Policy Characteristics'!E:E,MATCH($C1015,'Policy Characteristics'!$C:$C,0)))</f>
        <v>indst efficiency standards</v>
      </c>
      <c r="L1015" s="283">
        <f>IF(ISBLANK(INDEX('Policy Characteristics'!F:F,MATCH($C1015,'Policy Characteristics'!$C:$C,0))),"",INDEX('Policy Characteristics'!F:F,MATCH($C1015,'Policy Characteristics'!$C:$C,0)))</f>
        <v>0</v>
      </c>
      <c r="M1015" s="283">
        <f>IF(ISBLANK(INDEX('Policy Characteristics'!G:G,MATCH($C1015,'Policy Characteristics'!$C:$C,0))),"",INDEX('Policy Characteristics'!G:G,MATCH($C1015,'Policy Characteristics'!$C:$C,0)))</f>
        <v>0.25</v>
      </c>
      <c r="N1015" s="283">
        <f>IF(ISBLANK(INDEX('Policy Characteristics'!H:H,MATCH($C1015,'Policy Characteristics'!$C:$C,0))),"",INDEX('Policy Characteristics'!H:H,MATCH($C1015,'Policy Characteristics'!$C:$C,0)))</f>
        <v>0.01</v>
      </c>
      <c r="O1015" s="275" t="str">
        <f>IF(ISBLANK(INDEX('Policy Characteristics'!I:I,MATCH($C1015,'Policy Characteristics'!$C:$C,0))),"",INDEX('Policy Characteristics'!I:I,MATCH($C1015,'Policy Characteristics'!$C:$C,0)))</f>
        <v>% reduction in energy use</v>
      </c>
      <c r="P1015" s="275" t="str">
        <f>IF(ISBLANK(INDEX('Policy Characteristics'!J:J,MATCH($C1015,'Policy Characteristics'!$C:$C,0))),"",INDEX('Policy Characteristics'!J:J,MATCH($C1015,'Policy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5" s="275" t="str">
        <f>IF(ISBLANK(INDEX('Policy Characteristics'!K:K,MATCH($C1015,'Policy Characteristics'!$C:$C,0))),"",INDEX('Policy Characteristics'!K:K,MATCH($C1015,'Policy Characteristics'!$C:$C,0)))</f>
        <v>industry-ag-main.html#eff-stds</v>
      </c>
      <c r="R1015" s="275" t="str">
        <f>IF(ISBLANK(INDEX('Policy Characteristics'!L:L,MATCH($C1015,'Policy Characteristics'!$C:$C,0))),"",INDEX('Policy Characteristics'!L:L,MATCH($C1015,'Policy Characteristics'!$C:$C,0)))</f>
        <v>industry-energy-efficiency-standards.html</v>
      </c>
    </row>
    <row r="1016" spans="1:18" s="4" customFormat="1" x14ac:dyDescent="0.25">
      <c r="A1016" s="275" t="str">
        <f>IF(ISBLANK(INDEX('Policy Characteristics'!A:A,MATCH($C1016,'Policy Characteristics'!$C:$C,0))),"",INDEX('Policy Characteristics'!A:A,MATCH($C1016,'Policy Characteristics'!$C:$C,0)))</f>
        <v>Industry</v>
      </c>
      <c r="B1016" s="284" t="str">
        <f>IF(ISBLANK(INDEX('Policy Characteristics'!B:B,MATCH($C1016,'Policy Characteristics'!$C:$C,0))),"",INDEX('Policy Characteristics'!B:B,MATCH($C1016,'Policy Characteristics'!$C:$C,0)))</f>
        <v>Industry Energy Efficiency Standards</v>
      </c>
      <c r="C1016" s="275" t="str">
        <f t="shared" si="41"/>
        <v>Percentage Improvement in Eqpt Efficiency Standards above BAU</v>
      </c>
      <c r="D1016" s="6" t="s">
        <v>3074</v>
      </c>
      <c r="E1016" s="47" t="s">
        <v>2404</v>
      </c>
      <c r="F1016" t="s">
        <v>3038</v>
      </c>
      <c r="G1016" s="47" t="s">
        <v>2408</v>
      </c>
      <c r="H1016" s="44">
        <v>1001</v>
      </c>
      <c r="I1016" s="346" t="s">
        <v>44</v>
      </c>
      <c r="J1016" s="276" t="str">
        <f>IF(ISBLANK(INDEX('Policy Characteristics'!D:D,MATCH($C1016,'Policy Characteristics'!$C:$C,0))),"",INDEX('Policy Characteristics'!D:D,MATCH($C1016,'Policy Characteristics'!$C:$C,0)))</f>
        <v>Industry Energy Efficiency Standards</v>
      </c>
      <c r="K1016" s="275" t="str">
        <f>IF(ISBLANK(INDEX('Policy Characteristics'!E:E,MATCH($C1016,'Policy Characteristics'!$C:$C,0))),"",INDEX('Policy Characteristics'!E:E,MATCH($C1016,'Policy Characteristics'!$C:$C,0)))</f>
        <v>indst efficiency standards</v>
      </c>
      <c r="L1016" s="283">
        <f>IF(ISBLANK(INDEX('Policy Characteristics'!F:F,MATCH($C1016,'Policy Characteristics'!$C:$C,0))),"",INDEX('Policy Characteristics'!F:F,MATCH($C1016,'Policy Characteristics'!$C:$C,0)))</f>
        <v>0</v>
      </c>
      <c r="M1016" s="283">
        <f>IF(ISBLANK(INDEX('Policy Characteristics'!G:G,MATCH($C1016,'Policy Characteristics'!$C:$C,0))),"",INDEX('Policy Characteristics'!G:G,MATCH($C1016,'Policy Characteristics'!$C:$C,0)))</f>
        <v>0.25</v>
      </c>
      <c r="N1016" s="283">
        <f>IF(ISBLANK(INDEX('Policy Characteristics'!H:H,MATCH($C1016,'Policy Characteristics'!$C:$C,0))),"",INDEX('Policy Characteristics'!H:H,MATCH($C1016,'Policy Characteristics'!$C:$C,0)))</f>
        <v>0.01</v>
      </c>
      <c r="O1016" s="275" t="str">
        <f>IF(ISBLANK(INDEX('Policy Characteristics'!I:I,MATCH($C1016,'Policy Characteristics'!$C:$C,0))),"",INDEX('Policy Characteristics'!I:I,MATCH($C1016,'Policy Characteristics'!$C:$C,0)))</f>
        <v>% reduction in energy use</v>
      </c>
      <c r="P1016" s="275" t="str">
        <f>IF(ISBLANK(INDEX('Policy Characteristics'!J:J,MATCH($C1016,'Policy Characteristics'!$C:$C,0))),"",INDEX('Policy Characteristics'!J:J,MATCH($C1016,'Policy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6" s="275" t="str">
        <f>IF(ISBLANK(INDEX('Policy Characteristics'!K:K,MATCH($C1016,'Policy Characteristics'!$C:$C,0))),"",INDEX('Policy Characteristics'!K:K,MATCH($C1016,'Policy Characteristics'!$C:$C,0)))</f>
        <v>industry-ag-main.html#eff-stds</v>
      </c>
      <c r="R1016" s="275" t="str">
        <f>IF(ISBLANK(INDEX('Policy Characteristics'!L:L,MATCH($C1016,'Policy Characteristics'!$C:$C,0))),"",INDEX('Policy Characteristics'!L:L,MATCH($C1016,'Policy Characteristics'!$C:$C,0)))</f>
        <v>industry-energy-efficiency-standards.html</v>
      </c>
    </row>
    <row r="1017" spans="1:18" s="4" customFormat="1" x14ac:dyDescent="0.25">
      <c r="A1017" s="275" t="str">
        <f>IF(ISBLANK(INDEX('Policy Characteristics'!A:A,MATCH($C1017,'Policy Characteristics'!$C:$C,0))),"",INDEX('Policy Characteristics'!A:A,MATCH($C1017,'Policy Characteristics'!$C:$C,0)))</f>
        <v>Industry</v>
      </c>
      <c r="B1017" s="284" t="str">
        <f>IF(ISBLANK(INDEX('Policy Characteristics'!B:B,MATCH($C1017,'Policy Characteristics'!$C:$C,0))),"",INDEX('Policy Characteristics'!B:B,MATCH($C1017,'Policy Characteristics'!$C:$C,0)))</f>
        <v>Industry Energy Efficiency Standards</v>
      </c>
      <c r="C1017" s="275" t="str">
        <f t="shared" si="41"/>
        <v>Percentage Improvement in Eqpt Efficiency Standards above BAU</v>
      </c>
      <c r="D1017" s="6" t="s">
        <v>3074</v>
      </c>
      <c r="E1017" s="47" t="s">
        <v>2405</v>
      </c>
      <c r="F1017" t="s">
        <v>3038</v>
      </c>
      <c r="G1017" s="47" t="s">
        <v>2409</v>
      </c>
      <c r="H1017" s="44">
        <v>1002</v>
      </c>
      <c r="I1017" s="346" t="s">
        <v>43</v>
      </c>
      <c r="J1017" s="276" t="str">
        <f>IF(ISBLANK(INDEX('Policy Characteristics'!D:D,MATCH($C1017,'Policy Characteristics'!$C:$C,0))),"",INDEX('Policy Characteristics'!D:D,MATCH($C1017,'Policy Characteristics'!$C:$C,0)))</f>
        <v>Industry Energy Efficiency Standards</v>
      </c>
      <c r="K1017" s="275" t="str">
        <f>IF(ISBLANK(INDEX('Policy Characteristics'!E:E,MATCH($C1017,'Policy Characteristics'!$C:$C,0))),"",INDEX('Policy Characteristics'!E:E,MATCH($C1017,'Policy Characteristics'!$C:$C,0)))</f>
        <v>indst efficiency standards</v>
      </c>
      <c r="L1017" s="283">
        <f>IF(ISBLANK(INDEX('Policy Characteristics'!F:F,MATCH($C1017,'Policy Characteristics'!$C:$C,0))),"",INDEX('Policy Characteristics'!F:F,MATCH($C1017,'Policy Characteristics'!$C:$C,0)))</f>
        <v>0</v>
      </c>
      <c r="M1017" s="283">
        <f>IF(ISBLANK(INDEX('Policy Characteristics'!G:G,MATCH($C1017,'Policy Characteristics'!$C:$C,0))),"",INDEX('Policy Characteristics'!G:G,MATCH($C1017,'Policy Characteristics'!$C:$C,0)))</f>
        <v>0.25</v>
      </c>
      <c r="N1017" s="283">
        <f>IF(ISBLANK(INDEX('Policy Characteristics'!H:H,MATCH($C1017,'Policy Characteristics'!$C:$C,0))),"",INDEX('Policy Characteristics'!H:H,MATCH($C1017,'Policy Characteristics'!$C:$C,0)))</f>
        <v>0.01</v>
      </c>
      <c r="O1017" s="275" t="str">
        <f>IF(ISBLANK(INDEX('Policy Characteristics'!I:I,MATCH($C1017,'Policy Characteristics'!$C:$C,0))),"",INDEX('Policy Characteristics'!I:I,MATCH($C1017,'Policy Characteristics'!$C:$C,0)))</f>
        <v>% reduction in energy use</v>
      </c>
      <c r="P1017" s="275" t="str">
        <f>IF(ISBLANK(INDEX('Policy Characteristics'!J:J,MATCH($C1017,'Policy Characteristics'!$C:$C,0))),"",INDEX('Policy Characteristics'!J:J,MATCH($C1017,'Policy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7" s="275" t="str">
        <f>IF(ISBLANK(INDEX('Policy Characteristics'!K:K,MATCH($C1017,'Policy Characteristics'!$C:$C,0))),"",INDEX('Policy Characteristics'!K:K,MATCH($C1017,'Policy Characteristics'!$C:$C,0)))</f>
        <v>industry-ag-main.html#eff-stds</v>
      </c>
      <c r="R1017" s="275" t="str">
        <f>IF(ISBLANK(INDEX('Policy Characteristics'!L:L,MATCH($C1017,'Policy Characteristics'!$C:$C,0))),"",INDEX('Policy Characteristics'!L:L,MATCH($C1017,'Policy Characteristics'!$C:$C,0)))</f>
        <v>industry-energy-efficiency-standards.html</v>
      </c>
    </row>
    <row r="1018" spans="1:18" s="4" customFormat="1" x14ac:dyDescent="0.25">
      <c r="A1018" s="275" t="str">
        <f>IF(ISBLANK(INDEX('Policy Characteristics'!A:A,MATCH($C1018,'Policy Characteristics'!$C:$C,0))),"",INDEX('Policy Characteristics'!A:A,MATCH($C1018,'Policy Characteristics'!$C:$C,0)))</f>
        <v>Industry</v>
      </c>
      <c r="B1018" s="284" t="str">
        <f>IF(ISBLANK(INDEX('Policy Characteristics'!B:B,MATCH($C1018,'Policy Characteristics'!$C:$C,0))),"",INDEX('Policy Characteristics'!B:B,MATCH($C1018,'Policy Characteristics'!$C:$C,0)))</f>
        <v>Industry Energy Efficiency Standards</v>
      </c>
      <c r="C1018" s="275" t="str">
        <f t="shared" si="41"/>
        <v>Percentage Improvement in Eqpt Efficiency Standards above BAU</v>
      </c>
      <c r="D1018" s="6" t="s">
        <v>3074</v>
      </c>
      <c r="E1018" s="47" t="s">
        <v>2406</v>
      </c>
      <c r="F1018" t="s">
        <v>3038</v>
      </c>
      <c r="G1018" s="47" t="s">
        <v>2412</v>
      </c>
      <c r="H1018" s="44">
        <v>1003</v>
      </c>
      <c r="I1018" s="346" t="s">
        <v>44</v>
      </c>
      <c r="J1018" s="276" t="str">
        <f>IF(ISBLANK(INDEX('Policy Characteristics'!D:D,MATCH($C1018,'Policy Characteristics'!$C:$C,0))),"",INDEX('Policy Characteristics'!D:D,MATCH($C1018,'Policy Characteristics'!$C:$C,0)))</f>
        <v>Industry Energy Efficiency Standards</v>
      </c>
      <c r="K1018" s="275" t="str">
        <f>IF(ISBLANK(INDEX('Policy Characteristics'!E:E,MATCH($C1018,'Policy Characteristics'!$C:$C,0))),"",INDEX('Policy Characteristics'!E:E,MATCH($C1018,'Policy Characteristics'!$C:$C,0)))</f>
        <v>indst efficiency standards</v>
      </c>
      <c r="L1018" s="283">
        <f>IF(ISBLANK(INDEX('Policy Characteristics'!F:F,MATCH($C1018,'Policy Characteristics'!$C:$C,0))),"",INDEX('Policy Characteristics'!F:F,MATCH($C1018,'Policy Characteristics'!$C:$C,0)))</f>
        <v>0</v>
      </c>
      <c r="M1018" s="283">
        <f>IF(ISBLANK(INDEX('Policy Characteristics'!G:G,MATCH($C1018,'Policy Characteristics'!$C:$C,0))),"",INDEX('Policy Characteristics'!G:G,MATCH($C1018,'Policy Characteristics'!$C:$C,0)))</f>
        <v>0.25</v>
      </c>
      <c r="N1018" s="283">
        <f>IF(ISBLANK(INDEX('Policy Characteristics'!H:H,MATCH($C1018,'Policy Characteristics'!$C:$C,0))),"",INDEX('Policy Characteristics'!H:H,MATCH($C1018,'Policy Characteristics'!$C:$C,0)))</f>
        <v>0.01</v>
      </c>
      <c r="O1018" s="275" t="str">
        <f>IF(ISBLANK(INDEX('Policy Characteristics'!I:I,MATCH($C1018,'Policy Characteristics'!$C:$C,0))),"",INDEX('Policy Characteristics'!I:I,MATCH($C1018,'Policy Characteristics'!$C:$C,0)))</f>
        <v>% reduction in energy use</v>
      </c>
      <c r="P1018" s="275" t="str">
        <f>IF(ISBLANK(INDEX('Policy Characteristics'!J:J,MATCH($C1018,'Policy Characteristics'!$C:$C,0))),"",INDEX('Policy Characteristics'!J:J,MATCH($C1018,'Policy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8" s="275" t="str">
        <f>IF(ISBLANK(INDEX('Policy Characteristics'!K:K,MATCH($C1018,'Policy Characteristics'!$C:$C,0))),"",INDEX('Policy Characteristics'!K:K,MATCH($C1018,'Policy Characteristics'!$C:$C,0)))</f>
        <v>industry-ag-main.html#eff-stds</v>
      </c>
      <c r="R1018" s="275" t="str">
        <f>IF(ISBLANK(INDEX('Policy Characteristics'!L:L,MATCH($C1018,'Policy Characteristics'!$C:$C,0))),"",INDEX('Policy Characteristics'!L:L,MATCH($C1018,'Policy Characteristics'!$C:$C,0)))</f>
        <v>industry-energy-efficiency-standards.html</v>
      </c>
    </row>
    <row r="1019" spans="1:18" s="4" customFormat="1" x14ac:dyDescent="0.25">
      <c r="A1019" s="275" t="str">
        <f>IF(ISBLANK(INDEX('Policy Characteristics'!A:A,MATCH($C1019,'Policy Characteristics'!$C:$C,0))),"",INDEX('Policy Characteristics'!A:A,MATCH($C1019,'Policy Characteristics'!$C:$C,0)))</f>
        <v>Industry</v>
      </c>
      <c r="B1019" s="284" t="str">
        <f>IF(ISBLANK(INDEX('Policy Characteristics'!B:B,MATCH($C1019,'Policy Characteristics'!$C:$C,0))),"",INDEX('Policy Characteristics'!B:B,MATCH($C1019,'Policy Characteristics'!$C:$C,0)))</f>
        <v>Industry Energy Efficiency Standards</v>
      </c>
      <c r="C1019" s="275" t="str">
        <f t="shared" si="41"/>
        <v>Percentage Improvement in Eqpt Efficiency Standards above BAU</v>
      </c>
      <c r="D1019" s="6" t="s">
        <v>3074</v>
      </c>
      <c r="E1019" s="47" t="s">
        <v>2709</v>
      </c>
      <c r="F1019" t="s">
        <v>3038</v>
      </c>
      <c r="G1019" s="47" t="s">
        <v>2712</v>
      </c>
      <c r="H1019" s="44">
        <v>1004</v>
      </c>
      <c r="I1019" s="346" t="s">
        <v>44</v>
      </c>
      <c r="J1019" s="276" t="str">
        <f>IF(ISBLANK(INDEX('Policy Characteristics'!D:D,MATCH($C1019,'Policy Characteristics'!$C:$C,0))),"",INDEX('Policy Characteristics'!D:D,MATCH($C1019,'Policy Characteristics'!$C:$C,0)))</f>
        <v>Industry Energy Efficiency Standards</v>
      </c>
      <c r="K1019" s="275" t="str">
        <f>IF(ISBLANK(INDEX('Policy Characteristics'!E:E,MATCH($C1019,'Policy Characteristics'!$C:$C,0))),"",INDEX('Policy Characteristics'!E:E,MATCH($C1019,'Policy Characteristics'!$C:$C,0)))</f>
        <v>indst efficiency standards</v>
      </c>
      <c r="L1019" s="283">
        <f>IF(ISBLANK(INDEX('Policy Characteristics'!F:F,MATCH($C1019,'Policy Characteristics'!$C:$C,0))),"",INDEX('Policy Characteristics'!F:F,MATCH($C1019,'Policy Characteristics'!$C:$C,0)))</f>
        <v>0</v>
      </c>
      <c r="M1019" s="283">
        <f>IF(ISBLANK(INDEX('Policy Characteristics'!G:G,MATCH($C1019,'Policy Characteristics'!$C:$C,0))),"",INDEX('Policy Characteristics'!G:G,MATCH($C1019,'Policy Characteristics'!$C:$C,0)))</f>
        <v>0.25</v>
      </c>
      <c r="N1019" s="283">
        <f>IF(ISBLANK(INDEX('Policy Characteristics'!H:H,MATCH($C1019,'Policy Characteristics'!$C:$C,0))),"",INDEX('Policy Characteristics'!H:H,MATCH($C1019,'Policy Characteristics'!$C:$C,0)))</f>
        <v>0.01</v>
      </c>
      <c r="O1019" s="275" t="str">
        <f>IF(ISBLANK(INDEX('Policy Characteristics'!I:I,MATCH($C1019,'Policy Characteristics'!$C:$C,0))),"",INDEX('Policy Characteristics'!I:I,MATCH($C1019,'Policy Characteristics'!$C:$C,0)))</f>
        <v>% reduction in energy use</v>
      </c>
      <c r="P1019" s="275" t="str">
        <f>IF(ISBLANK(INDEX('Policy Characteristics'!J:J,MATCH($C1019,'Policy Characteristics'!$C:$C,0))),"",INDEX('Policy Characteristics'!J:J,MATCH($C1019,'Policy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9" s="275" t="str">
        <f>IF(ISBLANK(INDEX('Policy Characteristics'!K:K,MATCH($C1019,'Policy Characteristics'!$C:$C,0))),"",INDEX('Policy Characteristics'!K:K,MATCH($C1019,'Policy Characteristics'!$C:$C,0)))</f>
        <v>industry-ag-main.html#eff-stds</v>
      </c>
      <c r="R1019" s="275" t="str">
        <f>IF(ISBLANK(INDEX('Policy Characteristics'!L:L,MATCH($C1019,'Policy Characteristics'!$C:$C,0))),"",INDEX('Policy Characteristics'!L:L,MATCH($C1019,'Policy Characteristics'!$C:$C,0)))</f>
        <v>industry-energy-efficiency-standards.html</v>
      </c>
    </row>
    <row r="1020" spans="1:18" s="4" customFormat="1" x14ac:dyDescent="0.25">
      <c r="A1020" s="275" t="str">
        <f>IF(ISBLANK(INDEX('Policy Characteristics'!A:A,MATCH($C1020,'Policy Characteristics'!$C:$C,0))),"",INDEX('Policy Characteristics'!A:A,MATCH($C1020,'Policy Characteristics'!$C:$C,0)))</f>
        <v>Industry</v>
      </c>
      <c r="B1020" s="284" t="str">
        <f>IF(ISBLANK(INDEX('Policy Characteristics'!B:B,MATCH($C1020,'Policy Characteristics'!$C:$C,0))),"",INDEX('Policy Characteristics'!B:B,MATCH($C1020,'Policy Characteristics'!$C:$C,0)))</f>
        <v>Industry Energy Efficiency Standards</v>
      </c>
      <c r="C1020" s="275" t="str">
        <f t="shared" si="41"/>
        <v>Percentage Improvement in Eqpt Efficiency Standards above BAU</v>
      </c>
      <c r="D1020" s="6" t="s">
        <v>3074</v>
      </c>
      <c r="E1020" s="47" t="s">
        <v>2710</v>
      </c>
      <c r="F1020" t="s">
        <v>3038</v>
      </c>
      <c r="G1020" s="47" t="s">
        <v>2714</v>
      </c>
      <c r="H1020" s="44">
        <v>1005</v>
      </c>
      <c r="I1020" s="346" t="s">
        <v>43</v>
      </c>
      <c r="J1020" s="276" t="str">
        <f>IF(ISBLANK(INDEX('Policy Characteristics'!D:D,MATCH($C1020,'Policy Characteristics'!$C:$C,0))),"",INDEX('Policy Characteristics'!D:D,MATCH($C1020,'Policy Characteristics'!$C:$C,0)))</f>
        <v>Industry Energy Efficiency Standards</v>
      </c>
      <c r="K1020" s="275" t="str">
        <f>IF(ISBLANK(INDEX('Policy Characteristics'!E:E,MATCH($C1020,'Policy Characteristics'!$C:$C,0))),"",INDEX('Policy Characteristics'!E:E,MATCH($C1020,'Policy Characteristics'!$C:$C,0)))</f>
        <v>indst efficiency standards</v>
      </c>
      <c r="L1020" s="283">
        <f>IF(ISBLANK(INDEX('Policy Characteristics'!F:F,MATCH($C1020,'Policy Characteristics'!$C:$C,0))),"",INDEX('Policy Characteristics'!F:F,MATCH($C1020,'Policy Characteristics'!$C:$C,0)))</f>
        <v>0</v>
      </c>
      <c r="M1020" s="283">
        <f>IF(ISBLANK(INDEX('Policy Characteristics'!G:G,MATCH($C1020,'Policy Characteristics'!$C:$C,0))),"",INDEX('Policy Characteristics'!G:G,MATCH($C1020,'Policy Characteristics'!$C:$C,0)))</f>
        <v>0.25</v>
      </c>
      <c r="N1020" s="283">
        <f>IF(ISBLANK(INDEX('Policy Characteristics'!H:H,MATCH($C1020,'Policy Characteristics'!$C:$C,0))),"",INDEX('Policy Characteristics'!H:H,MATCH($C1020,'Policy Characteristics'!$C:$C,0)))</f>
        <v>0.01</v>
      </c>
      <c r="O1020" s="275" t="str">
        <f>IF(ISBLANK(INDEX('Policy Characteristics'!I:I,MATCH($C1020,'Policy Characteristics'!$C:$C,0))),"",INDEX('Policy Characteristics'!I:I,MATCH($C1020,'Policy Characteristics'!$C:$C,0)))</f>
        <v>% reduction in energy use</v>
      </c>
      <c r="P1020" s="275" t="str">
        <f>IF(ISBLANK(INDEX('Policy Characteristics'!J:J,MATCH($C1020,'Policy Characteristics'!$C:$C,0))),"",INDEX('Policy Characteristics'!J:J,MATCH($C1020,'Policy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0" s="275" t="str">
        <f>IF(ISBLANK(INDEX('Policy Characteristics'!K:K,MATCH($C1020,'Policy Characteristics'!$C:$C,0))),"",INDEX('Policy Characteristics'!K:K,MATCH($C1020,'Policy Characteristics'!$C:$C,0)))</f>
        <v>industry-ag-main.html#eff-stds</v>
      </c>
      <c r="R1020" s="275" t="str">
        <f>IF(ISBLANK(INDEX('Policy Characteristics'!L:L,MATCH($C1020,'Policy Characteristics'!$C:$C,0))),"",INDEX('Policy Characteristics'!L:L,MATCH($C1020,'Policy Characteristics'!$C:$C,0)))</f>
        <v>industry-energy-efficiency-standards.html</v>
      </c>
    </row>
    <row r="1021" spans="1:18" s="4" customFormat="1" x14ac:dyDescent="0.25">
      <c r="A1021" s="275" t="str">
        <f>IF(ISBLANK(INDEX('Policy Characteristics'!A:A,MATCH($C1021,'Policy Characteristics'!$C:$C,0))),"",INDEX('Policy Characteristics'!A:A,MATCH($C1021,'Policy Characteristics'!$C:$C,0)))</f>
        <v>Industry</v>
      </c>
      <c r="B1021" s="284" t="str">
        <f>IF(ISBLANK(INDEX('Policy Characteristics'!B:B,MATCH($C1021,'Policy Characteristics'!$C:$C,0))),"",INDEX('Policy Characteristics'!B:B,MATCH($C1021,'Policy Characteristics'!$C:$C,0)))</f>
        <v>Industry Energy Efficiency Standards</v>
      </c>
      <c r="C1021" s="275" t="str">
        <f t="shared" si="41"/>
        <v>Percentage Improvement in Eqpt Efficiency Standards above BAU</v>
      </c>
      <c r="D1021" s="6" t="s">
        <v>3074</v>
      </c>
      <c r="E1021" s="47" t="s">
        <v>2711</v>
      </c>
      <c r="F1021" t="s">
        <v>3038</v>
      </c>
      <c r="G1021" s="47" t="s">
        <v>2715</v>
      </c>
      <c r="H1021" s="44">
        <v>1006</v>
      </c>
      <c r="I1021" s="346" t="s">
        <v>43</v>
      </c>
      <c r="J1021" s="276" t="str">
        <f>IF(ISBLANK(INDEX('Policy Characteristics'!D:D,MATCH($C1021,'Policy Characteristics'!$C:$C,0))),"",INDEX('Policy Characteristics'!D:D,MATCH($C1021,'Policy Characteristics'!$C:$C,0)))</f>
        <v>Industry Energy Efficiency Standards</v>
      </c>
      <c r="K1021" s="275" t="str">
        <f>IF(ISBLANK(INDEX('Policy Characteristics'!E:E,MATCH($C1021,'Policy Characteristics'!$C:$C,0))),"",INDEX('Policy Characteristics'!E:E,MATCH($C1021,'Policy Characteristics'!$C:$C,0)))</f>
        <v>indst efficiency standards</v>
      </c>
      <c r="L1021" s="283">
        <f>IF(ISBLANK(INDEX('Policy Characteristics'!F:F,MATCH($C1021,'Policy Characteristics'!$C:$C,0))),"",INDEX('Policy Characteristics'!F:F,MATCH($C1021,'Policy Characteristics'!$C:$C,0)))</f>
        <v>0</v>
      </c>
      <c r="M1021" s="283">
        <f>IF(ISBLANK(INDEX('Policy Characteristics'!G:G,MATCH($C1021,'Policy Characteristics'!$C:$C,0))),"",INDEX('Policy Characteristics'!G:G,MATCH($C1021,'Policy Characteristics'!$C:$C,0)))</f>
        <v>0.25</v>
      </c>
      <c r="N1021" s="283">
        <f>IF(ISBLANK(INDEX('Policy Characteristics'!H:H,MATCH($C1021,'Policy Characteristics'!$C:$C,0))),"",INDEX('Policy Characteristics'!H:H,MATCH($C1021,'Policy Characteristics'!$C:$C,0)))</f>
        <v>0.01</v>
      </c>
      <c r="O1021" s="275" t="str">
        <f>IF(ISBLANK(INDEX('Policy Characteristics'!I:I,MATCH($C1021,'Policy Characteristics'!$C:$C,0))),"",INDEX('Policy Characteristics'!I:I,MATCH($C1021,'Policy Characteristics'!$C:$C,0)))</f>
        <v>% reduction in energy use</v>
      </c>
      <c r="P1021" s="275" t="str">
        <f>IF(ISBLANK(INDEX('Policy Characteristics'!J:J,MATCH($C1021,'Policy Characteristics'!$C:$C,0))),"",INDEX('Policy Characteristics'!J:J,MATCH($C1021,'Policy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1" s="275" t="str">
        <f>IF(ISBLANK(INDEX('Policy Characteristics'!K:K,MATCH($C1021,'Policy Characteristics'!$C:$C,0))),"",INDEX('Policy Characteristics'!K:K,MATCH($C1021,'Policy Characteristics'!$C:$C,0)))</f>
        <v>industry-ag-main.html#eff-stds</v>
      </c>
      <c r="R1021" s="275" t="str">
        <f>IF(ISBLANK(INDEX('Policy Characteristics'!L:L,MATCH($C1021,'Policy Characteristics'!$C:$C,0))),"",INDEX('Policy Characteristics'!L:L,MATCH($C1021,'Policy Characteristics'!$C:$C,0)))</f>
        <v>industry-energy-efficiency-standards.html</v>
      </c>
    </row>
    <row r="1022" spans="1:18" s="4" customFormat="1" x14ac:dyDescent="0.25">
      <c r="A1022" s="275" t="str">
        <f>IF(ISBLANK(INDEX('Policy Characteristics'!A:A,MATCH($C1022,'Policy Characteristics'!$C:$C,0))),"",INDEX('Policy Characteristics'!A:A,MATCH($C1022,'Policy Characteristics'!$C:$C,0)))</f>
        <v>Industry</v>
      </c>
      <c r="B1022" s="284" t="str">
        <f>IF(ISBLANK(INDEX('Policy Characteristics'!B:B,MATCH($C1022,'Policy Characteristics'!$C:$C,0))),"",INDEX('Policy Characteristics'!B:B,MATCH($C1022,'Policy Characteristics'!$C:$C,0)))</f>
        <v>Industry Energy Efficiency Standards</v>
      </c>
      <c r="C1022" s="275" t="str">
        <f t="shared" si="41"/>
        <v>Percentage Improvement in Eqpt Efficiency Standards above BAU</v>
      </c>
      <c r="D1022" s="6" t="s">
        <v>3074</v>
      </c>
      <c r="E1022" s="47" t="s">
        <v>2708</v>
      </c>
      <c r="F1022" t="s">
        <v>3038</v>
      </c>
      <c r="G1022" s="47" t="s">
        <v>2713</v>
      </c>
      <c r="H1022" s="44">
        <v>1007</v>
      </c>
      <c r="I1022" s="346" t="s">
        <v>44</v>
      </c>
      <c r="J1022" s="276" t="str">
        <f>IF(ISBLANK(INDEX('Policy Characteristics'!D:D,MATCH($C1022,'Policy Characteristics'!$C:$C,0))),"",INDEX('Policy Characteristics'!D:D,MATCH($C1022,'Policy Characteristics'!$C:$C,0)))</f>
        <v>Industry Energy Efficiency Standards</v>
      </c>
      <c r="K1022" s="275" t="str">
        <f>IF(ISBLANK(INDEX('Policy Characteristics'!E:E,MATCH($C1022,'Policy Characteristics'!$C:$C,0))),"",INDEX('Policy Characteristics'!E:E,MATCH($C1022,'Policy Characteristics'!$C:$C,0)))</f>
        <v>indst efficiency standards</v>
      </c>
      <c r="L1022" s="283">
        <f>IF(ISBLANK(INDEX('Policy Characteristics'!F:F,MATCH($C1022,'Policy Characteristics'!$C:$C,0))),"",INDEX('Policy Characteristics'!F:F,MATCH($C1022,'Policy Characteristics'!$C:$C,0)))</f>
        <v>0</v>
      </c>
      <c r="M1022" s="283">
        <f>IF(ISBLANK(INDEX('Policy Characteristics'!G:G,MATCH($C1022,'Policy Characteristics'!$C:$C,0))),"",INDEX('Policy Characteristics'!G:G,MATCH($C1022,'Policy Characteristics'!$C:$C,0)))</f>
        <v>0.25</v>
      </c>
      <c r="N1022" s="283">
        <f>IF(ISBLANK(INDEX('Policy Characteristics'!H:H,MATCH($C1022,'Policy Characteristics'!$C:$C,0))),"",INDEX('Policy Characteristics'!H:H,MATCH($C1022,'Policy Characteristics'!$C:$C,0)))</f>
        <v>0.01</v>
      </c>
      <c r="O1022" s="275" t="str">
        <f>IF(ISBLANK(INDEX('Policy Characteristics'!I:I,MATCH($C1022,'Policy Characteristics'!$C:$C,0))),"",INDEX('Policy Characteristics'!I:I,MATCH($C1022,'Policy Characteristics'!$C:$C,0)))</f>
        <v>% reduction in energy use</v>
      </c>
      <c r="P1022" s="275" t="str">
        <f>IF(ISBLANK(INDEX('Policy Characteristics'!J:J,MATCH($C1022,'Policy Characteristics'!$C:$C,0))),"",INDEX('Policy Characteristics'!J:J,MATCH($C1022,'Policy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2" s="275" t="str">
        <f>IF(ISBLANK(INDEX('Policy Characteristics'!K:K,MATCH($C1022,'Policy Characteristics'!$C:$C,0))),"",INDEX('Policy Characteristics'!K:K,MATCH($C1022,'Policy Characteristics'!$C:$C,0)))</f>
        <v>industry-ag-main.html#eff-stds</v>
      </c>
      <c r="R1022" s="275" t="str">
        <f>IF(ISBLANK(INDEX('Policy Characteristics'!L:L,MATCH($C1022,'Policy Characteristics'!$C:$C,0))),"",INDEX('Policy Characteristics'!L:L,MATCH($C1022,'Policy Characteristics'!$C:$C,0)))</f>
        <v>industry-energy-efficiency-standards.html</v>
      </c>
    </row>
    <row r="1023" spans="1:18" s="4" customFormat="1" x14ac:dyDescent="0.25">
      <c r="A1023" s="275" t="str">
        <f>IF(ISBLANK(INDEX('Policy Characteristics'!A:A,MATCH($C1023,'Policy Characteristics'!$C:$C,0))),"",INDEX('Policy Characteristics'!A:A,MATCH($C1023,'Policy Characteristics'!$C:$C,0)))</f>
        <v>Industry</v>
      </c>
      <c r="B1023" s="284" t="str">
        <f>IF(ISBLANK(INDEX('Policy Characteristics'!B:B,MATCH($C1023,'Policy Characteristics'!$C:$C,0))),"",INDEX('Policy Characteristics'!B:B,MATCH($C1023,'Policy Characteristics'!$C:$C,0)))</f>
        <v>Industry Energy Efficiency Standards</v>
      </c>
      <c r="C1023" s="275" t="str">
        <f t="shared" si="41"/>
        <v>Percentage Improvement in Eqpt Efficiency Standards above BAU</v>
      </c>
      <c r="D1023" s="6" t="s">
        <v>3075</v>
      </c>
      <c r="E1023" s="47" t="s">
        <v>2401</v>
      </c>
      <c r="F1023" t="s">
        <v>3039</v>
      </c>
      <c r="G1023" s="47" t="s">
        <v>2407</v>
      </c>
      <c r="H1023" s="44">
        <v>1008</v>
      </c>
      <c r="I1023" s="346" t="s">
        <v>43</v>
      </c>
      <c r="J1023" s="276" t="str">
        <f>IF(ISBLANK(INDEX('Policy Characteristics'!D:D,MATCH($C1023,'Policy Characteristics'!$C:$C,0))),"",INDEX('Policy Characteristics'!D:D,MATCH($C1023,'Policy Characteristics'!$C:$C,0)))</f>
        <v>Industry Energy Efficiency Standards</v>
      </c>
      <c r="K1023" s="275" t="str">
        <f>IF(ISBLANK(INDEX('Policy Characteristics'!E:E,MATCH($C1023,'Policy Characteristics'!$C:$C,0))),"",INDEX('Policy Characteristics'!E:E,MATCH($C1023,'Policy Characteristics'!$C:$C,0)))</f>
        <v>indst efficiency standards</v>
      </c>
      <c r="L1023" s="283">
        <f>IF(ISBLANK(INDEX('Policy Characteristics'!F:F,MATCH($C1023,'Policy Characteristics'!$C:$C,0))),"",INDEX('Policy Characteristics'!F:F,MATCH($C1023,'Policy Characteristics'!$C:$C,0)))</f>
        <v>0</v>
      </c>
      <c r="M1023" s="283">
        <f>IF(ISBLANK(INDEX('Policy Characteristics'!G:G,MATCH($C1023,'Policy Characteristics'!$C:$C,0))),"",INDEX('Policy Characteristics'!G:G,MATCH($C1023,'Policy Characteristics'!$C:$C,0)))</f>
        <v>0.25</v>
      </c>
      <c r="N1023" s="283">
        <f>IF(ISBLANK(INDEX('Policy Characteristics'!H:H,MATCH($C1023,'Policy Characteristics'!$C:$C,0))),"",INDEX('Policy Characteristics'!H:H,MATCH($C1023,'Policy Characteristics'!$C:$C,0)))</f>
        <v>0.01</v>
      </c>
      <c r="O1023" s="275" t="str">
        <f>IF(ISBLANK(INDEX('Policy Characteristics'!I:I,MATCH($C1023,'Policy Characteristics'!$C:$C,0))),"",INDEX('Policy Characteristics'!I:I,MATCH($C1023,'Policy Characteristics'!$C:$C,0)))</f>
        <v>% reduction in energy use</v>
      </c>
      <c r="P1023" s="275" t="str">
        <f>IF(ISBLANK(INDEX('Policy Characteristics'!J:J,MATCH($C1023,'Policy Characteristics'!$C:$C,0))),"",INDEX('Policy Characteristics'!J:J,MATCH($C1023,'Policy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3" s="275" t="str">
        <f>IF(ISBLANK(INDEX('Policy Characteristics'!K:K,MATCH($C1023,'Policy Characteristics'!$C:$C,0))),"",INDEX('Policy Characteristics'!K:K,MATCH($C1023,'Policy Characteristics'!$C:$C,0)))</f>
        <v>industry-ag-main.html#eff-stds</v>
      </c>
      <c r="R1023" s="275" t="str">
        <f>IF(ISBLANK(INDEX('Policy Characteristics'!L:L,MATCH($C1023,'Policy Characteristics'!$C:$C,0))),"",INDEX('Policy Characteristics'!L:L,MATCH($C1023,'Policy Characteristics'!$C:$C,0)))</f>
        <v>industry-energy-efficiency-standards.html</v>
      </c>
    </row>
    <row r="1024" spans="1:18" s="4" customFormat="1" x14ac:dyDescent="0.25">
      <c r="A1024" s="275" t="str">
        <f>IF(ISBLANK(INDEX('Policy Characteristics'!A:A,MATCH($C1024,'Policy Characteristics'!$C:$C,0))),"",INDEX('Policy Characteristics'!A:A,MATCH($C1024,'Policy Characteristics'!$C:$C,0)))</f>
        <v>Industry</v>
      </c>
      <c r="B1024" s="284" t="str">
        <f>IF(ISBLANK(INDEX('Policy Characteristics'!B:B,MATCH($C1024,'Policy Characteristics'!$C:$C,0))),"",INDEX('Policy Characteristics'!B:B,MATCH($C1024,'Policy Characteristics'!$C:$C,0)))</f>
        <v>Industry Energy Efficiency Standards</v>
      </c>
      <c r="C1024" s="275" t="str">
        <f t="shared" si="41"/>
        <v>Percentage Improvement in Eqpt Efficiency Standards above BAU</v>
      </c>
      <c r="D1024" s="6" t="s">
        <v>3075</v>
      </c>
      <c r="E1024" s="47" t="s">
        <v>2402</v>
      </c>
      <c r="F1024" t="s">
        <v>3039</v>
      </c>
      <c r="G1024" s="47" t="s">
        <v>2410</v>
      </c>
      <c r="H1024" s="44">
        <v>1009</v>
      </c>
      <c r="I1024" s="346" t="s">
        <v>43</v>
      </c>
      <c r="J1024" s="276" t="str">
        <f>IF(ISBLANK(INDEX('Policy Characteristics'!D:D,MATCH($C1024,'Policy Characteristics'!$C:$C,0))),"",INDEX('Policy Characteristics'!D:D,MATCH($C1024,'Policy Characteristics'!$C:$C,0)))</f>
        <v>Industry Energy Efficiency Standards</v>
      </c>
      <c r="K1024" s="275" t="str">
        <f>IF(ISBLANK(INDEX('Policy Characteristics'!E:E,MATCH($C1024,'Policy Characteristics'!$C:$C,0))),"",INDEX('Policy Characteristics'!E:E,MATCH($C1024,'Policy Characteristics'!$C:$C,0)))</f>
        <v>indst efficiency standards</v>
      </c>
      <c r="L1024" s="283">
        <f>IF(ISBLANK(INDEX('Policy Characteristics'!F:F,MATCH($C1024,'Policy Characteristics'!$C:$C,0))),"",INDEX('Policy Characteristics'!F:F,MATCH($C1024,'Policy Characteristics'!$C:$C,0)))</f>
        <v>0</v>
      </c>
      <c r="M1024" s="283">
        <f>IF(ISBLANK(INDEX('Policy Characteristics'!G:G,MATCH($C1024,'Policy Characteristics'!$C:$C,0))),"",INDEX('Policy Characteristics'!G:G,MATCH($C1024,'Policy Characteristics'!$C:$C,0)))</f>
        <v>0.25</v>
      </c>
      <c r="N1024" s="283">
        <f>IF(ISBLANK(INDEX('Policy Characteristics'!H:H,MATCH($C1024,'Policy Characteristics'!$C:$C,0))),"",INDEX('Policy Characteristics'!H:H,MATCH($C1024,'Policy Characteristics'!$C:$C,0)))</f>
        <v>0.01</v>
      </c>
      <c r="O1024" s="275" t="str">
        <f>IF(ISBLANK(INDEX('Policy Characteristics'!I:I,MATCH($C1024,'Policy Characteristics'!$C:$C,0))),"",INDEX('Policy Characteristics'!I:I,MATCH($C1024,'Policy Characteristics'!$C:$C,0)))</f>
        <v>% reduction in energy use</v>
      </c>
      <c r="P1024" s="275" t="str">
        <f>IF(ISBLANK(INDEX('Policy Characteristics'!J:J,MATCH($C1024,'Policy Characteristics'!$C:$C,0))),"",INDEX('Policy Characteristics'!J:J,MATCH($C1024,'Policy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4" s="275" t="str">
        <f>IF(ISBLANK(INDEX('Policy Characteristics'!K:K,MATCH($C1024,'Policy Characteristics'!$C:$C,0))),"",INDEX('Policy Characteristics'!K:K,MATCH($C1024,'Policy Characteristics'!$C:$C,0)))</f>
        <v>industry-ag-main.html#eff-stds</v>
      </c>
      <c r="R1024" s="275" t="str">
        <f>IF(ISBLANK(INDEX('Policy Characteristics'!L:L,MATCH($C1024,'Policy Characteristics'!$C:$C,0))),"",INDEX('Policy Characteristics'!L:L,MATCH($C1024,'Policy Characteristics'!$C:$C,0)))</f>
        <v>industry-energy-efficiency-standards.html</v>
      </c>
    </row>
    <row r="1025" spans="1:18" s="4" customFormat="1" x14ac:dyDescent="0.25">
      <c r="A1025" s="275" t="str">
        <f>IF(ISBLANK(INDEX('Policy Characteristics'!A:A,MATCH($C1025,'Policy Characteristics'!$C:$C,0))),"",INDEX('Policy Characteristics'!A:A,MATCH($C1025,'Policy Characteristics'!$C:$C,0)))</f>
        <v>Industry</v>
      </c>
      <c r="B1025" s="284" t="str">
        <f>IF(ISBLANK(INDEX('Policy Characteristics'!B:B,MATCH($C1025,'Policy Characteristics'!$C:$C,0))),"",INDEX('Policy Characteristics'!B:B,MATCH($C1025,'Policy Characteristics'!$C:$C,0)))</f>
        <v>Industry Energy Efficiency Standards</v>
      </c>
      <c r="C1025" s="275" t="str">
        <f t="shared" si="41"/>
        <v>Percentage Improvement in Eqpt Efficiency Standards above BAU</v>
      </c>
      <c r="D1025" s="6" t="s">
        <v>3075</v>
      </c>
      <c r="E1025" s="47" t="s">
        <v>2403</v>
      </c>
      <c r="F1025" t="s">
        <v>3039</v>
      </c>
      <c r="G1025" s="47" t="s">
        <v>2411</v>
      </c>
      <c r="H1025" s="44">
        <v>1010</v>
      </c>
      <c r="I1025" s="346" t="s">
        <v>43</v>
      </c>
      <c r="J1025" s="276" t="str">
        <f>IF(ISBLANK(INDEX('Policy Characteristics'!D:D,MATCH($C1025,'Policy Characteristics'!$C:$C,0))),"",INDEX('Policy Characteristics'!D:D,MATCH($C1025,'Policy Characteristics'!$C:$C,0)))</f>
        <v>Industry Energy Efficiency Standards</v>
      </c>
      <c r="K1025" s="275" t="str">
        <f>IF(ISBLANK(INDEX('Policy Characteristics'!E:E,MATCH($C1025,'Policy Characteristics'!$C:$C,0))),"",INDEX('Policy Characteristics'!E:E,MATCH($C1025,'Policy Characteristics'!$C:$C,0)))</f>
        <v>indst efficiency standards</v>
      </c>
      <c r="L1025" s="283">
        <f>IF(ISBLANK(INDEX('Policy Characteristics'!F:F,MATCH($C1025,'Policy Characteristics'!$C:$C,0))),"",INDEX('Policy Characteristics'!F:F,MATCH($C1025,'Policy Characteristics'!$C:$C,0)))</f>
        <v>0</v>
      </c>
      <c r="M1025" s="283">
        <f>IF(ISBLANK(INDEX('Policy Characteristics'!G:G,MATCH($C1025,'Policy Characteristics'!$C:$C,0))),"",INDEX('Policy Characteristics'!G:G,MATCH($C1025,'Policy Characteristics'!$C:$C,0)))</f>
        <v>0.25</v>
      </c>
      <c r="N1025" s="283">
        <f>IF(ISBLANK(INDEX('Policy Characteristics'!H:H,MATCH($C1025,'Policy Characteristics'!$C:$C,0))),"",INDEX('Policy Characteristics'!H:H,MATCH($C1025,'Policy Characteristics'!$C:$C,0)))</f>
        <v>0.01</v>
      </c>
      <c r="O1025" s="275" t="str">
        <f>IF(ISBLANK(INDEX('Policy Characteristics'!I:I,MATCH($C1025,'Policy Characteristics'!$C:$C,0))),"",INDEX('Policy Characteristics'!I:I,MATCH($C1025,'Policy Characteristics'!$C:$C,0)))</f>
        <v>% reduction in energy use</v>
      </c>
      <c r="P1025" s="275" t="str">
        <f>IF(ISBLANK(INDEX('Policy Characteristics'!J:J,MATCH($C1025,'Policy Characteristics'!$C:$C,0))),"",INDEX('Policy Characteristics'!J:J,MATCH($C1025,'Policy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5" s="275" t="str">
        <f>IF(ISBLANK(INDEX('Policy Characteristics'!K:K,MATCH($C1025,'Policy Characteristics'!$C:$C,0))),"",INDEX('Policy Characteristics'!K:K,MATCH($C1025,'Policy Characteristics'!$C:$C,0)))</f>
        <v>industry-ag-main.html#eff-stds</v>
      </c>
      <c r="R1025" s="275" t="str">
        <f>IF(ISBLANK(INDEX('Policy Characteristics'!L:L,MATCH($C1025,'Policy Characteristics'!$C:$C,0))),"",INDEX('Policy Characteristics'!L:L,MATCH($C1025,'Policy Characteristics'!$C:$C,0)))</f>
        <v>industry-energy-efficiency-standards.html</v>
      </c>
    </row>
    <row r="1026" spans="1:18" s="4" customFormat="1" x14ac:dyDescent="0.25">
      <c r="A1026" s="275" t="str">
        <f>IF(ISBLANK(INDEX('Policy Characteristics'!A:A,MATCH($C1026,'Policy Characteristics'!$C:$C,0))),"",INDEX('Policy Characteristics'!A:A,MATCH($C1026,'Policy Characteristics'!$C:$C,0)))</f>
        <v>Industry</v>
      </c>
      <c r="B1026" s="284" t="str">
        <f>IF(ISBLANK(INDEX('Policy Characteristics'!B:B,MATCH($C1026,'Policy Characteristics'!$C:$C,0))),"",INDEX('Policy Characteristics'!B:B,MATCH($C1026,'Policy Characteristics'!$C:$C,0)))</f>
        <v>Industry Energy Efficiency Standards</v>
      </c>
      <c r="C1026" s="275" t="str">
        <f t="shared" si="41"/>
        <v>Percentage Improvement in Eqpt Efficiency Standards above BAU</v>
      </c>
      <c r="D1026" s="6" t="s">
        <v>3075</v>
      </c>
      <c r="E1026" s="47" t="s">
        <v>2404</v>
      </c>
      <c r="F1026" t="s">
        <v>3039</v>
      </c>
      <c r="G1026" s="47" t="s">
        <v>2408</v>
      </c>
      <c r="H1026" s="44">
        <v>1011</v>
      </c>
      <c r="I1026" s="346" t="s">
        <v>44</v>
      </c>
      <c r="J1026" s="276" t="str">
        <f>IF(ISBLANK(INDEX('Policy Characteristics'!D:D,MATCH($C1026,'Policy Characteristics'!$C:$C,0))),"",INDEX('Policy Characteristics'!D:D,MATCH($C1026,'Policy Characteristics'!$C:$C,0)))</f>
        <v>Industry Energy Efficiency Standards</v>
      </c>
      <c r="K1026" s="275" t="str">
        <f>IF(ISBLANK(INDEX('Policy Characteristics'!E:E,MATCH($C1026,'Policy Characteristics'!$C:$C,0))),"",INDEX('Policy Characteristics'!E:E,MATCH($C1026,'Policy Characteristics'!$C:$C,0)))</f>
        <v>indst efficiency standards</v>
      </c>
      <c r="L1026" s="283">
        <f>IF(ISBLANK(INDEX('Policy Characteristics'!F:F,MATCH($C1026,'Policy Characteristics'!$C:$C,0))),"",INDEX('Policy Characteristics'!F:F,MATCH($C1026,'Policy Characteristics'!$C:$C,0)))</f>
        <v>0</v>
      </c>
      <c r="M1026" s="283">
        <f>IF(ISBLANK(INDEX('Policy Characteristics'!G:G,MATCH($C1026,'Policy Characteristics'!$C:$C,0))),"",INDEX('Policy Characteristics'!G:G,MATCH($C1026,'Policy Characteristics'!$C:$C,0)))</f>
        <v>0.25</v>
      </c>
      <c r="N1026" s="283">
        <f>IF(ISBLANK(INDEX('Policy Characteristics'!H:H,MATCH($C1026,'Policy Characteristics'!$C:$C,0))),"",INDEX('Policy Characteristics'!H:H,MATCH($C1026,'Policy Characteristics'!$C:$C,0)))</f>
        <v>0.01</v>
      </c>
      <c r="O1026" s="275" t="str">
        <f>IF(ISBLANK(INDEX('Policy Characteristics'!I:I,MATCH($C1026,'Policy Characteristics'!$C:$C,0))),"",INDEX('Policy Characteristics'!I:I,MATCH($C1026,'Policy Characteristics'!$C:$C,0)))</f>
        <v>% reduction in energy use</v>
      </c>
      <c r="P1026" s="275" t="str">
        <f>IF(ISBLANK(INDEX('Policy Characteristics'!J:J,MATCH($C1026,'Policy Characteristics'!$C:$C,0))),"",INDEX('Policy Characteristics'!J:J,MATCH($C1026,'Policy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6" s="275" t="str">
        <f>IF(ISBLANK(INDEX('Policy Characteristics'!K:K,MATCH($C1026,'Policy Characteristics'!$C:$C,0))),"",INDEX('Policy Characteristics'!K:K,MATCH($C1026,'Policy Characteristics'!$C:$C,0)))</f>
        <v>industry-ag-main.html#eff-stds</v>
      </c>
      <c r="R1026" s="275" t="str">
        <f>IF(ISBLANK(INDEX('Policy Characteristics'!L:L,MATCH($C1026,'Policy Characteristics'!$C:$C,0))),"",INDEX('Policy Characteristics'!L:L,MATCH($C1026,'Policy Characteristics'!$C:$C,0)))</f>
        <v>industry-energy-efficiency-standards.html</v>
      </c>
    </row>
    <row r="1027" spans="1:18" s="4" customFormat="1" x14ac:dyDescent="0.25">
      <c r="A1027" s="275" t="str">
        <f>IF(ISBLANK(INDEX('Policy Characteristics'!A:A,MATCH($C1027,'Policy Characteristics'!$C:$C,0))),"",INDEX('Policy Characteristics'!A:A,MATCH($C1027,'Policy Characteristics'!$C:$C,0)))</f>
        <v>Industry</v>
      </c>
      <c r="B1027" s="284" t="str">
        <f>IF(ISBLANK(INDEX('Policy Characteristics'!B:B,MATCH($C1027,'Policy Characteristics'!$C:$C,0))),"",INDEX('Policy Characteristics'!B:B,MATCH($C1027,'Policy Characteristics'!$C:$C,0)))</f>
        <v>Industry Energy Efficiency Standards</v>
      </c>
      <c r="C1027" s="275" t="str">
        <f t="shared" si="41"/>
        <v>Percentage Improvement in Eqpt Efficiency Standards above BAU</v>
      </c>
      <c r="D1027" s="6" t="s">
        <v>3075</v>
      </c>
      <c r="E1027" s="47" t="s">
        <v>2405</v>
      </c>
      <c r="F1027" t="s">
        <v>3039</v>
      </c>
      <c r="G1027" s="47" t="s">
        <v>2409</v>
      </c>
      <c r="H1027" s="44">
        <v>1012</v>
      </c>
      <c r="I1027" s="346" t="s">
        <v>43</v>
      </c>
      <c r="J1027" s="276" t="str">
        <f>IF(ISBLANK(INDEX('Policy Characteristics'!D:D,MATCH($C1027,'Policy Characteristics'!$C:$C,0))),"",INDEX('Policy Characteristics'!D:D,MATCH($C1027,'Policy Characteristics'!$C:$C,0)))</f>
        <v>Industry Energy Efficiency Standards</v>
      </c>
      <c r="K1027" s="275" t="str">
        <f>IF(ISBLANK(INDEX('Policy Characteristics'!E:E,MATCH($C1027,'Policy Characteristics'!$C:$C,0))),"",INDEX('Policy Characteristics'!E:E,MATCH($C1027,'Policy Characteristics'!$C:$C,0)))</f>
        <v>indst efficiency standards</v>
      </c>
      <c r="L1027" s="283">
        <f>IF(ISBLANK(INDEX('Policy Characteristics'!F:F,MATCH($C1027,'Policy Characteristics'!$C:$C,0))),"",INDEX('Policy Characteristics'!F:F,MATCH($C1027,'Policy Characteristics'!$C:$C,0)))</f>
        <v>0</v>
      </c>
      <c r="M1027" s="283">
        <f>IF(ISBLANK(INDEX('Policy Characteristics'!G:G,MATCH($C1027,'Policy Characteristics'!$C:$C,0))),"",INDEX('Policy Characteristics'!G:G,MATCH($C1027,'Policy Characteristics'!$C:$C,0)))</f>
        <v>0.25</v>
      </c>
      <c r="N1027" s="283">
        <f>IF(ISBLANK(INDEX('Policy Characteristics'!H:H,MATCH($C1027,'Policy Characteristics'!$C:$C,0))),"",INDEX('Policy Characteristics'!H:H,MATCH($C1027,'Policy Characteristics'!$C:$C,0)))</f>
        <v>0.01</v>
      </c>
      <c r="O1027" s="275" t="str">
        <f>IF(ISBLANK(INDEX('Policy Characteristics'!I:I,MATCH($C1027,'Policy Characteristics'!$C:$C,0))),"",INDEX('Policy Characteristics'!I:I,MATCH($C1027,'Policy Characteristics'!$C:$C,0)))</f>
        <v>% reduction in energy use</v>
      </c>
      <c r="P1027" s="275" t="str">
        <f>IF(ISBLANK(INDEX('Policy Characteristics'!J:J,MATCH($C1027,'Policy Characteristics'!$C:$C,0))),"",INDEX('Policy Characteristics'!J:J,MATCH($C1027,'Policy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7" s="275" t="str">
        <f>IF(ISBLANK(INDEX('Policy Characteristics'!K:K,MATCH($C1027,'Policy Characteristics'!$C:$C,0))),"",INDEX('Policy Characteristics'!K:K,MATCH($C1027,'Policy Characteristics'!$C:$C,0)))</f>
        <v>industry-ag-main.html#eff-stds</v>
      </c>
      <c r="R1027" s="275" t="str">
        <f>IF(ISBLANK(INDEX('Policy Characteristics'!L:L,MATCH($C1027,'Policy Characteristics'!$C:$C,0))),"",INDEX('Policy Characteristics'!L:L,MATCH($C1027,'Policy Characteristics'!$C:$C,0)))</f>
        <v>industry-energy-efficiency-standards.html</v>
      </c>
    </row>
    <row r="1028" spans="1:18" s="4" customFormat="1" x14ac:dyDescent="0.25">
      <c r="A1028" s="275" t="str">
        <f>IF(ISBLANK(INDEX('Policy Characteristics'!A:A,MATCH($C1028,'Policy Characteristics'!$C:$C,0))),"",INDEX('Policy Characteristics'!A:A,MATCH($C1028,'Policy Characteristics'!$C:$C,0)))</f>
        <v>Industry</v>
      </c>
      <c r="B1028" s="284" t="str">
        <f>IF(ISBLANK(INDEX('Policy Characteristics'!B:B,MATCH($C1028,'Policy Characteristics'!$C:$C,0))),"",INDEX('Policy Characteristics'!B:B,MATCH($C1028,'Policy Characteristics'!$C:$C,0)))</f>
        <v>Industry Energy Efficiency Standards</v>
      </c>
      <c r="C1028" s="275" t="str">
        <f t="shared" si="41"/>
        <v>Percentage Improvement in Eqpt Efficiency Standards above BAU</v>
      </c>
      <c r="D1028" s="6" t="s">
        <v>3075</v>
      </c>
      <c r="E1028" s="47" t="s">
        <v>2406</v>
      </c>
      <c r="F1028" t="s">
        <v>3039</v>
      </c>
      <c r="G1028" s="47" t="s">
        <v>2412</v>
      </c>
      <c r="H1028" s="44">
        <v>1013</v>
      </c>
      <c r="I1028" s="346" t="s">
        <v>44</v>
      </c>
      <c r="J1028" s="276" t="str">
        <f>IF(ISBLANK(INDEX('Policy Characteristics'!D:D,MATCH($C1028,'Policy Characteristics'!$C:$C,0))),"",INDEX('Policy Characteristics'!D:D,MATCH($C1028,'Policy Characteristics'!$C:$C,0)))</f>
        <v>Industry Energy Efficiency Standards</v>
      </c>
      <c r="K1028" s="275" t="str">
        <f>IF(ISBLANK(INDEX('Policy Characteristics'!E:E,MATCH($C1028,'Policy Characteristics'!$C:$C,0))),"",INDEX('Policy Characteristics'!E:E,MATCH($C1028,'Policy Characteristics'!$C:$C,0)))</f>
        <v>indst efficiency standards</v>
      </c>
      <c r="L1028" s="283">
        <f>IF(ISBLANK(INDEX('Policy Characteristics'!F:F,MATCH($C1028,'Policy Characteristics'!$C:$C,0))),"",INDEX('Policy Characteristics'!F:F,MATCH($C1028,'Policy Characteristics'!$C:$C,0)))</f>
        <v>0</v>
      </c>
      <c r="M1028" s="283">
        <f>IF(ISBLANK(INDEX('Policy Characteristics'!G:G,MATCH($C1028,'Policy Characteristics'!$C:$C,0))),"",INDEX('Policy Characteristics'!G:G,MATCH($C1028,'Policy Characteristics'!$C:$C,0)))</f>
        <v>0.25</v>
      </c>
      <c r="N1028" s="283">
        <f>IF(ISBLANK(INDEX('Policy Characteristics'!H:H,MATCH($C1028,'Policy Characteristics'!$C:$C,0))),"",INDEX('Policy Characteristics'!H:H,MATCH($C1028,'Policy Characteristics'!$C:$C,0)))</f>
        <v>0.01</v>
      </c>
      <c r="O1028" s="275" t="str">
        <f>IF(ISBLANK(INDEX('Policy Characteristics'!I:I,MATCH($C1028,'Policy Characteristics'!$C:$C,0))),"",INDEX('Policy Characteristics'!I:I,MATCH($C1028,'Policy Characteristics'!$C:$C,0)))</f>
        <v>% reduction in energy use</v>
      </c>
      <c r="P1028" s="275" t="str">
        <f>IF(ISBLANK(INDEX('Policy Characteristics'!J:J,MATCH($C1028,'Policy Characteristics'!$C:$C,0))),"",INDEX('Policy Characteristics'!J:J,MATCH($C1028,'Policy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8" s="275" t="str">
        <f>IF(ISBLANK(INDEX('Policy Characteristics'!K:K,MATCH($C1028,'Policy Characteristics'!$C:$C,0))),"",INDEX('Policy Characteristics'!K:K,MATCH($C1028,'Policy Characteristics'!$C:$C,0)))</f>
        <v>industry-ag-main.html#eff-stds</v>
      </c>
      <c r="R1028" s="275" t="str">
        <f>IF(ISBLANK(INDEX('Policy Characteristics'!L:L,MATCH($C1028,'Policy Characteristics'!$C:$C,0))),"",INDEX('Policy Characteristics'!L:L,MATCH($C1028,'Policy Characteristics'!$C:$C,0)))</f>
        <v>industry-energy-efficiency-standards.html</v>
      </c>
    </row>
    <row r="1029" spans="1:18" s="4" customFormat="1" x14ac:dyDescent="0.25">
      <c r="A1029" s="275" t="str">
        <f>IF(ISBLANK(INDEX('Policy Characteristics'!A:A,MATCH($C1029,'Policy Characteristics'!$C:$C,0))),"",INDEX('Policy Characteristics'!A:A,MATCH($C1029,'Policy Characteristics'!$C:$C,0)))</f>
        <v>Industry</v>
      </c>
      <c r="B1029" s="284" t="str">
        <f>IF(ISBLANK(INDEX('Policy Characteristics'!B:B,MATCH($C1029,'Policy Characteristics'!$C:$C,0))),"",INDEX('Policy Characteristics'!B:B,MATCH($C1029,'Policy Characteristics'!$C:$C,0)))</f>
        <v>Industry Energy Efficiency Standards</v>
      </c>
      <c r="C1029" s="275" t="str">
        <f t="shared" si="41"/>
        <v>Percentage Improvement in Eqpt Efficiency Standards above BAU</v>
      </c>
      <c r="D1029" s="6" t="s">
        <v>3075</v>
      </c>
      <c r="E1029" s="47" t="s">
        <v>2709</v>
      </c>
      <c r="F1029" t="s">
        <v>3039</v>
      </c>
      <c r="G1029" s="47" t="s">
        <v>2712</v>
      </c>
      <c r="H1029" s="44">
        <v>1014</v>
      </c>
      <c r="I1029" s="346" t="s">
        <v>44</v>
      </c>
      <c r="J1029" s="276" t="str">
        <f>IF(ISBLANK(INDEX('Policy Characteristics'!D:D,MATCH($C1029,'Policy Characteristics'!$C:$C,0))),"",INDEX('Policy Characteristics'!D:D,MATCH($C1029,'Policy Characteristics'!$C:$C,0)))</f>
        <v>Industry Energy Efficiency Standards</v>
      </c>
      <c r="K1029" s="275" t="str">
        <f>IF(ISBLANK(INDEX('Policy Characteristics'!E:E,MATCH($C1029,'Policy Characteristics'!$C:$C,0))),"",INDEX('Policy Characteristics'!E:E,MATCH($C1029,'Policy Characteristics'!$C:$C,0)))</f>
        <v>indst efficiency standards</v>
      </c>
      <c r="L1029" s="283">
        <f>IF(ISBLANK(INDEX('Policy Characteristics'!F:F,MATCH($C1029,'Policy Characteristics'!$C:$C,0))),"",INDEX('Policy Characteristics'!F:F,MATCH($C1029,'Policy Characteristics'!$C:$C,0)))</f>
        <v>0</v>
      </c>
      <c r="M1029" s="283">
        <f>IF(ISBLANK(INDEX('Policy Characteristics'!G:G,MATCH($C1029,'Policy Characteristics'!$C:$C,0))),"",INDEX('Policy Characteristics'!G:G,MATCH($C1029,'Policy Characteristics'!$C:$C,0)))</f>
        <v>0.25</v>
      </c>
      <c r="N1029" s="283">
        <f>IF(ISBLANK(INDEX('Policy Characteristics'!H:H,MATCH($C1029,'Policy Characteristics'!$C:$C,0))),"",INDEX('Policy Characteristics'!H:H,MATCH($C1029,'Policy Characteristics'!$C:$C,0)))</f>
        <v>0.01</v>
      </c>
      <c r="O1029" s="275" t="str">
        <f>IF(ISBLANK(INDEX('Policy Characteristics'!I:I,MATCH($C1029,'Policy Characteristics'!$C:$C,0))),"",INDEX('Policy Characteristics'!I:I,MATCH($C1029,'Policy Characteristics'!$C:$C,0)))</f>
        <v>% reduction in energy use</v>
      </c>
      <c r="P1029" s="275" t="str">
        <f>IF(ISBLANK(INDEX('Policy Characteristics'!J:J,MATCH($C1029,'Policy Characteristics'!$C:$C,0))),"",INDEX('Policy Characteristics'!J:J,MATCH($C1029,'Policy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9" s="275" t="str">
        <f>IF(ISBLANK(INDEX('Policy Characteristics'!K:K,MATCH($C1029,'Policy Characteristics'!$C:$C,0))),"",INDEX('Policy Characteristics'!K:K,MATCH($C1029,'Policy Characteristics'!$C:$C,0)))</f>
        <v>industry-ag-main.html#eff-stds</v>
      </c>
      <c r="R1029" s="275" t="str">
        <f>IF(ISBLANK(INDEX('Policy Characteristics'!L:L,MATCH($C1029,'Policy Characteristics'!$C:$C,0))),"",INDEX('Policy Characteristics'!L:L,MATCH($C1029,'Policy Characteristics'!$C:$C,0)))</f>
        <v>industry-energy-efficiency-standards.html</v>
      </c>
    </row>
    <row r="1030" spans="1:18" s="4" customFormat="1" x14ac:dyDescent="0.25">
      <c r="A1030" s="275" t="str">
        <f>IF(ISBLANK(INDEX('Policy Characteristics'!A:A,MATCH($C1030,'Policy Characteristics'!$C:$C,0))),"",INDEX('Policy Characteristics'!A:A,MATCH($C1030,'Policy Characteristics'!$C:$C,0)))</f>
        <v>Industry</v>
      </c>
      <c r="B1030" s="284" t="str">
        <f>IF(ISBLANK(INDEX('Policy Characteristics'!B:B,MATCH($C1030,'Policy Characteristics'!$C:$C,0))),"",INDEX('Policy Characteristics'!B:B,MATCH($C1030,'Policy Characteristics'!$C:$C,0)))</f>
        <v>Industry Energy Efficiency Standards</v>
      </c>
      <c r="C1030" s="275" t="str">
        <f t="shared" si="41"/>
        <v>Percentage Improvement in Eqpt Efficiency Standards above BAU</v>
      </c>
      <c r="D1030" s="6" t="s">
        <v>3075</v>
      </c>
      <c r="E1030" s="47" t="s">
        <v>2710</v>
      </c>
      <c r="F1030" t="s">
        <v>3039</v>
      </c>
      <c r="G1030" s="47" t="s">
        <v>2714</v>
      </c>
      <c r="H1030" s="44">
        <v>1015</v>
      </c>
      <c r="I1030" s="346" t="s">
        <v>43</v>
      </c>
      <c r="J1030" s="276" t="str">
        <f>IF(ISBLANK(INDEX('Policy Characteristics'!D:D,MATCH($C1030,'Policy Characteristics'!$C:$C,0))),"",INDEX('Policy Characteristics'!D:D,MATCH($C1030,'Policy Characteristics'!$C:$C,0)))</f>
        <v>Industry Energy Efficiency Standards</v>
      </c>
      <c r="K1030" s="275" t="str">
        <f>IF(ISBLANK(INDEX('Policy Characteristics'!E:E,MATCH($C1030,'Policy Characteristics'!$C:$C,0))),"",INDEX('Policy Characteristics'!E:E,MATCH($C1030,'Policy Characteristics'!$C:$C,0)))</f>
        <v>indst efficiency standards</v>
      </c>
      <c r="L1030" s="283">
        <f>IF(ISBLANK(INDEX('Policy Characteristics'!F:F,MATCH($C1030,'Policy Characteristics'!$C:$C,0))),"",INDEX('Policy Characteristics'!F:F,MATCH($C1030,'Policy Characteristics'!$C:$C,0)))</f>
        <v>0</v>
      </c>
      <c r="M1030" s="283">
        <f>IF(ISBLANK(INDEX('Policy Characteristics'!G:G,MATCH($C1030,'Policy Characteristics'!$C:$C,0))),"",INDEX('Policy Characteristics'!G:G,MATCH($C1030,'Policy Characteristics'!$C:$C,0)))</f>
        <v>0.25</v>
      </c>
      <c r="N1030" s="283">
        <f>IF(ISBLANK(INDEX('Policy Characteristics'!H:H,MATCH($C1030,'Policy Characteristics'!$C:$C,0))),"",INDEX('Policy Characteristics'!H:H,MATCH($C1030,'Policy Characteristics'!$C:$C,0)))</f>
        <v>0.01</v>
      </c>
      <c r="O1030" s="275" t="str">
        <f>IF(ISBLANK(INDEX('Policy Characteristics'!I:I,MATCH($C1030,'Policy Characteristics'!$C:$C,0))),"",INDEX('Policy Characteristics'!I:I,MATCH($C1030,'Policy Characteristics'!$C:$C,0)))</f>
        <v>% reduction in energy use</v>
      </c>
      <c r="P1030" s="275" t="str">
        <f>IF(ISBLANK(INDEX('Policy Characteristics'!J:J,MATCH($C1030,'Policy Characteristics'!$C:$C,0))),"",INDEX('Policy Characteristics'!J:J,MATCH($C1030,'Policy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0" s="275" t="str">
        <f>IF(ISBLANK(INDEX('Policy Characteristics'!K:K,MATCH($C1030,'Policy Characteristics'!$C:$C,0))),"",INDEX('Policy Characteristics'!K:K,MATCH($C1030,'Policy Characteristics'!$C:$C,0)))</f>
        <v>industry-ag-main.html#eff-stds</v>
      </c>
      <c r="R1030" s="275" t="str">
        <f>IF(ISBLANK(INDEX('Policy Characteristics'!L:L,MATCH($C1030,'Policy Characteristics'!$C:$C,0))),"",INDEX('Policy Characteristics'!L:L,MATCH($C1030,'Policy Characteristics'!$C:$C,0)))</f>
        <v>industry-energy-efficiency-standards.html</v>
      </c>
    </row>
    <row r="1031" spans="1:18" s="4" customFormat="1" x14ac:dyDescent="0.25">
      <c r="A1031" s="275" t="str">
        <f>IF(ISBLANK(INDEX('Policy Characteristics'!A:A,MATCH($C1031,'Policy Characteristics'!$C:$C,0))),"",INDEX('Policy Characteristics'!A:A,MATCH($C1031,'Policy Characteristics'!$C:$C,0)))</f>
        <v>Industry</v>
      </c>
      <c r="B1031" s="284" t="str">
        <f>IF(ISBLANK(INDEX('Policy Characteristics'!B:B,MATCH($C1031,'Policy Characteristics'!$C:$C,0))),"",INDEX('Policy Characteristics'!B:B,MATCH($C1031,'Policy Characteristics'!$C:$C,0)))</f>
        <v>Industry Energy Efficiency Standards</v>
      </c>
      <c r="C1031" s="275" t="str">
        <f t="shared" si="41"/>
        <v>Percentage Improvement in Eqpt Efficiency Standards above BAU</v>
      </c>
      <c r="D1031" s="6" t="s">
        <v>3075</v>
      </c>
      <c r="E1031" s="47" t="s">
        <v>2711</v>
      </c>
      <c r="F1031" t="s">
        <v>3039</v>
      </c>
      <c r="G1031" s="47" t="s">
        <v>2715</v>
      </c>
      <c r="H1031" s="44">
        <v>1016</v>
      </c>
      <c r="I1031" s="346" t="s">
        <v>43</v>
      </c>
      <c r="J1031" s="276" t="str">
        <f>IF(ISBLANK(INDEX('Policy Characteristics'!D:D,MATCH($C1031,'Policy Characteristics'!$C:$C,0))),"",INDEX('Policy Characteristics'!D:D,MATCH($C1031,'Policy Characteristics'!$C:$C,0)))</f>
        <v>Industry Energy Efficiency Standards</v>
      </c>
      <c r="K1031" s="275" t="str">
        <f>IF(ISBLANK(INDEX('Policy Characteristics'!E:E,MATCH($C1031,'Policy Characteristics'!$C:$C,0))),"",INDEX('Policy Characteristics'!E:E,MATCH($C1031,'Policy Characteristics'!$C:$C,0)))</f>
        <v>indst efficiency standards</v>
      </c>
      <c r="L1031" s="283">
        <f>IF(ISBLANK(INDEX('Policy Characteristics'!F:F,MATCH($C1031,'Policy Characteristics'!$C:$C,0))),"",INDEX('Policy Characteristics'!F:F,MATCH($C1031,'Policy Characteristics'!$C:$C,0)))</f>
        <v>0</v>
      </c>
      <c r="M1031" s="283">
        <f>IF(ISBLANK(INDEX('Policy Characteristics'!G:G,MATCH($C1031,'Policy Characteristics'!$C:$C,0))),"",INDEX('Policy Characteristics'!G:G,MATCH($C1031,'Policy Characteristics'!$C:$C,0)))</f>
        <v>0.25</v>
      </c>
      <c r="N1031" s="283">
        <f>IF(ISBLANK(INDEX('Policy Characteristics'!H:H,MATCH($C1031,'Policy Characteristics'!$C:$C,0))),"",INDEX('Policy Characteristics'!H:H,MATCH($C1031,'Policy Characteristics'!$C:$C,0)))</f>
        <v>0.01</v>
      </c>
      <c r="O1031" s="275" t="str">
        <f>IF(ISBLANK(INDEX('Policy Characteristics'!I:I,MATCH($C1031,'Policy Characteristics'!$C:$C,0))),"",INDEX('Policy Characteristics'!I:I,MATCH($C1031,'Policy Characteristics'!$C:$C,0)))</f>
        <v>% reduction in energy use</v>
      </c>
      <c r="P1031" s="275" t="str">
        <f>IF(ISBLANK(INDEX('Policy Characteristics'!J:J,MATCH($C1031,'Policy Characteristics'!$C:$C,0))),"",INDEX('Policy Characteristics'!J:J,MATCH($C1031,'Policy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1" s="275" t="str">
        <f>IF(ISBLANK(INDEX('Policy Characteristics'!K:K,MATCH($C1031,'Policy Characteristics'!$C:$C,0))),"",INDEX('Policy Characteristics'!K:K,MATCH($C1031,'Policy Characteristics'!$C:$C,0)))</f>
        <v>industry-ag-main.html#eff-stds</v>
      </c>
      <c r="R1031" s="275" t="str">
        <f>IF(ISBLANK(INDEX('Policy Characteristics'!L:L,MATCH($C1031,'Policy Characteristics'!$C:$C,0))),"",INDEX('Policy Characteristics'!L:L,MATCH($C1031,'Policy Characteristics'!$C:$C,0)))</f>
        <v>industry-energy-efficiency-standards.html</v>
      </c>
    </row>
    <row r="1032" spans="1:18" s="4" customFormat="1" x14ac:dyDescent="0.25">
      <c r="A1032" s="275" t="str">
        <f>IF(ISBLANK(INDEX('Policy Characteristics'!A:A,MATCH($C1032,'Policy Characteristics'!$C:$C,0))),"",INDEX('Policy Characteristics'!A:A,MATCH($C1032,'Policy Characteristics'!$C:$C,0)))</f>
        <v>Industry</v>
      </c>
      <c r="B1032" s="284" t="str">
        <f>IF(ISBLANK(INDEX('Policy Characteristics'!B:B,MATCH($C1032,'Policy Characteristics'!$C:$C,0))),"",INDEX('Policy Characteristics'!B:B,MATCH($C1032,'Policy Characteristics'!$C:$C,0)))</f>
        <v>Industry Energy Efficiency Standards</v>
      </c>
      <c r="C1032" s="275" t="str">
        <f t="shared" si="41"/>
        <v>Percentage Improvement in Eqpt Efficiency Standards above BAU</v>
      </c>
      <c r="D1032" s="6" t="s">
        <v>3075</v>
      </c>
      <c r="E1032" s="47" t="s">
        <v>2708</v>
      </c>
      <c r="F1032" t="s">
        <v>3039</v>
      </c>
      <c r="G1032" s="47" t="s">
        <v>2713</v>
      </c>
      <c r="H1032" s="44">
        <v>1017</v>
      </c>
      <c r="I1032" s="346" t="s">
        <v>44</v>
      </c>
      <c r="J1032" s="276" t="str">
        <f>IF(ISBLANK(INDEX('Policy Characteristics'!D:D,MATCH($C1032,'Policy Characteristics'!$C:$C,0))),"",INDEX('Policy Characteristics'!D:D,MATCH($C1032,'Policy Characteristics'!$C:$C,0)))</f>
        <v>Industry Energy Efficiency Standards</v>
      </c>
      <c r="K1032" s="275" t="str">
        <f>IF(ISBLANK(INDEX('Policy Characteristics'!E:E,MATCH($C1032,'Policy Characteristics'!$C:$C,0))),"",INDEX('Policy Characteristics'!E:E,MATCH($C1032,'Policy Characteristics'!$C:$C,0)))</f>
        <v>indst efficiency standards</v>
      </c>
      <c r="L1032" s="283">
        <f>IF(ISBLANK(INDEX('Policy Characteristics'!F:F,MATCH($C1032,'Policy Characteristics'!$C:$C,0))),"",INDEX('Policy Characteristics'!F:F,MATCH($C1032,'Policy Characteristics'!$C:$C,0)))</f>
        <v>0</v>
      </c>
      <c r="M1032" s="283">
        <f>IF(ISBLANK(INDEX('Policy Characteristics'!G:G,MATCH($C1032,'Policy Characteristics'!$C:$C,0))),"",INDEX('Policy Characteristics'!G:G,MATCH($C1032,'Policy Characteristics'!$C:$C,0)))</f>
        <v>0.25</v>
      </c>
      <c r="N1032" s="283">
        <f>IF(ISBLANK(INDEX('Policy Characteristics'!H:H,MATCH($C1032,'Policy Characteristics'!$C:$C,0))),"",INDEX('Policy Characteristics'!H:H,MATCH($C1032,'Policy Characteristics'!$C:$C,0)))</f>
        <v>0.01</v>
      </c>
      <c r="O1032" s="275" t="str">
        <f>IF(ISBLANK(INDEX('Policy Characteristics'!I:I,MATCH($C1032,'Policy Characteristics'!$C:$C,0))),"",INDEX('Policy Characteristics'!I:I,MATCH($C1032,'Policy Characteristics'!$C:$C,0)))</f>
        <v>% reduction in energy use</v>
      </c>
      <c r="P1032" s="275" t="str">
        <f>IF(ISBLANK(INDEX('Policy Characteristics'!J:J,MATCH($C1032,'Policy Characteristics'!$C:$C,0))),"",INDEX('Policy Characteristics'!J:J,MATCH($C1032,'Policy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2" s="275" t="str">
        <f>IF(ISBLANK(INDEX('Policy Characteristics'!K:K,MATCH($C1032,'Policy Characteristics'!$C:$C,0))),"",INDEX('Policy Characteristics'!K:K,MATCH($C1032,'Policy Characteristics'!$C:$C,0)))</f>
        <v>industry-ag-main.html#eff-stds</v>
      </c>
      <c r="R1032" s="275" t="str">
        <f>IF(ISBLANK(INDEX('Policy Characteristics'!L:L,MATCH($C1032,'Policy Characteristics'!$C:$C,0))),"",INDEX('Policy Characteristics'!L:L,MATCH($C1032,'Policy Characteristics'!$C:$C,0)))</f>
        <v>industry-energy-efficiency-standards.html</v>
      </c>
    </row>
    <row r="1033" spans="1:18" s="4" customFormat="1" x14ac:dyDescent="0.25">
      <c r="A1033" s="275" t="str">
        <f>IF(ISBLANK(INDEX('Policy Characteristics'!A:A,MATCH($C1033,'Policy Characteristics'!$C:$C,0))),"",INDEX('Policy Characteristics'!A:A,MATCH($C1033,'Policy Characteristics'!$C:$C,0)))</f>
        <v>Industry</v>
      </c>
      <c r="B1033" s="284" t="str">
        <f>IF(ISBLANK(INDEX('Policy Characteristics'!B:B,MATCH($C1033,'Policy Characteristics'!$C:$C,0))),"",INDEX('Policy Characteristics'!B:B,MATCH($C1033,'Policy Characteristics'!$C:$C,0)))</f>
        <v>Industry Energy Efficiency Standards</v>
      </c>
      <c r="C1033" s="275" t="str">
        <f t="shared" si="41"/>
        <v>Percentage Improvement in Eqpt Efficiency Standards above BAU</v>
      </c>
      <c r="D1033" s="6" t="s">
        <v>3076</v>
      </c>
      <c r="E1033" s="47" t="s">
        <v>2401</v>
      </c>
      <c r="F1033" t="s">
        <v>3040</v>
      </c>
      <c r="G1033" s="47" t="s">
        <v>2407</v>
      </c>
      <c r="H1033" s="44">
        <v>1018</v>
      </c>
      <c r="I1033" s="346" t="s">
        <v>43</v>
      </c>
      <c r="J1033" s="276" t="str">
        <f>IF(ISBLANK(INDEX('Policy Characteristics'!D:D,MATCH($C1033,'Policy Characteristics'!$C:$C,0))),"",INDEX('Policy Characteristics'!D:D,MATCH($C1033,'Policy Characteristics'!$C:$C,0)))</f>
        <v>Industry Energy Efficiency Standards</v>
      </c>
      <c r="K1033" s="275" t="str">
        <f>IF(ISBLANK(INDEX('Policy Characteristics'!E:E,MATCH($C1033,'Policy Characteristics'!$C:$C,0))),"",INDEX('Policy Characteristics'!E:E,MATCH($C1033,'Policy Characteristics'!$C:$C,0)))</f>
        <v>indst efficiency standards</v>
      </c>
      <c r="L1033" s="283">
        <f>IF(ISBLANK(INDEX('Policy Characteristics'!F:F,MATCH($C1033,'Policy Characteristics'!$C:$C,0))),"",INDEX('Policy Characteristics'!F:F,MATCH($C1033,'Policy Characteristics'!$C:$C,0)))</f>
        <v>0</v>
      </c>
      <c r="M1033" s="283">
        <f>IF(ISBLANK(INDEX('Policy Characteristics'!G:G,MATCH($C1033,'Policy Characteristics'!$C:$C,0))),"",INDEX('Policy Characteristics'!G:G,MATCH($C1033,'Policy Characteristics'!$C:$C,0)))</f>
        <v>0.25</v>
      </c>
      <c r="N1033" s="283">
        <f>IF(ISBLANK(INDEX('Policy Characteristics'!H:H,MATCH($C1033,'Policy Characteristics'!$C:$C,0))),"",INDEX('Policy Characteristics'!H:H,MATCH($C1033,'Policy Characteristics'!$C:$C,0)))</f>
        <v>0.01</v>
      </c>
      <c r="O1033" s="275" t="str">
        <f>IF(ISBLANK(INDEX('Policy Characteristics'!I:I,MATCH($C1033,'Policy Characteristics'!$C:$C,0))),"",INDEX('Policy Characteristics'!I:I,MATCH($C1033,'Policy Characteristics'!$C:$C,0)))</f>
        <v>% reduction in energy use</v>
      </c>
      <c r="P1033" s="275" t="str">
        <f>IF(ISBLANK(INDEX('Policy Characteristics'!J:J,MATCH($C1033,'Policy Characteristics'!$C:$C,0))),"",INDEX('Policy Characteristics'!J:J,MATCH($C1033,'Policy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3" s="275" t="str">
        <f>IF(ISBLANK(INDEX('Policy Characteristics'!K:K,MATCH($C1033,'Policy Characteristics'!$C:$C,0))),"",INDEX('Policy Characteristics'!K:K,MATCH($C1033,'Policy Characteristics'!$C:$C,0)))</f>
        <v>industry-ag-main.html#eff-stds</v>
      </c>
      <c r="R1033" s="275" t="str">
        <f>IF(ISBLANK(INDEX('Policy Characteristics'!L:L,MATCH($C1033,'Policy Characteristics'!$C:$C,0))),"",INDEX('Policy Characteristics'!L:L,MATCH($C1033,'Policy Characteristics'!$C:$C,0)))</f>
        <v>industry-energy-efficiency-standards.html</v>
      </c>
    </row>
    <row r="1034" spans="1:18" s="4" customFormat="1" x14ac:dyDescent="0.25">
      <c r="A1034" s="275" t="str">
        <f>IF(ISBLANK(INDEX('Policy Characteristics'!A:A,MATCH($C1034,'Policy Characteristics'!$C:$C,0))),"",INDEX('Policy Characteristics'!A:A,MATCH($C1034,'Policy Characteristics'!$C:$C,0)))</f>
        <v>Industry</v>
      </c>
      <c r="B1034" s="284" t="str">
        <f>IF(ISBLANK(INDEX('Policy Characteristics'!B:B,MATCH($C1034,'Policy Characteristics'!$C:$C,0))),"",INDEX('Policy Characteristics'!B:B,MATCH($C1034,'Policy Characteristics'!$C:$C,0)))</f>
        <v>Industry Energy Efficiency Standards</v>
      </c>
      <c r="C1034" s="275" t="str">
        <f t="shared" si="41"/>
        <v>Percentage Improvement in Eqpt Efficiency Standards above BAU</v>
      </c>
      <c r="D1034" s="6" t="s">
        <v>3076</v>
      </c>
      <c r="E1034" s="47" t="s">
        <v>2402</v>
      </c>
      <c r="F1034" t="s">
        <v>3040</v>
      </c>
      <c r="G1034" s="47" t="s">
        <v>2410</v>
      </c>
      <c r="H1034" s="44">
        <v>1019</v>
      </c>
      <c r="I1034" s="346" t="s">
        <v>43</v>
      </c>
      <c r="J1034" s="276" t="str">
        <f>IF(ISBLANK(INDEX('Policy Characteristics'!D:D,MATCH($C1034,'Policy Characteristics'!$C:$C,0))),"",INDEX('Policy Characteristics'!D:D,MATCH($C1034,'Policy Characteristics'!$C:$C,0)))</f>
        <v>Industry Energy Efficiency Standards</v>
      </c>
      <c r="K1034" s="275" t="str">
        <f>IF(ISBLANK(INDEX('Policy Characteristics'!E:E,MATCH($C1034,'Policy Characteristics'!$C:$C,0))),"",INDEX('Policy Characteristics'!E:E,MATCH($C1034,'Policy Characteristics'!$C:$C,0)))</f>
        <v>indst efficiency standards</v>
      </c>
      <c r="L1034" s="283">
        <f>IF(ISBLANK(INDEX('Policy Characteristics'!F:F,MATCH($C1034,'Policy Characteristics'!$C:$C,0))),"",INDEX('Policy Characteristics'!F:F,MATCH($C1034,'Policy Characteristics'!$C:$C,0)))</f>
        <v>0</v>
      </c>
      <c r="M1034" s="283">
        <f>IF(ISBLANK(INDEX('Policy Characteristics'!G:G,MATCH($C1034,'Policy Characteristics'!$C:$C,0))),"",INDEX('Policy Characteristics'!G:G,MATCH($C1034,'Policy Characteristics'!$C:$C,0)))</f>
        <v>0.25</v>
      </c>
      <c r="N1034" s="283">
        <f>IF(ISBLANK(INDEX('Policy Characteristics'!H:H,MATCH($C1034,'Policy Characteristics'!$C:$C,0))),"",INDEX('Policy Characteristics'!H:H,MATCH($C1034,'Policy Characteristics'!$C:$C,0)))</f>
        <v>0.01</v>
      </c>
      <c r="O1034" s="275" t="str">
        <f>IF(ISBLANK(INDEX('Policy Characteristics'!I:I,MATCH($C1034,'Policy Characteristics'!$C:$C,0))),"",INDEX('Policy Characteristics'!I:I,MATCH($C1034,'Policy Characteristics'!$C:$C,0)))</f>
        <v>% reduction in energy use</v>
      </c>
      <c r="P1034" s="275" t="str">
        <f>IF(ISBLANK(INDEX('Policy Characteristics'!J:J,MATCH($C1034,'Policy Characteristics'!$C:$C,0))),"",INDEX('Policy Characteristics'!J:J,MATCH($C1034,'Policy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4" s="275" t="str">
        <f>IF(ISBLANK(INDEX('Policy Characteristics'!K:K,MATCH($C1034,'Policy Characteristics'!$C:$C,0))),"",INDEX('Policy Characteristics'!K:K,MATCH($C1034,'Policy Characteristics'!$C:$C,0)))</f>
        <v>industry-ag-main.html#eff-stds</v>
      </c>
      <c r="R1034" s="275" t="str">
        <f>IF(ISBLANK(INDEX('Policy Characteristics'!L:L,MATCH($C1034,'Policy Characteristics'!$C:$C,0))),"",INDEX('Policy Characteristics'!L:L,MATCH($C1034,'Policy Characteristics'!$C:$C,0)))</f>
        <v>industry-energy-efficiency-standards.html</v>
      </c>
    </row>
    <row r="1035" spans="1:18" s="4" customFormat="1" x14ac:dyDescent="0.25">
      <c r="A1035" s="275" t="str">
        <f>IF(ISBLANK(INDEX('Policy Characteristics'!A:A,MATCH($C1035,'Policy Characteristics'!$C:$C,0))),"",INDEX('Policy Characteristics'!A:A,MATCH($C1035,'Policy Characteristics'!$C:$C,0)))</f>
        <v>Industry</v>
      </c>
      <c r="B1035" s="284" t="str">
        <f>IF(ISBLANK(INDEX('Policy Characteristics'!B:B,MATCH($C1035,'Policy Characteristics'!$C:$C,0))),"",INDEX('Policy Characteristics'!B:B,MATCH($C1035,'Policy Characteristics'!$C:$C,0)))</f>
        <v>Industry Energy Efficiency Standards</v>
      </c>
      <c r="C1035" s="275" t="str">
        <f t="shared" si="41"/>
        <v>Percentage Improvement in Eqpt Efficiency Standards above BAU</v>
      </c>
      <c r="D1035" s="6" t="s">
        <v>3076</v>
      </c>
      <c r="E1035" s="47" t="s">
        <v>2403</v>
      </c>
      <c r="F1035" t="s">
        <v>3040</v>
      </c>
      <c r="G1035" s="47" t="s">
        <v>2411</v>
      </c>
      <c r="H1035" s="44">
        <v>1020</v>
      </c>
      <c r="I1035" s="346" t="s">
        <v>43</v>
      </c>
      <c r="J1035" s="276" t="str">
        <f>IF(ISBLANK(INDEX('Policy Characteristics'!D:D,MATCH($C1035,'Policy Characteristics'!$C:$C,0))),"",INDEX('Policy Characteristics'!D:D,MATCH($C1035,'Policy Characteristics'!$C:$C,0)))</f>
        <v>Industry Energy Efficiency Standards</v>
      </c>
      <c r="K1035" s="275" t="str">
        <f>IF(ISBLANK(INDEX('Policy Characteristics'!E:E,MATCH($C1035,'Policy Characteristics'!$C:$C,0))),"",INDEX('Policy Characteristics'!E:E,MATCH($C1035,'Policy Characteristics'!$C:$C,0)))</f>
        <v>indst efficiency standards</v>
      </c>
      <c r="L1035" s="283">
        <f>IF(ISBLANK(INDEX('Policy Characteristics'!F:F,MATCH($C1035,'Policy Characteristics'!$C:$C,0))),"",INDEX('Policy Characteristics'!F:F,MATCH($C1035,'Policy Characteristics'!$C:$C,0)))</f>
        <v>0</v>
      </c>
      <c r="M1035" s="283">
        <f>IF(ISBLANK(INDEX('Policy Characteristics'!G:G,MATCH($C1035,'Policy Characteristics'!$C:$C,0))),"",INDEX('Policy Characteristics'!G:G,MATCH($C1035,'Policy Characteristics'!$C:$C,0)))</f>
        <v>0.25</v>
      </c>
      <c r="N1035" s="283">
        <f>IF(ISBLANK(INDEX('Policy Characteristics'!H:H,MATCH($C1035,'Policy Characteristics'!$C:$C,0))),"",INDEX('Policy Characteristics'!H:H,MATCH($C1035,'Policy Characteristics'!$C:$C,0)))</f>
        <v>0.01</v>
      </c>
      <c r="O1035" s="275" t="str">
        <f>IF(ISBLANK(INDEX('Policy Characteristics'!I:I,MATCH($C1035,'Policy Characteristics'!$C:$C,0))),"",INDEX('Policy Characteristics'!I:I,MATCH($C1035,'Policy Characteristics'!$C:$C,0)))</f>
        <v>% reduction in energy use</v>
      </c>
      <c r="P1035" s="275" t="str">
        <f>IF(ISBLANK(INDEX('Policy Characteristics'!J:J,MATCH($C1035,'Policy Characteristics'!$C:$C,0))),"",INDEX('Policy Characteristics'!J:J,MATCH($C1035,'Policy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5" s="275" t="str">
        <f>IF(ISBLANK(INDEX('Policy Characteristics'!K:K,MATCH($C1035,'Policy Characteristics'!$C:$C,0))),"",INDEX('Policy Characteristics'!K:K,MATCH($C1035,'Policy Characteristics'!$C:$C,0)))</f>
        <v>industry-ag-main.html#eff-stds</v>
      </c>
      <c r="R1035" s="275" t="str">
        <f>IF(ISBLANK(INDEX('Policy Characteristics'!L:L,MATCH($C1035,'Policy Characteristics'!$C:$C,0))),"",INDEX('Policy Characteristics'!L:L,MATCH($C1035,'Policy Characteristics'!$C:$C,0)))</f>
        <v>industry-energy-efficiency-standards.html</v>
      </c>
    </row>
    <row r="1036" spans="1:18" s="4" customFormat="1" x14ac:dyDescent="0.25">
      <c r="A1036" s="275" t="str">
        <f>IF(ISBLANK(INDEX('Policy Characteristics'!A:A,MATCH($C1036,'Policy Characteristics'!$C:$C,0))),"",INDEX('Policy Characteristics'!A:A,MATCH($C1036,'Policy Characteristics'!$C:$C,0)))</f>
        <v>Industry</v>
      </c>
      <c r="B1036" s="284" t="str">
        <f>IF(ISBLANK(INDEX('Policy Characteristics'!B:B,MATCH($C1036,'Policy Characteristics'!$C:$C,0))),"",INDEX('Policy Characteristics'!B:B,MATCH($C1036,'Policy Characteristics'!$C:$C,0)))</f>
        <v>Industry Energy Efficiency Standards</v>
      </c>
      <c r="C1036" s="275" t="str">
        <f t="shared" si="41"/>
        <v>Percentage Improvement in Eqpt Efficiency Standards above BAU</v>
      </c>
      <c r="D1036" s="6" t="s">
        <v>3076</v>
      </c>
      <c r="E1036" s="47" t="s">
        <v>2404</v>
      </c>
      <c r="F1036" t="s">
        <v>3040</v>
      </c>
      <c r="G1036" s="47" t="s">
        <v>2408</v>
      </c>
      <c r="H1036" s="44">
        <v>1021</v>
      </c>
      <c r="I1036" s="346" t="s">
        <v>44</v>
      </c>
      <c r="J1036" s="276" t="str">
        <f>IF(ISBLANK(INDEX('Policy Characteristics'!D:D,MATCH($C1036,'Policy Characteristics'!$C:$C,0))),"",INDEX('Policy Characteristics'!D:D,MATCH($C1036,'Policy Characteristics'!$C:$C,0)))</f>
        <v>Industry Energy Efficiency Standards</v>
      </c>
      <c r="K1036" s="275" t="str">
        <f>IF(ISBLANK(INDEX('Policy Characteristics'!E:E,MATCH($C1036,'Policy Characteristics'!$C:$C,0))),"",INDEX('Policy Characteristics'!E:E,MATCH($C1036,'Policy Characteristics'!$C:$C,0)))</f>
        <v>indst efficiency standards</v>
      </c>
      <c r="L1036" s="283">
        <f>IF(ISBLANK(INDEX('Policy Characteristics'!F:F,MATCH($C1036,'Policy Characteristics'!$C:$C,0))),"",INDEX('Policy Characteristics'!F:F,MATCH($C1036,'Policy Characteristics'!$C:$C,0)))</f>
        <v>0</v>
      </c>
      <c r="M1036" s="283">
        <f>IF(ISBLANK(INDEX('Policy Characteristics'!G:G,MATCH($C1036,'Policy Characteristics'!$C:$C,0))),"",INDEX('Policy Characteristics'!G:G,MATCH($C1036,'Policy Characteristics'!$C:$C,0)))</f>
        <v>0.25</v>
      </c>
      <c r="N1036" s="283">
        <f>IF(ISBLANK(INDEX('Policy Characteristics'!H:H,MATCH($C1036,'Policy Characteristics'!$C:$C,0))),"",INDEX('Policy Characteristics'!H:H,MATCH($C1036,'Policy Characteristics'!$C:$C,0)))</f>
        <v>0.01</v>
      </c>
      <c r="O1036" s="275" t="str">
        <f>IF(ISBLANK(INDEX('Policy Characteristics'!I:I,MATCH($C1036,'Policy Characteristics'!$C:$C,0))),"",INDEX('Policy Characteristics'!I:I,MATCH($C1036,'Policy Characteristics'!$C:$C,0)))</f>
        <v>% reduction in energy use</v>
      </c>
      <c r="P1036" s="275" t="str">
        <f>IF(ISBLANK(INDEX('Policy Characteristics'!J:J,MATCH($C1036,'Policy Characteristics'!$C:$C,0))),"",INDEX('Policy Characteristics'!J:J,MATCH($C1036,'Policy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6" s="275" t="str">
        <f>IF(ISBLANK(INDEX('Policy Characteristics'!K:K,MATCH($C1036,'Policy Characteristics'!$C:$C,0))),"",INDEX('Policy Characteristics'!K:K,MATCH($C1036,'Policy Characteristics'!$C:$C,0)))</f>
        <v>industry-ag-main.html#eff-stds</v>
      </c>
      <c r="R1036" s="275" t="str">
        <f>IF(ISBLANK(INDEX('Policy Characteristics'!L:L,MATCH($C1036,'Policy Characteristics'!$C:$C,0))),"",INDEX('Policy Characteristics'!L:L,MATCH($C1036,'Policy Characteristics'!$C:$C,0)))</f>
        <v>industry-energy-efficiency-standards.html</v>
      </c>
    </row>
    <row r="1037" spans="1:18" s="4" customFormat="1" x14ac:dyDescent="0.25">
      <c r="A1037" s="275" t="str">
        <f>IF(ISBLANK(INDEX('Policy Characteristics'!A:A,MATCH($C1037,'Policy Characteristics'!$C:$C,0))),"",INDEX('Policy Characteristics'!A:A,MATCH($C1037,'Policy Characteristics'!$C:$C,0)))</f>
        <v>Industry</v>
      </c>
      <c r="B1037" s="284" t="str">
        <f>IF(ISBLANK(INDEX('Policy Characteristics'!B:B,MATCH($C1037,'Policy Characteristics'!$C:$C,0))),"",INDEX('Policy Characteristics'!B:B,MATCH($C1037,'Policy Characteristics'!$C:$C,0)))</f>
        <v>Industry Energy Efficiency Standards</v>
      </c>
      <c r="C1037" s="275" t="str">
        <f t="shared" si="41"/>
        <v>Percentage Improvement in Eqpt Efficiency Standards above BAU</v>
      </c>
      <c r="D1037" s="6" t="s">
        <v>3076</v>
      </c>
      <c r="E1037" s="47" t="s">
        <v>2405</v>
      </c>
      <c r="F1037" t="s">
        <v>3040</v>
      </c>
      <c r="G1037" s="47" t="s">
        <v>2409</v>
      </c>
      <c r="H1037" s="44">
        <v>1022</v>
      </c>
      <c r="I1037" s="346" t="s">
        <v>43</v>
      </c>
      <c r="J1037" s="276" t="str">
        <f>IF(ISBLANK(INDEX('Policy Characteristics'!D:D,MATCH($C1037,'Policy Characteristics'!$C:$C,0))),"",INDEX('Policy Characteristics'!D:D,MATCH($C1037,'Policy Characteristics'!$C:$C,0)))</f>
        <v>Industry Energy Efficiency Standards</v>
      </c>
      <c r="K1037" s="275" t="str">
        <f>IF(ISBLANK(INDEX('Policy Characteristics'!E:E,MATCH($C1037,'Policy Characteristics'!$C:$C,0))),"",INDEX('Policy Characteristics'!E:E,MATCH($C1037,'Policy Characteristics'!$C:$C,0)))</f>
        <v>indst efficiency standards</v>
      </c>
      <c r="L1037" s="283">
        <f>IF(ISBLANK(INDEX('Policy Characteristics'!F:F,MATCH($C1037,'Policy Characteristics'!$C:$C,0))),"",INDEX('Policy Characteristics'!F:F,MATCH($C1037,'Policy Characteristics'!$C:$C,0)))</f>
        <v>0</v>
      </c>
      <c r="M1037" s="283">
        <f>IF(ISBLANK(INDEX('Policy Characteristics'!G:G,MATCH($C1037,'Policy Characteristics'!$C:$C,0))),"",INDEX('Policy Characteristics'!G:G,MATCH($C1037,'Policy Characteristics'!$C:$C,0)))</f>
        <v>0.25</v>
      </c>
      <c r="N1037" s="283">
        <f>IF(ISBLANK(INDEX('Policy Characteristics'!H:H,MATCH($C1037,'Policy Characteristics'!$C:$C,0))),"",INDEX('Policy Characteristics'!H:H,MATCH($C1037,'Policy Characteristics'!$C:$C,0)))</f>
        <v>0.01</v>
      </c>
      <c r="O1037" s="275" t="str">
        <f>IF(ISBLANK(INDEX('Policy Characteristics'!I:I,MATCH($C1037,'Policy Characteristics'!$C:$C,0))),"",INDEX('Policy Characteristics'!I:I,MATCH($C1037,'Policy Characteristics'!$C:$C,0)))</f>
        <v>% reduction in energy use</v>
      </c>
      <c r="P1037" s="275" t="str">
        <f>IF(ISBLANK(INDEX('Policy Characteristics'!J:J,MATCH($C1037,'Policy Characteristics'!$C:$C,0))),"",INDEX('Policy Characteristics'!J:J,MATCH($C1037,'Policy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7" s="275" t="str">
        <f>IF(ISBLANK(INDEX('Policy Characteristics'!K:K,MATCH($C1037,'Policy Characteristics'!$C:$C,0))),"",INDEX('Policy Characteristics'!K:K,MATCH($C1037,'Policy Characteristics'!$C:$C,0)))</f>
        <v>industry-ag-main.html#eff-stds</v>
      </c>
      <c r="R1037" s="275" t="str">
        <f>IF(ISBLANK(INDEX('Policy Characteristics'!L:L,MATCH($C1037,'Policy Characteristics'!$C:$C,0))),"",INDEX('Policy Characteristics'!L:L,MATCH($C1037,'Policy Characteristics'!$C:$C,0)))</f>
        <v>industry-energy-efficiency-standards.html</v>
      </c>
    </row>
    <row r="1038" spans="1:18" s="4" customFormat="1" x14ac:dyDescent="0.25">
      <c r="A1038" s="275" t="str">
        <f>IF(ISBLANK(INDEX('Policy Characteristics'!A:A,MATCH($C1038,'Policy Characteristics'!$C:$C,0))),"",INDEX('Policy Characteristics'!A:A,MATCH($C1038,'Policy Characteristics'!$C:$C,0)))</f>
        <v>Industry</v>
      </c>
      <c r="B1038" s="284" t="str">
        <f>IF(ISBLANK(INDEX('Policy Characteristics'!B:B,MATCH($C1038,'Policy Characteristics'!$C:$C,0))),"",INDEX('Policy Characteristics'!B:B,MATCH($C1038,'Policy Characteristics'!$C:$C,0)))</f>
        <v>Industry Energy Efficiency Standards</v>
      </c>
      <c r="C1038" s="275" t="str">
        <f t="shared" ref="C1038:C1101" si="42">C$973</f>
        <v>Percentage Improvement in Eqpt Efficiency Standards above BAU</v>
      </c>
      <c r="D1038" s="6" t="s">
        <v>3076</v>
      </c>
      <c r="E1038" s="47" t="s">
        <v>2406</v>
      </c>
      <c r="F1038" t="s">
        <v>3040</v>
      </c>
      <c r="G1038" s="47" t="s">
        <v>2412</v>
      </c>
      <c r="H1038" s="44">
        <v>1023</v>
      </c>
      <c r="I1038" s="346" t="s">
        <v>44</v>
      </c>
      <c r="J1038" s="276" t="str">
        <f>IF(ISBLANK(INDEX('Policy Characteristics'!D:D,MATCH($C1038,'Policy Characteristics'!$C:$C,0))),"",INDEX('Policy Characteristics'!D:D,MATCH($C1038,'Policy Characteristics'!$C:$C,0)))</f>
        <v>Industry Energy Efficiency Standards</v>
      </c>
      <c r="K1038" s="275" t="str">
        <f>IF(ISBLANK(INDEX('Policy Characteristics'!E:E,MATCH($C1038,'Policy Characteristics'!$C:$C,0))),"",INDEX('Policy Characteristics'!E:E,MATCH($C1038,'Policy Characteristics'!$C:$C,0)))</f>
        <v>indst efficiency standards</v>
      </c>
      <c r="L1038" s="283">
        <f>IF(ISBLANK(INDEX('Policy Characteristics'!F:F,MATCH($C1038,'Policy Characteristics'!$C:$C,0))),"",INDEX('Policy Characteristics'!F:F,MATCH($C1038,'Policy Characteristics'!$C:$C,0)))</f>
        <v>0</v>
      </c>
      <c r="M1038" s="283">
        <f>IF(ISBLANK(INDEX('Policy Characteristics'!G:G,MATCH($C1038,'Policy Characteristics'!$C:$C,0))),"",INDEX('Policy Characteristics'!G:G,MATCH($C1038,'Policy Characteristics'!$C:$C,0)))</f>
        <v>0.25</v>
      </c>
      <c r="N1038" s="283">
        <f>IF(ISBLANK(INDEX('Policy Characteristics'!H:H,MATCH($C1038,'Policy Characteristics'!$C:$C,0))),"",INDEX('Policy Characteristics'!H:H,MATCH($C1038,'Policy Characteristics'!$C:$C,0)))</f>
        <v>0.01</v>
      </c>
      <c r="O1038" s="275" t="str">
        <f>IF(ISBLANK(INDEX('Policy Characteristics'!I:I,MATCH($C1038,'Policy Characteristics'!$C:$C,0))),"",INDEX('Policy Characteristics'!I:I,MATCH($C1038,'Policy Characteristics'!$C:$C,0)))</f>
        <v>% reduction in energy use</v>
      </c>
      <c r="P1038" s="275" t="str">
        <f>IF(ISBLANK(INDEX('Policy Characteristics'!J:J,MATCH($C1038,'Policy Characteristics'!$C:$C,0))),"",INDEX('Policy Characteristics'!J:J,MATCH($C1038,'Policy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8" s="275" t="str">
        <f>IF(ISBLANK(INDEX('Policy Characteristics'!K:K,MATCH($C1038,'Policy Characteristics'!$C:$C,0))),"",INDEX('Policy Characteristics'!K:K,MATCH($C1038,'Policy Characteristics'!$C:$C,0)))</f>
        <v>industry-ag-main.html#eff-stds</v>
      </c>
      <c r="R1038" s="275" t="str">
        <f>IF(ISBLANK(INDEX('Policy Characteristics'!L:L,MATCH($C1038,'Policy Characteristics'!$C:$C,0))),"",INDEX('Policy Characteristics'!L:L,MATCH($C1038,'Policy Characteristics'!$C:$C,0)))</f>
        <v>industry-energy-efficiency-standards.html</v>
      </c>
    </row>
    <row r="1039" spans="1:18" s="4" customFormat="1" x14ac:dyDescent="0.25">
      <c r="A1039" s="275" t="str">
        <f>IF(ISBLANK(INDEX('Policy Characteristics'!A:A,MATCH($C1039,'Policy Characteristics'!$C:$C,0))),"",INDEX('Policy Characteristics'!A:A,MATCH($C1039,'Policy Characteristics'!$C:$C,0)))</f>
        <v>Industry</v>
      </c>
      <c r="B1039" s="284" t="str">
        <f>IF(ISBLANK(INDEX('Policy Characteristics'!B:B,MATCH($C1039,'Policy Characteristics'!$C:$C,0))),"",INDEX('Policy Characteristics'!B:B,MATCH($C1039,'Policy Characteristics'!$C:$C,0)))</f>
        <v>Industry Energy Efficiency Standards</v>
      </c>
      <c r="C1039" s="275" t="str">
        <f t="shared" si="42"/>
        <v>Percentage Improvement in Eqpt Efficiency Standards above BAU</v>
      </c>
      <c r="D1039" s="6" t="s">
        <v>3076</v>
      </c>
      <c r="E1039" s="47" t="s">
        <v>2709</v>
      </c>
      <c r="F1039" t="s">
        <v>3040</v>
      </c>
      <c r="G1039" s="47" t="s">
        <v>2712</v>
      </c>
      <c r="H1039" s="44">
        <v>1024</v>
      </c>
      <c r="I1039" s="346" t="s">
        <v>44</v>
      </c>
      <c r="J1039" s="276" t="str">
        <f>IF(ISBLANK(INDEX('Policy Characteristics'!D:D,MATCH($C1039,'Policy Characteristics'!$C:$C,0))),"",INDEX('Policy Characteristics'!D:D,MATCH($C1039,'Policy Characteristics'!$C:$C,0)))</f>
        <v>Industry Energy Efficiency Standards</v>
      </c>
      <c r="K1039" s="275" t="str">
        <f>IF(ISBLANK(INDEX('Policy Characteristics'!E:E,MATCH($C1039,'Policy Characteristics'!$C:$C,0))),"",INDEX('Policy Characteristics'!E:E,MATCH($C1039,'Policy Characteristics'!$C:$C,0)))</f>
        <v>indst efficiency standards</v>
      </c>
      <c r="L1039" s="283">
        <f>IF(ISBLANK(INDEX('Policy Characteristics'!F:F,MATCH($C1039,'Policy Characteristics'!$C:$C,0))),"",INDEX('Policy Characteristics'!F:F,MATCH($C1039,'Policy Characteristics'!$C:$C,0)))</f>
        <v>0</v>
      </c>
      <c r="M1039" s="283">
        <f>IF(ISBLANK(INDEX('Policy Characteristics'!G:G,MATCH($C1039,'Policy Characteristics'!$C:$C,0))),"",INDEX('Policy Characteristics'!G:G,MATCH($C1039,'Policy Characteristics'!$C:$C,0)))</f>
        <v>0.25</v>
      </c>
      <c r="N1039" s="283">
        <f>IF(ISBLANK(INDEX('Policy Characteristics'!H:H,MATCH($C1039,'Policy Characteristics'!$C:$C,0))),"",INDEX('Policy Characteristics'!H:H,MATCH($C1039,'Policy Characteristics'!$C:$C,0)))</f>
        <v>0.01</v>
      </c>
      <c r="O1039" s="275" t="str">
        <f>IF(ISBLANK(INDEX('Policy Characteristics'!I:I,MATCH($C1039,'Policy Characteristics'!$C:$C,0))),"",INDEX('Policy Characteristics'!I:I,MATCH($C1039,'Policy Characteristics'!$C:$C,0)))</f>
        <v>% reduction in energy use</v>
      </c>
      <c r="P1039" s="275" t="str">
        <f>IF(ISBLANK(INDEX('Policy Characteristics'!J:J,MATCH($C1039,'Policy Characteristics'!$C:$C,0))),"",INDEX('Policy Characteristics'!J:J,MATCH($C1039,'Policy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9" s="275" t="str">
        <f>IF(ISBLANK(INDEX('Policy Characteristics'!K:K,MATCH($C1039,'Policy Characteristics'!$C:$C,0))),"",INDEX('Policy Characteristics'!K:K,MATCH($C1039,'Policy Characteristics'!$C:$C,0)))</f>
        <v>industry-ag-main.html#eff-stds</v>
      </c>
      <c r="R1039" s="275" t="str">
        <f>IF(ISBLANK(INDEX('Policy Characteristics'!L:L,MATCH($C1039,'Policy Characteristics'!$C:$C,0))),"",INDEX('Policy Characteristics'!L:L,MATCH($C1039,'Policy Characteristics'!$C:$C,0)))</f>
        <v>industry-energy-efficiency-standards.html</v>
      </c>
    </row>
    <row r="1040" spans="1:18" s="4" customFormat="1" x14ac:dyDescent="0.25">
      <c r="A1040" s="275" t="str">
        <f>IF(ISBLANK(INDEX('Policy Characteristics'!A:A,MATCH($C1040,'Policy Characteristics'!$C:$C,0))),"",INDEX('Policy Characteristics'!A:A,MATCH($C1040,'Policy Characteristics'!$C:$C,0)))</f>
        <v>Industry</v>
      </c>
      <c r="B1040" s="284" t="str">
        <f>IF(ISBLANK(INDEX('Policy Characteristics'!B:B,MATCH($C1040,'Policy Characteristics'!$C:$C,0))),"",INDEX('Policy Characteristics'!B:B,MATCH($C1040,'Policy Characteristics'!$C:$C,0)))</f>
        <v>Industry Energy Efficiency Standards</v>
      </c>
      <c r="C1040" s="275" t="str">
        <f t="shared" si="42"/>
        <v>Percentage Improvement in Eqpt Efficiency Standards above BAU</v>
      </c>
      <c r="D1040" s="6" t="s">
        <v>3076</v>
      </c>
      <c r="E1040" s="47" t="s">
        <v>2710</v>
      </c>
      <c r="F1040" t="s">
        <v>3040</v>
      </c>
      <c r="G1040" s="47" t="s">
        <v>2714</v>
      </c>
      <c r="H1040" s="44">
        <v>1025</v>
      </c>
      <c r="I1040" s="346" t="s">
        <v>43</v>
      </c>
      <c r="J1040" s="276" t="str">
        <f>IF(ISBLANK(INDEX('Policy Characteristics'!D:D,MATCH($C1040,'Policy Characteristics'!$C:$C,0))),"",INDEX('Policy Characteristics'!D:D,MATCH($C1040,'Policy Characteristics'!$C:$C,0)))</f>
        <v>Industry Energy Efficiency Standards</v>
      </c>
      <c r="K1040" s="275" t="str">
        <f>IF(ISBLANK(INDEX('Policy Characteristics'!E:E,MATCH($C1040,'Policy Characteristics'!$C:$C,0))),"",INDEX('Policy Characteristics'!E:E,MATCH($C1040,'Policy Characteristics'!$C:$C,0)))</f>
        <v>indst efficiency standards</v>
      </c>
      <c r="L1040" s="283">
        <f>IF(ISBLANK(INDEX('Policy Characteristics'!F:F,MATCH($C1040,'Policy Characteristics'!$C:$C,0))),"",INDEX('Policy Characteristics'!F:F,MATCH($C1040,'Policy Characteristics'!$C:$C,0)))</f>
        <v>0</v>
      </c>
      <c r="M1040" s="283">
        <f>IF(ISBLANK(INDEX('Policy Characteristics'!G:G,MATCH($C1040,'Policy Characteristics'!$C:$C,0))),"",INDEX('Policy Characteristics'!G:G,MATCH($C1040,'Policy Characteristics'!$C:$C,0)))</f>
        <v>0.25</v>
      </c>
      <c r="N1040" s="283">
        <f>IF(ISBLANK(INDEX('Policy Characteristics'!H:H,MATCH($C1040,'Policy Characteristics'!$C:$C,0))),"",INDEX('Policy Characteristics'!H:H,MATCH($C1040,'Policy Characteristics'!$C:$C,0)))</f>
        <v>0.01</v>
      </c>
      <c r="O1040" s="275" t="str">
        <f>IF(ISBLANK(INDEX('Policy Characteristics'!I:I,MATCH($C1040,'Policy Characteristics'!$C:$C,0))),"",INDEX('Policy Characteristics'!I:I,MATCH($C1040,'Policy Characteristics'!$C:$C,0)))</f>
        <v>% reduction in energy use</v>
      </c>
      <c r="P1040" s="275" t="str">
        <f>IF(ISBLANK(INDEX('Policy Characteristics'!J:J,MATCH($C1040,'Policy Characteristics'!$C:$C,0))),"",INDEX('Policy Characteristics'!J:J,MATCH($C1040,'Policy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0" s="275" t="str">
        <f>IF(ISBLANK(INDEX('Policy Characteristics'!K:K,MATCH($C1040,'Policy Characteristics'!$C:$C,0))),"",INDEX('Policy Characteristics'!K:K,MATCH($C1040,'Policy Characteristics'!$C:$C,0)))</f>
        <v>industry-ag-main.html#eff-stds</v>
      </c>
      <c r="R1040" s="275" t="str">
        <f>IF(ISBLANK(INDEX('Policy Characteristics'!L:L,MATCH($C1040,'Policy Characteristics'!$C:$C,0))),"",INDEX('Policy Characteristics'!L:L,MATCH($C1040,'Policy Characteristics'!$C:$C,0)))</f>
        <v>industry-energy-efficiency-standards.html</v>
      </c>
    </row>
    <row r="1041" spans="1:18" s="4" customFormat="1" x14ac:dyDescent="0.25">
      <c r="A1041" s="275" t="str">
        <f>IF(ISBLANK(INDEX('Policy Characteristics'!A:A,MATCH($C1041,'Policy Characteristics'!$C:$C,0))),"",INDEX('Policy Characteristics'!A:A,MATCH($C1041,'Policy Characteristics'!$C:$C,0)))</f>
        <v>Industry</v>
      </c>
      <c r="B1041" s="284" t="str">
        <f>IF(ISBLANK(INDEX('Policy Characteristics'!B:B,MATCH($C1041,'Policy Characteristics'!$C:$C,0))),"",INDEX('Policy Characteristics'!B:B,MATCH($C1041,'Policy Characteristics'!$C:$C,0)))</f>
        <v>Industry Energy Efficiency Standards</v>
      </c>
      <c r="C1041" s="275" t="str">
        <f t="shared" si="42"/>
        <v>Percentage Improvement in Eqpt Efficiency Standards above BAU</v>
      </c>
      <c r="D1041" s="6" t="s">
        <v>3076</v>
      </c>
      <c r="E1041" s="47" t="s">
        <v>2711</v>
      </c>
      <c r="F1041" t="s">
        <v>3040</v>
      </c>
      <c r="G1041" s="47" t="s">
        <v>2715</v>
      </c>
      <c r="H1041" s="44">
        <v>1026</v>
      </c>
      <c r="I1041" s="346" t="s">
        <v>43</v>
      </c>
      <c r="J1041" s="276" t="str">
        <f>IF(ISBLANK(INDEX('Policy Characteristics'!D:D,MATCH($C1041,'Policy Characteristics'!$C:$C,0))),"",INDEX('Policy Characteristics'!D:D,MATCH($C1041,'Policy Characteristics'!$C:$C,0)))</f>
        <v>Industry Energy Efficiency Standards</v>
      </c>
      <c r="K1041" s="275" t="str">
        <f>IF(ISBLANK(INDEX('Policy Characteristics'!E:E,MATCH($C1041,'Policy Characteristics'!$C:$C,0))),"",INDEX('Policy Characteristics'!E:E,MATCH($C1041,'Policy Characteristics'!$C:$C,0)))</f>
        <v>indst efficiency standards</v>
      </c>
      <c r="L1041" s="283">
        <f>IF(ISBLANK(INDEX('Policy Characteristics'!F:F,MATCH($C1041,'Policy Characteristics'!$C:$C,0))),"",INDEX('Policy Characteristics'!F:F,MATCH($C1041,'Policy Characteristics'!$C:$C,0)))</f>
        <v>0</v>
      </c>
      <c r="M1041" s="283">
        <f>IF(ISBLANK(INDEX('Policy Characteristics'!G:G,MATCH($C1041,'Policy Characteristics'!$C:$C,0))),"",INDEX('Policy Characteristics'!G:G,MATCH($C1041,'Policy Characteristics'!$C:$C,0)))</f>
        <v>0.25</v>
      </c>
      <c r="N1041" s="283">
        <f>IF(ISBLANK(INDEX('Policy Characteristics'!H:H,MATCH($C1041,'Policy Characteristics'!$C:$C,0))),"",INDEX('Policy Characteristics'!H:H,MATCH($C1041,'Policy Characteristics'!$C:$C,0)))</f>
        <v>0.01</v>
      </c>
      <c r="O1041" s="275" t="str">
        <f>IF(ISBLANK(INDEX('Policy Characteristics'!I:I,MATCH($C1041,'Policy Characteristics'!$C:$C,0))),"",INDEX('Policy Characteristics'!I:I,MATCH($C1041,'Policy Characteristics'!$C:$C,0)))</f>
        <v>% reduction in energy use</v>
      </c>
      <c r="P1041" s="275" t="str">
        <f>IF(ISBLANK(INDEX('Policy Characteristics'!J:J,MATCH($C1041,'Policy Characteristics'!$C:$C,0))),"",INDEX('Policy Characteristics'!J:J,MATCH($C1041,'Policy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1" s="275" t="str">
        <f>IF(ISBLANK(INDEX('Policy Characteristics'!K:K,MATCH($C1041,'Policy Characteristics'!$C:$C,0))),"",INDEX('Policy Characteristics'!K:K,MATCH($C1041,'Policy Characteristics'!$C:$C,0)))</f>
        <v>industry-ag-main.html#eff-stds</v>
      </c>
      <c r="R1041" s="275" t="str">
        <f>IF(ISBLANK(INDEX('Policy Characteristics'!L:L,MATCH($C1041,'Policy Characteristics'!$C:$C,0))),"",INDEX('Policy Characteristics'!L:L,MATCH($C1041,'Policy Characteristics'!$C:$C,0)))</f>
        <v>industry-energy-efficiency-standards.html</v>
      </c>
    </row>
    <row r="1042" spans="1:18" s="4" customFormat="1" x14ac:dyDescent="0.25">
      <c r="A1042" s="275" t="str">
        <f>IF(ISBLANK(INDEX('Policy Characteristics'!A:A,MATCH($C1042,'Policy Characteristics'!$C:$C,0))),"",INDEX('Policy Characteristics'!A:A,MATCH($C1042,'Policy Characteristics'!$C:$C,0)))</f>
        <v>Industry</v>
      </c>
      <c r="B1042" s="284" t="str">
        <f>IF(ISBLANK(INDEX('Policy Characteristics'!B:B,MATCH($C1042,'Policy Characteristics'!$C:$C,0))),"",INDEX('Policy Characteristics'!B:B,MATCH($C1042,'Policy Characteristics'!$C:$C,0)))</f>
        <v>Industry Energy Efficiency Standards</v>
      </c>
      <c r="C1042" s="275" t="str">
        <f t="shared" si="42"/>
        <v>Percentage Improvement in Eqpt Efficiency Standards above BAU</v>
      </c>
      <c r="D1042" s="6" t="s">
        <v>3076</v>
      </c>
      <c r="E1042" s="47" t="s">
        <v>2708</v>
      </c>
      <c r="F1042" t="s">
        <v>3040</v>
      </c>
      <c r="G1042" s="47" t="s">
        <v>2713</v>
      </c>
      <c r="H1042" s="44">
        <v>1027</v>
      </c>
      <c r="I1042" s="346" t="s">
        <v>44</v>
      </c>
      <c r="J1042" s="276" t="str">
        <f>IF(ISBLANK(INDEX('Policy Characteristics'!D:D,MATCH($C1042,'Policy Characteristics'!$C:$C,0))),"",INDEX('Policy Characteristics'!D:D,MATCH($C1042,'Policy Characteristics'!$C:$C,0)))</f>
        <v>Industry Energy Efficiency Standards</v>
      </c>
      <c r="K1042" s="275" t="str">
        <f>IF(ISBLANK(INDEX('Policy Characteristics'!E:E,MATCH($C1042,'Policy Characteristics'!$C:$C,0))),"",INDEX('Policy Characteristics'!E:E,MATCH($C1042,'Policy Characteristics'!$C:$C,0)))</f>
        <v>indst efficiency standards</v>
      </c>
      <c r="L1042" s="283">
        <f>IF(ISBLANK(INDEX('Policy Characteristics'!F:F,MATCH($C1042,'Policy Characteristics'!$C:$C,0))),"",INDEX('Policy Characteristics'!F:F,MATCH($C1042,'Policy Characteristics'!$C:$C,0)))</f>
        <v>0</v>
      </c>
      <c r="M1042" s="283">
        <f>IF(ISBLANK(INDEX('Policy Characteristics'!G:G,MATCH($C1042,'Policy Characteristics'!$C:$C,0))),"",INDEX('Policy Characteristics'!G:G,MATCH($C1042,'Policy Characteristics'!$C:$C,0)))</f>
        <v>0.25</v>
      </c>
      <c r="N1042" s="283">
        <f>IF(ISBLANK(INDEX('Policy Characteristics'!H:H,MATCH($C1042,'Policy Characteristics'!$C:$C,0))),"",INDEX('Policy Characteristics'!H:H,MATCH($C1042,'Policy Characteristics'!$C:$C,0)))</f>
        <v>0.01</v>
      </c>
      <c r="O1042" s="275" t="str">
        <f>IF(ISBLANK(INDEX('Policy Characteristics'!I:I,MATCH($C1042,'Policy Characteristics'!$C:$C,0))),"",INDEX('Policy Characteristics'!I:I,MATCH($C1042,'Policy Characteristics'!$C:$C,0)))</f>
        <v>% reduction in energy use</v>
      </c>
      <c r="P1042" s="275" t="str">
        <f>IF(ISBLANK(INDEX('Policy Characteristics'!J:J,MATCH($C1042,'Policy Characteristics'!$C:$C,0))),"",INDEX('Policy Characteristics'!J:J,MATCH($C1042,'Policy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2" s="275" t="str">
        <f>IF(ISBLANK(INDEX('Policy Characteristics'!K:K,MATCH($C1042,'Policy Characteristics'!$C:$C,0))),"",INDEX('Policy Characteristics'!K:K,MATCH($C1042,'Policy Characteristics'!$C:$C,0)))</f>
        <v>industry-ag-main.html#eff-stds</v>
      </c>
      <c r="R1042" s="275" t="str">
        <f>IF(ISBLANK(INDEX('Policy Characteristics'!L:L,MATCH($C1042,'Policy Characteristics'!$C:$C,0))),"",INDEX('Policy Characteristics'!L:L,MATCH($C1042,'Policy Characteristics'!$C:$C,0)))</f>
        <v>industry-energy-efficiency-standards.html</v>
      </c>
    </row>
    <row r="1043" spans="1:18" s="4" customFormat="1" x14ac:dyDescent="0.25">
      <c r="A1043" s="275" t="str">
        <f>IF(ISBLANK(INDEX('Policy Characteristics'!A:A,MATCH($C1043,'Policy Characteristics'!$C:$C,0))),"",INDEX('Policy Characteristics'!A:A,MATCH($C1043,'Policy Characteristics'!$C:$C,0)))</f>
        <v>Industry</v>
      </c>
      <c r="B1043" s="284" t="str">
        <f>IF(ISBLANK(INDEX('Policy Characteristics'!B:B,MATCH($C1043,'Policy Characteristics'!$C:$C,0))),"",INDEX('Policy Characteristics'!B:B,MATCH($C1043,'Policy Characteristics'!$C:$C,0)))</f>
        <v>Industry Energy Efficiency Standards</v>
      </c>
      <c r="C1043" s="275" t="str">
        <f t="shared" si="42"/>
        <v>Percentage Improvement in Eqpt Efficiency Standards above BAU</v>
      </c>
      <c r="D1043" s="6" t="s">
        <v>3077</v>
      </c>
      <c r="E1043" s="47" t="s">
        <v>2401</v>
      </c>
      <c r="F1043" t="s">
        <v>3041</v>
      </c>
      <c r="G1043" s="47" t="s">
        <v>2407</v>
      </c>
      <c r="H1043" s="44">
        <v>1028</v>
      </c>
      <c r="I1043" s="346" t="s">
        <v>43</v>
      </c>
      <c r="J1043" s="276" t="str">
        <f>IF(ISBLANK(INDEX('Policy Characteristics'!D:D,MATCH($C1043,'Policy Characteristics'!$C:$C,0))),"",INDEX('Policy Characteristics'!D:D,MATCH($C1043,'Policy Characteristics'!$C:$C,0)))</f>
        <v>Industry Energy Efficiency Standards</v>
      </c>
      <c r="K1043" s="275" t="str">
        <f>IF(ISBLANK(INDEX('Policy Characteristics'!E:E,MATCH($C1043,'Policy Characteristics'!$C:$C,0))),"",INDEX('Policy Characteristics'!E:E,MATCH($C1043,'Policy Characteristics'!$C:$C,0)))</f>
        <v>indst efficiency standards</v>
      </c>
      <c r="L1043" s="283">
        <f>IF(ISBLANK(INDEX('Policy Characteristics'!F:F,MATCH($C1043,'Policy Characteristics'!$C:$C,0))),"",INDEX('Policy Characteristics'!F:F,MATCH($C1043,'Policy Characteristics'!$C:$C,0)))</f>
        <v>0</v>
      </c>
      <c r="M1043" s="283">
        <f>IF(ISBLANK(INDEX('Policy Characteristics'!G:G,MATCH($C1043,'Policy Characteristics'!$C:$C,0))),"",INDEX('Policy Characteristics'!G:G,MATCH($C1043,'Policy Characteristics'!$C:$C,0)))</f>
        <v>0.25</v>
      </c>
      <c r="N1043" s="283">
        <f>IF(ISBLANK(INDEX('Policy Characteristics'!H:H,MATCH($C1043,'Policy Characteristics'!$C:$C,0))),"",INDEX('Policy Characteristics'!H:H,MATCH($C1043,'Policy Characteristics'!$C:$C,0)))</f>
        <v>0.01</v>
      </c>
      <c r="O1043" s="275" t="str">
        <f>IF(ISBLANK(INDEX('Policy Characteristics'!I:I,MATCH($C1043,'Policy Characteristics'!$C:$C,0))),"",INDEX('Policy Characteristics'!I:I,MATCH($C1043,'Policy Characteristics'!$C:$C,0)))</f>
        <v>% reduction in energy use</v>
      </c>
      <c r="P1043" s="275" t="str">
        <f>IF(ISBLANK(INDEX('Policy Characteristics'!J:J,MATCH($C1043,'Policy Characteristics'!$C:$C,0))),"",INDEX('Policy Characteristics'!J:J,MATCH($C1043,'Policy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3" s="275" t="str">
        <f>IF(ISBLANK(INDEX('Policy Characteristics'!K:K,MATCH($C1043,'Policy Characteristics'!$C:$C,0))),"",INDEX('Policy Characteristics'!K:K,MATCH($C1043,'Policy Characteristics'!$C:$C,0)))</f>
        <v>industry-ag-main.html#eff-stds</v>
      </c>
      <c r="R1043" s="275" t="str">
        <f>IF(ISBLANK(INDEX('Policy Characteristics'!L:L,MATCH($C1043,'Policy Characteristics'!$C:$C,0))),"",INDEX('Policy Characteristics'!L:L,MATCH($C1043,'Policy Characteristics'!$C:$C,0)))</f>
        <v>industry-energy-efficiency-standards.html</v>
      </c>
    </row>
    <row r="1044" spans="1:18" s="4" customFormat="1" x14ac:dyDescent="0.25">
      <c r="A1044" s="275" t="str">
        <f>IF(ISBLANK(INDEX('Policy Characteristics'!A:A,MATCH($C1044,'Policy Characteristics'!$C:$C,0))),"",INDEX('Policy Characteristics'!A:A,MATCH($C1044,'Policy Characteristics'!$C:$C,0)))</f>
        <v>Industry</v>
      </c>
      <c r="B1044" s="284" t="str">
        <f>IF(ISBLANK(INDEX('Policy Characteristics'!B:B,MATCH($C1044,'Policy Characteristics'!$C:$C,0))),"",INDEX('Policy Characteristics'!B:B,MATCH($C1044,'Policy Characteristics'!$C:$C,0)))</f>
        <v>Industry Energy Efficiency Standards</v>
      </c>
      <c r="C1044" s="275" t="str">
        <f t="shared" si="42"/>
        <v>Percentage Improvement in Eqpt Efficiency Standards above BAU</v>
      </c>
      <c r="D1044" s="6" t="s">
        <v>3077</v>
      </c>
      <c r="E1044" s="47" t="s">
        <v>2402</v>
      </c>
      <c r="F1044" t="s">
        <v>3041</v>
      </c>
      <c r="G1044" s="47" t="s">
        <v>2410</v>
      </c>
      <c r="H1044" s="44">
        <v>1029</v>
      </c>
      <c r="I1044" s="346" t="s">
        <v>43</v>
      </c>
      <c r="J1044" s="276" t="str">
        <f>IF(ISBLANK(INDEX('Policy Characteristics'!D:D,MATCH($C1044,'Policy Characteristics'!$C:$C,0))),"",INDEX('Policy Characteristics'!D:D,MATCH($C1044,'Policy Characteristics'!$C:$C,0)))</f>
        <v>Industry Energy Efficiency Standards</v>
      </c>
      <c r="K1044" s="275" t="str">
        <f>IF(ISBLANK(INDEX('Policy Characteristics'!E:E,MATCH($C1044,'Policy Characteristics'!$C:$C,0))),"",INDEX('Policy Characteristics'!E:E,MATCH($C1044,'Policy Characteristics'!$C:$C,0)))</f>
        <v>indst efficiency standards</v>
      </c>
      <c r="L1044" s="283">
        <f>IF(ISBLANK(INDEX('Policy Characteristics'!F:F,MATCH($C1044,'Policy Characteristics'!$C:$C,0))),"",INDEX('Policy Characteristics'!F:F,MATCH($C1044,'Policy Characteristics'!$C:$C,0)))</f>
        <v>0</v>
      </c>
      <c r="M1044" s="283">
        <f>IF(ISBLANK(INDEX('Policy Characteristics'!G:G,MATCH($C1044,'Policy Characteristics'!$C:$C,0))),"",INDEX('Policy Characteristics'!G:G,MATCH($C1044,'Policy Characteristics'!$C:$C,0)))</f>
        <v>0.25</v>
      </c>
      <c r="N1044" s="283">
        <f>IF(ISBLANK(INDEX('Policy Characteristics'!H:H,MATCH($C1044,'Policy Characteristics'!$C:$C,0))),"",INDEX('Policy Characteristics'!H:H,MATCH($C1044,'Policy Characteristics'!$C:$C,0)))</f>
        <v>0.01</v>
      </c>
      <c r="O1044" s="275" t="str">
        <f>IF(ISBLANK(INDEX('Policy Characteristics'!I:I,MATCH($C1044,'Policy Characteristics'!$C:$C,0))),"",INDEX('Policy Characteristics'!I:I,MATCH($C1044,'Policy Characteristics'!$C:$C,0)))</f>
        <v>% reduction in energy use</v>
      </c>
      <c r="P1044" s="275" t="str">
        <f>IF(ISBLANK(INDEX('Policy Characteristics'!J:J,MATCH($C1044,'Policy Characteristics'!$C:$C,0))),"",INDEX('Policy Characteristics'!J:J,MATCH($C1044,'Policy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4" s="275" t="str">
        <f>IF(ISBLANK(INDEX('Policy Characteristics'!K:K,MATCH($C1044,'Policy Characteristics'!$C:$C,0))),"",INDEX('Policy Characteristics'!K:K,MATCH($C1044,'Policy Characteristics'!$C:$C,0)))</f>
        <v>industry-ag-main.html#eff-stds</v>
      </c>
      <c r="R1044" s="275" t="str">
        <f>IF(ISBLANK(INDEX('Policy Characteristics'!L:L,MATCH($C1044,'Policy Characteristics'!$C:$C,0))),"",INDEX('Policy Characteristics'!L:L,MATCH($C1044,'Policy Characteristics'!$C:$C,0)))</f>
        <v>industry-energy-efficiency-standards.html</v>
      </c>
    </row>
    <row r="1045" spans="1:18" s="4" customFormat="1" x14ac:dyDescent="0.25">
      <c r="A1045" s="275" t="str">
        <f>IF(ISBLANK(INDEX('Policy Characteristics'!A:A,MATCH($C1045,'Policy Characteristics'!$C:$C,0))),"",INDEX('Policy Characteristics'!A:A,MATCH($C1045,'Policy Characteristics'!$C:$C,0)))</f>
        <v>Industry</v>
      </c>
      <c r="B1045" s="284" t="str">
        <f>IF(ISBLANK(INDEX('Policy Characteristics'!B:B,MATCH($C1045,'Policy Characteristics'!$C:$C,0))),"",INDEX('Policy Characteristics'!B:B,MATCH($C1045,'Policy Characteristics'!$C:$C,0)))</f>
        <v>Industry Energy Efficiency Standards</v>
      </c>
      <c r="C1045" s="275" t="str">
        <f t="shared" si="42"/>
        <v>Percentage Improvement in Eqpt Efficiency Standards above BAU</v>
      </c>
      <c r="D1045" s="6" t="s">
        <v>3077</v>
      </c>
      <c r="E1045" s="47" t="s">
        <v>2403</v>
      </c>
      <c r="F1045" t="s">
        <v>3041</v>
      </c>
      <c r="G1045" s="47" t="s">
        <v>2411</v>
      </c>
      <c r="H1045" s="44">
        <v>1030</v>
      </c>
      <c r="I1045" s="346" t="s">
        <v>43</v>
      </c>
      <c r="J1045" s="276" t="str">
        <f>IF(ISBLANK(INDEX('Policy Characteristics'!D:D,MATCH($C1045,'Policy Characteristics'!$C:$C,0))),"",INDEX('Policy Characteristics'!D:D,MATCH($C1045,'Policy Characteristics'!$C:$C,0)))</f>
        <v>Industry Energy Efficiency Standards</v>
      </c>
      <c r="K1045" s="275" t="str">
        <f>IF(ISBLANK(INDEX('Policy Characteristics'!E:E,MATCH($C1045,'Policy Characteristics'!$C:$C,0))),"",INDEX('Policy Characteristics'!E:E,MATCH($C1045,'Policy Characteristics'!$C:$C,0)))</f>
        <v>indst efficiency standards</v>
      </c>
      <c r="L1045" s="283">
        <f>IF(ISBLANK(INDEX('Policy Characteristics'!F:F,MATCH($C1045,'Policy Characteristics'!$C:$C,0))),"",INDEX('Policy Characteristics'!F:F,MATCH($C1045,'Policy Characteristics'!$C:$C,0)))</f>
        <v>0</v>
      </c>
      <c r="M1045" s="283">
        <f>IF(ISBLANK(INDEX('Policy Characteristics'!G:G,MATCH($C1045,'Policy Characteristics'!$C:$C,0))),"",INDEX('Policy Characteristics'!G:G,MATCH($C1045,'Policy Characteristics'!$C:$C,0)))</f>
        <v>0.25</v>
      </c>
      <c r="N1045" s="283">
        <f>IF(ISBLANK(INDEX('Policy Characteristics'!H:H,MATCH($C1045,'Policy Characteristics'!$C:$C,0))),"",INDEX('Policy Characteristics'!H:H,MATCH($C1045,'Policy Characteristics'!$C:$C,0)))</f>
        <v>0.01</v>
      </c>
      <c r="O1045" s="275" t="str">
        <f>IF(ISBLANK(INDEX('Policy Characteristics'!I:I,MATCH($C1045,'Policy Characteristics'!$C:$C,0))),"",INDEX('Policy Characteristics'!I:I,MATCH($C1045,'Policy Characteristics'!$C:$C,0)))</f>
        <v>% reduction in energy use</v>
      </c>
      <c r="P1045" s="275" t="str">
        <f>IF(ISBLANK(INDEX('Policy Characteristics'!J:J,MATCH($C1045,'Policy Characteristics'!$C:$C,0))),"",INDEX('Policy Characteristics'!J:J,MATCH($C1045,'Policy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5" s="275" t="str">
        <f>IF(ISBLANK(INDEX('Policy Characteristics'!K:K,MATCH($C1045,'Policy Characteristics'!$C:$C,0))),"",INDEX('Policy Characteristics'!K:K,MATCH($C1045,'Policy Characteristics'!$C:$C,0)))</f>
        <v>industry-ag-main.html#eff-stds</v>
      </c>
      <c r="R1045" s="275" t="str">
        <f>IF(ISBLANK(INDEX('Policy Characteristics'!L:L,MATCH($C1045,'Policy Characteristics'!$C:$C,0))),"",INDEX('Policy Characteristics'!L:L,MATCH($C1045,'Policy Characteristics'!$C:$C,0)))</f>
        <v>industry-energy-efficiency-standards.html</v>
      </c>
    </row>
    <row r="1046" spans="1:18" s="4" customFormat="1" x14ac:dyDescent="0.25">
      <c r="A1046" s="275" t="str">
        <f>IF(ISBLANK(INDEX('Policy Characteristics'!A:A,MATCH($C1046,'Policy Characteristics'!$C:$C,0))),"",INDEX('Policy Characteristics'!A:A,MATCH($C1046,'Policy Characteristics'!$C:$C,0)))</f>
        <v>Industry</v>
      </c>
      <c r="B1046" s="284" t="str">
        <f>IF(ISBLANK(INDEX('Policy Characteristics'!B:B,MATCH($C1046,'Policy Characteristics'!$C:$C,0))),"",INDEX('Policy Characteristics'!B:B,MATCH($C1046,'Policy Characteristics'!$C:$C,0)))</f>
        <v>Industry Energy Efficiency Standards</v>
      </c>
      <c r="C1046" s="275" t="str">
        <f t="shared" si="42"/>
        <v>Percentage Improvement in Eqpt Efficiency Standards above BAU</v>
      </c>
      <c r="D1046" s="6" t="s">
        <v>3077</v>
      </c>
      <c r="E1046" s="47" t="s">
        <v>2404</v>
      </c>
      <c r="F1046" t="s">
        <v>3041</v>
      </c>
      <c r="G1046" s="47" t="s">
        <v>2408</v>
      </c>
      <c r="H1046" s="44">
        <v>1031</v>
      </c>
      <c r="I1046" s="346" t="s">
        <v>44</v>
      </c>
      <c r="J1046" s="276" t="str">
        <f>IF(ISBLANK(INDEX('Policy Characteristics'!D:D,MATCH($C1046,'Policy Characteristics'!$C:$C,0))),"",INDEX('Policy Characteristics'!D:D,MATCH($C1046,'Policy Characteristics'!$C:$C,0)))</f>
        <v>Industry Energy Efficiency Standards</v>
      </c>
      <c r="K1046" s="275" t="str">
        <f>IF(ISBLANK(INDEX('Policy Characteristics'!E:E,MATCH($C1046,'Policy Characteristics'!$C:$C,0))),"",INDEX('Policy Characteristics'!E:E,MATCH($C1046,'Policy Characteristics'!$C:$C,0)))</f>
        <v>indst efficiency standards</v>
      </c>
      <c r="L1046" s="283">
        <f>IF(ISBLANK(INDEX('Policy Characteristics'!F:F,MATCH($C1046,'Policy Characteristics'!$C:$C,0))),"",INDEX('Policy Characteristics'!F:F,MATCH($C1046,'Policy Characteristics'!$C:$C,0)))</f>
        <v>0</v>
      </c>
      <c r="M1046" s="283">
        <f>IF(ISBLANK(INDEX('Policy Characteristics'!G:G,MATCH($C1046,'Policy Characteristics'!$C:$C,0))),"",INDEX('Policy Characteristics'!G:G,MATCH($C1046,'Policy Characteristics'!$C:$C,0)))</f>
        <v>0.25</v>
      </c>
      <c r="N1046" s="283">
        <f>IF(ISBLANK(INDEX('Policy Characteristics'!H:H,MATCH($C1046,'Policy Characteristics'!$C:$C,0))),"",INDEX('Policy Characteristics'!H:H,MATCH($C1046,'Policy Characteristics'!$C:$C,0)))</f>
        <v>0.01</v>
      </c>
      <c r="O1046" s="275" t="str">
        <f>IF(ISBLANK(INDEX('Policy Characteristics'!I:I,MATCH($C1046,'Policy Characteristics'!$C:$C,0))),"",INDEX('Policy Characteristics'!I:I,MATCH($C1046,'Policy Characteristics'!$C:$C,0)))</f>
        <v>% reduction in energy use</v>
      </c>
      <c r="P1046" s="275" t="str">
        <f>IF(ISBLANK(INDEX('Policy Characteristics'!J:J,MATCH($C1046,'Policy Characteristics'!$C:$C,0))),"",INDEX('Policy Characteristics'!J:J,MATCH($C1046,'Policy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6" s="275" t="str">
        <f>IF(ISBLANK(INDEX('Policy Characteristics'!K:K,MATCH($C1046,'Policy Characteristics'!$C:$C,0))),"",INDEX('Policy Characteristics'!K:K,MATCH($C1046,'Policy Characteristics'!$C:$C,0)))</f>
        <v>industry-ag-main.html#eff-stds</v>
      </c>
      <c r="R1046" s="275" t="str">
        <f>IF(ISBLANK(INDEX('Policy Characteristics'!L:L,MATCH($C1046,'Policy Characteristics'!$C:$C,0))),"",INDEX('Policy Characteristics'!L:L,MATCH($C1046,'Policy Characteristics'!$C:$C,0)))</f>
        <v>industry-energy-efficiency-standards.html</v>
      </c>
    </row>
    <row r="1047" spans="1:18" s="4" customFormat="1" x14ac:dyDescent="0.25">
      <c r="A1047" s="275" t="str">
        <f>IF(ISBLANK(INDEX('Policy Characteristics'!A:A,MATCH($C1047,'Policy Characteristics'!$C:$C,0))),"",INDEX('Policy Characteristics'!A:A,MATCH($C1047,'Policy Characteristics'!$C:$C,0)))</f>
        <v>Industry</v>
      </c>
      <c r="B1047" s="284" t="str">
        <f>IF(ISBLANK(INDEX('Policy Characteristics'!B:B,MATCH($C1047,'Policy Characteristics'!$C:$C,0))),"",INDEX('Policy Characteristics'!B:B,MATCH($C1047,'Policy Characteristics'!$C:$C,0)))</f>
        <v>Industry Energy Efficiency Standards</v>
      </c>
      <c r="C1047" s="275" t="str">
        <f t="shared" si="42"/>
        <v>Percentage Improvement in Eqpt Efficiency Standards above BAU</v>
      </c>
      <c r="D1047" s="6" t="s">
        <v>3077</v>
      </c>
      <c r="E1047" s="47" t="s">
        <v>2405</v>
      </c>
      <c r="F1047" t="s">
        <v>3041</v>
      </c>
      <c r="G1047" s="47" t="s">
        <v>2409</v>
      </c>
      <c r="H1047" s="44">
        <v>1032</v>
      </c>
      <c r="I1047" s="346" t="s">
        <v>43</v>
      </c>
      <c r="J1047" s="276" t="str">
        <f>IF(ISBLANK(INDEX('Policy Characteristics'!D:D,MATCH($C1047,'Policy Characteristics'!$C:$C,0))),"",INDEX('Policy Characteristics'!D:D,MATCH($C1047,'Policy Characteristics'!$C:$C,0)))</f>
        <v>Industry Energy Efficiency Standards</v>
      </c>
      <c r="K1047" s="275" t="str">
        <f>IF(ISBLANK(INDEX('Policy Characteristics'!E:E,MATCH($C1047,'Policy Characteristics'!$C:$C,0))),"",INDEX('Policy Characteristics'!E:E,MATCH($C1047,'Policy Characteristics'!$C:$C,0)))</f>
        <v>indst efficiency standards</v>
      </c>
      <c r="L1047" s="283">
        <f>IF(ISBLANK(INDEX('Policy Characteristics'!F:F,MATCH($C1047,'Policy Characteristics'!$C:$C,0))),"",INDEX('Policy Characteristics'!F:F,MATCH($C1047,'Policy Characteristics'!$C:$C,0)))</f>
        <v>0</v>
      </c>
      <c r="M1047" s="283">
        <f>IF(ISBLANK(INDEX('Policy Characteristics'!G:G,MATCH($C1047,'Policy Characteristics'!$C:$C,0))),"",INDEX('Policy Characteristics'!G:G,MATCH($C1047,'Policy Characteristics'!$C:$C,0)))</f>
        <v>0.25</v>
      </c>
      <c r="N1047" s="283">
        <f>IF(ISBLANK(INDEX('Policy Characteristics'!H:H,MATCH($C1047,'Policy Characteristics'!$C:$C,0))),"",INDEX('Policy Characteristics'!H:H,MATCH($C1047,'Policy Characteristics'!$C:$C,0)))</f>
        <v>0.01</v>
      </c>
      <c r="O1047" s="275" t="str">
        <f>IF(ISBLANK(INDEX('Policy Characteristics'!I:I,MATCH($C1047,'Policy Characteristics'!$C:$C,0))),"",INDEX('Policy Characteristics'!I:I,MATCH($C1047,'Policy Characteristics'!$C:$C,0)))</f>
        <v>% reduction in energy use</v>
      </c>
      <c r="P1047" s="275" t="str">
        <f>IF(ISBLANK(INDEX('Policy Characteristics'!J:J,MATCH($C1047,'Policy Characteristics'!$C:$C,0))),"",INDEX('Policy Characteristics'!J:J,MATCH($C1047,'Policy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7" s="275" t="str">
        <f>IF(ISBLANK(INDEX('Policy Characteristics'!K:K,MATCH($C1047,'Policy Characteristics'!$C:$C,0))),"",INDEX('Policy Characteristics'!K:K,MATCH($C1047,'Policy Characteristics'!$C:$C,0)))</f>
        <v>industry-ag-main.html#eff-stds</v>
      </c>
      <c r="R1047" s="275" t="str">
        <f>IF(ISBLANK(INDEX('Policy Characteristics'!L:L,MATCH($C1047,'Policy Characteristics'!$C:$C,0))),"",INDEX('Policy Characteristics'!L:L,MATCH($C1047,'Policy Characteristics'!$C:$C,0)))</f>
        <v>industry-energy-efficiency-standards.html</v>
      </c>
    </row>
    <row r="1048" spans="1:18" s="4" customFormat="1" x14ac:dyDescent="0.25">
      <c r="A1048" s="275" t="str">
        <f>IF(ISBLANK(INDEX('Policy Characteristics'!A:A,MATCH($C1048,'Policy Characteristics'!$C:$C,0))),"",INDEX('Policy Characteristics'!A:A,MATCH($C1048,'Policy Characteristics'!$C:$C,0)))</f>
        <v>Industry</v>
      </c>
      <c r="B1048" s="284" t="str">
        <f>IF(ISBLANK(INDEX('Policy Characteristics'!B:B,MATCH($C1048,'Policy Characteristics'!$C:$C,0))),"",INDEX('Policy Characteristics'!B:B,MATCH($C1048,'Policy Characteristics'!$C:$C,0)))</f>
        <v>Industry Energy Efficiency Standards</v>
      </c>
      <c r="C1048" s="275" t="str">
        <f t="shared" si="42"/>
        <v>Percentage Improvement in Eqpt Efficiency Standards above BAU</v>
      </c>
      <c r="D1048" s="6" t="s">
        <v>3077</v>
      </c>
      <c r="E1048" s="47" t="s">
        <v>2406</v>
      </c>
      <c r="F1048" t="s">
        <v>3041</v>
      </c>
      <c r="G1048" s="47" t="s">
        <v>2412</v>
      </c>
      <c r="H1048" s="44">
        <v>1033</v>
      </c>
      <c r="I1048" s="346" t="s">
        <v>44</v>
      </c>
      <c r="J1048" s="276" t="str">
        <f>IF(ISBLANK(INDEX('Policy Characteristics'!D:D,MATCH($C1048,'Policy Characteristics'!$C:$C,0))),"",INDEX('Policy Characteristics'!D:D,MATCH($C1048,'Policy Characteristics'!$C:$C,0)))</f>
        <v>Industry Energy Efficiency Standards</v>
      </c>
      <c r="K1048" s="275" t="str">
        <f>IF(ISBLANK(INDEX('Policy Characteristics'!E:E,MATCH($C1048,'Policy Characteristics'!$C:$C,0))),"",INDEX('Policy Characteristics'!E:E,MATCH($C1048,'Policy Characteristics'!$C:$C,0)))</f>
        <v>indst efficiency standards</v>
      </c>
      <c r="L1048" s="283">
        <f>IF(ISBLANK(INDEX('Policy Characteristics'!F:F,MATCH($C1048,'Policy Characteristics'!$C:$C,0))),"",INDEX('Policy Characteristics'!F:F,MATCH($C1048,'Policy Characteristics'!$C:$C,0)))</f>
        <v>0</v>
      </c>
      <c r="M1048" s="283">
        <f>IF(ISBLANK(INDEX('Policy Characteristics'!G:G,MATCH($C1048,'Policy Characteristics'!$C:$C,0))),"",INDEX('Policy Characteristics'!G:G,MATCH($C1048,'Policy Characteristics'!$C:$C,0)))</f>
        <v>0.25</v>
      </c>
      <c r="N1048" s="283">
        <f>IF(ISBLANK(INDEX('Policy Characteristics'!H:H,MATCH($C1048,'Policy Characteristics'!$C:$C,0))),"",INDEX('Policy Characteristics'!H:H,MATCH($C1048,'Policy Characteristics'!$C:$C,0)))</f>
        <v>0.01</v>
      </c>
      <c r="O1048" s="275" t="str">
        <f>IF(ISBLANK(INDEX('Policy Characteristics'!I:I,MATCH($C1048,'Policy Characteristics'!$C:$C,0))),"",INDEX('Policy Characteristics'!I:I,MATCH($C1048,'Policy Characteristics'!$C:$C,0)))</f>
        <v>% reduction in energy use</v>
      </c>
      <c r="P1048" s="275" t="str">
        <f>IF(ISBLANK(INDEX('Policy Characteristics'!J:J,MATCH($C1048,'Policy Characteristics'!$C:$C,0))),"",INDEX('Policy Characteristics'!J:J,MATCH($C1048,'Policy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8" s="275" t="str">
        <f>IF(ISBLANK(INDEX('Policy Characteristics'!K:K,MATCH($C1048,'Policy Characteristics'!$C:$C,0))),"",INDEX('Policy Characteristics'!K:K,MATCH($C1048,'Policy Characteristics'!$C:$C,0)))</f>
        <v>industry-ag-main.html#eff-stds</v>
      </c>
      <c r="R1048" s="275" t="str">
        <f>IF(ISBLANK(INDEX('Policy Characteristics'!L:L,MATCH($C1048,'Policy Characteristics'!$C:$C,0))),"",INDEX('Policy Characteristics'!L:L,MATCH($C1048,'Policy Characteristics'!$C:$C,0)))</f>
        <v>industry-energy-efficiency-standards.html</v>
      </c>
    </row>
    <row r="1049" spans="1:18" s="4" customFormat="1" x14ac:dyDescent="0.25">
      <c r="A1049" s="275" t="str">
        <f>IF(ISBLANK(INDEX('Policy Characteristics'!A:A,MATCH($C1049,'Policy Characteristics'!$C:$C,0))),"",INDEX('Policy Characteristics'!A:A,MATCH($C1049,'Policy Characteristics'!$C:$C,0)))</f>
        <v>Industry</v>
      </c>
      <c r="B1049" s="284" t="str">
        <f>IF(ISBLANK(INDEX('Policy Characteristics'!B:B,MATCH($C1049,'Policy Characteristics'!$C:$C,0))),"",INDEX('Policy Characteristics'!B:B,MATCH($C1049,'Policy Characteristics'!$C:$C,0)))</f>
        <v>Industry Energy Efficiency Standards</v>
      </c>
      <c r="C1049" s="275" t="str">
        <f t="shared" si="42"/>
        <v>Percentage Improvement in Eqpt Efficiency Standards above BAU</v>
      </c>
      <c r="D1049" s="6" t="s">
        <v>3077</v>
      </c>
      <c r="E1049" s="47" t="s">
        <v>2709</v>
      </c>
      <c r="F1049" t="s">
        <v>3041</v>
      </c>
      <c r="G1049" s="47" t="s">
        <v>2712</v>
      </c>
      <c r="H1049" s="44">
        <v>1034</v>
      </c>
      <c r="I1049" s="346" t="s">
        <v>44</v>
      </c>
      <c r="J1049" s="276" t="str">
        <f>IF(ISBLANK(INDEX('Policy Characteristics'!D:D,MATCH($C1049,'Policy Characteristics'!$C:$C,0))),"",INDEX('Policy Characteristics'!D:D,MATCH($C1049,'Policy Characteristics'!$C:$C,0)))</f>
        <v>Industry Energy Efficiency Standards</v>
      </c>
      <c r="K1049" s="275" t="str">
        <f>IF(ISBLANK(INDEX('Policy Characteristics'!E:E,MATCH($C1049,'Policy Characteristics'!$C:$C,0))),"",INDEX('Policy Characteristics'!E:E,MATCH($C1049,'Policy Characteristics'!$C:$C,0)))</f>
        <v>indst efficiency standards</v>
      </c>
      <c r="L1049" s="283">
        <f>IF(ISBLANK(INDEX('Policy Characteristics'!F:F,MATCH($C1049,'Policy Characteristics'!$C:$C,0))),"",INDEX('Policy Characteristics'!F:F,MATCH($C1049,'Policy Characteristics'!$C:$C,0)))</f>
        <v>0</v>
      </c>
      <c r="M1049" s="283">
        <f>IF(ISBLANK(INDEX('Policy Characteristics'!G:G,MATCH($C1049,'Policy Characteristics'!$C:$C,0))),"",INDEX('Policy Characteristics'!G:G,MATCH($C1049,'Policy Characteristics'!$C:$C,0)))</f>
        <v>0.25</v>
      </c>
      <c r="N1049" s="283">
        <f>IF(ISBLANK(INDEX('Policy Characteristics'!H:H,MATCH($C1049,'Policy Characteristics'!$C:$C,0))),"",INDEX('Policy Characteristics'!H:H,MATCH($C1049,'Policy Characteristics'!$C:$C,0)))</f>
        <v>0.01</v>
      </c>
      <c r="O1049" s="275" t="str">
        <f>IF(ISBLANK(INDEX('Policy Characteristics'!I:I,MATCH($C1049,'Policy Characteristics'!$C:$C,0))),"",INDEX('Policy Characteristics'!I:I,MATCH($C1049,'Policy Characteristics'!$C:$C,0)))</f>
        <v>% reduction in energy use</v>
      </c>
      <c r="P1049" s="275" t="str">
        <f>IF(ISBLANK(INDEX('Policy Characteristics'!J:J,MATCH($C1049,'Policy Characteristics'!$C:$C,0))),"",INDEX('Policy Characteristics'!J:J,MATCH($C1049,'Policy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9" s="275" t="str">
        <f>IF(ISBLANK(INDEX('Policy Characteristics'!K:K,MATCH($C1049,'Policy Characteristics'!$C:$C,0))),"",INDEX('Policy Characteristics'!K:K,MATCH($C1049,'Policy Characteristics'!$C:$C,0)))</f>
        <v>industry-ag-main.html#eff-stds</v>
      </c>
      <c r="R1049" s="275" t="str">
        <f>IF(ISBLANK(INDEX('Policy Characteristics'!L:L,MATCH($C1049,'Policy Characteristics'!$C:$C,0))),"",INDEX('Policy Characteristics'!L:L,MATCH($C1049,'Policy Characteristics'!$C:$C,0)))</f>
        <v>industry-energy-efficiency-standards.html</v>
      </c>
    </row>
    <row r="1050" spans="1:18" s="4" customFormat="1" x14ac:dyDescent="0.25">
      <c r="A1050" s="275" t="str">
        <f>IF(ISBLANK(INDEX('Policy Characteristics'!A:A,MATCH($C1050,'Policy Characteristics'!$C:$C,0))),"",INDEX('Policy Characteristics'!A:A,MATCH($C1050,'Policy Characteristics'!$C:$C,0)))</f>
        <v>Industry</v>
      </c>
      <c r="B1050" s="284" t="str">
        <f>IF(ISBLANK(INDEX('Policy Characteristics'!B:B,MATCH($C1050,'Policy Characteristics'!$C:$C,0))),"",INDEX('Policy Characteristics'!B:B,MATCH($C1050,'Policy Characteristics'!$C:$C,0)))</f>
        <v>Industry Energy Efficiency Standards</v>
      </c>
      <c r="C1050" s="275" t="str">
        <f t="shared" si="42"/>
        <v>Percentage Improvement in Eqpt Efficiency Standards above BAU</v>
      </c>
      <c r="D1050" s="6" t="s">
        <v>3077</v>
      </c>
      <c r="E1050" s="47" t="s">
        <v>2710</v>
      </c>
      <c r="F1050" t="s">
        <v>3041</v>
      </c>
      <c r="G1050" s="47" t="s">
        <v>2714</v>
      </c>
      <c r="H1050" s="44">
        <v>1035</v>
      </c>
      <c r="I1050" s="346" t="s">
        <v>43</v>
      </c>
      <c r="J1050" s="276" t="str">
        <f>IF(ISBLANK(INDEX('Policy Characteristics'!D:D,MATCH($C1050,'Policy Characteristics'!$C:$C,0))),"",INDEX('Policy Characteristics'!D:D,MATCH($C1050,'Policy Characteristics'!$C:$C,0)))</f>
        <v>Industry Energy Efficiency Standards</v>
      </c>
      <c r="K1050" s="275" t="str">
        <f>IF(ISBLANK(INDEX('Policy Characteristics'!E:E,MATCH($C1050,'Policy Characteristics'!$C:$C,0))),"",INDEX('Policy Characteristics'!E:E,MATCH($C1050,'Policy Characteristics'!$C:$C,0)))</f>
        <v>indst efficiency standards</v>
      </c>
      <c r="L1050" s="283">
        <f>IF(ISBLANK(INDEX('Policy Characteristics'!F:F,MATCH($C1050,'Policy Characteristics'!$C:$C,0))),"",INDEX('Policy Characteristics'!F:F,MATCH($C1050,'Policy Characteristics'!$C:$C,0)))</f>
        <v>0</v>
      </c>
      <c r="M1050" s="283">
        <f>IF(ISBLANK(INDEX('Policy Characteristics'!G:G,MATCH($C1050,'Policy Characteristics'!$C:$C,0))),"",INDEX('Policy Characteristics'!G:G,MATCH($C1050,'Policy Characteristics'!$C:$C,0)))</f>
        <v>0.25</v>
      </c>
      <c r="N1050" s="283">
        <f>IF(ISBLANK(INDEX('Policy Characteristics'!H:H,MATCH($C1050,'Policy Characteristics'!$C:$C,0))),"",INDEX('Policy Characteristics'!H:H,MATCH($C1050,'Policy Characteristics'!$C:$C,0)))</f>
        <v>0.01</v>
      </c>
      <c r="O1050" s="275" t="str">
        <f>IF(ISBLANK(INDEX('Policy Characteristics'!I:I,MATCH($C1050,'Policy Characteristics'!$C:$C,0))),"",INDEX('Policy Characteristics'!I:I,MATCH($C1050,'Policy Characteristics'!$C:$C,0)))</f>
        <v>% reduction in energy use</v>
      </c>
      <c r="P1050" s="275" t="str">
        <f>IF(ISBLANK(INDEX('Policy Characteristics'!J:J,MATCH($C1050,'Policy Characteristics'!$C:$C,0))),"",INDEX('Policy Characteristics'!J:J,MATCH($C1050,'Policy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0" s="275" t="str">
        <f>IF(ISBLANK(INDEX('Policy Characteristics'!K:K,MATCH($C1050,'Policy Characteristics'!$C:$C,0))),"",INDEX('Policy Characteristics'!K:K,MATCH($C1050,'Policy Characteristics'!$C:$C,0)))</f>
        <v>industry-ag-main.html#eff-stds</v>
      </c>
      <c r="R1050" s="275" t="str">
        <f>IF(ISBLANK(INDEX('Policy Characteristics'!L:L,MATCH($C1050,'Policy Characteristics'!$C:$C,0))),"",INDEX('Policy Characteristics'!L:L,MATCH($C1050,'Policy Characteristics'!$C:$C,0)))</f>
        <v>industry-energy-efficiency-standards.html</v>
      </c>
    </row>
    <row r="1051" spans="1:18" s="4" customFormat="1" x14ac:dyDescent="0.25">
      <c r="A1051" s="275" t="str">
        <f>IF(ISBLANK(INDEX('Policy Characteristics'!A:A,MATCH($C1051,'Policy Characteristics'!$C:$C,0))),"",INDEX('Policy Characteristics'!A:A,MATCH($C1051,'Policy Characteristics'!$C:$C,0)))</f>
        <v>Industry</v>
      </c>
      <c r="B1051" s="284" t="str">
        <f>IF(ISBLANK(INDEX('Policy Characteristics'!B:B,MATCH($C1051,'Policy Characteristics'!$C:$C,0))),"",INDEX('Policy Characteristics'!B:B,MATCH($C1051,'Policy Characteristics'!$C:$C,0)))</f>
        <v>Industry Energy Efficiency Standards</v>
      </c>
      <c r="C1051" s="275" t="str">
        <f t="shared" si="42"/>
        <v>Percentage Improvement in Eqpt Efficiency Standards above BAU</v>
      </c>
      <c r="D1051" s="6" t="s">
        <v>3077</v>
      </c>
      <c r="E1051" s="47" t="s">
        <v>2711</v>
      </c>
      <c r="F1051" t="s">
        <v>3041</v>
      </c>
      <c r="G1051" s="47" t="s">
        <v>2715</v>
      </c>
      <c r="H1051" s="44">
        <v>1036</v>
      </c>
      <c r="I1051" s="346" t="s">
        <v>43</v>
      </c>
      <c r="J1051" s="276" t="str">
        <f>IF(ISBLANK(INDEX('Policy Characteristics'!D:D,MATCH($C1051,'Policy Characteristics'!$C:$C,0))),"",INDEX('Policy Characteristics'!D:D,MATCH($C1051,'Policy Characteristics'!$C:$C,0)))</f>
        <v>Industry Energy Efficiency Standards</v>
      </c>
      <c r="K1051" s="275" t="str">
        <f>IF(ISBLANK(INDEX('Policy Characteristics'!E:E,MATCH($C1051,'Policy Characteristics'!$C:$C,0))),"",INDEX('Policy Characteristics'!E:E,MATCH($C1051,'Policy Characteristics'!$C:$C,0)))</f>
        <v>indst efficiency standards</v>
      </c>
      <c r="L1051" s="283">
        <f>IF(ISBLANK(INDEX('Policy Characteristics'!F:F,MATCH($C1051,'Policy Characteristics'!$C:$C,0))),"",INDEX('Policy Characteristics'!F:F,MATCH($C1051,'Policy Characteristics'!$C:$C,0)))</f>
        <v>0</v>
      </c>
      <c r="M1051" s="283">
        <f>IF(ISBLANK(INDEX('Policy Characteristics'!G:G,MATCH($C1051,'Policy Characteristics'!$C:$C,0))),"",INDEX('Policy Characteristics'!G:G,MATCH($C1051,'Policy Characteristics'!$C:$C,0)))</f>
        <v>0.25</v>
      </c>
      <c r="N1051" s="283">
        <f>IF(ISBLANK(INDEX('Policy Characteristics'!H:H,MATCH($C1051,'Policy Characteristics'!$C:$C,0))),"",INDEX('Policy Characteristics'!H:H,MATCH($C1051,'Policy Characteristics'!$C:$C,0)))</f>
        <v>0.01</v>
      </c>
      <c r="O1051" s="275" t="str">
        <f>IF(ISBLANK(INDEX('Policy Characteristics'!I:I,MATCH($C1051,'Policy Characteristics'!$C:$C,0))),"",INDEX('Policy Characteristics'!I:I,MATCH($C1051,'Policy Characteristics'!$C:$C,0)))</f>
        <v>% reduction in energy use</v>
      </c>
      <c r="P1051" s="275" t="str">
        <f>IF(ISBLANK(INDEX('Policy Characteristics'!J:J,MATCH($C1051,'Policy Characteristics'!$C:$C,0))),"",INDEX('Policy Characteristics'!J:J,MATCH($C1051,'Policy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1" s="275" t="str">
        <f>IF(ISBLANK(INDEX('Policy Characteristics'!K:K,MATCH($C1051,'Policy Characteristics'!$C:$C,0))),"",INDEX('Policy Characteristics'!K:K,MATCH($C1051,'Policy Characteristics'!$C:$C,0)))</f>
        <v>industry-ag-main.html#eff-stds</v>
      </c>
      <c r="R1051" s="275" t="str">
        <f>IF(ISBLANK(INDEX('Policy Characteristics'!L:L,MATCH($C1051,'Policy Characteristics'!$C:$C,0))),"",INDEX('Policy Characteristics'!L:L,MATCH($C1051,'Policy Characteristics'!$C:$C,0)))</f>
        <v>industry-energy-efficiency-standards.html</v>
      </c>
    </row>
    <row r="1052" spans="1:18" s="4" customFormat="1" x14ac:dyDescent="0.25">
      <c r="A1052" s="275" t="str">
        <f>IF(ISBLANK(INDEX('Policy Characteristics'!A:A,MATCH($C1052,'Policy Characteristics'!$C:$C,0))),"",INDEX('Policy Characteristics'!A:A,MATCH($C1052,'Policy Characteristics'!$C:$C,0)))</f>
        <v>Industry</v>
      </c>
      <c r="B1052" s="284" t="str">
        <f>IF(ISBLANK(INDEX('Policy Characteristics'!B:B,MATCH($C1052,'Policy Characteristics'!$C:$C,0))),"",INDEX('Policy Characteristics'!B:B,MATCH($C1052,'Policy Characteristics'!$C:$C,0)))</f>
        <v>Industry Energy Efficiency Standards</v>
      </c>
      <c r="C1052" s="275" t="str">
        <f t="shared" si="42"/>
        <v>Percentage Improvement in Eqpt Efficiency Standards above BAU</v>
      </c>
      <c r="D1052" s="6" t="s">
        <v>3077</v>
      </c>
      <c r="E1052" s="47" t="s">
        <v>2708</v>
      </c>
      <c r="F1052" t="s">
        <v>3041</v>
      </c>
      <c r="G1052" s="47" t="s">
        <v>2713</v>
      </c>
      <c r="H1052" s="44">
        <v>1037</v>
      </c>
      <c r="I1052" s="346" t="s">
        <v>44</v>
      </c>
      <c r="J1052" s="276" t="str">
        <f>IF(ISBLANK(INDEX('Policy Characteristics'!D:D,MATCH($C1052,'Policy Characteristics'!$C:$C,0))),"",INDEX('Policy Characteristics'!D:D,MATCH($C1052,'Policy Characteristics'!$C:$C,0)))</f>
        <v>Industry Energy Efficiency Standards</v>
      </c>
      <c r="K1052" s="275" t="str">
        <f>IF(ISBLANK(INDEX('Policy Characteristics'!E:E,MATCH($C1052,'Policy Characteristics'!$C:$C,0))),"",INDEX('Policy Characteristics'!E:E,MATCH($C1052,'Policy Characteristics'!$C:$C,0)))</f>
        <v>indst efficiency standards</v>
      </c>
      <c r="L1052" s="283">
        <f>IF(ISBLANK(INDEX('Policy Characteristics'!F:F,MATCH($C1052,'Policy Characteristics'!$C:$C,0))),"",INDEX('Policy Characteristics'!F:F,MATCH($C1052,'Policy Characteristics'!$C:$C,0)))</f>
        <v>0</v>
      </c>
      <c r="M1052" s="283">
        <f>IF(ISBLANK(INDEX('Policy Characteristics'!G:G,MATCH($C1052,'Policy Characteristics'!$C:$C,0))),"",INDEX('Policy Characteristics'!G:G,MATCH($C1052,'Policy Characteristics'!$C:$C,0)))</f>
        <v>0.25</v>
      </c>
      <c r="N1052" s="283">
        <f>IF(ISBLANK(INDEX('Policy Characteristics'!H:H,MATCH($C1052,'Policy Characteristics'!$C:$C,0))),"",INDEX('Policy Characteristics'!H:H,MATCH($C1052,'Policy Characteristics'!$C:$C,0)))</f>
        <v>0.01</v>
      </c>
      <c r="O1052" s="275" t="str">
        <f>IF(ISBLANK(INDEX('Policy Characteristics'!I:I,MATCH($C1052,'Policy Characteristics'!$C:$C,0))),"",INDEX('Policy Characteristics'!I:I,MATCH($C1052,'Policy Characteristics'!$C:$C,0)))</f>
        <v>% reduction in energy use</v>
      </c>
      <c r="P1052" s="275" t="str">
        <f>IF(ISBLANK(INDEX('Policy Characteristics'!J:J,MATCH($C1052,'Policy Characteristics'!$C:$C,0))),"",INDEX('Policy Characteristics'!J:J,MATCH($C1052,'Policy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2" s="275" t="str">
        <f>IF(ISBLANK(INDEX('Policy Characteristics'!K:K,MATCH($C1052,'Policy Characteristics'!$C:$C,0))),"",INDEX('Policy Characteristics'!K:K,MATCH($C1052,'Policy Characteristics'!$C:$C,0)))</f>
        <v>industry-ag-main.html#eff-stds</v>
      </c>
      <c r="R1052" s="275" t="str">
        <f>IF(ISBLANK(INDEX('Policy Characteristics'!L:L,MATCH($C1052,'Policy Characteristics'!$C:$C,0))),"",INDEX('Policy Characteristics'!L:L,MATCH($C1052,'Policy Characteristics'!$C:$C,0)))</f>
        <v>industry-energy-efficiency-standards.html</v>
      </c>
    </row>
    <row r="1053" spans="1:18" s="4" customFormat="1" x14ac:dyDescent="0.25">
      <c r="A1053" s="275" t="str">
        <f>IF(ISBLANK(INDEX('Policy Characteristics'!A:A,MATCH($C1053,'Policy Characteristics'!$C:$C,0))),"",INDEX('Policy Characteristics'!A:A,MATCH($C1053,'Policy Characteristics'!$C:$C,0)))</f>
        <v>Industry</v>
      </c>
      <c r="B1053" s="284" t="str">
        <f>IF(ISBLANK(INDEX('Policy Characteristics'!B:B,MATCH($C1053,'Policy Characteristics'!$C:$C,0))),"",INDEX('Policy Characteristics'!B:B,MATCH($C1053,'Policy Characteristics'!$C:$C,0)))</f>
        <v>Industry Energy Efficiency Standards</v>
      </c>
      <c r="C1053" s="275" t="str">
        <f t="shared" si="42"/>
        <v>Percentage Improvement in Eqpt Efficiency Standards above BAU</v>
      </c>
      <c r="D1053" s="6" t="s">
        <v>3078</v>
      </c>
      <c r="E1053" s="47" t="s">
        <v>2401</v>
      </c>
      <c r="F1053" t="s">
        <v>3042</v>
      </c>
      <c r="G1053" s="47" t="s">
        <v>2407</v>
      </c>
      <c r="H1053" s="44">
        <v>1038</v>
      </c>
      <c r="I1053" s="346" t="s">
        <v>43</v>
      </c>
      <c r="J1053" s="276" t="str">
        <f>IF(ISBLANK(INDEX('Policy Characteristics'!D:D,MATCH($C1053,'Policy Characteristics'!$C:$C,0))),"",INDEX('Policy Characteristics'!D:D,MATCH($C1053,'Policy Characteristics'!$C:$C,0)))</f>
        <v>Industry Energy Efficiency Standards</v>
      </c>
      <c r="K1053" s="275" t="str">
        <f>IF(ISBLANK(INDEX('Policy Characteristics'!E:E,MATCH($C1053,'Policy Characteristics'!$C:$C,0))),"",INDEX('Policy Characteristics'!E:E,MATCH($C1053,'Policy Characteristics'!$C:$C,0)))</f>
        <v>indst efficiency standards</v>
      </c>
      <c r="L1053" s="283">
        <f>IF(ISBLANK(INDEX('Policy Characteristics'!F:F,MATCH($C1053,'Policy Characteristics'!$C:$C,0))),"",INDEX('Policy Characteristics'!F:F,MATCH($C1053,'Policy Characteristics'!$C:$C,0)))</f>
        <v>0</v>
      </c>
      <c r="M1053" s="283">
        <f>IF(ISBLANK(INDEX('Policy Characteristics'!G:G,MATCH($C1053,'Policy Characteristics'!$C:$C,0))),"",INDEX('Policy Characteristics'!G:G,MATCH($C1053,'Policy Characteristics'!$C:$C,0)))</f>
        <v>0.25</v>
      </c>
      <c r="N1053" s="283">
        <f>IF(ISBLANK(INDEX('Policy Characteristics'!H:H,MATCH($C1053,'Policy Characteristics'!$C:$C,0))),"",INDEX('Policy Characteristics'!H:H,MATCH($C1053,'Policy Characteristics'!$C:$C,0)))</f>
        <v>0.01</v>
      </c>
      <c r="O1053" s="275" t="str">
        <f>IF(ISBLANK(INDEX('Policy Characteristics'!I:I,MATCH($C1053,'Policy Characteristics'!$C:$C,0))),"",INDEX('Policy Characteristics'!I:I,MATCH($C1053,'Policy Characteristics'!$C:$C,0)))</f>
        <v>% reduction in energy use</v>
      </c>
      <c r="P1053" s="275" t="str">
        <f>IF(ISBLANK(INDEX('Policy Characteristics'!J:J,MATCH($C1053,'Policy Characteristics'!$C:$C,0))),"",INDEX('Policy Characteristics'!J:J,MATCH($C1053,'Policy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3" s="275" t="str">
        <f>IF(ISBLANK(INDEX('Policy Characteristics'!K:K,MATCH($C1053,'Policy Characteristics'!$C:$C,0))),"",INDEX('Policy Characteristics'!K:K,MATCH($C1053,'Policy Characteristics'!$C:$C,0)))</f>
        <v>industry-ag-main.html#eff-stds</v>
      </c>
      <c r="R1053" s="275" t="str">
        <f>IF(ISBLANK(INDEX('Policy Characteristics'!L:L,MATCH($C1053,'Policy Characteristics'!$C:$C,0))),"",INDEX('Policy Characteristics'!L:L,MATCH($C1053,'Policy Characteristics'!$C:$C,0)))</f>
        <v>industry-energy-efficiency-standards.html</v>
      </c>
    </row>
    <row r="1054" spans="1:18" s="4" customFormat="1" x14ac:dyDescent="0.25">
      <c r="A1054" s="275" t="str">
        <f>IF(ISBLANK(INDEX('Policy Characteristics'!A:A,MATCH($C1054,'Policy Characteristics'!$C:$C,0))),"",INDEX('Policy Characteristics'!A:A,MATCH($C1054,'Policy Characteristics'!$C:$C,0)))</f>
        <v>Industry</v>
      </c>
      <c r="B1054" s="284" t="str">
        <f>IF(ISBLANK(INDEX('Policy Characteristics'!B:B,MATCH($C1054,'Policy Characteristics'!$C:$C,0))),"",INDEX('Policy Characteristics'!B:B,MATCH($C1054,'Policy Characteristics'!$C:$C,0)))</f>
        <v>Industry Energy Efficiency Standards</v>
      </c>
      <c r="C1054" s="275" t="str">
        <f t="shared" si="42"/>
        <v>Percentage Improvement in Eqpt Efficiency Standards above BAU</v>
      </c>
      <c r="D1054" s="6" t="s">
        <v>3078</v>
      </c>
      <c r="E1054" s="47" t="s">
        <v>2402</v>
      </c>
      <c r="F1054" t="s">
        <v>3042</v>
      </c>
      <c r="G1054" s="47" t="s">
        <v>2410</v>
      </c>
      <c r="H1054" s="44">
        <v>1039</v>
      </c>
      <c r="I1054" s="346" t="s">
        <v>43</v>
      </c>
      <c r="J1054" s="276" t="str">
        <f>IF(ISBLANK(INDEX('Policy Characteristics'!D:D,MATCH($C1054,'Policy Characteristics'!$C:$C,0))),"",INDEX('Policy Characteristics'!D:D,MATCH($C1054,'Policy Characteristics'!$C:$C,0)))</f>
        <v>Industry Energy Efficiency Standards</v>
      </c>
      <c r="K1054" s="275" t="str">
        <f>IF(ISBLANK(INDEX('Policy Characteristics'!E:E,MATCH($C1054,'Policy Characteristics'!$C:$C,0))),"",INDEX('Policy Characteristics'!E:E,MATCH($C1054,'Policy Characteristics'!$C:$C,0)))</f>
        <v>indst efficiency standards</v>
      </c>
      <c r="L1054" s="283">
        <f>IF(ISBLANK(INDEX('Policy Characteristics'!F:F,MATCH($C1054,'Policy Characteristics'!$C:$C,0))),"",INDEX('Policy Characteristics'!F:F,MATCH($C1054,'Policy Characteristics'!$C:$C,0)))</f>
        <v>0</v>
      </c>
      <c r="M1054" s="283">
        <f>IF(ISBLANK(INDEX('Policy Characteristics'!G:G,MATCH($C1054,'Policy Characteristics'!$C:$C,0))),"",INDEX('Policy Characteristics'!G:G,MATCH($C1054,'Policy Characteristics'!$C:$C,0)))</f>
        <v>0.25</v>
      </c>
      <c r="N1054" s="283">
        <f>IF(ISBLANK(INDEX('Policy Characteristics'!H:H,MATCH($C1054,'Policy Characteristics'!$C:$C,0))),"",INDEX('Policy Characteristics'!H:H,MATCH($C1054,'Policy Characteristics'!$C:$C,0)))</f>
        <v>0.01</v>
      </c>
      <c r="O1054" s="275" t="str">
        <f>IF(ISBLANK(INDEX('Policy Characteristics'!I:I,MATCH($C1054,'Policy Characteristics'!$C:$C,0))),"",INDEX('Policy Characteristics'!I:I,MATCH($C1054,'Policy Characteristics'!$C:$C,0)))</f>
        <v>% reduction in energy use</v>
      </c>
      <c r="P1054" s="275" t="str">
        <f>IF(ISBLANK(INDEX('Policy Characteristics'!J:J,MATCH($C1054,'Policy Characteristics'!$C:$C,0))),"",INDEX('Policy Characteristics'!J:J,MATCH($C1054,'Policy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4" s="275" t="str">
        <f>IF(ISBLANK(INDEX('Policy Characteristics'!K:K,MATCH($C1054,'Policy Characteristics'!$C:$C,0))),"",INDEX('Policy Characteristics'!K:K,MATCH($C1054,'Policy Characteristics'!$C:$C,0)))</f>
        <v>industry-ag-main.html#eff-stds</v>
      </c>
      <c r="R1054" s="275" t="str">
        <f>IF(ISBLANK(INDEX('Policy Characteristics'!L:L,MATCH($C1054,'Policy Characteristics'!$C:$C,0))),"",INDEX('Policy Characteristics'!L:L,MATCH($C1054,'Policy Characteristics'!$C:$C,0)))</f>
        <v>industry-energy-efficiency-standards.html</v>
      </c>
    </row>
    <row r="1055" spans="1:18" s="4" customFormat="1" x14ac:dyDescent="0.25">
      <c r="A1055" s="275" t="str">
        <f>IF(ISBLANK(INDEX('Policy Characteristics'!A:A,MATCH($C1055,'Policy Characteristics'!$C:$C,0))),"",INDEX('Policy Characteristics'!A:A,MATCH($C1055,'Policy Characteristics'!$C:$C,0)))</f>
        <v>Industry</v>
      </c>
      <c r="B1055" s="284" t="str">
        <f>IF(ISBLANK(INDEX('Policy Characteristics'!B:B,MATCH($C1055,'Policy Characteristics'!$C:$C,0))),"",INDEX('Policy Characteristics'!B:B,MATCH($C1055,'Policy Characteristics'!$C:$C,0)))</f>
        <v>Industry Energy Efficiency Standards</v>
      </c>
      <c r="C1055" s="275" t="str">
        <f t="shared" si="42"/>
        <v>Percentage Improvement in Eqpt Efficiency Standards above BAU</v>
      </c>
      <c r="D1055" s="6" t="s">
        <v>3078</v>
      </c>
      <c r="E1055" s="47" t="s">
        <v>2403</v>
      </c>
      <c r="F1055" t="s">
        <v>3042</v>
      </c>
      <c r="G1055" s="47" t="s">
        <v>2411</v>
      </c>
      <c r="H1055" s="44">
        <v>1040</v>
      </c>
      <c r="I1055" s="346" t="s">
        <v>43</v>
      </c>
      <c r="J1055" s="276" t="str">
        <f>IF(ISBLANK(INDEX('Policy Characteristics'!D:D,MATCH($C1055,'Policy Characteristics'!$C:$C,0))),"",INDEX('Policy Characteristics'!D:D,MATCH($C1055,'Policy Characteristics'!$C:$C,0)))</f>
        <v>Industry Energy Efficiency Standards</v>
      </c>
      <c r="K1055" s="275" t="str">
        <f>IF(ISBLANK(INDEX('Policy Characteristics'!E:E,MATCH($C1055,'Policy Characteristics'!$C:$C,0))),"",INDEX('Policy Characteristics'!E:E,MATCH($C1055,'Policy Characteristics'!$C:$C,0)))</f>
        <v>indst efficiency standards</v>
      </c>
      <c r="L1055" s="283">
        <f>IF(ISBLANK(INDEX('Policy Characteristics'!F:F,MATCH($C1055,'Policy Characteristics'!$C:$C,0))),"",INDEX('Policy Characteristics'!F:F,MATCH($C1055,'Policy Characteristics'!$C:$C,0)))</f>
        <v>0</v>
      </c>
      <c r="M1055" s="283">
        <f>IF(ISBLANK(INDEX('Policy Characteristics'!G:G,MATCH($C1055,'Policy Characteristics'!$C:$C,0))),"",INDEX('Policy Characteristics'!G:G,MATCH($C1055,'Policy Characteristics'!$C:$C,0)))</f>
        <v>0.25</v>
      </c>
      <c r="N1055" s="283">
        <f>IF(ISBLANK(INDEX('Policy Characteristics'!H:H,MATCH($C1055,'Policy Characteristics'!$C:$C,0))),"",INDEX('Policy Characteristics'!H:H,MATCH($C1055,'Policy Characteristics'!$C:$C,0)))</f>
        <v>0.01</v>
      </c>
      <c r="O1055" s="275" t="str">
        <f>IF(ISBLANK(INDEX('Policy Characteristics'!I:I,MATCH($C1055,'Policy Characteristics'!$C:$C,0))),"",INDEX('Policy Characteristics'!I:I,MATCH($C1055,'Policy Characteristics'!$C:$C,0)))</f>
        <v>% reduction in energy use</v>
      </c>
      <c r="P1055" s="275" t="str">
        <f>IF(ISBLANK(INDEX('Policy Characteristics'!J:J,MATCH($C1055,'Policy Characteristics'!$C:$C,0))),"",INDEX('Policy Characteristics'!J:J,MATCH($C1055,'Policy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5" s="275" t="str">
        <f>IF(ISBLANK(INDEX('Policy Characteristics'!K:K,MATCH($C1055,'Policy Characteristics'!$C:$C,0))),"",INDEX('Policy Characteristics'!K:K,MATCH($C1055,'Policy Characteristics'!$C:$C,0)))</f>
        <v>industry-ag-main.html#eff-stds</v>
      </c>
      <c r="R1055" s="275" t="str">
        <f>IF(ISBLANK(INDEX('Policy Characteristics'!L:L,MATCH($C1055,'Policy Characteristics'!$C:$C,0))),"",INDEX('Policy Characteristics'!L:L,MATCH($C1055,'Policy Characteristics'!$C:$C,0)))</f>
        <v>industry-energy-efficiency-standards.html</v>
      </c>
    </row>
    <row r="1056" spans="1:18" s="4" customFormat="1" x14ac:dyDescent="0.25">
      <c r="A1056" s="275" t="str">
        <f>IF(ISBLANK(INDEX('Policy Characteristics'!A:A,MATCH($C1056,'Policy Characteristics'!$C:$C,0))),"",INDEX('Policy Characteristics'!A:A,MATCH($C1056,'Policy Characteristics'!$C:$C,0)))</f>
        <v>Industry</v>
      </c>
      <c r="B1056" s="284" t="str">
        <f>IF(ISBLANK(INDEX('Policy Characteristics'!B:B,MATCH($C1056,'Policy Characteristics'!$C:$C,0))),"",INDEX('Policy Characteristics'!B:B,MATCH($C1056,'Policy Characteristics'!$C:$C,0)))</f>
        <v>Industry Energy Efficiency Standards</v>
      </c>
      <c r="C1056" s="275" t="str">
        <f t="shared" si="42"/>
        <v>Percentage Improvement in Eqpt Efficiency Standards above BAU</v>
      </c>
      <c r="D1056" s="6" t="s">
        <v>3078</v>
      </c>
      <c r="E1056" s="47" t="s">
        <v>2404</v>
      </c>
      <c r="F1056" t="s">
        <v>3042</v>
      </c>
      <c r="G1056" s="47" t="s">
        <v>2408</v>
      </c>
      <c r="H1056" s="44">
        <v>1041</v>
      </c>
      <c r="I1056" s="346" t="s">
        <v>43</v>
      </c>
      <c r="J1056" s="276" t="str">
        <f>IF(ISBLANK(INDEX('Policy Characteristics'!D:D,MATCH($C1056,'Policy Characteristics'!$C:$C,0))),"",INDEX('Policy Characteristics'!D:D,MATCH($C1056,'Policy Characteristics'!$C:$C,0)))</f>
        <v>Industry Energy Efficiency Standards</v>
      </c>
      <c r="K1056" s="275" t="str">
        <f>IF(ISBLANK(INDEX('Policy Characteristics'!E:E,MATCH($C1056,'Policy Characteristics'!$C:$C,0))),"",INDEX('Policy Characteristics'!E:E,MATCH($C1056,'Policy Characteristics'!$C:$C,0)))</f>
        <v>indst efficiency standards</v>
      </c>
      <c r="L1056" s="283">
        <f>IF(ISBLANK(INDEX('Policy Characteristics'!F:F,MATCH($C1056,'Policy Characteristics'!$C:$C,0))),"",INDEX('Policy Characteristics'!F:F,MATCH($C1056,'Policy Characteristics'!$C:$C,0)))</f>
        <v>0</v>
      </c>
      <c r="M1056" s="283">
        <f>IF(ISBLANK(INDEX('Policy Characteristics'!G:G,MATCH($C1056,'Policy Characteristics'!$C:$C,0))),"",INDEX('Policy Characteristics'!G:G,MATCH($C1056,'Policy Characteristics'!$C:$C,0)))</f>
        <v>0.25</v>
      </c>
      <c r="N1056" s="283">
        <f>IF(ISBLANK(INDEX('Policy Characteristics'!H:H,MATCH($C1056,'Policy Characteristics'!$C:$C,0))),"",INDEX('Policy Characteristics'!H:H,MATCH($C1056,'Policy Characteristics'!$C:$C,0)))</f>
        <v>0.01</v>
      </c>
      <c r="O1056" s="275" t="str">
        <f>IF(ISBLANK(INDEX('Policy Characteristics'!I:I,MATCH($C1056,'Policy Characteristics'!$C:$C,0))),"",INDEX('Policy Characteristics'!I:I,MATCH($C1056,'Policy Characteristics'!$C:$C,0)))</f>
        <v>% reduction in energy use</v>
      </c>
      <c r="P1056" s="275" t="str">
        <f>IF(ISBLANK(INDEX('Policy Characteristics'!J:J,MATCH($C1056,'Policy Characteristics'!$C:$C,0))),"",INDEX('Policy Characteristics'!J:J,MATCH($C1056,'Policy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6" s="275" t="str">
        <f>IF(ISBLANK(INDEX('Policy Characteristics'!K:K,MATCH($C1056,'Policy Characteristics'!$C:$C,0))),"",INDEX('Policy Characteristics'!K:K,MATCH($C1056,'Policy Characteristics'!$C:$C,0)))</f>
        <v>industry-ag-main.html#eff-stds</v>
      </c>
      <c r="R1056" s="275" t="str">
        <f>IF(ISBLANK(INDEX('Policy Characteristics'!L:L,MATCH($C1056,'Policy Characteristics'!$C:$C,0))),"",INDEX('Policy Characteristics'!L:L,MATCH($C1056,'Policy Characteristics'!$C:$C,0)))</f>
        <v>industry-energy-efficiency-standards.html</v>
      </c>
    </row>
    <row r="1057" spans="1:18" s="4" customFormat="1" x14ac:dyDescent="0.25">
      <c r="A1057" s="275" t="str">
        <f>IF(ISBLANK(INDEX('Policy Characteristics'!A:A,MATCH($C1057,'Policy Characteristics'!$C:$C,0))),"",INDEX('Policy Characteristics'!A:A,MATCH($C1057,'Policy Characteristics'!$C:$C,0)))</f>
        <v>Industry</v>
      </c>
      <c r="B1057" s="284" t="str">
        <f>IF(ISBLANK(INDEX('Policy Characteristics'!B:B,MATCH($C1057,'Policy Characteristics'!$C:$C,0))),"",INDEX('Policy Characteristics'!B:B,MATCH($C1057,'Policy Characteristics'!$C:$C,0)))</f>
        <v>Industry Energy Efficiency Standards</v>
      </c>
      <c r="C1057" s="275" t="str">
        <f t="shared" si="42"/>
        <v>Percentage Improvement in Eqpt Efficiency Standards above BAU</v>
      </c>
      <c r="D1057" s="6" t="s">
        <v>3078</v>
      </c>
      <c r="E1057" s="47" t="s">
        <v>2405</v>
      </c>
      <c r="F1057" t="s">
        <v>3042</v>
      </c>
      <c r="G1057" s="47" t="s">
        <v>2409</v>
      </c>
      <c r="H1057" s="44">
        <v>1042</v>
      </c>
      <c r="I1057" s="346" t="s">
        <v>44</v>
      </c>
      <c r="J1057" s="276" t="str">
        <f>IF(ISBLANK(INDEX('Policy Characteristics'!D:D,MATCH($C1057,'Policy Characteristics'!$C:$C,0))),"",INDEX('Policy Characteristics'!D:D,MATCH($C1057,'Policy Characteristics'!$C:$C,0)))</f>
        <v>Industry Energy Efficiency Standards</v>
      </c>
      <c r="K1057" s="275" t="str">
        <f>IF(ISBLANK(INDEX('Policy Characteristics'!E:E,MATCH($C1057,'Policy Characteristics'!$C:$C,0))),"",INDEX('Policy Characteristics'!E:E,MATCH($C1057,'Policy Characteristics'!$C:$C,0)))</f>
        <v>indst efficiency standards</v>
      </c>
      <c r="L1057" s="283">
        <f>IF(ISBLANK(INDEX('Policy Characteristics'!F:F,MATCH($C1057,'Policy Characteristics'!$C:$C,0))),"",INDEX('Policy Characteristics'!F:F,MATCH($C1057,'Policy Characteristics'!$C:$C,0)))</f>
        <v>0</v>
      </c>
      <c r="M1057" s="283">
        <f>IF(ISBLANK(INDEX('Policy Characteristics'!G:G,MATCH($C1057,'Policy Characteristics'!$C:$C,0))),"",INDEX('Policy Characteristics'!G:G,MATCH($C1057,'Policy Characteristics'!$C:$C,0)))</f>
        <v>0.25</v>
      </c>
      <c r="N1057" s="283">
        <f>IF(ISBLANK(INDEX('Policy Characteristics'!H:H,MATCH($C1057,'Policy Characteristics'!$C:$C,0))),"",INDEX('Policy Characteristics'!H:H,MATCH($C1057,'Policy Characteristics'!$C:$C,0)))</f>
        <v>0.01</v>
      </c>
      <c r="O1057" s="275" t="str">
        <f>IF(ISBLANK(INDEX('Policy Characteristics'!I:I,MATCH($C1057,'Policy Characteristics'!$C:$C,0))),"",INDEX('Policy Characteristics'!I:I,MATCH($C1057,'Policy Characteristics'!$C:$C,0)))</f>
        <v>% reduction in energy use</v>
      </c>
      <c r="P1057" s="275" t="str">
        <f>IF(ISBLANK(INDEX('Policy Characteristics'!J:J,MATCH($C1057,'Policy Characteristics'!$C:$C,0))),"",INDEX('Policy Characteristics'!J:J,MATCH($C1057,'Policy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7" s="275" t="str">
        <f>IF(ISBLANK(INDEX('Policy Characteristics'!K:K,MATCH($C1057,'Policy Characteristics'!$C:$C,0))),"",INDEX('Policy Characteristics'!K:K,MATCH($C1057,'Policy Characteristics'!$C:$C,0)))</f>
        <v>industry-ag-main.html#eff-stds</v>
      </c>
      <c r="R1057" s="275" t="str">
        <f>IF(ISBLANK(INDEX('Policy Characteristics'!L:L,MATCH($C1057,'Policy Characteristics'!$C:$C,0))),"",INDEX('Policy Characteristics'!L:L,MATCH($C1057,'Policy Characteristics'!$C:$C,0)))</f>
        <v>industry-energy-efficiency-standards.html</v>
      </c>
    </row>
    <row r="1058" spans="1:18" s="4" customFormat="1" x14ac:dyDescent="0.25">
      <c r="A1058" s="275" t="str">
        <f>IF(ISBLANK(INDEX('Policy Characteristics'!A:A,MATCH($C1058,'Policy Characteristics'!$C:$C,0))),"",INDEX('Policy Characteristics'!A:A,MATCH($C1058,'Policy Characteristics'!$C:$C,0)))</f>
        <v>Industry</v>
      </c>
      <c r="B1058" s="284" t="str">
        <f>IF(ISBLANK(INDEX('Policy Characteristics'!B:B,MATCH($C1058,'Policy Characteristics'!$C:$C,0))),"",INDEX('Policy Characteristics'!B:B,MATCH($C1058,'Policy Characteristics'!$C:$C,0)))</f>
        <v>Industry Energy Efficiency Standards</v>
      </c>
      <c r="C1058" s="275" t="str">
        <f t="shared" si="42"/>
        <v>Percentage Improvement in Eqpt Efficiency Standards above BAU</v>
      </c>
      <c r="D1058" s="6" t="s">
        <v>3078</v>
      </c>
      <c r="E1058" s="47" t="s">
        <v>2406</v>
      </c>
      <c r="F1058" t="s">
        <v>3042</v>
      </c>
      <c r="G1058" s="47" t="s">
        <v>2412</v>
      </c>
      <c r="H1058" s="44">
        <v>1043</v>
      </c>
      <c r="I1058" s="346" t="s">
        <v>44</v>
      </c>
      <c r="J1058" s="276" t="str">
        <f>IF(ISBLANK(INDEX('Policy Characteristics'!D:D,MATCH($C1058,'Policy Characteristics'!$C:$C,0))),"",INDEX('Policy Characteristics'!D:D,MATCH($C1058,'Policy Characteristics'!$C:$C,0)))</f>
        <v>Industry Energy Efficiency Standards</v>
      </c>
      <c r="K1058" s="275" t="str">
        <f>IF(ISBLANK(INDEX('Policy Characteristics'!E:E,MATCH($C1058,'Policy Characteristics'!$C:$C,0))),"",INDEX('Policy Characteristics'!E:E,MATCH($C1058,'Policy Characteristics'!$C:$C,0)))</f>
        <v>indst efficiency standards</v>
      </c>
      <c r="L1058" s="283">
        <f>IF(ISBLANK(INDEX('Policy Characteristics'!F:F,MATCH($C1058,'Policy Characteristics'!$C:$C,0))),"",INDEX('Policy Characteristics'!F:F,MATCH($C1058,'Policy Characteristics'!$C:$C,0)))</f>
        <v>0</v>
      </c>
      <c r="M1058" s="283">
        <f>IF(ISBLANK(INDEX('Policy Characteristics'!G:G,MATCH($C1058,'Policy Characteristics'!$C:$C,0))),"",INDEX('Policy Characteristics'!G:G,MATCH($C1058,'Policy Characteristics'!$C:$C,0)))</f>
        <v>0.25</v>
      </c>
      <c r="N1058" s="283">
        <f>IF(ISBLANK(INDEX('Policy Characteristics'!H:H,MATCH($C1058,'Policy Characteristics'!$C:$C,0))),"",INDEX('Policy Characteristics'!H:H,MATCH($C1058,'Policy Characteristics'!$C:$C,0)))</f>
        <v>0.01</v>
      </c>
      <c r="O1058" s="275" t="str">
        <f>IF(ISBLANK(INDEX('Policy Characteristics'!I:I,MATCH($C1058,'Policy Characteristics'!$C:$C,0))),"",INDEX('Policy Characteristics'!I:I,MATCH($C1058,'Policy Characteristics'!$C:$C,0)))</f>
        <v>% reduction in energy use</v>
      </c>
      <c r="P1058" s="275" t="str">
        <f>IF(ISBLANK(INDEX('Policy Characteristics'!J:J,MATCH($C1058,'Policy Characteristics'!$C:$C,0))),"",INDEX('Policy Characteristics'!J:J,MATCH($C1058,'Policy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8" s="275" t="str">
        <f>IF(ISBLANK(INDEX('Policy Characteristics'!K:K,MATCH($C1058,'Policy Characteristics'!$C:$C,0))),"",INDEX('Policy Characteristics'!K:K,MATCH($C1058,'Policy Characteristics'!$C:$C,0)))</f>
        <v>industry-ag-main.html#eff-stds</v>
      </c>
      <c r="R1058" s="275" t="str">
        <f>IF(ISBLANK(INDEX('Policy Characteristics'!L:L,MATCH($C1058,'Policy Characteristics'!$C:$C,0))),"",INDEX('Policy Characteristics'!L:L,MATCH($C1058,'Policy Characteristics'!$C:$C,0)))</f>
        <v>industry-energy-efficiency-standards.html</v>
      </c>
    </row>
    <row r="1059" spans="1:18" s="4" customFormat="1" x14ac:dyDescent="0.25">
      <c r="A1059" s="275" t="str">
        <f>IF(ISBLANK(INDEX('Policy Characteristics'!A:A,MATCH($C1059,'Policy Characteristics'!$C:$C,0))),"",INDEX('Policy Characteristics'!A:A,MATCH($C1059,'Policy Characteristics'!$C:$C,0)))</f>
        <v>Industry</v>
      </c>
      <c r="B1059" s="284" t="str">
        <f>IF(ISBLANK(INDEX('Policy Characteristics'!B:B,MATCH($C1059,'Policy Characteristics'!$C:$C,0))),"",INDEX('Policy Characteristics'!B:B,MATCH($C1059,'Policy Characteristics'!$C:$C,0)))</f>
        <v>Industry Energy Efficiency Standards</v>
      </c>
      <c r="C1059" s="275" t="str">
        <f t="shared" si="42"/>
        <v>Percentage Improvement in Eqpt Efficiency Standards above BAU</v>
      </c>
      <c r="D1059" s="6" t="s">
        <v>3078</v>
      </c>
      <c r="E1059" s="47" t="s">
        <v>2709</v>
      </c>
      <c r="F1059" t="s">
        <v>3042</v>
      </c>
      <c r="G1059" s="47" t="s">
        <v>2712</v>
      </c>
      <c r="H1059" s="44">
        <v>1044</v>
      </c>
      <c r="I1059" s="346" t="s">
        <v>43</v>
      </c>
      <c r="J1059" s="276" t="str">
        <f>IF(ISBLANK(INDEX('Policy Characteristics'!D:D,MATCH($C1059,'Policy Characteristics'!$C:$C,0))),"",INDEX('Policy Characteristics'!D:D,MATCH($C1059,'Policy Characteristics'!$C:$C,0)))</f>
        <v>Industry Energy Efficiency Standards</v>
      </c>
      <c r="K1059" s="275" t="str">
        <f>IF(ISBLANK(INDEX('Policy Characteristics'!E:E,MATCH($C1059,'Policy Characteristics'!$C:$C,0))),"",INDEX('Policy Characteristics'!E:E,MATCH($C1059,'Policy Characteristics'!$C:$C,0)))</f>
        <v>indst efficiency standards</v>
      </c>
      <c r="L1059" s="283">
        <f>IF(ISBLANK(INDEX('Policy Characteristics'!F:F,MATCH($C1059,'Policy Characteristics'!$C:$C,0))),"",INDEX('Policy Characteristics'!F:F,MATCH($C1059,'Policy Characteristics'!$C:$C,0)))</f>
        <v>0</v>
      </c>
      <c r="M1059" s="283">
        <f>IF(ISBLANK(INDEX('Policy Characteristics'!G:G,MATCH($C1059,'Policy Characteristics'!$C:$C,0))),"",INDEX('Policy Characteristics'!G:G,MATCH($C1059,'Policy Characteristics'!$C:$C,0)))</f>
        <v>0.25</v>
      </c>
      <c r="N1059" s="283">
        <f>IF(ISBLANK(INDEX('Policy Characteristics'!H:H,MATCH($C1059,'Policy Characteristics'!$C:$C,0))),"",INDEX('Policy Characteristics'!H:H,MATCH($C1059,'Policy Characteristics'!$C:$C,0)))</f>
        <v>0.01</v>
      </c>
      <c r="O1059" s="275" t="str">
        <f>IF(ISBLANK(INDEX('Policy Characteristics'!I:I,MATCH($C1059,'Policy Characteristics'!$C:$C,0))),"",INDEX('Policy Characteristics'!I:I,MATCH($C1059,'Policy Characteristics'!$C:$C,0)))</f>
        <v>% reduction in energy use</v>
      </c>
      <c r="P1059" s="275" t="str">
        <f>IF(ISBLANK(INDEX('Policy Characteristics'!J:J,MATCH($C1059,'Policy Characteristics'!$C:$C,0))),"",INDEX('Policy Characteristics'!J:J,MATCH($C1059,'Policy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9" s="275" t="str">
        <f>IF(ISBLANK(INDEX('Policy Characteristics'!K:K,MATCH($C1059,'Policy Characteristics'!$C:$C,0))),"",INDEX('Policy Characteristics'!K:K,MATCH($C1059,'Policy Characteristics'!$C:$C,0)))</f>
        <v>industry-ag-main.html#eff-stds</v>
      </c>
      <c r="R1059" s="275" t="str">
        <f>IF(ISBLANK(INDEX('Policy Characteristics'!L:L,MATCH($C1059,'Policy Characteristics'!$C:$C,0))),"",INDEX('Policy Characteristics'!L:L,MATCH($C1059,'Policy Characteristics'!$C:$C,0)))</f>
        <v>industry-energy-efficiency-standards.html</v>
      </c>
    </row>
    <row r="1060" spans="1:18" s="4" customFormat="1" x14ac:dyDescent="0.25">
      <c r="A1060" s="275" t="str">
        <f>IF(ISBLANK(INDEX('Policy Characteristics'!A:A,MATCH($C1060,'Policy Characteristics'!$C:$C,0))),"",INDEX('Policy Characteristics'!A:A,MATCH($C1060,'Policy Characteristics'!$C:$C,0)))</f>
        <v>Industry</v>
      </c>
      <c r="B1060" s="284" t="str">
        <f>IF(ISBLANK(INDEX('Policy Characteristics'!B:B,MATCH($C1060,'Policy Characteristics'!$C:$C,0))),"",INDEX('Policy Characteristics'!B:B,MATCH($C1060,'Policy Characteristics'!$C:$C,0)))</f>
        <v>Industry Energy Efficiency Standards</v>
      </c>
      <c r="C1060" s="275" t="str">
        <f t="shared" si="42"/>
        <v>Percentage Improvement in Eqpt Efficiency Standards above BAU</v>
      </c>
      <c r="D1060" s="6" t="s">
        <v>3078</v>
      </c>
      <c r="E1060" s="47" t="s">
        <v>2710</v>
      </c>
      <c r="F1060" t="s">
        <v>3042</v>
      </c>
      <c r="G1060" s="47" t="s">
        <v>2714</v>
      </c>
      <c r="H1060" s="44">
        <v>1045</v>
      </c>
      <c r="I1060" s="346" t="s">
        <v>44</v>
      </c>
      <c r="J1060" s="276" t="str">
        <f>IF(ISBLANK(INDEX('Policy Characteristics'!D:D,MATCH($C1060,'Policy Characteristics'!$C:$C,0))),"",INDEX('Policy Characteristics'!D:D,MATCH($C1060,'Policy Characteristics'!$C:$C,0)))</f>
        <v>Industry Energy Efficiency Standards</v>
      </c>
      <c r="K1060" s="275" t="str">
        <f>IF(ISBLANK(INDEX('Policy Characteristics'!E:E,MATCH($C1060,'Policy Characteristics'!$C:$C,0))),"",INDEX('Policy Characteristics'!E:E,MATCH($C1060,'Policy Characteristics'!$C:$C,0)))</f>
        <v>indst efficiency standards</v>
      </c>
      <c r="L1060" s="283">
        <f>IF(ISBLANK(INDEX('Policy Characteristics'!F:F,MATCH($C1060,'Policy Characteristics'!$C:$C,0))),"",INDEX('Policy Characteristics'!F:F,MATCH($C1060,'Policy Characteristics'!$C:$C,0)))</f>
        <v>0</v>
      </c>
      <c r="M1060" s="283">
        <f>IF(ISBLANK(INDEX('Policy Characteristics'!G:G,MATCH($C1060,'Policy Characteristics'!$C:$C,0))),"",INDEX('Policy Characteristics'!G:G,MATCH($C1060,'Policy Characteristics'!$C:$C,0)))</f>
        <v>0.25</v>
      </c>
      <c r="N1060" s="283">
        <f>IF(ISBLANK(INDEX('Policy Characteristics'!H:H,MATCH($C1060,'Policy Characteristics'!$C:$C,0))),"",INDEX('Policy Characteristics'!H:H,MATCH($C1060,'Policy Characteristics'!$C:$C,0)))</f>
        <v>0.01</v>
      </c>
      <c r="O1060" s="275" t="str">
        <f>IF(ISBLANK(INDEX('Policy Characteristics'!I:I,MATCH($C1060,'Policy Characteristics'!$C:$C,0))),"",INDEX('Policy Characteristics'!I:I,MATCH($C1060,'Policy Characteristics'!$C:$C,0)))</f>
        <v>% reduction in energy use</v>
      </c>
      <c r="P1060" s="275" t="str">
        <f>IF(ISBLANK(INDEX('Policy Characteristics'!J:J,MATCH($C1060,'Policy Characteristics'!$C:$C,0))),"",INDEX('Policy Characteristics'!J:J,MATCH($C1060,'Policy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0" s="275" t="str">
        <f>IF(ISBLANK(INDEX('Policy Characteristics'!K:K,MATCH($C1060,'Policy Characteristics'!$C:$C,0))),"",INDEX('Policy Characteristics'!K:K,MATCH($C1060,'Policy Characteristics'!$C:$C,0)))</f>
        <v>industry-ag-main.html#eff-stds</v>
      </c>
      <c r="R1060" s="275" t="str">
        <f>IF(ISBLANK(INDEX('Policy Characteristics'!L:L,MATCH($C1060,'Policy Characteristics'!$C:$C,0))),"",INDEX('Policy Characteristics'!L:L,MATCH($C1060,'Policy Characteristics'!$C:$C,0)))</f>
        <v>industry-energy-efficiency-standards.html</v>
      </c>
    </row>
    <row r="1061" spans="1:18" s="4" customFormat="1" x14ac:dyDescent="0.25">
      <c r="A1061" s="275" t="str">
        <f>IF(ISBLANK(INDEX('Policy Characteristics'!A:A,MATCH($C1061,'Policy Characteristics'!$C:$C,0))),"",INDEX('Policy Characteristics'!A:A,MATCH($C1061,'Policy Characteristics'!$C:$C,0)))</f>
        <v>Industry</v>
      </c>
      <c r="B1061" s="284" t="str">
        <f>IF(ISBLANK(INDEX('Policy Characteristics'!B:B,MATCH($C1061,'Policy Characteristics'!$C:$C,0))),"",INDEX('Policy Characteristics'!B:B,MATCH($C1061,'Policy Characteristics'!$C:$C,0)))</f>
        <v>Industry Energy Efficiency Standards</v>
      </c>
      <c r="C1061" s="275" t="str">
        <f t="shared" si="42"/>
        <v>Percentage Improvement in Eqpt Efficiency Standards above BAU</v>
      </c>
      <c r="D1061" s="6" t="s">
        <v>3078</v>
      </c>
      <c r="E1061" s="47" t="s">
        <v>2711</v>
      </c>
      <c r="F1061" t="s">
        <v>3042</v>
      </c>
      <c r="G1061" s="47" t="s">
        <v>2715</v>
      </c>
      <c r="H1061" s="44">
        <v>1046</v>
      </c>
      <c r="I1061" s="346" t="s">
        <v>44</v>
      </c>
      <c r="J1061" s="276" t="str">
        <f>IF(ISBLANK(INDEX('Policy Characteristics'!D:D,MATCH($C1061,'Policy Characteristics'!$C:$C,0))),"",INDEX('Policy Characteristics'!D:D,MATCH($C1061,'Policy Characteristics'!$C:$C,0)))</f>
        <v>Industry Energy Efficiency Standards</v>
      </c>
      <c r="K1061" s="275" t="str">
        <f>IF(ISBLANK(INDEX('Policy Characteristics'!E:E,MATCH($C1061,'Policy Characteristics'!$C:$C,0))),"",INDEX('Policy Characteristics'!E:E,MATCH($C1061,'Policy Characteristics'!$C:$C,0)))</f>
        <v>indst efficiency standards</v>
      </c>
      <c r="L1061" s="283">
        <f>IF(ISBLANK(INDEX('Policy Characteristics'!F:F,MATCH($C1061,'Policy Characteristics'!$C:$C,0))),"",INDEX('Policy Characteristics'!F:F,MATCH($C1061,'Policy Characteristics'!$C:$C,0)))</f>
        <v>0</v>
      </c>
      <c r="M1061" s="283">
        <f>IF(ISBLANK(INDEX('Policy Characteristics'!G:G,MATCH($C1061,'Policy Characteristics'!$C:$C,0))),"",INDEX('Policy Characteristics'!G:G,MATCH($C1061,'Policy Characteristics'!$C:$C,0)))</f>
        <v>0.25</v>
      </c>
      <c r="N1061" s="283">
        <f>IF(ISBLANK(INDEX('Policy Characteristics'!H:H,MATCH($C1061,'Policy Characteristics'!$C:$C,0))),"",INDEX('Policy Characteristics'!H:H,MATCH($C1061,'Policy Characteristics'!$C:$C,0)))</f>
        <v>0.01</v>
      </c>
      <c r="O1061" s="275" t="str">
        <f>IF(ISBLANK(INDEX('Policy Characteristics'!I:I,MATCH($C1061,'Policy Characteristics'!$C:$C,0))),"",INDEX('Policy Characteristics'!I:I,MATCH($C1061,'Policy Characteristics'!$C:$C,0)))</f>
        <v>% reduction in energy use</v>
      </c>
      <c r="P1061" s="275" t="str">
        <f>IF(ISBLANK(INDEX('Policy Characteristics'!J:J,MATCH($C1061,'Policy Characteristics'!$C:$C,0))),"",INDEX('Policy Characteristics'!J:J,MATCH($C1061,'Policy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1" s="275" t="str">
        <f>IF(ISBLANK(INDEX('Policy Characteristics'!K:K,MATCH($C1061,'Policy Characteristics'!$C:$C,0))),"",INDEX('Policy Characteristics'!K:K,MATCH($C1061,'Policy Characteristics'!$C:$C,0)))</f>
        <v>industry-ag-main.html#eff-stds</v>
      </c>
      <c r="R1061" s="275" t="str">
        <f>IF(ISBLANK(INDEX('Policy Characteristics'!L:L,MATCH($C1061,'Policy Characteristics'!$C:$C,0))),"",INDEX('Policy Characteristics'!L:L,MATCH($C1061,'Policy Characteristics'!$C:$C,0)))</f>
        <v>industry-energy-efficiency-standards.html</v>
      </c>
    </row>
    <row r="1062" spans="1:18" s="4" customFormat="1" x14ac:dyDescent="0.25">
      <c r="A1062" s="275" t="str">
        <f>IF(ISBLANK(INDEX('Policy Characteristics'!A:A,MATCH($C1062,'Policy Characteristics'!$C:$C,0))),"",INDEX('Policy Characteristics'!A:A,MATCH($C1062,'Policy Characteristics'!$C:$C,0)))</f>
        <v>Industry</v>
      </c>
      <c r="B1062" s="284" t="str">
        <f>IF(ISBLANK(INDEX('Policy Characteristics'!B:B,MATCH($C1062,'Policy Characteristics'!$C:$C,0))),"",INDEX('Policy Characteristics'!B:B,MATCH($C1062,'Policy Characteristics'!$C:$C,0)))</f>
        <v>Industry Energy Efficiency Standards</v>
      </c>
      <c r="C1062" s="275" t="str">
        <f t="shared" si="42"/>
        <v>Percentage Improvement in Eqpt Efficiency Standards above BAU</v>
      </c>
      <c r="D1062" s="6" t="s">
        <v>3078</v>
      </c>
      <c r="E1062" s="47" t="s">
        <v>2708</v>
      </c>
      <c r="F1062" t="s">
        <v>3042</v>
      </c>
      <c r="G1062" s="47" t="s">
        <v>2713</v>
      </c>
      <c r="H1062" s="44">
        <v>1047</v>
      </c>
      <c r="I1062" s="346" t="s">
        <v>44</v>
      </c>
      <c r="J1062" s="276" t="str">
        <f>IF(ISBLANK(INDEX('Policy Characteristics'!D:D,MATCH($C1062,'Policy Characteristics'!$C:$C,0))),"",INDEX('Policy Characteristics'!D:D,MATCH($C1062,'Policy Characteristics'!$C:$C,0)))</f>
        <v>Industry Energy Efficiency Standards</v>
      </c>
      <c r="K1062" s="275" t="str">
        <f>IF(ISBLANK(INDEX('Policy Characteristics'!E:E,MATCH($C1062,'Policy Characteristics'!$C:$C,0))),"",INDEX('Policy Characteristics'!E:E,MATCH($C1062,'Policy Characteristics'!$C:$C,0)))</f>
        <v>indst efficiency standards</v>
      </c>
      <c r="L1062" s="283">
        <f>IF(ISBLANK(INDEX('Policy Characteristics'!F:F,MATCH($C1062,'Policy Characteristics'!$C:$C,0))),"",INDEX('Policy Characteristics'!F:F,MATCH($C1062,'Policy Characteristics'!$C:$C,0)))</f>
        <v>0</v>
      </c>
      <c r="M1062" s="283">
        <f>IF(ISBLANK(INDEX('Policy Characteristics'!G:G,MATCH($C1062,'Policy Characteristics'!$C:$C,0))),"",INDEX('Policy Characteristics'!G:G,MATCH($C1062,'Policy Characteristics'!$C:$C,0)))</f>
        <v>0.25</v>
      </c>
      <c r="N1062" s="283">
        <f>IF(ISBLANK(INDEX('Policy Characteristics'!H:H,MATCH($C1062,'Policy Characteristics'!$C:$C,0))),"",INDEX('Policy Characteristics'!H:H,MATCH($C1062,'Policy Characteristics'!$C:$C,0)))</f>
        <v>0.01</v>
      </c>
      <c r="O1062" s="275" t="str">
        <f>IF(ISBLANK(INDEX('Policy Characteristics'!I:I,MATCH($C1062,'Policy Characteristics'!$C:$C,0))),"",INDEX('Policy Characteristics'!I:I,MATCH($C1062,'Policy Characteristics'!$C:$C,0)))</f>
        <v>% reduction in energy use</v>
      </c>
      <c r="P1062" s="275" t="str">
        <f>IF(ISBLANK(INDEX('Policy Characteristics'!J:J,MATCH($C1062,'Policy Characteristics'!$C:$C,0))),"",INDEX('Policy Characteristics'!J:J,MATCH($C1062,'Policy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2" s="275" t="str">
        <f>IF(ISBLANK(INDEX('Policy Characteristics'!K:K,MATCH($C1062,'Policy Characteristics'!$C:$C,0))),"",INDEX('Policy Characteristics'!K:K,MATCH($C1062,'Policy Characteristics'!$C:$C,0)))</f>
        <v>industry-ag-main.html#eff-stds</v>
      </c>
      <c r="R1062" s="275" t="str">
        <f>IF(ISBLANK(INDEX('Policy Characteristics'!L:L,MATCH($C1062,'Policy Characteristics'!$C:$C,0))),"",INDEX('Policy Characteristics'!L:L,MATCH($C1062,'Policy Characteristics'!$C:$C,0)))</f>
        <v>industry-energy-efficiency-standards.html</v>
      </c>
    </row>
    <row r="1063" spans="1:18" s="4" customFormat="1" x14ac:dyDescent="0.25">
      <c r="A1063" s="275" t="str">
        <f>IF(ISBLANK(INDEX('Policy Characteristics'!A:A,MATCH($C1063,'Policy Characteristics'!$C:$C,0))),"",INDEX('Policy Characteristics'!A:A,MATCH($C1063,'Policy Characteristics'!$C:$C,0)))</f>
        <v>Industry</v>
      </c>
      <c r="B1063" s="284" t="str">
        <f>IF(ISBLANK(INDEX('Policy Characteristics'!B:B,MATCH($C1063,'Policy Characteristics'!$C:$C,0))),"",INDEX('Policy Characteristics'!B:B,MATCH($C1063,'Policy Characteristics'!$C:$C,0)))</f>
        <v>Industry Energy Efficiency Standards</v>
      </c>
      <c r="C1063" s="275" t="str">
        <f t="shared" si="42"/>
        <v>Percentage Improvement in Eqpt Efficiency Standards above BAU</v>
      </c>
      <c r="D1063" s="6" t="s">
        <v>3079</v>
      </c>
      <c r="E1063" s="47" t="s">
        <v>2401</v>
      </c>
      <c r="F1063" t="s">
        <v>2582</v>
      </c>
      <c r="G1063" s="47" t="s">
        <v>2407</v>
      </c>
      <c r="H1063" s="44">
        <v>1048</v>
      </c>
      <c r="I1063" s="346" t="s">
        <v>43</v>
      </c>
      <c r="J1063" s="276" t="str">
        <f>IF(ISBLANK(INDEX('Policy Characteristics'!D:D,MATCH($C1063,'Policy Characteristics'!$C:$C,0))),"",INDEX('Policy Characteristics'!D:D,MATCH($C1063,'Policy Characteristics'!$C:$C,0)))</f>
        <v>Industry Energy Efficiency Standards</v>
      </c>
      <c r="K1063" s="275" t="str">
        <f>IF(ISBLANK(INDEX('Policy Characteristics'!E:E,MATCH($C1063,'Policy Characteristics'!$C:$C,0))),"",INDEX('Policy Characteristics'!E:E,MATCH($C1063,'Policy Characteristics'!$C:$C,0)))</f>
        <v>indst efficiency standards</v>
      </c>
      <c r="L1063" s="283">
        <f>IF(ISBLANK(INDEX('Policy Characteristics'!F:F,MATCH($C1063,'Policy Characteristics'!$C:$C,0))),"",INDEX('Policy Characteristics'!F:F,MATCH($C1063,'Policy Characteristics'!$C:$C,0)))</f>
        <v>0</v>
      </c>
      <c r="M1063" s="283">
        <f>IF(ISBLANK(INDEX('Policy Characteristics'!G:G,MATCH($C1063,'Policy Characteristics'!$C:$C,0))),"",INDEX('Policy Characteristics'!G:G,MATCH($C1063,'Policy Characteristics'!$C:$C,0)))</f>
        <v>0.25</v>
      </c>
      <c r="N1063" s="283">
        <f>IF(ISBLANK(INDEX('Policy Characteristics'!H:H,MATCH($C1063,'Policy Characteristics'!$C:$C,0))),"",INDEX('Policy Characteristics'!H:H,MATCH($C1063,'Policy Characteristics'!$C:$C,0)))</f>
        <v>0.01</v>
      </c>
      <c r="O1063" s="275" t="str">
        <f>IF(ISBLANK(INDEX('Policy Characteristics'!I:I,MATCH($C1063,'Policy Characteristics'!$C:$C,0))),"",INDEX('Policy Characteristics'!I:I,MATCH($C1063,'Policy Characteristics'!$C:$C,0)))</f>
        <v>% reduction in energy use</v>
      </c>
      <c r="P1063" s="275" t="str">
        <f>IF(ISBLANK(INDEX('Policy Characteristics'!J:J,MATCH($C1063,'Policy Characteristics'!$C:$C,0))),"",INDEX('Policy Characteristics'!J:J,MATCH($C1063,'Policy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3" s="275" t="str">
        <f>IF(ISBLANK(INDEX('Policy Characteristics'!K:K,MATCH($C1063,'Policy Characteristics'!$C:$C,0))),"",INDEX('Policy Characteristics'!K:K,MATCH($C1063,'Policy Characteristics'!$C:$C,0)))</f>
        <v>industry-ag-main.html#eff-stds</v>
      </c>
      <c r="R1063" s="275" t="str">
        <f>IF(ISBLANK(INDEX('Policy Characteristics'!L:L,MATCH($C1063,'Policy Characteristics'!$C:$C,0))),"",INDEX('Policy Characteristics'!L:L,MATCH($C1063,'Policy Characteristics'!$C:$C,0)))</f>
        <v>industry-energy-efficiency-standards.html</v>
      </c>
    </row>
    <row r="1064" spans="1:18" s="4" customFormat="1" x14ac:dyDescent="0.25">
      <c r="A1064" s="275" t="str">
        <f>IF(ISBLANK(INDEX('Policy Characteristics'!A:A,MATCH($C1064,'Policy Characteristics'!$C:$C,0))),"",INDEX('Policy Characteristics'!A:A,MATCH($C1064,'Policy Characteristics'!$C:$C,0)))</f>
        <v>Industry</v>
      </c>
      <c r="B1064" s="284" t="str">
        <f>IF(ISBLANK(INDEX('Policy Characteristics'!B:B,MATCH($C1064,'Policy Characteristics'!$C:$C,0))),"",INDEX('Policy Characteristics'!B:B,MATCH($C1064,'Policy Characteristics'!$C:$C,0)))</f>
        <v>Industry Energy Efficiency Standards</v>
      </c>
      <c r="C1064" s="275" t="str">
        <f t="shared" si="42"/>
        <v>Percentage Improvement in Eqpt Efficiency Standards above BAU</v>
      </c>
      <c r="D1064" s="6" t="s">
        <v>3079</v>
      </c>
      <c r="E1064" s="47" t="s">
        <v>2402</v>
      </c>
      <c r="F1064" t="s">
        <v>2582</v>
      </c>
      <c r="G1064" s="47" t="s">
        <v>2410</v>
      </c>
      <c r="H1064" s="44">
        <v>1049</v>
      </c>
      <c r="I1064" s="346" t="s">
        <v>43</v>
      </c>
      <c r="J1064" s="276" t="str">
        <f>IF(ISBLANK(INDEX('Policy Characteristics'!D:D,MATCH($C1064,'Policy Characteristics'!$C:$C,0))),"",INDEX('Policy Characteristics'!D:D,MATCH($C1064,'Policy Characteristics'!$C:$C,0)))</f>
        <v>Industry Energy Efficiency Standards</v>
      </c>
      <c r="K1064" s="275" t="str">
        <f>IF(ISBLANK(INDEX('Policy Characteristics'!E:E,MATCH($C1064,'Policy Characteristics'!$C:$C,0))),"",INDEX('Policy Characteristics'!E:E,MATCH($C1064,'Policy Characteristics'!$C:$C,0)))</f>
        <v>indst efficiency standards</v>
      </c>
      <c r="L1064" s="283">
        <f>IF(ISBLANK(INDEX('Policy Characteristics'!F:F,MATCH($C1064,'Policy Characteristics'!$C:$C,0))),"",INDEX('Policy Characteristics'!F:F,MATCH($C1064,'Policy Characteristics'!$C:$C,0)))</f>
        <v>0</v>
      </c>
      <c r="M1064" s="283">
        <f>IF(ISBLANK(INDEX('Policy Characteristics'!G:G,MATCH($C1064,'Policy Characteristics'!$C:$C,0))),"",INDEX('Policy Characteristics'!G:G,MATCH($C1064,'Policy Characteristics'!$C:$C,0)))</f>
        <v>0.25</v>
      </c>
      <c r="N1064" s="283">
        <f>IF(ISBLANK(INDEX('Policy Characteristics'!H:H,MATCH($C1064,'Policy Characteristics'!$C:$C,0))),"",INDEX('Policy Characteristics'!H:H,MATCH($C1064,'Policy Characteristics'!$C:$C,0)))</f>
        <v>0.01</v>
      </c>
      <c r="O1064" s="275" t="str">
        <f>IF(ISBLANK(INDEX('Policy Characteristics'!I:I,MATCH($C1064,'Policy Characteristics'!$C:$C,0))),"",INDEX('Policy Characteristics'!I:I,MATCH($C1064,'Policy Characteristics'!$C:$C,0)))</f>
        <v>% reduction in energy use</v>
      </c>
      <c r="P1064" s="275" t="str">
        <f>IF(ISBLANK(INDEX('Policy Characteristics'!J:J,MATCH($C1064,'Policy Characteristics'!$C:$C,0))),"",INDEX('Policy Characteristics'!J:J,MATCH($C1064,'Policy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4" s="275" t="str">
        <f>IF(ISBLANK(INDEX('Policy Characteristics'!K:K,MATCH($C1064,'Policy Characteristics'!$C:$C,0))),"",INDEX('Policy Characteristics'!K:K,MATCH($C1064,'Policy Characteristics'!$C:$C,0)))</f>
        <v>industry-ag-main.html#eff-stds</v>
      </c>
      <c r="R1064" s="275" t="str">
        <f>IF(ISBLANK(INDEX('Policy Characteristics'!L:L,MATCH($C1064,'Policy Characteristics'!$C:$C,0))),"",INDEX('Policy Characteristics'!L:L,MATCH($C1064,'Policy Characteristics'!$C:$C,0)))</f>
        <v>industry-energy-efficiency-standards.html</v>
      </c>
    </row>
    <row r="1065" spans="1:18" s="4" customFormat="1" x14ac:dyDescent="0.25">
      <c r="A1065" s="275" t="str">
        <f>IF(ISBLANK(INDEX('Policy Characteristics'!A:A,MATCH($C1065,'Policy Characteristics'!$C:$C,0))),"",INDEX('Policy Characteristics'!A:A,MATCH($C1065,'Policy Characteristics'!$C:$C,0)))</f>
        <v>Industry</v>
      </c>
      <c r="B1065" s="284" t="str">
        <f>IF(ISBLANK(INDEX('Policy Characteristics'!B:B,MATCH($C1065,'Policy Characteristics'!$C:$C,0))),"",INDEX('Policy Characteristics'!B:B,MATCH($C1065,'Policy Characteristics'!$C:$C,0)))</f>
        <v>Industry Energy Efficiency Standards</v>
      </c>
      <c r="C1065" s="275" t="str">
        <f t="shared" si="42"/>
        <v>Percentage Improvement in Eqpt Efficiency Standards above BAU</v>
      </c>
      <c r="D1065" s="6" t="s">
        <v>3079</v>
      </c>
      <c r="E1065" s="47" t="s">
        <v>2403</v>
      </c>
      <c r="F1065" t="s">
        <v>2582</v>
      </c>
      <c r="G1065" s="47" t="s">
        <v>2411</v>
      </c>
      <c r="H1065" s="44">
        <v>1050</v>
      </c>
      <c r="I1065" s="346" t="s">
        <v>43</v>
      </c>
      <c r="J1065" s="276" t="str">
        <f>IF(ISBLANK(INDEX('Policy Characteristics'!D:D,MATCH($C1065,'Policy Characteristics'!$C:$C,0))),"",INDEX('Policy Characteristics'!D:D,MATCH($C1065,'Policy Characteristics'!$C:$C,0)))</f>
        <v>Industry Energy Efficiency Standards</v>
      </c>
      <c r="K1065" s="275" t="str">
        <f>IF(ISBLANK(INDEX('Policy Characteristics'!E:E,MATCH($C1065,'Policy Characteristics'!$C:$C,0))),"",INDEX('Policy Characteristics'!E:E,MATCH($C1065,'Policy Characteristics'!$C:$C,0)))</f>
        <v>indst efficiency standards</v>
      </c>
      <c r="L1065" s="283">
        <f>IF(ISBLANK(INDEX('Policy Characteristics'!F:F,MATCH($C1065,'Policy Characteristics'!$C:$C,0))),"",INDEX('Policy Characteristics'!F:F,MATCH($C1065,'Policy Characteristics'!$C:$C,0)))</f>
        <v>0</v>
      </c>
      <c r="M1065" s="283">
        <f>IF(ISBLANK(INDEX('Policy Characteristics'!G:G,MATCH($C1065,'Policy Characteristics'!$C:$C,0))),"",INDEX('Policy Characteristics'!G:G,MATCH($C1065,'Policy Characteristics'!$C:$C,0)))</f>
        <v>0.25</v>
      </c>
      <c r="N1065" s="283">
        <f>IF(ISBLANK(INDEX('Policy Characteristics'!H:H,MATCH($C1065,'Policy Characteristics'!$C:$C,0))),"",INDEX('Policy Characteristics'!H:H,MATCH($C1065,'Policy Characteristics'!$C:$C,0)))</f>
        <v>0.01</v>
      </c>
      <c r="O1065" s="275" t="str">
        <f>IF(ISBLANK(INDEX('Policy Characteristics'!I:I,MATCH($C1065,'Policy Characteristics'!$C:$C,0))),"",INDEX('Policy Characteristics'!I:I,MATCH($C1065,'Policy Characteristics'!$C:$C,0)))</f>
        <v>% reduction in energy use</v>
      </c>
      <c r="P1065" s="275" t="str">
        <f>IF(ISBLANK(INDEX('Policy Characteristics'!J:J,MATCH($C1065,'Policy Characteristics'!$C:$C,0))),"",INDEX('Policy Characteristics'!J:J,MATCH($C1065,'Policy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5" s="275" t="str">
        <f>IF(ISBLANK(INDEX('Policy Characteristics'!K:K,MATCH($C1065,'Policy Characteristics'!$C:$C,0))),"",INDEX('Policy Characteristics'!K:K,MATCH($C1065,'Policy Characteristics'!$C:$C,0)))</f>
        <v>industry-ag-main.html#eff-stds</v>
      </c>
      <c r="R1065" s="275" t="str">
        <f>IF(ISBLANK(INDEX('Policy Characteristics'!L:L,MATCH($C1065,'Policy Characteristics'!$C:$C,0))),"",INDEX('Policy Characteristics'!L:L,MATCH($C1065,'Policy Characteristics'!$C:$C,0)))</f>
        <v>industry-energy-efficiency-standards.html</v>
      </c>
    </row>
    <row r="1066" spans="1:18" s="4" customFormat="1" x14ac:dyDescent="0.25">
      <c r="A1066" s="275" t="str">
        <f>IF(ISBLANK(INDEX('Policy Characteristics'!A:A,MATCH($C1066,'Policy Characteristics'!$C:$C,0))),"",INDEX('Policy Characteristics'!A:A,MATCH($C1066,'Policy Characteristics'!$C:$C,0)))</f>
        <v>Industry</v>
      </c>
      <c r="B1066" s="284" t="str">
        <f>IF(ISBLANK(INDEX('Policy Characteristics'!B:B,MATCH($C1066,'Policy Characteristics'!$C:$C,0))),"",INDEX('Policy Characteristics'!B:B,MATCH($C1066,'Policy Characteristics'!$C:$C,0)))</f>
        <v>Industry Energy Efficiency Standards</v>
      </c>
      <c r="C1066" s="275" t="str">
        <f t="shared" si="42"/>
        <v>Percentage Improvement in Eqpt Efficiency Standards above BAU</v>
      </c>
      <c r="D1066" s="6" t="s">
        <v>3079</v>
      </c>
      <c r="E1066" s="47" t="s">
        <v>2404</v>
      </c>
      <c r="F1066" t="s">
        <v>2582</v>
      </c>
      <c r="G1066" s="47" t="s">
        <v>2408</v>
      </c>
      <c r="H1066" s="44">
        <v>1051</v>
      </c>
      <c r="I1066" s="346" t="s">
        <v>44</v>
      </c>
      <c r="J1066" s="276" t="str">
        <f>IF(ISBLANK(INDEX('Policy Characteristics'!D:D,MATCH($C1066,'Policy Characteristics'!$C:$C,0))),"",INDEX('Policy Characteristics'!D:D,MATCH($C1066,'Policy Characteristics'!$C:$C,0)))</f>
        <v>Industry Energy Efficiency Standards</v>
      </c>
      <c r="K1066" s="275" t="str">
        <f>IF(ISBLANK(INDEX('Policy Characteristics'!E:E,MATCH($C1066,'Policy Characteristics'!$C:$C,0))),"",INDEX('Policy Characteristics'!E:E,MATCH($C1066,'Policy Characteristics'!$C:$C,0)))</f>
        <v>indst efficiency standards</v>
      </c>
      <c r="L1066" s="283">
        <f>IF(ISBLANK(INDEX('Policy Characteristics'!F:F,MATCH($C1066,'Policy Characteristics'!$C:$C,0))),"",INDEX('Policy Characteristics'!F:F,MATCH($C1066,'Policy Characteristics'!$C:$C,0)))</f>
        <v>0</v>
      </c>
      <c r="M1066" s="283">
        <f>IF(ISBLANK(INDEX('Policy Characteristics'!G:G,MATCH($C1066,'Policy Characteristics'!$C:$C,0))),"",INDEX('Policy Characteristics'!G:G,MATCH($C1066,'Policy Characteristics'!$C:$C,0)))</f>
        <v>0.25</v>
      </c>
      <c r="N1066" s="283">
        <f>IF(ISBLANK(INDEX('Policy Characteristics'!H:H,MATCH($C1066,'Policy Characteristics'!$C:$C,0))),"",INDEX('Policy Characteristics'!H:H,MATCH($C1066,'Policy Characteristics'!$C:$C,0)))</f>
        <v>0.01</v>
      </c>
      <c r="O1066" s="275" t="str">
        <f>IF(ISBLANK(INDEX('Policy Characteristics'!I:I,MATCH($C1066,'Policy Characteristics'!$C:$C,0))),"",INDEX('Policy Characteristics'!I:I,MATCH($C1066,'Policy Characteristics'!$C:$C,0)))</f>
        <v>% reduction in energy use</v>
      </c>
      <c r="P1066" s="275" t="str">
        <f>IF(ISBLANK(INDEX('Policy Characteristics'!J:J,MATCH($C1066,'Policy Characteristics'!$C:$C,0))),"",INDEX('Policy Characteristics'!J:J,MATCH($C1066,'Policy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6" s="275" t="str">
        <f>IF(ISBLANK(INDEX('Policy Characteristics'!K:K,MATCH($C1066,'Policy Characteristics'!$C:$C,0))),"",INDEX('Policy Characteristics'!K:K,MATCH($C1066,'Policy Characteristics'!$C:$C,0)))</f>
        <v>industry-ag-main.html#eff-stds</v>
      </c>
      <c r="R1066" s="275" t="str">
        <f>IF(ISBLANK(INDEX('Policy Characteristics'!L:L,MATCH($C1066,'Policy Characteristics'!$C:$C,0))),"",INDEX('Policy Characteristics'!L:L,MATCH($C1066,'Policy Characteristics'!$C:$C,0)))</f>
        <v>industry-energy-efficiency-standards.html</v>
      </c>
    </row>
    <row r="1067" spans="1:18" s="4" customFormat="1" x14ac:dyDescent="0.25">
      <c r="A1067" s="275" t="str">
        <f>IF(ISBLANK(INDEX('Policy Characteristics'!A:A,MATCH($C1067,'Policy Characteristics'!$C:$C,0))),"",INDEX('Policy Characteristics'!A:A,MATCH($C1067,'Policy Characteristics'!$C:$C,0)))</f>
        <v>Industry</v>
      </c>
      <c r="B1067" s="284" t="str">
        <f>IF(ISBLANK(INDEX('Policy Characteristics'!B:B,MATCH($C1067,'Policy Characteristics'!$C:$C,0))),"",INDEX('Policy Characteristics'!B:B,MATCH($C1067,'Policy Characteristics'!$C:$C,0)))</f>
        <v>Industry Energy Efficiency Standards</v>
      </c>
      <c r="C1067" s="275" t="str">
        <f t="shared" si="42"/>
        <v>Percentage Improvement in Eqpt Efficiency Standards above BAU</v>
      </c>
      <c r="D1067" s="6" t="s">
        <v>3079</v>
      </c>
      <c r="E1067" s="47" t="s">
        <v>2405</v>
      </c>
      <c r="F1067" t="s">
        <v>2582</v>
      </c>
      <c r="G1067" s="47" t="s">
        <v>2409</v>
      </c>
      <c r="H1067" s="44">
        <v>1052</v>
      </c>
      <c r="I1067" s="346" t="s">
        <v>43</v>
      </c>
      <c r="J1067" s="276" t="str">
        <f>IF(ISBLANK(INDEX('Policy Characteristics'!D:D,MATCH($C1067,'Policy Characteristics'!$C:$C,0))),"",INDEX('Policy Characteristics'!D:D,MATCH($C1067,'Policy Characteristics'!$C:$C,0)))</f>
        <v>Industry Energy Efficiency Standards</v>
      </c>
      <c r="K1067" s="275" t="str">
        <f>IF(ISBLANK(INDEX('Policy Characteristics'!E:E,MATCH($C1067,'Policy Characteristics'!$C:$C,0))),"",INDEX('Policy Characteristics'!E:E,MATCH($C1067,'Policy Characteristics'!$C:$C,0)))</f>
        <v>indst efficiency standards</v>
      </c>
      <c r="L1067" s="283">
        <f>IF(ISBLANK(INDEX('Policy Characteristics'!F:F,MATCH($C1067,'Policy Characteristics'!$C:$C,0))),"",INDEX('Policy Characteristics'!F:F,MATCH($C1067,'Policy Characteristics'!$C:$C,0)))</f>
        <v>0</v>
      </c>
      <c r="M1067" s="283">
        <f>IF(ISBLANK(INDEX('Policy Characteristics'!G:G,MATCH($C1067,'Policy Characteristics'!$C:$C,0))),"",INDEX('Policy Characteristics'!G:G,MATCH($C1067,'Policy Characteristics'!$C:$C,0)))</f>
        <v>0.25</v>
      </c>
      <c r="N1067" s="283">
        <f>IF(ISBLANK(INDEX('Policy Characteristics'!H:H,MATCH($C1067,'Policy Characteristics'!$C:$C,0))),"",INDEX('Policy Characteristics'!H:H,MATCH($C1067,'Policy Characteristics'!$C:$C,0)))</f>
        <v>0.01</v>
      </c>
      <c r="O1067" s="275" t="str">
        <f>IF(ISBLANK(INDEX('Policy Characteristics'!I:I,MATCH($C1067,'Policy Characteristics'!$C:$C,0))),"",INDEX('Policy Characteristics'!I:I,MATCH($C1067,'Policy Characteristics'!$C:$C,0)))</f>
        <v>% reduction in energy use</v>
      </c>
      <c r="P1067" s="275" t="str">
        <f>IF(ISBLANK(INDEX('Policy Characteristics'!J:J,MATCH($C1067,'Policy Characteristics'!$C:$C,0))),"",INDEX('Policy Characteristics'!J:J,MATCH($C1067,'Policy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7" s="275" t="str">
        <f>IF(ISBLANK(INDEX('Policy Characteristics'!K:K,MATCH($C1067,'Policy Characteristics'!$C:$C,0))),"",INDEX('Policy Characteristics'!K:K,MATCH($C1067,'Policy Characteristics'!$C:$C,0)))</f>
        <v>industry-ag-main.html#eff-stds</v>
      </c>
      <c r="R1067" s="275" t="str">
        <f>IF(ISBLANK(INDEX('Policy Characteristics'!L:L,MATCH($C1067,'Policy Characteristics'!$C:$C,0))),"",INDEX('Policy Characteristics'!L:L,MATCH($C1067,'Policy Characteristics'!$C:$C,0)))</f>
        <v>industry-energy-efficiency-standards.html</v>
      </c>
    </row>
    <row r="1068" spans="1:18" s="4" customFormat="1" x14ac:dyDescent="0.25">
      <c r="A1068" s="275" t="str">
        <f>IF(ISBLANK(INDEX('Policy Characteristics'!A:A,MATCH($C1068,'Policy Characteristics'!$C:$C,0))),"",INDEX('Policy Characteristics'!A:A,MATCH($C1068,'Policy Characteristics'!$C:$C,0)))</f>
        <v>Industry</v>
      </c>
      <c r="B1068" s="284" t="str">
        <f>IF(ISBLANK(INDEX('Policy Characteristics'!B:B,MATCH($C1068,'Policy Characteristics'!$C:$C,0))),"",INDEX('Policy Characteristics'!B:B,MATCH($C1068,'Policy Characteristics'!$C:$C,0)))</f>
        <v>Industry Energy Efficiency Standards</v>
      </c>
      <c r="C1068" s="275" t="str">
        <f t="shared" si="42"/>
        <v>Percentage Improvement in Eqpt Efficiency Standards above BAU</v>
      </c>
      <c r="D1068" s="6" t="s">
        <v>3079</v>
      </c>
      <c r="E1068" s="47" t="s">
        <v>2406</v>
      </c>
      <c r="F1068" t="s">
        <v>2582</v>
      </c>
      <c r="G1068" s="47" t="s">
        <v>2412</v>
      </c>
      <c r="H1068" s="44">
        <v>1053</v>
      </c>
      <c r="I1068" s="346" t="s">
        <v>44</v>
      </c>
      <c r="J1068" s="276" t="str">
        <f>IF(ISBLANK(INDEX('Policy Characteristics'!D:D,MATCH($C1068,'Policy Characteristics'!$C:$C,0))),"",INDEX('Policy Characteristics'!D:D,MATCH($C1068,'Policy Characteristics'!$C:$C,0)))</f>
        <v>Industry Energy Efficiency Standards</v>
      </c>
      <c r="K1068" s="275" t="str">
        <f>IF(ISBLANK(INDEX('Policy Characteristics'!E:E,MATCH($C1068,'Policy Characteristics'!$C:$C,0))),"",INDEX('Policy Characteristics'!E:E,MATCH($C1068,'Policy Characteristics'!$C:$C,0)))</f>
        <v>indst efficiency standards</v>
      </c>
      <c r="L1068" s="283">
        <f>IF(ISBLANK(INDEX('Policy Characteristics'!F:F,MATCH($C1068,'Policy Characteristics'!$C:$C,0))),"",INDEX('Policy Characteristics'!F:F,MATCH($C1068,'Policy Characteristics'!$C:$C,0)))</f>
        <v>0</v>
      </c>
      <c r="M1068" s="283">
        <f>IF(ISBLANK(INDEX('Policy Characteristics'!G:G,MATCH($C1068,'Policy Characteristics'!$C:$C,0))),"",INDEX('Policy Characteristics'!G:G,MATCH($C1068,'Policy Characteristics'!$C:$C,0)))</f>
        <v>0.25</v>
      </c>
      <c r="N1068" s="283">
        <f>IF(ISBLANK(INDEX('Policy Characteristics'!H:H,MATCH($C1068,'Policy Characteristics'!$C:$C,0))),"",INDEX('Policy Characteristics'!H:H,MATCH($C1068,'Policy Characteristics'!$C:$C,0)))</f>
        <v>0.01</v>
      </c>
      <c r="O1068" s="275" t="str">
        <f>IF(ISBLANK(INDEX('Policy Characteristics'!I:I,MATCH($C1068,'Policy Characteristics'!$C:$C,0))),"",INDEX('Policy Characteristics'!I:I,MATCH($C1068,'Policy Characteristics'!$C:$C,0)))</f>
        <v>% reduction in energy use</v>
      </c>
      <c r="P1068" s="275" t="str">
        <f>IF(ISBLANK(INDEX('Policy Characteristics'!J:J,MATCH($C1068,'Policy Characteristics'!$C:$C,0))),"",INDEX('Policy Characteristics'!J:J,MATCH($C1068,'Policy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8" s="275" t="str">
        <f>IF(ISBLANK(INDEX('Policy Characteristics'!K:K,MATCH($C1068,'Policy Characteristics'!$C:$C,0))),"",INDEX('Policy Characteristics'!K:K,MATCH($C1068,'Policy Characteristics'!$C:$C,0)))</f>
        <v>industry-ag-main.html#eff-stds</v>
      </c>
      <c r="R1068" s="275" t="str">
        <f>IF(ISBLANK(INDEX('Policy Characteristics'!L:L,MATCH($C1068,'Policy Characteristics'!$C:$C,0))),"",INDEX('Policy Characteristics'!L:L,MATCH($C1068,'Policy Characteristics'!$C:$C,0)))</f>
        <v>industry-energy-efficiency-standards.html</v>
      </c>
    </row>
    <row r="1069" spans="1:18" s="4" customFormat="1" x14ac:dyDescent="0.25">
      <c r="A1069" s="275" t="str">
        <f>IF(ISBLANK(INDEX('Policy Characteristics'!A:A,MATCH($C1069,'Policy Characteristics'!$C:$C,0))),"",INDEX('Policy Characteristics'!A:A,MATCH($C1069,'Policy Characteristics'!$C:$C,0)))</f>
        <v>Industry</v>
      </c>
      <c r="B1069" s="284" t="str">
        <f>IF(ISBLANK(INDEX('Policy Characteristics'!B:B,MATCH($C1069,'Policy Characteristics'!$C:$C,0))),"",INDEX('Policy Characteristics'!B:B,MATCH($C1069,'Policy Characteristics'!$C:$C,0)))</f>
        <v>Industry Energy Efficiency Standards</v>
      </c>
      <c r="C1069" s="275" t="str">
        <f t="shared" si="42"/>
        <v>Percentage Improvement in Eqpt Efficiency Standards above BAU</v>
      </c>
      <c r="D1069" s="6" t="s">
        <v>3079</v>
      </c>
      <c r="E1069" s="47" t="s">
        <v>2709</v>
      </c>
      <c r="F1069" t="s">
        <v>2582</v>
      </c>
      <c r="G1069" s="47" t="s">
        <v>2712</v>
      </c>
      <c r="H1069" s="44">
        <v>1054</v>
      </c>
      <c r="I1069" s="346" t="s">
        <v>44</v>
      </c>
      <c r="J1069" s="276" t="str">
        <f>IF(ISBLANK(INDEX('Policy Characteristics'!D:D,MATCH($C1069,'Policy Characteristics'!$C:$C,0))),"",INDEX('Policy Characteristics'!D:D,MATCH($C1069,'Policy Characteristics'!$C:$C,0)))</f>
        <v>Industry Energy Efficiency Standards</v>
      </c>
      <c r="K1069" s="275" t="str">
        <f>IF(ISBLANK(INDEX('Policy Characteristics'!E:E,MATCH($C1069,'Policy Characteristics'!$C:$C,0))),"",INDEX('Policy Characteristics'!E:E,MATCH($C1069,'Policy Characteristics'!$C:$C,0)))</f>
        <v>indst efficiency standards</v>
      </c>
      <c r="L1069" s="283">
        <f>IF(ISBLANK(INDEX('Policy Characteristics'!F:F,MATCH($C1069,'Policy Characteristics'!$C:$C,0))),"",INDEX('Policy Characteristics'!F:F,MATCH($C1069,'Policy Characteristics'!$C:$C,0)))</f>
        <v>0</v>
      </c>
      <c r="M1069" s="283">
        <f>IF(ISBLANK(INDEX('Policy Characteristics'!G:G,MATCH($C1069,'Policy Characteristics'!$C:$C,0))),"",INDEX('Policy Characteristics'!G:G,MATCH($C1069,'Policy Characteristics'!$C:$C,0)))</f>
        <v>0.25</v>
      </c>
      <c r="N1069" s="283">
        <f>IF(ISBLANK(INDEX('Policy Characteristics'!H:H,MATCH($C1069,'Policy Characteristics'!$C:$C,0))),"",INDEX('Policy Characteristics'!H:H,MATCH($C1069,'Policy Characteristics'!$C:$C,0)))</f>
        <v>0.01</v>
      </c>
      <c r="O1069" s="275" t="str">
        <f>IF(ISBLANK(INDEX('Policy Characteristics'!I:I,MATCH($C1069,'Policy Characteristics'!$C:$C,0))),"",INDEX('Policy Characteristics'!I:I,MATCH($C1069,'Policy Characteristics'!$C:$C,0)))</f>
        <v>% reduction in energy use</v>
      </c>
      <c r="P1069" s="275" t="str">
        <f>IF(ISBLANK(INDEX('Policy Characteristics'!J:J,MATCH($C1069,'Policy Characteristics'!$C:$C,0))),"",INDEX('Policy Characteristics'!J:J,MATCH($C1069,'Policy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9" s="275" t="str">
        <f>IF(ISBLANK(INDEX('Policy Characteristics'!K:K,MATCH($C1069,'Policy Characteristics'!$C:$C,0))),"",INDEX('Policy Characteristics'!K:K,MATCH($C1069,'Policy Characteristics'!$C:$C,0)))</f>
        <v>industry-ag-main.html#eff-stds</v>
      </c>
      <c r="R1069" s="275" t="str">
        <f>IF(ISBLANK(INDEX('Policy Characteristics'!L:L,MATCH($C1069,'Policy Characteristics'!$C:$C,0))),"",INDEX('Policy Characteristics'!L:L,MATCH($C1069,'Policy Characteristics'!$C:$C,0)))</f>
        <v>industry-energy-efficiency-standards.html</v>
      </c>
    </row>
    <row r="1070" spans="1:18" s="4" customFormat="1" x14ac:dyDescent="0.25">
      <c r="A1070" s="275" t="str">
        <f>IF(ISBLANK(INDEX('Policy Characteristics'!A:A,MATCH($C1070,'Policy Characteristics'!$C:$C,0))),"",INDEX('Policy Characteristics'!A:A,MATCH($C1070,'Policy Characteristics'!$C:$C,0)))</f>
        <v>Industry</v>
      </c>
      <c r="B1070" s="284" t="str">
        <f>IF(ISBLANK(INDEX('Policy Characteristics'!B:B,MATCH($C1070,'Policy Characteristics'!$C:$C,0))),"",INDEX('Policy Characteristics'!B:B,MATCH($C1070,'Policy Characteristics'!$C:$C,0)))</f>
        <v>Industry Energy Efficiency Standards</v>
      </c>
      <c r="C1070" s="275" t="str">
        <f t="shared" si="42"/>
        <v>Percentage Improvement in Eqpt Efficiency Standards above BAU</v>
      </c>
      <c r="D1070" s="6" t="s">
        <v>3079</v>
      </c>
      <c r="E1070" s="47" t="s">
        <v>2710</v>
      </c>
      <c r="F1070" t="s">
        <v>2582</v>
      </c>
      <c r="G1070" s="47" t="s">
        <v>2714</v>
      </c>
      <c r="H1070" s="44">
        <v>1055</v>
      </c>
      <c r="I1070" s="346" t="s">
        <v>43</v>
      </c>
      <c r="J1070" s="276" t="str">
        <f>IF(ISBLANK(INDEX('Policy Characteristics'!D:D,MATCH($C1070,'Policy Characteristics'!$C:$C,0))),"",INDEX('Policy Characteristics'!D:D,MATCH($C1070,'Policy Characteristics'!$C:$C,0)))</f>
        <v>Industry Energy Efficiency Standards</v>
      </c>
      <c r="K1070" s="275" t="str">
        <f>IF(ISBLANK(INDEX('Policy Characteristics'!E:E,MATCH($C1070,'Policy Characteristics'!$C:$C,0))),"",INDEX('Policy Characteristics'!E:E,MATCH($C1070,'Policy Characteristics'!$C:$C,0)))</f>
        <v>indst efficiency standards</v>
      </c>
      <c r="L1070" s="283">
        <f>IF(ISBLANK(INDEX('Policy Characteristics'!F:F,MATCH($C1070,'Policy Characteristics'!$C:$C,0))),"",INDEX('Policy Characteristics'!F:F,MATCH($C1070,'Policy Characteristics'!$C:$C,0)))</f>
        <v>0</v>
      </c>
      <c r="M1070" s="283">
        <f>IF(ISBLANK(INDEX('Policy Characteristics'!G:G,MATCH($C1070,'Policy Characteristics'!$C:$C,0))),"",INDEX('Policy Characteristics'!G:G,MATCH($C1070,'Policy Characteristics'!$C:$C,0)))</f>
        <v>0.25</v>
      </c>
      <c r="N1070" s="283">
        <f>IF(ISBLANK(INDEX('Policy Characteristics'!H:H,MATCH($C1070,'Policy Characteristics'!$C:$C,0))),"",INDEX('Policy Characteristics'!H:H,MATCH($C1070,'Policy Characteristics'!$C:$C,0)))</f>
        <v>0.01</v>
      </c>
      <c r="O1070" s="275" t="str">
        <f>IF(ISBLANK(INDEX('Policy Characteristics'!I:I,MATCH($C1070,'Policy Characteristics'!$C:$C,0))),"",INDEX('Policy Characteristics'!I:I,MATCH($C1070,'Policy Characteristics'!$C:$C,0)))</f>
        <v>% reduction in energy use</v>
      </c>
      <c r="P1070" s="275" t="str">
        <f>IF(ISBLANK(INDEX('Policy Characteristics'!J:J,MATCH($C1070,'Policy Characteristics'!$C:$C,0))),"",INDEX('Policy Characteristics'!J:J,MATCH($C1070,'Policy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0" s="275" t="str">
        <f>IF(ISBLANK(INDEX('Policy Characteristics'!K:K,MATCH($C1070,'Policy Characteristics'!$C:$C,0))),"",INDEX('Policy Characteristics'!K:K,MATCH($C1070,'Policy Characteristics'!$C:$C,0)))</f>
        <v>industry-ag-main.html#eff-stds</v>
      </c>
      <c r="R1070" s="275" t="str">
        <f>IF(ISBLANK(INDEX('Policy Characteristics'!L:L,MATCH($C1070,'Policy Characteristics'!$C:$C,0))),"",INDEX('Policy Characteristics'!L:L,MATCH($C1070,'Policy Characteristics'!$C:$C,0)))</f>
        <v>industry-energy-efficiency-standards.html</v>
      </c>
    </row>
    <row r="1071" spans="1:18" s="4" customFormat="1" x14ac:dyDescent="0.25">
      <c r="A1071" s="275" t="str">
        <f>IF(ISBLANK(INDEX('Policy Characteristics'!A:A,MATCH($C1071,'Policy Characteristics'!$C:$C,0))),"",INDEX('Policy Characteristics'!A:A,MATCH($C1071,'Policy Characteristics'!$C:$C,0)))</f>
        <v>Industry</v>
      </c>
      <c r="B1071" s="284" t="str">
        <f>IF(ISBLANK(INDEX('Policy Characteristics'!B:B,MATCH($C1071,'Policy Characteristics'!$C:$C,0))),"",INDEX('Policy Characteristics'!B:B,MATCH($C1071,'Policy Characteristics'!$C:$C,0)))</f>
        <v>Industry Energy Efficiency Standards</v>
      </c>
      <c r="C1071" s="275" t="str">
        <f t="shared" si="42"/>
        <v>Percentage Improvement in Eqpt Efficiency Standards above BAU</v>
      </c>
      <c r="D1071" s="6" t="s">
        <v>3079</v>
      </c>
      <c r="E1071" s="47" t="s">
        <v>2711</v>
      </c>
      <c r="F1071" t="s">
        <v>2582</v>
      </c>
      <c r="G1071" s="47" t="s">
        <v>2715</v>
      </c>
      <c r="H1071" s="44">
        <v>1056</v>
      </c>
      <c r="I1071" s="346" t="s">
        <v>43</v>
      </c>
      <c r="J1071" s="276" t="str">
        <f>IF(ISBLANK(INDEX('Policy Characteristics'!D:D,MATCH($C1071,'Policy Characteristics'!$C:$C,0))),"",INDEX('Policy Characteristics'!D:D,MATCH($C1071,'Policy Characteristics'!$C:$C,0)))</f>
        <v>Industry Energy Efficiency Standards</v>
      </c>
      <c r="K1071" s="275" t="str">
        <f>IF(ISBLANK(INDEX('Policy Characteristics'!E:E,MATCH($C1071,'Policy Characteristics'!$C:$C,0))),"",INDEX('Policy Characteristics'!E:E,MATCH($C1071,'Policy Characteristics'!$C:$C,0)))</f>
        <v>indst efficiency standards</v>
      </c>
      <c r="L1071" s="283">
        <f>IF(ISBLANK(INDEX('Policy Characteristics'!F:F,MATCH($C1071,'Policy Characteristics'!$C:$C,0))),"",INDEX('Policy Characteristics'!F:F,MATCH($C1071,'Policy Characteristics'!$C:$C,0)))</f>
        <v>0</v>
      </c>
      <c r="M1071" s="283">
        <f>IF(ISBLANK(INDEX('Policy Characteristics'!G:G,MATCH($C1071,'Policy Characteristics'!$C:$C,0))),"",INDEX('Policy Characteristics'!G:G,MATCH($C1071,'Policy Characteristics'!$C:$C,0)))</f>
        <v>0.25</v>
      </c>
      <c r="N1071" s="283">
        <f>IF(ISBLANK(INDEX('Policy Characteristics'!H:H,MATCH($C1071,'Policy Characteristics'!$C:$C,0))),"",INDEX('Policy Characteristics'!H:H,MATCH($C1071,'Policy Characteristics'!$C:$C,0)))</f>
        <v>0.01</v>
      </c>
      <c r="O1071" s="275" t="str">
        <f>IF(ISBLANK(INDEX('Policy Characteristics'!I:I,MATCH($C1071,'Policy Characteristics'!$C:$C,0))),"",INDEX('Policy Characteristics'!I:I,MATCH($C1071,'Policy Characteristics'!$C:$C,0)))</f>
        <v>% reduction in energy use</v>
      </c>
      <c r="P1071" s="275" t="str">
        <f>IF(ISBLANK(INDEX('Policy Characteristics'!J:J,MATCH($C1071,'Policy Characteristics'!$C:$C,0))),"",INDEX('Policy Characteristics'!J:J,MATCH($C1071,'Policy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1" s="275" t="str">
        <f>IF(ISBLANK(INDEX('Policy Characteristics'!K:K,MATCH($C1071,'Policy Characteristics'!$C:$C,0))),"",INDEX('Policy Characteristics'!K:K,MATCH($C1071,'Policy Characteristics'!$C:$C,0)))</f>
        <v>industry-ag-main.html#eff-stds</v>
      </c>
      <c r="R1071" s="275" t="str">
        <f>IF(ISBLANK(INDEX('Policy Characteristics'!L:L,MATCH($C1071,'Policy Characteristics'!$C:$C,0))),"",INDEX('Policy Characteristics'!L:L,MATCH($C1071,'Policy Characteristics'!$C:$C,0)))</f>
        <v>industry-energy-efficiency-standards.html</v>
      </c>
    </row>
    <row r="1072" spans="1:18" s="4" customFormat="1" x14ac:dyDescent="0.25">
      <c r="A1072" s="275" t="str">
        <f>IF(ISBLANK(INDEX('Policy Characteristics'!A:A,MATCH($C1072,'Policy Characteristics'!$C:$C,0))),"",INDEX('Policy Characteristics'!A:A,MATCH($C1072,'Policy Characteristics'!$C:$C,0)))</f>
        <v>Industry</v>
      </c>
      <c r="B1072" s="284" t="str">
        <f>IF(ISBLANK(INDEX('Policy Characteristics'!B:B,MATCH($C1072,'Policy Characteristics'!$C:$C,0))),"",INDEX('Policy Characteristics'!B:B,MATCH($C1072,'Policy Characteristics'!$C:$C,0)))</f>
        <v>Industry Energy Efficiency Standards</v>
      </c>
      <c r="C1072" s="275" t="str">
        <f t="shared" si="42"/>
        <v>Percentage Improvement in Eqpt Efficiency Standards above BAU</v>
      </c>
      <c r="D1072" s="6" t="s">
        <v>3079</v>
      </c>
      <c r="E1072" s="47" t="s">
        <v>2708</v>
      </c>
      <c r="F1072" t="s">
        <v>2582</v>
      </c>
      <c r="G1072" s="47" t="s">
        <v>2713</v>
      </c>
      <c r="H1072" s="44">
        <v>1057</v>
      </c>
      <c r="I1072" s="346" t="s">
        <v>44</v>
      </c>
      <c r="J1072" s="276" t="str">
        <f>IF(ISBLANK(INDEX('Policy Characteristics'!D:D,MATCH($C1072,'Policy Characteristics'!$C:$C,0))),"",INDEX('Policy Characteristics'!D:D,MATCH($C1072,'Policy Characteristics'!$C:$C,0)))</f>
        <v>Industry Energy Efficiency Standards</v>
      </c>
      <c r="K1072" s="275" t="str">
        <f>IF(ISBLANK(INDEX('Policy Characteristics'!E:E,MATCH($C1072,'Policy Characteristics'!$C:$C,0))),"",INDEX('Policy Characteristics'!E:E,MATCH($C1072,'Policy Characteristics'!$C:$C,0)))</f>
        <v>indst efficiency standards</v>
      </c>
      <c r="L1072" s="283">
        <f>IF(ISBLANK(INDEX('Policy Characteristics'!F:F,MATCH($C1072,'Policy Characteristics'!$C:$C,0))),"",INDEX('Policy Characteristics'!F:F,MATCH($C1072,'Policy Characteristics'!$C:$C,0)))</f>
        <v>0</v>
      </c>
      <c r="M1072" s="283">
        <f>IF(ISBLANK(INDEX('Policy Characteristics'!G:G,MATCH($C1072,'Policy Characteristics'!$C:$C,0))),"",INDEX('Policy Characteristics'!G:G,MATCH($C1072,'Policy Characteristics'!$C:$C,0)))</f>
        <v>0.25</v>
      </c>
      <c r="N1072" s="283">
        <f>IF(ISBLANK(INDEX('Policy Characteristics'!H:H,MATCH($C1072,'Policy Characteristics'!$C:$C,0))),"",INDEX('Policy Characteristics'!H:H,MATCH($C1072,'Policy Characteristics'!$C:$C,0)))</f>
        <v>0.01</v>
      </c>
      <c r="O1072" s="275" t="str">
        <f>IF(ISBLANK(INDEX('Policy Characteristics'!I:I,MATCH($C1072,'Policy Characteristics'!$C:$C,0))),"",INDEX('Policy Characteristics'!I:I,MATCH($C1072,'Policy Characteristics'!$C:$C,0)))</f>
        <v>% reduction in energy use</v>
      </c>
      <c r="P1072" s="275" t="str">
        <f>IF(ISBLANK(INDEX('Policy Characteristics'!J:J,MATCH($C1072,'Policy Characteristics'!$C:$C,0))),"",INDEX('Policy Characteristics'!J:J,MATCH($C1072,'Policy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2" s="275" t="str">
        <f>IF(ISBLANK(INDEX('Policy Characteristics'!K:K,MATCH($C1072,'Policy Characteristics'!$C:$C,0))),"",INDEX('Policy Characteristics'!K:K,MATCH($C1072,'Policy Characteristics'!$C:$C,0)))</f>
        <v>industry-ag-main.html#eff-stds</v>
      </c>
      <c r="R1072" s="275" t="str">
        <f>IF(ISBLANK(INDEX('Policy Characteristics'!L:L,MATCH($C1072,'Policy Characteristics'!$C:$C,0))),"",INDEX('Policy Characteristics'!L:L,MATCH($C1072,'Policy Characteristics'!$C:$C,0)))</f>
        <v>industry-energy-efficiency-standards.html</v>
      </c>
    </row>
    <row r="1073" spans="1:18" s="4" customFormat="1" x14ac:dyDescent="0.25">
      <c r="A1073" s="275" t="str">
        <f>IF(ISBLANK(INDEX('Policy Characteristics'!A:A,MATCH($C1073,'Policy Characteristics'!$C:$C,0))),"",INDEX('Policy Characteristics'!A:A,MATCH($C1073,'Policy Characteristics'!$C:$C,0)))</f>
        <v>Industry</v>
      </c>
      <c r="B1073" s="284" t="str">
        <f>IF(ISBLANK(INDEX('Policy Characteristics'!B:B,MATCH($C1073,'Policy Characteristics'!$C:$C,0))),"",INDEX('Policy Characteristics'!B:B,MATCH($C1073,'Policy Characteristics'!$C:$C,0)))</f>
        <v>Industry Energy Efficiency Standards</v>
      </c>
      <c r="C1073" s="275" t="str">
        <f t="shared" si="42"/>
        <v>Percentage Improvement in Eqpt Efficiency Standards above BAU</v>
      </c>
      <c r="D1073" s="6" t="s">
        <v>3080</v>
      </c>
      <c r="E1073" s="47" t="s">
        <v>2401</v>
      </c>
      <c r="F1073" t="s">
        <v>3043</v>
      </c>
      <c r="G1073" s="47" t="s">
        <v>2407</v>
      </c>
      <c r="H1073" s="44">
        <v>1058</v>
      </c>
      <c r="I1073" s="346" t="s">
        <v>43</v>
      </c>
      <c r="J1073" s="276" t="str">
        <f>IF(ISBLANK(INDEX('Policy Characteristics'!D:D,MATCH($C1073,'Policy Characteristics'!$C:$C,0))),"",INDEX('Policy Characteristics'!D:D,MATCH($C1073,'Policy Characteristics'!$C:$C,0)))</f>
        <v>Industry Energy Efficiency Standards</v>
      </c>
      <c r="K1073" s="275" t="str">
        <f>IF(ISBLANK(INDEX('Policy Characteristics'!E:E,MATCH($C1073,'Policy Characteristics'!$C:$C,0))),"",INDEX('Policy Characteristics'!E:E,MATCH($C1073,'Policy Characteristics'!$C:$C,0)))</f>
        <v>indst efficiency standards</v>
      </c>
      <c r="L1073" s="283">
        <f>IF(ISBLANK(INDEX('Policy Characteristics'!F:F,MATCH($C1073,'Policy Characteristics'!$C:$C,0))),"",INDEX('Policy Characteristics'!F:F,MATCH($C1073,'Policy Characteristics'!$C:$C,0)))</f>
        <v>0</v>
      </c>
      <c r="M1073" s="283">
        <f>IF(ISBLANK(INDEX('Policy Characteristics'!G:G,MATCH($C1073,'Policy Characteristics'!$C:$C,0))),"",INDEX('Policy Characteristics'!G:G,MATCH($C1073,'Policy Characteristics'!$C:$C,0)))</f>
        <v>0.25</v>
      </c>
      <c r="N1073" s="283">
        <f>IF(ISBLANK(INDEX('Policy Characteristics'!H:H,MATCH($C1073,'Policy Characteristics'!$C:$C,0))),"",INDEX('Policy Characteristics'!H:H,MATCH($C1073,'Policy Characteristics'!$C:$C,0)))</f>
        <v>0.01</v>
      </c>
      <c r="O1073" s="275" t="str">
        <f>IF(ISBLANK(INDEX('Policy Characteristics'!I:I,MATCH($C1073,'Policy Characteristics'!$C:$C,0))),"",INDEX('Policy Characteristics'!I:I,MATCH($C1073,'Policy Characteristics'!$C:$C,0)))</f>
        <v>% reduction in energy use</v>
      </c>
      <c r="P1073" s="275" t="str">
        <f>IF(ISBLANK(INDEX('Policy Characteristics'!J:J,MATCH($C1073,'Policy Characteristics'!$C:$C,0))),"",INDEX('Policy Characteristics'!J:J,MATCH($C1073,'Policy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3" s="275" t="str">
        <f>IF(ISBLANK(INDEX('Policy Characteristics'!K:K,MATCH($C1073,'Policy Characteristics'!$C:$C,0))),"",INDEX('Policy Characteristics'!K:K,MATCH($C1073,'Policy Characteristics'!$C:$C,0)))</f>
        <v>industry-ag-main.html#eff-stds</v>
      </c>
      <c r="R1073" s="275" t="str">
        <f>IF(ISBLANK(INDEX('Policy Characteristics'!L:L,MATCH($C1073,'Policy Characteristics'!$C:$C,0))),"",INDEX('Policy Characteristics'!L:L,MATCH($C1073,'Policy Characteristics'!$C:$C,0)))</f>
        <v>industry-energy-efficiency-standards.html</v>
      </c>
    </row>
    <row r="1074" spans="1:18" s="4" customFormat="1" x14ac:dyDescent="0.25">
      <c r="A1074" s="275" t="str">
        <f>IF(ISBLANK(INDEX('Policy Characteristics'!A:A,MATCH($C1074,'Policy Characteristics'!$C:$C,0))),"",INDEX('Policy Characteristics'!A:A,MATCH($C1074,'Policy Characteristics'!$C:$C,0)))</f>
        <v>Industry</v>
      </c>
      <c r="B1074" s="284" t="str">
        <f>IF(ISBLANK(INDEX('Policy Characteristics'!B:B,MATCH($C1074,'Policy Characteristics'!$C:$C,0))),"",INDEX('Policy Characteristics'!B:B,MATCH($C1074,'Policy Characteristics'!$C:$C,0)))</f>
        <v>Industry Energy Efficiency Standards</v>
      </c>
      <c r="C1074" s="275" t="str">
        <f t="shared" si="42"/>
        <v>Percentage Improvement in Eqpt Efficiency Standards above BAU</v>
      </c>
      <c r="D1074" s="6" t="s">
        <v>3080</v>
      </c>
      <c r="E1074" s="47" t="s">
        <v>2402</v>
      </c>
      <c r="F1074" t="s">
        <v>3043</v>
      </c>
      <c r="G1074" s="47" t="s">
        <v>2410</v>
      </c>
      <c r="H1074" s="44">
        <v>1059</v>
      </c>
      <c r="I1074" s="346" t="s">
        <v>43</v>
      </c>
      <c r="J1074" s="276" t="str">
        <f>IF(ISBLANK(INDEX('Policy Characteristics'!D:D,MATCH($C1074,'Policy Characteristics'!$C:$C,0))),"",INDEX('Policy Characteristics'!D:D,MATCH($C1074,'Policy Characteristics'!$C:$C,0)))</f>
        <v>Industry Energy Efficiency Standards</v>
      </c>
      <c r="K1074" s="275" t="str">
        <f>IF(ISBLANK(INDEX('Policy Characteristics'!E:E,MATCH($C1074,'Policy Characteristics'!$C:$C,0))),"",INDEX('Policy Characteristics'!E:E,MATCH($C1074,'Policy Characteristics'!$C:$C,0)))</f>
        <v>indst efficiency standards</v>
      </c>
      <c r="L1074" s="283">
        <f>IF(ISBLANK(INDEX('Policy Characteristics'!F:F,MATCH($C1074,'Policy Characteristics'!$C:$C,0))),"",INDEX('Policy Characteristics'!F:F,MATCH($C1074,'Policy Characteristics'!$C:$C,0)))</f>
        <v>0</v>
      </c>
      <c r="M1074" s="283">
        <f>IF(ISBLANK(INDEX('Policy Characteristics'!G:G,MATCH($C1074,'Policy Characteristics'!$C:$C,0))),"",INDEX('Policy Characteristics'!G:G,MATCH($C1074,'Policy Characteristics'!$C:$C,0)))</f>
        <v>0.25</v>
      </c>
      <c r="N1074" s="283">
        <f>IF(ISBLANK(INDEX('Policy Characteristics'!H:H,MATCH($C1074,'Policy Characteristics'!$C:$C,0))),"",INDEX('Policy Characteristics'!H:H,MATCH($C1074,'Policy Characteristics'!$C:$C,0)))</f>
        <v>0.01</v>
      </c>
      <c r="O1074" s="275" t="str">
        <f>IF(ISBLANK(INDEX('Policy Characteristics'!I:I,MATCH($C1074,'Policy Characteristics'!$C:$C,0))),"",INDEX('Policy Characteristics'!I:I,MATCH($C1074,'Policy Characteristics'!$C:$C,0)))</f>
        <v>% reduction in energy use</v>
      </c>
      <c r="P1074" s="275" t="str">
        <f>IF(ISBLANK(INDEX('Policy Characteristics'!J:J,MATCH($C1074,'Policy Characteristics'!$C:$C,0))),"",INDEX('Policy Characteristics'!J:J,MATCH($C1074,'Policy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4" s="275" t="str">
        <f>IF(ISBLANK(INDEX('Policy Characteristics'!K:K,MATCH($C1074,'Policy Characteristics'!$C:$C,0))),"",INDEX('Policy Characteristics'!K:K,MATCH($C1074,'Policy Characteristics'!$C:$C,0)))</f>
        <v>industry-ag-main.html#eff-stds</v>
      </c>
      <c r="R1074" s="275" t="str">
        <f>IF(ISBLANK(INDEX('Policy Characteristics'!L:L,MATCH($C1074,'Policy Characteristics'!$C:$C,0))),"",INDEX('Policy Characteristics'!L:L,MATCH($C1074,'Policy Characteristics'!$C:$C,0)))</f>
        <v>industry-energy-efficiency-standards.html</v>
      </c>
    </row>
    <row r="1075" spans="1:18" s="4" customFormat="1" x14ac:dyDescent="0.25">
      <c r="A1075" s="275" t="str">
        <f>IF(ISBLANK(INDEX('Policy Characteristics'!A:A,MATCH($C1075,'Policy Characteristics'!$C:$C,0))),"",INDEX('Policy Characteristics'!A:A,MATCH($C1075,'Policy Characteristics'!$C:$C,0)))</f>
        <v>Industry</v>
      </c>
      <c r="B1075" s="284" t="str">
        <f>IF(ISBLANK(INDEX('Policy Characteristics'!B:B,MATCH($C1075,'Policy Characteristics'!$C:$C,0))),"",INDEX('Policy Characteristics'!B:B,MATCH($C1075,'Policy Characteristics'!$C:$C,0)))</f>
        <v>Industry Energy Efficiency Standards</v>
      </c>
      <c r="C1075" s="275" t="str">
        <f t="shared" si="42"/>
        <v>Percentage Improvement in Eqpt Efficiency Standards above BAU</v>
      </c>
      <c r="D1075" s="6" t="s">
        <v>3080</v>
      </c>
      <c r="E1075" s="47" t="s">
        <v>2403</v>
      </c>
      <c r="F1075" t="s">
        <v>3043</v>
      </c>
      <c r="G1075" s="47" t="s">
        <v>2411</v>
      </c>
      <c r="H1075" s="44">
        <v>1060</v>
      </c>
      <c r="I1075" s="346" t="s">
        <v>43</v>
      </c>
      <c r="J1075" s="276" t="str">
        <f>IF(ISBLANK(INDEX('Policy Characteristics'!D:D,MATCH($C1075,'Policy Characteristics'!$C:$C,0))),"",INDEX('Policy Characteristics'!D:D,MATCH($C1075,'Policy Characteristics'!$C:$C,0)))</f>
        <v>Industry Energy Efficiency Standards</v>
      </c>
      <c r="K1075" s="275" t="str">
        <f>IF(ISBLANK(INDEX('Policy Characteristics'!E:E,MATCH($C1075,'Policy Characteristics'!$C:$C,0))),"",INDEX('Policy Characteristics'!E:E,MATCH($C1075,'Policy Characteristics'!$C:$C,0)))</f>
        <v>indst efficiency standards</v>
      </c>
      <c r="L1075" s="283">
        <f>IF(ISBLANK(INDEX('Policy Characteristics'!F:F,MATCH($C1075,'Policy Characteristics'!$C:$C,0))),"",INDEX('Policy Characteristics'!F:F,MATCH($C1075,'Policy Characteristics'!$C:$C,0)))</f>
        <v>0</v>
      </c>
      <c r="M1075" s="283">
        <f>IF(ISBLANK(INDEX('Policy Characteristics'!G:G,MATCH($C1075,'Policy Characteristics'!$C:$C,0))),"",INDEX('Policy Characteristics'!G:G,MATCH($C1075,'Policy Characteristics'!$C:$C,0)))</f>
        <v>0.25</v>
      </c>
      <c r="N1075" s="283">
        <f>IF(ISBLANK(INDEX('Policy Characteristics'!H:H,MATCH($C1075,'Policy Characteristics'!$C:$C,0))),"",INDEX('Policy Characteristics'!H:H,MATCH($C1075,'Policy Characteristics'!$C:$C,0)))</f>
        <v>0.01</v>
      </c>
      <c r="O1075" s="275" t="str">
        <f>IF(ISBLANK(INDEX('Policy Characteristics'!I:I,MATCH($C1075,'Policy Characteristics'!$C:$C,0))),"",INDEX('Policy Characteristics'!I:I,MATCH($C1075,'Policy Characteristics'!$C:$C,0)))</f>
        <v>% reduction in energy use</v>
      </c>
      <c r="P1075" s="275" t="str">
        <f>IF(ISBLANK(INDEX('Policy Characteristics'!J:J,MATCH($C1075,'Policy Characteristics'!$C:$C,0))),"",INDEX('Policy Characteristics'!J:J,MATCH($C1075,'Policy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5" s="275" t="str">
        <f>IF(ISBLANK(INDEX('Policy Characteristics'!K:K,MATCH($C1075,'Policy Characteristics'!$C:$C,0))),"",INDEX('Policy Characteristics'!K:K,MATCH($C1075,'Policy Characteristics'!$C:$C,0)))</f>
        <v>industry-ag-main.html#eff-stds</v>
      </c>
      <c r="R1075" s="275" t="str">
        <f>IF(ISBLANK(INDEX('Policy Characteristics'!L:L,MATCH($C1075,'Policy Characteristics'!$C:$C,0))),"",INDEX('Policy Characteristics'!L:L,MATCH($C1075,'Policy Characteristics'!$C:$C,0)))</f>
        <v>industry-energy-efficiency-standards.html</v>
      </c>
    </row>
    <row r="1076" spans="1:18" s="4" customFormat="1" x14ac:dyDescent="0.25">
      <c r="A1076" s="275" t="str">
        <f>IF(ISBLANK(INDEX('Policy Characteristics'!A:A,MATCH($C1076,'Policy Characteristics'!$C:$C,0))),"",INDEX('Policy Characteristics'!A:A,MATCH($C1076,'Policy Characteristics'!$C:$C,0)))</f>
        <v>Industry</v>
      </c>
      <c r="B1076" s="284" t="str">
        <f>IF(ISBLANK(INDEX('Policy Characteristics'!B:B,MATCH($C1076,'Policy Characteristics'!$C:$C,0))),"",INDEX('Policy Characteristics'!B:B,MATCH($C1076,'Policy Characteristics'!$C:$C,0)))</f>
        <v>Industry Energy Efficiency Standards</v>
      </c>
      <c r="C1076" s="275" t="str">
        <f t="shared" si="42"/>
        <v>Percentage Improvement in Eqpt Efficiency Standards above BAU</v>
      </c>
      <c r="D1076" s="6" t="s">
        <v>3080</v>
      </c>
      <c r="E1076" s="47" t="s">
        <v>2404</v>
      </c>
      <c r="F1076" t="s">
        <v>3043</v>
      </c>
      <c r="G1076" s="47" t="s">
        <v>2408</v>
      </c>
      <c r="H1076" s="44">
        <v>1061</v>
      </c>
      <c r="I1076" s="346" t="s">
        <v>44</v>
      </c>
      <c r="J1076" s="276" t="str">
        <f>IF(ISBLANK(INDEX('Policy Characteristics'!D:D,MATCH($C1076,'Policy Characteristics'!$C:$C,0))),"",INDEX('Policy Characteristics'!D:D,MATCH($C1076,'Policy Characteristics'!$C:$C,0)))</f>
        <v>Industry Energy Efficiency Standards</v>
      </c>
      <c r="K1076" s="275" t="str">
        <f>IF(ISBLANK(INDEX('Policy Characteristics'!E:E,MATCH($C1076,'Policy Characteristics'!$C:$C,0))),"",INDEX('Policy Characteristics'!E:E,MATCH($C1076,'Policy Characteristics'!$C:$C,0)))</f>
        <v>indst efficiency standards</v>
      </c>
      <c r="L1076" s="283">
        <f>IF(ISBLANK(INDEX('Policy Characteristics'!F:F,MATCH($C1076,'Policy Characteristics'!$C:$C,0))),"",INDEX('Policy Characteristics'!F:F,MATCH($C1076,'Policy Characteristics'!$C:$C,0)))</f>
        <v>0</v>
      </c>
      <c r="M1076" s="283">
        <f>IF(ISBLANK(INDEX('Policy Characteristics'!G:G,MATCH($C1076,'Policy Characteristics'!$C:$C,0))),"",INDEX('Policy Characteristics'!G:G,MATCH($C1076,'Policy Characteristics'!$C:$C,0)))</f>
        <v>0.25</v>
      </c>
      <c r="N1076" s="283">
        <f>IF(ISBLANK(INDEX('Policy Characteristics'!H:H,MATCH($C1076,'Policy Characteristics'!$C:$C,0))),"",INDEX('Policy Characteristics'!H:H,MATCH($C1076,'Policy Characteristics'!$C:$C,0)))</f>
        <v>0.01</v>
      </c>
      <c r="O1076" s="275" t="str">
        <f>IF(ISBLANK(INDEX('Policy Characteristics'!I:I,MATCH($C1076,'Policy Characteristics'!$C:$C,0))),"",INDEX('Policy Characteristics'!I:I,MATCH($C1076,'Policy Characteristics'!$C:$C,0)))</f>
        <v>% reduction in energy use</v>
      </c>
      <c r="P1076" s="275" t="str">
        <f>IF(ISBLANK(INDEX('Policy Characteristics'!J:J,MATCH($C1076,'Policy Characteristics'!$C:$C,0))),"",INDEX('Policy Characteristics'!J:J,MATCH($C1076,'Policy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6" s="275" t="str">
        <f>IF(ISBLANK(INDEX('Policy Characteristics'!K:K,MATCH($C1076,'Policy Characteristics'!$C:$C,0))),"",INDEX('Policy Characteristics'!K:K,MATCH($C1076,'Policy Characteristics'!$C:$C,0)))</f>
        <v>industry-ag-main.html#eff-stds</v>
      </c>
      <c r="R1076" s="275" t="str">
        <f>IF(ISBLANK(INDEX('Policy Characteristics'!L:L,MATCH($C1076,'Policy Characteristics'!$C:$C,0))),"",INDEX('Policy Characteristics'!L:L,MATCH($C1076,'Policy Characteristics'!$C:$C,0)))</f>
        <v>industry-energy-efficiency-standards.html</v>
      </c>
    </row>
    <row r="1077" spans="1:18" s="4" customFormat="1" x14ac:dyDescent="0.25">
      <c r="A1077" s="275" t="str">
        <f>IF(ISBLANK(INDEX('Policy Characteristics'!A:A,MATCH($C1077,'Policy Characteristics'!$C:$C,0))),"",INDEX('Policy Characteristics'!A:A,MATCH($C1077,'Policy Characteristics'!$C:$C,0)))</f>
        <v>Industry</v>
      </c>
      <c r="B1077" s="284" t="str">
        <f>IF(ISBLANK(INDEX('Policy Characteristics'!B:B,MATCH($C1077,'Policy Characteristics'!$C:$C,0))),"",INDEX('Policy Characteristics'!B:B,MATCH($C1077,'Policy Characteristics'!$C:$C,0)))</f>
        <v>Industry Energy Efficiency Standards</v>
      </c>
      <c r="C1077" s="275" t="str">
        <f t="shared" si="42"/>
        <v>Percentage Improvement in Eqpt Efficiency Standards above BAU</v>
      </c>
      <c r="D1077" s="6" t="s">
        <v>3080</v>
      </c>
      <c r="E1077" s="47" t="s">
        <v>2405</v>
      </c>
      <c r="F1077" t="s">
        <v>3043</v>
      </c>
      <c r="G1077" s="47" t="s">
        <v>2409</v>
      </c>
      <c r="H1077" s="44">
        <v>1062</v>
      </c>
      <c r="I1077" s="346" t="s">
        <v>43</v>
      </c>
      <c r="J1077" s="276" t="str">
        <f>IF(ISBLANK(INDEX('Policy Characteristics'!D:D,MATCH($C1077,'Policy Characteristics'!$C:$C,0))),"",INDEX('Policy Characteristics'!D:D,MATCH($C1077,'Policy Characteristics'!$C:$C,0)))</f>
        <v>Industry Energy Efficiency Standards</v>
      </c>
      <c r="K1077" s="275" t="str">
        <f>IF(ISBLANK(INDEX('Policy Characteristics'!E:E,MATCH($C1077,'Policy Characteristics'!$C:$C,0))),"",INDEX('Policy Characteristics'!E:E,MATCH($C1077,'Policy Characteristics'!$C:$C,0)))</f>
        <v>indst efficiency standards</v>
      </c>
      <c r="L1077" s="283">
        <f>IF(ISBLANK(INDEX('Policy Characteristics'!F:F,MATCH($C1077,'Policy Characteristics'!$C:$C,0))),"",INDEX('Policy Characteristics'!F:F,MATCH($C1077,'Policy Characteristics'!$C:$C,0)))</f>
        <v>0</v>
      </c>
      <c r="M1077" s="283">
        <f>IF(ISBLANK(INDEX('Policy Characteristics'!G:G,MATCH($C1077,'Policy Characteristics'!$C:$C,0))),"",INDEX('Policy Characteristics'!G:G,MATCH($C1077,'Policy Characteristics'!$C:$C,0)))</f>
        <v>0.25</v>
      </c>
      <c r="N1077" s="283">
        <f>IF(ISBLANK(INDEX('Policy Characteristics'!H:H,MATCH($C1077,'Policy Characteristics'!$C:$C,0))),"",INDEX('Policy Characteristics'!H:H,MATCH($C1077,'Policy Characteristics'!$C:$C,0)))</f>
        <v>0.01</v>
      </c>
      <c r="O1077" s="275" t="str">
        <f>IF(ISBLANK(INDEX('Policy Characteristics'!I:I,MATCH($C1077,'Policy Characteristics'!$C:$C,0))),"",INDEX('Policy Characteristics'!I:I,MATCH($C1077,'Policy Characteristics'!$C:$C,0)))</f>
        <v>% reduction in energy use</v>
      </c>
      <c r="P1077" s="275" t="str">
        <f>IF(ISBLANK(INDEX('Policy Characteristics'!J:J,MATCH($C1077,'Policy Characteristics'!$C:$C,0))),"",INDEX('Policy Characteristics'!J:J,MATCH($C1077,'Policy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7" s="275" t="str">
        <f>IF(ISBLANK(INDEX('Policy Characteristics'!K:K,MATCH($C1077,'Policy Characteristics'!$C:$C,0))),"",INDEX('Policy Characteristics'!K:K,MATCH($C1077,'Policy Characteristics'!$C:$C,0)))</f>
        <v>industry-ag-main.html#eff-stds</v>
      </c>
      <c r="R1077" s="275" t="str">
        <f>IF(ISBLANK(INDEX('Policy Characteristics'!L:L,MATCH($C1077,'Policy Characteristics'!$C:$C,0))),"",INDEX('Policy Characteristics'!L:L,MATCH($C1077,'Policy Characteristics'!$C:$C,0)))</f>
        <v>industry-energy-efficiency-standards.html</v>
      </c>
    </row>
    <row r="1078" spans="1:18" s="4" customFormat="1" x14ac:dyDescent="0.25">
      <c r="A1078" s="275" t="str">
        <f>IF(ISBLANK(INDEX('Policy Characteristics'!A:A,MATCH($C1078,'Policy Characteristics'!$C:$C,0))),"",INDEX('Policy Characteristics'!A:A,MATCH($C1078,'Policy Characteristics'!$C:$C,0)))</f>
        <v>Industry</v>
      </c>
      <c r="B1078" s="284" t="str">
        <f>IF(ISBLANK(INDEX('Policy Characteristics'!B:B,MATCH($C1078,'Policy Characteristics'!$C:$C,0))),"",INDEX('Policy Characteristics'!B:B,MATCH($C1078,'Policy Characteristics'!$C:$C,0)))</f>
        <v>Industry Energy Efficiency Standards</v>
      </c>
      <c r="C1078" s="275" t="str">
        <f t="shared" si="42"/>
        <v>Percentage Improvement in Eqpt Efficiency Standards above BAU</v>
      </c>
      <c r="D1078" s="6" t="s">
        <v>3080</v>
      </c>
      <c r="E1078" s="47" t="s">
        <v>2406</v>
      </c>
      <c r="F1078" t="s">
        <v>3043</v>
      </c>
      <c r="G1078" s="47" t="s">
        <v>2412</v>
      </c>
      <c r="H1078" s="44">
        <v>1063</v>
      </c>
      <c r="I1078" s="346" t="s">
        <v>44</v>
      </c>
      <c r="J1078" s="276" t="str">
        <f>IF(ISBLANK(INDEX('Policy Characteristics'!D:D,MATCH($C1078,'Policy Characteristics'!$C:$C,0))),"",INDEX('Policy Characteristics'!D:D,MATCH($C1078,'Policy Characteristics'!$C:$C,0)))</f>
        <v>Industry Energy Efficiency Standards</v>
      </c>
      <c r="K1078" s="275" t="str">
        <f>IF(ISBLANK(INDEX('Policy Characteristics'!E:E,MATCH($C1078,'Policy Characteristics'!$C:$C,0))),"",INDEX('Policy Characteristics'!E:E,MATCH($C1078,'Policy Characteristics'!$C:$C,0)))</f>
        <v>indst efficiency standards</v>
      </c>
      <c r="L1078" s="283">
        <f>IF(ISBLANK(INDEX('Policy Characteristics'!F:F,MATCH($C1078,'Policy Characteristics'!$C:$C,0))),"",INDEX('Policy Characteristics'!F:F,MATCH($C1078,'Policy Characteristics'!$C:$C,0)))</f>
        <v>0</v>
      </c>
      <c r="M1078" s="283">
        <f>IF(ISBLANK(INDEX('Policy Characteristics'!G:G,MATCH($C1078,'Policy Characteristics'!$C:$C,0))),"",INDEX('Policy Characteristics'!G:G,MATCH($C1078,'Policy Characteristics'!$C:$C,0)))</f>
        <v>0.25</v>
      </c>
      <c r="N1078" s="283">
        <f>IF(ISBLANK(INDEX('Policy Characteristics'!H:H,MATCH($C1078,'Policy Characteristics'!$C:$C,0))),"",INDEX('Policy Characteristics'!H:H,MATCH($C1078,'Policy Characteristics'!$C:$C,0)))</f>
        <v>0.01</v>
      </c>
      <c r="O1078" s="275" t="str">
        <f>IF(ISBLANK(INDEX('Policy Characteristics'!I:I,MATCH($C1078,'Policy Characteristics'!$C:$C,0))),"",INDEX('Policy Characteristics'!I:I,MATCH($C1078,'Policy Characteristics'!$C:$C,0)))</f>
        <v>% reduction in energy use</v>
      </c>
      <c r="P1078" s="275" t="str">
        <f>IF(ISBLANK(INDEX('Policy Characteristics'!J:J,MATCH($C1078,'Policy Characteristics'!$C:$C,0))),"",INDEX('Policy Characteristics'!J:J,MATCH($C1078,'Policy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8" s="275" t="str">
        <f>IF(ISBLANK(INDEX('Policy Characteristics'!K:K,MATCH($C1078,'Policy Characteristics'!$C:$C,0))),"",INDEX('Policy Characteristics'!K:K,MATCH($C1078,'Policy Characteristics'!$C:$C,0)))</f>
        <v>industry-ag-main.html#eff-stds</v>
      </c>
      <c r="R1078" s="275" t="str">
        <f>IF(ISBLANK(INDEX('Policy Characteristics'!L:L,MATCH($C1078,'Policy Characteristics'!$C:$C,0))),"",INDEX('Policy Characteristics'!L:L,MATCH($C1078,'Policy Characteristics'!$C:$C,0)))</f>
        <v>industry-energy-efficiency-standards.html</v>
      </c>
    </row>
    <row r="1079" spans="1:18" s="4" customFormat="1" x14ac:dyDescent="0.25">
      <c r="A1079" s="275" t="str">
        <f>IF(ISBLANK(INDEX('Policy Characteristics'!A:A,MATCH($C1079,'Policy Characteristics'!$C:$C,0))),"",INDEX('Policy Characteristics'!A:A,MATCH($C1079,'Policy Characteristics'!$C:$C,0)))</f>
        <v>Industry</v>
      </c>
      <c r="B1079" s="284" t="str">
        <f>IF(ISBLANK(INDEX('Policy Characteristics'!B:B,MATCH($C1079,'Policy Characteristics'!$C:$C,0))),"",INDEX('Policy Characteristics'!B:B,MATCH($C1079,'Policy Characteristics'!$C:$C,0)))</f>
        <v>Industry Energy Efficiency Standards</v>
      </c>
      <c r="C1079" s="275" t="str">
        <f t="shared" si="42"/>
        <v>Percentage Improvement in Eqpt Efficiency Standards above BAU</v>
      </c>
      <c r="D1079" s="6" t="s">
        <v>3080</v>
      </c>
      <c r="E1079" s="47" t="s">
        <v>2709</v>
      </c>
      <c r="F1079" t="s">
        <v>3043</v>
      </c>
      <c r="G1079" s="47" t="s">
        <v>2712</v>
      </c>
      <c r="H1079" s="44">
        <v>1064</v>
      </c>
      <c r="I1079" s="346" t="s">
        <v>44</v>
      </c>
      <c r="J1079" s="276" t="str">
        <f>IF(ISBLANK(INDEX('Policy Characteristics'!D:D,MATCH($C1079,'Policy Characteristics'!$C:$C,0))),"",INDEX('Policy Characteristics'!D:D,MATCH($C1079,'Policy Characteristics'!$C:$C,0)))</f>
        <v>Industry Energy Efficiency Standards</v>
      </c>
      <c r="K1079" s="275" t="str">
        <f>IF(ISBLANK(INDEX('Policy Characteristics'!E:E,MATCH($C1079,'Policy Characteristics'!$C:$C,0))),"",INDEX('Policy Characteristics'!E:E,MATCH($C1079,'Policy Characteristics'!$C:$C,0)))</f>
        <v>indst efficiency standards</v>
      </c>
      <c r="L1079" s="283">
        <f>IF(ISBLANK(INDEX('Policy Characteristics'!F:F,MATCH($C1079,'Policy Characteristics'!$C:$C,0))),"",INDEX('Policy Characteristics'!F:F,MATCH($C1079,'Policy Characteristics'!$C:$C,0)))</f>
        <v>0</v>
      </c>
      <c r="M1079" s="283">
        <f>IF(ISBLANK(INDEX('Policy Characteristics'!G:G,MATCH($C1079,'Policy Characteristics'!$C:$C,0))),"",INDEX('Policy Characteristics'!G:G,MATCH($C1079,'Policy Characteristics'!$C:$C,0)))</f>
        <v>0.25</v>
      </c>
      <c r="N1079" s="283">
        <f>IF(ISBLANK(INDEX('Policy Characteristics'!H:H,MATCH($C1079,'Policy Characteristics'!$C:$C,0))),"",INDEX('Policy Characteristics'!H:H,MATCH($C1079,'Policy Characteristics'!$C:$C,0)))</f>
        <v>0.01</v>
      </c>
      <c r="O1079" s="275" t="str">
        <f>IF(ISBLANK(INDEX('Policy Characteristics'!I:I,MATCH($C1079,'Policy Characteristics'!$C:$C,0))),"",INDEX('Policy Characteristics'!I:I,MATCH($C1079,'Policy Characteristics'!$C:$C,0)))</f>
        <v>% reduction in energy use</v>
      </c>
      <c r="P1079" s="275" t="str">
        <f>IF(ISBLANK(INDEX('Policy Characteristics'!J:J,MATCH($C1079,'Policy Characteristics'!$C:$C,0))),"",INDEX('Policy Characteristics'!J:J,MATCH($C1079,'Policy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9" s="275" t="str">
        <f>IF(ISBLANK(INDEX('Policy Characteristics'!K:K,MATCH($C1079,'Policy Characteristics'!$C:$C,0))),"",INDEX('Policy Characteristics'!K:K,MATCH($C1079,'Policy Characteristics'!$C:$C,0)))</f>
        <v>industry-ag-main.html#eff-stds</v>
      </c>
      <c r="R1079" s="275" t="str">
        <f>IF(ISBLANK(INDEX('Policy Characteristics'!L:L,MATCH($C1079,'Policy Characteristics'!$C:$C,0))),"",INDEX('Policy Characteristics'!L:L,MATCH($C1079,'Policy Characteristics'!$C:$C,0)))</f>
        <v>industry-energy-efficiency-standards.html</v>
      </c>
    </row>
    <row r="1080" spans="1:18" s="4" customFormat="1" x14ac:dyDescent="0.25">
      <c r="A1080" s="275" t="str">
        <f>IF(ISBLANK(INDEX('Policy Characteristics'!A:A,MATCH($C1080,'Policy Characteristics'!$C:$C,0))),"",INDEX('Policy Characteristics'!A:A,MATCH($C1080,'Policy Characteristics'!$C:$C,0)))</f>
        <v>Industry</v>
      </c>
      <c r="B1080" s="284" t="str">
        <f>IF(ISBLANK(INDEX('Policy Characteristics'!B:B,MATCH($C1080,'Policy Characteristics'!$C:$C,0))),"",INDEX('Policy Characteristics'!B:B,MATCH($C1080,'Policy Characteristics'!$C:$C,0)))</f>
        <v>Industry Energy Efficiency Standards</v>
      </c>
      <c r="C1080" s="275" t="str">
        <f t="shared" si="42"/>
        <v>Percentage Improvement in Eqpt Efficiency Standards above BAU</v>
      </c>
      <c r="D1080" s="6" t="s">
        <v>3080</v>
      </c>
      <c r="E1080" s="47" t="s">
        <v>2710</v>
      </c>
      <c r="F1080" t="s">
        <v>3043</v>
      </c>
      <c r="G1080" s="47" t="s">
        <v>2714</v>
      </c>
      <c r="H1080" s="44">
        <v>1065</v>
      </c>
      <c r="I1080" s="346" t="s">
        <v>44</v>
      </c>
      <c r="J1080" s="276" t="str">
        <f>IF(ISBLANK(INDEX('Policy Characteristics'!D:D,MATCH($C1080,'Policy Characteristics'!$C:$C,0))),"",INDEX('Policy Characteristics'!D:D,MATCH($C1080,'Policy Characteristics'!$C:$C,0)))</f>
        <v>Industry Energy Efficiency Standards</v>
      </c>
      <c r="K1080" s="275" t="str">
        <f>IF(ISBLANK(INDEX('Policy Characteristics'!E:E,MATCH($C1080,'Policy Characteristics'!$C:$C,0))),"",INDEX('Policy Characteristics'!E:E,MATCH($C1080,'Policy Characteristics'!$C:$C,0)))</f>
        <v>indst efficiency standards</v>
      </c>
      <c r="L1080" s="283">
        <f>IF(ISBLANK(INDEX('Policy Characteristics'!F:F,MATCH($C1080,'Policy Characteristics'!$C:$C,0))),"",INDEX('Policy Characteristics'!F:F,MATCH($C1080,'Policy Characteristics'!$C:$C,0)))</f>
        <v>0</v>
      </c>
      <c r="M1080" s="283">
        <f>IF(ISBLANK(INDEX('Policy Characteristics'!G:G,MATCH($C1080,'Policy Characteristics'!$C:$C,0))),"",INDEX('Policy Characteristics'!G:G,MATCH($C1080,'Policy Characteristics'!$C:$C,0)))</f>
        <v>0.25</v>
      </c>
      <c r="N1080" s="283">
        <f>IF(ISBLANK(INDEX('Policy Characteristics'!H:H,MATCH($C1080,'Policy Characteristics'!$C:$C,0))),"",INDEX('Policy Characteristics'!H:H,MATCH($C1080,'Policy Characteristics'!$C:$C,0)))</f>
        <v>0.01</v>
      </c>
      <c r="O1080" s="275" t="str">
        <f>IF(ISBLANK(INDEX('Policy Characteristics'!I:I,MATCH($C1080,'Policy Characteristics'!$C:$C,0))),"",INDEX('Policy Characteristics'!I:I,MATCH($C1080,'Policy Characteristics'!$C:$C,0)))</f>
        <v>% reduction in energy use</v>
      </c>
      <c r="P1080" s="275" t="str">
        <f>IF(ISBLANK(INDEX('Policy Characteristics'!J:J,MATCH($C1080,'Policy Characteristics'!$C:$C,0))),"",INDEX('Policy Characteristics'!J:J,MATCH($C1080,'Policy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0" s="275" t="str">
        <f>IF(ISBLANK(INDEX('Policy Characteristics'!K:K,MATCH($C1080,'Policy Characteristics'!$C:$C,0))),"",INDEX('Policy Characteristics'!K:K,MATCH($C1080,'Policy Characteristics'!$C:$C,0)))</f>
        <v>industry-ag-main.html#eff-stds</v>
      </c>
      <c r="R1080" s="275" t="str">
        <f>IF(ISBLANK(INDEX('Policy Characteristics'!L:L,MATCH($C1080,'Policy Characteristics'!$C:$C,0))),"",INDEX('Policy Characteristics'!L:L,MATCH($C1080,'Policy Characteristics'!$C:$C,0)))</f>
        <v>industry-energy-efficiency-standards.html</v>
      </c>
    </row>
    <row r="1081" spans="1:18" s="4" customFormat="1" x14ac:dyDescent="0.25">
      <c r="A1081" s="275" t="str">
        <f>IF(ISBLANK(INDEX('Policy Characteristics'!A:A,MATCH($C1081,'Policy Characteristics'!$C:$C,0))),"",INDEX('Policy Characteristics'!A:A,MATCH($C1081,'Policy Characteristics'!$C:$C,0)))</f>
        <v>Industry</v>
      </c>
      <c r="B1081" s="284" t="str">
        <f>IF(ISBLANK(INDEX('Policy Characteristics'!B:B,MATCH($C1081,'Policy Characteristics'!$C:$C,0))),"",INDEX('Policy Characteristics'!B:B,MATCH($C1081,'Policy Characteristics'!$C:$C,0)))</f>
        <v>Industry Energy Efficiency Standards</v>
      </c>
      <c r="C1081" s="275" t="str">
        <f t="shared" si="42"/>
        <v>Percentage Improvement in Eqpt Efficiency Standards above BAU</v>
      </c>
      <c r="D1081" s="6" t="s">
        <v>3080</v>
      </c>
      <c r="E1081" s="47" t="s">
        <v>2711</v>
      </c>
      <c r="F1081" t="s">
        <v>3043</v>
      </c>
      <c r="G1081" s="47" t="s">
        <v>2715</v>
      </c>
      <c r="H1081" s="44">
        <v>1066</v>
      </c>
      <c r="I1081" s="346" t="s">
        <v>43</v>
      </c>
      <c r="J1081" s="276" t="str">
        <f>IF(ISBLANK(INDEX('Policy Characteristics'!D:D,MATCH($C1081,'Policy Characteristics'!$C:$C,0))),"",INDEX('Policy Characteristics'!D:D,MATCH($C1081,'Policy Characteristics'!$C:$C,0)))</f>
        <v>Industry Energy Efficiency Standards</v>
      </c>
      <c r="K1081" s="275" t="str">
        <f>IF(ISBLANK(INDEX('Policy Characteristics'!E:E,MATCH($C1081,'Policy Characteristics'!$C:$C,0))),"",INDEX('Policy Characteristics'!E:E,MATCH($C1081,'Policy Characteristics'!$C:$C,0)))</f>
        <v>indst efficiency standards</v>
      </c>
      <c r="L1081" s="283">
        <f>IF(ISBLANK(INDEX('Policy Characteristics'!F:F,MATCH($C1081,'Policy Characteristics'!$C:$C,0))),"",INDEX('Policy Characteristics'!F:F,MATCH($C1081,'Policy Characteristics'!$C:$C,0)))</f>
        <v>0</v>
      </c>
      <c r="M1081" s="283">
        <f>IF(ISBLANK(INDEX('Policy Characteristics'!G:G,MATCH($C1081,'Policy Characteristics'!$C:$C,0))),"",INDEX('Policy Characteristics'!G:G,MATCH($C1081,'Policy Characteristics'!$C:$C,0)))</f>
        <v>0.25</v>
      </c>
      <c r="N1081" s="283">
        <f>IF(ISBLANK(INDEX('Policy Characteristics'!H:H,MATCH($C1081,'Policy Characteristics'!$C:$C,0))),"",INDEX('Policy Characteristics'!H:H,MATCH($C1081,'Policy Characteristics'!$C:$C,0)))</f>
        <v>0.01</v>
      </c>
      <c r="O1081" s="275" t="str">
        <f>IF(ISBLANK(INDEX('Policy Characteristics'!I:I,MATCH($C1081,'Policy Characteristics'!$C:$C,0))),"",INDEX('Policy Characteristics'!I:I,MATCH($C1081,'Policy Characteristics'!$C:$C,0)))</f>
        <v>% reduction in energy use</v>
      </c>
      <c r="P1081" s="275" t="str">
        <f>IF(ISBLANK(INDEX('Policy Characteristics'!J:J,MATCH($C1081,'Policy Characteristics'!$C:$C,0))),"",INDEX('Policy Characteristics'!J:J,MATCH($C1081,'Policy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1" s="275" t="str">
        <f>IF(ISBLANK(INDEX('Policy Characteristics'!K:K,MATCH($C1081,'Policy Characteristics'!$C:$C,0))),"",INDEX('Policy Characteristics'!K:K,MATCH($C1081,'Policy Characteristics'!$C:$C,0)))</f>
        <v>industry-ag-main.html#eff-stds</v>
      </c>
      <c r="R1081" s="275" t="str">
        <f>IF(ISBLANK(INDEX('Policy Characteristics'!L:L,MATCH($C1081,'Policy Characteristics'!$C:$C,0))),"",INDEX('Policy Characteristics'!L:L,MATCH($C1081,'Policy Characteristics'!$C:$C,0)))</f>
        <v>industry-energy-efficiency-standards.html</v>
      </c>
    </row>
    <row r="1082" spans="1:18" s="4" customFormat="1" x14ac:dyDescent="0.25">
      <c r="A1082" s="275" t="str">
        <f>IF(ISBLANK(INDEX('Policy Characteristics'!A:A,MATCH($C1082,'Policy Characteristics'!$C:$C,0))),"",INDEX('Policy Characteristics'!A:A,MATCH($C1082,'Policy Characteristics'!$C:$C,0)))</f>
        <v>Industry</v>
      </c>
      <c r="B1082" s="284" t="str">
        <f>IF(ISBLANK(INDEX('Policy Characteristics'!B:B,MATCH($C1082,'Policy Characteristics'!$C:$C,0))),"",INDEX('Policy Characteristics'!B:B,MATCH($C1082,'Policy Characteristics'!$C:$C,0)))</f>
        <v>Industry Energy Efficiency Standards</v>
      </c>
      <c r="C1082" s="275" t="str">
        <f t="shared" si="42"/>
        <v>Percentage Improvement in Eqpt Efficiency Standards above BAU</v>
      </c>
      <c r="D1082" s="6" t="s">
        <v>3080</v>
      </c>
      <c r="E1082" s="47" t="s">
        <v>2708</v>
      </c>
      <c r="F1082" t="s">
        <v>3043</v>
      </c>
      <c r="G1082" s="47" t="s">
        <v>2713</v>
      </c>
      <c r="H1082" s="44">
        <v>1067</v>
      </c>
      <c r="I1082" s="346" t="s">
        <v>44</v>
      </c>
      <c r="J1082" s="276" t="str">
        <f>IF(ISBLANK(INDEX('Policy Characteristics'!D:D,MATCH($C1082,'Policy Characteristics'!$C:$C,0))),"",INDEX('Policy Characteristics'!D:D,MATCH($C1082,'Policy Characteristics'!$C:$C,0)))</f>
        <v>Industry Energy Efficiency Standards</v>
      </c>
      <c r="K1082" s="275" t="str">
        <f>IF(ISBLANK(INDEX('Policy Characteristics'!E:E,MATCH($C1082,'Policy Characteristics'!$C:$C,0))),"",INDEX('Policy Characteristics'!E:E,MATCH($C1082,'Policy Characteristics'!$C:$C,0)))</f>
        <v>indst efficiency standards</v>
      </c>
      <c r="L1082" s="283">
        <f>IF(ISBLANK(INDEX('Policy Characteristics'!F:F,MATCH($C1082,'Policy Characteristics'!$C:$C,0))),"",INDEX('Policy Characteristics'!F:F,MATCH($C1082,'Policy Characteristics'!$C:$C,0)))</f>
        <v>0</v>
      </c>
      <c r="M1082" s="283">
        <f>IF(ISBLANK(INDEX('Policy Characteristics'!G:G,MATCH($C1082,'Policy Characteristics'!$C:$C,0))),"",INDEX('Policy Characteristics'!G:G,MATCH($C1082,'Policy Characteristics'!$C:$C,0)))</f>
        <v>0.25</v>
      </c>
      <c r="N1082" s="283">
        <f>IF(ISBLANK(INDEX('Policy Characteristics'!H:H,MATCH($C1082,'Policy Characteristics'!$C:$C,0))),"",INDEX('Policy Characteristics'!H:H,MATCH($C1082,'Policy Characteristics'!$C:$C,0)))</f>
        <v>0.01</v>
      </c>
      <c r="O1082" s="275" t="str">
        <f>IF(ISBLANK(INDEX('Policy Characteristics'!I:I,MATCH($C1082,'Policy Characteristics'!$C:$C,0))),"",INDEX('Policy Characteristics'!I:I,MATCH($C1082,'Policy Characteristics'!$C:$C,0)))</f>
        <v>% reduction in energy use</v>
      </c>
      <c r="P1082" s="275" t="str">
        <f>IF(ISBLANK(INDEX('Policy Characteristics'!J:J,MATCH($C1082,'Policy Characteristics'!$C:$C,0))),"",INDEX('Policy Characteristics'!J:J,MATCH($C1082,'Policy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2" s="275" t="str">
        <f>IF(ISBLANK(INDEX('Policy Characteristics'!K:K,MATCH($C1082,'Policy Characteristics'!$C:$C,0))),"",INDEX('Policy Characteristics'!K:K,MATCH($C1082,'Policy Characteristics'!$C:$C,0)))</f>
        <v>industry-ag-main.html#eff-stds</v>
      </c>
      <c r="R1082" s="275" t="str">
        <f>IF(ISBLANK(INDEX('Policy Characteristics'!L:L,MATCH($C1082,'Policy Characteristics'!$C:$C,0))),"",INDEX('Policy Characteristics'!L:L,MATCH($C1082,'Policy Characteristics'!$C:$C,0)))</f>
        <v>industry-energy-efficiency-standards.html</v>
      </c>
    </row>
    <row r="1083" spans="1:18" s="4" customFormat="1" x14ac:dyDescent="0.25">
      <c r="A1083" s="275" t="str">
        <f>IF(ISBLANK(INDEX('Policy Characteristics'!A:A,MATCH($C1083,'Policy Characteristics'!$C:$C,0))),"",INDEX('Policy Characteristics'!A:A,MATCH($C1083,'Policy Characteristics'!$C:$C,0)))</f>
        <v>Industry</v>
      </c>
      <c r="B1083" s="284" t="str">
        <f>IF(ISBLANK(INDEX('Policy Characteristics'!B:B,MATCH($C1083,'Policy Characteristics'!$C:$C,0))),"",INDEX('Policy Characteristics'!B:B,MATCH($C1083,'Policy Characteristics'!$C:$C,0)))</f>
        <v>Industry Energy Efficiency Standards</v>
      </c>
      <c r="C1083" s="275" t="str">
        <f t="shared" si="42"/>
        <v>Percentage Improvement in Eqpt Efficiency Standards above BAU</v>
      </c>
      <c r="D1083" s="6" t="s">
        <v>3081</v>
      </c>
      <c r="E1083" s="47" t="s">
        <v>2401</v>
      </c>
      <c r="F1083" t="s">
        <v>3044</v>
      </c>
      <c r="G1083" s="47" t="s">
        <v>2407</v>
      </c>
      <c r="H1083" s="44">
        <v>1068</v>
      </c>
      <c r="I1083" s="346" t="s">
        <v>43</v>
      </c>
      <c r="J1083" s="276" t="str">
        <f>IF(ISBLANK(INDEX('Policy Characteristics'!D:D,MATCH($C1083,'Policy Characteristics'!$C:$C,0))),"",INDEX('Policy Characteristics'!D:D,MATCH($C1083,'Policy Characteristics'!$C:$C,0)))</f>
        <v>Industry Energy Efficiency Standards</v>
      </c>
      <c r="K1083" s="275" t="str">
        <f>IF(ISBLANK(INDEX('Policy Characteristics'!E:E,MATCH($C1083,'Policy Characteristics'!$C:$C,0))),"",INDEX('Policy Characteristics'!E:E,MATCH($C1083,'Policy Characteristics'!$C:$C,0)))</f>
        <v>indst efficiency standards</v>
      </c>
      <c r="L1083" s="283">
        <f>IF(ISBLANK(INDEX('Policy Characteristics'!F:F,MATCH($C1083,'Policy Characteristics'!$C:$C,0))),"",INDEX('Policy Characteristics'!F:F,MATCH($C1083,'Policy Characteristics'!$C:$C,0)))</f>
        <v>0</v>
      </c>
      <c r="M1083" s="283">
        <f>IF(ISBLANK(INDEX('Policy Characteristics'!G:G,MATCH($C1083,'Policy Characteristics'!$C:$C,0))),"",INDEX('Policy Characteristics'!G:G,MATCH($C1083,'Policy Characteristics'!$C:$C,0)))</f>
        <v>0.25</v>
      </c>
      <c r="N1083" s="283">
        <f>IF(ISBLANK(INDEX('Policy Characteristics'!H:H,MATCH($C1083,'Policy Characteristics'!$C:$C,0))),"",INDEX('Policy Characteristics'!H:H,MATCH($C1083,'Policy Characteristics'!$C:$C,0)))</f>
        <v>0.01</v>
      </c>
      <c r="O1083" s="275" t="str">
        <f>IF(ISBLANK(INDEX('Policy Characteristics'!I:I,MATCH($C1083,'Policy Characteristics'!$C:$C,0))),"",INDEX('Policy Characteristics'!I:I,MATCH($C1083,'Policy Characteristics'!$C:$C,0)))</f>
        <v>% reduction in energy use</v>
      </c>
      <c r="P1083" s="275" t="str">
        <f>IF(ISBLANK(INDEX('Policy Characteristics'!J:J,MATCH($C1083,'Policy Characteristics'!$C:$C,0))),"",INDEX('Policy Characteristics'!J:J,MATCH($C1083,'Policy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3" s="275" t="str">
        <f>IF(ISBLANK(INDEX('Policy Characteristics'!K:K,MATCH($C1083,'Policy Characteristics'!$C:$C,0))),"",INDEX('Policy Characteristics'!K:K,MATCH($C1083,'Policy Characteristics'!$C:$C,0)))</f>
        <v>industry-ag-main.html#eff-stds</v>
      </c>
      <c r="R1083" s="275" t="str">
        <f>IF(ISBLANK(INDEX('Policy Characteristics'!L:L,MATCH($C1083,'Policy Characteristics'!$C:$C,0))),"",INDEX('Policy Characteristics'!L:L,MATCH($C1083,'Policy Characteristics'!$C:$C,0)))</f>
        <v>industry-energy-efficiency-standards.html</v>
      </c>
    </row>
    <row r="1084" spans="1:18" s="4" customFormat="1" x14ac:dyDescent="0.25">
      <c r="A1084" s="275" t="str">
        <f>IF(ISBLANK(INDEX('Policy Characteristics'!A:A,MATCH($C1084,'Policy Characteristics'!$C:$C,0))),"",INDEX('Policy Characteristics'!A:A,MATCH($C1084,'Policy Characteristics'!$C:$C,0)))</f>
        <v>Industry</v>
      </c>
      <c r="B1084" s="284" t="str">
        <f>IF(ISBLANK(INDEX('Policy Characteristics'!B:B,MATCH($C1084,'Policy Characteristics'!$C:$C,0))),"",INDEX('Policy Characteristics'!B:B,MATCH($C1084,'Policy Characteristics'!$C:$C,0)))</f>
        <v>Industry Energy Efficiency Standards</v>
      </c>
      <c r="C1084" s="275" t="str">
        <f t="shared" si="42"/>
        <v>Percentage Improvement in Eqpt Efficiency Standards above BAU</v>
      </c>
      <c r="D1084" s="6" t="s">
        <v>3081</v>
      </c>
      <c r="E1084" s="47" t="s">
        <v>2402</v>
      </c>
      <c r="F1084" t="s">
        <v>3044</v>
      </c>
      <c r="G1084" s="47" t="s">
        <v>2410</v>
      </c>
      <c r="H1084" s="44">
        <v>1069</v>
      </c>
      <c r="I1084" s="346" t="s">
        <v>44</v>
      </c>
      <c r="J1084" s="276" t="str">
        <f>IF(ISBLANK(INDEX('Policy Characteristics'!D:D,MATCH($C1084,'Policy Characteristics'!$C:$C,0))),"",INDEX('Policy Characteristics'!D:D,MATCH($C1084,'Policy Characteristics'!$C:$C,0)))</f>
        <v>Industry Energy Efficiency Standards</v>
      </c>
      <c r="K1084" s="275" t="str">
        <f>IF(ISBLANK(INDEX('Policy Characteristics'!E:E,MATCH($C1084,'Policy Characteristics'!$C:$C,0))),"",INDEX('Policy Characteristics'!E:E,MATCH($C1084,'Policy Characteristics'!$C:$C,0)))</f>
        <v>indst efficiency standards</v>
      </c>
      <c r="L1084" s="283">
        <f>IF(ISBLANK(INDEX('Policy Characteristics'!F:F,MATCH($C1084,'Policy Characteristics'!$C:$C,0))),"",INDEX('Policy Characteristics'!F:F,MATCH($C1084,'Policy Characteristics'!$C:$C,0)))</f>
        <v>0</v>
      </c>
      <c r="M1084" s="283">
        <f>IF(ISBLANK(INDEX('Policy Characteristics'!G:G,MATCH($C1084,'Policy Characteristics'!$C:$C,0))),"",INDEX('Policy Characteristics'!G:G,MATCH($C1084,'Policy Characteristics'!$C:$C,0)))</f>
        <v>0.25</v>
      </c>
      <c r="N1084" s="283">
        <f>IF(ISBLANK(INDEX('Policy Characteristics'!H:H,MATCH($C1084,'Policy Characteristics'!$C:$C,0))),"",INDEX('Policy Characteristics'!H:H,MATCH($C1084,'Policy Characteristics'!$C:$C,0)))</f>
        <v>0.01</v>
      </c>
      <c r="O1084" s="275" t="str">
        <f>IF(ISBLANK(INDEX('Policy Characteristics'!I:I,MATCH($C1084,'Policy Characteristics'!$C:$C,0))),"",INDEX('Policy Characteristics'!I:I,MATCH($C1084,'Policy Characteristics'!$C:$C,0)))</f>
        <v>% reduction in energy use</v>
      </c>
      <c r="P1084" s="275" t="str">
        <f>IF(ISBLANK(INDEX('Policy Characteristics'!J:J,MATCH($C1084,'Policy Characteristics'!$C:$C,0))),"",INDEX('Policy Characteristics'!J:J,MATCH($C1084,'Policy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4" s="275" t="str">
        <f>IF(ISBLANK(INDEX('Policy Characteristics'!K:K,MATCH($C1084,'Policy Characteristics'!$C:$C,0))),"",INDEX('Policy Characteristics'!K:K,MATCH($C1084,'Policy Characteristics'!$C:$C,0)))</f>
        <v>industry-ag-main.html#eff-stds</v>
      </c>
      <c r="R1084" s="275" t="str">
        <f>IF(ISBLANK(INDEX('Policy Characteristics'!L:L,MATCH($C1084,'Policy Characteristics'!$C:$C,0))),"",INDEX('Policy Characteristics'!L:L,MATCH($C1084,'Policy Characteristics'!$C:$C,0)))</f>
        <v>industry-energy-efficiency-standards.html</v>
      </c>
    </row>
    <row r="1085" spans="1:18" s="4" customFormat="1" x14ac:dyDescent="0.25">
      <c r="A1085" s="275" t="str">
        <f>IF(ISBLANK(INDEX('Policy Characteristics'!A:A,MATCH($C1085,'Policy Characteristics'!$C:$C,0))),"",INDEX('Policy Characteristics'!A:A,MATCH($C1085,'Policy Characteristics'!$C:$C,0)))</f>
        <v>Industry</v>
      </c>
      <c r="B1085" s="284" t="str">
        <f>IF(ISBLANK(INDEX('Policy Characteristics'!B:B,MATCH($C1085,'Policy Characteristics'!$C:$C,0))),"",INDEX('Policy Characteristics'!B:B,MATCH($C1085,'Policy Characteristics'!$C:$C,0)))</f>
        <v>Industry Energy Efficiency Standards</v>
      </c>
      <c r="C1085" s="275" t="str">
        <f t="shared" si="42"/>
        <v>Percentage Improvement in Eqpt Efficiency Standards above BAU</v>
      </c>
      <c r="D1085" s="6" t="s">
        <v>3081</v>
      </c>
      <c r="E1085" s="47" t="s">
        <v>2403</v>
      </c>
      <c r="F1085" t="s">
        <v>3044</v>
      </c>
      <c r="G1085" s="47" t="s">
        <v>2411</v>
      </c>
      <c r="H1085" s="44">
        <v>1070</v>
      </c>
      <c r="I1085" s="346" t="s">
        <v>43</v>
      </c>
      <c r="J1085" s="276" t="str">
        <f>IF(ISBLANK(INDEX('Policy Characteristics'!D:D,MATCH($C1085,'Policy Characteristics'!$C:$C,0))),"",INDEX('Policy Characteristics'!D:D,MATCH($C1085,'Policy Characteristics'!$C:$C,0)))</f>
        <v>Industry Energy Efficiency Standards</v>
      </c>
      <c r="K1085" s="275" t="str">
        <f>IF(ISBLANK(INDEX('Policy Characteristics'!E:E,MATCH($C1085,'Policy Characteristics'!$C:$C,0))),"",INDEX('Policy Characteristics'!E:E,MATCH($C1085,'Policy Characteristics'!$C:$C,0)))</f>
        <v>indst efficiency standards</v>
      </c>
      <c r="L1085" s="283">
        <f>IF(ISBLANK(INDEX('Policy Characteristics'!F:F,MATCH($C1085,'Policy Characteristics'!$C:$C,0))),"",INDEX('Policy Characteristics'!F:F,MATCH($C1085,'Policy Characteristics'!$C:$C,0)))</f>
        <v>0</v>
      </c>
      <c r="M1085" s="283">
        <f>IF(ISBLANK(INDEX('Policy Characteristics'!G:G,MATCH($C1085,'Policy Characteristics'!$C:$C,0))),"",INDEX('Policy Characteristics'!G:G,MATCH($C1085,'Policy Characteristics'!$C:$C,0)))</f>
        <v>0.25</v>
      </c>
      <c r="N1085" s="283">
        <f>IF(ISBLANK(INDEX('Policy Characteristics'!H:H,MATCH($C1085,'Policy Characteristics'!$C:$C,0))),"",INDEX('Policy Characteristics'!H:H,MATCH($C1085,'Policy Characteristics'!$C:$C,0)))</f>
        <v>0.01</v>
      </c>
      <c r="O1085" s="275" t="str">
        <f>IF(ISBLANK(INDEX('Policy Characteristics'!I:I,MATCH($C1085,'Policy Characteristics'!$C:$C,0))),"",INDEX('Policy Characteristics'!I:I,MATCH($C1085,'Policy Characteristics'!$C:$C,0)))</f>
        <v>% reduction in energy use</v>
      </c>
      <c r="P1085" s="275" t="str">
        <f>IF(ISBLANK(INDEX('Policy Characteristics'!J:J,MATCH($C1085,'Policy Characteristics'!$C:$C,0))),"",INDEX('Policy Characteristics'!J:J,MATCH($C1085,'Policy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5" s="275" t="str">
        <f>IF(ISBLANK(INDEX('Policy Characteristics'!K:K,MATCH($C1085,'Policy Characteristics'!$C:$C,0))),"",INDEX('Policy Characteristics'!K:K,MATCH($C1085,'Policy Characteristics'!$C:$C,0)))</f>
        <v>industry-ag-main.html#eff-stds</v>
      </c>
      <c r="R1085" s="275" t="str">
        <f>IF(ISBLANK(INDEX('Policy Characteristics'!L:L,MATCH($C1085,'Policy Characteristics'!$C:$C,0))),"",INDEX('Policy Characteristics'!L:L,MATCH($C1085,'Policy Characteristics'!$C:$C,0)))</f>
        <v>industry-energy-efficiency-standards.html</v>
      </c>
    </row>
    <row r="1086" spans="1:18" s="4" customFormat="1" x14ac:dyDescent="0.25">
      <c r="A1086" s="275" t="str">
        <f>IF(ISBLANK(INDEX('Policy Characteristics'!A:A,MATCH($C1086,'Policy Characteristics'!$C:$C,0))),"",INDEX('Policy Characteristics'!A:A,MATCH($C1086,'Policy Characteristics'!$C:$C,0)))</f>
        <v>Industry</v>
      </c>
      <c r="B1086" s="284" t="str">
        <f>IF(ISBLANK(INDEX('Policy Characteristics'!B:B,MATCH($C1086,'Policy Characteristics'!$C:$C,0))),"",INDEX('Policy Characteristics'!B:B,MATCH($C1086,'Policy Characteristics'!$C:$C,0)))</f>
        <v>Industry Energy Efficiency Standards</v>
      </c>
      <c r="C1086" s="275" t="str">
        <f t="shared" si="42"/>
        <v>Percentage Improvement in Eqpt Efficiency Standards above BAU</v>
      </c>
      <c r="D1086" s="6" t="s">
        <v>3081</v>
      </c>
      <c r="E1086" s="47" t="s">
        <v>2404</v>
      </c>
      <c r="F1086" t="s">
        <v>3044</v>
      </c>
      <c r="G1086" s="47" t="s">
        <v>2408</v>
      </c>
      <c r="H1086" s="44">
        <v>1071</v>
      </c>
      <c r="I1086" s="346" t="s">
        <v>44</v>
      </c>
      <c r="J1086" s="276" t="str">
        <f>IF(ISBLANK(INDEX('Policy Characteristics'!D:D,MATCH($C1086,'Policy Characteristics'!$C:$C,0))),"",INDEX('Policy Characteristics'!D:D,MATCH($C1086,'Policy Characteristics'!$C:$C,0)))</f>
        <v>Industry Energy Efficiency Standards</v>
      </c>
      <c r="K1086" s="275" t="str">
        <f>IF(ISBLANK(INDEX('Policy Characteristics'!E:E,MATCH($C1086,'Policy Characteristics'!$C:$C,0))),"",INDEX('Policy Characteristics'!E:E,MATCH($C1086,'Policy Characteristics'!$C:$C,0)))</f>
        <v>indst efficiency standards</v>
      </c>
      <c r="L1086" s="283">
        <f>IF(ISBLANK(INDEX('Policy Characteristics'!F:F,MATCH($C1086,'Policy Characteristics'!$C:$C,0))),"",INDEX('Policy Characteristics'!F:F,MATCH($C1086,'Policy Characteristics'!$C:$C,0)))</f>
        <v>0</v>
      </c>
      <c r="M1086" s="283">
        <f>IF(ISBLANK(INDEX('Policy Characteristics'!G:G,MATCH($C1086,'Policy Characteristics'!$C:$C,0))),"",INDEX('Policy Characteristics'!G:G,MATCH($C1086,'Policy Characteristics'!$C:$C,0)))</f>
        <v>0.25</v>
      </c>
      <c r="N1086" s="283">
        <f>IF(ISBLANK(INDEX('Policy Characteristics'!H:H,MATCH($C1086,'Policy Characteristics'!$C:$C,0))),"",INDEX('Policy Characteristics'!H:H,MATCH($C1086,'Policy Characteristics'!$C:$C,0)))</f>
        <v>0.01</v>
      </c>
      <c r="O1086" s="275" t="str">
        <f>IF(ISBLANK(INDEX('Policy Characteristics'!I:I,MATCH($C1086,'Policy Characteristics'!$C:$C,0))),"",INDEX('Policy Characteristics'!I:I,MATCH($C1086,'Policy Characteristics'!$C:$C,0)))</f>
        <v>% reduction in energy use</v>
      </c>
      <c r="P1086" s="275" t="str">
        <f>IF(ISBLANK(INDEX('Policy Characteristics'!J:J,MATCH($C1086,'Policy Characteristics'!$C:$C,0))),"",INDEX('Policy Characteristics'!J:J,MATCH($C1086,'Policy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6" s="275" t="str">
        <f>IF(ISBLANK(INDEX('Policy Characteristics'!K:K,MATCH($C1086,'Policy Characteristics'!$C:$C,0))),"",INDEX('Policy Characteristics'!K:K,MATCH($C1086,'Policy Characteristics'!$C:$C,0)))</f>
        <v>industry-ag-main.html#eff-stds</v>
      </c>
      <c r="R1086" s="275" t="str">
        <f>IF(ISBLANK(INDEX('Policy Characteristics'!L:L,MATCH($C1086,'Policy Characteristics'!$C:$C,0))),"",INDEX('Policy Characteristics'!L:L,MATCH($C1086,'Policy Characteristics'!$C:$C,0)))</f>
        <v>industry-energy-efficiency-standards.html</v>
      </c>
    </row>
    <row r="1087" spans="1:18" s="4" customFormat="1" x14ac:dyDescent="0.25">
      <c r="A1087" s="275" t="str">
        <f>IF(ISBLANK(INDEX('Policy Characteristics'!A:A,MATCH($C1087,'Policy Characteristics'!$C:$C,0))),"",INDEX('Policy Characteristics'!A:A,MATCH($C1087,'Policy Characteristics'!$C:$C,0)))</f>
        <v>Industry</v>
      </c>
      <c r="B1087" s="284" t="str">
        <f>IF(ISBLANK(INDEX('Policy Characteristics'!B:B,MATCH($C1087,'Policy Characteristics'!$C:$C,0))),"",INDEX('Policy Characteristics'!B:B,MATCH($C1087,'Policy Characteristics'!$C:$C,0)))</f>
        <v>Industry Energy Efficiency Standards</v>
      </c>
      <c r="C1087" s="275" t="str">
        <f t="shared" si="42"/>
        <v>Percentage Improvement in Eqpt Efficiency Standards above BAU</v>
      </c>
      <c r="D1087" s="6" t="s">
        <v>3081</v>
      </c>
      <c r="E1087" s="47" t="s">
        <v>2405</v>
      </c>
      <c r="F1087" t="s">
        <v>3044</v>
      </c>
      <c r="G1087" s="47" t="s">
        <v>2409</v>
      </c>
      <c r="H1087" s="44">
        <v>1072</v>
      </c>
      <c r="I1087" s="346" t="s">
        <v>43</v>
      </c>
      <c r="J1087" s="276" t="str">
        <f>IF(ISBLANK(INDEX('Policy Characteristics'!D:D,MATCH($C1087,'Policy Characteristics'!$C:$C,0))),"",INDEX('Policy Characteristics'!D:D,MATCH($C1087,'Policy Characteristics'!$C:$C,0)))</f>
        <v>Industry Energy Efficiency Standards</v>
      </c>
      <c r="K1087" s="275" t="str">
        <f>IF(ISBLANK(INDEX('Policy Characteristics'!E:E,MATCH($C1087,'Policy Characteristics'!$C:$C,0))),"",INDEX('Policy Characteristics'!E:E,MATCH($C1087,'Policy Characteristics'!$C:$C,0)))</f>
        <v>indst efficiency standards</v>
      </c>
      <c r="L1087" s="283">
        <f>IF(ISBLANK(INDEX('Policy Characteristics'!F:F,MATCH($C1087,'Policy Characteristics'!$C:$C,0))),"",INDEX('Policy Characteristics'!F:F,MATCH($C1087,'Policy Characteristics'!$C:$C,0)))</f>
        <v>0</v>
      </c>
      <c r="M1087" s="283">
        <f>IF(ISBLANK(INDEX('Policy Characteristics'!G:G,MATCH($C1087,'Policy Characteristics'!$C:$C,0))),"",INDEX('Policy Characteristics'!G:G,MATCH($C1087,'Policy Characteristics'!$C:$C,0)))</f>
        <v>0.25</v>
      </c>
      <c r="N1087" s="283">
        <f>IF(ISBLANK(INDEX('Policy Characteristics'!H:H,MATCH($C1087,'Policy Characteristics'!$C:$C,0))),"",INDEX('Policy Characteristics'!H:H,MATCH($C1087,'Policy Characteristics'!$C:$C,0)))</f>
        <v>0.01</v>
      </c>
      <c r="O1087" s="275" t="str">
        <f>IF(ISBLANK(INDEX('Policy Characteristics'!I:I,MATCH($C1087,'Policy Characteristics'!$C:$C,0))),"",INDEX('Policy Characteristics'!I:I,MATCH($C1087,'Policy Characteristics'!$C:$C,0)))</f>
        <v>% reduction in energy use</v>
      </c>
      <c r="P1087" s="275" t="str">
        <f>IF(ISBLANK(INDEX('Policy Characteristics'!J:J,MATCH($C1087,'Policy Characteristics'!$C:$C,0))),"",INDEX('Policy Characteristics'!J:J,MATCH($C1087,'Policy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7" s="275" t="str">
        <f>IF(ISBLANK(INDEX('Policy Characteristics'!K:K,MATCH($C1087,'Policy Characteristics'!$C:$C,0))),"",INDEX('Policy Characteristics'!K:K,MATCH($C1087,'Policy Characteristics'!$C:$C,0)))</f>
        <v>industry-ag-main.html#eff-stds</v>
      </c>
      <c r="R1087" s="275" t="str">
        <f>IF(ISBLANK(INDEX('Policy Characteristics'!L:L,MATCH($C1087,'Policy Characteristics'!$C:$C,0))),"",INDEX('Policy Characteristics'!L:L,MATCH($C1087,'Policy Characteristics'!$C:$C,0)))</f>
        <v>industry-energy-efficiency-standards.html</v>
      </c>
    </row>
    <row r="1088" spans="1:18" s="4" customFormat="1" x14ac:dyDescent="0.25">
      <c r="A1088" s="275" t="str">
        <f>IF(ISBLANK(INDEX('Policy Characteristics'!A:A,MATCH($C1088,'Policy Characteristics'!$C:$C,0))),"",INDEX('Policy Characteristics'!A:A,MATCH($C1088,'Policy Characteristics'!$C:$C,0)))</f>
        <v>Industry</v>
      </c>
      <c r="B1088" s="284" t="str">
        <f>IF(ISBLANK(INDEX('Policy Characteristics'!B:B,MATCH($C1088,'Policy Characteristics'!$C:$C,0))),"",INDEX('Policy Characteristics'!B:B,MATCH($C1088,'Policy Characteristics'!$C:$C,0)))</f>
        <v>Industry Energy Efficiency Standards</v>
      </c>
      <c r="C1088" s="275" t="str">
        <f t="shared" si="42"/>
        <v>Percentage Improvement in Eqpt Efficiency Standards above BAU</v>
      </c>
      <c r="D1088" s="6" t="s">
        <v>3081</v>
      </c>
      <c r="E1088" s="47" t="s">
        <v>2406</v>
      </c>
      <c r="F1088" t="s">
        <v>3044</v>
      </c>
      <c r="G1088" s="47" t="s">
        <v>2412</v>
      </c>
      <c r="H1088" s="44">
        <v>1073</v>
      </c>
      <c r="I1088" s="346" t="s">
        <v>44</v>
      </c>
      <c r="J1088" s="276" t="str">
        <f>IF(ISBLANK(INDEX('Policy Characteristics'!D:D,MATCH($C1088,'Policy Characteristics'!$C:$C,0))),"",INDEX('Policy Characteristics'!D:D,MATCH($C1088,'Policy Characteristics'!$C:$C,0)))</f>
        <v>Industry Energy Efficiency Standards</v>
      </c>
      <c r="K1088" s="275" t="str">
        <f>IF(ISBLANK(INDEX('Policy Characteristics'!E:E,MATCH($C1088,'Policy Characteristics'!$C:$C,0))),"",INDEX('Policy Characteristics'!E:E,MATCH($C1088,'Policy Characteristics'!$C:$C,0)))</f>
        <v>indst efficiency standards</v>
      </c>
      <c r="L1088" s="283">
        <f>IF(ISBLANK(INDEX('Policy Characteristics'!F:F,MATCH($C1088,'Policy Characteristics'!$C:$C,0))),"",INDEX('Policy Characteristics'!F:F,MATCH($C1088,'Policy Characteristics'!$C:$C,0)))</f>
        <v>0</v>
      </c>
      <c r="M1088" s="283">
        <f>IF(ISBLANK(INDEX('Policy Characteristics'!G:G,MATCH($C1088,'Policy Characteristics'!$C:$C,0))),"",INDEX('Policy Characteristics'!G:G,MATCH($C1088,'Policy Characteristics'!$C:$C,0)))</f>
        <v>0.25</v>
      </c>
      <c r="N1088" s="283">
        <f>IF(ISBLANK(INDEX('Policy Characteristics'!H:H,MATCH($C1088,'Policy Characteristics'!$C:$C,0))),"",INDEX('Policy Characteristics'!H:H,MATCH($C1088,'Policy Characteristics'!$C:$C,0)))</f>
        <v>0.01</v>
      </c>
      <c r="O1088" s="275" t="str">
        <f>IF(ISBLANK(INDEX('Policy Characteristics'!I:I,MATCH($C1088,'Policy Characteristics'!$C:$C,0))),"",INDEX('Policy Characteristics'!I:I,MATCH($C1088,'Policy Characteristics'!$C:$C,0)))</f>
        <v>% reduction in energy use</v>
      </c>
      <c r="P1088" s="275" t="str">
        <f>IF(ISBLANK(INDEX('Policy Characteristics'!J:J,MATCH($C1088,'Policy Characteristics'!$C:$C,0))),"",INDEX('Policy Characteristics'!J:J,MATCH($C1088,'Policy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8" s="275" t="str">
        <f>IF(ISBLANK(INDEX('Policy Characteristics'!K:K,MATCH($C1088,'Policy Characteristics'!$C:$C,0))),"",INDEX('Policy Characteristics'!K:K,MATCH($C1088,'Policy Characteristics'!$C:$C,0)))</f>
        <v>industry-ag-main.html#eff-stds</v>
      </c>
      <c r="R1088" s="275" t="str">
        <f>IF(ISBLANK(INDEX('Policy Characteristics'!L:L,MATCH($C1088,'Policy Characteristics'!$C:$C,0))),"",INDEX('Policy Characteristics'!L:L,MATCH($C1088,'Policy Characteristics'!$C:$C,0)))</f>
        <v>industry-energy-efficiency-standards.html</v>
      </c>
    </row>
    <row r="1089" spans="1:18" s="4" customFormat="1" x14ac:dyDescent="0.25">
      <c r="A1089" s="275" t="str">
        <f>IF(ISBLANK(INDEX('Policy Characteristics'!A:A,MATCH($C1089,'Policy Characteristics'!$C:$C,0))),"",INDEX('Policy Characteristics'!A:A,MATCH($C1089,'Policy Characteristics'!$C:$C,0)))</f>
        <v>Industry</v>
      </c>
      <c r="B1089" s="284" t="str">
        <f>IF(ISBLANK(INDEX('Policy Characteristics'!B:B,MATCH($C1089,'Policy Characteristics'!$C:$C,0))),"",INDEX('Policy Characteristics'!B:B,MATCH($C1089,'Policy Characteristics'!$C:$C,0)))</f>
        <v>Industry Energy Efficiency Standards</v>
      </c>
      <c r="C1089" s="275" t="str">
        <f t="shared" si="42"/>
        <v>Percentage Improvement in Eqpt Efficiency Standards above BAU</v>
      </c>
      <c r="D1089" s="6" t="s">
        <v>3081</v>
      </c>
      <c r="E1089" s="47" t="s">
        <v>2709</v>
      </c>
      <c r="F1089" t="s">
        <v>3044</v>
      </c>
      <c r="G1089" s="47" t="s">
        <v>2712</v>
      </c>
      <c r="H1089" s="44">
        <v>1074</v>
      </c>
      <c r="I1089" s="346" t="s">
        <v>44</v>
      </c>
      <c r="J1089" s="276" t="str">
        <f>IF(ISBLANK(INDEX('Policy Characteristics'!D:D,MATCH($C1089,'Policy Characteristics'!$C:$C,0))),"",INDEX('Policy Characteristics'!D:D,MATCH($C1089,'Policy Characteristics'!$C:$C,0)))</f>
        <v>Industry Energy Efficiency Standards</v>
      </c>
      <c r="K1089" s="275" t="str">
        <f>IF(ISBLANK(INDEX('Policy Characteristics'!E:E,MATCH($C1089,'Policy Characteristics'!$C:$C,0))),"",INDEX('Policy Characteristics'!E:E,MATCH($C1089,'Policy Characteristics'!$C:$C,0)))</f>
        <v>indst efficiency standards</v>
      </c>
      <c r="L1089" s="283">
        <f>IF(ISBLANK(INDEX('Policy Characteristics'!F:F,MATCH($C1089,'Policy Characteristics'!$C:$C,0))),"",INDEX('Policy Characteristics'!F:F,MATCH($C1089,'Policy Characteristics'!$C:$C,0)))</f>
        <v>0</v>
      </c>
      <c r="M1089" s="283">
        <f>IF(ISBLANK(INDEX('Policy Characteristics'!G:G,MATCH($C1089,'Policy Characteristics'!$C:$C,0))),"",INDEX('Policy Characteristics'!G:G,MATCH($C1089,'Policy Characteristics'!$C:$C,0)))</f>
        <v>0.25</v>
      </c>
      <c r="N1089" s="283">
        <f>IF(ISBLANK(INDEX('Policy Characteristics'!H:H,MATCH($C1089,'Policy Characteristics'!$C:$C,0))),"",INDEX('Policy Characteristics'!H:H,MATCH($C1089,'Policy Characteristics'!$C:$C,0)))</f>
        <v>0.01</v>
      </c>
      <c r="O1089" s="275" t="str">
        <f>IF(ISBLANK(INDEX('Policy Characteristics'!I:I,MATCH($C1089,'Policy Characteristics'!$C:$C,0))),"",INDEX('Policy Characteristics'!I:I,MATCH($C1089,'Policy Characteristics'!$C:$C,0)))</f>
        <v>% reduction in energy use</v>
      </c>
      <c r="P1089" s="275" t="str">
        <f>IF(ISBLANK(INDEX('Policy Characteristics'!J:J,MATCH($C1089,'Policy Characteristics'!$C:$C,0))),"",INDEX('Policy Characteristics'!J:J,MATCH($C1089,'Policy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9" s="275" t="str">
        <f>IF(ISBLANK(INDEX('Policy Characteristics'!K:K,MATCH($C1089,'Policy Characteristics'!$C:$C,0))),"",INDEX('Policy Characteristics'!K:K,MATCH($C1089,'Policy Characteristics'!$C:$C,0)))</f>
        <v>industry-ag-main.html#eff-stds</v>
      </c>
      <c r="R1089" s="275" t="str">
        <f>IF(ISBLANK(INDEX('Policy Characteristics'!L:L,MATCH($C1089,'Policy Characteristics'!$C:$C,0))),"",INDEX('Policy Characteristics'!L:L,MATCH($C1089,'Policy Characteristics'!$C:$C,0)))</f>
        <v>industry-energy-efficiency-standards.html</v>
      </c>
    </row>
    <row r="1090" spans="1:18" s="4" customFormat="1" x14ac:dyDescent="0.25">
      <c r="A1090" s="275" t="str">
        <f>IF(ISBLANK(INDEX('Policy Characteristics'!A:A,MATCH($C1090,'Policy Characteristics'!$C:$C,0))),"",INDEX('Policy Characteristics'!A:A,MATCH($C1090,'Policy Characteristics'!$C:$C,0)))</f>
        <v>Industry</v>
      </c>
      <c r="B1090" s="284" t="str">
        <f>IF(ISBLANK(INDEX('Policy Characteristics'!B:B,MATCH($C1090,'Policy Characteristics'!$C:$C,0))),"",INDEX('Policy Characteristics'!B:B,MATCH($C1090,'Policy Characteristics'!$C:$C,0)))</f>
        <v>Industry Energy Efficiency Standards</v>
      </c>
      <c r="C1090" s="275" t="str">
        <f t="shared" si="42"/>
        <v>Percentage Improvement in Eqpt Efficiency Standards above BAU</v>
      </c>
      <c r="D1090" s="6" t="s">
        <v>3081</v>
      </c>
      <c r="E1090" s="47" t="s">
        <v>2710</v>
      </c>
      <c r="F1090" t="s">
        <v>3044</v>
      </c>
      <c r="G1090" s="47" t="s">
        <v>2714</v>
      </c>
      <c r="H1090" s="44">
        <v>1075</v>
      </c>
      <c r="I1090" s="346" t="s">
        <v>44</v>
      </c>
      <c r="J1090" s="276" t="str">
        <f>IF(ISBLANK(INDEX('Policy Characteristics'!D:D,MATCH($C1090,'Policy Characteristics'!$C:$C,0))),"",INDEX('Policy Characteristics'!D:D,MATCH($C1090,'Policy Characteristics'!$C:$C,0)))</f>
        <v>Industry Energy Efficiency Standards</v>
      </c>
      <c r="K1090" s="275" t="str">
        <f>IF(ISBLANK(INDEX('Policy Characteristics'!E:E,MATCH($C1090,'Policy Characteristics'!$C:$C,0))),"",INDEX('Policy Characteristics'!E:E,MATCH($C1090,'Policy Characteristics'!$C:$C,0)))</f>
        <v>indst efficiency standards</v>
      </c>
      <c r="L1090" s="283">
        <f>IF(ISBLANK(INDEX('Policy Characteristics'!F:F,MATCH($C1090,'Policy Characteristics'!$C:$C,0))),"",INDEX('Policy Characteristics'!F:F,MATCH($C1090,'Policy Characteristics'!$C:$C,0)))</f>
        <v>0</v>
      </c>
      <c r="M1090" s="283">
        <f>IF(ISBLANK(INDEX('Policy Characteristics'!G:G,MATCH($C1090,'Policy Characteristics'!$C:$C,0))),"",INDEX('Policy Characteristics'!G:G,MATCH($C1090,'Policy Characteristics'!$C:$C,0)))</f>
        <v>0.25</v>
      </c>
      <c r="N1090" s="283">
        <f>IF(ISBLANK(INDEX('Policy Characteristics'!H:H,MATCH($C1090,'Policy Characteristics'!$C:$C,0))),"",INDEX('Policy Characteristics'!H:H,MATCH($C1090,'Policy Characteristics'!$C:$C,0)))</f>
        <v>0.01</v>
      </c>
      <c r="O1090" s="275" t="str">
        <f>IF(ISBLANK(INDEX('Policy Characteristics'!I:I,MATCH($C1090,'Policy Characteristics'!$C:$C,0))),"",INDEX('Policy Characteristics'!I:I,MATCH($C1090,'Policy Characteristics'!$C:$C,0)))</f>
        <v>% reduction in energy use</v>
      </c>
      <c r="P1090" s="275" t="str">
        <f>IF(ISBLANK(INDEX('Policy Characteristics'!J:J,MATCH($C1090,'Policy Characteristics'!$C:$C,0))),"",INDEX('Policy Characteristics'!J:J,MATCH($C1090,'Policy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0" s="275" t="str">
        <f>IF(ISBLANK(INDEX('Policy Characteristics'!K:K,MATCH($C1090,'Policy Characteristics'!$C:$C,0))),"",INDEX('Policy Characteristics'!K:K,MATCH($C1090,'Policy Characteristics'!$C:$C,0)))</f>
        <v>industry-ag-main.html#eff-stds</v>
      </c>
      <c r="R1090" s="275" t="str">
        <f>IF(ISBLANK(INDEX('Policy Characteristics'!L:L,MATCH($C1090,'Policy Characteristics'!$C:$C,0))),"",INDEX('Policy Characteristics'!L:L,MATCH($C1090,'Policy Characteristics'!$C:$C,0)))</f>
        <v>industry-energy-efficiency-standards.html</v>
      </c>
    </row>
    <row r="1091" spans="1:18" s="4" customFormat="1" x14ac:dyDescent="0.25">
      <c r="A1091" s="275" t="str">
        <f>IF(ISBLANK(INDEX('Policy Characteristics'!A:A,MATCH($C1091,'Policy Characteristics'!$C:$C,0))),"",INDEX('Policy Characteristics'!A:A,MATCH($C1091,'Policy Characteristics'!$C:$C,0)))</f>
        <v>Industry</v>
      </c>
      <c r="B1091" s="284" t="str">
        <f>IF(ISBLANK(INDEX('Policy Characteristics'!B:B,MATCH($C1091,'Policy Characteristics'!$C:$C,0))),"",INDEX('Policy Characteristics'!B:B,MATCH($C1091,'Policy Characteristics'!$C:$C,0)))</f>
        <v>Industry Energy Efficiency Standards</v>
      </c>
      <c r="C1091" s="275" t="str">
        <f t="shared" si="42"/>
        <v>Percentage Improvement in Eqpt Efficiency Standards above BAU</v>
      </c>
      <c r="D1091" s="6" t="s">
        <v>3081</v>
      </c>
      <c r="E1091" s="47" t="s">
        <v>2711</v>
      </c>
      <c r="F1091" t="s">
        <v>3044</v>
      </c>
      <c r="G1091" s="47" t="s">
        <v>2715</v>
      </c>
      <c r="H1091" s="44">
        <v>1076</v>
      </c>
      <c r="I1091" s="346" t="s">
        <v>43</v>
      </c>
      <c r="J1091" s="276" t="str">
        <f>IF(ISBLANK(INDEX('Policy Characteristics'!D:D,MATCH($C1091,'Policy Characteristics'!$C:$C,0))),"",INDEX('Policy Characteristics'!D:D,MATCH($C1091,'Policy Characteristics'!$C:$C,0)))</f>
        <v>Industry Energy Efficiency Standards</v>
      </c>
      <c r="K1091" s="275" t="str">
        <f>IF(ISBLANK(INDEX('Policy Characteristics'!E:E,MATCH($C1091,'Policy Characteristics'!$C:$C,0))),"",INDEX('Policy Characteristics'!E:E,MATCH($C1091,'Policy Characteristics'!$C:$C,0)))</f>
        <v>indst efficiency standards</v>
      </c>
      <c r="L1091" s="283">
        <f>IF(ISBLANK(INDEX('Policy Characteristics'!F:F,MATCH($C1091,'Policy Characteristics'!$C:$C,0))),"",INDEX('Policy Characteristics'!F:F,MATCH($C1091,'Policy Characteristics'!$C:$C,0)))</f>
        <v>0</v>
      </c>
      <c r="M1091" s="283">
        <f>IF(ISBLANK(INDEX('Policy Characteristics'!G:G,MATCH($C1091,'Policy Characteristics'!$C:$C,0))),"",INDEX('Policy Characteristics'!G:G,MATCH($C1091,'Policy Characteristics'!$C:$C,0)))</f>
        <v>0.25</v>
      </c>
      <c r="N1091" s="283">
        <f>IF(ISBLANK(INDEX('Policy Characteristics'!H:H,MATCH($C1091,'Policy Characteristics'!$C:$C,0))),"",INDEX('Policy Characteristics'!H:H,MATCH($C1091,'Policy Characteristics'!$C:$C,0)))</f>
        <v>0.01</v>
      </c>
      <c r="O1091" s="275" t="str">
        <f>IF(ISBLANK(INDEX('Policy Characteristics'!I:I,MATCH($C1091,'Policy Characteristics'!$C:$C,0))),"",INDEX('Policy Characteristics'!I:I,MATCH($C1091,'Policy Characteristics'!$C:$C,0)))</f>
        <v>% reduction in energy use</v>
      </c>
      <c r="P1091" s="275" t="str">
        <f>IF(ISBLANK(INDEX('Policy Characteristics'!J:J,MATCH($C1091,'Policy Characteristics'!$C:$C,0))),"",INDEX('Policy Characteristics'!J:J,MATCH($C1091,'Policy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1" s="275" t="str">
        <f>IF(ISBLANK(INDEX('Policy Characteristics'!K:K,MATCH($C1091,'Policy Characteristics'!$C:$C,0))),"",INDEX('Policy Characteristics'!K:K,MATCH($C1091,'Policy Characteristics'!$C:$C,0)))</f>
        <v>industry-ag-main.html#eff-stds</v>
      </c>
      <c r="R1091" s="275" t="str">
        <f>IF(ISBLANK(INDEX('Policy Characteristics'!L:L,MATCH($C1091,'Policy Characteristics'!$C:$C,0))),"",INDEX('Policy Characteristics'!L:L,MATCH($C1091,'Policy Characteristics'!$C:$C,0)))</f>
        <v>industry-energy-efficiency-standards.html</v>
      </c>
    </row>
    <row r="1092" spans="1:18" s="4" customFormat="1" x14ac:dyDescent="0.25">
      <c r="A1092" s="275" t="str">
        <f>IF(ISBLANK(INDEX('Policy Characteristics'!A:A,MATCH($C1092,'Policy Characteristics'!$C:$C,0))),"",INDEX('Policy Characteristics'!A:A,MATCH($C1092,'Policy Characteristics'!$C:$C,0)))</f>
        <v>Industry</v>
      </c>
      <c r="B1092" s="284" t="str">
        <f>IF(ISBLANK(INDEX('Policy Characteristics'!B:B,MATCH($C1092,'Policy Characteristics'!$C:$C,0))),"",INDEX('Policy Characteristics'!B:B,MATCH($C1092,'Policy Characteristics'!$C:$C,0)))</f>
        <v>Industry Energy Efficiency Standards</v>
      </c>
      <c r="C1092" s="275" t="str">
        <f t="shared" si="42"/>
        <v>Percentage Improvement in Eqpt Efficiency Standards above BAU</v>
      </c>
      <c r="D1092" s="6" t="s">
        <v>3081</v>
      </c>
      <c r="E1092" s="47" t="s">
        <v>2708</v>
      </c>
      <c r="F1092" t="s">
        <v>3044</v>
      </c>
      <c r="G1092" s="47" t="s">
        <v>2713</v>
      </c>
      <c r="H1092" s="44">
        <v>1077</v>
      </c>
      <c r="I1092" s="346" t="s">
        <v>44</v>
      </c>
      <c r="J1092" s="276" t="str">
        <f>IF(ISBLANK(INDEX('Policy Characteristics'!D:D,MATCH($C1092,'Policy Characteristics'!$C:$C,0))),"",INDEX('Policy Characteristics'!D:D,MATCH($C1092,'Policy Characteristics'!$C:$C,0)))</f>
        <v>Industry Energy Efficiency Standards</v>
      </c>
      <c r="K1092" s="275" t="str">
        <f>IF(ISBLANK(INDEX('Policy Characteristics'!E:E,MATCH($C1092,'Policy Characteristics'!$C:$C,0))),"",INDEX('Policy Characteristics'!E:E,MATCH($C1092,'Policy Characteristics'!$C:$C,0)))</f>
        <v>indst efficiency standards</v>
      </c>
      <c r="L1092" s="283">
        <f>IF(ISBLANK(INDEX('Policy Characteristics'!F:F,MATCH($C1092,'Policy Characteristics'!$C:$C,0))),"",INDEX('Policy Characteristics'!F:F,MATCH($C1092,'Policy Characteristics'!$C:$C,0)))</f>
        <v>0</v>
      </c>
      <c r="M1092" s="283">
        <f>IF(ISBLANK(INDEX('Policy Characteristics'!G:G,MATCH($C1092,'Policy Characteristics'!$C:$C,0))),"",INDEX('Policy Characteristics'!G:G,MATCH($C1092,'Policy Characteristics'!$C:$C,0)))</f>
        <v>0.25</v>
      </c>
      <c r="N1092" s="283">
        <f>IF(ISBLANK(INDEX('Policy Characteristics'!H:H,MATCH($C1092,'Policy Characteristics'!$C:$C,0))),"",INDEX('Policy Characteristics'!H:H,MATCH($C1092,'Policy Characteristics'!$C:$C,0)))</f>
        <v>0.01</v>
      </c>
      <c r="O1092" s="275" t="str">
        <f>IF(ISBLANK(INDEX('Policy Characteristics'!I:I,MATCH($C1092,'Policy Characteristics'!$C:$C,0))),"",INDEX('Policy Characteristics'!I:I,MATCH($C1092,'Policy Characteristics'!$C:$C,0)))</f>
        <v>% reduction in energy use</v>
      </c>
      <c r="P1092" s="275" t="str">
        <f>IF(ISBLANK(INDEX('Policy Characteristics'!J:J,MATCH($C1092,'Policy Characteristics'!$C:$C,0))),"",INDEX('Policy Characteristics'!J:J,MATCH($C1092,'Policy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2" s="275" t="str">
        <f>IF(ISBLANK(INDEX('Policy Characteristics'!K:K,MATCH($C1092,'Policy Characteristics'!$C:$C,0))),"",INDEX('Policy Characteristics'!K:K,MATCH($C1092,'Policy Characteristics'!$C:$C,0)))</f>
        <v>industry-ag-main.html#eff-stds</v>
      </c>
      <c r="R1092" s="275" t="str">
        <f>IF(ISBLANK(INDEX('Policy Characteristics'!L:L,MATCH($C1092,'Policy Characteristics'!$C:$C,0))),"",INDEX('Policy Characteristics'!L:L,MATCH($C1092,'Policy Characteristics'!$C:$C,0)))</f>
        <v>industry-energy-efficiency-standards.html</v>
      </c>
    </row>
    <row r="1093" spans="1:18" s="4" customFormat="1" x14ac:dyDescent="0.25">
      <c r="A1093" s="275" t="str">
        <f>IF(ISBLANK(INDEX('Policy Characteristics'!A:A,MATCH($C1093,'Policy Characteristics'!$C:$C,0))),"",INDEX('Policy Characteristics'!A:A,MATCH($C1093,'Policy Characteristics'!$C:$C,0)))</f>
        <v>Industry</v>
      </c>
      <c r="B1093" s="284" t="str">
        <f>IF(ISBLANK(INDEX('Policy Characteristics'!B:B,MATCH($C1093,'Policy Characteristics'!$C:$C,0))),"",INDEX('Policy Characteristics'!B:B,MATCH($C1093,'Policy Characteristics'!$C:$C,0)))</f>
        <v>Industry Energy Efficiency Standards</v>
      </c>
      <c r="C1093" s="275" t="str">
        <f t="shared" si="42"/>
        <v>Percentage Improvement in Eqpt Efficiency Standards above BAU</v>
      </c>
      <c r="D1093" s="6" t="s">
        <v>3082</v>
      </c>
      <c r="E1093" s="47" t="s">
        <v>2401</v>
      </c>
      <c r="F1093" t="s">
        <v>3045</v>
      </c>
      <c r="G1093" s="47" t="s">
        <v>2407</v>
      </c>
      <c r="H1093" s="44">
        <v>1078</v>
      </c>
      <c r="I1093" s="346" t="s">
        <v>43</v>
      </c>
      <c r="J1093" s="276" t="str">
        <f>IF(ISBLANK(INDEX('Policy Characteristics'!D:D,MATCH($C1093,'Policy Characteristics'!$C:$C,0))),"",INDEX('Policy Characteristics'!D:D,MATCH($C1093,'Policy Characteristics'!$C:$C,0)))</f>
        <v>Industry Energy Efficiency Standards</v>
      </c>
      <c r="K1093" s="275" t="str">
        <f>IF(ISBLANK(INDEX('Policy Characteristics'!E:E,MATCH($C1093,'Policy Characteristics'!$C:$C,0))),"",INDEX('Policy Characteristics'!E:E,MATCH($C1093,'Policy Characteristics'!$C:$C,0)))</f>
        <v>indst efficiency standards</v>
      </c>
      <c r="L1093" s="283">
        <f>IF(ISBLANK(INDEX('Policy Characteristics'!F:F,MATCH($C1093,'Policy Characteristics'!$C:$C,0))),"",INDEX('Policy Characteristics'!F:F,MATCH($C1093,'Policy Characteristics'!$C:$C,0)))</f>
        <v>0</v>
      </c>
      <c r="M1093" s="283">
        <f>IF(ISBLANK(INDEX('Policy Characteristics'!G:G,MATCH($C1093,'Policy Characteristics'!$C:$C,0))),"",INDEX('Policy Characteristics'!G:G,MATCH($C1093,'Policy Characteristics'!$C:$C,0)))</f>
        <v>0.25</v>
      </c>
      <c r="N1093" s="283">
        <f>IF(ISBLANK(INDEX('Policy Characteristics'!H:H,MATCH($C1093,'Policy Characteristics'!$C:$C,0))),"",INDEX('Policy Characteristics'!H:H,MATCH($C1093,'Policy Characteristics'!$C:$C,0)))</f>
        <v>0.01</v>
      </c>
      <c r="O1093" s="275" t="str">
        <f>IF(ISBLANK(INDEX('Policy Characteristics'!I:I,MATCH($C1093,'Policy Characteristics'!$C:$C,0))),"",INDEX('Policy Characteristics'!I:I,MATCH($C1093,'Policy Characteristics'!$C:$C,0)))</f>
        <v>% reduction in energy use</v>
      </c>
      <c r="P1093" s="275" t="str">
        <f>IF(ISBLANK(INDEX('Policy Characteristics'!J:J,MATCH($C1093,'Policy Characteristics'!$C:$C,0))),"",INDEX('Policy Characteristics'!J:J,MATCH($C1093,'Policy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3" s="275" t="str">
        <f>IF(ISBLANK(INDEX('Policy Characteristics'!K:K,MATCH($C1093,'Policy Characteristics'!$C:$C,0))),"",INDEX('Policy Characteristics'!K:K,MATCH($C1093,'Policy Characteristics'!$C:$C,0)))</f>
        <v>industry-ag-main.html#eff-stds</v>
      </c>
      <c r="R1093" s="275" t="str">
        <f>IF(ISBLANK(INDEX('Policy Characteristics'!L:L,MATCH($C1093,'Policy Characteristics'!$C:$C,0))),"",INDEX('Policy Characteristics'!L:L,MATCH($C1093,'Policy Characteristics'!$C:$C,0)))</f>
        <v>industry-energy-efficiency-standards.html</v>
      </c>
    </row>
    <row r="1094" spans="1:18" s="4" customFormat="1" x14ac:dyDescent="0.25">
      <c r="A1094" s="275" t="str">
        <f>IF(ISBLANK(INDEX('Policy Characteristics'!A:A,MATCH($C1094,'Policy Characteristics'!$C:$C,0))),"",INDEX('Policy Characteristics'!A:A,MATCH($C1094,'Policy Characteristics'!$C:$C,0)))</f>
        <v>Industry</v>
      </c>
      <c r="B1094" s="284" t="str">
        <f>IF(ISBLANK(INDEX('Policy Characteristics'!B:B,MATCH($C1094,'Policy Characteristics'!$C:$C,0))),"",INDEX('Policy Characteristics'!B:B,MATCH($C1094,'Policy Characteristics'!$C:$C,0)))</f>
        <v>Industry Energy Efficiency Standards</v>
      </c>
      <c r="C1094" s="275" t="str">
        <f t="shared" si="42"/>
        <v>Percentage Improvement in Eqpt Efficiency Standards above BAU</v>
      </c>
      <c r="D1094" s="6" t="s">
        <v>3082</v>
      </c>
      <c r="E1094" s="47" t="s">
        <v>2402</v>
      </c>
      <c r="F1094" t="s">
        <v>3045</v>
      </c>
      <c r="G1094" s="47" t="s">
        <v>2410</v>
      </c>
      <c r="H1094" s="44">
        <v>1079</v>
      </c>
      <c r="I1094" s="346" t="s">
        <v>43</v>
      </c>
      <c r="J1094" s="276" t="str">
        <f>IF(ISBLANK(INDEX('Policy Characteristics'!D:D,MATCH($C1094,'Policy Characteristics'!$C:$C,0))),"",INDEX('Policy Characteristics'!D:D,MATCH($C1094,'Policy Characteristics'!$C:$C,0)))</f>
        <v>Industry Energy Efficiency Standards</v>
      </c>
      <c r="K1094" s="275" t="str">
        <f>IF(ISBLANK(INDEX('Policy Characteristics'!E:E,MATCH($C1094,'Policy Characteristics'!$C:$C,0))),"",INDEX('Policy Characteristics'!E:E,MATCH($C1094,'Policy Characteristics'!$C:$C,0)))</f>
        <v>indst efficiency standards</v>
      </c>
      <c r="L1094" s="283">
        <f>IF(ISBLANK(INDEX('Policy Characteristics'!F:F,MATCH($C1094,'Policy Characteristics'!$C:$C,0))),"",INDEX('Policy Characteristics'!F:F,MATCH($C1094,'Policy Characteristics'!$C:$C,0)))</f>
        <v>0</v>
      </c>
      <c r="M1094" s="283">
        <f>IF(ISBLANK(INDEX('Policy Characteristics'!G:G,MATCH($C1094,'Policy Characteristics'!$C:$C,0))),"",INDEX('Policy Characteristics'!G:G,MATCH($C1094,'Policy Characteristics'!$C:$C,0)))</f>
        <v>0.25</v>
      </c>
      <c r="N1094" s="283">
        <f>IF(ISBLANK(INDEX('Policy Characteristics'!H:H,MATCH($C1094,'Policy Characteristics'!$C:$C,0))),"",INDEX('Policy Characteristics'!H:H,MATCH($C1094,'Policy Characteristics'!$C:$C,0)))</f>
        <v>0.01</v>
      </c>
      <c r="O1094" s="275" t="str">
        <f>IF(ISBLANK(INDEX('Policy Characteristics'!I:I,MATCH($C1094,'Policy Characteristics'!$C:$C,0))),"",INDEX('Policy Characteristics'!I:I,MATCH($C1094,'Policy Characteristics'!$C:$C,0)))</f>
        <v>% reduction in energy use</v>
      </c>
      <c r="P1094" s="275" t="str">
        <f>IF(ISBLANK(INDEX('Policy Characteristics'!J:J,MATCH($C1094,'Policy Characteristics'!$C:$C,0))),"",INDEX('Policy Characteristics'!J:J,MATCH($C1094,'Policy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4" s="275" t="str">
        <f>IF(ISBLANK(INDEX('Policy Characteristics'!K:K,MATCH($C1094,'Policy Characteristics'!$C:$C,0))),"",INDEX('Policy Characteristics'!K:K,MATCH($C1094,'Policy Characteristics'!$C:$C,0)))</f>
        <v>industry-ag-main.html#eff-stds</v>
      </c>
      <c r="R1094" s="275" t="str">
        <f>IF(ISBLANK(INDEX('Policy Characteristics'!L:L,MATCH($C1094,'Policy Characteristics'!$C:$C,0))),"",INDEX('Policy Characteristics'!L:L,MATCH($C1094,'Policy Characteristics'!$C:$C,0)))</f>
        <v>industry-energy-efficiency-standards.html</v>
      </c>
    </row>
    <row r="1095" spans="1:18" s="4" customFormat="1" x14ac:dyDescent="0.25">
      <c r="A1095" s="275" t="str">
        <f>IF(ISBLANK(INDEX('Policy Characteristics'!A:A,MATCH($C1095,'Policy Characteristics'!$C:$C,0))),"",INDEX('Policy Characteristics'!A:A,MATCH($C1095,'Policy Characteristics'!$C:$C,0)))</f>
        <v>Industry</v>
      </c>
      <c r="B1095" s="284" t="str">
        <f>IF(ISBLANK(INDEX('Policy Characteristics'!B:B,MATCH($C1095,'Policy Characteristics'!$C:$C,0))),"",INDEX('Policy Characteristics'!B:B,MATCH($C1095,'Policy Characteristics'!$C:$C,0)))</f>
        <v>Industry Energy Efficiency Standards</v>
      </c>
      <c r="C1095" s="275" t="str">
        <f t="shared" si="42"/>
        <v>Percentage Improvement in Eqpt Efficiency Standards above BAU</v>
      </c>
      <c r="D1095" s="6" t="s">
        <v>3082</v>
      </c>
      <c r="E1095" s="47" t="s">
        <v>2403</v>
      </c>
      <c r="F1095" t="s">
        <v>3045</v>
      </c>
      <c r="G1095" s="47" t="s">
        <v>2411</v>
      </c>
      <c r="H1095" s="44">
        <v>1080</v>
      </c>
      <c r="I1095" s="346" t="s">
        <v>43</v>
      </c>
      <c r="J1095" s="276" t="str">
        <f>IF(ISBLANK(INDEX('Policy Characteristics'!D:D,MATCH($C1095,'Policy Characteristics'!$C:$C,0))),"",INDEX('Policy Characteristics'!D:D,MATCH($C1095,'Policy Characteristics'!$C:$C,0)))</f>
        <v>Industry Energy Efficiency Standards</v>
      </c>
      <c r="K1095" s="275" t="str">
        <f>IF(ISBLANK(INDEX('Policy Characteristics'!E:E,MATCH($C1095,'Policy Characteristics'!$C:$C,0))),"",INDEX('Policy Characteristics'!E:E,MATCH($C1095,'Policy Characteristics'!$C:$C,0)))</f>
        <v>indst efficiency standards</v>
      </c>
      <c r="L1095" s="283">
        <f>IF(ISBLANK(INDEX('Policy Characteristics'!F:F,MATCH($C1095,'Policy Characteristics'!$C:$C,0))),"",INDEX('Policy Characteristics'!F:F,MATCH($C1095,'Policy Characteristics'!$C:$C,0)))</f>
        <v>0</v>
      </c>
      <c r="M1095" s="283">
        <f>IF(ISBLANK(INDEX('Policy Characteristics'!G:G,MATCH($C1095,'Policy Characteristics'!$C:$C,0))),"",INDEX('Policy Characteristics'!G:G,MATCH($C1095,'Policy Characteristics'!$C:$C,0)))</f>
        <v>0.25</v>
      </c>
      <c r="N1095" s="283">
        <f>IF(ISBLANK(INDEX('Policy Characteristics'!H:H,MATCH($C1095,'Policy Characteristics'!$C:$C,0))),"",INDEX('Policy Characteristics'!H:H,MATCH($C1095,'Policy Characteristics'!$C:$C,0)))</f>
        <v>0.01</v>
      </c>
      <c r="O1095" s="275" t="str">
        <f>IF(ISBLANK(INDEX('Policy Characteristics'!I:I,MATCH($C1095,'Policy Characteristics'!$C:$C,0))),"",INDEX('Policy Characteristics'!I:I,MATCH($C1095,'Policy Characteristics'!$C:$C,0)))</f>
        <v>% reduction in energy use</v>
      </c>
      <c r="P1095" s="275" t="str">
        <f>IF(ISBLANK(INDEX('Policy Characteristics'!J:J,MATCH($C1095,'Policy Characteristics'!$C:$C,0))),"",INDEX('Policy Characteristics'!J:J,MATCH($C1095,'Policy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5" s="275" t="str">
        <f>IF(ISBLANK(INDEX('Policy Characteristics'!K:K,MATCH($C1095,'Policy Characteristics'!$C:$C,0))),"",INDEX('Policy Characteristics'!K:K,MATCH($C1095,'Policy Characteristics'!$C:$C,0)))</f>
        <v>industry-ag-main.html#eff-stds</v>
      </c>
      <c r="R1095" s="275" t="str">
        <f>IF(ISBLANK(INDEX('Policy Characteristics'!L:L,MATCH($C1095,'Policy Characteristics'!$C:$C,0))),"",INDEX('Policy Characteristics'!L:L,MATCH($C1095,'Policy Characteristics'!$C:$C,0)))</f>
        <v>industry-energy-efficiency-standards.html</v>
      </c>
    </row>
    <row r="1096" spans="1:18" s="4" customFormat="1" x14ac:dyDescent="0.25">
      <c r="A1096" s="275" t="str">
        <f>IF(ISBLANK(INDEX('Policy Characteristics'!A:A,MATCH($C1096,'Policy Characteristics'!$C:$C,0))),"",INDEX('Policy Characteristics'!A:A,MATCH($C1096,'Policy Characteristics'!$C:$C,0)))</f>
        <v>Industry</v>
      </c>
      <c r="B1096" s="284" t="str">
        <f>IF(ISBLANK(INDEX('Policy Characteristics'!B:B,MATCH($C1096,'Policy Characteristics'!$C:$C,0))),"",INDEX('Policy Characteristics'!B:B,MATCH($C1096,'Policy Characteristics'!$C:$C,0)))</f>
        <v>Industry Energy Efficiency Standards</v>
      </c>
      <c r="C1096" s="275" t="str">
        <f t="shared" si="42"/>
        <v>Percentage Improvement in Eqpt Efficiency Standards above BAU</v>
      </c>
      <c r="D1096" s="6" t="s">
        <v>3082</v>
      </c>
      <c r="E1096" s="47" t="s">
        <v>2404</v>
      </c>
      <c r="F1096" t="s">
        <v>3045</v>
      </c>
      <c r="G1096" s="47" t="s">
        <v>2408</v>
      </c>
      <c r="H1096" s="44">
        <v>1081</v>
      </c>
      <c r="I1096" s="346" t="s">
        <v>44</v>
      </c>
      <c r="J1096" s="276" t="str">
        <f>IF(ISBLANK(INDEX('Policy Characteristics'!D:D,MATCH($C1096,'Policy Characteristics'!$C:$C,0))),"",INDEX('Policy Characteristics'!D:D,MATCH($C1096,'Policy Characteristics'!$C:$C,0)))</f>
        <v>Industry Energy Efficiency Standards</v>
      </c>
      <c r="K1096" s="275" t="str">
        <f>IF(ISBLANK(INDEX('Policy Characteristics'!E:E,MATCH($C1096,'Policy Characteristics'!$C:$C,0))),"",INDEX('Policy Characteristics'!E:E,MATCH($C1096,'Policy Characteristics'!$C:$C,0)))</f>
        <v>indst efficiency standards</v>
      </c>
      <c r="L1096" s="283">
        <f>IF(ISBLANK(INDEX('Policy Characteristics'!F:F,MATCH($C1096,'Policy Characteristics'!$C:$C,0))),"",INDEX('Policy Characteristics'!F:F,MATCH($C1096,'Policy Characteristics'!$C:$C,0)))</f>
        <v>0</v>
      </c>
      <c r="M1096" s="283">
        <f>IF(ISBLANK(INDEX('Policy Characteristics'!G:G,MATCH($C1096,'Policy Characteristics'!$C:$C,0))),"",INDEX('Policy Characteristics'!G:G,MATCH($C1096,'Policy Characteristics'!$C:$C,0)))</f>
        <v>0.25</v>
      </c>
      <c r="N1096" s="283">
        <f>IF(ISBLANK(INDEX('Policy Characteristics'!H:H,MATCH($C1096,'Policy Characteristics'!$C:$C,0))),"",INDEX('Policy Characteristics'!H:H,MATCH($C1096,'Policy Characteristics'!$C:$C,0)))</f>
        <v>0.01</v>
      </c>
      <c r="O1096" s="275" t="str">
        <f>IF(ISBLANK(INDEX('Policy Characteristics'!I:I,MATCH($C1096,'Policy Characteristics'!$C:$C,0))),"",INDEX('Policy Characteristics'!I:I,MATCH($C1096,'Policy Characteristics'!$C:$C,0)))</f>
        <v>% reduction in energy use</v>
      </c>
      <c r="P1096" s="275" t="str">
        <f>IF(ISBLANK(INDEX('Policy Characteristics'!J:J,MATCH($C1096,'Policy Characteristics'!$C:$C,0))),"",INDEX('Policy Characteristics'!J:J,MATCH($C1096,'Policy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6" s="275" t="str">
        <f>IF(ISBLANK(INDEX('Policy Characteristics'!K:K,MATCH($C1096,'Policy Characteristics'!$C:$C,0))),"",INDEX('Policy Characteristics'!K:K,MATCH($C1096,'Policy Characteristics'!$C:$C,0)))</f>
        <v>industry-ag-main.html#eff-stds</v>
      </c>
      <c r="R1096" s="275" t="str">
        <f>IF(ISBLANK(INDEX('Policy Characteristics'!L:L,MATCH($C1096,'Policy Characteristics'!$C:$C,0))),"",INDEX('Policy Characteristics'!L:L,MATCH($C1096,'Policy Characteristics'!$C:$C,0)))</f>
        <v>industry-energy-efficiency-standards.html</v>
      </c>
    </row>
    <row r="1097" spans="1:18" s="4" customFormat="1" x14ac:dyDescent="0.25">
      <c r="A1097" s="275" t="str">
        <f>IF(ISBLANK(INDEX('Policy Characteristics'!A:A,MATCH($C1097,'Policy Characteristics'!$C:$C,0))),"",INDEX('Policy Characteristics'!A:A,MATCH($C1097,'Policy Characteristics'!$C:$C,0)))</f>
        <v>Industry</v>
      </c>
      <c r="B1097" s="284" t="str">
        <f>IF(ISBLANK(INDEX('Policy Characteristics'!B:B,MATCH($C1097,'Policy Characteristics'!$C:$C,0))),"",INDEX('Policy Characteristics'!B:B,MATCH($C1097,'Policy Characteristics'!$C:$C,0)))</f>
        <v>Industry Energy Efficiency Standards</v>
      </c>
      <c r="C1097" s="275" t="str">
        <f t="shared" si="42"/>
        <v>Percentage Improvement in Eqpt Efficiency Standards above BAU</v>
      </c>
      <c r="D1097" s="6" t="s">
        <v>3082</v>
      </c>
      <c r="E1097" s="47" t="s">
        <v>2405</v>
      </c>
      <c r="F1097" t="s">
        <v>3045</v>
      </c>
      <c r="G1097" s="47" t="s">
        <v>2409</v>
      </c>
      <c r="H1097" s="44">
        <v>1082</v>
      </c>
      <c r="I1097" s="346" t="s">
        <v>43</v>
      </c>
      <c r="J1097" s="276" t="str">
        <f>IF(ISBLANK(INDEX('Policy Characteristics'!D:D,MATCH($C1097,'Policy Characteristics'!$C:$C,0))),"",INDEX('Policy Characteristics'!D:D,MATCH($C1097,'Policy Characteristics'!$C:$C,0)))</f>
        <v>Industry Energy Efficiency Standards</v>
      </c>
      <c r="K1097" s="275" t="str">
        <f>IF(ISBLANK(INDEX('Policy Characteristics'!E:E,MATCH($C1097,'Policy Characteristics'!$C:$C,0))),"",INDEX('Policy Characteristics'!E:E,MATCH($C1097,'Policy Characteristics'!$C:$C,0)))</f>
        <v>indst efficiency standards</v>
      </c>
      <c r="L1097" s="283">
        <f>IF(ISBLANK(INDEX('Policy Characteristics'!F:F,MATCH($C1097,'Policy Characteristics'!$C:$C,0))),"",INDEX('Policy Characteristics'!F:F,MATCH($C1097,'Policy Characteristics'!$C:$C,0)))</f>
        <v>0</v>
      </c>
      <c r="M1097" s="283">
        <f>IF(ISBLANK(INDEX('Policy Characteristics'!G:G,MATCH($C1097,'Policy Characteristics'!$C:$C,0))),"",INDEX('Policy Characteristics'!G:G,MATCH($C1097,'Policy Characteristics'!$C:$C,0)))</f>
        <v>0.25</v>
      </c>
      <c r="N1097" s="283">
        <f>IF(ISBLANK(INDEX('Policy Characteristics'!H:H,MATCH($C1097,'Policy Characteristics'!$C:$C,0))),"",INDEX('Policy Characteristics'!H:H,MATCH($C1097,'Policy Characteristics'!$C:$C,0)))</f>
        <v>0.01</v>
      </c>
      <c r="O1097" s="275" t="str">
        <f>IF(ISBLANK(INDEX('Policy Characteristics'!I:I,MATCH($C1097,'Policy Characteristics'!$C:$C,0))),"",INDEX('Policy Characteristics'!I:I,MATCH($C1097,'Policy Characteristics'!$C:$C,0)))</f>
        <v>% reduction in energy use</v>
      </c>
      <c r="P1097" s="275" t="str">
        <f>IF(ISBLANK(INDEX('Policy Characteristics'!J:J,MATCH($C1097,'Policy Characteristics'!$C:$C,0))),"",INDEX('Policy Characteristics'!J:J,MATCH($C1097,'Policy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7" s="275" t="str">
        <f>IF(ISBLANK(INDEX('Policy Characteristics'!K:K,MATCH($C1097,'Policy Characteristics'!$C:$C,0))),"",INDEX('Policy Characteristics'!K:K,MATCH($C1097,'Policy Characteristics'!$C:$C,0)))</f>
        <v>industry-ag-main.html#eff-stds</v>
      </c>
      <c r="R1097" s="275" t="str">
        <f>IF(ISBLANK(INDEX('Policy Characteristics'!L:L,MATCH($C1097,'Policy Characteristics'!$C:$C,0))),"",INDEX('Policy Characteristics'!L:L,MATCH($C1097,'Policy Characteristics'!$C:$C,0)))</f>
        <v>industry-energy-efficiency-standards.html</v>
      </c>
    </row>
    <row r="1098" spans="1:18" s="4" customFormat="1" x14ac:dyDescent="0.25">
      <c r="A1098" s="275" t="str">
        <f>IF(ISBLANK(INDEX('Policy Characteristics'!A:A,MATCH($C1098,'Policy Characteristics'!$C:$C,0))),"",INDEX('Policy Characteristics'!A:A,MATCH($C1098,'Policy Characteristics'!$C:$C,0)))</f>
        <v>Industry</v>
      </c>
      <c r="B1098" s="284" t="str">
        <f>IF(ISBLANK(INDEX('Policy Characteristics'!B:B,MATCH($C1098,'Policy Characteristics'!$C:$C,0))),"",INDEX('Policy Characteristics'!B:B,MATCH($C1098,'Policy Characteristics'!$C:$C,0)))</f>
        <v>Industry Energy Efficiency Standards</v>
      </c>
      <c r="C1098" s="275" t="str">
        <f t="shared" si="42"/>
        <v>Percentage Improvement in Eqpt Efficiency Standards above BAU</v>
      </c>
      <c r="D1098" s="6" t="s">
        <v>3082</v>
      </c>
      <c r="E1098" s="47" t="s">
        <v>2406</v>
      </c>
      <c r="F1098" t="s">
        <v>3045</v>
      </c>
      <c r="G1098" s="47" t="s">
        <v>2412</v>
      </c>
      <c r="H1098" s="44">
        <v>1083</v>
      </c>
      <c r="I1098" s="346" t="s">
        <v>44</v>
      </c>
      <c r="J1098" s="276" t="str">
        <f>IF(ISBLANK(INDEX('Policy Characteristics'!D:D,MATCH($C1098,'Policy Characteristics'!$C:$C,0))),"",INDEX('Policy Characteristics'!D:D,MATCH($C1098,'Policy Characteristics'!$C:$C,0)))</f>
        <v>Industry Energy Efficiency Standards</v>
      </c>
      <c r="K1098" s="275" t="str">
        <f>IF(ISBLANK(INDEX('Policy Characteristics'!E:E,MATCH($C1098,'Policy Characteristics'!$C:$C,0))),"",INDEX('Policy Characteristics'!E:E,MATCH($C1098,'Policy Characteristics'!$C:$C,0)))</f>
        <v>indst efficiency standards</v>
      </c>
      <c r="L1098" s="283">
        <f>IF(ISBLANK(INDEX('Policy Characteristics'!F:F,MATCH($C1098,'Policy Characteristics'!$C:$C,0))),"",INDEX('Policy Characteristics'!F:F,MATCH($C1098,'Policy Characteristics'!$C:$C,0)))</f>
        <v>0</v>
      </c>
      <c r="M1098" s="283">
        <f>IF(ISBLANK(INDEX('Policy Characteristics'!G:G,MATCH($C1098,'Policy Characteristics'!$C:$C,0))),"",INDEX('Policy Characteristics'!G:G,MATCH($C1098,'Policy Characteristics'!$C:$C,0)))</f>
        <v>0.25</v>
      </c>
      <c r="N1098" s="283">
        <f>IF(ISBLANK(INDEX('Policy Characteristics'!H:H,MATCH($C1098,'Policy Characteristics'!$C:$C,0))),"",INDEX('Policy Characteristics'!H:H,MATCH($C1098,'Policy Characteristics'!$C:$C,0)))</f>
        <v>0.01</v>
      </c>
      <c r="O1098" s="275" t="str">
        <f>IF(ISBLANK(INDEX('Policy Characteristics'!I:I,MATCH($C1098,'Policy Characteristics'!$C:$C,0))),"",INDEX('Policy Characteristics'!I:I,MATCH($C1098,'Policy Characteristics'!$C:$C,0)))</f>
        <v>% reduction in energy use</v>
      </c>
      <c r="P1098" s="275" t="str">
        <f>IF(ISBLANK(INDEX('Policy Characteristics'!J:J,MATCH($C1098,'Policy Characteristics'!$C:$C,0))),"",INDEX('Policy Characteristics'!J:J,MATCH($C1098,'Policy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8" s="275" t="str">
        <f>IF(ISBLANK(INDEX('Policy Characteristics'!K:K,MATCH($C1098,'Policy Characteristics'!$C:$C,0))),"",INDEX('Policy Characteristics'!K:K,MATCH($C1098,'Policy Characteristics'!$C:$C,0)))</f>
        <v>industry-ag-main.html#eff-stds</v>
      </c>
      <c r="R1098" s="275" t="str">
        <f>IF(ISBLANK(INDEX('Policy Characteristics'!L:L,MATCH($C1098,'Policy Characteristics'!$C:$C,0))),"",INDEX('Policy Characteristics'!L:L,MATCH($C1098,'Policy Characteristics'!$C:$C,0)))</f>
        <v>industry-energy-efficiency-standards.html</v>
      </c>
    </row>
    <row r="1099" spans="1:18" s="4" customFormat="1" x14ac:dyDescent="0.25">
      <c r="A1099" s="275" t="str">
        <f>IF(ISBLANK(INDEX('Policy Characteristics'!A:A,MATCH($C1099,'Policy Characteristics'!$C:$C,0))),"",INDEX('Policy Characteristics'!A:A,MATCH($C1099,'Policy Characteristics'!$C:$C,0)))</f>
        <v>Industry</v>
      </c>
      <c r="B1099" s="284" t="str">
        <f>IF(ISBLANK(INDEX('Policy Characteristics'!B:B,MATCH($C1099,'Policy Characteristics'!$C:$C,0))),"",INDEX('Policy Characteristics'!B:B,MATCH($C1099,'Policy Characteristics'!$C:$C,0)))</f>
        <v>Industry Energy Efficiency Standards</v>
      </c>
      <c r="C1099" s="275" t="str">
        <f t="shared" si="42"/>
        <v>Percentage Improvement in Eqpt Efficiency Standards above BAU</v>
      </c>
      <c r="D1099" s="6" t="s">
        <v>3082</v>
      </c>
      <c r="E1099" s="47" t="s">
        <v>2709</v>
      </c>
      <c r="F1099" t="s">
        <v>3045</v>
      </c>
      <c r="G1099" s="47" t="s">
        <v>2712</v>
      </c>
      <c r="H1099" s="44">
        <v>1084</v>
      </c>
      <c r="I1099" s="346" t="s">
        <v>44</v>
      </c>
      <c r="J1099" s="276" t="str">
        <f>IF(ISBLANK(INDEX('Policy Characteristics'!D:D,MATCH($C1099,'Policy Characteristics'!$C:$C,0))),"",INDEX('Policy Characteristics'!D:D,MATCH($C1099,'Policy Characteristics'!$C:$C,0)))</f>
        <v>Industry Energy Efficiency Standards</v>
      </c>
      <c r="K1099" s="275" t="str">
        <f>IF(ISBLANK(INDEX('Policy Characteristics'!E:E,MATCH($C1099,'Policy Characteristics'!$C:$C,0))),"",INDEX('Policy Characteristics'!E:E,MATCH($C1099,'Policy Characteristics'!$C:$C,0)))</f>
        <v>indst efficiency standards</v>
      </c>
      <c r="L1099" s="283">
        <f>IF(ISBLANK(INDEX('Policy Characteristics'!F:F,MATCH($C1099,'Policy Characteristics'!$C:$C,0))),"",INDEX('Policy Characteristics'!F:F,MATCH($C1099,'Policy Characteristics'!$C:$C,0)))</f>
        <v>0</v>
      </c>
      <c r="M1099" s="283">
        <f>IF(ISBLANK(INDEX('Policy Characteristics'!G:G,MATCH($C1099,'Policy Characteristics'!$C:$C,0))),"",INDEX('Policy Characteristics'!G:G,MATCH($C1099,'Policy Characteristics'!$C:$C,0)))</f>
        <v>0.25</v>
      </c>
      <c r="N1099" s="283">
        <f>IF(ISBLANK(INDEX('Policy Characteristics'!H:H,MATCH($C1099,'Policy Characteristics'!$C:$C,0))),"",INDEX('Policy Characteristics'!H:H,MATCH($C1099,'Policy Characteristics'!$C:$C,0)))</f>
        <v>0.01</v>
      </c>
      <c r="O1099" s="275" t="str">
        <f>IF(ISBLANK(INDEX('Policy Characteristics'!I:I,MATCH($C1099,'Policy Characteristics'!$C:$C,0))),"",INDEX('Policy Characteristics'!I:I,MATCH($C1099,'Policy Characteristics'!$C:$C,0)))</f>
        <v>% reduction in energy use</v>
      </c>
      <c r="P1099" s="275" t="str">
        <f>IF(ISBLANK(INDEX('Policy Characteristics'!J:J,MATCH($C1099,'Policy Characteristics'!$C:$C,0))),"",INDEX('Policy Characteristics'!J:J,MATCH($C1099,'Policy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9" s="275" t="str">
        <f>IF(ISBLANK(INDEX('Policy Characteristics'!K:K,MATCH($C1099,'Policy Characteristics'!$C:$C,0))),"",INDEX('Policy Characteristics'!K:K,MATCH($C1099,'Policy Characteristics'!$C:$C,0)))</f>
        <v>industry-ag-main.html#eff-stds</v>
      </c>
      <c r="R1099" s="275" t="str">
        <f>IF(ISBLANK(INDEX('Policy Characteristics'!L:L,MATCH($C1099,'Policy Characteristics'!$C:$C,0))),"",INDEX('Policy Characteristics'!L:L,MATCH($C1099,'Policy Characteristics'!$C:$C,0)))</f>
        <v>industry-energy-efficiency-standards.html</v>
      </c>
    </row>
    <row r="1100" spans="1:18" s="4" customFormat="1" x14ac:dyDescent="0.25">
      <c r="A1100" s="275" t="str">
        <f>IF(ISBLANK(INDEX('Policy Characteristics'!A:A,MATCH($C1100,'Policy Characteristics'!$C:$C,0))),"",INDEX('Policy Characteristics'!A:A,MATCH($C1100,'Policy Characteristics'!$C:$C,0)))</f>
        <v>Industry</v>
      </c>
      <c r="B1100" s="284" t="str">
        <f>IF(ISBLANK(INDEX('Policy Characteristics'!B:B,MATCH($C1100,'Policy Characteristics'!$C:$C,0))),"",INDEX('Policy Characteristics'!B:B,MATCH($C1100,'Policy Characteristics'!$C:$C,0)))</f>
        <v>Industry Energy Efficiency Standards</v>
      </c>
      <c r="C1100" s="275" t="str">
        <f t="shared" si="42"/>
        <v>Percentage Improvement in Eqpt Efficiency Standards above BAU</v>
      </c>
      <c r="D1100" s="6" t="s">
        <v>3082</v>
      </c>
      <c r="E1100" s="47" t="s">
        <v>2710</v>
      </c>
      <c r="F1100" t="s">
        <v>3045</v>
      </c>
      <c r="G1100" s="47" t="s">
        <v>2714</v>
      </c>
      <c r="H1100" s="44">
        <v>1085</v>
      </c>
      <c r="I1100" s="346" t="s">
        <v>43</v>
      </c>
      <c r="J1100" s="276" t="str">
        <f>IF(ISBLANK(INDEX('Policy Characteristics'!D:D,MATCH($C1100,'Policy Characteristics'!$C:$C,0))),"",INDEX('Policy Characteristics'!D:D,MATCH($C1100,'Policy Characteristics'!$C:$C,0)))</f>
        <v>Industry Energy Efficiency Standards</v>
      </c>
      <c r="K1100" s="275" t="str">
        <f>IF(ISBLANK(INDEX('Policy Characteristics'!E:E,MATCH($C1100,'Policy Characteristics'!$C:$C,0))),"",INDEX('Policy Characteristics'!E:E,MATCH($C1100,'Policy Characteristics'!$C:$C,0)))</f>
        <v>indst efficiency standards</v>
      </c>
      <c r="L1100" s="283">
        <f>IF(ISBLANK(INDEX('Policy Characteristics'!F:F,MATCH($C1100,'Policy Characteristics'!$C:$C,0))),"",INDEX('Policy Characteristics'!F:F,MATCH($C1100,'Policy Characteristics'!$C:$C,0)))</f>
        <v>0</v>
      </c>
      <c r="M1100" s="283">
        <f>IF(ISBLANK(INDEX('Policy Characteristics'!G:G,MATCH($C1100,'Policy Characteristics'!$C:$C,0))),"",INDEX('Policy Characteristics'!G:G,MATCH($C1100,'Policy Characteristics'!$C:$C,0)))</f>
        <v>0.25</v>
      </c>
      <c r="N1100" s="283">
        <f>IF(ISBLANK(INDEX('Policy Characteristics'!H:H,MATCH($C1100,'Policy Characteristics'!$C:$C,0))),"",INDEX('Policy Characteristics'!H:H,MATCH($C1100,'Policy Characteristics'!$C:$C,0)))</f>
        <v>0.01</v>
      </c>
      <c r="O1100" s="275" t="str">
        <f>IF(ISBLANK(INDEX('Policy Characteristics'!I:I,MATCH($C1100,'Policy Characteristics'!$C:$C,0))),"",INDEX('Policy Characteristics'!I:I,MATCH($C1100,'Policy Characteristics'!$C:$C,0)))</f>
        <v>% reduction in energy use</v>
      </c>
      <c r="P1100" s="275" t="str">
        <f>IF(ISBLANK(INDEX('Policy Characteristics'!J:J,MATCH($C1100,'Policy Characteristics'!$C:$C,0))),"",INDEX('Policy Characteristics'!J:J,MATCH($C1100,'Policy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0" s="275" t="str">
        <f>IF(ISBLANK(INDEX('Policy Characteristics'!K:K,MATCH($C1100,'Policy Characteristics'!$C:$C,0))),"",INDEX('Policy Characteristics'!K:K,MATCH($C1100,'Policy Characteristics'!$C:$C,0)))</f>
        <v>industry-ag-main.html#eff-stds</v>
      </c>
      <c r="R1100" s="275" t="str">
        <f>IF(ISBLANK(INDEX('Policy Characteristics'!L:L,MATCH($C1100,'Policy Characteristics'!$C:$C,0))),"",INDEX('Policy Characteristics'!L:L,MATCH($C1100,'Policy Characteristics'!$C:$C,0)))</f>
        <v>industry-energy-efficiency-standards.html</v>
      </c>
    </row>
    <row r="1101" spans="1:18" s="4" customFormat="1" x14ac:dyDescent="0.25">
      <c r="A1101" s="275" t="str">
        <f>IF(ISBLANK(INDEX('Policy Characteristics'!A:A,MATCH($C1101,'Policy Characteristics'!$C:$C,0))),"",INDEX('Policy Characteristics'!A:A,MATCH($C1101,'Policy Characteristics'!$C:$C,0)))</f>
        <v>Industry</v>
      </c>
      <c r="B1101" s="284" t="str">
        <f>IF(ISBLANK(INDEX('Policy Characteristics'!B:B,MATCH($C1101,'Policy Characteristics'!$C:$C,0))),"",INDEX('Policy Characteristics'!B:B,MATCH($C1101,'Policy Characteristics'!$C:$C,0)))</f>
        <v>Industry Energy Efficiency Standards</v>
      </c>
      <c r="C1101" s="275" t="str">
        <f t="shared" si="42"/>
        <v>Percentage Improvement in Eqpt Efficiency Standards above BAU</v>
      </c>
      <c r="D1101" s="6" t="s">
        <v>3082</v>
      </c>
      <c r="E1101" s="47" t="s">
        <v>2711</v>
      </c>
      <c r="F1101" t="s">
        <v>3045</v>
      </c>
      <c r="G1101" s="47" t="s">
        <v>2715</v>
      </c>
      <c r="H1101" s="44">
        <v>1086</v>
      </c>
      <c r="I1101" s="346" t="s">
        <v>43</v>
      </c>
      <c r="J1101" s="276" t="str">
        <f>IF(ISBLANK(INDEX('Policy Characteristics'!D:D,MATCH($C1101,'Policy Characteristics'!$C:$C,0))),"",INDEX('Policy Characteristics'!D:D,MATCH($C1101,'Policy Characteristics'!$C:$C,0)))</f>
        <v>Industry Energy Efficiency Standards</v>
      </c>
      <c r="K1101" s="275" t="str">
        <f>IF(ISBLANK(INDEX('Policy Characteristics'!E:E,MATCH($C1101,'Policy Characteristics'!$C:$C,0))),"",INDEX('Policy Characteristics'!E:E,MATCH($C1101,'Policy Characteristics'!$C:$C,0)))</f>
        <v>indst efficiency standards</v>
      </c>
      <c r="L1101" s="283">
        <f>IF(ISBLANK(INDEX('Policy Characteristics'!F:F,MATCH($C1101,'Policy Characteristics'!$C:$C,0))),"",INDEX('Policy Characteristics'!F:F,MATCH($C1101,'Policy Characteristics'!$C:$C,0)))</f>
        <v>0</v>
      </c>
      <c r="M1101" s="283">
        <f>IF(ISBLANK(INDEX('Policy Characteristics'!G:G,MATCH($C1101,'Policy Characteristics'!$C:$C,0))),"",INDEX('Policy Characteristics'!G:G,MATCH($C1101,'Policy Characteristics'!$C:$C,0)))</f>
        <v>0.25</v>
      </c>
      <c r="N1101" s="283">
        <f>IF(ISBLANK(INDEX('Policy Characteristics'!H:H,MATCH($C1101,'Policy Characteristics'!$C:$C,0))),"",INDEX('Policy Characteristics'!H:H,MATCH($C1101,'Policy Characteristics'!$C:$C,0)))</f>
        <v>0.01</v>
      </c>
      <c r="O1101" s="275" t="str">
        <f>IF(ISBLANK(INDEX('Policy Characteristics'!I:I,MATCH($C1101,'Policy Characteristics'!$C:$C,0))),"",INDEX('Policy Characteristics'!I:I,MATCH($C1101,'Policy Characteristics'!$C:$C,0)))</f>
        <v>% reduction in energy use</v>
      </c>
      <c r="P1101" s="275" t="str">
        <f>IF(ISBLANK(INDEX('Policy Characteristics'!J:J,MATCH($C1101,'Policy Characteristics'!$C:$C,0))),"",INDEX('Policy Characteristics'!J:J,MATCH($C1101,'Policy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1" s="275" t="str">
        <f>IF(ISBLANK(INDEX('Policy Characteristics'!K:K,MATCH($C1101,'Policy Characteristics'!$C:$C,0))),"",INDEX('Policy Characteristics'!K:K,MATCH($C1101,'Policy Characteristics'!$C:$C,0)))</f>
        <v>industry-ag-main.html#eff-stds</v>
      </c>
      <c r="R1101" s="275" t="str">
        <f>IF(ISBLANK(INDEX('Policy Characteristics'!L:L,MATCH($C1101,'Policy Characteristics'!$C:$C,0))),"",INDEX('Policy Characteristics'!L:L,MATCH($C1101,'Policy Characteristics'!$C:$C,0)))</f>
        <v>industry-energy-efficiency-standards.html</v>
      </c>
    </row>
    <row r="1102" spans="1:18" s="4" customFormat="1" x14ac:dyDescent="0.25">
      <c r="A1102" s="275" t="str">
        <f>IF(ISBLANK(INDEX('Policy Characteristics'!A:A,MATCH($C1102,'Policy Characteristics'!$C:$C,0))),"",INDEX('Policy Characteristics'!A:A,MATCH($C1102,'Policy Characteristics'!$C:$C,0)))</f>
        <v>Industry</v>
      </c>
      <c r="B1102" s="284" t="str">
        <f>IF(ISBLANK(INDEX('Policy Characteristics'!B:B,MATCH($C1102,'Policy Characteristics'!$C:$C,0))),"",INDEX('Policy Characteristics'!B:B,MATCH($C1102,'Policy Characteristics'!$C:$C,0)))</f>
        <v>Industry Energy Efficiency Standards</v>
      </c>
      <c r="C1102" s="275" t="str">
        <f t="shared" ref="C1102:C1165" si="43">C$973</f>
        <v>Percentage Improvement in Eqpt Efficiency Standards above BAU</v>
      </c>
      <c r="D1102" s="6" t="s">
        <v>3082</v>
      </c>
      <c r="E1102" s="47" t="s">
        <v>2708</v>
      </c>
      <c r="F1102" t="s">
        <v>3045</v>
      </c>
      <c r="G1102" s="47" t="s">
        <v>2713</v>
      </c>
      <c r="H1102" s="44">
        <v>1087</v>
      </c>
      <c r="I1102" s="346" t="s">
        <v>44</v>
      </c>
      <c r="J1102" s="276" t="str">
        <f>IF(ISBLANK(INDEX('Policy Characteristics'!D:D,MATCH($C1102,'Policy Characteristics'!$C:$C,0))),"",INDEX('Policy Characteristics'!D:D,MATCH($C1102,'Policy Characteristics'!$C:$C,0)))</f>
        <v>Industry Energy Efficiency Standards</v>
      </c>
      <c r="K1102" s="275" t="str">
        <f>IF(ISBLANK(INDEX('Policy Characteristics'!E:E,MATCH($C1102,'Policy Characteristics'!$C:$C,0))),"",INDEX('Policy Characteristics'!E:E,MATCH($C1102,'Policy Characteristics'!$C:$C,0)))</f>
        <v>indst efficiency standards</v>
      </c>
      <c r="L1102" s="283">
        <f>IF(ISBLANK(INDEX('Policy Characteristics'!F:F,MATCH($C1102,'Policy Characteristics'!$C:$C,0))),"",INDEX('Policy Characteristics'!F:F,MATCH($C1102,'Policy Characteristics'!$C:$C,0)))</f>
        <v>0</v>
      </c>
      <c r="M1102" s="283">
        <f>IF(ISBLANK(INDEX('Policy Characteristics'!G:G,MATCH($C1102,'Policy Characteristics'!$C:$C,0))),"",INDEX('Policy Characteristics'!G:G,MATCH($C1102,'Policy Characteristics'!$C:$C,0)))</f>
        <v>0.25</v>
      </c>
      <c r="N1102" s="283">
        <f>IF(ISBLANK(INDEX('Policy Characteristics'!H:H,MATCH($C1102,'Policy Characteristics'!$C:$C,0))),"",INDEX('Policy Characteristics'!H:H,MATCH($C1102,'Policy Characteristics'!$C:$C,0)))</f>
        <v>0.01</v>
      </c>
      <c r="O1102" s="275" t="str">
        <f>IF(ISBLANK(INDEX('Policy Characteristics'!I:I,MATCH($C1102,'Policy Characteristics'!$C:$C,0))),"",INDEX('Policy Characteristics'!I:I,MATCH($C1102,'Policy Characteristics'!$C:$C,0)))</f>
        <v>% reduction in energy use</v>
      </c>
      <c r="P1102" s="275" t="str">
        <f>IF(ISBLANK(INDEX('Policy Characteristics'!J:J,MATCH($C1102,'Policy Characteristics'!$C:$C,0))),"",INDEX('Policy Characteristics'!J:J,MATCH($C1102,'Policy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2" s="275" t="str">
        <f>IF(ISBLANK(INDEX('Policy Characteristics'!K:K,MATCH($C1102,'Policy Characteristics'!$C:$C,0))),"",INDEX('Policy Characteristics'!K:K,MATCH($C1102,'Policy Characteristics'!$C:$C,0)))</f>
        <v>industry-ag-main.html#eff-stds</v>
      </c>
      <c r="R1102" s="275" t="str">
        <f>IF(ISBLANK(INDEX('Policy Characteristics'!L:L,MATCH($C1102,'Policy Characteristics'!$C:$C,0))),"",INDEX('Policy Characteristics'!L:L,MATCH($C1102,'Policy Characteristics'!$C:$C,0)))</f>
        <v>industry-energy-efficiency-standards.html</v>
      </c>
    </row>
    <row r="1103" spans="1:18" s="4" customFormat="1" x14ac:dyDescent="0.25">
      <c r="A1103" s="275" t="str">
        <f>IF(ISBLANK(INDEX('Policy Characteristics'!A:A,MATCH($C1103,'Policy Characteristics'!$C:$C,0))),"",INDEX('Policy Characteristics'!A:A,MATCH($C1103,'Policy Characteristics'!$C:$C,0)))</f>
        <v>Industry</v>
      </c>
      <c r="B1103" s="284" t="str">
        <f>IF(ISBLANK(INDEX('Policy Characteristics'!B:B,MATCH($C1103,'Policy Characteristics'!$C:$C,0))),"",INDEX('Policy Characteristics'!B:B,MATCH($C1103,'Policy Characteristics'!$C:$C,0)))</f>
        <v>Industry Energy Efficiency Standards</v>
      </c>
      <c r="C1103" s="275" t="str">
        <f t="shared" si="43"/>
        <v>Percentage Improvement in Eqpt Efficiency Standards above BAU</v>
      </c>
      <c r="D1103" s="6" t="s">
        <v>3083</v>
      </c>
      <c r="E1103" s="47" t="s">
        <v>2401</v>
      </c>
      <c r="F1103" t="s">
        <v>2583</v>
      </c>
      <c r="G1103" s="47" t="s">
        <v>2407</v>
      </c>
      <c r="H1103" s="44">
        <v>1088</v>
      </c>
      <c r="I1103" s="346" t="s">
        <v>43</v>
      </c>
      <c r="J1103" s="276" t="str">
        <f>IF(ISBLANK(INDEX('Policy Characteristics'!D:D,MATCH($C1103,'Policy Characteristics'!$C:$C,0))),"",INDEX('Policy Characteristics'!D:D,MATCH($C1103,'Policy Characteristics'!$C:$C,0)))</f>
        <v>Industry Energy Efficiency Standards</v>
      </c>
      <c r="K1103" s="275" t="str">
        <f>IF(ISBLANK(INDEX('Policy Characteristics'!E:E,MATCH($C1103,'Policy Characteristics'!$C:$C,0))),"",INDEX('Policy Characteristics'!E:E,MATCH($C1103,'Policy Characteristics'!$C:$C,0)))</f>
        <v>indst efficiency standards</v>
      </c>
      <c r="L1103" s="283">
        <f>IF(ISBLANK(INDEX('Policy Characteristics'!F:F,MATCH($C1103,'Policy Characteristics'!$C:$C,0))),"",INDEX('Policy Characteristics'!F:F,MATCH($C1103,'Policy Characteristics'!$C:$C,0)))</f>
        <v>0</v>
      </c>
      <c r="M1103" s="283">
        <f>IF(ISBLANK(INDEX('Policy Characteristics'!G:G,MATCH($C1103,'Policy Characteristics'!$C:$C,0))),"",INDEX('Policy Characteristics'!G:G,MATCH($C1103,'Policy Characteristics'!$C:$C,0)))</f>
        <v>0.25</v>
      </c>
      <c r="N1103" s="283">
        <f>IF(ISBLANK(INDEX('Policy Characteristics'!H:H,MATCH($C1103,'Policy Characteristics'!$C:$C,0))),"",INDEX('Policy Characteristics'!H:H,MATCH($C1103,'Policy Characteristics'!$C:$C,0)))</f>
        <v>0.01</v>
      </c>
      <c r="O1103" s="275" t="str">
        <f>IF(ISBLANK(INDEX('Policy Characteristics'!I:I,MATCH($C1103,'Policy Characteristics'!$C:$C,0))),"",INDEX('Policy Characteristics'!I:I,MATCH($C1103,'Policy Characteristics'!$C:$C,0)))</f>
        <v>% reduction in energy use</v>
      </c>
      <c r="P1103" s="275" t="str">
        <f>IF(ISBLANK(INDEX('Policy Characteristics'!J:J,MATCH($C1103,'Policy Characteristics'!$C:$C,0))),"",INDEX('Policy Characteristics'!J:J,MATCH($C1103,'Policy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3" s="275" t="str">
        <f>IF(ISBLANK(INDEX('Policy Characteristics'!K:K,MATCH($C1103,'Policy Characteristics'!$C:$C,0))),"",INDEX('Policy Characteristics'!K:K,MATCH($C1103,'Policy Characteristics'!$C:$C,0)))</f>
        <v>industry-ag-main.html#eff-stds</v>
      </c>
      <c r="R1103" s="275" t="str">
        <f>IF(ISBLANK(INDEX('Policy Characteristics'!L:L,MATCH($C1103,'Policy Characteristics'!$C:$C,0))),"",INDEX('Policy Characteristics'!L:L,MATCH($C1103,'Policy Characteristics'!$C:$C,0)))</f>
        <v>industry-energy-efficiency-standards.html</v>
      </c>
    </row>
    <row r="1104" spans="1:18" s="4" customFormat="1" x14ac:dyDescent="0.25">
      <c r="A1104" s="275" t="str">
        <f>IF(ISBLANK(INDEX('Policy Characteristics'!A:A,MATCH($C1104,'Policy Characteristics'!$C:$C,0))),"",INDEX('Policy Characteristics'!A:A,MATCH($C1104,'Policy Characteristics'!$C:$C,0)))</f>
        <v>Industry</v>
      </c>
      <c r="B1104" s="284" t="str">
        <f>IF(ISBLANK(INDEX('Policy Characteristics'!B:B,MATCH($C1104,'Policy Characteristics'!$C:$C,0))),"",INDEX('Policy Characteristics'!B:B,MATCH($C1104,'Policy Characteristics'!$C:$C,0)))</f>
        <v>Industry Energy Efficiency Standards</v>
      </c>
      <c r="C1104" s="275" t="str">
        <f t="shared" si="43"/>
        <v>Percentage Improvement in Eqpt Efficiency Standards above BAU</v>
      </c>
      <c r="D1104" s="6" t="s">
        <v>3083</v>
      </c>
      <c r="E1104" s="47" t="s">
        <v>2402</v>
      </c>
      <c r="F1104" t="s">
        <v>2583</v>
      </c>
      <c r="G1104" s="47" t="s">
        <v>2410</v>
      </c>
      <c r="H1104" s="44">
        <v>1089</v>
      </c>
      <c r="I1104" s="346" t="s">
        <v>43</v>
      </c>
      <c r="J1104" s="276" t="str">
        <f>IF(ISBLANK(INDEX('Policy Characteristics'!D:D,MATCH($C1104,'Policy Characteristics'!$C:$C,0))),"",INDEX('Policy Characteristics'!D:D,MATCH($C1104,'Policy Characteristics'!$C:$C,0)))</f>
        <v>Industry Energy Efficiency Standards</v>
      </c>
      <c r="K1104" s="275" t="str">
        <f>IF(ISBLANK(INDEX('Policy Characteristics'!E:E,MATCH($C1104,'Policy Characteristics'!$C:$C,0))),"",INDEX('Policy Characteristics'!E:E,MATCH($C1104,'Policy Characteristics'!$C:$C,0)))</f>
        <v>indst efficiency standards</v>
      </c>
      <c r="L1104" s="283">
        <f>IF(ISBLANK(INDEX('Policy Characteristics'!F:F,MATCH($C1104,'Policy Characteristics'!$C:$C,0))),"",INDEX('Policy Characteristics'!F:F,MATCH($C1104,'Policy Characteristics'!$C:$C,0)))</f>
        <v>0</v>
      </c>
      <c r="M1104" s="283">
        <f>IF(ISBLANK(INDEX('Policy Characteristics'!G:G,MATCH($C1104,'Policy Characteristics'!$C:$C,0))),"",INDEX('Policy Characteristics'!G:G,MATCH($C1104,'Policy Characteristics'!$C:$C,0)))</f>
        <v>0.25</v>
      </c>
      <c r="N1104" s="283">
        <f>IF(ISBLANK(INDEX('Policy Characteristics'!H:H,MATCH($C1104,'Policy Characteristics'!$C:$C,0))),"",INDEX('Policy Characteristics'!H:H,MATCH($C1104,'Policy Characteristics'!$C:$C,0)))</f>
        <v>0.01</v>
      </c>
      <c r="O1104" s="275" t="str">
        <f>IF(ISBLANK(INDEX('Policy Characteristics'!I:I,MATCH($C1104,'Policy Characteristics'!$C:$C,0))),"",INDEX('Policy Characteristics'!I:I,MATCH($C1104,'Policy Characteristics'!$C:$C,0)))</f>
        <v>% reduction in energy use</v>
      </c>
      <c r="P1104" s="275" t="str">
        <f>IF(ISBLANK(INDEX('Policy Characteristics'!J:J,MATCH($C1104,'Policy Characteristics'!$C:$C,0))),"",INDEX('Policy Characteristics'!J:J,MATCH($C1104,'Policy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4" s="275" t="str">
        <f>IF(ISBLANK(INDEX('Policy Characteristics'!K:K,MATCH($C1104,'Policy Characteristics'!$C:$C,0))),"",INDEX('Policy Characteristics'!K:K,MATCH($C1104,'Policy Characteristics'!$C:$C,0)))</f>
        <v>industry-ag-main.html#eff-stds</v>
      </c>
      <c r="R1104" s="275" t="str">
        <f>IF(ISBLANK(INDEX('Policy Characteristics'!L:L,MATCH($C1104,'Policy Characteristics'!$C:$C,0))),"",INDEX('Policy Characteristics'!L:L,MATCH($C1104,'Policy Characteristics'!$C:$C,0)))</f>
        <v>industry-energy-efficiency-standards.html</v>
      </c>
    </row>
    <row r="1105" spans="1:18" s="4" customFormat="1" x14ac:dyDescent="0.25">
      <c r="A1105" s="275" t="str">
        <f>IF(ISBLANK(INDEX('Policy Characteristics'!A:A,MATCH($C1105,'Policy Characteristics'!$C:$C,0))),"",INDEX('Policy Characteristics'!A:A,MATCH($C1105,'Policy Characteristics'!$C:$C,0)))</f>
        <v>Industry</v>
      </c>
      <c r="B1105" s="284" t="str">
        <f>IF(ISBLANK(INDEX('Policy Characteristics'!B:B,MATCH($C1105,'Policy Characteristics'!$C:$C,0))),"",INDEX('Policy Characteristics'!B:B,MATCH($C1105,'Policy Characteristics'!$C:$C,0)))</f>
        <v>Industry Energy Efficiency Standards</v>
      </c>
      <c r="C1105" s="275" t="str">
        <f t="shared" si="43"/>
        <v>Percentage Improvement in Eqpt Efficiency Standards above BAU</v>
      </c>
      <c r="D1105" s="6" t="s">
        <v>3083</v>
      </c>
      <c r="E1105" s="47" t="s">
        <v>2403</v>
      </c>
      <c r="F1105" t="s">
        <v>2583</v>
      </c>
      <c r="G1105" s="47" t="s">
        <v>2411</v>
      </c>
      <c r="H1105" s="44">
        <v>1090</v>
      </c>
      <c r="I1105" s="346" t="s">
        <v>43</v>
      </c>
      <c r="J1105" s="276" t="str">
        <f>IF(ISBLANK(INDEX('Policy Characteristics'!D:D,MATCH($C1105,'Policy Characteristics'!$C:$C,0))),"",INDEX('Policy Characteristics'!D:D,MATCH($C1105,'Policy Characteristics'!$C:$C,0)))</f>
        <v>Industry Energy Efficiency Standards</v>
      </c>
      <c r="K1105" s="275" t="str">
        <f>IF(ISBLANK(INDEX('Policy Characteristics'!E:E,MATCH($C1105,'Policy Characteristics'!$C:$C,0))),"",INDEX('Policy Characteristics'!E:E,MATCH($C1105,'Policy Characteristics'!$C:$C,0)))</f>
        <v>indst efficiency standards</v>
      </c>
      <c r="L1105" s="283">
        <f>IF(ISBLANK(INDEX('Policy Characteristics'!F:F,MATCH($C1105,'Policy Characteristics'!$C:$C,0))),"",INDEX('Policy Characteristics'!F:F,MATCH($C1105,'Policy Characteristics'!$C:$C,0)))</f>
        <v>0</v>
      </c>
      <c r="M1105" s="283">
        <f>IF(ISBLANK(INDEX('Policy Characteristics'!G:G,MATCH($C1105,'Policy Characteristics'!$C:$C,0))),"",INDEX('Policy Characteristics'!G:G,MATCH($C1105,'Policy Characteristics'!$C:$C,0)))</f>
        <v>0.25</v>
      </c>
      <c r="N1105" s="283">
        <f>IF(ISBLANK(INDEX('Policy Characteristics'!H:H,MATCH($C1105,'Policy Characteristics'!$C:$C,0))),"",INDEX('Policy Characteristics'!H:H,MATCH($C1105,'Policy Characteristics'!$C:$C,0)))</f>
        <v>0.01</v>
      </c>
      <c r="O1105" s="275" t="str">
        <f>IF(ISBLANK(INDEX('Policy Characteristics'!I:I,MATCH($C1105,'Policy Characteristics'!$C:$C,0))),"",INDEX('Policy Characteristics'!I:I,MATCH($C1105,'Policy Characteristics'!$C:$C,0)))</f>
        <v>% reduction in energy use</v>
      </c>
      <c r="P1105" s="275" t="str">
        <f>IF(ISBLANK(INDEX('Policy Characteristics'!J:J,MATCH($C1105,'Policy Characteristics'!$C:$C,0))),"",INDEX('Policy Characteristics'!J:J,MATCH($C1105,'Policy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5" s="275" t="str">
        <f>IF(ISBLANK(INDEX('Policy Characteristics'!K:K,MATCH($C1105,'Policy Characteristics'!$C:$C,0))),"",INDEX('Policy Characteristics'!K:K,MATCH($C1105,'Policy Characteristics'!$C:$C,0)))</f>
        <v>industry-ag-main.html#eff-stds</v>
      </c>
      <c r="R1105" s="275" t="str">
        <f>IF(ISBLANK(INDEX('Policy Characteristics'!L:L,MATCH($C1105,'Policy Characteristics'!$C:$C,0))),"",INDEX('Policy Characteristics'!L:L,MATCH($C1105,'Policy Characteristics'!$C:$C,0)))</f>
        <v>industry-energy-efficiency-standards.html</v>
      </c>
    </row>
    <row r="1106" spans="1:18" s="4" customFormat="1" x14ac:dyDescent="0.25">
      <c r="A1106" s="275" t="str">
        <f>IF(ISBLANK(INDEX('Policy Characteristics'!A:A,MATCH($C1106,'Policy Characteristics'!$C:$C,0))),"",INDEX('Policy Characteristics'!A:A,MATCH($C1106,'Policy Characteristics'!$C:$C,0)))</f>
        <v>Industry</v>
      </c>
      <c r="B1106" s="284" t="str">
        <f>IF(ISBLANK(INDEX('Policy Characteristics'!B:B,MATCH($C1106,'Policy Characteristics'!$C:$C,0))),"",INDEX('Policy Characteristics'!B:B,MATCH($C1106,'Policy Characteristics'!$C:$C,0)))</f>
        <v>Industry Energy Efficiency Standards</v>
      </c>
      <c r="C1106" s="275" t="str">
        <f t="shared" si="43"/>
        <v>Percentage Improvement in Eqpt Efficiency Standards above BAU</v>
      </c>
      <c r="D1106" s="6" t="s">
        <v>3083</v>
      </c>
      <c r="E1106" s="47" t="s">
        <v>2404</v>
      </c>
      <c r="F1106" t="s">
        <v>2583</v>
      </c>
      <c r="G1106" s="47" t="s">
        <v>2408</v>
      </c>
      <c r="H1106" s="44">
        <v>1091</v>
      </c>
      <c r="I1106" s="346" t="s">
        <v>44</v>
      </c>
      <c r="J1106" s="276" t="str">
        <f>IF(ISBLANK(INDEX('Policy Characteristics'!D:D,MATCH($C1106,'Policy Characteristics'!$C:$C,0))),"",INDEX('Policy Characteristics'!D:D,MATCH($C1106,'Policy Characteristics'!$C:$C,0)))</f>
        <v>Industry Energy Efficiency Standards</v>
      </c>
      <c r="K1106" s="275" t="str">
        <f>IF(ISBLANK(INDEX('Policy Characteristics'!E:E,MATCH($C1106,'Policy Characteristics'!$C:$C,0))),"",INDEX('Policy Characteristics'!E:E,MATCH($C1106,'Policy Characteristics'!$C:$C,0)))</f>
        <v>indst efficiency standards</v>
      </c>
      <c r="L1106" s="283">
        <f>IF(ISBLANK(INDEX('Policy Characteristics'!F:F,MATCH($C1106,'Policy Characteristics'!$C:$C,0))),"",INDEX('Policy Characteristics'!F:F,MATCH($C1106,'Policy Characteristics'!$C:$C,0)))</f>
        <v>0</v>
      </c>
      <c r="M1106" s="283">
        <f>IF(ISBLANK(INDEX('Policy Characteristics'!G:G,MATCH($C1106,'Policy Characteristics'!$C:$C,0))),"",INDEX('Policy Characteristics'!G:G,MATCH($C1106,'Policy Characteristics'!$C:$C,0)))</f>
        <v>0.25</v>
      </c>
      <c r="N1106" s="283">
        <f>IF(ISBLANK(INDEX('Policy Characteristics'!H:H,MATCH($C1106,'Policy Characteristics'!$C:$C,0))),"",INDEX('Policy Characteristics'!H:H,MATCH($C1106,'Policy Characteristics'!$C:$C,0)))</f>
        <v>0.01</v>
      </c>
      <c r="O1106" s="275" t="str">
        <f>IF(ISBLANK(INDEX('Policy Characteristics'!I:I,MATCH($C1106,'Policy Characteristics'!$C:$C,0))),"",INDEX('Policy Characteristics'!I:I,MATCH($C1106,'Policy Characteristics'!$C:$C,0)))</f>
        <v>% reduction in energy use</v>
      </c>
      <c r="P1106" s="275" t="str">
        <f>IF(ISBLANK(INDEX('Policy Characteristics'!J:J,MATCH($C1106,'Policy Characteristics'!$C:$C,0))),"",INDEX('Policy Characteristics'!J:J,MATCH($C1106,'Policy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6" s="275" t="str">
        <f>IF(ISBLANK(INDEX('Policy Characteristics'!K:K,MATCH($C1106,'Policy Characteristics'!$C:$C,0))),"",INDEX('Policy Characteristics'!K:K,MATCH($C1106,'Policy Characteristics'!$C:$C,0)))</f>
        <v>industry-ag-main.html#eff-stds</v>
      </c>
      <c r="R1106" s="275" t="str">
        <f>IF(ISBLANK(INDEX('Policy Characteristics'!L:L,MATCH($C1106,'Policy Characteristics'!$C:$C,0))),"",INDEX('Policy Characteristics'!L:L,MATCH($C1106,'Policy Characteristics'!$C:$C,0)))</f>
        <v>industry-energy-efficiency-standards.html</v>
      </c>
    </row>
    <row r="1107" spans="1:18" s="4" customFormat="1" x14ac:dyDescent="0.25">
      <c r="A1107" s="275" t="str">
        <f>IF(ISBLANK(INDEX('Policy Characteristics'!A:A,MATCH($C1107,'Policy Characteristics'!$C:$C,0))),"",INDEX('Policy Characteristics'!A:A,MATCH($C1107,'Policy Characteristics'!$C:$C,0)))</f>
        <v>Industry</v>
      </c>
      <c r="B1107" s="284" t="str">
        <f>IF(ISBLANK(INDEX('Policy Characteristics'!B:B,MATCH($C1107,'Policy Characteristics'!$C:$C,0))),"",INDEX('Policy Characteristics'!B:B,MATCH($C1107,'Policy Characteristics'!$C:$C,0)))</f>
        <v>Industry Energy Efficiency Standards</v>
      </c>
      <c r="C1107" s="275" t="str">
        <f t="shared" si="43"/>
        <v>Percentage Improvement in Eqpt Efficiency Standards above BAU</v>
      </c>
      <c r="D1107" s="6" t="s">
        <v>3083</v>
      </c>
      <c r="E1107" s="47" t="s">
        <v>2405</v>
      </c>
      <c r="F1107" t="s">
        <v>2583</v>
      </c>
      <c r="G1107" s="47" t="s">
        <v>2409</v>
      </c>
      <c r="H1107" s="44">
        <v>1092</v>
      </c>
      <c r="I1107" s="346" t="s">
        <v>43</v>
      </c>
      <c r="J1107" s="276" t="str">
        <f>IF(ISBLANK(INDEX('Policy Characteristics'!D:D,MATCH($C1107,'Policy Characteristics'!$C:$C,0))),"",INDEX('Policy Characteristics'!D:D,MATCH($C1107,'Policy Characteristics'!$C:$C,0)))</f>
        <v>Industry Energy Efficiency Standards</v>
      </c>
      <c r="K1107" s="275" t="str">
        <f>IF(ISBLANK(INDEX('Policy Characteristics'!E:E,MATCH($C1107,'Policy Characteristics'!$C:$C,0))),"",INDEX('Policy Characteristics'!E:E,MATCH($C1107,'Policy Characteristics'!$C:$C,0)))</f>
        <v>indst efficiency standards</v>
      </c>
      <c r="L1107" s="283">
        <f>IF(ISBLANK(INDEX('Policy Characteristics'!F:F,MATCH($C1107,'Policy Characteristics'!$C:$C,0))),"",INDEX('Policy Characteristics'!F:F,MATCH($C1107,'Policy Characteristics'!$C:$C,0)))</f>
        <v>0</v>
      </c>
      <c r="M1107" s="283">
        <f>IF(ISBLANK(INDEX('Policy Characteristics'!G:G,MATCH($C1107,'Policy Characteristics'!$C:$C,0))),"",INDEX('Policy Characteristics'!G:G,MATCH($C1107,'Policy Characteristics'!$C:$C,0)))</f>
        <v>0.25</v>
      </c>
      <c r="N1107" s="283">
        <f>IF(ISBLANK(INDEX('Policy Characteristics'!H:H,MATCH($C1107,'Policy Characteristics'!$C:$C,0))),"",INDEX('Policy Characteristics'!H:H,MATCH($C1107,'Policy Characteristics'!$C:$C,0)))</f>
        <v>0.01</v>
      </c>
      <c r="O1107" s="275" t="str">
        <f>IF(ISBLANK(INDEX('Policy Characteristics'!I:I,MATCH($C1107,'Policy Characteristics'!$C:$C,0))),"",INDEX('Policy Characteristics'!I:I,MATCH($C1107,'Policy Characteristics'!$C:$C,0)))</f>
        <v>% reduction in energy use</v>
      </c>
      <c r="P1107" s="275" t="str">
        <f>IF(ISBLANK(INDEX('Policy Characteristics'!J:J,MATCH($C1107,'Policy Characteristics'!$C:$C,0))),"",INDEX('Policy Characteristics'!J:J,MATCH($C1107,'Policy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7" s="275" t="str">
        <f>IF(ISBLANK(INDEX('Policy Characteristics'!K:K,MATCH($C1107,'Policy Characteristics'!$C:$C,0))),"",INDEX('Policy Characteristics'!K:K,MATCH($C1107,'Policy Characteristics'!$C:$C,0)))</f>
        <v>industry-ag-main.html#eff-stds</v>
      </c>
      <c r="R1107" s="275" t="str">
        <f>IF(ISBLANK(INDEX('Policy Characteristics'!L:L,MATCH($C1107,'Policy Characteristics'!$C:$C,0))),"",INDEX('Policy Characteristics'!L:L,MATCH($C1107,'Policy Characteristics'!$C:$C,0)))</f>
        <v>industry-energy-efficiency-standards.html</v>
      </c>
    </row>
    <row r="1108" spans="1:18" s="4" customFormat="1" x14ac:dyDescent="0.25">
      <c r="A1108" s="275" t="str">
        <f>IF(ISBLANK(INDEX('Policy Characteristics'!A:A,MATCH($C1108,'Policy Characteristics'!$C:$C,0))),"",INDEX('Policy Characteristics'!A:A,MATCH($C1108,'Policy Characteristics'!$C:$C,0)))</f>
        <v>Industry</v>
      </c>
      <c r="B1108" s="284" t="str">
        <f>IF(ISBLANK(INDEX('Policy Characteristics'!B:B,MATCH($C1108,'Policy Characteristics'!$C:$C,0))),"",INDEX('Policy Characteristics'!B:B,MATCH($C1108,'Policy Characteristics'!$C:$C,0)))</f>
        <v>Industry Energy Efficiency Standards</v>
      </c>
      <c r="C1108" s="275" t="str">
        <f t="shared" si="43"/>
        <v>Percentage Improvement in Eqpt Efficiency Standards above BAU</v>
      </c>
      <c r="D1108" s="6" t="s">
        <v>3083</v>
      </c>
      <c r="E1108" s="47" t="s">
        <v>2406</v>
      </c>
      <c r="F1108" t="s">
        <v>2583</v>
      </c>
      <c r="G1108" s="47" t="s">
        <v>2412</v>
      </c>
      <c r="H1108" s="44">
        <v>1093</v>
      </c>
      <c r="I1108" s="346" t="s">
        <v>44</v>
      </c>
      <c r="J1108" s="276" t="str">
        <f>IF(ISBLANK(INDEX('Policy Characteristics'!D:D,MATCH($C1108,'Policy Characteristics'!$C:$C,0))),"",INDEX('Policy Characteristics'!D:D,MATCH($C1108,'Policy Characteristics'!$C:$C,0)))</f>
        <v>Industry Energy Efficiency Standards</v>
      </c>
      <c r="K1108" s="275" t="str">
        <f>IF(ISBLANK(INDEX('Policy Characteristics'!E:E,MATCH($C1108,'Policy Characteristics'!$C:$C,0))),"",INDEX('Policy Characteristics'!E:E,MATCH($C1108,'Policy Characteristics'!$C:$C,0)))</f>
        <v>indst efficiency standards</v>
      </c>
      <c r="L1108" s="283">
        <f>IF(ISBLANK(INDEX('Policy Characteristics'!F:F,MATCH($C1108,'Policy Characteristics'!$C:$C,0))),"",INDEX('Policy Characteristics'!F:F,MATCH($C1108,'Policy Characteristics'!$C:$C,0)))</f>
        <v>0</v>
      </c>
      <c r="M1108" s="283">
        <f>IF(ISBLANK(INDEX('Policy Characteristics'!G:G,MATCH($C1108,'Policy Characteristics'!$C:$C,0))),"",INDEX('Policy Characteristics'!G:G,MATCH($C1108,'Policy Characteristics'!$C:$C,0)))</f>
        <v>0.25</v>
      </c>
      <c r="N1108" s="283">
        <f>IF(ISBLANK(INDEX('Policy Characteristics'!H:H,MATCH($C1108,'Policy Characteristics'!$C:$C,0))),"",INDEX('Policy Characteristics'!H:H,MATCH($C1108,'Policy Characteristics'!$C:$C,0)))</f>
        <v>0.01</v>
      </c>
      <c r="O1108" s="275" t="str">
        <f>IF(ISBLANK(INDEX('Policy Characteristics'!I:I,MATCH($C1108,'Policy Characteristics'!$C:$C,0))),"",INDEX('Policy Characteristics'!I:I,MATCH($C1108,'Policy Characteristics'!$C:$C,0)))</f>
        <v>% reduction in energy use</v>
      </c>
      <c r="P1108" s="275" t="str">
        <f>IF(ISBLANK(INDEX('Policy Characteristics'!J:J,MATCH($C1108,'Policy Characteristics'!$C:$C,0))),"",INDEX('Policy Characteristics'!J:J,MATCH($C1108,'Policy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8" s="275" t="str">
        <f>IF(ISBLANK(INDEX('Policy Characteristics'!K:K,MATCH($C1108,'Policy Characteristics'!$C:$C,0))),"",INDEX('Policy Characteristics'!K:K,MATCH($C1108,'Policy Characteristics'!$C:$C,0)))</f>
        <v>industry-ag-main.html#eff-stds</v>
      </c>
      <c r="R1108" s="275" t="str">
        <f>IF(ISBLANK(INDEX('Policy Characteristics'!L:L,MATCH($C1108,'Policy Characteristics'!$C:$C,0))),"",INDEX('Policy Characteristics'!L:L,MATCH($C1108,'Policy Characteristics'!$C:$C,0)))</f>
        <v>industry-energy-efficiency-standards.html</v>
      </c>
    </row>
    <row r="1109" spans="1:18" s="4" customFormat="1" x14ac:dyDescent="0.25">
      <c r="A1109" s="275" t="str">
        <f>IF(ISBLANK(INDEX('Policy Characteristics'!A:A,MATCH($C1109,'Policy Characteristics'!$C:$C,0))),"",INDEX('Policy Characteristics'!A:A,MATCH($C1109,'Policy Characteristics'!$C:$C,0)))</f>
        <v>Industry</v>
      </c>
      <c r="B1109" s="284" t="str">
        <f>IF(ISBLANK(INDEX('Policy Characteristics'!B:B,MATCH($C1109,'Policy Characteristics'!$C:$C,0))),"",INDEX('Policy Characteristics'!B:B,MATCH($C1109,'Policy Characteristics'!$C:$C,0)))</f>
        <v>Industry Energy Efficiency Standards</v>
      </c>
      <c r="C1109" s="275" t="str">
        <f t="shared" si="43"/>
        <v>Percentage Improvement in Eqpt Efficiency Standards above BAU</v>
      </c>
      <c r="D1109" s="6" t="s">
        <v>3083</v>
      </c>
      <c r="E1109" s="47" t="s">
        <v>2709</v>
      </c>
      <c r="F1109" t="s">
        <v>2583</v>
      </c>
      <c r="G1109" s="47" t="s">
        <v>2712</v>
      </c>
      <c r="H1109" s="44">
        <v>1094</v>
      </c>
      <c r="I1109" s="346" t="s">
        <v>44</v>
      </c>
      <c r="J1109" s="276" t="str">
        <f>IF(ISBLANK(INDEX('Policy Characteristics'!D:D,MATCH($C1109,'Policy Characteristics'!$C:$C,0))),"",INDEX('Policy Characteristics'!D:D,MATCH($C1109,'Policy Characteristics'!$C:$C,0)))</f>
        <v>Industry Energy Efficiency Standards</v>
      </c>
      <c r="K1109" s="275" t="str">
        <f>IF(ISBLANK(INDEX('Policy Characteristics'!E:E,MATCH($C1109,'Policy Characteristics'!$C:$C,0))),"",INDEX('Policy Characteristics'!E:E,MATCH($C1109,'Policy Characteristics'!$C:$C,0)))</f>
        <v>indst efficiency standards</v>
      </c>
      <c r="L1109" s="283">
        <f>IF(ISBLANK(INDEX('Policy Characteristics'!F:F,MATCH($C1109,'Policy Characteristics'!$C:$C,0))),"",INDEX('Policy Characteristics'!F:F,MATCH($C1109,'Policy Characteristics'!$C:$C,0)))</f>
        <v>0</v>
      </c>
      <c r="M1109" s="283">
        <f>IF(ISBLANK(INDEX('Policy Characteristics'!G:G,MATCH($C1109,'Policy Characteristics'!$C:$C,0))),"",INDEX('Policy Characteristics'!G:G,MATCH($C1109,'Policy Characteristics'!$C:$C,0)))</f>
        <v>0.25</v>
      </c>
      <c r="N1109" s="283">
        <f>IF(ISBLANK(INDEX('Policy Characteristics'!H:H,MATCH($C1109,'Policy Characteristics'!$C:$C,0))),"",INDEX('Policy Characteristics'!H:H,MATCH($C1109,'Policy Characteristics'!$C:$C,0)))</f>
        <v>0.01</v>
      </c>
      <c r="O1109" s="275" t="str">
        <f>IF(ISBLANK(INDEX('Policy Characteristics'!I:I,MATCH($C1109,'Policy Characteristics'!$C:$C,0))),"",INDEX('Policy Characteristics'!I:I,MATCH($C1109,'Policy Characteristics'!$C:$C,0)))</f>
        <v>% reduction in energy use</v>
      </c>
      <c r="P1109" s="275" t="str">
        <f>IF(ISBLANK(INDEX('Policy Characteristics'!J:J,MATCH($C1109,'Policy Characteristics'!$C:$C,0))),"",INDEX('Policy Characteristics'!J:J,MATCH($C1109,'Policy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9" s="275" t="str">
        <f>IF(ISBLANK(INDEX('Policy Characteristics'!K:K,MATCH($C1109,'Policy Characteristics'!$C:$C,0))),"",INDEX('Policy Characteristics'!K:K,MATCH($C1109,'Policy Characteristics'!$C:$C,0)))</f>
        <v>industry-ag-main.html#eff-stds</v>
      </c>
      <c r="R1109" s="275" t="str">
        <f>IF(ISBLANK(INDEX('Policy Characteristics'!L:L,MATCH($C1109,'Policy Characteristics'!$C:$C,0))),"",INDEX('Policy Characteristics'!L:L,MATCH($C1109,'Policy Characteristics'!$C:$C,0)))</f>
        <v>industry-energy-efficiency-standards.html</v>
      </c>
    </row>
    <row r="1110" spans="1:18" s="4" customFormat="1" x14ac:dyDescent="0.25">
      <c r="A1110" s="275" t="str">
        <f>IF(ISBLANK(INDEX('Policy Characteristics'!A:A,MATCH($C1110,'Policy Characteristics'!$C:$C,0))),"",INDEX('Policy Characteristics'!A:A,MATCH($C1110,'Policy Characteristics'!$C:$C,0)))</f>
        <v>Industry</v>
      </c>
      <c r="B1110" s="284" t="str">
        <f>IF(ISBLANK(INDEX('Policy Characteristics'!B:B,MATCH($C1110,'Policy Characteristics'!$C:$C,0))),"",INDEX('Policy Characteristics'!B:B,MATCH($C1110,'Policy Characteristics'!$C:$C,0)))</f>
        <v>Industry Energy Efficiency Standards</v>
      </c>
      <c r="C1110" s="275" t="str">
        <f t="shared" si="43"/>
        <v>Percentage Improvement in Eqpt Efficiency Standards above BAU</v>
      </c>
      <c r="D1110" s="6" t="s">
        <v>3083</v>
      </c>
      <c r="E1110" s="47" t="s">
        <v>2710</v>
      </c>
      <c r="F1110" t="s">
        <v>2583</v>
      </c>
      <c r="G1110" s="47" t="s">
        <v>2714</v>
      </c>
      <c r="H1110" s="44">
        <v>1095</v>
      </c>
      <c r="I1110" s="346" t="s">
        <v>43</v>
      </c>
      <c r="J1110" s="276" t="str">
        <f>IF(ISBLANK(INDEX('Policy Characteristics'!D:D,MATCH($C1110,'Policy Characteristics'!$C:$C,0))),"",INDEX('Policy Characteristics'!D:D,MATCH($C1110,'Policy Characteristics'!$C:$C,0)))</f>
        <v>Industry Energy Efficiency Standards</v>
      </c>
      <c r="K1110" s="275" t="str">
        <f>IF(ISBLANK(INDEX('Policy Characteristics'!E:E,MATCH($C1110,'Policy Characteristics'!$C:$C,0))),"",INDEX('Policy Characteristics'!E:E,MATCH($C1110,'Policy Characteristics'!$C:$C,0)))</f>
        <v>indst efficiency standards</v>
      </c>
      <c r="L1110" s="283">
        <f>IF(ISBLANK(INDEX('Policy Characteristics'!F:F,MATCH($C1110,'Policy Characteristics'!$C:$C,0))),"",INDEX('Policy Characteristics'!F:F,MATCH($C1110,'Policy Characteristics'!$C:$C,0)))</f>
        <v>0</v>
      </c>
      <c r="M1110" s="283">
        <f>IF(ISBLANK(INDEX('Policy Characteristics'!G:G,MATCH($C1110,'Policy Characteristics'!$C:$C,0))),"",INDEX('Policy Characteristics'!G:G,MATCH($C1110,'Policy Characteristics'!$C:$C,0)))</f>
        <v>0.25</v>
      </c>
      <c r="N1110" s="283">
        <f>IF(ISBLANK(INDEX('Policy Characteristics'!H:H,MATCH($C1110,'Policy Characteristics'!$C:$C,0))),"",INDEX('Policy Characteristics'!H:H,MATCH($C1110,'Policy Characteristics'!$C:$C,0)))</f>
        <v>0.01</v>
      </c>
      <c r="O1110" s="275" t="str">
        <f>IF(ISBLANK(INDEX('Policy Characteristics'!I:I,MATCH($C1110,'Policy Characteristics'!$C:$C,0))),"",INDEX('Policy Characteristics'!I:I,MATCH($C1110,'Policy Characteristics'!$C:$C,0)))</f>
        <v>% reduction in energy use</v>
      </c>
      <c r="P1110" s="275" t="str">
        <f>IF(ISBLANK(INDEX('Policy Characteristics'!J:J,MATCH($C1110,'Policy Characteristics'!$C:$C,0))),"",INDEX('Policy Characteristics'!J:J,MATCH($C1110,'Policy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0" s="275" t="str">
        <f>IF(ISBLANK(INDEX('Policy Characteristics'!K:K,MATCH($C1110,'Policy Characteristics'!$C:$C,0))),"",INDEX('Policy Characteristics'!K:K,MATCH($C1110,'Policy Characteristics'!$C:$C,0)))</f>
        <v>industry-ag-main.html#eff-stds</v>
      </c>
      <c r="R1110" s="275" t="str">
        <f>IF(ISBLANK(INDEX('Policy Characteristics'!L:L,MATCH($C1110,'Policy Characteristics'!$C:$C,0))),"",INDEX('Policy Characteristics'!L:L,MATCH($C1110,'Policy Characteristics'!$C:$C,0)))</f>
        <v>industry-energy-efficiency-standards.html</v>
      </c>
    </row>
    <row r="1111" spans="1:18" s="4" customFormat="1" x14ac:dyDescent="0.25">
      <c r="A1111" s="275" t="str">
        <f>IF(ISBLANK(INDEX('Policy Characteristics'!A:A,MATCH($C1111,'Policy Characteristics'!$C:$C,0))),"",INDEX('Policy Characteristics'!A:A,MATCH($C1111,'Policy Characteristics'!$C:$C,0)))</f>
        <v>Industry</v>
      </c>
      <c r="B1111" s="284" t="str">
        <f>IF(ISBLANK(INDEX('Policy Characteristics'!B:B,MATCH($C1111,'Policy Characteristics'!$C:$C,0))),"",INDEX('Policy Characteristics'!B:B,MATCH($C1111,'Policy Characteristics'!$C:$C,0)))</f>
        <v>Industry Energy Efficiency Standards</v>
      </c>
      <c r="C1111" s="275" t="str">
        <f t="shared" si="43"/>
        <v>Percentage Improvement in Eqpt Efficiency Standards above BAU</v>
      </c>
      <c r="D1111" s="6" t="s">
        <v>3083</v>
      </c>
      <c r="E1111" s="47" t="s">
        <v>2711</v>
      </c>
      <c r="F1111" t="s">
        <v>2583</v>
      </c>
      <c r="G1111" s="47" t="s">
        <v>2715</v>
      </c>
      <c r="H1111" s="44">
        <v>1096</v>
      </c>
      <c r="I1111" s="346" t="s">
        <v>43</v>
      </c>
      <c r="J1111" s="276" t="str">
        <f>IF(ISBLANK(INDEX('Policy Characteristics'!D:D,MATCH($C1111,'Policy Characteristics'!$C:$C,0))),"",INDEX('Policy Characteristics'!D:D,MATCH($C1111,'Policy Characteristics'!$C:$C,0)))</f>
        <v>Industry Energy Efficiency Standards</v>
      </c>
      <c r="K1111" s="275" t="str">
        <f>IF(ISBLANK(INDEX('Policy Characteristics'!E:E,MATCH($C1111,'Policy Characteristics'!$C:$C,0))),"",INDEX('Policy Characteristics'!E:E,MATCH($C1111,'Policy Characteristics'!$C:$C,0)))</f>
        <v>indst efficiency standards</v>
      </c>
      <c r="L1111" s="283">
        <f>IF(ISBLANK(INDEX('Policy Characteristics'!F:F,MATCH($C1111,'Policy Characteristics'!$C:$C,0))),"",INDEX('Policy Characteristics'!F:F,MATCH($C1111,'Policy Characteristics'!$C:$C,0)))</f>
        <v>0</v>
      </c>
      <c r="M1111" s="283">
        <f>IF(ISBLANK(INDEX('Policy Characteristics'!G:G,MATCH($C1111,'Policy Characteristics'!$C:$C,0))),"",INDEX('Policy Characteristics'!G:G,MATCH($C1111,'Policy Characteristics'!$C:$C,0)))</f>
        <v>0.25</v>
      </c>
      <c r="N1111" s="283">
        <f>IF(ISBLANK(INDEX('Policy Characteristics'!H:H,MATCH($C1111,'Policy Characteristics'!$C:$C,0))),"",INDEX('Policy Characteristics'!H:H,MATCH($C1111,'Policy Characteristics'!$C:$C,0)))</f>
        <v>0.01</v>
      </c>
      <c r="O1111" s="275" t="str">
        <f>IF(ISBLANK(INDEX('Policy Characteristics'!I:I,MATCH($C1111,'Policy Characteristics'!$C:$C,0))),"",INDEX('Policy Characteristics'!I:I,MATCH($C1111,'Policy Characteristics'!$C:$C,0)))</f>
        <v>% reduction in energy use</v>
      </c>
      <c r="P1111" s="275" t="str">
        <f>IF(ISBLANK(INDEX('Policy Characteristics'!J:J,MATCH($C1111,'Policy Characteristics'!$C:$C,0))),"",INDEX('Policy Characteristics'!J:J,MATCH($C1111,'Policy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1" s="275" t="str">
        <f>IF(ISBLANK(INDEX('Policy Characteristics'!K:K,MATCH($C1111,'Policy Characteristics'!$C:$C,0))),"",INDEX('Policy Characteristics'!K:K,MATCH($C1111,'Policy Characteristics'!$C:$C,0)))</f>
        <v>industry-ag-main.html#eff-stds</v>
      </c>
      <c r="R1111" s="275" t="str">
        <f>IF(ISBLANK(INDEX('Policy Characteristics'!L:L,MATCH($C1111,'Policy Characteristics'!$C:$C,0))),"",INDEX('Policy Characteristics'!L:L,MATCH($C1111,'Policy Characteristics'!$C:$C,0)))</f>
        <v>industry-energy-efficiency-standards.html</v>
      </c>
    </row>
    <row r="1112" spans="1:18" s="4" customFormat="1" x14ac:dyDescent="0.25">
      <c r="A1112" s="275" t="str">
        <f>IF(ISBLANK(INDEX('Policy Characteristics'!A:A,MATCH($C1112,'Policy Characteristics'!$C:$C,0))),"",INDEX('Policy Characteristics'!A:A,MATCH($C1112,'Policy Characteristics'!$C:$C,0)))</f>
        <v>Industry</v>
      </c>
      <c r="B1112" s="284" t="str">
        <f>IF(ISBLANK(INDEX('Policy Characteristics'!B:B,MATCH($C1112,'Policy Characteristics'!$C:$C,0))),"",INDEX('Policy Characteristics'!B:B,MATCH($C1112,'Policy Characteristics'!$C:$C,0)))</f>
        <v>Industry Energy Efficiency Standards</v>
      </c>
      <c r="C1112" s="275" t="str">
        <f t="shared" si="43"/>
        <v>Percentage Improvement in Eqpt Efficiency Standards above BAU</v>
      </c>
      <c r="D1112" s="6" t="s">
        <v>3083</v>
      </c>
      <c r="E1112" s="47" t="s">
        <v>2708</v>
      </c>
      <c r="F1112" t="s">
        <v>2583</v>
      </c>
      <c r="G1112" s="47" t="s">
        <v>2713</v>
      </c>
      <c r="H1112" s="44">
        <v>1097</v>
      </c>
      <c r="I1112" s="346" t="s">
        <v>44</v>
      </c>
      <c r="J1112" s="276" t="str">
        <f>IF(ISBLANK(INDEX('Policy Characteristics'!D:D,MATCH($C1112,'Policy Characteristics'!$C:$C,0))),"",INDEX('Policy Characteristics'!D:D,MATCH($C1112,'Policy Characteristics'!$C:$C,0)))</f>
        <v>Industry Energy Efficiency Standards</v>
      </c>
      <c r="K1112" s="275" t="str">
        <f>IF(ISBLANK(INDEX('Policy Characteristics'!E:E,MATCH($C1112,'Policy Characteristics'!$C:$C,0))),"",INDEX('Policy Characteristics'!E:E,MATCH($C1112,'Policy Characteristics'!$C:$C,0)))</f>
        <v>indst efficiency standards</v>
      </c>
      <c r="L1112" s="283">
        <f>IF(ISBLANK(INDEX('Policy Characteristics'!F:F,MATCH($C1112,'Policy Characteristics'!$C:$C,0))),"",INDEX('Policy Characteristics'!F:F,MATCH($C1112,'Policy Characteristics'!$C:$C,0)))</f>
        <v>0</v>
      </c>
      <c r="M1112" s="283">
        <f>IF(ISBLANK(INDEX('Policy Characteristics'!G:G,MATCH($C1112,'Policy Characteristics'!$C:$C,0))),"",INDEX('Policy Characteristics'!G:G,MATCH($C1112,'Policy Characteristics'!$C:$C,0)))</f>
        <v>0.25</v>
      </c>
      <c r="N1112" s="283">
        <f>IF(ISBLANK(INDEX('Policy Characteristics'!H:H,MATCH($C1112,'Policy Characteristics'!$C:$C,0))),"",INDEX('Policy Characteristics'!H:H,MATCH($C1112,'Policy Characteristics'!$C:$C,0)))</f>
        <v>0.01</v>
      </c>
      <c r="O1112" s="275" t="str">
        <f>IF(ISBLANK(INDEX('Policy Characteristics'!I:I,MATCH($C1112,'Policy Characteristics'!$C:$C,0))),"",INDEX('Policy Characteristics'!I:I,MATCH($C1112,'Policy Characteristics'!$C:$C,0)))</f>
        <v>% reduction in energy use</v>
      </c>
      <c r="P1112" s="275" t="str">
        <f>IF(ISBLANK(INDEX('Policy Characteristics'!J:J,MATCH($C1112,'Policy Characteristics'!$C:$C,0))),"",INDEX('Policy Characteristics'!J:J,MATCH($C1112,'Policy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2" s="275" t="str">
        <f>IF(ISBLANK(INDEX('Policy Characteristics'!K:K,MATCH($C1112,'Policy Characteristics'!$C:$C,0))),"",INDEX('Policy Characteristics'!K:K,MATCH($C1112,'Policy Characteristics'!$C:$C,0)))</f>
        <v>industry-ag-main.html#eff-stds</v>
      </c>
      <c r="R1112" s="275" t="str">
        <f>IF(ISBLANK(INDEX('Policy Characteristics'!L:L,MATCH($C1112,'Policy Characteristics'!$C:$C,0))),"",INDEX('Policy Characteristics'!L:L,MATCH($C1112,'Policy Characteristics'!$C:$C,0)))</f>
        <v>industry-energy-efficiency-standards.html</v>
      </c>
    </row>
    <row r="1113" spans="1:18" s="4" customFormat="1" x14ac:dyDescent="0.25">
      <c r="A1113" s="275" t="str">
        <f>IF(ISBLANK(INDEX('Policy Characteristics'!A:A,MATCH($C1113,'Policy Characteristics'!$C:$C,0))),"",INDEX('Policy Characteristics'!A:A,MATCH($C1113,'Policy Characteristics'!$C:$C,0)))</f>
        <v>Industry</v>
      </c>
      <c r="B1113" s="284" t="str">
        <f>IF(ISBLANK(INDEX('Policy Characteristics'!B:B,MATCH($C1113,'Policy Characteristics'!$C:$C,0))),"",INDEX('Policy Characteristics'!B:B,MATCH($C1113,'Policy Characteristics'!$C:$C,0)))</f>
        <v>Industry Energy Efficiency Standards</v>
      </c>
      <c r="C1113" s="275" t="str">
        <f t="shared" si="43"/>
        <v>Percentage Improvement in Eqpt Efficiency Standards above BAU</v>
      </c>
      <c r="D1113" s="6" t="s">
        <v>3084</v>
      </c>
      <c r="E1113" s="47" t="s">
        <v>2401</v>
      </c>
      <c r="F1113" t="s">
        <v>3046</v>
      </c>
      <c r="G1113" s="47" t="s">
        <v>2407</v>
      </c>
      <c r="H1113" s="44">
        <v>1098</v>
      </c>
      <c r="I1113" s="346" t="s">
        <v>43</v>
      </c>
      <c r="J1113" s="276" t="str">
        <f>IF(ISBLANK(INDEX('Policy Characteristics'!D:D,MATCH($C1113,'Policy Characteristics'!$C:$C,0))),"",INDEX('Policy Characteristics'!D:D,MATCH($C1113,'Policy Characteristics'!$C:$C,0)))</f>
        <v>Industry Energy Efficiency Standards</v>
      </c>
      <c r="K1113" s="275" t="str">
        <f>IF(ISBLANK(INDEX('Policy Characteristics'!E:E,MATCH($C1113,'Policy Characteristics'!$C:$C,0))),"",INDEX('Policy Characteristics'!E:E,MATCH($C1113,'Policy Characteristics'!$C:$C,0)))</f>
        <v>indst efficiency standards</v>
      </c>
      <c r="L1113" s="283">
        <f>IF(ISBLANK(INDEX('Policy Characteristics'!F:F,MATCH($C1113,'Policy Characteristics'!$C:$C,0))),"",INDEX('Policy Characteristics'!F:F,MATCH($C1113,'Policy Characteristics'!$C:$C,0)))</f>
        <v>0</v>
      </c>
      <c r="M1113" s="283">
        <f>IF(ISBLANK(INDEX('Policy Characteristics'!G:G,MATCH($C1113,'Policy Characteristics'!$C:$C,0))),"",INDEX('Policy Characteristics'!G:G,MATCH($C1113,'Policy Characteristics'!$C:$C,0)))</f>
        <v>0.25</v>
      </c>
      <c r="N1113" s="283">
        <f>IF(ISBLANK(INDEX('Policy Characteristics'!H:H,MATCH($C1113,'Policy Characteristics'!$C:$C,0))),"",INDEX('Policy Characteristics'!H:H,MATCH($C1113,'Policy Characteristics'!$C:$C,0)))</f>
        <v>0.01</v>
      </c>
      <c r="O1113" s="275" t="str">
        <f>IF(ISBLANK(INDEX('Policy Characteristics'!I:I,MATCH($C1113,'Policy Characteristics'!$C:$C,0))),"",INDEX('Policy Characteristics'!I:I,MATCH($C1113,'Policy Characteristics'!$C:$C,0)))</f>
        <v>% reduction in energy use</v>
      </c>
      <c r="P1113" s="275" t="str">
        <f>IF(ISBLANK(INDEX('Policy Characteristics'!J:J,MATCH($C1113,'Policy Characteristics'!$C:$C,0))),"",INDEX('Policy Characteristics'!J:J,MATCH($C1113,'Policy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3" s="275" t="str">
        <f>IF(ISBLANK(INDEX('Policy Characteristics'!K:K,MATCH($C1113,'Policy Characteristics'!$C:$C,0))),"",INDEX('Policy Characteristics'!K:K,MATCH($C1113,'Policy Characteristics'!$C:$C,0)))</f>
        <v>industry-ag-main.html#eff-stds</v>
      </c>
      <c r="R1113" s="275" t="str">
        <f>IF(ISBLANK(INDEX('Policy Characteristics'!L:L,MATCH($C1113,'Policy Characteristics'!$C:$C,0))),"",INDEX('Policy Characteristics'!L:L,MATCH($C1113,'Policy Characteristics'!$C:$C,0)))</f>
        <v>industry-energy-efficiency-standards.html</v>
      </c>
    </row>
    <row r="1114" spans="1:18" s="4" customFormat="1" x14ac:dyDescent="0.25">
      <c r="A1114" s="275" t="str">
        <f>IF(ISBLANK(INDEX('Policy Characteristics'!A:A,MATCH($C1114,'Policy Characteristics'!$C:$C,0))),"",INDEX('Policy Characteristics'!A:A,MATCH($C1114,'Policy Characteristics'!$C:$C,0)))</f>
        <v>Industry</v>
      </c>
      <c r="B1114" s="284" t="str">
        <f>IF(ISBLANK(INDEX('Policy Characteristics'!B:B,MATCH($C1114,'Policy Characteristics'!$C:$C,0))),"",INDEX('Policy Characteristics'!B:B,MATCH($C1114,'Policy Characteristics'!$C:$C,0)))</f>
        <v>Industry Energy Efficiency Standards</v>
      </c>
      <c r="C1114" s="275" t="str">
        <f t="shared" si="43"/>
        <v>Percentage Improvement in Eqpt Efficiency Standards above BAU</v>
      </c>
      <c r="D1114" s="6" t="s">
        <v>3084</v>
      </c>
      <c r="E1114" s="47" t="s">
        <v>2402</v>
      </c>
      <c r="F1114" t="s">
        <v>3046</v>
      </c>
      <c r="G1114" s="47" t="s">
        <v>2410</v>
      </c>
      <c r="H1114" s="44">
        <v>1099</v>
      </c>
      <c r="I1114" s="346" t="s">
        <v>43</v>
      </c>
      <c r="J1114" s="276" t="str">
        <f>IF(ISBLANK(INDEX('Policy Characteristics'!D:D,MATCH($C1114,'Policy Characteristics'!$C:$C,0))),"",INDEX('Policy Characteristics'!D:D,MATCH($C1114,'Policy Characteristics'!$C:$C,0)))</f>
        <v>Industry Energy Efficiency Standards</v>
      </c>
      <c r="K1114" s="275" t="str">
        <f>IF(ISBLANK(INDEX('Policy Characteristics'!E:E,MATCH($C1114,'Policy Characteristics'!$C:$C,0))),"",INDEX('Policy Characteristics'!E:E,MATCH($C1114,'Policy Characteristics'!$C:$C,0)))</f>
        <v>indst efficiency standards</v>
      </c>
      <c r="L1114" s="283">
        <f>IF(ISBLANK(INDEX('Policy Characteristics'!F:F,MATCH($C1114,'Policy Characteristics'!$C:$C,0))),"",INDEX('Policy Characteristics'!F:F,MATCH($C1114,'Policy Characteristics'!$C:$C,0)))</f>
        <v>0</v>
      </c>
      <c r="M1114" s="283">
        <f>IF(ISBLANK(INDEX('Policy Characteristics'!G:G,MATCH($C1114,'Policy Characteristics'!$C:$C,0))),"",INDEX('Policy Characteristics'!G:G,MATCH($C1114,'Policy Characteristics'!$C:$C,0)))</f>
        <v>0.25</v>
      </c>
      <c r="N1114" s="283">
        <f>IF(ISBLANK(INDEX('Policy Characteristics'!H:H,MATCH($C1114,'Policy Characteristics'!$C:$C,0))),"",INDEX('Policy Characteristics'!H:H,MATCH($C1114,'Policy Characteristics'!$C:$C,0)))</f>
        <v>0.01</v>
      </c>
      <c r="O1114" s="275" t="str">
        <f>IF(ISBLANK(INDEX('Policy Characteristics'!I:I,MATCH($C1114,'Policy Characteristics'!$C:$C,0))),"",INDEX('Policy Characteristics'!I:I,MATCH($C1114,'Policy Characteristics'!$C:$C,0)))</f>
        <v>% reduction in energy use</v>
      </c>
      <c r="P1114" s="275" t="str">
        <f>IF(ISBLANK(INDEX('Policy Characteristics'!J:J,MATCH($C1114,'Policy Characteristics'!$C:$C,0))),"",INDEX('Policy Characteristics'!J:J,MATCH($C1114,'Policy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4" s="275" t="str">
        <f>IF(ISBLANK(INDEX('Policy Characteristics'!K:K,MATCH($C1114,'Policy Characteristics'!$C:$C,0))),"",INDEX('Policy Characteristics'!K:K,MATCH($C1114,'Policy Characteristics'!$C:$C,0)))</f>
        <v>industry-ag-main.html#eff-stds</v>
      </c>
      <c r="R1114" s="275" t="str">
        <f>IF(ISBLANK(INDEX('Policy Characteristics'!L:L,MATCH($C1114,'Policy Characteristics'!$C:$C,0))),"",INDEX('Policy Characteristics'!L:L,MATCH($C1114,'Policy Characteristics'!$C:$C,0)))</f>
        <v>industry-energy-efficiency-standards.html</v>
      </c>
    </row>
    <row r="1115" spans="1:18" s="4" customFormat="1" x14ac:dyDescent="0.25">
      <c r="A1115" s="275" t="str">
        <f>IF(ISBLANK(INDEX('Policy Characteristics'!A:A,MATCH($C1115,'Policy Characteristics'!$C:$C,0))),"",INDEX('Policy Characteristics'!A:A,MATCH($C1115,'Policy Characteristics'!$C:$C,0)))</f>
        <v>Industry</v>
      </c>
      <c r="B1115" s="284" t="str">
        <f>IF(ISBLANK(INDEX('Policy Characteristics'!B:B,MATCH($C1115,'Policy Characteristics'!$C:$C,0))),"",INDEX('Policy Characteristics'!B:B,MATCH($C1115,'Policy Characteristics'!$C:$C,0)))</f>
        <v>Industry Energy Efficiency Standards</v>
      </c>
      <c r="C1115" s="275" t="str">
        <f t="shared" si="43"/>
        <v>Percentage Improvement in Eqpt Efficiency Standards above BAU</v>
      </c>
      <c r="D1115" s="6" t="s">
        <v>3084</v>
      </c>
      <c r="E1115" s="47" t="s">
        <v>2403</v>
      </c>
      <c r="F1115" t="s">
        <v>3046</v>
      </c>
      <c r="G1115" s="47" t="s">
        <v>2411</v>
      </c>
      <c r="H1115" s="44">
        <v>1100</v>
      </c>
      <c r="I1115" s="346" t="s">
        <v>43</v>
      </c>
      <c r="J1115" s="276" t="str">
        <f>IF(ISBLANK(INDEX('Policy Characteristics'!D:D,MATCH($C1115,'Policy Characteristics'!$C:$C,0))),"",INDEX('Policy Characteristics'!D:D,MATCH($C1115,'Policy Characteristics'!$C:$C,0)))</f>
        <v>Industry Energy Efficiency Standards</v>
      </c>
      <c r="K1115" s="275" t="str">
        <f>IF(ISBLANK(INDEX('Policy Characteristics'!E:E,MATCH($C1115,'Policy Characteristics'!$C:$C,0))),"",INDEX('Policy Characteristics'!E:E,MATCH($C1115,'Policy Characteristics'!$C:$C,0)))</f>
        <v>indst efficiency standards</v>
      </c>
      <c r="L1115" s="283">
        <f>IF(ISBLANK(INDEX('Policy Characteristics'!F:F,MATCH($C1115,'Policy Characteristics'!$C:$C,0))),"",INDEX('Policy Characteristics'!F:F,MATCH($C1115,'Policy Characteristics'!$C:$C,0)))</f>
        <v>0</v>
      </c>
      <c r="M1115" s="283">
        <f>IF(ISBLANK(INDEX('Policy Characteristics'!G:G,MATCH($C1115,'Policy Characteristics'!$C:$C,0))),"",INDEX('Policy Characteristics'!G:G,MATCH($C1115,'Policy Characteristics'!$C:$C,0)))</f>
        <v>0.25</v>
      </c>
      <c r="N1115" s="283">
        <f>IF(ISBLANK(INDEX('Policy Characteristics'!H:H,MATCH($C1115,'Policy Characteristics'!$C:$C,0))),"",INDEX('Policy Characteristics'!H:H,MATCH($C1115,'Policy Characteristics'!$C:$C,0)))</f>
        <v>0.01</v>
      </c>
      <c r="O1115" s="275" t="str">
        <f>IF(ISBLANK(INDEX('Policy Characteristics'!I:I,MATCH($C1115,'Policy Characteristics'!$C:$C,0))),"",INDEX('Policy Characteristics'!I:I,MATCH($C1115,'Policy Characteristics'!$C:$C,0)))</f>
        <v>% reduction in energy use</v>
      </c>
      <c r="P1115" s="275" t="str">
        <f>IF(ISBLANK(INDEX('Policy Characteristics'!J:J,MATCH($C1115,'Policy Characteristics'!$C:$C,0))),"",INDEX('Policy Characteristics'!J:J,MATCH($C1115,'Policy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5" s="275" t="str">
        <f>IF(ISBLANK(INDEX('Policy Characteristics'!K:K,MATCH($C1115,'Policy Characteristics'!$C:$C,0))),"",INDEX('Policy Characteristics'!K:K,MATCH($C1115,'Policy Characteristics'!$C:$C,0)))</f>
        <v>industry-ag-main.html#eff-stds</v>
      </c>
      <c r="R1115" s="275" t="str">
        <f>IF(ISBLANK(INDEX('Policy Characteristics'!L:L,MATCH($C1115,'Policy Characteristics'!$C:$C,0))),"",INDEX('Policy Characteristics'!L:L,MATCH($C1115,'Policy Characteristics'!$C:$C,0)))</f>
        <v>industry-energy-efficiency-standards.html</v>
      </c>
    </row>
    <row r="1116" spans="1:18" s="4" customFormat="1" x14ac:dyDescent="0.25">
      <c r="A1116" s="275" t="str">
        <f>IF(ISBLANK(INDEX('Policy Characteristics'!A:A,MATCH($C1116,'Policy Characteristics'!$C:$C,0))),"",INDEX('Policy Characteristics'!A:A,MATCH($C1116,'Policy Characteristics'!$C:$C,0)))</f>
        <v>Industry</v>
      </c>
      <c r="B1116" s="284" t="str">
        <f>IF(ISBLANK(INDEX('Policy Characteristics'!B:B,MATCH($C1116,'Policy Characteristics'!$C:$C,0))),"",INDEX('Policy Characteristics'!B:B,MATCH($C1116,'Policy Characteristics'!$C:$C,0)))</f>
        <v>Industry Energy Efficiency Standards</v>
      </c>
      <c r="C1116" s="275" t="str">
        <f t="shared" si="43"/>
        <v>Percentage Improvement in Eqpt Efficiency Standards above BAU</v>
      </c>
      <c r="D1116" s="6" t="s">
        <v>3084</v>
      </c>
      <c r="E1116" s="47" t="s">
        <v>2404</v>
      </c>
      <c r="F1116" t="s">
        <v>3046</v>
      </c>
      <c r="G1116" s="47" t="s">
        <v>2408</v>
      </c>
      <c r="H1116" s="44">
        <v>1101</v>
      </c>
      <c r="I1116" s="346" t="s">
        <v>44</v>
      </c>
      <c r="J1116" s="276" t="str">
        <f>IF(ISBLANK(INDEX('Policy Characteristics'!D:D,MATCH($C1116,'Policy Characteristics'!$C:$C,0))),"",INDEX('Policy Characteristics'!D:D,MATCH($C1116,'Policy Characteristics'!$C:$C,0)))</f>
        <v>Industry Energy Efficiency Standards</v>
      </c>
      <c r="K1116" s="275" t="str">
        <f>IF(ISBLANK(INDEX('Policy Characteristics'!E:E,MATCH($C1116,'Policy Characteristics'!$C:$C,0))),"",INDEX('Policy Characteristics'!E:E,MATCH($C1116,'Policy Characteristics'!$C:$C,0)))</f>
        <v>indst efficiency standards</v>
      </c>
      <c r="L1116" s="283">
        <f>IF(ISBLANK(INDEX('Policy Characteristics'!F:F,MATCH($C1116,'Policy Characteristics'!$C:$C,0))),"",INDEX('Policy Characteristics'!F:F,MATCH($C1116,'Policy Characteristics'!$C:$C,0)))</f>
        <v>0</v>
      </c>
      <c r="M1116" s="283">
        <f>IF(ISBLANK(INDEX('Policy Characteristics'!G:G,MATCH($C1116,'Policy Characteristics'!$C:$C,0))),"",INDEX('Policy Characteristics'!G:G,MATCH($C1116,'Policy Characteristics'!$C:$C,0)))</f>
        <v>0.25</v>
      </c>
      <c r="N1116" s="283">
        <f>IF(ISBLANK(INDEX('Policy Characteristics'!H:H,MATCH($C1116,'Policy Characteristics'!$C:$C,0))),"",INDEX('Policy Characteristics'!H:H,MATCH($C1116,'Policy Characteristics'!$C:$C,0)))</f>
        <v>0.01</v>
      </c>
      <c r="O1116" s="275" t="str">
        <f>IF(ISBLANK(INDEX('Policy Characteristics'!I:I,MATCH($C1116,'Policy Characteristics'!$C:$C,0))),"",INDEX('Policy Characteristics'!I:I,MATCH($C1116,'Policy Characteristics'!$C:$C,0)))</f>
        <v>% reduction in energy use</v>
      </c>
      <c r="P1116" s="275" t="str">
        <f>IF(ISBLANK(INDEX('Policy Characteristics'!J:J,MATCH($C1116,'Policy Characteristics'!$C:$C,0))),"",INDEX('Policy Characteristics'!J:J,MATCH($C1116,'Policy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6" s="275" t="str">
        <f>IF(ISBLANK(INDEX('Policy Characteristics'!K:K,MATCH($C1116,'Policy Characteristics'!$C:$C,0))),"",INDEX('Policy Characteristics'!K:K,MATCH($C1116,'Policy Characteristics'!$C:$C,0)))</f>
        <v>industry-ag-main.html#eff-stds</v>
      </c>
      <c r="R1116" s="275" t="str">
        <f>IF(ISBLANK(INDEX('Policy Characteristics'!L:L,MATCH($C1116,'Policy Characteristics'!$C:$C,0))),"",INDEX('Policy Characteristics'!L:L,MATCH($C1116,'Policy Characteristics'!$C:$C,0)))</f>
        <v>industry-energy-efficiency-standards.html</v>
      </c>
    </row>
    <row r="1117" spans="1:18" s="4" customFormat="1" x14ac:dyDescent="0.25">
      <c r="A1117" s="275" t="str">
        <f>IF(ISBLANK(INDEX('Policy Characteristics'!A:A,MATCH($C1117,'Policy Characteristics'!$C:$C,0))),"",INDEX('Policy Characteristics'!A:A,MATCH($C1117,'Policy Characteristics'!$C:$C,0)))</f>
        <v>Industry</v>
      </c>
      <c r="B1117" s="284" t="str">
        <f>IF(ISBLANK(INDEX('Policy Characteristics'!B:B,MATCH($C1117,'Policy Characteristics'!$C:$C,0))),"",INDEX('Policy Characteristics'!B:B,MATCH($C1117,'Policy Characteristics'!$C:$C,0)))</f>
        <v>Industry Energy Efficiency Standards</v>
      </c>
      <c r="C1117" s="275" t="str">
        <f t="shared" si="43"/>
        <v>Percentage Improvement in Eqpt Efficiency Standards above BAU</v>
      </c>
      <c r="D1117" s="6" t="s">
        <v>3084</v>
      </c>
      <c r="E1117" s="47" t="s">
        <v>2405</v>
      </c>
      <c r="F1117" t="s">
        <v>3046</v>
      </c>
      <c r="G1117" s="47" t="s">
        <v>2409</v>
      </c>
      <c r="H1117" s="44">
        <v>1102</v>
      </c>
      <c r="I1117" s="346" t="s">
        <v>43</v>
      </c>
      <c r="J1117" s="276" t="str">
        <f>IF(ISBLANK(INDEX('Policy Characteristics'!D:D,MATCH($C1117,'Policy Characteristics'!$C:$C,0))),"",INDEX('Policy Characteristics'!D:D,MATCH($C1117,'Policy Characteristics'!$C:$C,0)))</f>
        <v>Industry Energy Efficiency Standards</v>
      </c>
      <c r="K1117" s="275" t="str">
        <f>IF(ISBLANK(INDEX('Policy Characteristics'!E:E,MATCH($C1117,'Policy Characteristics'!$C:$C,0))),"",INDEX('Policy Characteristics'!E:E,MATCH($C1117,'Policy Characteristics'!$C:$C,0)))</f>
        <v>indst efficiency standards</v>
      </c>
      <c r="L1117" s="283">
        <f>IF(ISBLANK(INDEX('Policy Characteristics'!F:F,MATCH($C1117,'Policy Characteristics'!$C:$C,0))),"",INDEX('Policy Characteristics'!F:F,MATCH($C1117,'Policy Characteristics'!$C:$C,0)))</f>
        <v>0</v>
      </c>
      <c r="M1117" s="283">
        <f>IF(ISBLANK(INDEX('Policy Characteristics'!G:G,MATCH($C1117,'Policy Characteristics'!$C:$C,0))),"",INDEX('Policy Characteristics'!G:G,MATCH($C1117,'Policy Characteristics'!$C:$C,0)))</f>
        <v>0.25</v>
      </c>
      <c r="N1117" s="283">
        <f>IF(ISBLANK(INDEX('Policy Characteristics'!H:H,MATCH($C1117,'Policy Characteristics'!$C:$C,0))),"",INDEX('Policy Characteristics'!H:H,MATCH($C1117,'Policy Characteristics'!$C:$C,0)))</f>
        <v>0.01</v>
      </c>
      <c r="O1117" s="275" t="str">
        <f>IF(ISBLANK(INDEX('Policy Characteristics'!I:I,MATCH($C1117,'Policy Characteristics'!$C:$C,0))),"",INDEX('Policy Characteristics'!I:I,MATCH($C1117,'Policy Characteristics'!$C:$C,0)))</f>
        <v>% reduction in energy use</v>
      </c>
      <c r="P1117" s="275" t="str">
        <f>IF(ISBLANK(INDEX('Policy Characteristics'!J:J,MATCH($C1117,'Policy Characteristics'!$C:$C,0))),"",INDEX('Policy Characteristics'!J:J,MATCH($C1117,'Policy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7" s="275" t="str">
        <f>IF(ISBLANK(INDEX('Policy Characteristics'!K:K,MATCH($C1117,'Policy Characteristics'!$C:$C,0))),"",INDEX('Policy Characteristics'!K:K,MATCH($C1117,'Policy Characteristics'!$C:$C,0)))</f>
        <v>industry-ag-main.html#eff-stds</v>
      </c>
      <c r="R1117" s="275" t="str">
        <f>IF(ISBLANK(INDEX('Policy Characteristics'!L:L,MATCH($C1117,'Policy Characteristics'!$C:$C,0))),"",INDEX('Policy Characteristics'!L:L,MATCH($C1117,'Policy Characteristics'!$C:$C,0)))</f>
        <v>industry-energy-efficiency-standards.html</v>
      </c>
    </row>
    <row r="1118" spans="1:18" s="4" customFormat="1" x14ac:dyDescent="0.25">
      <c r="A1118" s="275" t="str">
        <f>IF(ISBLANK(INDEX('Policy Characteristics'!A:A,MATCH($C1118,'Policy Characteristics'!$C:$C,0))),"",INDEX('Policy Characteristics'!A:A,MATCH($C1118,'Policy Characteristics'!$C:$C,0)))</f>
        <v>Industry</v>
      </c>
      <c r="B1118" s="284" t="str">
        <f>IF(ISBLANK(INDEX('Policy Characteristics'!B:B,MATCH($C1118,'Policy Characteristics'!$C:$C,0))),"",INDEX('Policy Characteristics'!B:B,MATCH($C1118,'Policy Characteristics'!$C:$C,0)))</f>
        <v>Industry Energy Efficiency Standards</v>
      </c>
      <c r="C1118" s="275" t="str">
        <f t="shared" si="43"/>
        <v>Percentage Improvement in Eqpt Efficiency Standards above BAU</v>
      </c>
      <c r="D1118" s="6" t="s">
        <v>3084</v>
      </c>
      <c r="E1118" s="47" t="s">
        <v>2406</v>
      </c>
      <c r="F1118" t="s">
        <v>3046</v>
      </c>
      <c r="G1118" s="47" t="s">
        <v>2412</v>
      </c>
      <c r="H1118" s="44">
        <v>1103</v>
      </c>
      <c r="I1118" s="346" t="s">
        <v>44</v>
      </c>
      <c r="J1118" s="276" t="str">
        <f>IF(ISBLANK(INDEX('Policy Characteristics'!D:D,MATCH($C1118,'Policy Characteristics'!$C:$C,0))),"",INDEX('Policy Characteristics'!D:D,MATCH($C1118,'Policy Characteristics'!$C:$C,0)))</f>
        <v>Industry Energy Efficiency Standards</v>
      </c>
      <c r="K1118" s="275" t="str">
        <f>IF(ISBLANK(INDEX('Policy Characteristics'!E:E,MATCH($C1118,'Policy Characteristics'!$C:$C,0))),"",INDEX('Policy Characteristics'!E:E,MATCH($C1118,'Policy Characteristics'!$C:$C,0)))</f>
        <v>indst efficiency standards</v>
      </c>
      <c r="L1118" s="283">
        <f>IF(ISBLANK(INDEX('Policy Characteristics'!F:F,MATCH($C1118,'Policy Characteristics'!$C:$C,0))),"",INDEX('Policy Characteristics'!F:F,MATCH($C1118,'Policy Characteristics'!$C:$C,0)))</f>
        <v>0</v>
      </c>
      <c r="M1118" s="283">
        <f>IF(ISBLANK(INDEX('Policy Characteristics'!G:G,MATCH($C1118,'Policy Characteristics'!$C:$C,0))),"",INDEX('Policy Characteristics'!G:G,MATCH($C1118,'Policy Characteristics'!$C:$C,0)))</f>
        <v>0.25</v>
      </c>
      <c r="N1118" s="283">
        <f>IF(ISBLANK(INDEX('Policy Characteristics'!H:H,MATCH($C1118,'Policy Characteristics'!$C:$C,0))),"",INDEX('Policy Characteristics'!H:H,MATCH($C1118,'Policy Characteristics'!$C:$C,0)))</f>
        <v>0.01</v>
      </c>
      <c r="O1118" s="275" t="str">
        <f>IF(ISBLANK(INDEX('Policy Characteristics'!I:I,MATCH($C1118,'Policy Characteristics'!$C:$C,0))),"",INDEX('Policy Characteristics'!I:I,MATCH($C1118,'Policy Characteristics'!$C:$C,0)))</f>
        <v>% reduction in energy use</v>
      </c>
      <c r="P1118" s="275" t="str">
        <f>IF(ISBLANK(INDEX('Policy Characteristics'!J:J,MATCH($C1118,'Policy Characteristics'!$C:$C,0))),"",INDEX('Policy Characteristics'!J:J,MATCH($C1118,'Policy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8" s="275" t="str">
        <f>IF(ISBLANK(INDEX('Policy Characteristics'!K:K,MATCH($C1118,'Policy Characteristics'!$C:$C,0))),"",INDEX('Policy Characteristics'!K:K,MATCH($C1118,'Policy Characteristics'!$C:$C,0)))</f>
        <v>industry-ag-main.html#eff-stds</v>
      </c>
      <c r="R1118" s="275" t="str">
        <f>IF(ISBLANK(INDEX('Policy Characteristics'!L:L,MATCH($C1118,'Policy Characteristics'!$C:$C,0))),"",INDEX('Policy Characteristics'!L:L,MATCH($C1118,'Policy Characteristics'!$C:$C,0)))</f>
        <v>industry-energy-efficiency-standards.html</v>
      </c>
    </row>
    <row r="1119" spans="1:18" s="4" customFormat="1" x14ac:dyDescent="0.25">
      <c r="A1119" s="275" t="str">
        <f>IF(ISBLANK(INDEX('Policy Characteristics'!A:A,MATCH($C1119,'Policy Characteristics'!$C:$C,0))),"",INDEX('Policy Characteristics'!A:A,MATCH($C1119,'Policy Characteristics'!$C:$C,0)))</f>
        <v>Industry</v>
      </c>
      <c r="B1119" s="284" t="str">
        <f>IF(ISBLANK(INDEX('Policy Characteristics'!B:B,MATCH($C1119,'Policy Characteristics'!$C:$C,0))),"",INDEX('Policy Characteristics'!B:B,MATCH($C1119,'Policy Characteristics'!$C:$C,0)))</f>
        <v>Industry Energy Efficiency Standards</v>
      </c>
      <c r="C1119" s="275" t="str">
        <f t="shared" si="43"/>
        <v>Percentage Improvement in Eqpt Efficiency Standards above BAU</v>
      </c>
      <c r="D1119" s="6" t="s">
        <v>3084</v>
      </c>
      <c r="E1119" s="47" t="s">
        <v>2709</v>
      </c>
      <c r="F1119" t="s">
        <v>3046</v>
      </c>
      <c r="G1119" s="47" t="s">
        <v>2712</v>
      </c>
      <c r="H1119" s="44">
        <v>1104</v>
      </c>
      <c r="I1119" s="346" t="s">
        <v>44</v>
      </c>
      <c r="J1119" s="276" t="str">
        <f>IF(ISBLANK(INDEX('Policy Characteristics'!D:D,MATCH($C1119,'Policy Characteristics'!$C:$C,0))),"",INDEX('Policy Characteristics'!D:D,MATCH($C1119,'Policy Characteristics'!$C:$C,0)))</f>
        <v>Industry Energy Efficiency Standards</v>
      </c>
      <c r="K1119" s="275" t="str">
        <f>IF(ISBLANK(INDEX('Policy Characteristics'!E:E,MATCH($C1119,'Policy Characteristics'!$C:$C,0))),"",INDEX('Policy Characteristics'!E:E,MATCH($C1119,'Policy Characteristics'!$C:$C,0)))</f>
        <v>indst efficiency standards</v>
      </c>
      <c r="L1119" s="283">
        <f>IF(ISBLANK(INDEX('Policy Characteristics'!F:F,MATCH($C1119,'Policy Characteristics'!$C:$C,0))),"",INDEX('Policy Characteristics'!F:F,MATCH($C1119,'Policy Characteristics'!$C:$C,0)))</f>
        <v>0</v>
      </c>
      <c r="M1119" s="283">
        <f>IF(ISBLANK(INDEX('Policy Characteristics'!G:G,MATCH($C1119,'Policy Characteristics'!$C:$C,0))),"",INDEX('Policy Characteristics'!G:G,MATCH($C1119,'Policy Characteristics'!$C:$C,0)))</f>
        <v>0.25</v>
      </c>
      <c r="N1119" s="283">
        <f>IF(ISBLANK(INDEX('Policy Characteristics'!H:H,MATCH($C1119,'Policy Characteristics'!$C:$C,0))),"",INDEX('Policy Characteristics'!H:H,MATCH($C1119,'Policy Characteristics'!$C:$C,0)))</f>
        <v>0.01</v>
      </c>
      <c r="O1119" s="275" t="str">
        <f>IF(ISBLANK(INDEX('Policy Characteristics'!I:I,MATCH($C1119,'Policy Characteristics'!$C:$C,0))),"",INDEX('Policy Characteristics'!I:I,MATCH($C1119,'Policy Characteristics'!$C:$C,0)))</f>
        <v>% reduction in energy use</v>
      </c>
      <c r="P1119" s="275" t="str">
        <f>IF(ISBLANK(INDEX('Policy Characteristics'!J:J,MATCH($C1119,'Policy Characteristics'!$C:$C,0))),"",INDEX('Policy Characteristics'!J:J,MATCH($C1119,'Policy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9" s="275" t="str">
        <f>IF(ISBLANK(INDEX('Policy Characteristics'!K:K,MATCH($C1119,'Policy Characteristics'!$C:$C,0))),"",INDEX('Policy Characteristics'!K:K,MATCH($C1119,'Policy Characteristics'!$C:$C,0)))</f>
        <v>industry-ag-main.html#eff-stds</v>
      </c>
      <c r="R1119" s="275" t="str">
        <f>IF(ISBLANK(INDEX('Policy Characteristics'!L:L,MATCH($C1119,'Policy Characteristics'!$C:$C,0))),"",INDEX('Policy Characteristics'!L:L,MATCH($C1119,'Policy Characteristics'!$C:$C,0)))</f>
        <v>industry-energy-efficiency-standards.html</v>
      </c>
    </row>
    <row r="1120" spans="1:18" s="4" customFormat="1" x14ac:dyDescent="0.25">
      <c r="A1120" s="275" t="str">
        <f>IF(ISBLANK(INDEX('Policy Characteristics'!A:A,MATCH($C1120,'Policy Characteristics'!$C:$C,0))),"",INDEX('Policy Characteristics'!A:A,MATCH($C1120,'Policy Characteristics'!$C:$C,0)))</f>
        <v>Industry</v>
      </c>
      <c r="B1120" s="284" t="str">
        <f>IF(ISBLANK(INDEX('Policy Characteristics'!B:B,MATCH($C1120,'Policy Characteristics'!$C:$C,0))),"",INDEX('Policy Characteristics'!B:B,MATCH($C1120,'Policy Characteristics'!$C:$C,0)))</f>
        <v>Industry Energy Efficiency Standards</v>
      </c>
      <c r="C1120" s="275" t="str">
        <f t="shared" si="43"/>
        <v>Percentage Improvement in Eqpt Efficiency Standards above BAU</v>
      </c>
      <c r="D1120" s="6" t="s">
        <v>3084</v>
      </c>
      <c r="E1120" s="47" t="s">
        <v>2710</v>
      </c>
      <c r="F1120" t="s">
        <v>3046</v>
      </c>
      <c r="G1120" s="47" t="s">
        <v>2714</v>
      </c>
      <c r="H1120" s="44">
        <v>1105</v>
      </c>
      <c r="I1120" s="346" t="s">
        <v>43</v>
      </c>
      <c r="J1120" s="276" t="str">
        <f>IF(ISBLANK(INDEX('Policy Characteristics'!D:D,MATCH($C1120,'Policy Characteristics'!$C:$C,0))),"",INDEX('Policy Characteristics'!D:D,MATCH($C1120,'Policy Characteristics'!$C:$C,0)))</f>
        <v>Industry Energy Efficiency Standards</v>
      </c>
      <c r="K1120" s="275" t="str">
        <f>IF(ISBLANK(INDEX('Policy Characteristics'!E:E,MATCH($C1120,'Policy Characteristics'!$C:$C,0))),"",INDEX('Policy Characteristics'!E:E,MATCH($C1120,'Policy Characteristics'!$C:$C,0)))</f>
        <v>indst efficiency standards</v>
      </c>
      <c r="L1120" s="283">
        <f>IF(ISBLANK(INDEX('Policy Characteristics'!F:F,MATCH($C1120,'Policy Characteristics'!$C:$C,0))),"",INDEX('Policy Characteristics'!F:F,MATCH($C1120,'Policy Characteristics'!$C:$C,0)))</f>
        <v>0</v>
      </c>
      <c r="M1120" s="283">
        <f>IF(ISBLANK(INDEX('Policy Characteristics'!G:G,MATCH($C1120,'Policy Characteristics'!$C:$C,0))),"",INDEX('Policy Characteristics'!G:G,MATCH($C1120,'Policy Characteristics'!$C:$C,0)))</f>
        <v>0.25</v>
      </c>
      <c r="N1120" s="283">
        <f>IF(ISBLANK(INDEX('Policy Characteristics'!H:H,MATCH($C1120,'Policy Characteristics'!$C:$C,0))),"",INDEX('Policy Characteristics'!H:H,MATCH($C1120,'Policy Characteristics'!$C:$C,0)))</f>
        <v>0.01</v>
      </c>
      <c r="O1120" s="275" t="str">
        <f>IF(ISBLANK(INDEX('Policy Characteristics'!I:I,MATCH($C1120,'Policy Characteristics'!$C:$C,0))),"",INDEX('Policy Characteristics'!I:I,MATCH($C1120,'Policy Characteristics'!$C:$C,0)))</f>
        <v>% reduction in energy use</v>
      </c>
      <c r="P1120" s="275" t="str">
        <f>IF(ISBLANK(INDEX('Policy Characteristics'!J:J,MATCH($C1120,'Policy Characteristics'!$C:$C,0))),"",INDEX('Policy Characteristics'!J:J,MATCH($C1120,'Policy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0" s="275" t="str">
        <f>IF(ISBLANK(INDEX('Policy Characteristics'!K:K,MATCH($C1120,'Policy Characteristics'!$C:$C,0))),"",INDEX('Policy Characteristics'!K:K,MATCH($C1120,'Policy Characteristics'!$C:$C,0)))</f>
        <v>industry-ag-main.html#eff-stds</v>
      </c>
      <c r="R1120" s="275" t="str">
        <f>IF(ISBLANK(INDEX('Policy Characteristics'!L:L,MATCH($C1120,'Policy Characteristics'!$C:$C,0))),"",INDEX('Policy Characteristics'!L:L,MATCH($C1120,'Policy Characteristics'!$C:$C,0)))</f>
        <v>industry-energy-efficiency-standards.html</v>
      </c>
    </row>
    <row r="1121" spans="1:18" s="4" customFormat="1" x14ac:dyDescent="0.25">
      <c r="A1121" s="275" t="str">
        <f>IF(ISBLANK(INDEX('Policy Characteristics'!A:A,MATCH($C1121,'Policy Characteristics'!$C:$C,0))),"",INDEX('Policy Characteristics'!A:A,MATCH($C1121,'Policy Characteristics'!$C:$C,0)))</f>
        <v>Industry</v>
      </c>
      <c r="B1121" s="284" t="str">
        <f>IF(ISBLANK(INDEX('Policy Characteristics'!B:B,MATCH($C1121,'Policy Characteristics'!$C:$C,0))),"",INDEX('Policy Characteristics'!B:B,MATCH($C1121,'Policy Characteristics'!$C:$C,0)))</f>
        <v>Industry Energy Efficiency Standards</v>
      </c>
      <c r="C1121" s="275" t="str">
        <f t="shared" si="43"/>
        <v>Percentage Improvement in Eqpt Efficiency Standards above BAU</v>
      </c>
      <c r="D1121" s="6" t="s">
        <v>3084</v>
      </c>
      <c r="E1121" s="47" t="s">
        <v>2711</v>
      </c>
      <c r="F1121" t="s">
        <v>3046</v>
      </c>
      <c r="G1121" s="47" t="s">
        <v>2715</v>
      </c>
      <c r="H1121" s="44">
        <v>1106</v>
      </c>
      <c r="I1121" s="346" t="s">
        <v>43</v>
      </c>
      <c r="J1121" s="276" t="str">
        <f>IF(ISBLANK(INDEX('Policy Characteristics'!D:D,MATCH($C1121,'Policy Characteristics'!$C:$C,0))),"",INDEX('Policy Characteristics'!D:D,MATCH($C1121,'Policy Characteristics'!$C:$C,0)))</f>
        <v>Industry Energy Efficiency Standards</v>
      </c>
      <c r="K1121" s="275" t="str">
        <f>IF(ISBLANK(INDEX('Policy Characteristics'!E:E,MATCH($C1121,'Policy Characteristics'!$C:$C,0))),"",INDEX('Policy Characteristics'!E:E,MATCH($C1121,'Policy Characteristics'!$C:$C,0)))</f>
        <v>indst efficiency standards</v>
      </c>
      <c r="L1121" s="283">
        <f>IF(ISBLANK(INDEX('Policy Characteristics'!F:F,MATCH($C1121,'Policy Characteristics'!$C:$C,0))),"",INDEX('Policy Characteristics'!F:F,MATCH($C1121,'Policy Characteristics'!$C:$C,0)))</f>
        <v>0</v>
      </c>
      <c r="M1121" s="283">
        <f>IF(ISBLANK(INDEX('Policy Characteristics'!G:G,MATCH($C1121,'Policy Characteristics'!$C:$C,0))),"",INDEX('Policy Characteristics'!G:G,MATCH($C1121,'Policy Characteristics'!$C:$C,0)))</f>
        <v>0.25</v>
      </c>
      <c r="N1121" s="283">
        <f>IF(ISBLANK(INDEX('Policy Characteristics'!H:H,MATCH($C1121,'Policy Characteristics'!$C:$C,0))),"",INDEX('Policy Characteristics'!H:H,MATCH($C1121,'Policy Characteristics'!$C:$C,0)))</f>
        <v>0.01</v>
      </c>
      <c r="O1121" s="275" t="str">
        <f>IF(ISBLANK(INDEX('Policy Characteristics'!I:I,MATCH($C1121,'Policy Characteristics'!$C:$C,0))),"",INDEX('Policy Characteristics'!I:I,MATCH($C1121,'Policy Characteristics'!$C:$C,0)))</f>
        <v>% reduction in energy use</v>
      </c>
      <c r="P1121" s="275" t="str">
        <f>IF(ISBLANK(INDEX('Policy Characteristics'!J:J,MATCH($C1121,'Policy Characteristics'!$C:$C,0))),"",INDEX('Policy Characteristics'!J:J,MATCH($C1121,'Policy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1" s="275" t="str">
        <f>IF(ISBLANK(INDEX('Policy Characteristics'!K:K,MATCH($C1121,'Policy Characteristics'!$C:$C,0))),"",INDEX('Policy Characteristics'!K:K,MATCH($C1121,'Policy Characteristics'!$C:$C,0)))</f>
        <v>industry-ag-main.html#eff-stds</v>
      </c>
      <c r="R1121" s="275" t="str">
        <f>IF(ISBLANK(INDEX('Policy Characteristics'!L:L,MATCH($C1121,'Policy Characteristics'!$C:$C,0))),"",INDEX('Policy Characteristics'!L:L,MATCH($C1121,'Policy Characteristics'!$C:$C,0)))</f>
        <v>industry-energy-efficiency-standards.html</v>
      </c>
    </row>
    <row r="1122" spans="1:18" s="4" customFormat="1" x14ac:dyDescent="0.25">
      <c r="A1122" s="275" t="str">
        <f>IF(ISBLANK(INDEX('Policy Characteristics'!A:A,MATCH($C1122,'Policy Characteristics'!$C:$C,0))),"",INDEX('Policy Characteristics'!A:A,MATCH($C1122,'Policy Characteristics'!$C:$C,0)))</f>
        <v>Industry</v>
      </c>
      <c r="B1122" s="284" t="str">
        <f>IF(ISBLANK(INDEX('Policy Characteristics'!B:B,MATCH($C1122,'Policy Characteristics'!$C:$C,0))),"",INDEX('Policy Characteristics'!B:B,MATCH($C1122,'Policy Characteristics'!$C:$C,0)))</f>
        <v>Industry Energy Efficiency Standards</v>
      </c>
      <c r="C1122" s="275" t="str">
        <f t="shared" si="43"/>
        <v>Percentage Improvement in Eqpt Efficiency Standards above BAU</v>
      </c>
      <c r="D1122" s="6" t="s">
        <v>3084</v>
      </c>
      <c r="E1122" s="47" t="s">
        <v>2708</v>
      </c>
      <c r="F1122" t="s">
        <v>3046</v>
      </c>
      <c r="G1122" s="47" t="s">
        <v>2713</v>
      </c>
      <c r="H1122" s="44">
        <v>1107</v>
      </c>
      <c r="I1122" s="346" t="s">
        <v>44</v>
      </c>
      <c r="J1122" s="276" t="str">
        <f>IF(ISBLANK(INDEX('Policy Characteristics'!D:D,MATCH($C1122,'Policy Characteristics'!$C:$C,0))),"",INDEX('Policy Characteristics'!D:D,MATCH($C1122,'Policy Characteristics'!$C:$C,0)))</f>
        <v>Industry Energy Efficiency Standards</v>
      </c>
      <c r="K1122" s="275" t="str">
        <f>IF(ISBLANK(INDEX('Policy Characteristics'!E:E,MATCH($C1122,'Policy Characteristics'!$C:$C,0))),"",INDEX('Policy Characteristics'!E:E,MATCH($C1122,'Policy Characteristics'!$C:$C,0)))</f>
        <v>indst efficiency standards</v>
      </c>
      <c r="L1122" s="283">
        <f>IF(ISBLANK(INDEX('Policy Characteristics'!F:F,MATCH($C1122,'Policy Characteristics'!$C:$C,0))),"",INDEX('Policy Characteristics'!F:F,MATCH($C1122,'Policy Characteristics'!$C:$C,0)))</f>
        <v>0</v>
      </c>
      <c r="M1122" s="283">
        <f>IF(ISBLANK(INDEX('Policy Characteristics'!G:G,MATCH($C1122,'Policy Characteristics'!$C:$C,0))),"",INDEX('Policy Characteristics'!G:G,MATCH($C1122,'Policy Characteristics'!$C:$C,0)))</f>
        <v>0.25</v>
      </c>
      <c r="N1122" s="283">
        <f>IF(ISBLANK(INDEX('Policy Characteristics'!H:H,MATCH($C1122,'Policy Characteristics'!$C:$C,0))),"",INDEX('Policy Characteristics'!H:H,MATCH($C1122,'Policy Characteristics'!$C:$C,0)))</f>
        <v>0.01</v>
      </c>
      <c r="O1122" s="275" t="str">
        <f>IF(ISBLANK(INDEX('Policy Characteristics'!I:I,MATCH($C1122,'Policy Characteristics'!$C:$C,0))),"",INDEX('Policy Characteristics'!I:I,MATCH($C1122,'Policy Characteristics'!$C:$C,0)))</f>
        <v>% reduction in energy use</v>
      </c>
      <c r="P1122" s="275" t="str">
        <f>IF(ISBLANK(INDEX('Policy Characteristics'!J:J,MATCH($C1122,'Policy Characteristics'!$C:$C,0))),"",INDEX('Policy Characteristics'!J:J,MATCH($C1122,'Policy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2" s="275" t="str">
        <f>IF(ISBLANK(INDEX('Policy Characteristics'!K:K,MATCH($C1122,'Policy Characteristics'!$C:$C,0))),"",INDEX('Policy Characteristics'!K:K,MATCH($C1122,'Policy Characteristics'!$C:$C,0)))</f>
        <v>industry-ag-main.html#eff-stds</v>
      </c>
      <c r="R1122" s="275" t="str">
        <f>IF(ISBLANK(INDEX('Policy Characteristics'!L:L,MATCH($C1122,'Policy Characteristics'!$C:$C,0))),"",INDEX('Policy Characteristics'!L:L,MATCH($C1122,'Policy Characteristics'!$C:$C,0)))</f>
        <v>industry-energy-efficiency-standards.html</v>
      </c>
    </row>
    <row r="1123" spans="1:18" s="4" customFormat="1" x14ac:dyDescent="0.25">
      <c r="A1123" s="275" t="str">
        <f>IF(ISBLANK(INDEX('Policy Characteristics'!A:A,MATCH($C1123,'Policy Characteristics'!$C:$C,0))),"",INDEX('Policy Characteristics'!A:A,MATCH($C1123,'Policy Characteristics'!$C:$C,0)))</f>
        <v>Industry</v>
      </c>
      <c r="B1123" s="284" t="str">
        <f>IF(ISBLANK(INDEX('Policy Characteristics'!B:B,MATCH($C1123,'Policy Characteristics'!$C:$C,0))),"",INDEX('Policy Characteristics'!B:B,MATCH($C1123,'Policy Characteristics'!$C:$C,0)))</f>
        <v>Industry Energy Efficiency Standards</v>
      </c>
      <c r="C1123" s="275" t="str">
        <f t="shared" si="43"/>
        <v>Percentage Improvement in Eqpt Efficiency Standards above BAU</v>
      </c>
      <c r="D1123" s="6" t="s">
        <v>3085</v>
      </c>
      <c r="E1123" s="47" t="s">
        <v>2401</v>
      </c>
      <c r="F1123" t="s">
        <v>3047</v>
      </c>
      <c r="G1123" s="47" t="s">
        <v>2407</v>
      </c>
      <c r="H1123" s="44">
        <v>1108</v>
      </c>
      <c r="I1123" s="346" t="s">
        <v>43</v>
      </c>
      <c r="J1123" s="276" t="str">
        <f>IF(ISBLANK(INDEX('Policy Characteristics'!D:D,MATCH($C1123,'Policy Characteristics'!$C:$C,0))),"",INDEX('Policy Characteristics'!D:D,MATCH($C1123,'Policy Characteristics'!$C:$C,0)))</f>
        <v>Industry Energy Efficiency Standards</v>
      </c>
      <c r="K1123" s="275" t="str">
        <f>IF(ISBLANK(INDEX('Policy Characteristics'!E:E,MATCH($C1123,'Policy Characteristics'!$C:$C,0))),"",INDEX('Policy Characteristics'!E:E,MATCH($C1123,'Policy Characteristics'!$C:$C,0)))</f>
        <v>indst efficiency standards</v>
      </c>
      <c r="L1123" s="283">
        <f>IF(ISBLANK(INDEX('Policy Characteristics'!F:F,MATCH($C1123,'Policy Characteristics'!$C:$C,0))),"",INDEX('Policy Characteristics'!F:F,MATCH($C1123,'Policy Characteristics'!$C:$C,0)))</f>
        <v>0</v>
      </c>
      <c r="M1123" s="283">
        <f>IF(ISBLANK(INDEX('Policy Characteristics'!G:G,MATCH($C1123,'Policy Characteristics'!$C:$C,0))),"",INDEX('Policy Characteristics'!G:G,MATCH($C1123,'Policy Characteristics'!$C:$C,0)))</f>
        <v>0.25</v>
      </c>
      <c r="N1123" s="283">
        <f>IF(ISBLANK(INDEX('Policy Characteristics'!H:H,MATCH($C1123,'Policy Characteristics'!$C:$C,0))),"",INDEX('Policy Characteristics'!H:H,MATCH($C1123,'Policy Characteristics'!$C:$C,0)))</f>
        <v>0.01</v>
      </c>
      <c r="O1123" s="275" t="str">
        <f>IF(ISBLANK(INDEX('Policy Characteristics'!I:I,MATCH($C1123,'Policy Characteristics'!$C:$C,0))),"",INDEX('Policy Characteristics'!I:I,MATCH($C1123,'Policy Characteristics'!$C:$C,0)))</f>
        <v>% reduction in energy use</v>
      </c>
      <c r="P1123" s="275" t="str">
        <f>IF(ISBLANK(INDEX('Policy Characteristics'!J:J,MATCH($C1123,'Policy Characteristics'!$C:$C,0))),"",INDEX('Policy Characteristics'!J:J,MATCH($C1123,'Policy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3" s="275" t="str">
        <f>IF(ISBLANK(INDEX('Policy Characteristics'!K:K,MATCH($C1123,'Policy Characteristics'!$C:$C,0))),"",INDEX('Policy Characteristics'!K:K,MATCH($C1123,'Policy Characteristics'!$C:$C,0)))</f>
        <v>industry-ag-main.html#eff-stds</v>
      </c>
      <c r="R1123" s="275" t="str">
        <f>IF(ISBLANK(INDEX('Policy Characteristics'!L:L,MATCH($C1123,'Policy Characteristics'!$C:$C,0))),"",INDEX('Policy Characteristics'!L:L,MATCH($C1123,'Policy Characteristics'!$C:$C,0)))</f>
        <v>industry-energy-efficiency-standards.html</v>
      </c>
    </row>
    <row r="1124" spans="1:18" s="4" customFormat="1" x14ac:dyDescent="0.25">
      <c r="A1124" s="275" t="str">
        <f>IF(ISBLANK(INDEX('Policy Characteristics'!A:A,MATCH($C1124,'Policy Characteristics'!$C:$C,0))),"",INDEX('Policy Characteristics'!A:A,MATCH($C1124,'Policy Characteristics'!$C:$C,0)))</f>
        <v>Industry</v>
      </c>
      <c r="B1124" s="284" t="str">
        <f>IF(ISBLANK(INDEX('Policy Characteristics'!B:B,MATCH($C1124,'Policy Characteristics'!$C:$C,0))),"",INDEX('Policy Characteristics'!B:B,MATCH($C1124,'Policy Characteristics'!$C:$C,0)))</f>
        <v>Industry Energy Efficiency Standards</v>
      </c>
      <c r="C1124" s="275" t="str">
        <f t="shared" si="43"/>
        <v>Percentage Improvement in Eqpt Efficiency Standards above BAU</v>
      </c>
      <c r="D1124" s="6" t="s">
        <v>3085</v>
      </c>
      <c r="E1124" s="47" t="s">
        <v>2402</v>
      </c>
      <c r="F1124" t="s">
        <v>3047</v>
      </c>
      <c r="G1124" s="47" t="s">
        <v>2410</v>
      </c>
      <c r="H1124" s="44">
        <v>1109</v>
      </c>
      <c r="I1124" s="346" t="s">
        <v>44</v>
      </c>
      <c r="J1124" s="276" t="str">
        <f>IF(ISBLANK(INDEX('Policy Characteristics'!D:D,MATCH($C1124,'Policy Characteristics'!$C:$C,0))),"",INDEX('Policy Characteristics'!D:D,MATCH($C1124,'Policy Characteristics'!$C:$C,0)))</f>
        <v>Industry Energy Efficiency Standards</v>
      </c>
      <c r="K1124" s="275" t="str">
        <f>IF(ISBLANK(INDEX('Policy Characteristics'!E:E,MATCH($C1124,'Policy Characteristics'!$C:$C,0))),"",INDEX('Policy Characteristics'!E:E,MATCH($C1124,'Policy Characteristics'!$C:$C,0)))</f>
        <v>indst efficiency standards</v>
      </c>
      <c r="L1124" s="283">
        <f>IF(ISBLANK(INDEX('Policy Characteristics'!F:F,MATCH($C1124,'Policy Characteristics'!$C:$C,0))),"",INDEX('Policy Characteristics'!F:F,MATCH($C1124,'Policy Characteristics'!$C:$C,0)))</f>
        <v>0</v>
      </c>
      <c r="M1124" s="283">
        <f>IF(ISBLANK(INDEX('Policy Characteristics'!G:G,MATCH($C1124,'Policy Characteristics'!$C:$C,0))),"",INDEX('Policy Characteristics'!G:G,MATCH($C1124,'Policy Characteristics'!$C:$C,0)))</f>
        <v>0.25</v>
      </c>
      <c r="N1124" s="283">
        <f>IF(ISBLANK(INDEX('Policy Characteristics'!H:H,MATCH($C1124,'Policy Characteristics'!$C:$C,0))),"",INDEX('Policy Characteristics'!H:H,MATCH($C1124,'Policy Characteristics'!$C:$C,0)))</f>
        <v>0.01</v>
      </c>
      <c r="O1124" s="275" t="str">
        <f>IF(ISBLANK(INDEX('Policy Characteristics'!I:I,MATCH($C1124,'Policy Characteristics'!$C:$C,0))),"",INDEX('Policy Characteristics'!I:I,MATCH($C1124,'Policy Characteristics'!$C:$C,0)))</f>
        <v>% reduction in energy use</v>
      </c>
      <c r="P1124" s="275" t="str">
        <f>IF(ISBLANK(INDEX('Policy Characteristics'!J:J,MATCH($C1124,'Policy Characteristics'!$C:$C,0))),"",INDEX('Policy Characteristics'!J:J,MATCH($C1124,'Policy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4" s="275" t="str">
        <f>IF(ISBLANK(INDEX('Policy Characteristics'!K:K,MATCH($C1124,'Policy Characteristics'!$C:$C,0))),"",INDEX('Policy Characteristics'!K:K,MATCH($C1124,'Policy Characteristics'!$C:$C,0)))</f>
        <v>industry-ag-main.html#eff-stds</v>
      </c>
      <c r="R1124" s="275" t="str">
        <f>IF(ISBLANK(INDEX('Policy Characteristics'!L:L,MATCH($C1124,'Policy Characteristics'!$C:$C,0))),"",INDEX('Policy Characteristics'!L:L,MATCH($C1124,'Policy Characteristics'!$C:$C,0)))</f>
        <v>industry-energy-efficiency-standards.html</v>
      </c>
    </row>
    <row r="1125" spans="1:18" s="4" customFormat="1" x14ac:dyDescent="0.25">
      <c r="A1125" s="275" t="str">
        <f>IF(ISBLANK(INDEX('Policy Characteristics'!A:A,MATCH($C1125,'Policy Characteristics'!$C:$C,0))),"",INDEX('Policy Characteristics'!A:A,MATCH($C1125,'Policy Characteristics'!$C:$C,0)))</f>
        <v>Industry</v>
      </c>
      <c r="B1125" s="284" t="str">
        <f>IF(ISBLANK(INDEX('Policy Characteristics'!B:B,MATCH($C1125,'Policy Characteristics'!$C:$C,0))),"",INDEX('Policy Characteristics'!B:B,MATCH($C1125,'Policy Characteristics'!$C:$C,0)))</f>
        <v>Industry Energy Efficiency Standards</v>
      </c>
      <c r="C1125" s="275" t="str">
        <f t="shared" si="43"/>
        <v>Percentage Improvement in Eqpt Efficiency Standards above BAU</v>
      </c>
      <c r="D1125" s="6" t="s">
        <v>3085</v>
      </c>
      <c r="E1125" s="47" t="s">
        <v>2403</v>
      </c>
      <c r="F1125" t="s">
        <v>3047</v>
      </c>
      <c r="G1125" s="47" t="s">
        <v>2411</v>
      </c>
      <c r="H1125" s="44">
        <v>1110</v>
      </c>
      <c r="I1125" s="346" t="s">
        <v>43</v>
      </c>
      <c r="J1125" s="276" t="str">
        <f>IF(ISBLANK(INDEX('Policy Characteristics'!D:D,MATCH($C1125,'Policy Characteristics'!$C:$C,0))),"",INDEX('Policy Characteristics'!D:D,MATCH($C1125,'Policy Characteristics'!$C:$C,0)))</f>
        <v>Industry Energy Efficiency Standards</v>
      </c>
      <c r="K1125" s="275" t="str">
        <f>IF(ISBLANK(INDEX('Policy Characteristics'!E:E,MATCH($C1125,'Policy Characteristics'!$C:$C,0))),"",INDEX('Policy Characteristics'!E:E,MATCH($C1125,'Policy Characteristics'!$C:$C,0)))</f>
        <v>indst efficiency standards</v>
      </c>
      <c r="L1125" s="283">
        <f>IF(ISBLANK(INDEX('Policy Characteristics'!F:F,MATCH($C1125,'Policy Characteristics'!$C:$C,0))),"",INDEX('Policy Characteristics'!F:F,MATCH($C1125,'Policy Characteristics'!$C:$C,0)))</f>
        <v>0</v>
      </c>
      <c r="M1125" s="283">
        <f>IF(ISBLANK(INDEX('Policy Characteristics'!G:G,MATCH($C1125,'Policy Characteristics'!$C:$C,0))),"",INDEX('Policy Characteristics'!G:G,MATCH($C1125,'Policy Characteristics'!$C:$C,0)))</f>
        <v>0.25</v>
      </c>
      <c r="N1125" s="283">
        <f>IF(ISBLANK(INDEX('Policy Characteristics'!H:H,MATCH($C1125,'Policy Characteristics'!$C:$C,0))),"",INDEX('Policy Characteristics'!H:H,MATCH($C1125,'Policy Characteristics'!$C:$C,0)))</f>
        <v>0.01</v>
      </c>
      <c r="O1125" s="275" t="str">
        <f>IF(ISBLANK(INDEX('Policy Characteristics'!I:I,MATCH($C1125,'Policy Characteristics'!$C:$C,0))),"",INDEX('Policy Characteristics'!I:I,MATCH($C1125,'Policy Characteristics'!$C:$C,0)))</f>
        <v>% reduction in energy use</v>
      </c>
      <c r="P1125" s="275" t="str">
        <f>IF(ISBLANK(INDEX('Policy Characteristics'!J:J,MATCH($C1125,'Policy Characteristics'!$C:$C,0))),"",INDEX('Policy Characteristics'!J:J,MATCH($C1125,'Policy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5" s="275" t="str">
        <f>IF(ISBLANK(INDEX('Policy Characteristics'!K:K,MATCH($C1125,'Policy Characteristics'!$C:$C,0))),"",INDEX('Policy Characteristics'!K:K,MATCH($C1125,'Policy Characteristics'!$C:$C,0)))</f>
        <v>industry-ag-main.html#eff-stds</v>
      </c>
      <c r="R1125" s="275" t="str">
        <f>IF(ISBLANK(INDEX('Policy Characteristics'!L:L,MATCH($C1125,'Policy Characteristics'!$C:$C,0))),"",INDEX('Policy Characteristics'!L:L,MATCH($C1125,'Policy Characteristics'!$C:$C,0)))</f>
        <v>industry-energy-efficiency-standards.html</v>
      </c>
    </row>
    <row r="1126" spans="1:18" s="4" customFormat="1" x14ac:dyDescent="0.25">
      <c r="A1126" s="275" t="str">
        <f>IF(ISBLANK(INDEX('Policy Characteristics'!A:A,MATCH($C1126,'Policy Characteristics'!$C:$C,0))),"",INDEX('Policy Characteristics'!A:A,MATCH($C1126,'Policy Characteristics'!$C:$C,0)))</f>
        <v>Industry</v>
      </c>
      <c r="B1126" s="284" t="str">
        <f>IF(ISBLANK(INDEX('Policy Characteristics'!B:B,MATCH($C1126,'Policy Characteristics'!$C:$C,0))),"",INDEX('Policy Characteristics'!B:B,MATCH($C1126,'Policy Characteristics'!$C:$C,0)))</f>
        <v>Industry Energy Efficiency Standards</v>
      </c>
      <c r="C1126" s="275" t="str">
        <f t="shared" si="43"/>
        <v>Percentage Improvement in Eqpt Efficiency Standards above BAU</v>
      </c>
      <c r="D1126" s="6" t="s">
        <v>3085</v>
      </c>
      <c r="E1126" s="47" t="s">
        <v>2404</v>
      </c>
      <c r="F1126" t="s">
        <v>3047</v>
      </c>
      <c r="G1126" s="47" t="s">
        <v>2408</v>
      </c>
      <c r="H1126" s="44">
        <v>1111</v>
      </c>
      <c r="I1126" s="346" t="s">
        <v>44</v>
      </c>
      <c r="J1126" s="276" t="str">
        <f>IF(ISBLANK(INDEX('Policy Characteristics'!D:D,MATCH($C1126,'Policy Characteristics'!$C:$C,0))),"",INDEX('Policy Characteristics'!D:D,MATCH($C1126,'Policy Characteristics'!$C:$C,0)))</f>
        <v>Industry Energy Efficiency Standards</v>
      </c>
      <c r="K1126" s="275" t="str">
        <f>IF(ISBLANK(INDEX('Policy Characteristics'!E:E,MATCH($C1126,'Policy Characteristics'!$C:$C,0))),"",INDEX('Policy Characteristics'!E:E,MATCH($C1126,'Policy Characteristics'!$C:$C,0)))</f>
        <v>indst efficiency standards</v>
      </c>
      <c r="L1126" s="283">
        <f>IF(ISBLANK(INDEX('Policy Characteristics'!F:F,MATCH($C1126,'Policy Characteristics'!$C:$C,0))),"",INDEX('Policy Characteristics'!F:F,MATCH($C1126,'Policy Characteristics'!$C:$C,0)))</f>
        <v>0</v>
      </c>
      <c r="M1126" s="283">
        <f>IF(ISBLANK(INDEX('Policy Characteristics'!G:G,MATCH($C1126,'Policy Characteristics'!$C:$C,0))),"",INDEX('Policy Characteristics'!G:G,MATCH($C1126,'Policy Characteristics'!$C:$C,0)))</f>
        <v>0.25</v>
      </c>
      <c r="N1126" s="283">
        <f>IF(ISBLANK(INDEX('Policy Characteristics'!H:H,MATCH($C1126,'Policy Characteristics'!$C:$C,0))),"",INDEX('Policy Characteristics'!H:H,MATCH($C1126,'Policy Characteristics'!$C:$C,0)))</f>
        <v>0.01</v>
      </c>
      <c r="O1126" s="275" t="str">
        <f>IF(ISBLANK(INDEX('Policy Characteristics'!I:I,MATCH($C1126,'Policy Characteristics'!$C:$C,0))),"",INDEX('Policy Characteristics'!I:I,MATCH($C1126,'Policy Characteristics'!$C:$C,0)))</f>
        <v>% reduction in energy use</v>
      </c>
      <c r="P1126" s="275" t="str">
        <f>IF(ISBLANK(INDEX('Policy Characteristics'!J:J,MATCH($C1126,'Policy Characteristics'!$C:$C,0))),"",INDEX('Policy Characteristics'!J:J,MATCH($C1126,'Policy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6" s="275" t="str">
        <f>IF(ISBLANK(INDEX('Policy Characteristics'!K:K,MATCH($C1126,'Policy Characteristics'!$C:$C,0))),"",INDEX('Policy Characteristics'!K:K,MATCH($C1126,'Policy Characteristics'!$C:$C,0)))</f>
        <v>industry-ag-main.html#eff-stds</v>
      </c>
      <c r="R1126" s="275" t="str">
        <f>IF(ISBLANK(INDEX('Policy Characteristics'!L:L,MATCH($C1126,'Policy Characteristics'!$C:$C,0))),"",INDEX('Policy Characteristics'!L:L,MATCH($C1126,'Policy Characteristics'!$C:$C,0)))</f>
        <v>industry-energy-efficiency-standards.html</v>
      </c>
    </row>
    <row r="1127" spans="1:18" s="4" customFormat="1" x14ac:dyDescent="0.25">
      <c r="A1127" s="275" t="str">
        <f>IF(ISBLANK(INDEX('Policy Characteristics'!A:A,MATCH($C1127,'Policy Characteristics'!$C:$C,0))),"",INDEX('Policy Characteristics'!A:A,MATCH($C1127,'Policy Characteristics'!$C:$C,0)))</f>
        <v>Industry</v>
      </c>
      <c r="B1127" s="284" t="str">
        <f>IF(ISBLANK(INDEX('Policy Characteristics'!B:B,MATCH($C1127,'Policy Characteristics'!$C:$C,0))),"",INDEX('Policy Characteristics'!B:B,MATCH($C1127,'Policy Characteristics'!$C:$C,0)))</f>
        <v>Industry Energy Efficiency Standards</v>
      </c>
      <c r="C1127" s="275" t="str">
        <f t="shared" si="43"/>
        <v>Percentage Improvement in Eqpt Efficiency Standards above BAU</v>
      </c>
      <c r="D1127" s="6" t="s">
        <v>3085</v>
      </c>
      <c r="E1127" s="47" t="s">
        <v>2405</v>
      </c>
      <c r="F1127" t="s">
        <v>3047</v>
      </c>
      <c r="G1127" s="47" t="s">
        <v>2409</v>
      </c>
      <c r="H1127" s="44">
        <v>1112</v>
      </c>
      <c r="I1127" s="346" t="s">
        <v>43</v>
      </c>
      <c r="J1127" s="276" t="str">
        <f>IF(ISBLANK(INDEX('Policy Characteristics'!D:D,MATCH($C1127,'Policy Characteristics'!$C:$C,0))),"",INDEX('Policy Characteristics'!D:D,MATCH($C1127,'Policy Characteristics'!$C:$C,0)))</f>
        <v>Industry Energy Efficiency Standards</v>
      </c>
      <c r="K1127" s="275" t="str">
        <f>IF(ISBLANK(INDEX('Policy Characteristics'!E:E,MATCH($C1127,'Policy Characteristics'!$C:$C,0))),"",INDEX('Policy Characteristics'!E:E,MATCH($C1127,'Policy Characteristics'!$C:$C,0)))</f>
        <v>indst efficiency standards</v>
      </c>
      <c r="L1127" s="283">
        <f>IF(ISBLANK(INDEX('Policy Characteristics'!F:F,MATCH($C1127,'Policy Characteristics'!$C:$C,0))),"",INDEX('Policy Characteristics'!F:F,MATCH($C1127,'Policy Characteristics'!$C:$C,0)))</f>
        <v>0</v>
      </c>
      <c r="M1127" s="283">
        <f>IF(ISBLANK(INDEX('Policy Characteristics'!G:G,MATCH($C1127,'Policy Characteristics'!$C:$C,0))),"",INDEX('Policy Characteristics'!G:G,MATCH($C1127,'Policy Characteristics'!$C:$C,0)))</f>
        <v>0.25</v>
      </c>
      <c r="N1127" s="283">
        <f>IF(ISBLANK(INDEX('Policy Characteristics'!H:H,MATCH($C1127,'Policy Characteristics'!$C:$C,0))),"",INDEX('Policy Characteristics'!H:H,MATCH($C1127,'Policy Characteristics'!$C:$C,0)))</f>
        <v>0.01</v>
      </c>
      <c r="O1127" s="275" t="str">
        <f>IF(ISBLANK(INDEX('Policy Characteristics'!I:I,MATCH($C1127,'Policy Characteristics'!$C:$C,0))),"",INDEX('Policy Characteristics'!I:I,MATCH($C1127,'Policy Characteristics'!$C:$C,0)))</f>
        <v>% reduction in energy use</v>
      </c>
      <c r="P1127" s="275" t="str">
        <f>IF(ISBLANK(INDEX('Policy Characteristics'!J:J,MATCH($C1127,'Policy Characteristics'!$C:$C,0))),"",INDEX('Policy Characteristics'!J:J,MATCH($C1127,'Policy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7" s="275" t="str">
        <f>IF(ISBLANK(INDEX('Policy Characteristics'!K:K,MATCH($C1127,'Policy Characteristics'!$C:$C,0))),"",INDEX('Policy Characteristics'!K:K,MATCH($C1127,'Policy Characteristics'!$C:$C,0)))</f>
        <v>industry-ag-main.html#eff-stds</v>
      </c>
      <c r="R1127" s="275" t="str">
        <f>IF(ISBLANK(INDEX('Policy Characteristics'!L:L,MATCH($C1127,'Policy Characteristics'!$C:$C,0))),"",INDEX('Policy Characteristics'!L:L,MATCH($C1127,'Policy Characteristics'!$C:$C,0)))</f>
        <v>industry-energy-efficiency-standards.html</v>
      </c>
    </row>
    <row r="1128" spans="1:18" s="4" customFormat="1" x14ac:dyDescent="0.25">
      <c r="A1128" s="275" t="str">
        <f>IF(ISBLANK(INDEX('Policy Characteristics'!A:A,MATCH($C1128,'Policy Characteristics'!$C:$C,0))),"",INDEX('Policy Characteristics'!A:A,MATCH($C1128,'Policy Characteristics'!$C:$C,0)))</f>
        <v>Industry</v>
      </c>
      <c r="B1128" s="284" t="str">
        <f>IF(ISBLANK(INDEX('Policy Characteristics'!B:B,MATCH($C1128,'Policy Characteristics'!$C:$C,0))),"",INDEX('Policy Characteristics'!B:B,MATCH($C1128,'Policy Characteristics'!$C:$C,0)))</f>
        <v>Industry Energy Efficiency Standards</v>
      </c>
      <c r="C1128" s="275" t="str">
        <f t="shared" si="43"/>
        <v>Percentage Improvement in Eqpt Efficiency Standards above BAU</v>
      </c>
      <c r="D1128" s="6" t="s">
        <v>3085</v>
      </c>
      <c r="E1128" s="47" t="s">
        <v>2406</v>
      </c>
      <c r="F1128" t="s">
        <v>3047</v>
      </c>
      <c r="G1128" s="47" t="s">
        <v>2412</v>
      </c>
      <c r="H1128" s="44">
        <v>1113</v>
      </c>
      <c r="I1128" s="346" t="s">
        <v>44</v>
      </c>
      <c r="J1128" s="276" t="str">
        <f>IF(ISBLANK(INDEX('Policy Characteristics'!D:D,MATCH($C1128,'Policy Characteristics'!$C:$C,0))),"",INDEX('Policy Characteristics'!D:D,MATCH($C1128,'Policy Characteristics'!$C:$C,0)))</f>
        <v>Industry Energy Efficiency Standards</v>
      </c>
      <c r="K1128" s="275" t="str">
        <f>IF(ISBLANK(INDEX('Policy Characteristics'!E:E,MATCH($C1128,'Policy Characteristics'!$C:$C,0))),"",INDEX('Policy Characteristics'!E:E,MATCH($C1128,'Policy Characteristics'!$C:$C,0)))</f>
        <v>indst efficiency standards</v>
      </c>
      <c r="L1128" s="283">
        <f>IF(ISBLANK(INDEX('Policy Characteristics'!F:F,MATCH($C1128,'Policy Characteristics'!$C:$C,0))),"",INDEX('Policy Characteristics'!F:F,MATCH($C1128,'Policy Characteristics'!$C:$C,0)))</f>
        <v>0</v>
      </c>
      <c r="M1128" s="283">
        <f>IF(ISBLANK(INDEX('Policy Characteristics'!G:G,MATCH($C1128,'Policy Characteristics'!$C:$C,0))),"",INDEX('Policy Characteristics'!G:G,MATCH($C1128,'Policy Characteristics'!$C:$C,0)))</f>
        <v>0.25</v>
      </c>
      <c r="N1128" s="283">
        <f>IF(ISBLANK(INDEX('Policy Characteristics'!H:H,MATCH($C1128,'Policy Characteristics'!$C:$C,0))),"",INDEX('Policy Characteristics'!H:H,MATCH($C1128,'Policy Characteristics'!$C:$C,0)))</f>
        <v>0.01</v>
      </c>
      <c r="O1128" s="275" t="str">
        <f>IF(ISBLANK(INDEX('Policy Characteristics'!I:I,MATCH($C1128,'Policy Characteristics'!$C:$C,0))),"",INDEX('Policy Characteristics'!I:I,MATCH($C1128,'Policy Characteristics'!$C:$C,0)))</f>
        <v>% reduction in energy use</v>
      </c>
      <c r="P1128" s="275" t="str">
        <f>IF(ISBLANK(INDEX('Policy Characteristics'!J:J,MATCH($C1128,'Policy Characteristics'!$C:$C,0))),"",INDEX('Policy Characteristics'!J:J,MATCH($C1128,'Policy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8" s="275" t="str">
        <f>IF(ISBLANK(INDEX('Policy Characteristics'!K:K,MATCH($C1128,'Policy Characteristics'!$C:$C,0))),"",INDEX('Policy Characteristics'!K:K,MATCH($C1128,'Policy Characteristics'!$C:$C,0)))</f>
        <v>industry-ag-main.html#eff-stds</v>
      </c>
      <c r="R1128" s="275" t="str">
        <f>IF(ISBLANK(INDEX('Policy Characteristics'!L:L,MATCH($C1128,'Policy Characteristics'!$C:$C,0))),"",INDEX('Policy Characteristics'!L:L,MATCH($C1128,'Policy Characteristics'!$C:$C,0)))</f>
        <v>industry-energy-efficiency-standards.html</v>
      </c>
    </row>
    <row r="1129" spans="1:18" s="4" customFormat="1" x14ac:dyDescent="0.25">
      <c r="A1129" s="275" t="str">
        <f>IF(ISBLANK(INDEX('Policy Characteristics'!A:A,MATCH($C1129,'Policy Characteristics'!$C:$C,0))),"",INDEX('Policy Characteristics'!A:A,MATCH($C1129,'Policy Characteristics'!$C:$C,0)))</f>
        <v>Industry</v>
      </c>
      <c r="B1129" s="284" t="str">
        <f>IF(ISBLANK(INDEX('Policy Characteristics'!B:B,MATCH($C1129,'Policy Characteristics'!$C:$C,0))),"",INDEX('Policy Characteristics'!B:B,MATCH($C1129,'Policy Characteristics'!$C:$C,0)))</f>
        <v>Industry Energy Efficiency Standards</v>
      </c>
      <c r="C1129" s="275" t="str">
        <f t="shared" si="43"/>
        <v>Percentage Improvement in Eqpt Efficiency Standards above BAU</v>
      </c>
      <c r="D1129" s="6" t="s">
        <v>3085</v>
      </c>
      <c r="E1129" s="47" t="s">
        <v>2709</v>
      </c>
      <c r="F1129" t="s">
        <v>3047</v>
      </c>
      <c r="G1129" s="47" t="s">
        <v>2712</v>
      </c>
      <c r="H1129" s="44">
        <v>1114</v>
      </c>
      <c r="I1129" s="346" t="s">
        <v>44</v>
      </c>
      <c r="J1129" s="276" t="str">
        <f>IF(ISBLANK(INDEX('Policy Characteristics'!D:D,MATCH($C1129,'Policy Characteristics'!$C:$C,0))),"",INDEX('Policy Characteristics'!D:D,MATCH($C1129,'Policy Characteristics'!$C:$C,0)))</f>
        <v>Industry Energy Efficiency Standards</v>
      </c>
      <c r="K1129" s="275" t="str">
        <f>IF(ISBLANK(INDEX('Policy Characteristics'!E:E,MATCH($C1129,'Policy Characteristics'!$C:$C,0))),"",INDEX('Policy Characteristics'!E:E,MATCH($C1129,'Policy Characteristics'!$C:$C,0)))</f>
        <v>indst efficiency standards</v>
      </c>
      <c r="L1129" s="283">
        <f>IF(ISBLANK(INDEX('Policy Characteristics'!F:F,MATCH($C1129,'Policy Characteristics'!$C:$C,0))),"",INDEX('Policy Characteristics'!F:F,MATCH($C1129,'Policy Characteristics'!$C:$C,0)))</f>
        <v>0</v>
      </c>
      <c r="M1129" s="283">
        <f>IF(ISBLANK(INDEX('Policy Characteristics'!G:G,MATCH($C1129,'Policy Characteristics'!$C:$C,0))),"",INDEX('Policy Characteristics'!G:G,MATCH($C1129,'Policy Characteristics'!$C:$C,0)))</f>
        <v>0.25</v>
      </c>
      <c r="N1129" s="283">
        <f>IF(ISBLANK(INDEX('Policy Characteristics'!H:H,MATCH($C1129,'Policy Characteristics'!$C:$C,0))),"",INDEX('Policy Characteristics'!H:H,MATCH($C1129,'Policy Characteristics'!$C:$C,0)))</f>
        <v>0.01</v>
      </c>
      <c r="O1129" s="275" t="str">
        <f>IF(ISBLANK(INDEX('Policy Characteristics'!I:I,MATCH($C1129,'Policy Characteristics'!$C:$C,0))),"",INDEX('Policy Characteristics'!I:I,MATCH($C1129,'Policy Characteristics'!$C:$C,0)))</f>
        <v>% reduction in energy use</v>
      </c>
      <c r="P1129" s="275" t="str">
        <f>IF(ISBLANK(INDEX('Policy Characteristics'!J:J,MATCH($C1129,'Policy Characteristics'!$C:$C,0))),"",INDEX('Policy Characteristics'!J:J,MATCH($C1129,'Policy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9" s="275" t="str">
        <f>IF(ISBLANK(INDEX('Policy Characteristics'!K:K,MATCH($C1129,'Policy Characteristics'!$C:$C,0))),"",INDEX('Policy Characteristics'!K:K,MATCH($C1129,'Policy Characteristics'!$C:$C,0)))</f>
        <v>industry-ag-main.html#eff-stds</v>
      </c>
      <c r="R1129" s="275" t="str">
        <f>IF(ISBLANK(INDEX('Policy Characteristics'!L:L,MATCH($C1129,'Policy Characteristics'!$C:$C,0))),"",INDEX('Policy Characteristics'!L:L,MATCH($C1129,'Policy Characteristics'!$C:$C,0)))</f>
        <v>industry-energy-efficiency-standards.html</v>
      </c>
    </row>
    <row r="1130" spans="1:18" s="4" customFormat="1" x14ac:dyDescent="0.25">
      <c r="A1130" s="275" t="str">
        <f>IF(ISBLANK(INDEX('Policy Characteristics'!A:A,MATCH($C1130,'Policy Characteristics'!$C:$C,0))),"",INDEX('Policy Characteristics'!A:A,MATCH($C1130,'Policy Characteristics'!$C:$C,0)))</f>
        <v>Industry</v>
      </c>
      <c r="B1130" s="284" t="str">
        <f>IF(ISBLANK(INDEX('Policy Characteristics'!B:B,MATCH($C1130,'Policy Characteristics'!$C:$C,0))),"",INDEX('Policy Characteristics'!B:B,MATCH($C1130,'Policy Characteristics'!$C:$C,0)))</f>
        <v>Industry Energy Efficiency Standards</v>
      </c>
      <c r="C1130" s="275" t="str">
        <f t="shared" si="43"/>
        <v>Percentage Improvement in Eqpt Efficiency Standards above BAU</v>
      </c>
      <c r="D1130" s="6" t="s">
        <v>3085</v>
      </c>
      <c r="E1130" s="47" t="s">
        <v>2710</v>
      </c>
      <c r="F1130" t="s">
        <v>3047</v>
      </c>
      <c r="G1130" s="47" t="s">
        <v>2714</v>
      </c>
      <c r="H1130" s="44">
        <v>1115</v>
      </c>
      <c r="I1130" s="346" t="s">
        <v>44</v>
      </c>
      <c r="J1130" s="276" t="str">
        <f>IF(ISBLANK(INDEX('Policy Characteristics'!D:D,MATCH($C1130,'Policy Characteristics'!$C:$C,0))),"",INDEX('Policy Characteristics'!D:D,MATCH($C1130,'Policy Characteristics'!$C:$C,0)))</f>
        <v>Industry Energy Efficiency Standards</v>
      </c>
      <c r="K1130" s="275" t="str">
        <f>IF(ISBLANK(INDEX('Policy Characteristics'!E:E,MATCH($C1130,'Policy Characteristics'!$C:$C,0))),"",INDEX('Policy Characteristics'!E:E,MATCH($C1130,'Policy Characteristics'!$C:$C,0)))</f>
        <v>indst efficiency standards</v>
      </c>
      <c r="L1130" s="283">
        <f>IF(ISBLANK(INDEX('Policy Characteristics'!F:F,MATCH($C1130,'Policy Characteristics'!$C:$C,0))),"",INDEX('Policy Characteristics'!F:F,MATCH($C1130,'Policy Characteristics'!$C:$C,0)))</f>
        <v>0</v>
      </c>
      <c r="M1130" s="283">
        <f>IF(ISBLANK(INDEX('Policy Characteristics'!G:G,MATCH($C1130,'Policy Characteristics'!$C:$C,0))),"",INDEX('Policy Characteristics'!G:G,MATCH($C1130,'Policy Characteristics'!$C:$C,0)))</f>
        <v>0.25</v>
      </c>
      <c r="N1130" s="283">
        <f>IF(ISBLANK(INDEX('Policy Characteristics'!H:H,MATCH($C1130,'Policy Characteristics'!$C:$C,0))),"",INDEX('Policy Characteristics'!H:H,MATCH($C1130,'Policy Characteristics'!$C:$C,0)))</f>
        <v>0.01</v>
      </c>
      <c r="O1130" s="275" t="str">
        <f>IF(ISBLANK(INDEX('Policy Characteristics'!I:I,MATCH($C1130,'Policy Characteristics'!$C:$C,0))),"",INDEX('Policy Characteristics'!I:I,MATCH($C1130,'Policy Characteristics'!$C:$C,0)))</f>
        <v>% reduction in energy use</v>
      </c>
      <c r="P1130" s="275" t="str">
        <f>IF(ISBLANK(INDEX('Policy Characteristics'!J:J,MATCH($C1130,'Policy Characteristics'!$C:$C,0))),"",INDEX('Policy Characteristics'!J:J,MATCH($C1130,'Policy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0" s="275" t="str">
        <f>IF(ISBLANK(INDEX('Policy Characteristics'!K:K,MATCH($C1130,'Policy Characteristics'!$C:$C,0))),"",INDEX('Policy Characteristics'!K:K,MATCH($C1130,'Policy Characteristics'!$C:$C,0)))</f>
        <v>industry-ag-main.html#eff-stds</v>
      </c>
      <c r="R1130" s="275" t="str">
        <f>IF(ISBLANK(INDEX('Policy Characteristics'!L:L,MATCH($C1130,'Policy Characteristics'!$C:$C,0))),"",INDEX('Policy Characteristics'!L:L,MATCH($C1130,'Policy Characteristics'!$C:$C,0)))</f>
        <v>industry-energy-efficiency-standards.html</v>
      </c>
    </row>
    <row r="1131" spans="1:18" s="4" customFormat="1" x14ac:dyDescent="0.25">
      <c r="A1131" s="275" t="str">
        <f>IF(ISBLANK(INDEX('Policy Characteristics'!A:A,MATCH($C1131,'Policy Characteristics'!$C:$C,0))),"",INDEX('Policy Characteristics'!A:A,MATCH($C1131,'Policy Characteristics'!$C:$C,0)))</f>
        <v>Industry</v>
      </c>
      <c r="B1131" s="284" t="str">
        <f>IF(ISBLANK(INDEX('Policy Characteristics'!B:B,MATCH($C1131,'Policy Characteristics'!$C:$C,0))),"",INDEX('Policy Characteristics'!B:B,MATCH($C1131,'Policy Characteristics'!$C:$C,0)))</f>
        <v>Industry Energy Efficiency Standards</v>
      </c>
      <c r="C1131" s="275" t="str">
        <f t="shared" si="43"/>
        <v>Percentage Improvement in Eqpt Efficiency Standards above BAU</v>
      </c>
      <c r="D1131" s="6" t="s">
        <v>3085</v>
      </c>
      <c r="E1131" s="47" t="s">
        <v>2711</v>
      </c>
      <c r="F1131" t="s">
        <v>3047</v>
      </c>
      <c r="G1131" s="47" t="s">
        <v>2715</v>
      </c>
      <c r="H1131" s="44">
        <v>1116</v>
      </c>
      <c r="I1131" s="346" t="s">
        <v>43</v>
      </c>
      <c r="J1131" s="276" t="str">
        <f>IF(ISBLANK(INDEX('Policy Characteristics'!D:D,MATCH($C1131,'Policy Characteristics'!$C:$C,0))),"",INDEX('Policy Characteristics'!D:D,MATCH($C1131,'Policy Characteristics'!$C:$C,0)))</f>
        <v>Industry Energy Efficiency Standards</v>
      </c>
      <c r="K1131" s="275" t="str">
        <f>IF(ISBLANK(INDEX('Policy Characteristics'!E:E,MATCH($C1131,'Policy Characteristics'!$C:$C,0))),"",INDEX('Policy Characteristics'!E:E,MATCH($C1131,'Policy Characteristics'!$C:$C,0)))</f>
        <v>indst efficiency standards</v>
      </c>
      <c r="L1131" s="283">
        <f>IF(ISBLANK(INDEX('Policy Characteristics'!F:F,MATCH($C1131,'Policy Characteristics'!$C:$C,0))),"",INDEX('Policy Characteristics'!F:F,MATCH($C1131,'Policy Characteristics'!$C:$C,0)))</f>
        <v>0</v>
      </c>
      <c r="M1131" s="283">
        <f>IF(ISBLANK(INDEX('Policy Characteristics'!G:G,MATCH($C1131,'Policy Characteristics'!$C:$C,0))),"",INDEX('Policy Characteristics'!G:G,MATCH($C1131,'Policy Characteristics'!$C:$C,0)))</f>
        <v>0.25</v>
      </c>
      <c r="N1131" s="283">
        <f>IF(ISBLANK(INDEX('Policy Characteristics'!H:H,MATCH($C1131,'Policy Characteristics'!$C:$C,0))),"",INDEX('Policy Characteristics'!H:H,MATCH($C1131,'Policy Characteristics'!$C:$C,0)))</f>
        <v>0.01</v>
      </c>
      <c r="O1131" s="275" t="str">
        <f>IF(ISBLANK(INDEX('Policy Characteristics'!I:I,MATCH($C1131,'Policy Characteristics'!$C:$C,0))),"",INDEX('Policy Characteristics'!I:I,MATCH($C1131,'Policy Characteristics'!$C:$C,0)))</f>
        <v>% reduction in energy use</v>
      </c>
      <c r="P1131" s="275" t="str">
        <f>IF(ISBLANK(INDEX('Policy Characteristics'!J:J,MATCH($C1131,'Policy Characteristics'!$C:$C,0))),"",INDEX('Policy Characteristics'!J:J,MATCH($C1131,'Policy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1" s="275" t="str">
        <f>IF(ISBLANK(INDEX('Policy Characteristics'!K:K,MATCH($C1131,'Policy Characteristics'!$C:$C,0))),"",INDEX('Policy Characteristics'!K:K,MATCH($C1131,'Policy Characteristics'!$C:$C,0)))</f>
        <v>industry-ag-main.html#eff-stds</v>
      </c>
      <c r="R1131" s="275" t="str">
        <f>IF(ISBLANK(INDEX('Policy Characteristics'!L:L,MATCH($C1131,'Policy Characteristics'!$C:$C,0))),"",INDEX('Policy Characteristics'!L:L,MATCH($C1131,'Policy Characteristics'!$C:$C,0)))</f>
        <v>industry-energy-efficiency-standards.html</v>
      </c>
    </row>
    <row r="1132" spans="1:18" s="4" customFormat="1" x14ac:dyDescent="0.25">
      <c r="A1132" s="275" t="str">
        <f>IF(ISBLANK(INDEX('Policy Characteristics'!A:A,MATCH($C1132,'Policy Characteristics'!$C:$C,0))),"",INDEX('Policy Characteristics'!A:A,MATCH($C1132,'Policy Characteristics'!$C:$C,0)))</f>
        <v>Industry</v>
      </c>
      <c r="B1132" s="284" t="str">
        <f>IF(ISBLANK(INDEX('Policy Characteristics'!B:B,MATCH($C1132,'Policy Characteristics'!$C:$C,0))),"",INDEX('Policy Characteristics'!B:B,MATCH($C1132,'Policy Characteristics'!$C:$C,0)))</f>
        <v>Industry Energy Efficiency Standards</v>
      </c>
      <c r="C1132" s="275" t="str">
        <f t="shared" si="43"/>
        <v>Percentage Improvement in Eqpt Efficiency Standards above BAU</v>
      </c>
      <c r="D1132" s="6" t="s">
        <v>3085</v>
      </c>
      <c r="E1132" s="47" t="s">
        <v>2708</v>
      </c>
      <c r="F1132" t="s">
        <v>3047</v>
      </c>
      <c r="G1132" s="47" t="s">
        <v>2713</v>
      </c>
      <c r="H1132" s="44">
        <v>1117</v>
      </c>
      <c r="I1132" s="346" t="s">
        <v>44</v>
      </c>
      <c r="J1132" s="276" t="str">
        <f>IF(ISBLANK(INDEX('Policy Characteristics'!D:D,MATCH($C1132,'Policy Characteristics'!$C:$C,0))),"",INDEX('Policy Characteristics'!D:D,MATCH($C1132,'Policy Characteristics'!$C:$C,0)))</f>
        <v>Industry Energy Efficiency Standards</v>
      </c>
      <c r="K1132" s="275" t="str">
        <f>IF(ISBLANK(INDEX('Policy Characteristics'!E:E,MATCH($C1132,'Policy Characteristics'!$C:$C,0))),"",INDEX('Policy Characteristics'!E:E,MATCH($C1132,'Policy Characteristics'!$C:$C,0)))</f>
        <v>indst efficiency standards</v>
      </c>
      <c r="L1132" s="283">
        <f>IF(ISBLANK(INDEX('Policy Characteristics'!F:F,MATCH($C1132,'Policy Characteristics'!$C:$C,0))),"",INDEX('Policy Characteristics'!F:F,MATCH($C1132,'Policy Characteristics'!$C:$C,0)))</f>
        <v>0</v>
      </c>
      <c r="M1132" s="283">
        <f>IF(ISBLANK(INDEX('Policy Characteristics'!G:G,MATCH($C1132,'Policy Characteristics'!$C:$C,0))),"",INDEX('Policy Characteristics'!G:G,MATCH($C1132,'Policy Characteristics'!$C:$C,0)))</f>
        <v>0.25</v>
      </c>
      <c r="N1132" s="283">
        <f>IF(ISBLANK(INDEX('Policy Characteristics'!H:H,MATCH($C1132,'Policy Characteristics'!$C:$C,0))),"",INDEX('Policy Characteristics'!H:H,MATCH($C1132,'Policy Characteristics'!$C:$C,0)))</f>
        <v>0.01</v>
      </c>
      <c r="O1132" s="275" t="str">
        <f>IF(ISBLANK(INDEX('Policy Characteristics'!I:I,MATCH($C1132,'Policy Characteristics'!$C:$C,0))),"",INDEX('Policy Characteristics'!I:I,MATCH($C1132,'Policy Characteristics'!$C:$C,0)))</f>
        <v>% reduction in energy use</v>
      </c>
      <c r="P1132" s="275" t="str">
        <f>IF(ISBLANK(INDEX('Policy Characteristics'!J:J,MATCH($C1132,'Policy Characteristics'!$C:$C,0))),"",INDEX('Policy Characteristics'!J:J,MATCH($C1132,'Policy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2" s="275" t="str">
        <f>IF(ISBLANK(INDEX('Policy Characteristics'!K:K,MATCH($C1132,'Policy Characteristics'!$C:$C,0))),"",INDEX('Policy Characteristics'!K:K,MATCH($C1132,'Policy Characteristics'!$C:$C,0)))</f>
        <v>industry-ag-main.html#eff-stds</v>
      </c>
      <c r="R1132" s="275" t="str">
        <f>IF(ISBLANK(INDEX('Policy Characteristics'!L:L,MATCH($C1132,'Policy Characteristics'!$C:$C,0))),"",INDEX('Policy Characteristics'!L:L,MATCH($C1132,'Policy Characteristics'!$C:$C,0)))</f>
        <v>industry-energy-efficiency-standards.html</v>
      </c>
    </row>
    <row r="1133" spans="1:18" s="4" customFormat="1" x14ac:dyDescent="0.25">
      <c r="A1133" s="275" t="str">
        <f>IF(ISBLANK(INDEX('Policy Characteristics'!A:A,MATCH($C1133,'Policy Characteristics'!$C:$C,0))),"",INDEX('Policy Characteristics'!A:A,MATCH($C1133,'Policy Characteristics'!$C:$C,0)))</f>
        <v>Industry</v>
      </c>
      <c r="B1133" s="284" t="str">
        <f>IF(ISBLANK(INDEX('Policy Characteristics'!B:B,MATCH($C1133,'Policy Characteristics'!$C:$C,0))),"",INDEX('Policy Characteristics'!B:B,MATCH($C1133,'Policy Characteristics'!$C:$C,0)))</f>
        <v>Industry Energy Efficiency Standards</v>
      </c>
      <c r="C1133" s="275" t="str">
        <f t="shared" si="43"/>
        <v>Percentage Improvement in Eqpt Efficiency Standards above BAU</v>
      </c>
      <c r="D1133" s="6" t="s">
        <v>3086</v>
      </c>
      <c r="E1133" s="47" t="s">
        <v>2401</v>
      </c>
      <c r="F1133" t="s">
        <v>3048</v>
      </c>
      <c r="G1133" s="47" t="s">
        <v>2407</v>
      </c>
      <c r="H1133" s="44">
        <v>1118</v>
      </c>
      <c r="I1133" s="346" t="s">
        <v>43</v>
      </c>
      <c r="J1133" s="276" t="str">
        <f>IF(ISBLANK(INDEX('Policy Characteristics'!D:D,MATCH($C1133,'Policy Characteristics'!$C:$C,0))),"",INDEX('Policy Characteristics'!D:D,MATCH($C1133,'Policy Characteristics'!$C:$C,0)))</f>
        <v>Industry Energy Efficiency Standards</v>
      </c>
      <c r="K1133" s="275" t="str">
        <f>IF(ISBLANK(INDEX('Policy Characteristics'!E:E,MATCH($C1133,'Policy Characteristics'!$C:$C,0))),"",INDEX('Policy Characteristics'!E:E,MATCH($C1133,'Policy Characteristics'!$C:$C,0)))</f>
        <v>indst efficiency standards</v>
      </c>
      <c r="L1133" s="283">
        <f>IF(ISBLANK(INDEX('Policy Characteristics'!F:F,MATCH($C1133,'Policy Characteristics'!$C:$C,0))),"",INDEX('Policy Characteristics'!F:F,MATCH($C1133,'Policy Characteristics'!$C:$C,0)))</f>
        <v>0</v>
      </c>
      <c r="M1133" s="283">
        <f>IF(ISBLANK(INDEX('Policy Characteristics'!G:G,MATCH($C1133,'Policy Characteristics'!$C:$C,0))),"",INDEX('Policy Characteristics'!G:G,MATCH($C1133,'Policy Characteristics'!$C:$C,0)))</f>
        <v>0.25</v>
      </c>
      <c r="N1133" s="283">
        <f>IF(ISBLANK(INDEX('Policy Characteristics'!H:H,MATCH($C1133,'Policy Characteristics'!$C:$C,0))),"",INDEX('Policy Characteristics'!H:H,MATCH($C1133,'Policy Characteristics'!$C:$C,0)))</f>
        <v>0.01</v>
      </c>
      <c r="O1133" s="275" t="str">
        <f>IF(ISBLANK(INDEX('Policy Characteristics'!I:I,MATCH($C1133,'Policy Characteristics'!$C:$C,0))),"",INDEX('Policy Characteristics'!I:I,MATCH($C1133,'Policy Characteristics'!$C:$C,0)))</f>
        <v>% reduction in energy use</v>
      </c>
      <c r="P1133" s="275" t="str">
        <f>IF(ISBLANK(INDEX('Policy Characteristics'!J:J,MATCH($C1133,'Policy Characteristics'!$C:$C,0))),"",INDEX('Policy Characteristics'!J:J,MATCH($C1133,'Policy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3" s="275" t="str">
        <f>IF(ISBLANK(INDEX('Policy Characteristics'!K:K,MATCH($C1133,'Policy Characteristics'!$C:$C,0))),"",INDEX('Policy Characteristics'!K:K,MATCH($C1133,'Policy Characteristics'!$C:$C,0)))</f>
        <v>industry-ag-main.html#eff-stds</v>
      </c>
      <c r="R1133" s="275" t="str">
        <f>IF(ISBLANK(INDEX('Policy Characteristics'!L:L,MATCH($C1133,'Policy Characteristics'!$C:$C,0))),"",INDEX('Policy Characteristics'!L:L,MATCH($C1133,'Policy Characteristics'!$C:$C,0)))</f>
        <v>industry-energy-efficiency-standards.html</v>
      </c>
    </row>
    <row r="1134" spans="1:18" s="4" customFormat="1" x14ac:dyDescent="0.25">
      <c r="A1134" s="275" t="str">
        <f>IF(ISBLANK(INDEX('Policy Characteristics'!A:A,MATCH($C1134,'Policy Characteristics'!$C:$C,0))),"",INDEX('Policy Characteristics'!A:A,MATCH($C1134,'Policy Characteristics'!$C:$C,0)))</f>
        <v>Industry</v>
      </c>
      <c r="B1134" s="284" t="str">
        <f>IF(ISBLANK(INDEX('Policy Characteristics'!B:B,MATCH($C1134,'Policy Characteristics'!$C:$C,0))),"",INDEX('Policy Characteristics'!B:B,MATCH($C1134,'Policy Characteristics'!$C:$C,0)))</f>
        <v>Industry Energy Efficiency Standards</v>
      </c>
      <c r="C1134" s="275" t="str">
        <f t="shared" si="43"/>
        <v>Percentage Improvement in Eqpt Efficiency Standards above BAU</v>
      </c>
      <c r="D1134" s="6" t="s">
        <v>3086</v>
      </c>
      <c r="E1134" s="47" t="s">
        <v>2402</v>
      </c>
      <c r="F1134" t="s">
        <v>3048</v>
      </c>
      <c r="G1134" s="47" t="s">
        <v>2410</v>
      </c>
      <c r="H1134" s="44">
        <v>1119</v>
      </c>
      <c r="I1134" s="346" t="s">
        <v>44</v>
      </c>
      <c r="J1134" s="276" t="str">
        <f>IF(ISBLANK(INDEX('Policy Characteristics'!D:D,MATCH($C1134,'Policy Characteristics'!$C:$C,0))),"",INDEX('Policy Characteristics'!D:D,MATCH($C1134,'Policy Characteristics'!$C:$C,0)))</f>
        <v>Industry Energy Efficiency Standards</v>
      </c>
      <c r="K1134" s="275" t="str">
        <f>IF(ISBLANK(INDEX('Policy Characteristics'!E:E,MATCH($C1134,'Policy Characteristics'!$C:$C,0))),"",INDEX('Policy Characteristics'!E:E,MATCH($C1134,'Policy Characteristics'!$C:$C,0)))</f>
        <v>indst efficiency standards</v>
      </c>
      <c r="L1134" s="283">
        <f>IF(ISBLANK(INDEX('Policy Characteristics'!F:F,MATCH($C1134,'Policy Characteristics'!$C:$C,0))),"",INDEX('Policy Characteristics'!F:F,MATCH($C1134,'Policy Characteristics'!$C:$C,0)))</f>
        <v>0</v>
      </c>
      <c r="M1134" s="283">
        <f>IF(ISBLANK(INDEX('Policy Characteristics'!G:G,MATCH($C1134,'Policy Characteristics'!$C:$C,0))),"",INDEX('Policy Characteristics'!G:G,MATCH($C1134,'Policy Characteristics'!$C:$C,0)))</f>
        <v>0.25</v>
      </c>
      <c r="N1134" s="283">
        <f>IF(ISBLANK(INDEX('Policy Characteristics'!H:H,MATCH($C1134,'Policy Characteristics'!$C:$C,0))),"",INDEX('Policy Characteristics'!H:H,MATCH($C1134,'Policy Characteristics'!$C:$C,0)))</f>
        <v>0.01</v>
      </c>
      <c r="O1134" s="275" t="str">
        <f>IF(ISBLANK(INDEX('Policy Characteristics'!I:I,MATCH($C1134,'Policy Characteristics'!$C:$C,0))),"",INDEX('Policy Characteristics'!I:I,MATCH($C1134,'Policy Characteristics'!$C:$C,0)))</f>
        <v>% reduction in energy use</v>
      </c>
      <c r="P1134" s="275" t="str">
        <f>IF(ISBLANK(INDEX('Policy Characteristics'!J:J,MATCH($C1134,'Policy Characteristics'!$C:$C,0))),"",INDEX('Policy Characteristics'!J:J,MATCH($C1134,'Policy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4" s="275" t="str">
        <f>IF(ISBLANK(INDEX('Policy Characteristics'!K:K,MATCH($C1134,'Policy Characteristics'!$C:$C,0))),"",INDEX('Policy Characteristics'!K:K,MATCH($C1134,'Policy Characteristics'!$C:$C,0)))</f>
        <v>industry-ag-main.html#eff-stds</v>
      </c>
      <c r="R1134" s="275" t="str">
        <f>IF(ISBLANK(INDEX('Policy Characteristics'!L:L,MATCH($C1134,'Policy Characteristics'!$C:$C,0))),"",INDEX('Policy Characteristics'!L:L,MATCH($C1134,'Policy Characteristics'!$C:$C,0)))</f>
        <v>industry-energy-efficiency-standards.html</v>
      </c>
    </row>
    <row r="1135" spans="1:18" s="4" customFormat="1" x14ac:dyDescent="0.25">
      <c r="A1135" s="275" t="str">
        <f>IF(ISBLANK(INDEX('Policy Characteristics'!A:A,MATCH($C1135,'Policy Characteristics'!$C:$C,0))),"",INDEX('Policy Characteristics'!A:A,MATCH($C1135,'Policy Characteristics'!$C:$C,0)))</f>
        <v>Industry</v>
      </c>
      <c r="B1135" s="284" t="str">
        <f>IF(ISBLANK(INDEX('Policy Characteristics'!B:B,MATCH($C1135,'Policy Characteristics'!$C:$C,0))),"",INDEX('Policy Characteristics'!B:B,MATCH($C1135,'Policy Characteristics'!$C:$C,0)))</f>
        <v>Industry Energy Efficiency Standards</v>
      </c>
      <c r="C1135" s="275" t="str">
        <f t="shared" si="43"/>
        <v>Percentage Improvement in Eqpt Efficiency Standards above BAU</v>
      </c>
      <c r="D1135" s="6" t="s">
        <v>3086</v>
      </c>
      <c r="E1135" s="47" t="s">
        <v>2403</v>
      </c>
      <c r="F1135" t="s">
        <v>3048</v>
      </c>
      <c r="G1135" s="47" t="s">
        <v>2411</v>
      </c>
      <c r="H1135" s="44">
        <v>1120</v>
      </c>
      <c r="I1135" s="346" t="s">
        <v>43</v>
      </c>
      <c r="J1135" s="276" t="str">
        <f>IF(ISBLANK(INDEX('Policy Characteristics'!D:D,MATCH($C1135,'Policy Characteristics'!$C:$C,0))),"",INDEX('Policy Characteristics'!D:D,MATCH($C1135,'Policy Characteristics'!$C:$C,0)))</f>
        <v>Industry Energy Efficiency Standards</v>
      </c>
      <c r="K1135" s="275" t="str">
        <f>IF(ISBLANK(INDEX('Policy Characteristics'!E:E,MATCH($C1135,'Policy Characteristics'!$C:$C,0))),"",INDEX('Policy Characteristics'!E:E,MATCH($C1135,'Policy Characteristics'!$C:$C,0)))</f>
        <v>indst efficiency standards</v>
      </c>
      <c r="L1135" s="283">
        <f>IF(ISBLANK(INDEX('Policy Characteristics'!F:F,MATCH($C1135,'Policy Characteristics'!$C:$C,0))),"",INDEX('Policy Characteristics'!F:F,MATCH($C1135,'Policy Characteristics'!$C:$C,0)))</f>
        <v>0</v>
      </c>
      <c r="M1135" s="283">
        <f>IF(ISBLANK(INDEX('Policy Characteristics'!G:G,MATCH($C1135,'Policy Characteristics'!$C:$C,0))),"",INDEX('Policy Characteristics'!G:G,MATCH($C1135,'Policy Characteristics'!$C:$C,0)))</f>
        <v>0.25</v>
      </c>
      <c r="N1135" s="283">
        <f>IF(ISBLANK(INDEX('Policy Characteristics'!H:H,MATCH($C1135,'Policy Characteristics'!$C:$C,0))),"",INDEX('Policy Characteristics'!H:H,MATCH($C1135,'Policy Characteristics'!$C:$C,0)))</f>
        <v>0.01</v>
      </c>
      <c r="O1135" s="275" t="str">
        <f>IF(ISBLANK(INDEX('Policy Characteristics'!I:I,MATCH($C1135,'Policy Characteristics'!$C:$C,0))),"",INDEX('Policy Characteristics'!I:I,MATCH($C1135,'Policy Characteristics'!$C:$C,0)))</f>
        <v>% reduction in energy use</v>
      </c>
      <c r="P1135" s="275" t="str">
        <f>IF(ISBLANK(INDEX('Policy Characteristics'!J:J,MATCH($C1135,'Policy Characteristics'!$C:$C,0))),"",INDEX('Policy Characteristics'!J:J,MATCH($C1135,'Policy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5" s="275" t="str">
        <f>IF(ISBLANK(INDEX('Policy Characteristics'!K:K,MATCH($C1135,'Policy Characteristics'!$C:$C,0))),"",INDEX('Policy Characteristics'!K:K,MATCH($C1135,'Policy Characteristics'!$C:$C,0)))</f>
        <v>industry-ag-main.html#eff-stds</v>
      </c>
      <c r="R1135" s="275" t="str">
        <f>IF(ISBLANK(INDEX('Policy Characteristics'!L:L,MATCH($C1135,'Policy Characteristics'!$C:$C,0))),"",INDEX('Policy Characteristics'!L:L,MATCH($C1135,'Policy Characteristics'!$C:$C,0)))</f>
        <v>industry-energy-efficiency-standards.html</v>
      </c>
    </row>
    <row r="1136" spans="1:18" s="4" customFormat="1" x14ac:dyDescent="0.25">
      <c r="A1136" s="275" t="str">
        <f>IF(ISBLANK(INDEX('Policy Characteristics'!A:A,MATCH($C1136,'Policy Characteristics'!$C:$C,0))),"",INDEX('Policy Characteristics'!A:A,MATCH($C1136,'Policy Characteristics'!$C:$C,0)))</f>
        <v>Industry</v>
      </c>
      <c r="B1136" s="284" t="str">
        <f>IF(ISBLANK(INDEX('Policy Characteristics'!B:B,MATCH($C1136,'Policy Characteristics'!$C:$C,0))),"",INDEX('Policy Characteristics'!B:B,MATCH($C1136,'Policy Characteristics'!$C:$C,0)))</f>
        <v>Industry Energy Efficiency Standards</v>
      </c>
      <c r="C1136" s="275" t="str">
        <f t="shared" si="43"/>
        <v>Percentage Improvement in Eqpt Efficiency Standards above BAU</v>
      </c>
      <c r="D1136" s="6" t="s">
        <v>3086</v>
      </c>
      <c r="E1136" s="47" t="s">
        <v>2404</v>
      </c>
      <c r="F1136" t="s">
        <v>3048</v>
      </c>
      <c r="G1136" s="47" t="s">
        <v>2408</v>
      </c>
      <c r="H1136" s="44">
        <v>1121</v>
      </c>
      <c r="I1136" s="346" t="s">
        <v>44</v>
      </c>
      <c r="J1136" s="276" t="str">
        <f>IF(ISBLANK(INDEX('Policy Characteristics'!D:D,MATCH($C1136,'Policy Characteristics'!$C:$C,0))),"",INDEX('Policy Characteristics'!D:D,MATCH($C1136,'Policy Characteristics'!$C:$C,0)))</f>
        <v>Industry Energy Efficiency Standards</v>
      </c>
      <c r="K1136" s="275" t="str">
        <f>IF(ISBLANK(INDEX('Policy Characteristics'!E:E,MATCH($C1136,'Policy Characteristics'!$C:$C,0))),"",INDEX('Policy Characteristics'!E:E,MATCH($C1136,'Policy Characteristics'!$C:$C,0)))</f>
        <v>indst efficiency standards</v>
      </c>
      <c r="L1136" s="283">
        <f>IF(ISBLANK(INDEX('Policy Characteristics'!F:F,MATCH($C1136,'Policy Characteristics'!$C:$C,0))),"",INDEX('Policy Characteristics'!F:F,MATCH($C1136,'Policy Characteristics'!$C:$C,0)))</f>
        <v>0</v>
      </c>
      <c r="M1136" s="283">
        <f>IF(ISBLANK(INDEX('Policy Characteristics'!G:G,MATCH($C1136,'Policy Characteristics'!$C:$C,0))),"",INDEX('Policy Characteristics'!G:G,MATCH($C1136,'Policy Characteristics'!$C:$C,0)))</f>
        <v>0.25</v>
      </c>
      <c r="N1136" s="283">
        <f>IF(ISBLANK(INDEX('Policy Characteristics'!H:H,MATCH($C1136,'Policy Characteristics'!$C:$C,0))),"",INDEX('Policy Characteristics'!H:H,MATCH($C1136,'Policy Characteristics'!$C:$C,0)))</f>
        <v>0.01</v>
      </c>
      <c r="O1136" s="275" t="str">
        <f>IF(ISBLANK(INDEX('Policy Characteristics'!I:I,MATCH($C1136,'Policy Characteristics'!$C:$C,0))),"",INDEX('Policy Characteristics'!I:I,MATCH($C1136,'Policy Characteristics'!$C:$C,0)))</f>
        <v>% reduction in energy use</v>
      </c>
      <c r="P1136" s="275" t="str">
        <f>IF(ISBLANK(INDEX('Policy Characteristics'!J:J,MATCH($C1136,'Policy Characteristics'!$C:$C,0))),"",INDEX('Policy Characteristics'!J:J,MATCH($C1136,'Policy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6" s="275" t="str">
        <f>IF(ISBLANK(INDEX('Policy Characteristics'!K:K,MATCH($C1136,'Policy Characteristics'!$C:$C,0))),"",INDEX('Policy Characteristics'!K:K,MATCH($C1136,'Policy Characteristics'!$C:$C,0)))</f>
        <v>industry-ag-main.html#eff-stds</v>
      </c>
      <c r="R1136" s="275" t="str">
        <f>IF(ISBLANK(INDEX('Policy Characteristics'!L:L,MATCH($C1136,'Policy Characteristics'!$C:$C,0))),"",INDEX('Policy Characteristics'!L:L,MATCH($C1136,'Policy Characteristics'!$C:$C,0)))</f>
        <v>industry-energy-efficiency-standards.html</v>
      </c>
    </row>
    <row r="1137" spans="1:18" s="4" customFormat="1" x14ac:dyDescent="0.25">
      <c r="A1137" s="275" t="str">
        <f>IF(ISBLANK(INDEX('Policy Characteristics'!A:A,MATCH($C1137,'Policy Characteristics'!$C:$C,0))),"",INDEX('Policy Characteristics'!A:A,MATCH($C1137,'Policy Characteristics'!$C:$C,0)))</f>
        <v>Industry</v>
      </c>
      <c r="B1137" s="284" t="str">
        <f>IF(ISBLANK(INDEX('Policy Characteristics'!B:B,MATCH($C1137,'Policy Characteristics'!$C:$C,0))),"",INDEX('Policy Characteristics'!B:B,MATCH($C1137,'Policy Characteristics'!$C:$C,0)))</f>
        <v>Industry Energy Efficiency Standards</v>
      </c>
      <c r="C1137" s="275" t="str">
        <f t="shared" si="43"/>
        <v>Percentage Improvement in Eqpt Efficiency Standards above BAU</v>
      </c>
      <c r="D1137" s="6" t="s">
        <v>3086</v>
      </c>
      <c r="E1137" s="47" t="s">
        <v>2405</v>
      </c>
      <c r="F1137" t="s">
        <v>3048</v>
      </c>
      <c r="G1137" s="47" t="s">
        <v>2409</v>
      </c>
      <c r="H1137" s="44">
        <v>1122</v>
      </c>
      <c r="I1137" s="346" t="s">
        <v>43</v>
      </c>
      <c r="J1137" s="276" t="str">
        <f>IF(ISBLANK(INDEX('Policy Characteristics'!D:D,MATCH($C1137,'Policy Characteristics'!$C:$C,0))),"",INDEX('Policy Characteristics'!D:D,MATCH($C1137,'Policy Characteristics'!$C:$C,0)))</f>
        <v>Industry Energy Efficiency Standards</v>
      </c>
      <c r="K1137" s="275" t="str">
        <f>IF(ISBLANK(INDEX('Policy Characteristics'!E:E,MATCH($C1137,'Policy Characteristics'!$C:$C,0))),"",INDEX('Policy Characteristics'!E:E,MATCH($C1137,'Policy Characteristics'!$C:$C,0)))</f>
        <v>indst efficiency standards</v>
      </c>
      <c r="L1137" s="283">
        <f>IF(ISBLANK(INDEX('Policy Characteristics'!F:F,MATCH($C1137,'Policy Characteristics'!$C:$C,0))),"",INDEX('Policy Characteristics'!F:F,MATCH($C1137,'Policy Characteristics'!$C:$C,0)))</f>
        <v>0</v>
      </c>
      <c r="M1137" s="283">
        <f>IF(ISBLANK(INDEX('Policy Characteristics'!G:G,MATCH($C1137,'Policy Characteristics'!$C:$C,0))),"",INDEX('Policy Characteristics'!G:G,MATCH($C1137,'Policy Characteristics'!$C:$C,0)))</f>
        <v>0.25</v>
      </c>
      <c r="N1137" s="283">
        <f>IF(ISBLANK(INDEX('Policy Characteristics'!H:H,MATCH($C1137,'Policy Characteristics'!$C:$C,0))),"",INDEX('Policy Characteristics'!H:H,MATCH($C1137,'Policy Characteristics'!$C:$C,0)))</f>
        <v>0.01</v>
      </c>
      <c r="O1137" s="275" t="str">
        <f>IF(ISBLANK(INDEX('Policy Characteristics'!I:I,MATCH($C1137,'Policy Characteristics'!$C:$C,0))),"",INDEX('Policy Characteristics'!I:I,MATCH($C1137,'Policy Characteristics'!$C:$C,0)))</f>
        <v>% reduction in energy use</v>
      </c>
      <c r="P1137" s="275" t="str">
        <f>IF(ISBLANK(INDEX('Policy Characteristics'!J:J,MATCH($C1137,'Policy Characteristics'!$C:$C,0))),"",INDEX('Policy Characteristics'!J:J,MATCH($C1137,'Policy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7" s="275" t="str">
        <f>IF(ISBLANK(INDEX('Policy Characteristics'!K:K,MATCH($C1137,'Policy Characteristics'!$C:$C,0))),"",INDEX('Policy Characteristics'!K:K,MATCH($C1137,'Policy Characteristics'!$C:$C,0)))</f>
        <v>industry-ag-main.html#eff-stds</v>
      </c>
      <c r="R1137" s="275" t="str">
        <f>IF(ISBLANK(INDEX('Policy Characteristics'!L:L,MATCH($C1137,'Policy Characteristics'!$C:$C,0))),"",INDEX('Policy Characteristics'!L:L,MATCH($C1137,'Policy Characteristics'!$C:$C,0)))</f>
        <v>industry-energy-efficiency-standards.html</v>
      </c>
    </row>
    <row r="1138" spans="1:18" s="4" customFormat="1" x14ac:dyDescent="0.25">
      <c r="A1138" s="275" t="str">
        <f>IF(ISBLANK(INDEX('Policy Characteristics'!A:A,MATCH($C1138,'Policy Characteristics'!$C:$C,0))),"",INDEX('Policy Characteristics'!A:A,MATCH($C1138,'Policy Characteristics'!$C:$C,0)))</f>
        <v>Industry</v>
      </c>
      <c r="B1138" s="284" t="str">
        <f>IF(ISBLANK(INDEX('Policy Characteristics'!B:B,MATCH($C1138,'Policy Characteristics'!$C:$C,0))),"",INDEX('Policy Characteristics'!B:B,MATCH($C1138,'Policy Characteristics'!$C:$C,0)))</f>
        <v>Industry Energy Efficiency Standards</v>
      </c>
      <c r="C1138" s="275" t="str">
        <f t="shared" si="43"/>
        <v>Percentage Improvement in Eqpt Efficiency Standards above BAU</v>
      </c>
      <c r="D1138" s="6" t="s">
        <v>3086</v>
      </c>
      <c r="E1138" s="47" t="s">
        <v>2406</v>
      </c>
      <c r="F1138" t="s">
        <v>3048</v>
      </c>
      <c r="G1138" s="47" t="s">
        <v>2412</v>
      </c>
      <c r="H1138" s="44">
        <v>1123</v>
      </c>
      <c r="I1138" s="346" t="s">
        <v>44</v>
      </c>
      <c r="J1138" s="276" t="str">
        <f>IF(ISBLANK(INDEX('Policy Characteristics'!D:D,MATCH($C1138,'Policy Characteristics'!$C:$C,0))),"",INDEX('Policy Characteristics'!D:D,MATCH($C1138,'Policy Characteristics'!$C:$C,0)))</f>
        <v>Industry Energy Efficiency Standards</v>
      </c>
      <c r="K1138" s="275" t="str">
        <f>IF(ISBLANK(INDEX('Policy Characteristics'!E:E,MATCH($C1138,'Policy Characteristics'!$C:$C,0))),"",INDEX('Policy Characteristics'!E:E,MATCH($C1138,'Policy Characteristics'!$C:$C,0)))</f>
        <v>indst efficiency standards</v>
      </c>
      <c r="L1138" s="283">
        <f>IF(ISBLANK(INDEX('Policy Characteristics'!F:F,MATCH($C1138,'Policy Characteristics'!$C:$C,0))),"",INDEX('Policy Characteristics'!F:F,MATCH($C1138,'Policy Characteristics'!$C:$C,0)))</f>
        <v>0</v>
      </c>
      <c r="M1138" s="283">
        <f>IF(ISBLANK(INDEX('Policy Characteristics'!G:G,MATCH($C1138,'Policy Characteristics'!$C:$C,0))),"",INDEX('Policy Characteristics'!G:G,MATCH($C1138,'Policy Characteristics'!$C:$C,0)))</f>
        <v>0.25</v>
      </c>
      <c r="N1138" s="283">
        <f>IF(ISBLANK(INDEX('Policy Characteristics'!H:H,MATCH($C1138,'Policy Characteristics'!$C:$C,0))),"",INDEX('Policy Characteristics'!H:H,MATCH($C1138,'Policy Characteristics'!$C:$C,0)))</f>
        <v>0.01</v>
      </c>
      <c r="O1138" s="275" t="str">
        <f>IF(ISBLANK(INDEX('Policy Characteristics'!I:I,MATCH($C1138,'Policy Characteristics'!$C:$C,0))),"",INDEX('Policy Characteristics'!I:I,MATCH($C1138,'Policy Characteristics'!$C:$C,0)))</f>
        <v>% reduction in energy use</v>
      </c>
      <c r="P1138" s="275" t="str">
        <f>IF(ISBLANK(INDEX('Policy Characteristics'!J:J,MATCH($C1138,'Policy Characteristics'!$C:$C,0))),"",INDEX('Policy Characteristics'!J:J,MATCH($C1138,'Policy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8" s="275" t="str">
        <f>IF(ISBLANK(INDEX('Policy Characteristics'!K:K,MATCH($C1138,'Policy Characteristics'!$C:$C,0))),"",INDEX('Policy Characteristics'!K:K,MATCH($C1138,'Policy Characteristics'!$C:$C,0)))</f>
        <v>industry-ag-main.html#eff-stds</v>
      </c>
      <c r="R1138" s="275" t="str">
        <f>IF(ISBLANK(INDEX('Policy Characteristics'!L:L,MATCH($C1138,'Policy Characteristics'!$C:$C,0))),"",INDEX('Policy Characteristics'!L:L,MATCH($C1138,'Policy Characteristics'!$C:$C,0)))</f>
        <v>industry-energy-efficiency-standards.html</v>
      </c>
    </row>
    <row r="1139" spans="1:18" s="4" customFormat="1" x14ac:dyDescent="0.25">
      <c r="A1139" s="275" t="str">
        <f>IF(ISBLANK(INDEX('Policy Characteristics'!A:A,MATCH($C1139,'Policy Characteristics'!$C:$C,0))),"",INDEX('Policy Characteristics'!A:A,MATCH($C1139,'Policy Characteristics'!$C:$C,0)))</f>
        <v>Industry</v>
      </c>
      <c r="B1139" s="284" t="str">
        <f>IF(ISBLANK(INDEX('Policy Characteristics'!B:B,MATCH($C1139,'Policy Characteristics'!$C:$C,0))),"",INDEX('Policy Characteristics'!B:B,MATCH($C1139,'Policy Characteristics'!$C:$C,0)))</f>
        <v>Industry Energy Efficiency Standards</v>
      </c>
      <c r="C1139" s="275" t="str">
        <f t="shared" si="43"/>
        <v>Percentage Improvement in Eqpt Efficiency Standards above BAU</v>
      </c>
      <c r="D1139" s="6" t="s">
        <v>3086</v>
      </c>
      <c r="E1139" s="47" t="s">
        <v>2709</v>
      </c>
      <c r="F1139" t="s">
        <v>3048</v>
      </c>
      <c r="G1139" s="47" t="s">
        <v>2712</v>
      </c>
      <c r="H1139" s="44">
        <v>1124</v>
      </c>
      <c r="I1139" s="346" t="s">
        <v>44</v>
      </c>
      <c r="J1139" s="276" t="str">
        <f>IF(ISBLANK(INDEX('Policy Characteristics'!D:D,MATCH($C1139,'Policy Characteristics'!$C:$C,0))),"",INDEX('Policy Characteristics'!D:D,MATCH($C1139,'Policy Characteristics'!$C:$C,0)))</f>
        <v>Industry Energy Efficiency Standards</v>
      </c>
      <c r="K1139" s="275" t="str">
        <f>IF(ISBLANK(INDEX('Policy Characteristics'!E:E,MATCH($C1139,'Policy Characteristics'!$C:$C,0))),"",INDEX('Policy Characteristics'!E:E,MATCH($C1139,'Policy Characteristics'!$C:$C,0)))</f>
        <v>indst efficiency standards</v>
      </c>
      <c r="L1139" s="283">
        <f>IF(ISBLANK(INDEX('Policy Characteristics'!F:F,MATCH($C1139,'Policy Characteristics'!$C:$C,0))),"",INDEX('Policy Characteristics'!F:F,MATCH($C1139,'Policy Characteristics'!$C:$C,0)))</f>
        <v>0</v>
      </c>
      <c r="M1139" s="283">
        <f>IF(ISBLANK(INDEX('Policy Characteristics'!G:G,MATCH($C1139,'Policy Characteristics'!$C:$C,0))),"",INDEX('Policy Characteristics'!G:G,MATCH($C1139,'Policy Characteristics'!$C:$C,0)))</f>
        <v>0.25</v>
      </c>
      <c r="N1139" s="283">
        <f>IF(ISBLANK(INDEX('Policy Characteristics'!H:H,MATCH($C1139,'Policy Characteristics'!$C:$C,0))),"",INDEX('Policy Characteristics'!H:H,MATCH($C1139,'Policy Characteristics'!$C:$C,0)))</f>
        <v>0.01</v>
      </c>
      <c r="O1139" s="275" t="str">
        <f>IF(ISBLANK(INDEX('Policy Characteristics'!I:I,MATCH($C1139,'Policy Characteristics'!$C:$C,0))),"",INDEX('Policy Characteristics'!I:I,MATCH($C1139,'Policy Characteristics'!$C:$C,0)))</f>
        <v>% reduction in energy use</v>
      </c>
      <c r="P1139" s="275" t="str">
        <f>IF(ISBLANK(INDEX('Policy Characteristics'!J:J,MATCH($C1139,'Policy Characteristics'!$C:$C,0))),"",INDEX('Policy Characteristics'!J:J,MATCH($C1139,'Policy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9" s="275" t="str">
        <f>IF(ISBLANK(INDEX('Policy Characteristics'!K:K,MATCH($C1139,'Policy Characteristics'!$C:$C,0))),"",INDEX('Policy Characteristics'!K:K,MATCH($C1139,'Policy Characteristics'!$C:$C,0)))</f>
        <v>industry-ag-main.html#eff-stds</v>
      </c>
      <c r="R1139" s="275" t="str">
        <f>IF(ISBLANK(INDEX('Policy Characteristics'!L:L,MATCH($C1139,'Policy Characteristics'!$C:$C,0))),"",INDEX('Policy Characteristics'!L:L,MATCH($C1139,'Policy Characteristics'!$C:$C,0)))</f>
        <v>industry-energy-efficiency-standards.html</v>
      </c>
    </row>
    <row r="1140" spans="1:18" s="4" customFormat="1" x14ac:dyDescent="0.25">
      <c r="A1140" s="275" t="str">
        <f>IF(ISBLANK(INDEX('Policy Characteristics'!A:A,MATCH($C1140,'Policy Characteristics'!$C:$C,0))),"",INDEX('Policy Characteristics'!A:A,MATCH($C1140,'Policy Characteristics'!$C:$C,0)))</f>
        <v>Industry</v>
      </c>
      <c r="B1140" s="284" t="str">
        <f>IF(ISBLANK(INDEX('Policy Characteristics'!B:B,MATCH($C1140,'Policy Characteristics'!$C:$C,0))),"",INDEX('Policy Characteristics'!B:B,MATCH($C1140,'Policy Characteristics'!$C:$C,0)))</f>
        <v>Industry Energy Efficiency Standards</v>
      </c>
      <c r="C1140" s="275" t="str">
        <f t="shared" si="43"/>
        <v>Percentage Improvement in Eqpt Efficiency Standards above BAU</v>
      </c>
      <c r="D1140" s="6" t="s">
        <v>3086</v>
      </c>
      <c r="E1140" s="47" t="s">
        <v>2710</v>
      </c>
      <c r="F1140" t="s">
        <v>3048</v>
      </c>
      <c r="G1140" s="47" t="s">
        <v>2714</v>
      </c>
      <c r="H1140" s="44">
        <v>1125</v>
      </c>
      <c r="I1140" s="346" t="s">
        <v>44</v>
      </c>
      <c r="J1140" s="276" t="str">
        <f>IF(ISBLANK(INDEX('Policy Characteristics'!D:D,MATCH($C1140,'Policy Characteristics'!$C:$C,0))),"",INDEX('Policy Characteristics'!D:D,MATCH($C1140,'Policy Characteristics'!$C:$C,0)))</f>
        <v>Industry Energy Efficiency Standards</v>
      </c>
      <c r="K1140" s="275" t="str">
        <f>IF(ISBLANK(INDEX('Policy Characteristics'!E:E,MATCH($C1140,'Policy Characteristics'!$C:$C,0))),"",INDEX('Policy Characteristics'!E:E,MATCH($C1140,'Policy Characteristics'!$C:$C,0)))</f>
        <v>indst efficiency standards</v>
      </c>
      <c r="L1140" s="283">
        <f>IF(ISBLANK(INDEX('Policy Characteristics'!F:F,MATCH($C1140,'Policy Characteristics'!$C:$C,0))),"",INDEX('Policy Characteristics'!F:F,MATCH($C1140,'Policy Characteristics'!$C:$C,0)))</f>
        <v>0</v>
      </c>
      <c r="M1140" s="283">
        <f>IF(ISBLANK(INDEX('Policy Characteristics'!G:G,MATCH($C1140,'Policy Characteristics'!$C:$C,0))),"",INDEX('Policy Characteristics'!G:G,MATCH($C1140,'Policy Characteristics'!$C:$C,0)))</f>
        <v>0.25</v>
      </c>
      <c r="N1140" s="283">
        <f>IF(ISBLANK(INDEX('Policy Characteristics'!H:H,MATCH($C1140,'Policy Characteristics'!$C:$C,0))),"",INDEX('Policy Characteristics'!H:H,MATCH($C1140,'Policy Characteristics'!$C:$C,0)))</f>
        <v>0.01</v>
      </c>
      <c r="O1140" s="275" t="str">
        <f>IF(ISBLANK(INDEX('Policy Characteristics'!I:I,MATCH($C1140,'Policy Characteristics'!$C:$C,0))),"",INDEX('Policy Characteristics'!I:I,MATCH($C1140,'Policy Characteristics'!$C:$C,0)))</f>
        <v>% reduction in energy use</v>
      </c>
      <c r="P1140" s="275" t="str">
        <f>IF(ISBLANK(INDEX('Policy Characteristics'!J:J,MATCH($C1140,'Policy Characteristics'!$C:$C,0))),"",INDEX('Policy Characteristics'!J:J,MATCH($C1140,'Policy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0" s="275" t="str">
        <f>IF(ISBLANK(INDEX('Policy Characteristics'!K:K,MATCH($C1140,'Policy Characteristics'!$C:$C,0))),"",INDEX('Policy Characteristics'!K:K,MATCH($C1140,'Policy Characteristics'!$C:$C,0)))</f>
        <v>industry-ag-main.html#eff-stds</v>
      </c>
      <c r="R1140" s="275" t="str">
        <f>IF(ISBLANK(INDEX('Policy Characteristics'!L:L,MATCH($C1140,'Policy Characteristics'!$C:$C,0))),"",INDEX('Policy Characteristics'!L:L,MATCH($C1140,'Policy Characteristics'!$C:$C,0)))</f>
        <v>industry-energy-efficiency-standards.html</v>
      </c>
    </row>
    <row r="1141" spans="1:18" s="4" customFormat="1" x14ac:dyDescent="0.25">
      <c r="A1141" s="275" t="str">
        <f>IF(ISBLANK(INDEX('Policy Characteristics'!A:A,MATCH($C1141,'Policy Characteristics'!$C:$C,0))),"",INDEX('Policy Characteristics'!A:A,MATCH($C1141,'Policy Characteristics'!$C:$C,0)))</f>
        <v>Industry</v>
      </c>
      <c r="B1141" s="284" t="str">
        <f>IF(ISBLANK(INDEX('Policy Characteristics'!B:B,MATCH($C1141,'Policy Characteristics'!$C:$C,0))),"",INDEX('Policy Characteristics'!B:B,MATCH($C1141,'Policy Characteristics'!$C:$C,0)))</f>
        <v>Industry Energy Efficiency Standards</v>
      </c>
      <c r="C1141" s="275" t="str">
        <f t="shared" si="43"/>
        <v>Percentage Improvement in Eqpt Efficiency Standards above BAU</v>
      </c>
      <c r="D1141" s="6" t="s">
        <v>3086</v>
      </c>
      <c r="E1141" s="47" t="s">
        <v>2711</v>
      </c>
      <c r="F1141" t="s">
        <v>3048</v>
      </c>
      <c r="G1141" s="47" t="s">
        <v>2715</v>
      </c>
      <c r="H1141" s="44">
        <v>1126</v>
      </c>
      <c r="I1141" s="346" t="s">
        <v>43</v>
      </c>
      <c r="J1141" s="276" t="str">
        <f>IF(ISBLANK(INDEX('Policy Characteristics'!D:D,MATCH($C1141,'Policy Characteristics'!$C:$C,0))),"",INDEX('Policy Characteristics'!D:D,MATCH($C1141,'Policy Characteristics'!$C:$C,0)))</f>
        <v>Industry Energy Efficiency Standards</v>
      </c>
      <c r="K1141" s="275" t="str">
        <f>IF(ISBLANK(INDEX('Policy Characteristics'!E:E,MATCH($C1141,'Policy Characteristics'!$C:$C,0))),"",INDEX('Policy Characteristics'!E:E,MATCH($C1141,'Policy Characteristics'!$C:$C,0)))</f>
        <v>indst efficiency standards</v>
      </c>
      <c r="L1141" s="283">
        <f>IF(ISBLANK(INDEX('Policy Characteristics'!F:F,MATCH($C1141,'Policy Characteristics'!$C:$C,0))),"",INDEX('Policy Characteristics'!F:F,MATCH($C1141,'Policy Characteristics'!$C:$C,0)))</f>
        <v>0</v>
      </c>
      <c r="M1141" s="283">
        <f>IF(ISBLANK(INDEX('Policy Characteristics'!G:G,MATCH($C1141,'Policy Characteristics'!$C:$C,0))),"",INDEX('Policy Characteristics'!G:G,MATCH($C1141,'Policy Characteristics'!$C:$C,0)))</f>
        <v>0.25</v>
      </c>
      <c r="N1141" s="283">
        <f>IF(ISBLANK(INDEX('Policy Characteristics'!H:H,MATCH($C1141,'Policy Characteristics'!$C:$C,0))),"",INDEX('Policy Characteristics'!H:H,MATCH($C1141,'Policy Characteristics'!$C:$C,0)))</f>
        <v>0.01</v>
      </c>
      <c r="O1141" s="275" t="str">
        <f>IF(ISBLANK(INDEX('Policy Characteristics'!I:I,MATCH($C1141,'Policy Characteristics'!$C:$C,0))),"",INDEX('Policy Characteristics'!I:I,MATCH($C1141,'Policy Characteristics'!$C:$C,0)))</f>
        <v>% reduction in energy use</v>
      </c>
      <c r="P1141" s="275" t="str">
        <f>IF(ISBLANK(INDEX('Policy Characteristics'!J:J,MATCH($C1141,'Policy Characteristics'!$C:$C,0))),"",INDEX('Policy Characteristics'!J:J,MATCH($C1141,'Policy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1" s="275" t="str">
        <f>IF(ISBLANK(INDEX('Policy Characteristics'!K:K,MATCH($C1141,'Policy Characteristics'!$C:$C,0))),"",INDEX('Policy Characteristics'!K:K,MATCH($C1141,'Policy Characteristics'!$C:$C,0)))</f>
        <v>industry-ag-main.html#eff-stds</v>
      </c>
      <c r="R1141" s="275" t="str">
        <f>IF(ISBLANK(INDEX('Policy Characteristics'!L:L,MATCH($C1141,'Policy Characteristics'!$C:$C,0))),"",INDEX('Policy Characteristics'!L:L,MATCH($C1141,'Policy Characteristics'!$C:$C,0)))</f>
        <v>industry-energy-efficiency-standards.html</v>
      </c>
    </row>
    <row r="1142" spans="1:18" s="4" customFormat="1" x14ac:dyDescent="0.25">
      <c r="A1142" s="275" t="str">
        <f>IF(ISBLANK(INDEX('Policy Characteristics'!A:A,MATCH($C1142,'Policy Characteristics'!$C:$C,0))),"",INDEX('Policy Characteristics'!A:A,MATCH($C1142,'Policy Characteristics'!$C:$C,0)))</f>
        <v>Industry</v>
      </c>
      <c r="B1142" s="284" t="str">
        <f>IF(ISBLANK(INDEX('Policy Characteristics'!B:B,MATCH($C1142,'Policy Characteristics'!$C:$C,0))),"",INDEX('Policy Characteristics'!B:B,MATCH($C1142,'Policy Characteristics'!$C:$C,0)))</f>
        <v>Industry Energy Efficiency Standards</v>
      </c>
      <c r="C1142" s="275" t="str">
        <f t="shared" si="43"/>
        <v>Percentage Improvement in Eqpt Efficiency Standards above BAU</v>
      </c>
      <c r="D1142" s="6" t="s">
        <v>3086</v>
      </c>
      <c r="E1142" s="47" t="s">
        <v>2708</v>
      </c>
      <c r="F1142" t="s">
        <v>3048</v>
      </c>
      <c r="G1142" s="47" t="s">
        <v>2713</v>
      </c>
      <c r="H1142" s="44">
        <v>1127</v>
      </c>
      <c r="I1142" s="346" t="s">
        <v>44</v>
      </c>
      <c r="J1142" s="276" t="str">
        <f>IF(ISBLANK(INDEX('Policy Characteristics'!D:D,MATCH($C1142,'Policy Characteristics'!$C:$C,0))),"",INDEX('Policy Characteristics'!D:D,MATCH($C1142,'Policy Characteristics'!$C:$C,0)))</f>
        <v>Industry Energy Efficiency Standards</v>
      </c>
      <c r="K1142" s="275" t="str">
        <f>IF(ISBLANK(INDEX('Policy Characteristics'!E:E,MATCH($C1142,'Policy Characteristics'!$C:$C,0))),"",INDEX('Policy Characteristics'!E:E,MATCH($C1142,'Policy Characteristics'!$C:$C,0)))</f>
        <v>indst efficiency standards</v>
      </c>
      <c r="L1142" s="283">
        <f>IF(ISBLANK(INDEX('Policy Characteristics'!F:F,MATCH($C1142,'Policy Characteristics'!$C:$C,0))),"",INDEX('Policy Characteristics'!F:F,MATCH($C1142,'Policy Characteristics'!$C:$C,0)))</f>
        <v>0</v>
      </c>
      <c r="M1142" s="283">
        <f>IF(ISBLANK(INDEX('Policy Characteristics'!G:G,MATCH($C1142,'Policy Characteristics'!$C:$C,0))),"",INDEX('Policy Characteristics'!G:G,MATCH($C1142,'Policy Characteristics'!$C:$C,0)))</f>
        <v>0.25</v>
      </c>
      <c r="N1142" s="283">
        <f>IF(ISBLANK(INDEX('Policy Characteristics'!H:H,MATCH($C1142,'Policy Characteristics'!$C:$C,0))),"",INDEX('Policy Characteristics'!H:H,MATCH($C1142,'Policy Characteristics'!$C:$C,0)))</f>
        <v>0.01</v>
      </c>
      <c r="O1142" s="275" t="str">
        <f>IF(ISBLANK(INDEX('Policy Characteristics'!I:I,MATCH($C1142,'Policy Characteristics'!$C:$C,0))),"",INDEX('Policy Characteristics'!I:I,MATCH($C1142,'Policy Characteristics'!$C:$C,0)))</f>
        <v>% reduction in energy use</v>
      </c>
      <c r="P1142" s="275" t="str">
        <f>IF(ISBLANK(INDEX('Policy Characteristics'!J:J,MATCH($C1142,'Policy Characteristics'!$C:$C,0))),"",INDEX('Policy Characteristics'!J:J,MATCH($C1142,'Policy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2" s="275" t="str">
        <f>IF(ISBLANK(INDEX('Policy Characteristics'!K:K,MATCH($C1142,'Policy Characteristics'!$C:$C,0))),"",INDEX('Policy Characteristics'!K:K,MATCH($C1142,'Policy Characteristics'!$C:$C,0)))</f>
        <v>industry-ag-main.html#eff-stds</v>
      </c>
      <c r="R1142" s="275" t="str">
        <f>IF(ISBLANK(INDEX('Policy Characteristics'!L:L,MATCH($C1142,'Policy Characteristics'!$C:$C,0))),"",INDEX('Policy Characteristics'!L:L,MATCH($C1142,'Policy Characteristics'!$C:$C,0)))</f>
        <v>industry-energy-efficiency-standards.html</v>
      </c>
    </row>
    <row r="1143" spans="1:18" s="4" customFormat="1" x14ac:dyDescent="0.25">
      <c r="A1143" s="275" t="str">
        <f>IF(ISBLANK(INDEX('Policy Characteristics'!A:A,MATCH($C1143,'Policy Characteristics'!$C:$C,0))),"",INDEX('Policy Characteristics'!A:A,MATCH($C1143,'Policy Characteristics'!$C:$C,0)))</f>
        <v>Industry</v>
      </c>
      <c r="B1143" s="284" t="str">
        <f>IF(ISBLANK(INDEX('Policy Characteristics'!B:B,MATCH($C1143,'Policy Characteristics'!$C:$C,0))),"",INDEX('Policy Characteristics'!B:B,MATCH($C1143,'Policy Characteristics'!$C:$C,0)))</f>
        <v>Industry Energy Efficiency Standards</v>
      </c>
      <c r="C1143" s="275" t="str">
        <f t="shared" si="43"/>
        <v>Percentage Improvement in Eqpt Efficiency Standards above BAU</v>
      </c>
      <c r="D1143" s="6" t="s">
        <v>3087</v>
      </c>
      <c r="E1143" s="47" t="s">
        <v>2401</v>
      </c>
      <c r="F1143" t="s">
        <v>3049</v>
      </c>
      <c r="G1143" s="47" t="s">
        <v>2407</v>
      </c>
      <c r="H1143" s="44">
        <v>1128</v>
      </c>
      <c r="I1143" s="346" t="s">
        <v>43</v>
      </c>
      <c r="J1143" s="276" t="str">
        <f>IF(ISBLANK(INDEX('Policy Characteristics'!D:D,MATCH($C1143,'Policy Characteristics'!$C:$C,0))),"",INDEX('Policy Characteristics'!D:D,MATCH($C1143,'Policy Characteristics'!$C:$C,0)))</f>
        <v>Industry Energy Efficiency Standards</v>
      </c>
      <c r="K1143" s="275" t="str">
        <f>IF(ISBLANK(INDEX('Policy Characteristics'!E:E,MATCH($C1143,'Policy Characteristics'!$C:$C,0))),"",INDEX('Policy Characteristics'!E:E,MATCH($C1143,'Policy Characteristics'!$C:$C,0)))</f>
        <v>indst efficiency standards</v>
      </c>
      <c r="L1143" s="283">
        <f>IF(ISBLANK(INDEX('Policy Characteristics'!F:F,MATCH($C1143,'Policy Characteristics'!$C:$C,0))),"",INDEX('Policy Characteristics'!F:F,MATCH($C1143,'Policy Characteristics'!$C:$C,0)))</f>
        <v>0</v>
      </c>
      <c r="M1143" s="283">
        <f>IF(ISBLANK(INDEX('Policy Characteristics'!G:G,MATCH($C1143,'Policy Characteristics'!$C:$C,0))),"",INDEX('Policy Characteristics'!G:G,MATCH($C1143,'Policy Characteristics'!$C:$C,0)))</f>
        <v>0.25</v>
      </c>
      <c r="N1143" s="283">
        <f>IF(ISBLANK(INDEX('Policy Characteristics'!H:H,MATCH($C1143,'Policy Characteristics'!$C:$C,0))),"",INDEX('Policy Characteristics'!H:H,MATCH($C1143,'Policy Characteristics'!$C:$C,0)))</f>
        <v>0.01</v>
      </c>
      <c r="O1143" s="275" t="str">
        <f>IF(ISBLANK(INDEX('Policy Characteristics'!I:I,MATCH($C1143,'Policy Characteristics'!$C:$C,0))),"",INDEX('Policy Characteristics'!I:I,MATCH($C1143,'Policy Characteristics'!$C:$C,0)))</f>
        <v>% reduction in energy use</v>
      </c>
      <c r="P1143" s="275" t="str">
        <f>IF(ISBLANK(INDEX('Policy Characteristics'!J:J,MATCH($C1143,'Policy Characteristics'!$C:$C,0))),"",INDEX('Policy Characteristics'!J:J,MATCH($C1143,'Policy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3" s="275" t="str">
        <f>IF(ISBLANK(INDEX('Policy Characteristics'!K:K,MATCH($C1143,'Policy Characteristics'!$C:$C,0))),"",INDEX('Policy Characteristics'!K:K,MATCH($C1143,'Policy Characteristics'!$C:$C,0)))</f>
        <v>industry-ag-main.html#eff-stds</v>
      </c>
      <c r="R1143" s="275" t="str">
        <f>IF(ISBLANK(INDEX('Policy Characteristics'!L:L,MATCH($C1143,'Policy Characteristics'!$C:$C,0))),"",INDEX('Policy Characteristics'!L:L,MATCH($C1143,'Policy Characteristics'!$C:$C,0)))</f>
        <v>industry-energy-efficiency-standards.html</v>
      </c>
    </row>
    <row r="1144" spans="1:18" s="4" customFormat="1" x14ac:dyDescent="0.25">
      <c r="A1144" s="275" t="str">
        <f>IF(ISBLANK(INDEX('Policy Characteristics'!A:A,MATCH($C1144,'Policy Characteristics'!$C:$C,0))),"",INDEX('Policy Characteristics'!A:A,MATCH($C1144,'Policy Characteristics'!$C:$C,0)))</f>
        <v>Industry</v>
      </c>
      <c r="B1144" s="284" t="str">
        <f>IF(ISBLANK(INDEX('Policy Characteristics'!B:B,MATCH($C1144,'Policy Characteristics'!$C:$C,0))),"",INDEX('Policy Characteristics'!B:B,MATCH($C1144,'Policy Characteristics'!$C:$C,0)))</f>
        <v>Industry Energy Efficiency Standards</v>
      </c>
      <c r="C1144" s="275" t="str">
        <f t="shared" si="43"/>
        <v>Percentage Improvement in Eqpt Efficiency Standards above BAU</v>
      </c>
      <c r="D1144" s="6" t="s">
        <v>3087</v>
      </c>
      <c r="E1144" s="47" t="s">
        <v>2402</v>
      </c>
      <c r="F1144" t="s">
        <v>3049</v>
      </c>
      <c r="G1144" s="47" t="s">
        <v>2410</v>
      </c>
      <c r="H1144" s="44">
        <v>1129</v>
      </c>
      <c r="I1144" s="346" t="s">
        <v>44</v>
      </c>
      <c r="J1144" s="276" t="str">
        <f>IF(ISBLANK(INDEX('Policy Characteristics'!D:D,MATCH($C1144,'Policy Characteristics'!$C:$C,0))),"",INDEX('Policy Characteristics'!D:D,MATCH($C1144,'Policy Characteristics'!$C:$C,0)))</f>
        <v>Industry Energy Efficiency Standards</v>
      </c>
      <c r="K1144" s="275" t="str">
        <f>IF(ISBLANK(INDEX('Policy Characteristics'!E:E,MATCH($C1144,'Policy Characteristics'!$C:$C,0))),"",INDEX('Policy Characteristics'!E:E,MATCH($C1144,'Policy Characteristics'!$C:$C,0)))</f>
        <v>indst efficiency standards</v>
      </c>
      <c r="L1144" s="283">
        <f>IF(ISBLANK(INDEX('Policy Characteristics'!F:F,MATCH($C1144,'Policy Characteristics'!$C:$C,0))),"",INDEX('Policy Characteristics'!F:F,MATCH($C1144,'Policy Characteristics'!$C:$C,0)))</f>
        <v>0</v>
      </c>
      <c r="M1144" s="283">
        <f>IF(ISBLANK(INDEX('Policy Characteristics'!G:G,MATCH($C1144,'Policy Characteristics'!$C:$C,0))),"",INDEX('Policy Characteristics'!G:G,MATCH($C1144,'Policy Characteristics'!$C:$C,0)))</f>
        <v>0.25</v>
      </c>
      <c r="N1144" s="283">
        <f>IF(ISBLANK(INDEX('Policy Characteristics'!H:H,MATCH($C1144,'Policy Characteristics'!$C:$C,0))),"",INDEX('Policy Characteristics'!H:H,MATCH($C1144,'Policy Characteristics'!$C:$C,0)))</f>
        <v>0.01</v>
      </c>
      <c r="O1144" s="275" t="str">
        <f>IF(ISBLANK(INDEX('Policy Characteristics'!I:I,MATCH($C1144,'Policy Characteristics'!$C:$C,0))),"",INDEX('Policy Characteristics'!I:I,MATCH($C1144,'Policy Characteristics'!$C:$C,0)))</f>
        <v>% reduction in energy use</v>
      </c>
      <c r="P1144" s="275" t="str">
        <f>IF(ISBLANK(INDEX('Policy Characteristics'!J:J,MATCH($C1144,'Policy Characteristics'!$C:$C,0))),"",INDEX('Policy Characteristics'!J:J,MATCH($C1144,'Policy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4" s="275" t="str">
        <f>IF(ISBLANK(INDEX('Policy Characteristics'!K:K,MATCH($C1144,'Policy Characteristics'!$C:$C,0))),"",INDEX('Policy Characteristics'!K:K,MATCH($C1144,'Policy Characteristics'!$C:$C,0)))</f>
        <v>industry-ag-main.html#eff-stds</v>
      </c>
      <c r="R1144" s="275" t="str">
        <f>IF(ISBLANK(INDEX('Policy Characteristics'!L:L,MATCH($C1144,'Policy Characteristics'!$C:$C,0))),"",INDEX('Policy Characteristics'!L:L,MATCH($C1144,'Policy Characteristics'!$C:$C,0)))</f>
        <v>industry-energy-efficiency-standards.html</v>
      </c>
    </row>
    <row r="1145" spans="1:18" s="4" customFormat="1" x14ac:dyDescent="0.25">
      <c r="A1145" s="275" t="str">
        <f>IF(ISBLANK(INDEX('Policy Characteristics'!A:A,MATCH($C1145,'Policy Characteristics'!$C:$C,0))),"",INDEX('Policy Characteristics'!A:A,MATCH($C1145,'Policy Characteristics'!$C:$C,0)))</f>
        <v>Industry</v>
      </c>
      <c r="B1145" s="284" t="str">
        <f>IF(ISBLANK(INDEX('Policy Characteristics'!B:B,MATCH($C1145,'Policy Characteristics'!$C:$C,0))),"",INDEX('Policy Characteristics'!B:B,MATCH($C1145,'Policy Characteristics'!$C:$C,0)))</f>
        <v>Industry Energy Efficiency Standards</v>
      </c>
      <c r="C1145" s="275" t="str">
        <f t="shared" si="43"/>
        <v>Percentage Improvement in Eqpt Efficiency Standards above BAU</v>
      </c>
      <c r="D1145" s="6" t="s">
        <v>3087</v>
      </c>
      <c r="E1145" s="47" t="s">
        <v>2403</v>
      </c>
      <c r="F1145" t="s">
        <v>3049</v>
      </c>
      <c r="G1145" s="47" t="s">
        <v>2411</v>
      </c>
      <c r="H1145" s="44">
        <v>1130</v>
      </c>
      <c r="I1145" s="346" t="s">
        <v>43</v>
      </c>
      <c r="J1145" s="276" t="str">
        <f>IF(ISBLANK(INDEX('Policy Characteristics'!D:D,MATCH($C1145,'Policy Characteristics'!$C:$C,0))),"",INDEX('Policy Characteristics'!D:D,MATCH($C1145,'Policy Characteristics'!$C:$C,0)))</f>
        <v>Industry Energy Efficiency Standards</v>
      </c>
      <c r="K1145" s="275" t="str">
        <f>IF(ISBLANK(INDEX('Policy Characteristics'!E:E,MATCH($C1145,'Policy Characteristics'!$C:$C,0))),"",INDEX('Policy Characteristics'!E:E,MATCH($C1145,'Policy Characteristics'!$C:$C,0)))</f>
        <v>indst efficiency standards</v>
      </c>
      <c r="L1145" s="283">
        <f>IF(ISBLANK(INDEX('Policy Characteristics'!F:F,MATCH($C1145,'Policy Characteristics'!$C:$C,0))),"",INDEX('Policy Characteristics'!F:F,MATCH($C1145,'Policy Characteristics'!$C:$C,0)))</f>
        <v>0</v>
      </c>
      <c r="M1145" s="283">
        <f>IF(ISBLANK(INDEX('Policy Characteristics'!G:G,MATCH($C1145,'Policy Characteristics'!$C:$C,0))),"",INDEX('Policy Characteristics'!G:G,MATCH($C1145,'Policy Characteristics'!$C:$C,0)))</f>
        <v>0.25</v>
      </c>
      <c r="N1145" s="283">
        <f>IF(ISBLANK(INDEX('Policy Characteristics'!H:H,MATCH($C1145,'Policy Characteristics'!$C:$C,0))),"",INDEX('Policy Characteristics'!H:H,MATCH($C1145,'Policy Characteristics'!$C:$C,0)))</f>
        <v>0.01</v>
      </c>
      <c r="O1145" s="275" t="str">
        <f>IF(ISBLANK(INDEX('Policy Characteristics'!I:I,MATCH($C1145,'Policy Characteristics'!$C:$C,0))),"",INDEX('Policy Characteristics'!I:I,MATCH($C1145,'Policy Characteristics'!$C:$C,0)))</f>
        <v>% reduction in energy use</v>
      </c>
      <c r="P1145" s="275" t="str">
        <f>IF(ISBLANK(INDEX('Policy Characteristics'!J:J,MATCH($C1145,'Policy Characteristics'!$C:$C,0))),"",INDEX('Policy Characteristics'!J:J,MATCH($C1145,'Policy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5" s="275" t="str">
        <f>IF(ISBLANK(INDEX('Policy Characteristics'!K:K,MATCH($C1145,'Policy Characteristics'!$C:$C,0))),"",INDEX('Policy Characteristics'!K:K,MATCH($C1145,'Policy Characteristics'!$C:$C,0)))</f>
        <v>industry-ag-main.html#eff-stds</v>
      </c>
      <c r="R1145" s="275" t="str">
        <f>IF(ISBLANK(INDEX('Policy Characteristics'!L:L,MATCH($C1145,'Policy Characteristics'!$C:$C,0))),"",INDEX('Policy Characteristics'!L:L,MATCH($C1145,'Policy Characteristics'!$C:$C,0)))</f>
        <v>industry-energy-efficiency-standards.html</v>
      </c>
    </row>
    <row r="1146" spans="1:18" s="4" customFormat="1" x14ac:dyDescent="0.25">
      <c r="A1146" s="275" t="str">
        <f>IF(ISBLANK(INDEX('Policy Characteristics'!A:A,MATCH($C1146,'Policy Characteristics'!$C:$C,0))),"",INDEX('Policy Characteristics'!A:A,MATCH($C1146,'Policy Characteristics'!$C:$C,0)))</f>
        <v>Industry</v>
      </c>
      <c r="B1146" s="284" t="str">
        <f>IF(ISBLANK(INDEX('Policy Characteristics'!B:B,MATCH($C1146,'Policy Characteristics'!$C:$C,0))),"",INDEX('Policy Characteristics'!B:B,MATCH($C1146,'Policy Characteristics'!$C:$C,0)))</f>
        <v>Industry Energy Efficiency Standards</v>
      </c>
      <c r="C1146" s="275" t="str">
        <f t="shared" si="43"/>
        <v>Percentage Improvement in Eqpt Efficiency Standards above BAU</v>
      </c>
      <c r="D1146" s="6" t="s">
        <v>3087</v>
      </c>
      <c r="E1146" s="47" t="s">
        <v>2404</v>
      </c>
      <c r="F1146" t="s">
        <v>3049</v>
      </c>
      <c r="G1146" s="47" t="s">
        <v>2408</v>
      </c>
      <c r="H1146" s="44">
        <v>1131</v>
      </c>
      <c r="I1146" s="346" t="s">
        <v>44</v>
      </c>
      <c r="J1146" s="276" t="str">
        <f>IF(ISBLANK(INDEX('Policy Characteristics'!D:D,MATCH($C1146,'Policy Characteristics'!$C:$C,0))),"",INDEX('Policy Characteristics'!D:D,MATCH($C1146,'Policy Characteristics'!$C:$C,0)))</f>
        <v>Industry Energy Efficiency Standards</v>
      </c>
      <c r="K1146" s="275" t="str">
        <f>IF(ISBLANK(INDEX('Policy Characteristics'!E:E,MATCH($C1146,'Policy Characteristics'!$C:$C,0))),"",INDEX('Policy Characteristics'!E:E,MATCH($C1146,'Policy Characteristics'!$C:$C,0)))</f>
        <v>indst efficiency standards</v>
      </c>
      <c r="L1146" s="283">
        <f>IF(ISBLANK(INDEX('Policy Characteristics'!F:F,MATCH($C1146,'Policy Characteristics'!$C:$C,0))),"",INDEX('Policy Characteristics'!F:F,MATCH($C1146,'Policy Characteristics'!$C:$C,0)))</f>
        <v>0</v>
      </c>
      <c r="M1146" s="283">
        <f>IF(ISBLANK(INDEX('Policy Characteristics'!G:G,MATCH($C1146,'Policy Characteristics'!$C:$C,0))),"",INDEX('Policy Characteristics'!G:G,MATCH($C1146,'Policy Characteristics'!$C:$C,0)))</f>
        <v>0.25</v>
      </c>
      <c r="N1146" s="283">
        <f>IF(ISBLANK(INDEX('Policy Characteristics'!H:H,MATCH($C1146,'Policy Characteristics'!$C:$C,0))),"",INDEX('Policy Characteristics'!H:H,MATCH($C1146,'Policy Characteristics'!$C:$C,0)))</f>
        <v>0.01</v>
      </c>
      <c r="O1146" s="275" t="str">
        <f>IF(ISBLANK(INDEX('Policy Characteristics'!I:I,MATCH($C1146,'Policy Characteristics'!$C:$C,0))),"",INDEX('Policy Characteristics'!I:I,MATCH($C1146,'Policy Characteristics'!$C:$C,0)))</f>
        <v>% reduction in energy use</v>
      </c>
      <c r="P1146" s="275" t="str">
        <f>IF(ISBLANK(INDEX('Policy Characteristics'!J:J,MATCH($C1146,'Policy Characteristics'!$C:$C,0))),"",INDEX('Policy Characteristics'!J:J,MATCH($C1146,'Policy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6" s="275" t="str">
        <f>IF(ISBLANK(INDEX('Policy Characteristics'!K:K,MATCH($C1146,'Policy Characteristics'!$C:$C,0))),"",INDEX('Policy Characteristics'!K:K,MATCH($C1146,'Policy Characteristics'!$C:$C,0)))</f>
        <v>industry-ag-main.html#eff-stds</v>
      </c>
      <c r="R1146" s="275" t="str">
        <f>IF(ISBLANK(INDEX('Policy Characteristics'!L:L,MATCH($C1146,'Policy Characteristics'!$C:$C,0))),"",INDEX('Policy Characteristics'!L:L,MATCH($C1146,'Policy Characteristics'!$C:$C,0)))</f>
        <v>industry-energy-efficiency-standards.html</v>
      </c>
    </row>
    <row r="1147" spans="1:18" s="4" customFormat="1" x14ac:dyDescent="0.25">
      <c r="A1147" s="275" t="str">
        <f>IF(ISBLANK(INDEX('Policy Characteristics'!A:A,MATCH($C1147,'Policy Characteristics'!$C:$C,0))),"",INDEX('Policy Characteristics'!A:A,MATCH($C1147,'Policy Characteristics'!$C:$C,0)))</f>
        <v>Industry</v>
      </c>
      <c r="B1147" s="284" t="str">
        <f>IF(ISBLANK(INDEX('Policy Characteristics'!B:B,MATCH($C1147,'Policy Characteristics'!$C:$C,0))),"",INDEX('Policy Characteristics'!B:B,MATCH($C1147,'Policy Characteristics'!$C:$C,0)))</f>
        <v>Industry Energy Efficiency Standards</v>
      </c>
      <c r="C1147" s="275" t="str">
        <f t="shared" si="43"/>
        <v>Percentage Improvement in Eqpt Efficiency Standards above BAU</v>
      </c>
      <c r="D1147" s="6" t="s">
        <v>3087</v>
      </c>
      <c r="E1147" s="47" t="s">
        <v>2405</v>
      </c>
      <c r="F1147" t="s">
        <v>3049</v>
      </c>
      <c r="G1147" s="47" t="s">
        <v>2409</v>
      </c>
      <c r="H1147" s="44">
        <v>1132</v>
      </c>
      <c r="I1147" s="346" t="s">
        <v>43</v>
      </c>
      <c r="J1147" s="276" t="str">
        <f>IF(ISBLANK(INDEX('Policy Characteristics'!D:D,MATCH($C1147,'Policy Characteristics'!$C:$C,0))),"",INDEX('Policy Characteristics'!D:D,MATCH($C1147,'Policy Characteristics'!$C:$C,0)))</f>
        <v>Industry Energy Efficiency Standards</v>
      </c>
      <c r="K1147" s="275" t="str">
        <f>IF(ISBLANK(INDEX('Policy Characteristics'!E:E,MATCH($C1147,'Policy Characteristics'!$C:$C,0))),"",INDEX('Policy Characteristics'!E:E,MATCH($C1147,'Policy Characteristics'!$C:$C,0)))</f>
        <v>indst efficiency standards</v>
      </c>
      <c r="L1147" s="283">
        <f>IF(ISBLANK(INDEX('Policy Characteristics'!F:F,MATCH($C1147,'Policy Characteristics'!$C:$C,0))),"",INDEX('Policy Characteristics'!F:F,MATCH($C1147,'Policy Characteristics'!$C:$C,0)))</f>
        <v>0</v>
      </c>
      <c r="M1147" s="283">
        <f>IF(ISBLANK(INDEX('Policy Characteristics'!G:G,MATCH($C1147,'Policy Characteristics'!$C:$C,0))),"",INDEX('Policy Characteristics'!G:G,MATCH($C1147,'Policy Characteristics'!$C:$C,0)))</f>
        <v>0.25</v>
      </c>
      <c r="N1147" s="283">
        <f>IF(ISBLANK(INDEX('Policy Characteristics'!H:H,MATCH($C1147,'Policy Characteristics'!$C:$C,0))),"",INDEX('Policy Characteristics'!H:H,MATCH($C1147,'Policy Characteristics'!$C:$C,0)))</f>
        <v>0.01</v>
      </c>
      <c r="O1147" s="275" t="str">
        <f>IF(ISBLANK(INDEX('Policy Characteristics'!I:I,MATCH($C1147,'Policy Characteristics'!$C:$C,0))),"",INDEX('Policy Characteristics'!I:I,MATCH($C1147,'Policy Characteristics'!$C:$C,0)))</f>
        <v>% reduction in energy use</v>
      </c>
      <c r="P1147" s="275" t="str">
        <f>IF(ISBLANK(INDEX('Policy Characteristics'!J:J,MATCH($C1147,'Policy Characteristics'!$C:$C,0))),"",INDEX('Policy Characteristics'!J:J,MATCH($C1147,'Policy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7" s="275" t="str">
        <f>IF(ISBLANK(INDEX('Policy Characteristics'!K:K,MATCH($C1147,'Policy Characteristics'!$C:$C,0))),"",INDEX('Policy Characteristics'!K:K,MATCH($C1147,'Policy Characteristics'!$C:$C,0)))</f>
        <v>industry-ag-main.html#eff-stds</v>
      </c>
      <c r="R1147" s="275" t="str">
        <f>IF(ISBLANK(INDEX('Policy Characteristics'!L:L,MATCH($C1147,'Policy Characteristics'!$C:$C,0))),"",INDEX('Policy Characteristics'!L:L,MATCH($C1147,'Policy Characteristics'!$C:$C,0)))</f>
        <v>industry-energy-efficiency-standards.html</v>
      </c>
    </row>
    <row r="1148" spans="1:18" s="4" customFormat="1" x14ac:dyDescent="0.25">
      <c r="A1148" s="275" t="str">
        <f>IF(ISBLANK(INDEX('Policy Characteristics'!A:A,MATCH($C1148,'Policy Characteristics'!$C:$C,0))),"",INDEX('Policy Characteristics'!A:A,MATCH($C1148,'Policy Characteristics'!$C:$C,0)))</f>
        <v>Industry</v>
      </c>
      <c r="B1148" s="284" t="str">
        <f>IF(ISBLANK(INDEX('Policy Characteristics'!B:B,MATCH($C1148,'Policy Characteristics'!$C:$C,0))),"",INDEX('Policy Characteristics'!B:B,MATCH($C1148,'Policy Characteristics'!$C:$C,0)))</f>
        <v>Industry Energy Efficiency Standards</v>
      </c>
      <c r="C1148" s="275" t="str">
        <f t="shared" si="43"/>
        <v>Percentage Improvement in Eqpt Efficiency Standards above BAU</v>
      </c>
      <c r="D1148" s="6" t="s">
        <v>3087</v>
      </c>
      <c r="E1148" s="47" t="s">
        <v>2406</v>
      </c>
      <c r="F1148" t="s">
        <v>3049</v>
      </c>
      <c r="G1148" s="47" t="s">
        <v>2412</v>
      </c>
      <c r="H1148" s="44">
        <v>1133</v>
      </c>
      <c r="I1148" s="346" t="s">
        <v>44</v>
      </c>
      <c r="J1148" s="276" t="str">
        <f>IF(ISBLANK(INDEX('Policy Characteristics'!D:D,MATCH($C1148,'Policy Characteristics'!$C:$C,0))),"",INDEX('Policy Characteristics'!D:D,MATCH($C1148,'Policy Characteristics'!$C:$C,0)))</f>
        <v>Industry Energy Efficiency Standards</v>
      </c>
      <c r="K1148" s="275" t="str">
        <f>IF(ISBLANK(INDEX('Policy Characteristics'!E:E,MATCH($C1148,'Policy Characteristics'!$C:$C,0))),"",INDEX('Policy Characteristics'!E:E,MATCH($C1148,'Policy Characteristics'!$C:$C,0)))</f>
        <v>indst efficiency standards</v>
      </c>
      <c r="L1148" s="283">
        <f>IF(ISBLANK(INDEX('Policy Characteristics'!F:F,MATCH($C1148,'Policy Characteristics'!$C:$C,0))),"",INDEX('Policy Characteristics'!F:F,MATCH($C1148,'Policy Characteristics'!$C:$C,0)))</f>
        <v>0</v>
      </c>
      <c r="M1148" s="283">
        <f>IF(ISBLANK(INDEX('Policy Characteristics'!G:G,MATCH($C1148,'Policy Characteristics'!$C:$C,0))),"",INDEX('Policy Characteristics'!G:G,MATCH($C1148,'Policy Characteristics'!$C:$C,0)))</f>
        <v>0.25</v>
      </c>
      <c r="N1148" s="283">
        <f>IF(ISBLANK(INDEX('Policy Characteristics'!H:H,MATCH($C1148,'Policy Characteristics'!$C:$C,0))),"",INDEX('Policy Characteristics'!H:H,MATCH($C1148,'Policy Characteristics'!$C:$C,0)))</f>
        <v>0.01</v>
      </c>
      <c r="O1148" s="275" t="str">
        <f>IF(ISBLANK(INDEX('Policy Characteristics'!I:I,MATCH($C1148,'Policy Characteristics'!$C:$C,0))),"",INDEX('Policy Characteristics'!I:I,MATCH($C1148,'Policy Characteristics'!$C:$C,0)))</f>
        <v>% reduction in energy use</v>
      </c>
      <c r="P1148" s="275" t="str">
        <f>IF(ISBLANK(INDEX('Policy Characteristics'!J:J,MATCH($C1148,'Policy Characteristics'!$C:$C,0))),"",INDEX('Policy Characteristics'!J:J,MATCH($C1148,'Policy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8" s="275" t="str">
        <f>IF(ISBLANK(INDEX('Policy Characteristics'!K:K,MATCH($C1148,'Policy Characteristics'!$C:$C,0))),"",INDEX('Policy Characteristics'!K:K,MATCH($C1148,'Policy Characteristics'!$C:$C,0)))</f>
        <v>industry-ag-main.html#eff-stds</v>
      </c>
      <c r="R1148" s="275" t="str">
        <f>IF(ISBLANK(INDEX('Policy Characteristics'!L:L,MATCH($C1148,'Policy Characteristics'!$C:$C,0))),"",INDEX('Policy Characteristics'!L:L,MATCH($C1148,'Policy Characteristics'!$C:$C,0)))</f>
        <v>industry-energy-efficiency-standards.html</v>
      </c>
    </row>
    <row r="1149" spans="1:18" s="4" customFormat="1" x14ac:dyDescent="0.25">
      <c r="A1149" s="275" t="str">
        <f>IF(ISBLANK(INDEX('Policy Characteristics'!A:A,MATCH($C1149,'Policy Characteristics'!$C:$C,0))),"",INDEX('Policy Characteristics'!A:A,MATCH($C1149,'Policy Characteristics'!$C:$C,0)))</f>
        <v>Industry</v>
      </c>
      <c r="B1149" s="284" t="str">
        <f>IF(ISBLANK(INDEX('Policy Characteristics'!B:B,MATCH($C1149,'Policy Characteristics'!$C:$C,0))),"",INDEX('Policy Characteristics'!B:B,MATCH($C1149,'Policy Characteristics'!$C:$C,0)))</f>
        <v>Industry Energy Efficiency Standards</v>
      </c>
      <c r="C1149" s="275" t="str">
        <f t="shared" si="43"/>
        <v>Percentage Improvement in Eqpt Efficiency Standards above BAU</v>
      </c>
      <c r="D1149" s="6" t="s">
        <v>3087</v>
      </c>
      <c r="E1149" s="47" t="s">
        <v>2709</v>
      </c>
      <c r="F1149" t="s">
        <v>3049</v>
      </c>
      <c r="G1149" s="47" t="s">
        <v>2712</v>
      </c>
      <c r="H1149" s="44">
        <v>1134</v>
      </c>
      <c r="I1149" s="346" t="s">
        <v>44</v>
      </c>
      <c r="J1149" s="276" t="str">
        <f>IF(ISBLANK(INDEX('Policy Characteristics'!D:D,MATCH($C1149,'Policy Characteristics'!$C:$C,0))),"",INDEX('Policy Characteristics'!D:D,MATCH($C1149,'Policy Characteristics'!$C:$C,0)))</f>
        <v>Industry Energy Efficiency Standards</v>
      </c>
      <c r="K1149" s="275" t="str">
        <f>IF(ISBLANK(INDEX('Policy Characteristics'!E:E,MATCH($C1149,'Policy Characteristics'!$C:$C,0))),"",INDEX('Policy Characteristics'!E:E,MATCH($C1149,'Policy Characteristics'!$C:$C,0)))</f>
        <v>indst efficiency standards</v>
      </c>
      <c r="L1149" s="283">
        <f>IF(ISBLANK(INDEX('Policy Characteristics'!F:F,MATCH($C1149,'Policy Characteristics'!$C:$C,0))),"",INDEX('Policy Characteristics'!F:F,MATCH($C1149,'Policy Characteristics'!$C:$C,0)))</f>
        <v>0</v>
      </c>
      <c r="M1149" s="283">
        <f>IF(ISBLANK(INDEX('Policy Characteristics'!G:G,MATCH($C1149,'Policy Characteristics'!$C:$C,0))),"",INDEX('Policy Characteristics'!G:G,MATCH($C1149,'Policy Characteristics'!$C:$C,0)))</f>
        <v>0.25</v>
      </c>
      <c r="N1149" s="283">
        <f>IF(ISBLANK(INDEX('Policy Characteristics'!H:H,MATCH($C1149,'Policy Characteristics'!$C:$C,0))),"",INDEX('Policy Characteristics'!H:H,MATCH($C1149,'Policy Characteristics'!$C:$C,0)))</f>
        <v>0.01</v>
      </c>
      <c r="O1149" s="275" t="str">
        <f>IF(ISBLANK(INDEX('Policy Characteristics'!I:I,MATCH($C1149,'Policy Characteristics'!$C:$C,0))),"",INDEX('Policy Characteristics'!I:I,MATCH($C1149,'Policy Characteristics'!$C:$C,0)))</f>
        <v>% reduction in energy use</v>
      </c>
      <c r="P1149" s="275" t="str">
        <f>IF(ISBLANK(INDEX('Policy Characteristics'!J:J,MATCH($C1149,'Policy Characteristics'!$C:$C,0))),"",INDEX('Policy Characteristics'!J:J,MATCH($C1149,'Policy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9" s="275" t="str">
        <f>IF(ISBLANK(INDEX('Policy Characteristics'!K:K,MATCH($C1149,'Policy Characteristics'!$C:$C,0))),"",INDEX('Policy Characteristics'!K:K,MATCH($C1149,'Policy Characteristics'!$C:$C,0)))</f>
        <v>industry-ag-main.html#eff-stds</v>
      </c>
      <c r="R1149" s="275" t="str">
        <f>IF(ISBLANK(INDEX('Policy Characteristics'!L:L,MATCH($C1149,'Policy Characteristics'!$C:$C,0))),"",INDEX('Policy Characteristics'!L:L,MATCH($C1149,'Policy Characteristics'!$C:$C,0)))</f>
        <v>industry-energy-efficiency-standards.html</v>
      </c>
    </row>
    <row r="1150" spans="1:18" s="4" customFormat="1" x14ac:dyDescent="0.25">
      <c r="A1150" s="275" t="str">
        <f>IF(ISBLANK(INDEX('Policy Characteristics'!A:A,MATCH($C1150,'Policy Characteristics'!$C:$C,0))),"",INDEX('Policy Characteristics'!A:A,MATCH($C1150,'Policy Characteristics'!$C:$C,0)))</f>
        <v>Industry</v>
      </c>
      <c r="B1150" s="284" t="str">
        <f>IF(ISBLANK(INDEX('Policy Characteristics'!B:B,MATCH($C1150,'Policy Characteristics'!$C:$C,0))),"",INDEX('Policy Characteristics'!B:B,MATCH($C1150,'Policy Characteristics'!$C:$C,0)))</f>
        <v>Industry Energy Efficiency Standards</v>
      </c>
      <c r="C1150" s="275" t="str">
        <f t="shared" si="43"/>
        <v>Percentage Improvement in Eqpt Efficiency Standards above BAU</v>
      </c>
      <c r="D1150" s="6" t="s">
        <v>3087</v>
      </c>
      <c r="E1150" s="47" t="s">
        <v>2710</v>
      </c>
      <c r="F1150" t="s">
        <v>3049</v>
      </c>
      <c r="G1150" s="47" t="s">
        <v>2714</v>
      </c>
      <c r="H1150" s="44">
        <v>1135</v>
      </c>
      <c r="I1150" s="346" t="s">
        <v>44</v>
      </c>
      <c r="J1150" s="276" t="str">
        <f>IF(ISBLANK(INDEX('Policy Characteristics'!D:D,MATCH($C1150,'Policy Characteristics'!$C:$C,0))),"",INDEX('Policy Characteristics'!D:D,MATCH($C1150,'Policy Characteristics'!$C:$C,0)))</f>
        <v>Industry Energy Efficiency Standards</v>
      </c>
      <c r="K1150" s="275" t="str">
        <f>IF(ISBLANK(INDEX('Policy Characteristics'!E:E,MATCH($C1150,'Policy Characteristics'!$C:$C,0))),"",INDEX('Policy Characteristics'!E:E,MATCH($C1150,'Policy Characteristics'!$C:$C,0)))</f>
        <v>indst efficiency standards</v>
      </c>
      <c r="L1150" s="283">
        <f>IF(ISBLANK(INDEX('Policy Characteristics'!F:F,MATCH($C1150,'Policy Characteristics'!$C:$C,0))),"",INDEX('Policy Characteristics'!F:F,MATCH($C1150,'Policy Characteristics'!$C:$C,0)))</f>
        <v>0</v>
      </c>
      <c r="M1150" s="283">
        <f>IF(ISBLANK(INDEX('Policy Characteristics'!G:G,MATCH($C1150,'Policy Characteristics'!$C:$C,0))),"",INDEX('Policy Characteristics'!G:G,MATCH($C1150,'Policy Characteristics'!$C:$C,0)))</f>
        <v>0.25</v>
      </c>
      <c r="N1150" s="283">
        <f>IF(ISBLANK(INDEX('Policy Characteristics'!H:H,MATCH($C1150,'Policy Characteristics'!$C:$C,0))),"",INDEX('Policy Characteristics'!H:H,MATCH($C1150,'Policy Characteristics'!$C:$C,0)))</f>
        <v>0.01</v>
      </c>
      <c r="O1150" s="275" t="str">
        <f>IF(ISBLANK(INDEX('Policy Characteristics'!I:I,MATCH($C1150,'Policy Characteristics'!$C:$C,0))),"",INDEX('Policy Characteristics'!I:I,MATCH($C1150,'Policy Characteristics'!$C:$C,0)))</f>
        <v>% reduction in energy use</v>
      </c>
      <c r="P1150" s="275" t="str">
        <f>IF(ISBLANK(INDEX('Policy Characteristics'!J:J,MATCH($C1150,'Policy Characteristics'!$C:$C,0))),"",INDEX('Policy Characteristics'!J:J,MATCH($C1150,'Policy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0" s="275" t="str">
        <f>IF(ISBLANK(INDEX('Policy Characteristics'!K:K,MATCH($C1150,'Policy Characteristics'!$C:$C,0))),"",INDEX('Policy Characteristics'!K:K,MATCH($C1150,'Policy Characteristics'!$C:$C,0)))</f>
        <v>industry-ag-main.html#eff-stds</v>
      </c>
      <c r="R1150" s="275" t="str">
        <f>IF(ISBLANK(INDEX('Policy Characteristics'!L:L,MATCH($C1150,'Policy Characteristics'!$C:$C,0))),"",INDEX('Policy Characteristics'!L:L,MATCH($C1150,'Policy Characteristics'!$C:$C,0)))</f>
        <v>industry-energy-efficiency-standards.html</v>
      </c>
    </row>
    <row r="1151" spans="1:18" s="4" customFormat="1" x14ac:dyDescent="0.25">
      <c r="A1151" s="275" t="str">
        <f>IF(ISBLANK(INDEX('Policy Characteristics'!A:A,MATCH($C1151,'Policy Characteristics'!$C:$C,0))),"",INDEX('Policy Characteristics'!A:A,MATCH($C1151,'Policy Characteristics'!$C:$C,0)))</f>
        <v>Industry</v>
      </c>
      <c r="B1151" s="284" t="str">
        <f>IF(ISBLANK(INDEX('Policy Characteristics'!B:B,MATCH($C1151,'Policy Characteristics'!$C:$C,0))),"",INDEX('Policy Characteristics'!B:B,MATCH($C1151,'Policy Characteristics'!$C:$C,0)))</f>
        <v>Industry Energy Efficiency Standards</v>
      </c>
      <c r="C1151" s="275" t="str">
        <f t="shared" si="43"/>
        <v>Percentage Improvement in Eqpt Efficiency Standards above BAU</v>
      </c>
      <c r="D1151" s="6" t="s">
        <v>3087</v>
      </c>
      <c r="E1151" s="47" t="s">
        <v>2711</v>
      </c>
      <c r="F1151" t="s">
        <v>3049</v>
      </c>
      <c r="G1151" s="47" t="s">
        <v>2715</v>
      </c>
      <c r="H1151" s="44">
        <v>1136</v>
      </c>
      <c r="I1151" s="346" t="s">
        <v>43</v>
      </c>
      <c r="J1151" s="276" t="str">
        <f>IF(ISBLANK(INDEX('Policy Characteristics'!D:D,MATCH($C1151,'Policy Characteristics'!$C:$C,0))),"",INDEX('Policy Characteristics'!D:D,MATCH($C1151,'Policy Characteristics'!$C:$C,0)))</f>
        <v>Industry Energy Efficiency Standards</v>
      </c>
      <c r="K1151" s="275" t="str">
        <f>IF(ISBLANK(INDEX('Policy Characteristics'!E:E,MATCH($C1151,'Policy Characteristics'!$C:$C,0))),"",INDEX('Policy Characteristics'!E:E,MATCH($C1151,'Policy Characteristics'!$C:$C,0)))</f>
        <v>indst efficiency standards</v>
      </c>
      <c r="L1151" s="283">
        <f>IF(ISBLANK(INDEX('Policy Characteristics'!F:F,MATCH($C1151,'Policy Characteristics'!$C:$C,0))),"",INDEX('Policy Characteristics'!F:F,MATCH($C1151,'Policy Characteristics'!$C:$C,0)))</f>
        <v>0</v>
      </c>
      <c r="M1151" s="283">
        <f>IF(ISBLANK(INDEX('Policy Characteristics'!G:G,MATCH($C1151,'Policy Characteristics'!$C:$C,0))),"",INDEX('Policy Characteristics'!G:G,MATCH($C1151,'Policy Characteristics'!$C:$C,0)))</f>
        <v>0.25</v>
      </c>
      <c r="N1151" s="283">
        <f>IF(ISBLANK(INDEX('Policy Characteristics'!H:H,MATCH($C1151,'Policy Characteristics'!$C:$C,0))),"",INDEX('Policy Characteristics'!H:H,MATCH($C1151,'Policy Characteristics'!$C:$C,0)))</f>
        <v>0.01</v>
      </c>
      <c r="O1151" s="275" t="str">
        <f>IF(ISBLANK(INDEX('Policy Characteristics'!I:I,MATCH($C1151,'Policy Characteristics'!$C:$C,0))),"",INDEX('Policy Characteristics'!I:I,MATCH($C1151,'Policy Characteristics'!$C:$C,0)))</f>
        <v>% reduction in energy use</v>
      </c>
      <c r="P1151" s="275" t="str">
        <f>IF(ISBLANK(INDEX('Policy Characteristics'!J:J,MATCH($C1151,'Policy Characteristics'!$C:$C,0))),"",INDEX('Policy Characteristics'!J:J,MATCH($C1151,'Policy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1" s="275" t="str">
        <f>IF(ISBLANK(INDEX('Policy Characteristics'!K:K,MATCH($C1151,'Policy Characteristics'!$C:$C,0))),"",INDEX('Policy Characteristics'!K:K,MATCH($C1151,'Policy Characteristics'!$C:$C,0)))</f>
        <v>industry-ag-main.html#eff-stds</v>
      </c>
      <c r="R1151" s="275" t="str">
        <f>IF(ISBLANK(INDEX('Policy Characteristics'!L:L,MATCH($C1151,'Policy Characteristics'!$C:$C,0))),"",INDEX('Policy Characteristics'!L:L,MATCH($C1151,'Policy Characteristics'!$C:$C,0)))</f>
        <v>industry-energy-efficiency-standards.html</v>
      </c>
    </row>
    <row r="1152" spans="1:18" s="4" customFormat="1" x14ac:dyDescent="0.25">
      <c r="A1152" s="275" t="str">
        <f>IF(ISBLANK(INDEX('Policy Characteristics'!A:A,MATCH($C1152,'Policy Characteristics'!$C:$C,0))),"",INDEX('Policy Characteristics'!A:A,MATCH($C1152,'Policy Characteristics'!$C:$C,0)))</f>
        <v>Industry</v>
      </c>
      <c r="B1152" s="284" t="str">
        <f>IF(ISBLANK(INDEX('Policy Characteristics'!B:B,MATCH($C1152,'Policy Characteristics'!$C:$C,0))),"",INDEX('Policy Characteristics'!B:B,MATCH($C1152,'Policy Characteristics'!$C:$C,0)))</f>
        <v>Industry Energy Efficiency Standards</v>
      </c>
      <c r="C1152" s="275" t="str">
        <f t="shared" si="43"/>
        <v>Percentage Improvement in Eqpt Efficiency Standards above BAU</v>
      </c>
      <c r="D1152" s="6" t="s">
        <v>3087</v>
      </c>
      <c r="E1152" s="47" t="s">
        <v>2708</v>
      </c>
      <c r="F1152" t="s">
        <v>3049</v>
      </c>
      <c r="G1152" s="47" t="s">
        <v>2713</v>
      </c>
      <c r="H1152" s="44">
        <v>1137</v>
      </c>
      <c r="I1152" s="346" t="s">
        <v>44</v>
      </c>
      <c r="J1152" s="276" t="str">
        <f>IF(ISBLANK(INDEX('Policy Characteristics'!D:D,MATCH($C1152,'Policy Characteristics'!$C:$C,0))),"",INDEX('Policy Characteristics'!D:D,MATCH($C1152,'Policy Characteristics'!$C:$C,0)))</f>
        <v>Industry Energy Efficiency Standards</v>
      </c>
      <c r="K1152" s="275" t="str">
        <f>IF(ISBLANK(INDEX('Policy Characteristics'!E:E,MATCH($C1152,'Policy Characteristics'!$C:$C,0))),"",INDEX('Policy Characteristics'!E:E,MATCH($C1152,'Policy Characteristics'!$C:$C,0)))</f>
        <v>indst efficiency standards</v>
      </c>
      <c r="L1152" s="283">
        <f>IF(ISBLANK(INDEX('Policy Characteristics'!F:F,MATCH($C1152,'Policy Characteristics'!$C:$C,0))),"",INDEX('Policy Characteristics'!F:F,MATCH($C1152,'Policy Characteristics'!$C:$C,0)))</f>
        <v>0</v>
      </c>
      <c r="M1152" s="283">
        <f>IF(ISBLANK(INDEX('Policy Characteristics'!G:G,MATCH($C1152,'Policy Characteristics'!$C:$C,0))),"",INDEX('Policy Characteristics'!G:G,MATCH($C1152,'Policy Characteristics'!$C:$C,0)))</f>
        <v>0.25</v>
      </c>
      <c r="N1152" s="283">
        <f>IF(ISBLANK(INDEX('Policy Characteristics'!H:H,MATCH($C1152,'Policy Characteristics'!$C:$C,0))),"",INDEX('Policy Characteristics'!H:H,MATCH($C1152,'Policy Characteristics'!$C:$C,0)))</f>
        <v>0.01</v>
      </c>
      <c r="O1152" s="275" t="str">
        <f>IF(ISBLANK(INDEX('Policy Characteristics'!I:I,MATCH($C1152,'Policy Characteristics'!$C:$C,0))),"",INDEX('Policy Characteristics'!I:I,MATCH($C1152,'Policy Characteristics'!$C:$C,0)))</f>
        <v>% reduction in energy use</v>
      </c>
      <c r="P1152" s="275" t="str">
        <f>IF(ISBLANK(INDEX('Policy Characteristics'!J:J,MATCH($C1152,'Policy Characteristics'!$C:$C,0))),"",INDEX('Policy Characteristics'!J:J,MATCH($C1152,'Policy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2" s="275" t="str">
        <f>IF(ISBLANK(INDEX('Policy Characteristics'!K:K,MATCH($C1152,'Policy Characteristics'!$C:$C,0))),"",INDEX('Policy Characteristics'!K:K,MATCH($C1152,'Policy Characteristics'!$C:$C,0)))</f>
        <v>industry-ag-main.html#eff-stds</v>
      </c>
      <c r="R1152" s="275" t="str">
        <f>IF(ISBLANK(INDEX('Policy Characteristics'!L:L,MATCH($C1152,'Policy Characteristics'!$C:$C,0))),"",INDEX('Policy Characteristics'!L:L,MATCH($C1152,'Policy Characteristics'!$C:$C,0)))</f>
        <v>industry-energy-efficiency-standards.html</v>
      </c>
    </row>
    <row r="1153" spans="1:18" s="4" customFormat="1" x14ac:dyDescent="0.25">
      <c r="A1153" s="275" t="str">
        <f>IF(ISBLANK(INDEX('Policy Characteristics'!A:A,MATCH($C1153,'Policy Characteristics'!$C:$C,0))),"",INDEX('Policy Characteristics'!A:A,MATCH($C1153,'Policy Characteristics'!$C:$C,0)))</f>
        <v>Industry</v>
      </c>
      <c r="B1153" s="284" t="str">
        <f>IF(ISBLANK(INDEX('Policy Characteristics'!B:B,MATCH($C1153,'Policy Characteristics'!$C:$C,0))),"",INDEX('Policy Characteristics'!B:B,MATCH($C1153,'Policy Characteristics'!$C:$C,0)))</f>
        <v>Industry Energy Efficiency Standards</v>
      </c>
      <c r="C1153" s="275" t="str">
        <f t="shared" si="43"/>
        <v>Percentage Improvement in Eqpt Efficiency Standards above BAU</v>
      </c>
      <c r="D1153" s="6" t="s">
        <v>3088</v>
      </c>
      <c r="E1153" s="47" t="s">
        <v>2401</v>
      </c>
      <c r="F1153" t="s">
        <v>3050</v>
      </c>
      <c r="G1153" s="47" t="s">
        <v>2407</v>
      </c>
      <c r="H1153" s="44">
        <v>1138</v>
      </c>
      <c r="I1153" s="346" t="s">
        <v>43</v>
      </c>
      <c r="J1153" s="276" t="str">
        <f>IF(ISBLANK(INDEX('Policy Characteristics'!D:D,MATCH($C1153,'Policy Characteristics'!$C:$C,0))),"",INDEX('Policy Characteristics'!D:D,MATCH($C1153,'Policy Characteristics'!$C:$C,0)))</f>
        <v>Industry Energy Efficiency Standards</v>
      </c>
      <c r="K1153" s="275" t="str">
        <f>IF(ISBLANK(INDEX('Policy Characteristics'!E:E,MATCH($C1153,'Policy Characteristics'!$C:$C,0))),"",INDEX('Policy Characteristics'!E:E,MATCH($C1153,'Policy Characteristics'!$C:$C,0)))</f>
        <v>indst efficiency standards</v>
      </c>
      <c r="L1153" s="283">
        <f>IF(ISBLANK(INDEX('Policy Characteristics'!F:F,MATCH($C1153,'Policy Characteristics'!$C:$C,0))),"",INDEX('Policy Characteristics'!F:F,MATCH($C1153,'Policy Characteristics'!$C:$C,0)))</f>
        <v>0</v>
      </c>
      <c r="M1153" s="283">
        <f>IF(ISBLANK(INDEX('Policy Characteristics'!G:G,MATCH($C1153,'Policy Characteristics'!$C:$C,0))),"",INDEX('Policy Characteristics'!G:G,MATCH($C1153,'Policy Characteristics'!$C:$C,0)))</f>
        <v>0.25</v>
      </c>
      <c r="N1153" s="283">
        <f>IF(ISBLANK(INDEX('Policy Characteristics'!H:H,MATCH($C1153,'Policy Characteristics'!$C:$C,0))),"",INDEX('Policy Characteristics'!H:H,MATCH($C1153,'Policy Characteristics'!$C:$C,0)))</f>
        <v>0.01</v>
      </c>
      <c r="O1153" s="275" t="str">
        <f>IF(ISBLANK(INDEX('Policy Characteristics'!I:I,MATCH($C1153,'Policy Characteristics'!$C:$C,0))),"",INDEX('Policy Characteristics'!I:I,MATCH($C1153,'Policy Characteristics'!$C:$C,0)))</f>
        <v>% reduction in energy use</v>
      </c>
      <c r="P1153" s="275" t="str">
        <f>IF(ISBLANK(INDEX('Policy Characteristics'!J:J,MATCH($C1153,'Policy Characteristics'!$C:$C,0))),"",INDEX('Policy Characteristics'!J:J,MATCH($C1153,'Policy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3" s="275" t="str">
        <f>IF(ISBLANK(INDEX('Policy Characteristics'!K:K,MATCH($C1153,'Policy Characteristics'!$C:$C,0))),"",INDEX('Policy Characteristics'!K:K,MATCH($C1153,'Policy Characteristics'!$C:$C,0)))</f>
        <v>industry-ag-main.html#eff-stds</v>
      </c>
      <c r="R1153" s="275" t="str">
        <f>IF(ISBLANK(INDEX('Policy Characteristics'!L:L,MATCH($C1153,'Policy Characteristics'!$C:$C,0))),"",INDEX('Policy Characteristics'!L:L,MATCH($C1153,'Policy Characteristics'!$C:$C,0)))</f>
        <v>industry-energy-efficiency-standards.html</v>
      </c>
    </row>
    <row r="1154" spans="1:18" s="4" customFormat="1" x14ac:dyDescent="0.25">
      <c r="A1154" s="275" t="str">
        <f>IF(ISBLANK(INDEX('Policy Characteristics'!A:A,MATCH($C1154,'Policy Characteristics'!$C:$C,0))),"",INDEX('Policy Characteristics'!A:A,MATCH($C1154,'Policy Characteristics'!$C:$C,0)))</f>
        <v>Industry</v>
      </c>
      <c r="B1154" s="284" t="str">
        <f>IF(ISBLANK(INDEX('Policy Characteristics'!B:B,MATCH($C1154,'Policy Characteristics'!$C:$C,0))),"",INDEX('Policy Characteristics'!B:B,MATCH($C1154,'Policy Characteristics'!$C:$C,0)))</f>
        <v>Industry Energy Efficiency Standards</v>
      </c>
      <c r="C1154" s="275" t="str">
        <f t="shared" si="43"/>
        <v>Percentage Improvement in Eqpt Efficiency Standards above BAU</v>
      </c>
      <c r="D1154" s="6" t="s">
        <v>3088</v>
      </c>
      <c r="E1154" s="47" t="s">
        <v>2402</v>
      </c>
      <c r="F1154" t="s">
        <v>3050</v>
      </c>
      <c r="G1154" s="47" t="s">
        <v>2410</v>
      </c>
      <c r="H1154" s="44">
        <v>1139</v>
      </c>
      <c r="I1154" s="346" t="s">
        <v>43</v>
      </c>
      <c r="J1154" s="276" t="str">
        <f>IF(ISBLANK(INDEX('Policy Characteristics'!D:D,MATCH($C1154,'Policy Characteristics'!$C:$C,0))),"",INDEX('Policy Characteristics'!D:D,MATCH($C1154,'Policy Characteristics'!$C:$C,0)))</f>
        <v>Industry Energy Efficiency Standards</v>
      </c>
      <c r="K1154" s="275" t="str">
        <f>IF(ISBLANK(INDEX('Policy Characteristics'!E:E,MATCH($C1154,'Policy Characteristics'!$C:$C,0))),"",INDEX('Policy Characteristics'!E:E,MATCH($C1154,'Policy Characteristics'!$C:$C,0)))</f>
        <v>indst efficiency standards</v>
      </c>
      <c r="L1154" s="283">
        <f>IF(ISBLANK(INDEX('Policy Characteristics'!F:F,MATCH($C1154,'Policy Characteristics'!$C:$C,0))),"",INDEX('Policy Characteristics'!F:F,MATCH($C1154,'Policy Characteristics'!$C:$C,0)))</f>
        <v>0</v>
      </c>
      <c r="M1154" s="283">
        <f>IF(ISBLANK(INDEX('Policy Characteristics'!G:G,MATCH($C1154,'Policy Characteristics'!$C:$C,0))),"",INDEX('Policy Characteristics'!G:G,MATCH($C1154,'Policy Characteristics'!$C:$C,0)))</f>
        <v>0.25</v>
      </c>
      <c r="N1154" s="283">
        <f>IF(ISBLANK(INDEX('Policy Characteristics'!H:H,MATCH($C1154,'Policy Characteristics'!$C:$C,0))),"",INDEX('Policy Characteristics'!H:H,MATCH($C1154,'Policy Characteristics'!$C:$C,0)))</f>
        <v>0.01</v>
      </c>
      <c r="O1154" s="275" t="str">
        <f>IF(ISBLANK(INDEX('Policy Characteristics'!I:I,MATCH($C1154,'Policy Characteristics'!$C:$C,0))),"",INDEX('Policy Characteristics'!I:I,MATCH($C1154,'Policy Characteristics'!$C:$C,0)))</f>
        <v>% reduction in energy use</v>
      </c>
      <c r="P1154" s="275" t="str">
        <f>IF(ISBLANK(INDEX('Policy Characteristics'!J:J,MATCH($C1154,'Policy Characteristics'!$C:$C,0))),"",INDEX('Policy Characteristics'!J:J,MATCH($C1154,'Policy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4" s="275" t="str">
        <f>IF(ISBLANK(INDEX('Policy Characteristics'!K:K,MATCH($C1154,'Policy Characteristics'!$C:$C,0))),"",INDEX('Policy Characteristics'!K:K,MATCH($C1154,'Policy Characteristics'!$C:$C,0)))</f>
        <v>industry-ag-main.html#eff-stds</v>
      </c>
      <c r="R1154" s="275" t="str">
        <f>IF(ISBLANK(INDEX('Policy Characteristics'!L:L,MATCH($C1154,'Policy Characteristics'!$C:$C,0))),"",INDEX('Policy Characteristics'!L:L,MATCH($C1154,'Policy Characteristics'!$C:$C,0)))</f>
        <v>industry-energy-efficiency-standards.html</v>
      </c>
    </row>
    <row r="1155" spans="1:18" s="4" customFormat="1" x14ac:dyDescent="0.25">
      <c r="A1155" s="275" t="str">
        <f>IF(ISBLANK(INDEX('Policy Characteristics'!A:A,MATCH($C1155,'Policy Characteristics'!$C:$C,0))),"",INDEX('Policy Characteristics'!A:A,MATCH($C1155,'Policy Characteristics'!$C:$C,0)))</f>
        <v>Industry</v>
      </c>
      <c r="B1155" s="284" t="str">
        <f>IF(ISBLANK(INDEX('Policy Characteristics'!B:B,MATCH($C1155,'Policy Characteristics'!$C:$C,0))),"",INDEX('Policy Characteristics'!B:B,MATCH($C1155,'Policy Characteristics'!$C:$C,0)))</f>
        <v>Industry Energy Efficiency Standards</v>
      </c>
      <c r="C1155" s="275" t="str">
        <f t="shared" si="43"/>
        <v>Percentage Improvement in Eqpt Efficiency Standards above BAU</v>
      </c>
      <c r="D1155" s="6" t="s">
        <v>3088</v>
      </c>
      <c r="E1155" s="47" t="s">
        <v>2403</v>
      </c>
      <c r="F1155" t="s">
        <v>3050</v>
      </c>
      <c r="G1155" s="47" t="s">
        <v>2411</v>
      </c>
      <c r="H1155" s="44">
        <v>1140</v>
      </c>
      <c r="I1155" s="346" t="s">
        <v>43</v>
      </c>
      <c r="J1155" s="276" t="str">
        <f>IF(ISBLANK(INDEX('Policy Characteristics'!D:D,MATCH($C1155,'Policy Characteristics'!$C:$C,0))),"",INDEX('Policy Characteristics'!D:D,MATCH($C1155,'Policy Characteristics'!$C:$C,0)))</f>
        <v>Industry Energy Efficiency Standards</v>
      </c>
      <c r="K1155" s="275" t="str">
        <f>IF(ISBLANK(INDEX('Policy Characteristics'!E:E,MATCH($C1155,'Policy Characteristics'!$C:$C,0))),"",INDEX('Policy Characteristics'!E:E,MATCH($C1155,'Policy Characteristics'!$C:$C,0)))</f>
        <v>indst efficiency standards</v>
      </c>
      <c r="L1155" s="283">
        <f>IF(ISBLANK(INDEX('Policy Characteristics'!F:F,MATCH($C1155,'Policy Characteristics'!$C:$C,0))),"",INDEX('Policy Characteristics'!F:F,MATCH($C1155,'Policy Characteristics'!$C:$C,0)))</f>
        <v>0</v>
      </c>
      <c r="M1155" s="283">
        <f>IF(ISBLANK(INDEX('Policy Characteristics'!G:G,MATCH($C1155,'Policy Characteristics'!$C:$C,0))),"",INDEX('Policy Characteristics'!G:G,MATCH($C1155,'Policy Characteristics'!$C:$C,0)))</f>
        <v>0.25</v>
      </c>
      <c r="N1155" s="283">
        <f>IF(ISBLANK(INDEX('Policy Characteristics'!H:H,MATCH($C1155,'Policy Characteristics'!$C:$C,0))),"",INDEX('Policy Characteristics'!H:H,MATCH($C1155,'Policy Characteristics'!$C:$C,0)))</f>
        <v>0.01</v>
      </c>
      <c r="O1155" s="275" t="str">
        <f>IF(ISBLANK(INDEX('Policy Characteristics'!I:I,MATCH($C1155,'Policy Characteristics'!$C:$C,0))),"",INDEX('Policy Characteristics'!I:I,MATCH($C1155,'Policy Characteristics'!$C:$C,0)))</f>
        <v>% reduction in energy use</v>
      </c>
      <c r="P1155" s="275" t="str">
        <f>IF(ISBLANK(INDEX('Policy Characteristics'!J:J,MATCH($C1155,'Policy Characteristics'!$C:$C,0))),"",INDEX('Policy Characteristics'!J:J,MATCH($C1155,'Policy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5" s="275" t="str">
        <f>IF(ISBLANK(INDEX('Policy Characteristics'!K:K,MATCH($C1155,'Policy Characteristics'!$C:$C,0))),"",INDEX('Policy Characteristics'!K:K,MATCH($C1155,'Policy Characteristics'!$C:$C,0)))</f>
        <v>industry-ag-main.html#eff-stds</v>
      </c>
      <c r="R1155" s="275" t="str">
        <f>IF(ISBLANK(INDEX('Policy Characteristics'!L:L,MATCH($C1155,'Policy Characteristics'!$C:$C,0))),"",INDEX('Policy Characteristics'!L:L,MATCH($C1155,'Policy Characteristics'!$C:$C,0)))</f>
        <v>industry-energy-efficiency-standards.html</v>
      </c>
    </row>
    <row r="1156" spans="1:18" s="4" customFormat="1" x14ac:dyDescent="0.25">
      <c r="A1156" s="275" t="str">
        <f>IF(ISBLANK(INDEX('Policy Characteristics'!A:A,MATCH($C1156,'Policy Characteristics'!$C:$C,0))),"",INDEX('Policy Characteristics'!A:A,MATCH($C1156,'Policy Characteristics'!$C:$C,0)))</f>
        <v>Industry</v>
      </c>
      <c r="B1156" s="284" t="str">
        <f>IF(ISBLANK(INDEX('Policy Characteristics'!B:B,MATCH($C1156,'Policy Characteristics'!$C:$C,0))),"",INDEX('Policy Characteristics'!B:B,MATCH($C1156,'Policy Characteristics'!$C:$C,0)))</f>
        <v>Industry Energy Efficiency Standards</v>
      </c>
      <c r="C1156" s="275" t="str">
        <f t="shared" si="43"/>
        <v>Percentage Improvement in Eqpt Efficiency Standards above BAU</v>
      </c>
      <c r="D1156" s="6" t="s">
        <v>3088</v>
      </c>
      <c r="E1156" s="47" t="s">
        <v>2404</v>
      </c>
      <c r="F1156" t="s">
        <v>3050</v>
      </c>
      <c r="G1156" s="47" t="s">
        <v>2408</v>
      </c>
      <c r="H1156" s="44">
        <v>1141</v>
      </c>
      <c r="I1156" s="346" t="s">
        <v>44</v>
      </c>
      <c r="J1156" s="276" t="str">
        <f>IF(ISBLANK(INDEX('Policy Characteristics'!D:D,MATCH($C1156,'Policy Characteristics'!$C:$C,0))),"",INDEX('Policy Characteristics'!D:D,MATCH($C1156,'Policy Characteristics'!$C:$C,0)))</f>
        <v>Industry Energy Efficiency Standards</v>
      </c>
      <c r="K1156" s="275" t="str">
        <f>IF(ISBLANK(INDEX('Policy Characteristics'!E:E,MATCH($C1156,'Policy Characteristics'!$C:$C,0))),"",INDEX('Policy Characteristics'!E:E,MATCH($C1156,'Policy Characteristics'!$C:$C,0)))</f>
        <v>indst efficiency standards</v>
      </c>
      <c r="L1156" s="283">
        <f>IF(ISBLANK(INDEX('Policy Characteristics'!F:F,MATCH($C1156,'Policy Characteristics'!$C:$C,0))),"",INDEX('Policy Characteristics'!F:F,MATCH($C1156,'Policy Characteristics'!$C:$C,0)))</f>
        <v>0</v>
      </c>
      <c r="M1156" s="283">
        <f>IF(ISBLANK(INDEX('Policy Characteristics'!G:G,MATCH($C1156,'Policy Characteristics'!$C:$C,0))),"",INDEX('Policy Characteristics'!G:G,MATCH($C1156,'Policy Characteristics'!$C:$C,0)))</f>
        <v>0.25</v>
      </c>
      <c r="N1156" s="283">
        <f>IF(ISBLANK(INDEX('Policy Characteristics'!H:H,MATCH($C1156,'Policy Characteristics'!$C:$C,0))),"",INDEX('Policy Characteristics'!H:H,MATCH($C1156,'Policy Characteristics'!$C:$C,0)))</f>
        <v>0.01</v>
      </c>
      <c r="O1156" s="275" t="str">
        <f>IF(ISBLANK(INDEX('Policy Characteristics'!I:I,MATCH($C1156,'Policy Characteristics'!$C:$C,0))),"",INDEX('Policy Characteristics'!I:I,MATCH($C1156,'Policy Characteristics'!$C:$C,0)))</f>
        <v>% reduction in energy use</v>
      </c>
      <c r="P1156" s="275" t="str">
        <f>IF(ISBLANK(INDEX('Policy Characteristics'!J:J,MATCH($C1156,'Policy Characteristics'!$C:$C,0))),"",INDEX('Policy Characteristics'!J:J,MATCH($C1156,'Policy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6" s="275" t="str">
        <f>IF(ISBLANK(INDEX('Policy Characteristics'!K:K,MATCH($C1156,'Policy Characteristics'!$C:$C,0))),"",INDEX('Policy Characteristics'!K:K,MATCH($C1156,'Policy Characteristics'!$C:$C,0)))</f>
        <v>industry-ag-main.html#eff-stds</v>
      </c>
      <c r="R1156" s="275" t="str">
        <f>IF(ISBLANK(INDEX('Policy Characteristics'!L:L,MATCH($C1156,'Policy Characteristics'!$C:$C,0))),"",INDEX('Policy Characteristics'!L:L,MATCH($C1156,'Policy Characteristics'!$C:$C,0)))</f>
        <v>industry-energy-efficiency-standards.html</v>
      </c>
    </row>
    <row r="1157" spans="1:18" s="4" customFormat="1" x14ac:dyDescent="0.25">
      <c r="A1157" s="275" t="str">
        <f>IF(ISBLANK(INDEX('Policy Characteristics'!A:A,MATCH($C1157,'Policy Characteristics'!$C:$C,0))),"",INDEX('Policy Characteristics'!A:A,MATCH($C1157,'Policy Characteristics'!$C:$C,0)))</f>
        <v>Industry</v>
      </c>
      <c r="B1157" s="284" t="str">
        <f>IF(ISBLANK(INDEX('Policy Characteristics'!B:B,MATCH($C1157,'Policy Characteristics'!$C:$C,0))),"",INDEX('Policy Characteristics'!B:B,MATCH($C1157,'Policy Characteristics'!$C:$C,0)))</f>
        <v>Industry Energy Efficiency Standards</v>
      </c>
      <c r="C1157" s="275" t="str">
        <f t="shared" si="43"/>
        <v>Percentage Improvement in Eqpt Efficiency Standards above BAU</v>
      </c>
      <c r="D1157" s="6" t="s">
        <v>3088</v>
      </c>
      <c r="E1157" s="47" t="s">
        <v>2405</v>
      </c>
      <c r="F1157" t="s">
        <v>3050</v>
      </c>
      <c r="G1157" s="47" t="s">
        <v>2409</v>
      </c>
      <c r="H1157" s="44">
        <v>1142</v>
      </c>
      <c r="I1157" s="346" t="s">
        <v>43</v>
      </c>
      <c r="J1157" s="276" t="str">
        <f>IF(ISBLANK(INDEX('Policy Characteristics'!D:D,MATCH($C1157,'Policy Characteristics'!$C:$C,0))),"",INDEX('Policy Characteristics'!D:D,MATCH($C1157,'Policy Characteristics'!$C:$C,0)))</f>
        <v>Industry Energy Efficiency Standards</v>
      </c>
      <c r="K1157" s="275" t="str">
        <f>IF(ISBLANK(INDEX('Policy Characteristics'!E:E,MATCH($C1157,'Policy Characteristics'!$C:$C,0))),"",INDEX('Policy Characteristics'!E:E,MATCH($C1157,'Policy Characteristics'!$C:$C,0)))</f>
        <v>indst efficiency standards</v>
      </c>
      <c r="L1157" s="283">
        <f>IF(ISBLANK(INDEX('Policy Characteristics'!F:F,MATCH($C1157,'Policy Characteristics'!$C:$C,0))),"",INDEX('Policy Characteristics'!F:F,MATCH($C1157,'Policy Characteristics'!$C:$C,0)))</f>
        <v>0</v>
      </c>
      <c r="M1157" s="283">
        <f>IF(ISBLANK(INDEX('Policy Characteristics'!G:G,MATCH($C1157,'Policy Characteristics'!$C:$C,0))),"",INDEX('Policy Characteristics'!G:G,MATCH($C1157,'Policy Characteristics'!$C:$C,0)))</f>
        <v>0.25</v>
      </c>
      <c r="N1157" s="283">
        <f>IF(ISBLANK(INDEX('Policy Characteristics'!H:H,MATCH($C1157,'Policy Characteristics'!$C:$C,0))),"",INDEX('Policy Characteristics'!H:H,MATCH($C1157,'Policy Characteristics'!$C:$C,0)))</f>
        <v>0.01</v>
      </c>
      <c r="O1157" s="275" t="str">
        <f>IF(ISBLANK(INDEX('Policy Characteristics'!I:I,MATCH($C1157,'Policy Characteristics'!$C:$C,0))),"",INDEX('Policy Characteristics'!I:I,MATCH($C1157,'Policy Characteristics'!$C:$C,0)))</f>
        <v>% reduction in energy use</v>
      </c>
      <c r="P1157" s="275" t="str">
        <f>IF(ISBLANK(INDEX('Policy Characteristics'!J:J,MATCH($C1157,'Policy Characteristics'!$C:$C,0))),"",INDEX('Policy Characteristics'!J:J,MATCH($C1157,'Policy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7" s="275" t="str">
        <f>IF(ISBLANK(INDEX('Policy Characteristics'!K:K,MATCH($C1157,'Policy Characteristics'!$C:$C,0))),"",INDEX('Policy Characteristics'!K:K,MATCH($C1157,'Policy Characteristics'!$C:$C,0)))</f>
        <v>industry-ag-main.html#eff-stds</v>
      </c>
      <c r="R1157" s="275" t="str">
        <f>IF(ISBLANK(INDEX('Policy Characteristics'!L:L,MATCH($C1157,'Policy Characteristics'!$C:$C,0))),"",INDEX('Policy Characteristics'!L:L,MATCH($C1157,'Policy Characteristics'!$C:$C,0)))</f>
        <v>industry-energy-efficiency-standards.html</v>
      </c>
    </row>
    <row r="1158" spans="1:18" s="4" customFormat="1" x14ac:dyDescent="0.25">
      <c r="A1158" s="275" t="str">
        <f>IF(ISBLANK(INDEX('Policy Characteristics'!A:A,MATCH($C1158,'Policy Characteristics'!$C:$C,0))),"",INDEX('Policy Characteristics'!A:A,MATCH($C1158,'Policy Characteristics'!$C:$C,0)))</f>
        <v>Industry</v>
      </c>
      <c r="B1158" s="284" t="str">
        <f>IF(ISBLANK(INDEX('Policy Characteristics'!B:B,MATCH($C1158,'Policy Characteristics'!$C:$C,0))),"",INDEX('Policy Characteristics'!B:B,MATCH($C1158,'Policy Characteristics'!$C:$C,0)))</f>
        <v>Industry Energy Efficiency Standards</v>
      </c>
      <c r="C1158" s="275" t="str">
        <f t="shared" si="43"/>
        <v>Percentage Improvement in Eqpt Efficiency Standards above BAU</v>
      </c>
      <c r="D1158" s="6" t="s">
        <v>3088</v>
      </c>
      <c r="E1158" s="47" t="s">
        <v>2406</v>
      </c>
      <c r="F1158" t="s">
        <v>3050</v>
      </c>
      <c r="G1158" s="47" t="s">
        <v>2412</v>
      </c>
      <c r="H1158" s="44">
        <v>1143</v>
      </c>
      <c r="I1158" s="346" t="s">
        <v>44</v>
      </c>
      <c r="J1158" s="276" t="str">
        <f>IF(ISBLANK(INDEX('Policy Characteristics'!D:D,MATCH($C1158,'Policy Characteristics'!$C:$C,0))),"",INDEX('Policy Characteristics'!D:D,MATCH($C1158,'Policy Characteristics'!$C:$C,0)))</f>
        <v>Industry Energy Efficiency Standards</v>
      </c>
      <c r="K1158" s="275" t="str">
        <f>IF(ISBLANK(INDEX('Policy Characteristics'!E:E,MATCH($C1158,'Policy Characteristics'!$C:$C,0))),"",INDEX('Policy Characteristics'!E:E,MATCH($C1158,'Policy Characteristics'!$C:$C,0)))</f>
        <v>indst efficiency standards</v>
      </c>
      <c r="L1158" s="283">
        <f>IF(ISBLANK(INDEX('Policy Characteristics'!F:F,MATCH($C1158,'Policy Characteristics'!$C:$C,0))),"",INDEX('Policy Characteristics'!F:F,MATCH($C1158,'Policy Characteristics'!$C:$C,0)))</f>
        <v>0</v>
      </c>
      <c r="M1158" s="283">
        <f>IF(ISBLANK(INDEX('Policy Characteristics'!G:G,MATCH($C1158,'Policy Characteristics'!$C:$C,0))),"",INDEX('Policy Characteristics'!G:G,MATCH($C1158,'Policy Characteristics'!$C:$C,0)))</f>
        <v>0.25</v>
      </c>
      <c r="N1158" s="283">
        <f>IF(ISBLANK(INDEX('Policy Characteristics'!H:H,MATCH($C1158,'Policy Characteristics'!$C:$C,0))),"",INDEX('Policy Characteristics'!H:H,MATCH($C1158,'Policy Characteristics'!$C:$C,0)))</f>
        <v>0.01</v>
      </c>
      <c r="O1158" s="275" t="str">
        <f>IF(ISBLANK(INDEX('Policy Characteristics'!I:I,MATCH($C1158,'Policy Characteristics'!$C:$C,0))),"",INDEX('Policy Characteristics'!I:I,MATCH($C1158,'Policy Characteristics'!$C:$C,0)))</f>
        <v>% reduction in energy use</v>
      </c>
      <c r="P1158" s="275" t="str">
        <f>IF(ISBLANK(INDEX('Policy Characteristics'!J:J,MATCH($C1158,'Policy Characteristics'!$C:$C,0))),"",INDEX('Policy Characteristics'!J:J,MATCH($C1158,'Policy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8" s="275" t="str">
        <f>IF(ISBLANK(INDEX('Policy Characteristics'!K:K,MATCH($C1158,'Policy Characteristics'!$C:$C,0))),"",INDEX('Policy Characteristics'!K:K,MATCH($C1158,'Policy Characteristics'!$C:$C,0)))</f>
        <v>industry-ag-main.html#eff-stds</v>
      </c>
      <c r="R1158" s="275" t="str">
        <f>IF(ISBLANK(INDEX('Policy Characteristics'!L:L,MATCH($C1158,'Policy Characteristics'!$C:$C,0))),"",INDEX('Policy Characteristics'!L:L,MATCH($C1158,'Policy Characteristics'!$C:$C,0)))</f>
        <v>industry-energy-efficiency-standards.html</v>
      </c>
    </row>
    <row r="1159" spans="1:18" s="4" customFormat="1" x14ac:dyDescent="0.25">
      <c r="A1159" s="275" t="str">
        <f>IF(ISBLANK(INDEX('Policy Characteristics'!A:A,MATCH($C1159,'Policy Characteristics'!$C:$C,0))),"",INDEX('Policy Characteristics'!A:A,MATCH($C1159,'Policy Characteristics'!$C:$C,0)))</f>
        <v>Industry</v>
      </c>
      <c r="B1159" s="284" t="str">
        <f>IF(ISBLANK(INDEX('Policy Characteristics'!B:B,MATCH($C1159,'Policy Characteristics'!$C:$C,0))),"",INDEX('Policy Characteristics'!B:B,MATCH($C1159,'Policy Characteristics'!$C:$C,0)))</f>
        <v>Industry Energy Efficiency Standards</v>
      </c>
      <c r="C1159" s="275" t="str">
        <f t="shared" si="43"/>
        <v>Percentage Improvement in Eqpt Efficiency Standards above BAU</v>
      </c>
      <c r="D1159" s="6" t="s">
        <v>3088</v>
      </c>
      <c r="E1159" s="47" t="s">
        <v>2709</v>
      </c>
      <c r="F1159" t="s">
        <v>3050</v>
      </c>
      <c r="G1159" s="47" t="s">
        <v>2712</v>
      </c>
      <c r="H1159" s="44">
        <v>1144</v>
      </c>
      <c r="I1159" s="346" t="s">
        <v>44</v>
      </c>
      <c r="J1159" s="276" t="str">
        <f>IF(ISBLANK(INDEX('Policy Characteristics'!D:D,MATCH($C1159,'Policy Characteristics'!$C:$C,0))),"",INDEX('Policy Characteristics'!D:D,MATCH($C1159,'Policy Characteristics'!$C:$C,0)))</f>
        <v>Industry Energy Efficiency Standards</v>
      </c>
      <c r="K1159" s="275" t="str">
        <f>IF(ISBLANK(INDEX('Policy Characteristics'!E:E,MATCH($C1159,'Policy Characteristics'!$C:$C,0))),"",INDEX('Policy Characteristics'!E:E,MATCH($C1159,'Policy Characteristics'!$C:$C,0)))</f>
        <v>indst efficiency standards</v>
      </c>
      <c r="L1159" s="283">
        <f>IF(ISBLANK(INDEX('Policy Characteristics'!F:F,MATCH($C1159,'Policy Characteristics'!$C:$C,0))),"",INDEX('Policy Characteristics'!F:F,MATCH($C1159,'Policy Characteristics'!$C:$C,0)))</f>
        <v>0</v>
      </c>
      <c r="M1159" s="283">
        <f>IF(ISBLANK(INDEX('Policy Characteristics'!G:G,MATCH($C1159,'Policy Characteristics'!$C:$C,0))),"",INDEX('Policy Characteristics'!G:G,MATCH($C1159,'Policy Characteristics'!$C:$C,0)))</f>
        <v>0.25</v>
      </c>
      <c r="N1159" s="283">
        <f>IF(ISBLANK(INDEX('Policy Characteristics'!H:H,MATCH($C1159,'Policy Characteristics'!$C:$C,0))),"",INDEX('Policy Characteristics'!H:H,MATCH($C1159,'Policy Characteristics'!$C:$C,0)))</f>
        <v>0.01</v>
      </c>
      <c r="O1159" s="275" t="str">
        <f>IF(ISBLANK(INDEX('Policy Characteristics'!I:I,MATCH($C1159,'Policy Characteristics'!$C:$C,0))),"",INDEX('Policy Characteristics'!I:I,MATCH($C1159,'Policy Characteristics'!$C:$C,0)))</f>
        <v>% reduction in energy use</v>
      </c>
      <c r="P1159" s="275" t="str">
        <f>IF(ISBLANK(INDEX('Policy Characteristics'!J:J,MATCH($C1159,'Policy Characteristics'!$C:$C,0))),"",INDEX('Policy Characteristics'!J:J,MATCH($C1159,'Policy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9" s="275" t="str">
        <f>IF(ISBLANK(INDEX('Policy Characteristics'!K:K,MATCH($C1159,'Policy Characteristics'!$C:$C,0))),"",INDEX('Policy Characteristics'!K:K,MATCH($C1159,'Policy Characteristics'!$C:$C,0)))</f>
        <v>industry-ag-main.html#eff-stds</v>
      </c>
      <c r="R1159" s="275" t="str">
        <f>IF(ISBLANK(INDEX('Policy Characteristics'!L:L,MATCH($C1159,'Policy Characteristics'!$C:$C,0))),"",INDEX('Policy Characteristics'!L:L,MATCH($C1159,'Policy Characteristics'!$C:$C,0)))</f>
        <v>industry-energy-efficiency-standards.html</v>
      </c>
    </row>
    <row r="1160" spans="1:18" s="4" customFormat="1" x14ac:dyDescent="0.25">
      <c r="A1160" s="275" t="str">
        <f>IF(ISBLANK(INDEX('Policy Characteristics'!A:A,MATCH($C1160,'Policy Characteristics'!$C:$C,0))),"",INDEX('Policy Characteristics'!A:A,MATCH($C1160,'Policy Characteristics'!$C:$C,0)))</f>
        <v>Industry</v>
      </c>
      <c r="B1160" s="284" t="str">
        <f>IF(ISBLANK(INDEX('Policy Characteristics'!B:B,MATCH($C1160,'Policy Characteristics'!$C:$C,0))),"",INDEX('Policy Characteristics'!B:B,MATCH($C1160,'Policy Characteristics'!$C:$C,0)))</f>
        <v>Industry Energy Efficiency Standards</v>
      </c>
      <c r="C1160" s="275" t="str">
        <f t="shared" si="43"/>
        <v>Percentage Improvement in Eqpt Efficiency Standards above BAU</v>
      </c>
      <c r="D1160" s="6" t="s">
        <v>3088</v>
      </c>
      <c r="E1160" s="47" t="s">
        <v>2710</v>
      </c>
      <c r="F1160" t="s">
        <v>3050</v>
      </c>
      <c r="G1160" s="47" t="s">
        <v>2714</v>
      </c>
      <c r="H1160" s="44">
        <v>1145</v>
      </c>
      <c r="I1160" s="346" t="s">
        <v>44</v>
      </c>
      <c r="J1160" s="276" t="str">
        <f>IF(ISBLANK(INDEX('Policy Characteristics'!D:D,MATCH($C1160,'Policy Characteristics'!$C:$C,0))),"",INDEX('Policy Characteristics'!D:D,MATCH($C1160,'Policy Characteristics'!$C:$C,0)))</f>
        <v>Industry Energy Efficiency Standards</v>
      </c>
      <c r="K1160" s="275" t="str">
        <f>IF(ISBLANK(INDEX('Policy Characteristics'!E:E,MATCH($C1160,'Policy Characteristics'!$C:$C,0))),"",INDEX('Policy Characteristics'!E:E,MATCH($C1160,'Policy Characteristics'!$C:$C,0)))</f>
        <v>indst efficiency standards</v>
      </c>
      <c r="L1160" s="283">
        <f>IF(ISBLANK(INDEX('Policy Characteristics'!F:F,MATCH($C1160,'Policy Characteristics'!$C:$C,0))),"",INDEX('Policy Characteristics'!F:F,MATCH($C1160,'Policy Characteristics'!$C:$C,0)))</f>
        <v>0</v>
      </c>
      <c r="M1160" s="283">
        <f>IF(ISBLANK(INDEX('Policy Characteristics'!G:G,MATCH($C1160,'Policy Characteristics'!$C:$C,0))),"",INDEX('Policy Characteristics'!G:G,MATCH($C1160,'Policy Characteristics'!$C:$C,0)))</f>
        <v>0.25</v>
      </c>
      <c r="N1160" s="283">
        <f>IF(ISBLANK(INDEX('Policy Characteristics'!H:H,MATCH($C1160,'Policy Characteristics'!$C:$C,0))),"",INDEX('Policy Characteristics'!H:H,MATCH($C1160,'Policy Characteristics'!$C:$C,0)))</f>
        <v>0.01</v>
      </c>
      <c r="O1160" s="275" t="str">
        <f>IF(ISBLANK(INDEX('Policy Characteristics'!I:I,MATCH($C1160,'Policy Characteristics'!$C:$C,0))),"",INDEX('Policy Characteristics'!I:I,MATCH($C1160,'Policy Characteristics'!$C:$C,0)))</f>
        <v>% reduction in energy use</v>
      </c>
      <c r="P1160" s="275" t="str">
        <f>IF(ISBLANK(INDEX('Policy Characteristics'!J:J,MATCH($C1160,'Policy Characteristics'!$C:$C,0))),"",INDEX('Policy Characteristics'!J:J,MATCH($C1160,'Policy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0" s="275" t="str">
        <f>IF(ISBLANK(INDEX('Policy Characteristics'!K:K,MATCH($C1160,'Policy Characteristics'!$C:$C,0))),"",INDEX('Policy Characteristics'!K:K,MATCH($C1160,'Policy Characteristics'!$C:$C,0)))</f>
        <v>industry-ag-main.html#eff-stds</v>
      </c>
      <c r="R1160" s="275" t="str">
        <f>IF(ISBLANK(INDEX('Policy Characteristics'!L:L,MATCH($C1160,'Policy Characteristics'!$C:$C,0))),"",INDEX('Policy Characteristics'!L:L,MATCH($C1160,'Policy Characteristics'!$C:$C,0)))</f>
        <v>industry-energy-efficiency-standards.html</v>
      </c>
    </row>
    <row r="1161" spans="1:18" s="4" customFormat="1" x14ac:dyDescent="0.25">
      <c r="A1161" s="275" t="str">
        <f>IF(ISBLANK(INDEX('Policy Characteristics'!A:A,MATCH($C1161,'Policy Characteristics'!$C:$C,0))),"",INDEX('Policy Characteristics'!A:A,MATCH($C1161,'Policy Characteristics'!$C:$C,0)))</f>
        <v>Industry</v>
      </c>
      <c r="B1161" s="284" t="str">
        <f>IF(ISBLANK(INDEX('Policy Characteristics'!B:B,MATCH($C1161,'Policy Characteristics'!$C:$C,0))),"",INDEX('Policy Characteristics'!B:B,MATCH($C1161,'Policy Characteristics'!$C:$C,0)))</f>
        <v>Industry Energy Efficiency Standards</v>
      </c>
      <c r="C1161" s="275" t="str">
        <f t="shared" si="43"/>
        <v>Percentage Improvement in Eqpt Efficiency Standards above BAU</v>
      </c>
      <c r="D1161" s="6" t="s">
        <v>3088</v>
      </c>
      <c r="E1161" s="47" t="s">
        <v>2711</v>
      </c>
      <c r="F1161" t="s">
        <v>3050</v>
      </c>
      <c r="G1161" s="47" t="s">
        <v>2715</v>
      </c>
      <c r="H1161" s="44">
        <v>1146</v>
      </c>
      <c r="I1161" s="346" t="s">
        <v>43</v>
      </c>
      <c r="J1161" s="276" t="str">
        <f>IF(ISBLANK(INDEX('Policy Characteristics'!D:D,MATCH($C1161,'Policy Characteristics'!$C:$C,0))),"",INDEX('Policy Characteristics'!D:D,MATCH($C1161,'Policy Characteristics'!$C:$C,0)))</f>
        <v>Industry Energy Efficiency Standards</v>
      </c>
      <c r="K1161" s="275" t="str">
        <f>IF(ISBLANK(INDEX('Policy Characteristics'!E:E,MATCH($C1161,'Policy Characteristics'!$C:$C,0))),"",INDEX('Policy Characteristics'!E:E,MATCH($C1161,'Policy Characteristics'!$C:$C,0)))</f>
        <v>indst efficiency standards</v>
      </c>
      <c r="L1161" s="283">
        <f>IF(ISBLANK(INDEX('Policy Characteristics'!F:F,MATCH($C1161,'Policy Characteristics'!$C:$C,0))),"",INDEX('Policy Characteristics'!F:F,MATCH($C1161,'Policy Characteristics'!$C:$C,0)))</f>
        <v>0</v>
      </c>
      <c r="M1161" s="283">
        <f>IF(ISBLANK(INDEX('Policy Characteristics'!G:G,MATCH($C1161,'Policy Characteristics'!$C:$C,0))),"",INDEX('Policy Characteristics'!G:G,MATCH($C1161,'Policy Characteristics'!$C:$C,0)))</f>
        <v>0.25</v>
      </c>
      <c r="N1161" s="283">
        <f>IF(ISBLANK(INDEX('Policy Characteristics'!H:H,MATCH($C1161,'Policy Characteristics'!$C:$C,0))),"",INDEX('Policy Characteristics'!H:H,MATCH($C1161,'Policy Characteristics'!$C:$C,0)))</f>
        <v>0.01</v>
      </c>
      <c r="O1161" s="275" t="str">
        <f>IF(ISBLANK(INDEX('Policy Characteristics'!I:I,MATCH($C1161,'Policy Characteristics'!$C:$C,0))),"",INDEX('Policy Characteristics'!I:I,MATCH($C1161,'Policy Characteristics'!$C:$C,0)))</f>
        <v>% reduction in energy use</v>
      </c>
      <c r="P1161" s="275" t="str">
        <f>IF(ISBLANK(INDEX('Policy Characteristics'!J:J,MATCH($C1161,'Policy Characteristics'!$C:$C,0))),"",INDEX('Policy Characteristics'!J:J,MATCH($C1161,'Policy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1" s="275" t="str">
        <f>IF(ISBLANK(INDEX('Policy Characteristics'!K:K,MATCH($C1161,'Policy Characteristics'!$C:$C,0))),"",INDEX('Policy Characteristics'!K:K,MATCH($C1161,'Policy Characteristics'!$C:$C,0)))</f>
        <v>industry-ag-main.html#eff-stds</v>
      </c>
      <c r="R1161" s="275" t="str">
        <f>IF(ISBLANK(INDEX('Policy Characteristics'!L:L,MATCH($C1161,'Policy Characteristics'!$C:$C,0))),"",INDEX('Policy Characteristics'!L:L,MATCH($C1161,'Policy Characteristics'!$C:$C,0)))</f>
        <v>industry-energy-efficiency-standards.html</v>
      </c>
    </row>
    <row r="1162" spans="1:18" s="4" customFormat="1" x14ac:dyDescent="0.25">
      <c r="A1162" s="275" t="str">
        <f>IF(ISBLANK(INDEX('Policy Characteristics'!A:A,MATCH($C1162,'Policy Characteristics'!$C:$C,0))),"",INDEX('Policy Characteristics'!A:A,MATCH($C1162,'Policy Characteristics'!$C:$C,0)))</f>
        <v>Industry</v>
      </c>
      <c r="B1162" s="284" t="str">
        <f>IF(ISBLANK(INDEX('Policy Characteristics'!B:B,MATCH($C1162,'Policy Characteristics'!$C:$C,0))),"",INDEX('Policy Characteristics'!B:B,MATCH($C1162,'Policy Characteristics'!$C:$C,0)))</f>
        <v>Industry Energy Efficiency Standards</v>
      </c>
      <c r="C1162" s="275" t="str">
        <f t="shared" si="43"/>
        <v>Percentage Improvement in Eqpt Efficiency Standards above BAU</v>
      </c>
      <c r="D1162" s="6" t="s">
        <v>3088</v>
      </c>
      <c r="E1162" s="47" t="s">
        <v>2708</v>
      </c>
      <c r="F1162" t="s">
        <v>3050</v>
      </c>
      <c r="G1162" s="47" t="s">
        <v>2713</v>
      </c>
      <c r="H1162" s="44">
        <v>1147</v>
      </c>
      <c r="I1162" s="346" t="s">
        <v>44</v>
      </c>
      <c r="J1162" s="276" t="str">
        <f>IF(ISBLANK(INDEX('Policy Characteristics'!D:D,MATCH($C1162,'Policy Characteristics'!$C:$C,0))),"",INDEX('Policy Characteristics'!D:D,MATCH($C1162,'Policy Characteristics'!$C:$C,0)))</f>
        <v>Industry Energy Efficiency Standards</v>
      </c>
      <c r="K1162" s="275" t="str">
        <f>IF(ISBLANK(INDEX('Policy Characteristics'!E:E,MATCH($C1162,'Policy Characteristics'!$C:$C,0))),"",INDEX('Policy Characteristics'!E:E,MATCH($C1162,'Policy Characteristics'!$C:$C,0)))</f>
        <v>indst efficiency standards</v>
      </c>
      <c r="L1162" s="283">
        <f>IF(ISBLANK(INDEX('Policy Characteristics'!F:F,MATCH($C1162,'Policy Characteristics'!$C:$C,0))),"",INDEX('Policy Characteristics'!F:F,MATCH($C1162,'Policy Characteristics'!$C:$C,0)))</f>
        <v>0</v>
      </c>
      <c r="M1162" s="283">
        <f>IF(ISBLANK(INDEX('Policy Characteristics'!G:G,MATCH($C1162,'Policy Characteristics'!$C:$C,0))),"",INDEX('Policy Characteristics'!G:G,MATCH($C1162,'Policy Characteristics'!$C:$C,0)))</f>
        <v>0.25</v>
      </c>
      <c r="N1162" s="283">
        <f>IF(ISBLANK(INDEX('Policy Characteristics'!H:H,MATCH($C1162,'Policy Characteristics'!$C:$C,0))),"",INDEX('Policy Characteristics'!H:H,MATCH($C1162,'Policy Characteristics'!$C:$C,0)))</f>
        <v>0.01</v>
      </c>
      <c r="O1162" s="275" t="str">
        <f>IF(ISBLANK(INDEX('Policy Characteristics'!I:I,MATCH($C1162,'Policy Characteristics'!$C:$C,0))),"",INDEX('Policy Characteristics'!I:I,MATCH($C1162,'Policy Characteristics'!$C:$C,0)))</f>
        <v>% reduction in energy use</v>
      </c>
      <c r="P1162" s="275" t="str">
        <f>IF(ISBLANK(INDEX('Policy Characteristics'!J:J,MATCH($C1162,'Policy Characteristics'!$C:$C,0))),"",INDEX('Policy Characteristics'!J:J,MATCH($C1162,'Policy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2" s="275" t="str">
        <f>IF(ISBLANK(INDEX('Policy Characteristics'!K:K,MATCH($C1162,'Policy Characteristics'!$C:$C,0))),"",INDEX('Policy Characteristics'!K:K,MATCH($C1162,'Policy Characteristics'!$C:$C,0)))</f>
        <v>industry-ag-main.html#eff-stds</v>
      </c>
      <c r="R1162" s="275" t="str">
        <f>IF(ISBLANK(INDEX('Policy Characteristics'!L:L,MATCH($C1162,'Policy Characteristics'!$C:$C,0))),"",INDEX('Policy Characteristics'!L:L,MATCH($C1162,'Policy Characteristics'!$C:$C,0)))</f>
        <v>industry-energy-efficiency-standards.html</v>
      </c>
    </row>
    <row r="1163" spans="1:18" s="4" customFormat="1" x14ac:dyDescent="0.25">
      <c r="A1163" s="275" t="str">
        <f>IF(ISBLANK(INDEX('Policy Characteristics'!A:A,MATCH($C1163,'Policy Characteristics'!$C:$C,0))),"",INDEX('Policy Characteristics'!A:A,MATCH($C1163,'Policy Characteristics'!$C:$C,0)))</f>
        <v>Industry</v>
      </c>
      <c r="B1163" s="284" t="str">
        <f>IF(ISBLANK(INDEX('Policy Characteristics'!B:B,MATCH($C1163,'Policy Characteristics'!$C:$C,0))),"",INDEX('Policy Characteristics'!B:B,MATCH($C1163,'Policy Characteristics'!$C:$C,0)))</f>
        <v>Industry Energy Efficiency Standards</v>
      </c>
      <c r="C1163" s="275" t="str">
        <f t="shared" si="43"/>
        <v>Percentage Improvement in Eqpt Efficiency Standards above BAU</v>
      </c>
      <c r="D1163" s="6" t="s">
        <v>3089</v>
      </c>
      <c r="E1163" s="47" t="s">
        <v>2401</v>
      </c>
      <c r="F1163" t="s">
        <v>3051</v>
      </c>
      <c r="G1163" s="47" t="s">
        <v>2407</v>
      </c>
      <c r="H1163" s="44">
        <v>1148</v>
      </c>
      <c r="I1163" s="346" t="s">
        <v>43</v>
      </c>
      <c r="J1163" s="276" t="str">
        <f>IF(ISBLANK(INDEX('Policy Characteristics'!D:D,MATCH($C1163,'Policy Characteristics'!$C:$C,0))),"",INDEX('Policy Characteristics'!D:D,MATCH($C1163,'Policy Characteristics'!$C:$C,0)))</f>
        <v>Industry Energy Efficiency Standards</v>
      </c>
      <c r="K1163" s="275" t="str">
        <f>IF(ISBLANK(INDEX('Policy Characteristics'!E:E,MATCH($C1163,'Policy Characteristics'!$C:$C,0))),"",INDEX('Policy Characteristics'!E:E,MATCH($C1163,'Policy Characteristics'!$C:$C,0)))</f>
        <v>indst efficiency standards</v>
      </c>
      <c r="L1163" s="283">
        <f>IF(ISBLANK(INDEX('Policy Characteristics'!F:F,MATCH($C1163,'Policy Characteristics'!$C:$C,0))),"",INDEX('Policy Characteristics'!F:F,MATCH($C1163,'Policy Characteristics'!$C:$C,0)))</f>
        <v>0</v>
      </c>
      <c r="M1163" s="283">
        <f>IF(ISBLANK(INDEX('Policy Characteristics'!G:G,MATCH($C1163,'Policy Characteristics'!$C:$C,0))),"",INDEX('Policy Characteristics'!G:G,MATCH($C1163,'Policy Characteristics'!$C:$C,0)))</f>
        <v>0.25</v>
      </c>
      <c r="N1163" s="283">
        <f>IF(ISBLANK(INDEX('Policy Characteristics'!H:H,MATCH($C1163,'Policy Characteristics'!$C:$C,0))),"",INDEX('Policy Characteristics'!H:H,MATCH($C1163,'Policy Characteristics'!$C:$C,0)))</f>
        <v>0.01</v>
      </c>
      <c r="O1163" s="275" t="str">
        <f>IF(ISBLANK(INDEX('Policy Characteristics'!I:I,MATCH($C1163,'Policy Characteristics'!$C:$C,0))),"",INDEX('Policy Characteristics'!I:I,MATCH($C1163,'Policy Characteristics'!$C:$C,0)))</f>
        <v>% reduction in energy use</v>
      </c>
      <c r="P1163" s="275" t="str">
        <f>IF(ISBLANK(INDEX('Policy Characteristics'!J:J,MATCH($C1163,'Policy Characteristics'!$C:$C,0))),"",INDEX('Policy Characteristics'!J:J,MATCH($C1163,'Policy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3" s="275" t="str">
        <f>IF(ISBLANK(INDEX('Policy Characteristics'!K:K,MATCH($C1163,'Policy Characteristics'!$C:$C,0))),"",INDEX('Policy Characteristics'!K:K,MATCH($C1163,'Policy Characteristics'!$C:$C,0)))</f>
        <v>industry-ag-main.html#eff-stds</v>
      </c>
      <c r="R1163" s="275" t="str">
        <f>IF(ISBLANK(INDEX('Policy Characteristics'!L:L,MATCH($C1163,'Policy Characteristics'!$C:$C,0))),"",INDEX('Policy Characteristics'!L:L,MATCH($C1163,'Policy Characteristics'!$C:$C,0)))</f>
        <v>industry-energy-efficiency-standards.html</v>
      </c>
    </row>
    <row r="1164" spans="1:18" s="4" customFormat="1" x14ac:dyDescent="0.25">
      <c r="A1164" s="275" t="str">
        <f>IF(ISBLANK(INDEX('Policy Characteristics'!A:A,MATCH($C1164,'Policy Characteristics'!$C:$C,0))),"",INDEX('Policy Characteristics'!A:A,MATCH($C1164,'Policy Characteristics'!$C:$C,0)))</f>
        <v>Industry</v>
      </c>
      <c r="B1164" s="284" t="str">
        <f>IF(ISBLANK(INDEX('Policy Characteristics'!B:B,MATCH($C1164,'Policy Characteristics'!$C:$C,0))),"",INDEX('Policy Characteristics'!B:B,MATCH($C1164,'Policy Characteristics'!$C:$C,0)))</f>
        <v>Industry Energy Efficiency Standards</v>
      </c>
      <c r="C1164" s="275" t="str">
        <f t="shared" si="43"/>
        <v>Percentage Improvement in Eqpt Efficiency Standards above BAU</v>
      </c>
      <c r="D1164" s="6" t="s">
        <v>3089</v>
      </c>
      <c r="E1164" s="47" t="s">
        <v>2402</v>
      </c>
      <c r="F1164" t="s">
        <v>3051</v>
      </c>
      <c r="G1164" s="47" t="s">
        <v>2410</v>
      </c>
      <c r="H1164" s="44">
        <v>1149</v>
      </c>
      <c r="I1164" s="346" t="s">
        <v>43</v>
      </c>
      <c r="J1164" s="276" t="str">
        <f>IF(ISBLANK(INDEX('Policy Characteristics'!D:D,MATCH($C1164,'Policy Characteristics'!$C:$C,0))),"",INDEX('Policy Characteristics'!D:D,MATCH($C1164,'Policy Characteristics'!$C:$C,0)))</f>
        <v>Industry Energy Efficiency Standards</v>
      </c>
      <c r="K1164" s="275" t="str">
        <f>IF(ISBLANK(INDEX('Policy Characteristics'!E:E,MATCH($C1164,'Policy Characteristics'!$C:$C,0))),"",INDEX('Policy Characteristics'!E:E,MATCH($C1164,'Policy Characteristics'!$C:$C,0)))</f>
        <v>indst efficiency standards</v>
      </c>
      <c r="L1164" s="283">
        <f>IF(ISBLANK(INDEX('Policy Characteristics'!F:F,MATCH($C1164,'Policy Characteristics'!$C:$C,0))),"",INDEX('Policy Characteristics'!F:F,MATCH($C1164,'Policy Characteristics'!$C:$C,0)))</f>
        <v>0</v>
      </c>
      <c r="M1164" s="283">
        <f>IF(ISBLANK(INDEX('Policy Characteristics'!G:G,MATCH($C1164,'Policy Characteristics'!$C:$C,0))),"",INDEX('Policy Characteristics'!G:G,MATCH($C1164,'Policy Characteristics'!$C:$C,0)))</f>
        <v>0.25</v>
      </c>
      <c r="N1164" s="283">
        <f>IF(ISBLANK(INDEX('Policy Characteristics'!H:H,MATCH($C1164,'Policy Characteristics'!$C:$C,0))),"",INDEX('Policy Characteristics'!H:H,MATCH($C1164,'Policy Characteristics'!$C:$C,0)))</f>
        <v>0.01</v>
      </c>
      <c r="O1164" s="275" t="str">
        <f>IF(ISBLANK(INDEX('Policy Characteristics'!I:I,MATCH($C1164,'Policy Characteristics'!$C:$C,0))),"",INDEX('Policy Characteristics'!I:I,MATCH($C1164,'Policy Characteristics'!$C:$C,0)))</f>
        <v>% reduction in energy use</v>
      </c>
      <c r="P1164" s="275" t="str">
        <f>IF(ISBLANK(INDEX('Policy Characteristics'!J:J,MATCH($C1164,'Policy Characteristics'!$C:$C,0))),"",INDEX('Policy Characteristics'!J:J,MATCH($C1164,'Policy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4" s="275" t="str">
        <f>IF(ISBLANK(INDEX('Policy Characteristics'!K:K,MATCH($C1164,'Policy Characteristics'!$C:$C,0))),"",INDEX('Policy Characteristics'!K:K,MATCH($C1164,'Policy Characteristics'!$C:$C,0)))</f>
        <v>industry-ag-main.html#eff-stds</v>
      </c>
      <c r="R1164" s="275" t="str">
        <f>IF(ISBLANK(INDEX('Policy Characteristics'!L:L,MATCH($C1164,'Policy Characteristics'!$C:$C,0))),"",INDEX('Policy Characteristics'!L:L,MATCH($C1164,'Policy Characteristics'!$C:$C,0)))</f>
        <v>industry-energy-efficiency-standards.html</v>
      </c>
    </row>
    <row r="1165" spans="1:18" s="4" customFormat="1" x14ac:dyDescent="0.25">
      <c r="A1165" s="275" t="str">
        <f>IF(ISBLANK(INDEX('Policy Characteristics'!A:A,MATCH($C1165,'Policy Characteristics'!$C:$C,0))),"",INDEX('Policy Characteristics'!A:A,MATCH($C1165,'Policy Characteristics'!$C:$C,0)))</f>
        <v>Industry</v>
      </c>
      <c r="B1165" s="284" t="str">
        <f>IF(ISBLANK(INDEX('Policy Characteristics'!B:B,MATCH($C1165,'Policy Characteristics'!$C:$C,0))),"",INDEX('Policy Characteristics'!B:B,MATCH($C1165,'Policy Characteristics'!$C:$C,0)))</f>
        <v>Industry Energy Efficiency Standards</v>
      </c>
      <c r="C1165" s="275" t="str">
        <f t="shared" si="43"/>
        <v>Percentage Improvement in Eqpt Efficiency Standards above BAU</v>
      </c>
      <c r="D1165" s="6" t="s">
        <v>3089</v>
      </c>
      <c r="E1165" s="47" t="s">
        <v>2403</v>
      </c>
      <c r="F1165" t="s">
        <v>3051</v>
      </c>
      <c r="G1165" s="47" t="s">
        <v>2411</v>
      </c>
      <c r="H1165" s="44">
        <v>1150</v>
      </c>
      <c r="I1165" s="346" t="s">
        <v>43</v>
      </c>
      <c r="J1165" s="276" t="str">
        <f>IF(ISBLANK(INDEX('Policy Characteristics'!D:D,MATCH($C1165,'Policy Characteristics'!$C:$C,0))),"",INDEX('Policy Characteristics'!D:D,MATCH($C1165,'Policy Characteristics'!$C:$C,0)))</f>
        <v>Industry Energy Efficiency Standards</v>
      </c>
      <c r="K1165" s="275" t="str">
        <f>IF(ISBLANK(INDEX('Policy Characteristics'!E:E,MATCH($C1165,'Policy Characteristics'!$C:$C,0))),"",INDEX('Policy Characteristics'!E:E,MATCH($C1165,'Policy Characteristics'!$C:$C,0)))</f>
        <v>indst efficiency standards</v>
      </c>
      <c r="L1165" s="283">
        <f>IF(ISBLANK(INDEX('Policy Characteristics'!F:F,MATCH($C1165,'Policy Characteristics'!$C:$C,0))),"",INDEX('Policy Characteristics'!F:F,MATCH($C1165,'Policy Characteristics'!$C:$C,0)))</f>
        <v>0</v>
      </c>
      <c r="M1165" s="283">
        <f>IF(ISBLANK(INDEX('Policy Characteristics'!G:G,MATCH($C1165,'Policy Characteristics'!$C:$C,0))),"",INDEX('Policy Characteristics'!G:G,MATCH($C1165,'Policy Characteristics'!$C:$C,0)))</f>
        <v>0.25</v>
      </c>
      <c r="N1165" s="283">
        <f>IF(ISBLANK(INDEX('Policy Characteristics'!H:H,MATCH($C1165,'Policy Characteristics'!$C:$C,0))),"",INDEX('Policy Characteristics'!H:H,MATCH($C1165,'Policy Characteristics'!$C:$C,0)))</f>
        <v>0.01</v>
      </c>
      <c r="O1165" s="275" t="str">
        <f>IF(ISBLANK(INDEX('Policy Characteristics'!I:I,MATCH($C1165,'Policy Characteristics'!$C:$C,0))),"",INDEX('Policy Characteristics'!I:I,MATCH($C1165,'Policy Characteristics'!$C:$C,0)))</f>
        <v>% reduction in energy use</v>
      </c>
      <c r="P1165" s="275" t="str">
        <f>IF(ISBLANK(INDEX('Policy Characteristics'!J:J,MATCH($C1165,'Policy Characteristics'!$C:$C,0))),"",INDEX('Policy Characteristics'!J:J,MATCH($C1165,'Policy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5" s="275" t="str">
        <f>IF(ISBLANK(INDEX('Policy Characteristics'!K:K,MATCH($C1165,'Policy Characteristics'!$C:$C,0))),"",INDEX('Policy Characteristics'!K:K,MATCH($C1165,'Policy Characteristics'!$C:$C,0)))</f>
        <v>industry-ag-main.html#eff-stds</v>
      </c>
      <c r="R1165" s="275" t="str">
        <f>IF(ISBLANK(INDEX('Policy Characteristics'!L:L,MATCH($C1165,'Policy Characteristics'!$C:$C,0))),"",INDEX('Policy Characteristics'!L:L,MATCH($C1165,'Policy Characteristics'!$C:$C,0)))</f>
        <v>industry-energy-efficiency-standards.html</v>
      </c>
    </row>
    <row r="1166" spans="1:18" s="4" customFormat="1" x14ac:dyDescent="0.25">
      <c r="A1166" s="275" t="str">
        <f>IF(ISBLANK(INDEX('Policy Characteristics'!A:A,MATCH($C1166,'Policy Characteristics'!$C:$C,0))),"",INDEX('Policy Characteristics'!A:A,MATCH($C1166,'Policy Characteristics'!$C:$C,0)))</f>
        <v>Industry</v>
      </c>
      <c r="B1166" s="284" t="str">
        <f>IF(ISBLANK(INDEX('Policy Characteristics'!B:B,MATCH($C1166,'Policy Characteristics'!$C:$C,0))),"",INDEX('Policy Characteristics'!B:B,MATCH($C1166,'Policy Characteristics'!$C:$C,0)))</f>
        <v>Industry Energy Efficiency Standards</v>
      </c>
      <c r="C1166" s="275" t="str">
        <f t="shared" ref="C1166:C1222" si="44">C$973</f>
        <v>Percentage Improvement in Eqpt Efficiency Standards above BAU</v>
      </c>
      <c r="D1166" s="6" t="s">
        <v>3089</v>
      </c>
      <c r="E1166" s="47" t="s">
        <v>2404</v>
      </c>
      <c r="F1166" t="s">
        <v>3051</v>
      </c>
      <c r="G1166" s="47" t="s">
        <v>2408</v>
      </c>
      <c r="H1166" s="44">
        <v>1151</v>
      </c>
      <c r="I1166" s="346" t="s">
        <v>44</v>
      </c>
      <c r="J1166" s="276" t="str">
        <f>IF(ISBLANK(INDEX('Policy Characteristics'!D:D,MATCH($C1166,'Policy Characteristics'!$C:$C,0))),"",INDEX('Policy Characteristics'!D:D,MATCH($C1166,'Policy Characteristics'!$C:$C,0)))</f>
        <v>Industry Energy Efficiency Standards</v>
      </c>
      <c r="K1166" s="275" t="str">
        <f>IF(ISBLANK(INDEX('Policy Characteristics'!E:E,MATCH($C1166,'Policy Characteristics'!$C:$C,0))),"",INDEX('Policy Characteristics'!E:E,MATCH($C1166,'Policy Characteristics'!$C:$C,0)))</f>
        <v>indst efficiency standards</v>
      </c>
      <c r="L1166" s="283">
        <f>IF(ISBLANK(INDEX('Policy Characteristics'!F:F,MATCH($C1166,'Policy Characteristics'!$C:$C,0))),"",INDEX('Policy Characteristics'!F:F,MATCH($C1166,'Policy Characteristics'!$C:$C,0)))</f>
        <v>0</v>
      </c>
      <c r="M1166" s="283">
        <f>IF(ISBLANK(INDEX('Policy Characteristics'!G:G,MATCH($C1166,'Policy Characteristics'!$C:$C,0))),"",INDEX('Policy Characteristics'!G:G,MATCH($C1166,'Policy Characteristics'!$C:$C,0)))</f>
        <v>0.25</v>
      </c>
      <c r="N1166" s="283">
        <f>IF(ISBLANK(INDEX('Policy Characteristics'!H:H,MATCH($C1166,'Policy Characteristics'!$C:$C,0))),"",INDEX('Policy Characteristics'!H:H,MATCH($C1166,'Policy Characteristics'!$C:$C,0)))</f>
        <v>0.01</v>
      </c>
      <c r="O1166" s="275" t="str">
        <f>IF(ISBLANK(INDEX('Policy Characteristics'!I:I,MATCH($C1166,'Policy Characteristics'!$C:$C,0))),"",INDEX('Policy Characteristics'!I:I,MATCH($C1166,'Policy Characteristics'!$C:$C,0)))</f>
        <v>% reduction in energy use</v>
      </c>
      <c r="P1166" s="275" t="str">
        <f>IF(ISBLANK(INDEX('Policy Characteristics'!J:J,MATCH($C1166,'Policy Characteristics'!$C:$C,0))),"",INDEX('Policy Characteristics'!J:J,MATCH($C1166,'Policy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6" s="275" t="str">
        <f>IF(ISBLANK(INDEX('Policy Characteristics'!K:K,MATCH($C1166,'Policy Characteristics'!$C:$C,0))),"",INDEX('Policy Characteristics'!K:K,MATCH($C1166,'Policy Characteristics'!$C:$C,0)))</f>
        <v>industry-ag-main.html#eff-stds</v>
      </c>
      <c r="R1166" s="275" t="str">
        <f>IF(ISBLANK(INDEX('Policy Characteristics'!L:L,MATCH($C1166,'Policy Characteristics'!$C:$C,0))),"",INDEX('Policy Characteristics'!L:L,MATCH($C1166,'Policy Characteristics'!$C:$C,0)))</f>
        <v>industry-energy-efficiency-standards.html</v>
      </c>
    </row>
    <row r="1167" spans="1:18" s="4" customFormat="1" x14ac:dyDescent="0.25">
      <c r="A1167" s="275" t="str">
        <f>IF(ISBLANK(INDEX('Policy Characteristics'!A:A,MATCH($C1167,'Policy Characteristics'!$C:$C,0))),"",INDEX('Policy Characteristics'!A:A,MATCH($C1167,'Policy Characteristics'!$C:$C,0)))</f>
        <v>Industry</v>
      </c>
      <c r="B1167" s="284" t="str">
        <f>IF(ISBLANK(INDEX('Policy Characteristics'!B:B,MATCH($C1167,'Policy Characteristics'!$C:$C,0))),"",INDEX('Policy Characteristics'!B:B,MATCH($C1167,'Policy Characteristics'!$C:$C,0)))</f>
        <v>Industry Energy Efficiency Standards</v>
      </c>
      <c r="C1167" s="275" t="str">
        <f t="shared" si="44"/>
        <v>Percentage Improvement in Eqpt Efficiency Standards above BAU</v>
      </c>
      <c r="D1167" s="6" t="s">
        <v>3089</v>
      </c>
      <c r="E1167" s="47" t="s">
        <v>2405</v>
      </c>
      <c r="F1167" t="s">
        <v>3051</v>
      </c>
      <c r="G1167" s="47" t="s">
        <v>2409</v>
      </c>
      <c r="H1167" s="44">
        <v>1152</v>
      </c>
      <c r="I1167" s="346" t="s">
        <v>43</v>
      </c>
      <c r="J1167" s="276" t="str">
        <f>IF(ISBLANK(INDEX('Policy Characteristics'!D:D,MATCH($C1167,'Policy Characteristics'!$C:$C,0))),"",INDEX('Policy Characteristics'!D:D,MATCH($C1167,'Policy Characteristics'!$C:$C,0)))</f>
        <v>Industry Energy Efficiency Standards</v>
      </c>
      <c r="K1167" s="275" t="str">
        <f>IF(ISBLANK(INDEX('Policy Characteristics'!E:E,MATCH($C1167,'Policy Characteristics'!$C:$C,0))),"",INDEX('Policy Characteristics'!E:E,MATCH($C1167,'Policy Characteristics'!$C:$C,0)))</f>
        <v>indst efficiency standards</v>
      </c>
      <c r="L1167" s="283">
        <f>IF(ISBLANK(INDEX('Policy Characteristics'!F:F,MATCH($C1167,'Policy Characteristics'!$C:$C,0))),"",INDEX('Policy Characteristics'!F:F,MATCH($C1167,'Policy Characteristics'!$C:$C,0)))</f>
        <v>0</v>
      </c>
      <c r="M1167" s="283">
        <f>IF(ISBLANK(INDEX('Policy Characteristics'!G:G,MATCH($C1167,'Policy Characteristics'!$C:$C,0))),"",INDEX('Policy Characteristics'!G:G,MATCH($C1167,'Policy Characteristics'!$C:$C,0)))</f>
        <v>0.25</v>
      </c>
      <c r="N1167" s="283">
        <f>IF(ISBLANK(INDEX('Policy Characteristics'!H:H,MATCH($C1167,'Policy Characteristics'!$C:$C,0))),"",INDEX('Policy Characteristics'!H:H,MATCH($C1167,'Policy Characteristics'!$C:$C,0)))</f>
        <v>0.01</v>
      </c>
      <c r="O1167" s="275" t="str">
        <f>IF(ISBLANK(INDEX('Policy Characteristics'!I:I,MATCH($C1167,'Policy Characteristics'!$C:$C,0))),"",INDEX('Policy Characteristics'!I:I,MATCH($C1167,'Policy Characteristics'!$C:$C,0)))</f>
        <v>% reduction in energy use</v>
      </c>
      <c r="P1167" s="275" t="str">
        <f>IF(ISBLANK(INDEX('Policy Characteristics'!J:J,MATCH($C1167,'Policy Characteristics'!$C:$C,0))),"",INDEX('Policy Characteristics'!J:J,MATCH($C1167,'Policy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7" s="275" t="str">
        <f>IF(ISBLANK(INDEX('Policy Characteristics'!K:K,MATCH($C1167,'Policy Characteristics'!$C:$C,0))),"",INDEX('Policy Characteristics'!K:K,MATCH($C1167,'Policy Characteristics'!$C:$C,0)))</f>
        <v>industry-ag-main.html#eff-stds</v>
      </c>
      <c r="R1167" s="275" t="str">
        <f>IF(ISBLANK(INDEX('Policy Characteristics'!L:L,MATCH($C1167,'Policy Characteristics'!$C:$C,0))),"",INDEX('Policy Characteristics'!L:L,MATCH($C1167,'Policy Characteristics'!$C:$C,0)))</f>
        <v>industry-energy-efficiency-standards.html</v>
      </c>
    </row>
    <row r="1168" spans="1:18" s="4" customFormat="1" x14ac:dyDescent="0.25">
      <c r="A1168" s="275" t="str">
        <f>IF(ISBLANK(INDEX('Policy Characteristics'!A:A,MATCH($C1168,'Policy Characteristics'!$C:$C,0))),"",INDEX('Policy Characteristics'!A:A,MATCH($C1168,'Policy Characteristics'!$C:$C,0)))</f>
        <v>Industry</v>
      </c>
      <c r="B1168" s="284" t="str">
        <f>IF(ISBLANK(INDEX('Policy Characteristics'!B:B,MATCH($C1168,'Policy Characteristics'!$C:$C,0))),"",INDEX('Policy Characteristics'!B:B,MATCH($C1168,'Policy Characteristics'!$C:$C,0)))</f>
        <v>Industry Energy Efficiency Standards</v>
      </c>
      <c r="C1168" s="275" t="str">
        <f t="shared" si="44"/>
        <v>Percentage Improvement in Eqpt Efficiency Standards above BAU</v>
      </c>
      <c r="D1168" s="6" t="s">
        <v>3089</v>
      </c>
      <c r="E1168" s="47" t="s">
        <v>2406</v>
      </c>
      <c r="F1168" t="s">
        <v>3051</v>
      </c>
      <c r="G1168" s="47" t="s">
        <v>2412</v>
      </c>
      <c r="H1168" s="44">
        <v>1153</v>
      </c>
      <c r="I1168" s="346" t="s">
        <v>44</v>
      </c>
      <c r="J1168" s="276" t="str">
        <f>IF(ISBLANK(INDEX('Policy Characteristics'!D:D,MATCH($C1168,'Policy Characteristics'!$C:$C,0))),"",INDEX('Policy Characteristics'!D:D,MATCH($C1168,'Policy Characteristics'!$C:$C,0)))</f>
        <v>Industry Energy Efficiency Standards</v>
      </c>
      <c r="K1168" s="275" t="str">
        <f>IF(ISBLANK(INDEX('Policy Characteristics'!E:E,MATCH($C1168,'Policy Characteristics'!$C:$C,0))),"",INDEX('Policy Characteristics'!E:E,MATCH($C1168,'Policy Characteristics'!$C:$C,0)))</f>
        <v>indst efficiency standards</v>
      </c>
      <c r="L1168" s="283">
        <f>IF(ISBLANK(INDEX('Policy Characteristics'!F:F,MATCH($C1168,'Policy Characteristics'!$C:$C,0))),"",INDEX('Policy Characteristics'!F:F,MATCH($C1168,'Policy Characteristics'!$C:$C,0)))</f>
        <v>0</v>
      </c>
      <c r="M1168" s="283">
        <f>IF(ISBLANK(INDEX('Policy Characteristics'!G:G,MATCH($C1168,'Policy Characteristics'!$C:$C,0))),"",INDEX('Policy Characteristics'!G:G,MATCH($C1168,'Policy Characteristics'!$C:$C,0)))</f>
        <v>0.25</v>
      </c>
      <c r="N1168" s="283">
        <f>IF(ISBLANK(INDEX('Policy Characteristics'!H:H,MATCH($C1168,'Policy Characteristics'!$C:$C,0))),"",INDEX('Policy Characteristics'!H:H,MATCH($C1168,'Policy Characteristics'!$C:$C,0)))</f>
        <v>0.01</v>
      </c>
      <c r="O1168" s="275" t="str">
        <f>IF(ISBLANK(INDEX('Policy Characteristics'!I:I,MATCH($C1168,'Policy Characteristics'!$C:$C,0))),"",INDEX('Policy Characteristics'!I:I,MATCH($C1168,'Policy Characteristics'!$C:$C,0)))</f>
        <v>% reduction in energy use</v>
      </c>
      <c r="P1168" s="275" t="str">
        <f>IF(ISBLANK(INDEX('Policy Characteristics'!J:J,MATCH($C1168,'Policy Characteristics'!$C:$C,0))),"",INDEX('Policy Characteristics'!J:J,MATCH($C1168,'Policy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8" s="275" t="str">
        <f>IF(ISBLANK(INDEX('Policy Characteristics'!K:K,MATCH($C1168,'Policy Characteristics'!$C:$C,0))),"",INDEX('Policy Characteristics'!K:K,MATCH($C1168,'Policy Characteristics'!$C:$C,0)))</f>
        <v>industry-ag-main.html#eff-stds</v>
      </c>
      <c r="R1168" s="275" t="str">
        <f>IF(ISBLANK(INDEX('Policy Characteristics'!L:L,MATCH($C1168,'Policy Characteristics'!$C:$C,0))),"",INDEX('Policy Characteristics'!L:L,MATCH($C1168,'Policy Characteristics'!$C:$C,0)))</f>
        <v>industry-energy-efficiency-standards.html</v>
      </c>
    </row>
    <row r="1169" spans="1:18" s="4" customFormat="1" x14ac:dyDescent="0.25">
      <c r="A1169" s="275" t="str">
        <f>IF(ISBLANK(INDEX('Policy Characteristics'!A:A,MATCH($C1169,'Policy Characteristics'!$C:$C,0))),"",INDEX('Policy Characteristics'!A:A,MATCH($C1169,'Policy Characteristics'!$C:$C,0)))</f>
        <v>Industry</v>
      </c>
      <c r="B1169" s="284" t="str">
        <f>IF(ISBLANK(INDEX('Policy Characteristics'!B:B,MATCH($C1169,'Policy Characteristics'!$C:$C,0))),"",INDEX('Policy Characteristics'!B:B,MATCH($C1169,'Policy Characteristics'!$C:$C,0)))</f>
        <v>Industry Energy Efficiency Standards</v>
      </c>
      <c r="C1169" s="275" t="str">
        <f t="shared" si="44"/>
        <v>Percentage Improvement in Eqpt Efficiency Standards above BAU</v>
      </c>
      <c r="D1169" s="6" t="s">
        <v>3089</v>
      </c>
      <c r="E1169" s="47" t="s">
        <v>2709</v>
      </c>
      <c r="F1169" t="s">
        <v>3051</v>
      </c>
      <c r="G1169" s="47" t="s">
        <v>2712</v>
      </c>
      <c r="H1169" s="44">
        <v>1154</v>
      </c>
      <c r="I1169" s="346" t="s">
        <v>44</v>
      </c>
      <c r="J1169" s="276" t="str">
        <f>IF(ISBLANK(INDEX('Policy Characteristics'!D:D,MATCH($C1169,'Policy Characteristics'!$C:$C,0))),"",INDEX('Policy Characteristics'!D:D,MATCH($C1169,'Policy Characteristics'!$C:$C,0)))</f>
        <v>Industry Energy Efficiency Standards</v>
      </c>
      <c r="K1169" s="275" t="str">
        <f>IF(ISBLANK(INDEX('Policy Characteristics'!E:E,MATCH($C1169,'Policy Characteristics'!$C:$C,0))),"",INDEX('Policy Characteristics'!E:E,MATCH($C1169,'Policy Characteristics'!$C:$C,0)))</f>
        <v>indst efficiency standards</v>
      </c>
      <c r="L1169" s="283">
        <f>IF(ISBLANK(INDEX('Policy Characteristics'!F:F,MATCH($C1169,'Policy Characteristics'!$C:$C,0))),"",INDEX('Policy Characteristics'!F:F,MATCH($C1169,'Policy Characteristics'!$C:$C,0)))</f>
        <v>0</v>
      </c>
      <c r="M1169" s="283">
        <f>IF(ISBLANK(INDEX('Policy Characteristics'!G:G,MATCH($C1169,'Policy Characteristics'!$C:$C,0))),"",INDEX('Policy Characteristics'!G:G,MATCH($C1169,'Policy Characteristics'!$C:$C,0)))</f>
        <v>0.25</v>
      </c>
      <c r="N1169" s="283">
        <f>IF(ISBLANK(INDEX('Policy Characteristics'!H:H,MATCH($C1169,'Policy Characteristics'!$C:$C,0))),"",INDEX('Policy Characteristics'!H:H,MATCH($C1169,'Policy Characteristics'!$C:$C,0)))</f>
        <v>0.01</v>
      </c>
      <c r="O1169" s="275" t="str">
        <f>IF(ISBLANK(INDEX('Policy Characteristics'!I:I,MATCH($C1169,'Policy Characteristics'!$C:$C,0))),"",INDEX('Policy Characteristics'!I:I,MATCH($C1169,'Policy Characteristics'!$C:$C,0)))</f>
        <v>% reduction in energy use</v>
      </c>
      <c r="P1169" s="275" t="str">
        <f>IF(ISBLANK(INDEX('Policy Characteristics'!J:J,MATCH($C1169,'Policy Characteristics'!$C:$C,0))),"",INDEX('Policy Characteristics'!J:J,MATCH($C1169,'Policy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9" s="275" t="str">
        <f>IF(ISBLANK(INDEX('Policy Characteristics'!K:K,MATCH($C1169,'Policy Characteristics'!$C:$C,0))),"",INDEX('Policy Characteristics'!K:K,MATCH($C1169,'Policy Characteristics'!$C:$C,0)))</f>
        <v>industry-ag-main.html#eff-stds</v>
      </c>
      <c r="R1169" s="275" t="str">
        <f>IF(ISBLANK(INDEX('Policy Characteristics'!L:L,MATCH($C1169,'Policy Characteristics'!$C:$C,0))),"",INDEX('Policy Characteristics'!L:L,MATCH($C1169,'Policy Characteristics'!$C:$C,0)))</f>
        <v>industry-energy-efficiency-standards.html</v>
      </c>
    </row>
    <row r="1170" spans="1:18" s="4" customFormat="1" x14ac:dyDescent="0.25">
      <c r="A1170" s="275" t="str">
        <f>IF(ISBLANK(INDEX('Policy Characteristics'!A:A,MATCH($C1170,'Policy Characteristics'!$C:$C,0))),"",INDEX('Policy Characteristics'!A:A,MATCH($C1170,'Policy Characteristics'!$C:$C,0)))</f>
        <v>Industry</v>
      </c>
      <c r="B1170" s="284" t="str">
        <f>IF(ISBLANK(INDEX('Policy Characteristics'!B:B,MATCH($C1170,'Policy Characteristics'!$C:$C,0))),"",INDEX('Policy Characteristics'!B:B,MATCH($C1170,'Policy Characteristics'!$C:$C,0)))</f>
        <v>Industry Energy Efficiency Standards</v>
      </c>
      <c r="C1170" s="275" t="str">
        <f t="shared" si="44"/>
        <v>Percentage Improvement in Eqpt Efficiency Standards above BAU</v>
      </c>
      <c r="D1170" s="6" t="s">
        <v>3089</v>
      </c>
      <c r="E1170" s="47" t="s">
        <v>2710</v>
      </c>
      <c r="F1170" t="s">
        <v>3051</v>
      </c>
      <c r="G1170" s="47" t="s">
        <v>2714</v>
      </c>
      <c r="H1170" s="44">
        <v>1155</v>
      </c>
      <c r="I1170" s="346" t="s">
        <v>43</v>
      </c>
      <c r="J1170" s="276" t="str">
        <f>IF(ISBLANK(INDEX('Policy Characteristics'!D:D,MATCH($C1170,'Policy Characteristics'!$C:$C,0))),"",INDEX('Policy Characteristics'!D:D,MATCH($C1170,'Policy Characteristics'!$C:$C,0)))</f>
        <v>Industry Energy Efficiency Standards</v>
      </c>
      <c r="K1170" s="275" t="str">
        <f>IF(ISBLANK(INDEX('Policy Characteristics'!E:E,MATCH($C1170,'Policy Characteristics'!$C:$C,0))),"",INDEX('Policy Characteristics'!E:E,MATCH($C1170,'Policy Characteristics'!$C:$C,0)))</f>
        <v>indst efficiency standards</v>
      </c>
      <c r="L1170" s="283">
        <f>IF(ISBLANK(INDEX('Policy Characteristics'!F:F,MATCH($C1170,'Policy Characteristics'!$C:$C,0))),"",INDEX('Policy Characteristics'!F:F,MATCH($C1170,'Policy Characteristics'!$C:$C,0)))</f>
        <v>0</v>
      </c>
      <c r="M1170" s="283">
        <f>IF(ISBLANK(INDEX('Policy Characteristics'!G:G,MATCH($C1170,'Policy Characteristics'!$C:$C,0))),"",INDEX('Policy Characteristics'!G:G,MATCH($C1170,'Policy Characteristics'!$C:$C,0)))</f>
        <v>0.25</v>
      </c>
      <c r="N1170" s="283">
        <f>IF(ISBLANK(INDEX('Policy Characteristics'!H:H,MATCH($C1170,'Policy Characteristics'!$C:$C,0))),"",INDEX('Policy Characteristics'!H:H,MATCH($C1170,'Policy Characteristics'!$C:$C,0)))</f>
        <v>0.01</v>
      </c>
      <c r="O1170" s="275" t="str">
        <f>IF(ISBLANK(INDEX('Policy Characteristics'!I:I,MATCH($C1170,'Policy Characteristics'!$C:$C,0))),"",INDEX('Policy Characteristics'!I:I,MATCH($C1170,'Policy Characteristics'!$C:$C,0)))</f>
        <v>% reduction in energy use</v>
      </c>
      <c r="P1170" s="275" t="str">
        <f>IF(ISBLANK(INDEX('Policy Characteristics'!J:J,MATCH($C1170,'Policy Characteristics'!$C:$C,0))),"",INDEX('Policy Characteristics'!J:J,MATCH($C1170,'Policy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0" s="275" t="str">
        <f>IF(ISBLANK(INDEX('Policy Characteristics'!K:K,MATCH($C1170,'Policy Characteristics'!$C:$C,0))),"",INDEX('Policy Characteristics'!K:K,MATCH($C1170,'Policy Characteristics'!$C:$C,0)))</f>
        <v>industry-ag-main.html#eff-stds</v>
      </c>
      <c r="R1170" s="275" t="str">
        <f>IF(ISBLANK(INDEX('Policy Characteristics'!L:L,MATCH($C1170,'Policy Characteristics'!$C:$C,0))),"",INDEX('Policy Characteristics'!L:L,MATCH($C1170,'Policy Characteristics'!$C:$C,0)))</f>
        <v>industry-energy-efficiency-standards.html</v>
      </c>
    </row>
    <row r="1171" spans="1:18" s="4" customFormat="1" x14ac:dyDescent="0.25">
      <c r="A1171" s="275" t="str">
        <f>IF(ISBLANK(INDEX('Policy Characteristics'!A:A,MATCH($C1171,'Policy Characteristics'!$C:$C,0))),"",INDEX('Policy Characteristics'!A:A,MATCH($C1171,'Policy Characteristics'!$C:$C,0)))</f>
        <v>Industry</v>
      </c>
      <c r="B1171" s="284" t="str">
        <f>IF(ISBLANK(INDEX('Policy Characteristics'!B:B,MATCH($C1171,'Policy Characteristics'!$C:$C,0))),"",INDEX('Policy Characteristics'!B:B,MATCH($C1171,'Policy Characteristics'!$C:$C,0)))</f>
        <v>Industry Energy Efficiency Standards</v>
      </c>
      <c r="C1171" s="275" t="str">
        <f t="shared" si="44"/>
        <v>Percentage Improvement in Eqpt Efficiency Standards above BAU</v>
      </c>
      <c r="D1171" s="6" t="s">
        <v>3089</v>
      </c>
      <c r="E1171" s="47" t="s">
        <v>2711</v>
      </c>
      <c r="F1171" t="s">
        <v>3051</v>
      </c>
      <c r="G1171" s="47" t="s">
        <v>2715</v>
      </c>
      <c r="H1171" s="44">
        <v>1156</v>
      </c>
      <c r="I1171" s="346" t="s">
        <v>43</v>
      </c>
      <c r="J1171" s="276" t="str">
        <f>IF(ISBLANK(INDEX('Policy Characteristics'!D:D,MATCH($C1171,'Policy Characteristics'!$C:$C,0))),"",INDEX('Policy Characteristics'!D:D,MATCH($C1171,'Policy Characteristics'!$C:$C,0)))</f>
        <v>Industry Energy Efficiency Standards</v>
      </c>
      <c r="K1171" s="275" t="str">
        <f>IF(ISBLANK(INDEX('Policy Characteristics'!E:E,MATCH($C1171,'Policy Characteristics'!$C:$C,0))),"",INDEX('Policy Characteristics'!E:E,MATCH($C1171,'Policy Characteristics'!$C:$C,0)))</f>
        <v>indst efficiency standards</v>
      </c>
      <c r="L1171" s="283">
        <f>IF(ISBLANK(INDEX('Policy Characteristics'!F:F,MATCH($C1171,'Policy Characteristics'!$C:$C,0))),"",INDEX('Policy Characteristics'!F:F,MATCH($C1171,'Policy Characteristics'!$C:$C,0)))</f>
        <v>0</v>
      </c>
      <c r="M1171" s="283">
        <f>IF(ISBLANK(INDEX('Policy Characteristics'!G:G,MATCH($C1171,'Policy Characteristics'!$C:$C,0))),"",INDEX('Policy Characteristics'!G:G,MATCH($C1171,'Policy Characteristics'!$C:$C,0)))</f>
        <v>0.25</v>
      </c>
      <c r="N1171" s="283">
        <f>IF(ISBLANK(INDEX('Policy Characteristics'!H:H,MATCH($C1171,'Policy Characteristics'!$C:$C,0))),"",INDEX('Policy Characteristics'!H:H,MATCH($C1171,'Policy Characteristics'!$C:$C,0)))</f>
        <v>0.01</v>
      </c>
      <c r="O1171" s="275" t="str">
        <f>IF(ISBLANK(INDEX('Policy Characteristics'!I:I,MATCH($C1171,'Policy Characteristics'!$C:$C,0))),"",INDEX('Policy Characteristics'!I:I,MATCH($C1171,'Policy Characteristics'!$C:$C,0)))</f>
        <v>% reduction in energy use</v>
      </c>
      <c r="P1171" s="275" t="str">
        <f>IF(ISBLANK(INDEX('Policy Characteristics'!J:J,MATCH($C1171,'Policy Characteristics'!$C:$C,0))),"",INDEX('Policy Characteristics'!J:J,MATCH($C1171,'Policy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1" s="275" t="str">
        <f>IF(ISBLANK(INDEX('Policy Characteristics'!K:K,MATCH($C1171,'Policy Characteristics'!$C:$C,0))),"",INDEX('Policy Characteristics'!K:K,MATCH($C1171,'Policy Characteristics'!$C:$C,0)))</f>
        <v>industry-ag-main.html#eff-stds</v>
      </c>
      <c r="R1171" s="275" t="str">
        <f>IF(ISBLANK(INDEX('Policy Characteristics'!L:L,MATCH($C1171,'Policy Characteristics'!$C:$C,0))),"",INDEX('Policy Characteristics'!L:L,MATCH($C1171,'Policy Characteristics'!$C:$C,0)))</f>
        <v>industry-energy-efficiency-standards.html</v>
      </c>
    </row>
    <row r="1172" spans="1:18" s="4" customFormat="1" x14ac:dyDescent="0.25">
      <c r="A1172" s="275" t="str">
        <f>IF(ISBLANK(INDEX('Policy Characteristics'!A:A,MATCH($C1172,'Policy Characteristics'!$C:$C,0))),"",INDEX('Policy Characteristics'!A:A,MATCH($C1172,'Policy Characteristics'!$C:$C,0)))</f>
        <v>Industry</v>
      </c>
      <c r="B1172" s="284" t="str">
        <f>IF(ISBLANK(INDEX('Policy Characteristics'!B:B,MATCH($C1172,'Policy Characteristics'!$C:$C,0))),"",INDEX('Policy Characteristics'!B:B,MATCH($C1172,'Policy Characteristics'!$C:$C,0)))</f>
        <v>Industry Energy Efficiency Standards</v>
      </c>
      <c r="C1172" s="275" t="str">
        <f t="shared" si="44"/>
        <v>Percentage Improvement in Eqpt Efficiency Standards above BAU</v>
      </c>
      <c r="D1172" s="6" t="s">
        <v>3089</v>
      </c>
      <c r="E1172" s="47" t="s">
        <v>2708</v>
      </c>
      <c r="F1172" t="s">
        <v>3051</v>
      </c>
      <c r="G1172" s="47" t="s">
        <v>2713</v>
      </c>
      <c r="H1172" s="44">
        <v>1157</v>
      </c>
      <c r="I1172" s="346" t="s">
        <v>44</v>
      </c>
      <c r="J1172" s="276" t="str">
        <f>IF(ISBLANK(INDEX('Policy Characteristics'!D:D,MATCH($C1172,'Policy Characteristics'!$C:$C,0))),"",INDEX('Policy Characteristics'!D:D,MATCH($C1172,'Policy Characteristics'!$C:$C,0)))</f>
        <v>Industry Energy Efficiency Standards</v>
      </c>
      <c r="K1172" s="275" t="str">
        <f>IF(ISBLANK(INDEX('Policy Characteristics'!E:E,MATCH($C1172,'Policy Characteristics'!$C:$C,0))),"",INDEX('Policy Characteristics'!E:E,MATCH($C1172,'Policy Characteristics'!$C:$C,0)))</f>
        <v>indst efficiency standards</v>
      </c>
      <c r="L1172" s="283">
        <f>IF(ISBLANK(INDEX('Policy Characteristics'!F:F,MATCH($C1172,'Policy Characteristics'!$C:$C,0))),"",INDEX('Policy Characteristics'!F:F,MATCH($C1172,'Policy Characteristics'!$C:$C,0)))</f>
        <v>0</v>
      </c>
      <c r="M1172" s="283">
        <f>IF(ISBLANK(INDEX('Policy Characteristics'!G:G,MATCH($C1172,'Policy Characteristics'!$C:$C,0))),"",INDEX('Policy Characteristics'!G:G,MATCH($C1172,'Policy Characteristics'!$C:$C,0)))</f>
        <v>0.25</v>
      </c>
      <c r="N1172" s="283">
        <f>IF(ISBLANK(INDEX('Policy Characteristics'!H:H,MATCH($C1172,'Policy Characteristics'!$C:$C,0))),"",INDEX('Policy Characteristics'!H:H,MATCH($C1172,'Policy Characteristics'!$C:$C,0)))</f>
        <v>0.01</v>
      </c>
      <c r="O1172" s="275" t="str">
        <f>IF(ISBLANK(INDEX('Policy Characteristics'!I:I,MATCH($C1172,'Policy Characteristics'!$C:$C,0))),"",INDEX('Policy Characteristics'!I:I,MATCH($C1172,'Policy Characteristics'!$C:$C,0)))</f>
        <v>% reduction in energy use</v>
      </c>
      <c r="P1172" s="275" t="str">
        <f>IF(ISBLANK(INDEX('Policy Characteristics'!J:J,MATCH($C1172,'Policy Characteristics'!$C:$C,0))),"",INDEX('Policy Characteristics'!J:J,MATCH($C1172,'Policy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2" s="275" t="str">
        <f>IF(ISBLANK(INDEX('Policy Characteristics'!K:K,MATCH($C1172,'Policy Characteristics'!$C:$C,0))),"",INDEX('Policy Characteristics'!K:K,MATCH($C1172,'Policy Characteristics'!$C:$C,0)))</f>
        <v>industry-ag-main.html#eff-stds</v>
      </c>
      <c r="R1172" s="275" t="str">
        <f>IF(ISBLANK(INDEX('Policy Characteristics'!L:L,MATCH($C1172,'Policy Characteristics'!$C:$C,0))),"",INDEX('Policy Characteristics'!L:L,MATCH($C1172,'Policy Characteristics'!$C:$C,0)))</f>
        <v>industry-energy-efficiency-standards.html</v>
      </c>
    </row>
    <row r="1173" spans="1:18" s="4" customFormat="1" x14ac:dyDescent="0.25">
      <c r="A1173" s="275" t="str">
        <f>IF(ISBLANK(INDEX('Policy Characteristics'!A:A,MATCH($C1173,'Policy Characteristics'!$C:$C,0))),"",INDEX('Policy Characteristics'!A:A,MATCH($C1173,'Policy Characteristics'!$C:$C,0)))</f>
        <v>Industry</v>
      </c>
      <c r="B1173" s="284" t="str">
        <f>IF(ISBLANK(INDEX('Policy Characteristics'!B:B,MATCH($C1173,'Policy Characteristics'!$C:$C,0))),"",INDEX('Policy Characteristics'!B:B,MATCH($C1173,'Policy Characteristics'!$C:$C,0)))</f>
        <v>Industry Energy Efficiency Standards</v>
      </c>
      <c r="C1173" s="275" t="str">
        <f t="shared" si="44"/>
        <v>Percentage Improvement in Eqpt Efficiency Standards above BAU</v>
      </c>
      <c r="D1173" s="6" t="s">
        <v>3090</v>
      </c>
      <c r="E1173" s="47" t="s">
        <v>2401</v>
      </c>
      <c r="F1173" t="s">
        <v>3052</v>
      </c>
      <c r="G1173" s="47" t="s">
        <v>2407</v>
      </c>
      <c r="H1173" s="44">
        <v>1158</v>
      </c>
      <c r="I1173" s="346" t="s">
        <v>43</v>
      </c>
      <c r="J1173" s="276" t="str">
        <f>IF(ISBLANK(INDEX('Policy Characteristics'!D:D,MATCH($C1173,'Policy Characteristics'!$C:$C,0))),"",INDEX('Policy Characteristics'!D:D,MATCH($C1173,'Policy Characteristics'!$C:$C,0)))</f>
        <v>Industry Energy Efficiency Standards</v>
      </c>
      <c r="K1173" s="275" t="str">
        <f>IF(ISBLANK(INDEX('Policy Characteristics'!E:E,MATCH($C1173,'Policy Characteristics'!$C:$C,0))),"",INDEX('Policy Characteristics'!E:E,MATCH($C1173,'Policy Characteristics'!$C:$C,0)))</f>
        <v>indst efficiency standards</v>
      </c>
      <c r="L1173" s="283">
        <f>IF(ISBLANK(INDEX('Policy Characteristics'!F:F,MATCH($C1173,'Policy Characteristics'!$C:$C,0))),"",INDEX('Policy Characteristics'!F:F,MATCH($C1173,'Policy Characteristics'!$C:$C,0)))</f>
        <v>0</v>
      </c>
      <c r="M1173" s="283">
        <f>IF(ISBLANK(INDEX('Policy Characteristics'!G:G,MATCH($C1173,'Policy Characteristics'!$C:$C,0))),"",INDEX('Policy Characteristics'!G:G,MATCH($C1173,'Policy Characteristics'!$C:$C,0)))</f>
        <v>0.25</v>
      </c>
      <c r="N1173" s="283">
        <f>IF(ISBLANK(INDEX('Policy Characteristics'!H:H,MATCH($C1173,'Policy Characteristics'!$C:$C,0))),"",INDEX('Policy Characteristics'!H:H,MATCH($C1173,'Policy Characteristics'!$C:$C,0)))</f>
        <v>0.01</v>
      </c>
      <c r="O1173" s="275" t="str">
        <f>IF(ISBLANK(INDEX('Policy Characteristics'!I:I,MATCH($C1173,'Policy Characteristics'!$C:$C,0))),"",INDEX('Policy Characteristics'!I:I,MATCH($C1173,'Policy Characteristics'!$C:$C,0)))</f>
        <v>% reduction in energy use</v>
      </c>
      <c r="P1173" s="275" t="str">
        <f>IF(ISBLANK(INDEX('Policy Characteristics'!J:J,MATCH($C1173,'Policy Characteristics'!$C:$C,0))),"",INDEX('Policy Characteristics'!J:J,MATCH($C1173,'Policy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3" s="275" t="str">
        <f>IF(ISBLANK(INDEX('Policy Characteristics'!K:K,MATCH($C1173,'Policy Characteristics'!$C:$C,0))),"",INDEX('Policy Characteristics'!K:K,MATCH($C1173,'Policy Characteristics'!$C:$C,0)))</f>
        <v>industry-ag-main.html#eff-stds</v>
      </c>
      <c r="R1173" s="275" t="str">
        <f>IF(ISBLANK(INDEX('Policy Characteristics'!L:L,MATCH($C1173,'Policy Characteristics'!$C:$C,0))),"",INDEX('Policy Characteristics'!L:L,MATCH($C1173,'Policy Characteristics'!$C:$C,0)))</f>
        <v>industry-energy-efficiency-standards.html</v>
      </c>
    </row>
    <row r="1174" spans="1:18" s="4" customFormat="1" x14ac:dyDescent="0.25">
      <c r="A1174" s="275" t="str">
        <f>IF(ISBLANK(INDEX('Policy Characteristics'!A:A,MATCH($C1174,'Policy Characteristics'!$C:$C,0))),"",INDEX('Policy Characteristics'!A:A,MATCH($C1174,'Policy Characteristics'!$C:$C,0)))</f>
        <v>Industry</v>
      </c>
      <c r="B1174" s="284" t="str">
        <f>IF(ISBLANK(INDEX('Policy Characteristics'!B:B,MATCH($C1174,'Policy Characteristics'!$C:$C,0))),"",INDEX('Policy Characteristics'!B:B,MATCH($C1174,'Policy Characteristics'!$C:$C,0)))</f>
        <v>Industry Energy Efficiency Standards</v>
      </c>
      <c r="C1174" s="275" t="str">
        <f t="shared" si="44"/>
        <v>Percentage Improvement in Eqpt Efficiency Standards above BAU</v>
      </c>
      <c r="D1174" s="6" t="s">
        <v>3090</v>
      </c>
      <c r="E1174" s="47" t="s">
        <v>2402</v>
      </c>
      <c r="F1174" t="s">
        <v>3052</v>
      </c>
      <c r="G1174" s="47" t="s">
        <v>2410</v>
      </c>
      <c r="H1174" s="44">
        <v>1159</v>
      </c>
      <c r="I1174" s="346" t="s">
        <v>43</v>
      </c>
      <c r="J1174" s="276" t="str">
        <f>IF(ISBLANK(INDEX('Policy Characteristics'!D:D,MATCH($C1174,'Policy Characteristics'!$C:$C,0))),"",INDEX('Policy Characteristics'!D:D,MATCH($C1174,'Policy Characteristics'!$C:$C,0)))</f>
        <v>Industry Energy Efficiency Standards</v>
      </c>
      <c r="K1174" s="275" t="str">
        <f>IF(ISBLANK(INDEX('Policy Characteristics'!E:E,MATCH($C1174,'Policy Characteristics'!$C:$C,0))),"",INDEX('Policy Characteristics'!E:E,MATCH($C1174,'Policy Characteristics'!$C:$C,0)))</f>
        <v>indst efficiency standards</v>
      </c>
      <c r="L1174" s="283">
        <f>IF(ISBLANK(INDEX('Policy Characteristics'!F:F,MATCH($C1174,'Policy Characteristics'!$C:$C,0))),"",INDEX('Policy Characteristics'!F:F,MATCH($C1174,'Policy Characteristics'!$C:$C,0)))</f>
        <v>0</v>
      </c>
      <c r="M1174" s="283">
        <f>IF(ISBLANK(INDEX('Policy Characteristics'!G:G,MATCH($C1174,'Policy Characteristics'!$C:$C,0))),"",INDEX('Policy Characteristics'!G:G,MATCH($C1174,'Policy Characteristics'!$C:$C,0)))</f>
        <v>0.25</v>
      </c>
      <c r="N1174" s="283">
        <f>IF(ISBLANK(INDEX('Policy Characteristics'!H:H,MATCH($C1174,'Policy Characteristics'!$C:$C,0))),"",INDEX('Policy Characteristics'!H:H,MATCH($C1174,'Policy Characteristics'!$C:$C,0)))</f>
        <v>0.01</v>
      </c>
      <c r="O1174" s="275" t="str">
        <f>IF(ISBLANK(INDEX('Policy Characteristics'!I:I,MATCH($C1174,'Policy Characteristics'!$C:$C,0))),"",INDEX('Policy Characteristics'!I:I,MATCH($C1174,'Policy Characteristics'!$C:$C,0)))</f>
        <v>% reduction in energy use</v>
      </c>
      <c r="P1174" s="275" t="str">
        <f>IF(ISBLANK(INDEX('Policy Characteristics'!J:J,MATCH($C1174,'Policy Characteristics'!$C:$C,0))),"",INDEX('Policy Characteristics'!J:J,MATCH($C1174,'Policy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4" s="275" t="str">
        <f>IF(ISBLANK(INDEX('Policy Characteristics'!K:K,MATCH($C1174,'Policy Characteristics'!$C:$C,0))),"",INDEX('Policy Characteristics'!K:K,MATCH($C1174,'Policy Characteristics'!$C:$C,0)))</f>
        <v>industry-ag-main.html#eff-stds</v>
      </c>
      <c r="R1174" s="275" t="str">
        <f>IF(ISBLANK(INDEX('Policy Characteristics'!L:L,MATCH($C1174,'Policy Characteristics'!$C:$C,0))),"",INDEX('Policy Characteristics'!L:L,MATCH($C1174,'Policy Characteristics'!$C:$C,0)))</f>
        <v>industry-energy-efficiency-standards.html</v>
      </c>
    </row>
    <row r="1175" spans="1:18" s="4" customFormat="1" x14ac:dyDescent="0.25">
      <c r="A1175" s="275" t="str">
        <f>IF(ISBLANK(INDEX('Policy Characteristics'!A:A,MATCH($C1175,'Policy Characteristics'!$C:$C,0))),"",INDEX('Policy Characteristics'!A:A,MATCH($C1175,'Policy Characteristics'!$C:$C,0)))</f>
        <v>Industry</v>
      </c>
      <c r="B1175" s="284" t="str">
        <f>IF(ISBLANK(INDEX('Policy Characteristics'!B:B,MATCH($C1175,'Policy Characteristics'!$C:$C,0))),"",INDEX('Policy Characteristics'!B:B,MATCH($C1175,'Policy Characteristics'!$C:$C,0)))</f>
        <v>Industry Energy Efficiency Standards</v>
      </c>
      <c r="C1175" s="275" t="str">
        <f t="shared" si="44"/>
        <v>Percentage Improvement in Eqpt Efficiency Standards above BAU</v>
      </c>
      <c r="D1175" s="6" t="s">
        <v>3090</v>
      </c>
      <c r="E1175" s="47" t="s">
        <v>2403</v>
      </c>
      <c r="F1175" t="s">
        <v>3052</v>
      </c>
      <c r="G1175" s="47" t="s">
        <v>2411</v>
      </c>
      <c r="H1175" s="44">
        <v>1160</v>
      </c>
      <c r="I1175" s="346" t="s">
        <v>43</v>
      </c>
      <c r="J1175" s="276" t="str">
        <f>IF(ISBLANK(INDEX('Policy Characteristics'!D:D,MATCH($C1175,'Policy Characteristics'!$C:$C,0))),"",INDEX('Policy Characteristics'!D:D,MATCH($C1175,'Policy Characteristics'!$C:$C,0)))</f>
        <v>Industry Energy Efficiency Standards</v>
      </c>
      <c r="K1175" s="275" t="str">
        <f>IF(ISBLANK(INDEX('Policy Characteristics'!E:E,MATCH($C1175,'Policy Characteristics'!$C:$C,0))),"",INDEX('Policy Characteristics'!E:E,MATCH($C1175,'Policy Characteristics'!$C:$C,0)))</f>
        <v>indst efficiency standards</v>
      </c>
      <c r="L1175" s="283">
        <f>IF(ISBLANK(INDEX('Policy Characteristics'!F:F,MATCH($C1175,'Policy Characteristics'!$C:$C,0))),"",INDEX('Policy Characteristics'!F:F,MATCH($C1175,'Policy Characteristics'!$C:$C,0)))</f>
        <v>0</v>
      </c>
      <c r="M1175" s="283">
        <f>IF(ISBLANK(INDEX('Policy Characteristics'!G:G,MATCH($C1175,'Policy Characteristics'!$C:$C,0))),"",INDEX('Policy Characteristics'!G:G,MATCH($C1175,'Policy Characteristics'!$C:$C,0)))</f>
        <v>0.25</v>
      </c>
      <c r="N1175" s="283">
        <f>IF(ISBLANK(INDEX('Policy Characteristics'!H:H,MATCH($C1175,'Policy Characteristics'!$C:$C,0))),"",INDEX('Policy Characteristics'!H:H,MATCH($C1175,'Policy Characteristics'!$C:$C,0)))</f>
        <v>0.01</v>
      </c>
      <c r="O1175" s="275" t="str">
        <f>IF(ISBLANK(INDEX('Policy Characteristics'!I:I,MATCH($C1175,'Policy Characteristics'!$C:$C,0))),"",INDEX('Policy Characteristics'!I:I,MATCH($C1175,'Policy Characteristics'!$C:$C,0)))</f>
        <v>% reduction in energy use</v>
      </c>
      <c r="P1175" s="275" t="str">
        <f>IF(ISBLANK(INDEX('Policy Characteristics'!J:J,MATCH($C1175,'Policy Characteristics'!$C:$C,0))),"",INDEX('Policy Characteristics'!J:J,MATCH($C1175,'Policy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5" s="275" t="str">
        <f>IF(ISBLANK(INDEX('Policy Characteristics'!K:K,MATCH($C1175,'Policy Characteristics'!$C:$C,0))),"",INDEX('Policy Characteristics'!K:K,MATCH($C1175,'Policy Characteristics'!$C:$C,0)))</f>
        <v>industry-ag-main.html#eff-stds</v>
      </c>
      <c r="R1175" s="275" t="str">
        <f>IF(ISBLANK(INDEX('Policy Characteristics'!L:L,MATCH($C1175,'Policy Characteristics'!$C:$C,0))),"",INDEX('Policy Characteristics'!L:L,MATCH($C1175,'Policy Characteristics'!$C:$C,0)))</f>
        <v>industry-energy-efficiency-standards.html</v>
      </c>
    </row>
    <row r="1176" spans="1:18" s="4" customFormat="1" x14ac:dyDescent="0.25">
      <c r="A1176" s="275" t="str">
        <f>IF(ISBLANK(INDEX('Policy Characteristics'!A:A,MATCH($C1176,'Policy Characteristics'!$C:$C,0))),"",INDEX('Policy Characteristics'!A:A,MATCH($C1176,'Policy Characteristics'!$C:$C,0)))</f>
        <v>Industry</v>
      </c>
      <c r="B1176" s="284" t="str">
        <f>IF(ISBLANK(INDEX('Policy Characteristics'!B:B,MATCH($C1176,'Policy Characteristics'!$C:$C,0))),"",INDEX('Policy Characteristics'!B:B,MATCH($C1176,'Policy Characteristics'!$C:$C,0)))</f>
        <v>Industry Energy Efficiency Standards</v>
      </c>
      <c r="C1176" s="275" t="str">
        <f t="shared" si="44"/>
        <v>Percentage Improvement in Eqpt Efficiency Standards above BAU</v>
      </c>
      <c r="D1176" s="6" t="s">
        <v>3090</v>
      </c>
      <c r="E1176" s="47" t="s">
        <v>2404</v>
      </c>
      <c r="F1176" t="s">
        <v>3052</v>
      </c>
      <c r="G1176" s="47" t="s">
        <v>2408</v>
      </c>
      <c r="H1176" s="44">
        <v>1161</v>
      </c>
      <c r="I1176" s="346" t="s">
        <v>44</v>
      </c>
      <c r="J1176" s="276" t="str">
        <f>IF(ISBLANK(INDEX('Policy Characteristics'!D:D,MATCH($C1176,'Policy Characteristics'!$C:$C,0))),"",INDEX('Policy Characteristics'!D:D,MATCH($C1176,'Policy Characteristics'!$C:$C,0)))</f>
        <v>Industry Energy Efficiency Standards</v>
      </c>
      <c r="K1176" s="275" t="str">
        <f>IF(ISBLANK(INDEX('Policy Characteristics'!E:E,MATCH($C1176,'Policy Characteristics'!$C:$C,0))),"",INDEX('Policy Characteristics'!E:E,MATCH($C1176,'Policy Characteristics'!$C:$C,0)))</f>
        <v>indst efficiency standards</v>
      </c>
      <c r="L1176" s="283">
        <f>IF(ISBLANK(INDEX('Policy Characteristics'!F:F,MATCH($C1176,'Policy Characteristics'!$C:$C,0))),"",INDEX('Policy Characteristics'!F:F,MATCH($C1176,'Policy Characteristics'!$C:$C,0)))</f>
        <v>0</v>
      </c>
      <c r="M1176" s="283">
        <f>IF(ISBLANK(INDEX('Policy Characteristics'!G:G,MATCH($C1176,'Policy Characteristics'!$C:$C,0))),"",INDEX('Policy Characteristics'!G:G,MATCH($C1176,'Policy Characteristics'!$C:$C,0)))</f>
        <v>0.25</v>
      </c>
      <c r="N1176" s="283">
        <f>IF(ISBLANK(INDEX('Policy Characteristics'!H:H,MATCH($C1176,'Policy Characteristics'!$C:$C,0))),"",INDEX('Policy Characteristics'!H:H,MATCH($C1176,'Policy Characteristics'!$C:$C,0)))</f>
        <v>0.01</v>
      </c>
      <c r="O1176" s="275" t="str">
        <f>IF(ISBLANK(INDEX('Policy Characteristics'!I:I,MATCH($C1176,'Policy Characteristics'!$C:$C,0))),"",INDEX('Policy Characteristics'!I:I,MATCH($C1176,'Policy Characteristics'!$C:$C,0)))</f>
        <v>% reduction in energy use</v>
      </c>
      <c r="P1176" s="275" t="str">
        <f>IF(ISBLANK(INDEX('Policy Characteristics'!J:J,MATCH($C1176,'Policy Characteristics'!$C:$C,0))),"",INDEX('Policy Characteristics'!J:J,MATCH($C1176,'Policy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6" s="275" t="str">
        <f>IF(ISBLANK(INDEX('Policy Characteristics'!K:K,MATCH($C1176,'Policy Characteristics'!$C:$C,0))),"",INDEX('Policy Characteristics'!K:K,MATCH($C1176,'Policy Characteristics'!$C:$C,0)))</f>
        <v>industry-ag-main.html#eff-stds</v>
      </c>
      <c r="R1176" s="275" t="str">
        <f>IF(ISBLANK(INDEX('Policy Characteristics'!L:L,MATCH($C1176,'Policy Characteristics'!$C:$C,0))),"",INDEX('Policy Characteristics'!L:L,MATCH($C1176,'Policy Characteristics'!$C:$C,0)))</f>
        <v>industry-energy-efficiency-standards.html</v>
      </c>
    </row>
    <row r="1177" spans="1:18" s="4" customFormat="1" x14ac:dyDescent="0.25">
      <c r="A1177" s="275" t="str">
        <f>IF(ISBLANK(INDEX('Policy Characteristics'!A:A,MATCH($C1177,'Policy Characteristics'!$C:$C,0))),"",INDEX('Policy Characteristics'!A:A,MATCH($C1177,'Policy Characteristics'!$C:$C,0)))</f>
        <v>Industry</v>
      </c>
      <c r="B1177" s="284" t="str">
        <f>IF(ISBLANK(INDEX('Policy Characteristics'!B:B,MATCH($C1177,'Policy Characteristics'!$C:$C,0))),"",INDEX('Policy Characteristics'!B:B,MATCH($C1177,'Policy Characteristics'!$C:$C,0)))</f>
        <v>Industry Energy Efficiency Standards</v>
      </c>
      <c r="C1177" s="275" t="str">
        <f t="shared" si="44"/>
        <v>Percentage Improvement in Eqpt Efficiency Standards above BAU</v>
      </c>
      <c r="D1177" s="6" t="s">
        <v>3090</v>
      </c>
      <c r="E1177" s="47" t="s">
        <v>2405</v>
      </c>
      <c r="F1177" t="s">
        <v>3052</v>
      </c>
      <c r="G1177" s="47" t="s">
        <v>2409</v>
      </c>
      <c r="H1177" s="44">
        <v>1162</v>
      </c>
      <c r="I1177" s="346" t="s">
        <v>43</v>
      </c>
      <c r="J1177" s="276" t="str">
        <f>IF(ISBLANK(INDEX('Policy Characteristics'!D:D,MATCH($C1177,'Policy Characteristics'!$C:$C,0))),"",INDEX('Policy Characteristics'!D:D,MATCH($C1177,'Policy Characteristics'!$C:$C,0)))</f>
        <v>Industry Energy Efficiency Standards</v>
      </c>
      <c r="K1177" s="275" t="str">
        <f>IF(ISBLANK(INDEX('Policy Characteristics'!E:E,MATCH($C1177,'Policy Characteristics'!$C:$C,0))),"",INDEX('Policy Characteristics'!E:E,MATCH($C1177,'Policy Characteristics'!$C:$C,0)))</f>
        <v>indst efficiency standards</v>
      </c>
      <c r="L1177" s="283">
        <f>IF(ISBLANK(INDEX('Policy Characteristics'!F:F,MATCH($C1177,'Policy Characteristics'!$C:$C,0))),"",INDEX('Policy Characteristics'!F:F,MATCH($C1177,'Policy Characteristics'!$C:$C,0)))</f>
        <v>0</v>
      </c>
      <c r="M1177" s="283">
        <f>IF(ISBLANK(INDEX('Policy Characteristics'!G:G,MATCH($C1177,'Policy Characteristics'!$C:$C,0))),"",INDEX('Policy Characteristics'!G:G,MATCH($C1177,'Policy Characteristics'!$C:$C,0)))</f>
        <v>0.25</v>
      </c>
      <c r="N1177" s="283">
        <f>IF(ISBLANK(INDEX('Policy Characteristics'!H:H,MATCH($C1177,'Policy Characteristics'!$C:$C,0))),"",INDEX('Policy Characteristics'!H:H,MATCH($C1177,'Policy Characteristics'!$C:$C,0)))</f>
        <v>0.01</v>
      </c>
      <c r="O1177" s="275" t="str">
        <f>IF(ISBLANK(INDEX('Policy Characteristics'!I:I,MATCH($C1177,'Policy Characteristics'!$C:$C,0))),"",INDEX('Policy Characteristics'!I:I,MATCH($C1177,'Policy Characteristics'!$C:$C,0)))</f>
        <v>% reduction in energy use</v>
      </c>
      <c r="P1177" s="275" t="str">
        <f>IF(ISBLANK(INDEX('Policy Characteristics'!J:J,MATCH($C1177,'Policy Characteristics'!$C:$C,0))),"",INDEX('Policy Characteristics'!J:J,MATCH($C1177,'Policy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7" s="275" t="str">
        <f>IF(ISBLANK(INDEX('Policy Characteristics'!K:K,MATCH($C1177,'Policy Characteristics'!$C:$C,0))),"",INDEX('Policy Characteristics'!K:K,MATCH($C1177,'Policy Characteristics'!$C:$C,0)))</f>
        <v>industry-ag-main.html#eff-stds</v>
      </c>
      <c r="R1177" s="275" t="str">
        <f>IF(ISBLANK(INDEX('Policy Characteristics'!L:L,MATCH($C1177,'Policy Characteristics'!$C:$C,0))),"",INDEX('Policy Characteristics'!L:L,MATCH($C1177,'Policy Characteristics'!$C:$C,0)))</f>
        <v>industry-energy-efficiency-standards.html</v>
      </c>
    </row>
    <row r="1178" spans="1:18" s="4" customFormat="1" x14ac:dyDescent="0.25">
      <c r="A1178" s="275" t="str">
        <f>IF(ISBLANK(INDEX('Policy Characteristics'!A:A,MATCH($C1178,'Policy Characteristics'!$C:$C,0))),"",INDEX('Policy Characteristics'!A:A,MATCH($C1178,'Policy Characteristics'!$C:$C,0)))</f>
        <v>Industry</v>
      </c>
      <c r="B1178" s="284" t="str">
        <f>IF(ISBLANK(INDEX('Policy Characteristics'!B:B,MATCH($C1178,'Policy Characteristics'!$C:$C,0))),"",INDEX('Policy Characteristics'!B:B,MATCH($C1178,'Policy Characteristics'!$C:$C,0)))</f>
        <v>Industry Energy Efficiency Standards</v>
      </c>
      <c r="C1178" s="275" t="str">
        <f t="shared" si="44"/>
        <v>Percentage Improvement in Eqpt Efficiency Standards above BAU</v>
      </c>
      <c r="D1178" s="6" t="s">
        <v>3090</v>
      </c>
      <c r="E1178" s="47" t="s">
        <v>2406</v>
      </c>
      <c r="F1178" t="s">
        <v>3052</v>
      </c>
      <c r="G1178" s="47" t="s">
        <v>2412</v>
      </c>
      <c r="H1178" s="44">
        <v>1163</v>
      </c>
      <c r="I1178" s="346" t="s">
        <v>44</v>
      </c>
      <c r="J1178" s="276" t="str">
        <f>IF(ISBLANK(INDEX('Policy Characteristics'!D:D,MATCH($C1178,'Policy Characteristics'!$C:$C,0))),"",INDEX('Policy Characteristics'!D:D,MATCH($C1178,'Policy Characteristics'!$C:$C,0)))</f>
        <v>Industry Energy Efficiency Standards</v>
      </c>
      <c r="K1178" s="275" t="str">
        <f>IF(ISBLANK(INDEX('Policy Characteristics'!E:E,MATCH($C1178,'Policy Characteristics'!$C:$C,0))),"",INDEX('Policy Characteristics'!E:E,MATCH($C1178,'Policy Characteristics'!$C:$C,0)))</f>
        <v>indst efficiency standards</v>
      </c>
      <c r="L1178" s="283">
        <f>IF(ISBLANK(INDEX('Policy Characteristics'!F:F,MATCH($C1178,'Policy Characteristics'!$C:$C,0))),"",INDEX('Policy Characteristics'!F:F,MATCH($C1178,'Policy Characteristics'!$C:$C,0)))</f>
        <v>0</v>
      </c>
      <c r="M1178" s="283">
        <f>IF(ISBLANK(INDEX('Policy Characteristics'!G:G,MATCH($C1178,'Policy Characteristics'!$C:$C,0))),"",INDEX('Policy Characteristics'!G:G,MATCH($C1178,'Policy Characteristics'!$C:$C,0)))</f>
        <v>0.25</v>
      </c>
      <c r="N1178" s="283">
        <f>IF(ISBLANK(INDEX('Policy Characteristics'!H:H,MATCH($C1178,'Policy Characteristics'!$C:$C,0))),"",INDEX('Policy Characteristics'!H:H,MATCH($C1178,'Policy Characteristics'!$C:$C,0)))</f>
        <v>0.01</v>
      </c>
      <c r="O1178" s="275" t="str">
        <f>IF(ISBLANK(INDEX('Policy Characteristics'!I:I,MATCH($C1178,'Policy Characteristics'!$C:$C,0))),"",INDEX('Policy Characteristics'!I:I,MATCH($C1178,'Policy Characteristics'!$C:$C,0)))</f>
        <v>% reduction in energy use</v>
      </c>
      <c r="P1178" s="275" t="str">
        <f>IF(ISBLANK(INDEX('Policy Characteristics'!J:J,MATCH($C1178,'Policy Characteristics'!$C:$C,0))),"",INDEX('Policy Characteristics'!J:J,MATCH($C1178,'Policy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8" s="275" t="str">
        <f>IF(ISBLANK(INDEX('Policy Characteristics'!K:K,MATCH($C1178,'Policy Characteristics'!$C:$C,0))),"",INDEX('Policy Characteristics'!K:K,MATCH($C1178,'Policy Characteristics'!$C:$C,0)))</f>
        <v>industry-ag-main.html#eff-stds</v>
      </c>
      <c r="R1178" s="275" t="str">
        <f>IF(ISBLANK(INDEX('Policy Characteristics'!L:L,MATCH($C1178,'Policy Characteristics'!$C:$C,0))),"",INDEX('Policy Characteristics'!L:L,MATCH($C1178,'Policy Characteristics'!$C:$C,0)))</f>
        <v>industry-energy-efficiency-standards.html</v>
      </c>
    </row>
    <row r="1179" spans="1:18" s="4" customFormat="1" x14ac:dyDescent="0.25">
      <c r="A1179" s="275" t="str">
        <f>IF(ISBLANK(INDEX('Policy Characteristics'!A:A,MATCH($C1179,'Policy Characteristics'!$C:$C,0))),"",INDEX('Policy Characteristics'!A:A,MATCH($C1179,'Policy Characteristics'!$C:$C,0)))</f>
        <v>Industry</v>
      </c>
      <c r="B1179" s="284" t="str">
        <f>IF(ISBLANK(INDEX('Policy Characteristics'!B:B,MATCH($C1179,'Policy Characteristics'!$C:$C,0))),"",INDEX('Policy Characteristics'!B:B,MATCH($C1179,'Policy Characteristics'!$C:$C,0)))</f>
        <v>Industry Energy Efficiency Standards</v>
      </c>
      <c r="C1179" s="275" t="str">
        <f t="shared" si="44"/>
        <v>Percentage Improvement in Eqpt Efficiency Standards above BAU</v>
      </c>
      <c r="D1179" s="6" t="s">
        <v>3090</v>
      </c>
      <c r="E1179" s="47" t="s">
        <v>2709</v>
      </c>
      <c r="F1179" t="s">
        <v>3052</v>
      </c>
      <c r="G1179" s="47" t="s">
        <v>2712</v>
      </c>
      <c r="H1179" s="44">
        <v>1164</v>
      </c>
      <c r="I1179" s="346" t="s">
        <v>44</v>
      </c>
      <c r="J1179" s="276" t="str">
        <f>IF(ISBLANK(INDEX('Policy Characteristics'!D:D,MATCH($C1179,'Policy Characteristics'!$C:$C,0))),"",INDEX('Policy Characteristics'!D:D,MATCH($C1179,'Policy Characteristics'!$C:$C,0)))</f>
        <v>Industry Energy Efficiency Standards</v>
      </c>
      <c r="K1179" s="275" t="str">
        <f>IF(ISBLANK(INDEX('Policy Characteristics'!E:E,MATCH($C1179,'Policy Characteristics'!$C:$C,0))),"",INDEX('Policy Characteristics'!E:E,MATCH($C1179,'Policy Characteristics'!$C:$C,0)))</f>
        <v>indst efficiency standards</v>
      </c>
      <c r="L1179" s="283">
        <f>IF(ISBLANK(INDEX('Policy Characteristics'!F:F,MATCH($C1179,'Policy Characteristics'!$C:$C,0))),"",INDEX('Policy Characteristics'!F:F,MATCH($C1179,'Policy Characteristics'!$C:$C,0)))</f>
        <v>0</v>
      </c>
      <c r="M1179" s="283">
        <f>IF(ISBLANK(INDEX('Policy Characteristics'!G:G,MATCH($C1179,'Policy Characteristics'!$C:$C,0))),"",INDEX('Policy Characteristics'!G:G,MATCH($C1179,'Policy Characteristics'!$C:$C,0)))</f>
        <v>0.25</v>
      </c>
      <c r="N1179" s="283">
        <f>IF(ISBLANK(INDEX('Policy Characteristics'!H:H,MATCH($C1179,'Policy Characteristics'!$C:$C,0))),"",INDEX('Policy Characteristics'!H:H,MATCH($C1179,'Policy Characteristics'!$C:$C,0)))</f>
        <v>0.01</v>
      </c>
      <c r="O1179" s="275" t="str">
        <f>IF(ISBLANK(INDEX('Policy Characteristics'!I:I,MATCH($C1179,'Policy Characteristics'!$C:$C,0))),"",INDEX('Policy Characteristics'!I:I,MATCH($C1179,'Policy Characteristics'!$C:$C,0)))</f>
        <v>% reduction in energy use</v>
      </c>
      <c r="P1179" s="275" t="str">
        <f>IF(ISBLANK(INDEX('Policy Characteristics'!J:J,MATCH($C1179,'Policy Characteristics'!$C:$C,0))),"",INDEX('Policy Characteristics'!J:J,MATCH($C1179,'Policy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9" s="275" t="str">
        <f>IF(ISBLANK(INDEX('Policy Characteristics'!K:K,MATCH($C1179,'Policy Characteristics'!$C:$C,0))),"",INDEX('Policy Characteristics'!K:K,MATCH($C1179,'Policy Characteristics'!$C:$C,0)))</f>
        <v>industry-ag-main.html#eff-stds</v>
      </c>
      <c r="R1179" s="275" t="str">
        <f>IF(ISBLANK(INDEX('Policy Characteristics'!L:L,MATCH($C1179,'Policy Characteristics'!$C:$C,0))),"",INDEX('Policy Characteristics'!L:L,MATCH($C1179,'Policy Characteristics'!$C:$C,0)))</f>
        <v>industry-energy-efficiency-standards.html</v>
      </c>
    </row>
    <row r="1180" spans="1:18" s="4" customFormat="1" x14ac:dyDescent="0.25">
      <c r="A1180" s="275" t="str">
        <f>IF(ISBLANK(INDEX('Policy Characteristics'!A:A,MATCH($C1180,'Policy Characteristics'!$C:$C,0))),"",INDEX('Policy Characteristics'!A:A,MATCH($C1180,'Policy Characteristics'!$C:$C,0)))</f>
        <v>Industry</v>
      </c>
      <c r="B1180" s="284" t="str">
        <f>IF(ISBLANK(INDEX('Policy Characteristics'!B:B,MATCH($C1180,'Policy Characteristics'!$C:$C,0))),"",INDEX('Policy Characteristics'!B:B,MATCH($C1180,'Policy Characteristics'!$C:$C,0)))</f>
        <v>Industry Energy Efficiency Standards</v>
      </c>
      <c r="C1180" s="275" t="str">
        <f t="shared" si="44"/>
        <v>Percentage Improvement in Eqpt Efficiency Standards above BAU</v>
      </c>
      <c r="D1180" s="6" t="s">
        <v>3090</v>
      </c>
      <c r="E1180" s="47" t="s">
        <v>2710</v>
      </c>
      <c r="F1180" t="s">
        <v>3052</v>
      </c>
      <c r="G1180" s="47" t="s">
        <v>2714</v>
      </c>
      <c r="H1180" s="44">
        <v>1165</v>
      </c>
      <c r="I1180" s="346" t="s">
        <v>43</v>
      </c>
      <c r="J1180" s="276" t="str">
        <f>IF(ISBLANK(INDEX('Policy Characteristics'!D:D,MATCH($C1180,'Policy Characteristics'!$C:$C,0))),"",INDEX('Policy Characteristics'!D:D,MATCH($C1180,'Policy Characteristics'!$C:$C,0)))</f>
        <v>Industry Energy Efficiency Standards</v>
      </c>
      <c r="K1180" s="275" t="str">
        <f>IF(ISBLANK(INDEX('Policy Characteristics'!E:E,MATCH($C1180,'Policy Characteristics'!$C:$C,0))),"",INDEX('Policy Characteristics'!E:E,MATCH($C1180,'Policy Characteristics'!$C:$C,0)))</f>
        <v>indst efficiency standards</v>
      </c>
      <c r="L1180" s="283">
        <f>IF(ISBLANK(INDEX('Policy Characteristics'!F:F,MATCH($C1180,'Policy Characteristics'!$C:$C,0))),"",INDEX('Policy Characteristics'!F:F,MATCH($C1180,'Policy Characteristics'!$C:$C,0)))</f>
        <v>0</v>
      </c>
      <c r="M1180" s="283">
        <f>IF(ISBLANK(INDEX('Policy Characteristics'!G:G,MATCH($C1180,'Policy Characteristics'!$C:$C,0))),"",INDEX('Policy Characteristics'!G:G,MATCH($C1180,'Policy Characteristics'!$C:$C,0)))</f>
        <v>0.25</v>
      </c>
      <c r="N1180" s="283">
        <f>IF(ISBLANK(INDEX('Policy Characteristics'!H:H,MATCH($C1180,'Policy Characteristics'!$C:$C,0))),"",INDEX('Policy Characteristics'!H:H,MATCH($C1180,'Policy Characteristics'!$C:$C,0)))</f>
        <v>0.01</v>
      </c>
      <c r="O1180" s="275" t="str">
        <f>IF(ISBLANK(INDEX('Policy Characteristics'!I:I,MATCH($C1180,'Policy Characteristics'!$C:$C,0))),"",INDEX('Policy Characteristics'!I:I,MATCH($C1180,'Policy Characteristics'!$C:$C,0)))</f>
        <v>% reduction in energy use</v>
      </c>
      <c r="P1180" s="275" t="str">
        <f>IF(ISBLANK(INDEX('Policy Characteristics'!J:J,MATCH($C1180,'Policy Characteristics'!$C:$C,0))),"",INDEX('Policy Characteristics'!J:J,MATCH($C1180,'Policy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0" s="275" t="str">
        <f>IF(ISBLANK(INDEX('Policy Characteristics'!K:K,MATCH($C1180,'Policy Characteristics'!$C:$C,0))),"",INDEX('Policy Characteristics'!K:K,MATCH($C1180,'Policy Characteristics'!$C:$C,0)))</f>
        <v>industry-ag-main.html#eff-stds</v>
      </c>
      <c r="R1180" s="275" t="str">
        <f>IF(ISBLANK(INDEX('Policy Characteristics'!L:L,MATCH($C1180,'Policy Characteristics'!$C:$C,0))),"",INDEX('Policy Characteristics'!L:L,MATCH($C1180,'Policy Characteristics'!$C:$C,0)))</f>
        <v>industry-energy-efficiency-standards.html</v>
      </c>
    </row>
    <row r="1181" spans="1:18" s="4" customFormat="1" x14ac:dyDescent="0.25">
      <c r="A1181" s="275" t="str">
        <f>IF(ISBLANK(INDEX('Policy Characteristics'!A:A,MATCH($C1181,'Policy Characteristics'!$C:$C,0))),"",INDEX('Policy Characteristics'!A:A,MATCH($C1181,'Policy Characteristics'!$C:$C,0)))</f>
        <v>Industry</v>
      </c>
      <c r="B1181" s="284" t="str">
        <f>IF(ISBLANK(INDEX('Policy Characteristics'!B:B,MATCH($C1181,'Policy Characteristics'!$C:$C,0))),"",INDEX('Policy Characteristics'!B:B,MATCH($C1181,'Policy Characteristics'!$C:$C,0)))</f>
        <v>Industry Energy Efficiency Standards</v>
      </c>
      <c r="C1181" s="275" t="str">
        <f t="shared" si="44"/>
        <v>Percentage Improvement in Eqpt Efficiency Standards above BAU</v>
      </c>
      <c r="D1181" s="6" t="s">
        <v>3090</v>
      </c>
      <c r="E1181" s="47" t="s">
        <v>2711</v>
      </c>
      <c r="F1181" t="s">
        <v>3052</v>
      </c>
      <c r="G1181" s="47" t="s">
        <v>2715</v>
      </c>
      <c r="H1181" s="44">
        <v>1166</v>
      </c>
      <c r="I1181" s="346" t="s">
        <v>43</v>
      </c>
      <c r="J1181" s="276" t="str">
        <f>IF(ISBLANK(INDEX('Policy Characteristics'!D:D,MATCH($C1181,'Policy Characteristics'!$C:$C,0))),"",INDEX('Policy Characteristics'!D:D,MATCH($C1181,'Policy Characteristics'!$C:$C,0)))</f>
        <v>Industry Energy Efficiency Standards</v>
      </c>
      <c r="K1181" s="275" t="str">
        <f>IF(ISBLANK(INDEX('Policy Characteristics'!E:E,MATCH($C1181,'Policy Characteristics'!$C:$C,0))),"",INDEX('Policy Characteristics'!E:E,MATCH($C1181,'Policy Characteristics'!$C:$C,0)))</f>
        <v>indst efficiency standards</v>
      </c>
      <c r="L1181" s="283">
        <f>IF(ISBLANK(INDEX('Policy Characteristics'!F:F,MATCH($C1181,'Policy Characteristics'!$C:$C,0))),"",INDEX('Policy Characteristics'!F:F,MATCH($C1181,'Policy Characteristics'!$C:$C,0)))</f>
        <v>0</v>
      </c>
      <c r="M1181" s="283">
        <f>IF(ISBLANK(INDEX('Policy Characteristics'!G:G,MATCH($C1181,'Policy Characteristics'!$C:$C,0))),"",INDEX('Policy Characteristics'!G:G,MATCH($C1181,'Policy Characteristics'!$C:$C,0)))</f>
        <v>0.25</v>
      </c>
      <c r="N1181" s="283">
        <f>IF(ISBLANK(INDEX('Policy Characteristics'!H:H,MATCH($C1181,'Policy Characteristics'!$C:$C,0))),"",INDEX('Policy Characteristics'!H:H,MATCH($C1181,'Policy Characteristics'!$C:$C,0)))</f>
        <v>0.01</v>
      </c>
      <c r="O1181" s="275" t="str">
        <f>IF(ISBLANK(INDEX('Policy Characteristics'!I:I,MATCH($C1181,'Policy Characteristics'!$C:$C,0))),"",INDEX('Policy Characteristics'!I:I,MATCH($C1181,'Policy Characteristics'!$C:$C,0)))</f>
        <v>% reduction in energy use</v>
      </c>
      <c r="P1181" s="275" t="str">
        <f>IF(ISBLANK(INDEX('Policy Characteristics'!J:J,MATCH($C1181,'Policy Characteristics'!$C:$C,0))),"",INDEX('Policy Characteristics'!J:J,MATCH($C1181,'Policy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1" s="275" t="str">
        <f>IF(ISBLANK(INDEX('Policy Characteristics'!K:K,MATCH($C1181,'Policy Characteristics'!$C:$C,0))),"",INDEX('Policy Characteristics'!K:K,MATCH($C1181,'Policy Characteristics'!$C:$C,0)))</f>
        <v>industry-ag-main.html#eff-stds</v>
      </c>
      <c r="R1181" s="275" t="str">
        <f>IF(ISBLANK(INDEX('Policy Characteristics'!L:L,MATCH($C1181,'Policy Characteristics'!$C:$C,0))),"",INDEX('Policy Characteristics'!L:L,MATCH($C1181,'Policy Characteristics'!$C:$C,0)))</f>
        <v>industry-energy-efficiency-standards.html</v>
      </c>
    </row>
    <row r="1182" spans="1:18" s="4" customFormat="1" x14ac:dyDescent="0.25">
      <c r="A1182" s="275" t="str">
        <f>IF(ISBLANK(INDEX('Policy Characteristics'!A:A,MATCH($C1182,'Policy Characteristics'!$C:$C,0))),"",INDEX('Policy Characteristics'!A:A,MATCH($C1182,'Policy Characteristics'!$C:$C,0)))</f>
        <v>Industry</v>
      </c>
      <c r="B1182" s="284" t="str">
        <f>IF(ISBLANK(INDEX('Policy Characteristics'!B:B,MATCH($C1182,'Policy Characteristics'!$C:$C,0))),"",INDEX('Policy Characteristics'!B:B,MATCH($C1182,'Policy Characteristics'!$C:$C,0)))</f>
        <v>Industry Energy Efficiency Standards</v>
      </c>
      <c r="C1182" s="275" t="str">
        <f t="shared" si="44"/>
        <v>Percentage Improvement in Eqpt Efficiency Standards above BAU</v>
      </c>
      <c r="D1182" s="6" t="s">
        <v>3090</v>
      </c>
      <c r="E1182" s="47" t="s">
        <v>2708</v>
      </c>
      <c r="F1182" t="s">
        <v>3052</v>
      </c>
      <c r="G1182" s="47" t="s">
        <v>2713</v>
      </c>
      <c r="H1182" s="44">
        <v>1167</v>
      </c>
      <c r="I1182" s="346" t="s">
        <v>44</v>
      </c>
      <c r="J1182" s="276" t="str">
        <f>IF(ISBLANK(INDEX('Policy Characteristics'!D:D,MATCH($C1182,'Policy Characteristics'!$C:$C,0))),"",INDEX('Policy Characteristics'!D:D,MATCH($C1182,'Policy Characteristics'!$C:$C,0)))</f>
        <v>Industry Energy Efficiency Standards</v>
      </c>
      <c r="K1182" s="275" t="str">
        <f>IF(ISBLANK(INDEX('Policy Characteristics'!E:E,MATCH($C1182,'Policy Characteristics'!$C:$C,0))),"",INDEX('Policy Characteristics'!E:E,MATCH($C1182,'Policy Characteristics'!$C:$C,0)))</f>
        <v>indst efficiency standards</v>
      </c>
      <c r="L1182" s="283">
        <f>IF(ISBLANK(INDEX('Policy Characteristics'!F:F,MATCH($C1182,'Policy Characteristics'!$C:$C,0))),"",INDEX('Policy Characteristics'!F:F,MATCH($C1182,'Policy Characteristics'!$C:$C,0)))</f>
        <v>0</v>
      </c>
      <c r="M1182" s="283">
        <f>IF(ISBLANK(INDEX('Policy Characteristics'!G:G,MATCH($C1182,'Policy Characteristics'!$C:$C,0))),"",INDEX('Policy Characteristics'!G:G,MATCH($C1182,'Policy Characteristics'!$C:$C,0)))</f>
        <v>0.25</v>
      </c>
      <c r="N1182" s="283">
        <f>IF(ISBLANK(INDEX('Policy Characteristics'!H:H,MATCH($C1182,'Policy Characteristics'!$C:$C,0))),"",INDEX('Policy Characteristics'!H:H,MATCH($C1182,'Policy Characteristics'!$C:$C,0)))</f>
        <v>0.01</v>
      </c>
      <c r="O1182" s="275" t="str">
        <f>IF(ISBLANK(INDEX('Policy Characteristics'!I:I,MATCH($C1182,'Policy Characteristics'!$C:$C,0))),"",INDEX('Policy Characteristics'!I:I,MATCH($C1182,'Policy Characteristics'!$C:$C,0)))</f>
        <v>% reduction in energy use</v>
      </c>
      <c r="P1182" s="275" t="str">
        <f>IF(ISBLANK(INDEX('Policy Characteristics'!J:J,MATCH($C1182,'Policy Characteristics'!$C:$C,0))),"",INDEX('Policy Characteristics'!J:J,MATCH($C1182,'Policy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2" s="275" t="str">
        <f>IF(ISBLANK(INDEX('Policy Characteristics'!K:K,MATCH($C1182,'Policy Characteristics'!$C:$C,0))),"",INDEX('Policy Characteristics'!K:K,MATCH($C1182,'Policy Characteristics'!$C:$C,0)))</f>
        <v>industry-ag-main.html#eff-stds</v>
      </c>
      <c r="R1182" s="275" t="str">
        <f>IF(ISBLANK(INDEX('Policy Characteristics'!L:L,MATCH($C1182,'Policy Characteristics'!$C:$C,0))),"",INDEX('Policy Characteristics'!L:L,MATCH($C1182,'Policy Characteristics'!$C:$C,0)))</f>
        <v>industry-energy-efficiency-standards.html</v>
      </c>
    </row>
    <row r="1183" spans="1:18" s="4" customFormat="1" x14ac:dyDescent="0.25">
      <c r="A1183" s="275" t="str">
        <f>IF(ISBLANK(INDEX('Policy Characteristics'!A:A,MATCH($C1183,'Policy Characteristics'!$C:$C,0))),"",INDEX('Policy Characteristics'!A:A,MATCH($C1183,'Policy Characteristics'!$C:$C,0)))</f>
        <v>Industry</v>
      </c>
      <c r="B1183" s="284" t="str">
        <f>IF(ISBLANK(INDEX('Policy Characteristics'!B:B,MATCH($C1183,'Policy Characteristics'!$C:$C,0))),"",INDEX('Policy Characteristics'!B:B,MATCH($C1183,'Policy Characteristics'!$C:$C,0)))</f>
        <v>Industry Energy Efficiency Standards</v>
      </c>
      <c r="C1183" s="275" t="str">
        <f t="shared" si="44"/>
        <v>Percentage Improvement in Eqpt Efficiency Standards above BAU</v>
      </c>
      <c r="D1183" s="6" t="s">
        <v>3091</v>
      </c>
      <c r="E1183" s="47" t="s">
        <v>2401</v>
      </c>
      <c r="F1183" t="s">
        <v>3053</v>
      </c>
      <c r="G1183" s="47" t="s">
        <v>2407</v>
      </c>
      <c r="H1183" s="44">
        <v>1168</v>
      </c>
      <c r="I1183" s="346" t="s">
        <v>43</v>
      </c>
      <c r="J1183" s="276" t="str">
        <f>IF(ISBLANK(INDEX('Policy Characteristics'!D:D,MATCH($C1183,'Policy Characteristics'!$C:$C,0))),"",INDEX('Policy Characteristics'!D:D,MATCH($C1183,'Policy Characteristics'!$C:$C,0)))</f>
        <v>Industry Energy Efficiency Standards</v>
      </c>
      <c r="K1183" s="275" t="str">
        <f>IF(ISBLANK(INDEX('Policy Characteristics'!E:E,MATCH($C1183,'Policy Characteristics'!$C:$C,0))),"",INDEX('Policy Characteristics'!E:E,MATCH($C1183,'Policy Characteristics'!$C:$C,0)))</f>
        <v>indst efficiency standards</v>
      </c>
      <c r="L1183" s="283">
        <f>IF(ISBLANK(INDEX('Policy Characteristics'!F:F,MATCH($C1183,'Policy Characteristics'!$C:$C,0))),"",INDEX('Policy Characteristics'!F:F,MATCH($C1183,'Policy Characteristics'!$C:$C,0)))</f>
        <v>0</v>
      </c>
      <c r="M1183" s="283">
        <f>IF(ISBLANK(INDEX('Policy Characteristics'!G:G,MATCH($C1183,'Policy Characteristics'!$C:$C,0))),"",INDEX('Policy Characteristics'!G:G,MATCH($C1183,'Policy Characteristics'!$C:$C,0)))</f>
        <v>0.25</v>
      </c>
      <c r="N1183" s="283">
        <f>IF(ISBLANK(INDEX('Policy Characteristics'!H:H,MATCH($C1183,'Policy Characteristics'!$C:$C,0))),"",INDEX('Policy Characteristics'!H:H,MATCH($C1183,'Policy Characteristics'!$C:$C,0)))</f>
        <v>0.01</v>
      </c>
      <c r="O1183" s="275" t="str">
        <f>IF(ISBLANK(INDEX('Policy Characteristics'!I:I,MATCH($C1183,'Policy Characteristics'!$C:$C,0))),"",INDEX('Policy Characteristics'!I:I,MATCH($C1183,'Policy Characteristics'!$C:$C,0)))</f>
        <v>% reduction in energy use</v>
      </c>
      <c r="P1183" s="275" t="str">
        <f>IF(ISBLANK(INDEX('Policy Characteristics'!J:J,MATCH($C1183,'Policy Characteristics'!$C:$C,0))),"",INDEX('Policy Characteristics'!J:J,MATCH($C1183,'Policy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3" s="275" t="str">
        <f>IF(ISBLANK(INDEX('Policy Characteristics'!K:K,MATCH($C1183,'Policy Characteristics'!$C:$C,0))),"",INDEX('Policy Characteristics'!K:K,MATCH($C1183,'Policy Characteristics'!$C:$C,0)))</f>
        <v>industry-ag-main.html#eff-stds</v>
      </c>
      <c r="R1183" s="275" t="str">
        <f>IF(ISBLANK(INDEX('Policy Characteristics'!L:L,MATCH($C1183,'Policy Characteristics'!$C:$C,0))),"",INDEX('Policy Characteristics'!L:L,MATCH($C1183,'Policy Characteristics'!$C:$C,0)))</f>
        <v>industry-energy-efficiency-standards.html</v>
      </c>
    </row>
    <row r="1184" spans="1:18" s="4" customFormat="1" x14ac:dyDescent="0.25">
      <c r="A1184" s="275" t="str">
        <f>IF(ISBLANK(INDEX('Policy Characteristics'!A:A,MATCH($C1184,'Policy Characteristics'!$C:$C,0))),"",INDEX('Policy Characteristics'!A:A,MATCH($C1184,'Policy Characteristics'!$C:$C,0)))</f>
        <v>Industry</v>
      </c>
      <c r="B1184" s="284" t="str">
        <f>IF(ISBLANK(INDEX('Policy Characteristics'!B:B,MATCH($C1184,'Policy Characteristics'!$C:$C,0))),"",INDEX('Policy Characteristics'!B:B,MATCH($C1184,'Policy Characteristics'!$C:$C,0)))</f>
        <v>Industry Energy Efficiency Standards</v>
      </c>
      <c r="C1184" s="275" t="str">
        <f t="shared" si="44"/>
        <v>Percentage Improvement in Eqpt Efficiency Standards above BAU</v>
      </c>
      <c r="D1184" s="6" t="s">
        <v>3091</v>
      </c>
      <c r="E1184" s="47" t="s">
        <v>2402</v>
      </c>
      <c r="F1184" t="s">
        <v>3053</v>
      </c>
      <c r="G1184" s="47" t="s">
        <v>2410</v>
      </c>
      <c r="H1184" s="44">
        <v>1169</v>
      </c>
      <c r="I1184" s="346" t="s">
        <v>43</v>
      </c>
      <c r="J1184" s="276" t="str">
        <f>IF(ISBLANK(INDEX('Policy Characteristics'!D:D,MATCH($C1184,'Policy Characteristics'!$C:$C,0))),"",INDEX('Policy Characteristics'!D:D,MATCH($C1184,'Policy Characteristics'!$C:$C,0)))</f>
        <v>Industry Energy Efficiency Standards</v>
      </c>
      <c r="K1184" s="275" t="str">
        <f>IF(ISBLANK(INDEX('Policy Characteristics'!E:E,MATCH($C1184,'Policy Characteristics'!$C:$C,0))),"",INDEX('Policy Characteristics'!E:E,MATCH($C1184,'Policy Characteristics'!$C:$C,0)))</f>
        <v>indst efficiency standards</v>
      </c>
      <c r="L1184" s="283">
        <f>IF(ISBLANK(INDEX('Policy Characteristics'!F:F,MATCH($C1184,'Policy Characteristics'!$C:$C,0))),"",INDEX('Policy Characteristics'!F:F,MATCH($C1184,'Policy Characteristics'!$C:$C,0)))</f>
        <v>0</v>
      </c>
      <c r="M1184" s="283">
        <f>IF(ISBLANK(INDEX('Policy Characteristics'!G:G,MATCH($C1184,'Policy Characteristics'!$C:$C,0))),"",INDEX('Policy Characteristics'!G:G,MATCH($C1184,'Policy Characteristics'!$C:$C,0)))</f>
        <v>0.25</v>
      </c>
      <c r="N1184" s="283">
        <f>IF(ISBLANK(INDEX('Policy Characteristics'!H:H,MATCH($C1184,'Policy Characteristics'!$C:$C,0))),"",INDEX('Policy Characteristics'!H:H,MATCH($C1184,'Policy Characteristics'!$C:$C,0)))</f>
        <v>0.01</v>
      </c>
      <c r="O1184" s="275" t="str">
        <f>IF(ISBLANK(INDEX('Policy Characteristics'!I:I,MATCH($C1184,'Policy Characteristics'!$C:$C,0))),"",INDEX('Policy Characteristics'!I:I,MATCH($C1184,'Policy Characteristics'!$C:$C,0)))</f>
        <v>% reduction in energy use</v>
      </c>
      <c r="P1184" s="275" t="str">
        <f>IF(ISBLANK(INDEX('Policy Characteristics'!J:J,MATCH($C1184,'Policy Characteristics'!$C:$C,0))),"",INDEX('Policy Characteristics'!J:J,MATCH($C1184,'Policy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4" s="275" t="str">
        <f>IF(ISBLANK(INDEX('Policy Characteristics'!K:K,MATCH($C1184,'Policy Characteristics'!$C:$C,0))),"",INDEX('Policy Characteristics'!K:K,MATCH($C1184,'Policy Characteristics'!$C:$C,0)))</f>
        <v>industry-ag-main.html#eff-stds</v>
      </c>
      <c r="R1184" s="275" t="str">
        <f>IF(ISBLANK(INDEX('Policy Characteristics'!L:L,MATCH($C1184,'Policy Characteristics'!$C:$C,0))),"",INDEX('Policy Characteristics'!L:L,MATCH($C1184,'Policy Characteristics'!$C:$C,0)))</f>
        <v>industry-energy-efficiency-standards.html</v>
      </c>
    </row>
    <row r="1185" spans="1:18" s="4" customFormat="1" x14ac:dyDescent="0.25">
      <c r="A1185" s="275" t="str">
        <f>IF(ISBLANK(INDEX('Policy Characteristics'!A:A,MATCH($C1185,'Policy Characteristics'!$C:$C,0))),"",INDEX('Policy Characteristics'!A:A,MATCH($C1185,'Policy Characteristics'!$C:$C,0)))</f>
        <v>Industry</v>
      </c>
      <c r="B1185" s="284" t="str">
        <f>IF(ISBLANK(INDEX('Policy Characteristics'!B:B,MATCH($C1185,'Policy Characteristics'!$C:$C,0))),"",INDEX('Policy Characteristics'!B:B,MATCH($C1185,'Policy Characteristics'!$C:$C,0)))</f>
        <v>Industry Energy Efficiency Standards</v>
      </c>
      <c r="C1185" s="275" t="str">
        <f t="shared" si="44"/>
        <v>Percentage Improvement in Eqpt Efficiency Standards above BAU</v>
      </c>
      <c r="D1185" s="6" t="s">
        <v>3091</v>
      </c>
      <c r="E1185" s="47" t="s">
        <v>2403</v>
      </c>
      <c r="F1185" t="s">
        <v>3053</v>
      </c>
      <c r="G1185" s="47" t="s">
        <v>2411</v>
      </c>
      <c r="H1185" s="44">
        <v>1170</v>
      </c>
      <c r="I1185" s="346" t="s">
        <v>43</v>
      </c>
      <c r="J1185" s="276" t="str">
        <f>IF(ISBLANK(INDEX('Policy Characteristics'!D:D,MATCH($C1185,'Policy Characteristics'!$C:$C,0))),"",INDEX('Policy Characteristics'!D:D,MATCH($C1185,'Policy Characteristics'!$C:$C,0)))</f>
        <v>Industry Energy Efficiency Standards</v>
      </c>
      <c r="K1185" s="275" t="str">
        <f>IF(ISBLANK(INDEX('Policy Characteristics'!E:E,MATCH($C1185,'Policy Characteristics'!$C:$C,0))),"",INDEX('Policy Characteristics'!E:E,MATCH($C1185,'Policy Characteristics'!$C:$C,0)))</f>
        <v>indst efficiency standards</v>
      </c>
      <c r="L1185" s="283">
        <f>IF(ISBLANK(INDEX('Policy Characteristics'!F:F,MATCH($C1185,'Policy Characteristics'!$C:$C,0))),"",INDEX('Policy Characteristics'!F:F,MATCH($C1185,'Policy Characteristics'!$C:$C,0)))</f>
        <v>0</v>
      </c>
      <c r="M1185" s="283">
        <f>IF(ISBLANK(INDEX('Policy Characteristics'!G:G,MATCH($C1185,'Policy Characteristics'!$C:$C,0))),"",INDEX('Policy Characteristics'!G:G,MATCH($C1185,'Policy Characteristics'!$C:$C,0)))</f>
        <v>0.25</v>
      </c>
      <c r="N1185" s="283">
        <f>IF(ISBLANK(INDEX('Policy Characteristics'!H:H,MATCH($C1185,'Policy Characteristics'!$C:$C,0))),"",INDEX('Policy Characteristics'!H:H,MATCH($C1185,'Policy Characteristics'!$C:$C,0)))</f>
        <v>0.01</v>
      </c>
      <c r="O1185" s="275" t="str">
        <f>IF(ISBLANK(INDEX('Policy Characteristics'!I:I,MATCH($C1185,'Policy Characteristics'!$C:$C,0))),"",INDEX('Policy Characteristics'!I:I,MATCH($C1185,'Policy Characteristics'!$C:$C,0)))</f>
        <v>% reduction in energy use</v>
      </c>
      <c r="P1185" s="275" t="str">
        <f>IF(ISBLANK(INDEX('Policy Characteristics'!J:J,MATCH($C1185,'Policy Characteristics'!$C:$C,0))),"",INDEX('Policy Characteristics'!J:J,MATCH($C1185,'Policy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5" s="275" t="str">
        <f>IF(ISBLANK(INDEX('Policy Characteristics'!K:K,MATCH($C1185,'Policy Characteristics'!$C:$C,0))),"",INDEX('Policy Characteristics'!K:K,MATCH($C1185,'Policy Characteristics'!$C:$C,0)))</f>
        <v>industry-ag-main.html#eff-stds</v>
      </c>
      <c r="R1185" s="275" t="str">
        <f>IF(ISBLANK(INDEX('Policy Characteristics'!L:L,MATCH($C1185,'Policy Characteristics'!$C:$C,0))),"",INDEX('Policy Characteristics'!L:L,MATCH($C1185,'Policy Characteristics'!$C:$C,0)))</f>
        <v>industry-energy-efficiency-standards.html</v>
      </c>
    </row>
    <row r="1186" spans="1:18" s="4" customFormat="1" x14ac:dyDescent="0.25">
      <c r="A1186" s="275" t="str">
        <f>IF(ISBLANK(INDEX('Policy Characteristics'!A:A,MATCH($C1186,'Policy Characteristics'!$C:$C,0))),"",INDEX('Policy Characteristics'!A:A,MATCH($C1186,'Policy Characteristics'!$C:$C,0)))</f>
        <v>Industry</v>
      </c>
      <c r="B1186" s="284" t="str">
        <f>IF(ISBLANK(INDEX('Policy Characteristics'!B:B,MATCH($C1186,'Policy Characteristics'!$C:$C,0))),"",INDEX('Policy Characteristics'!B:B,MATCH($C1186,'Policy Characteristics'!$C:$C,0)))</f>
        <v>Industry Energy Efficiency Standards</v>
      </c>
      <c r="C1186" s="275" t="str">
        <f t="shared" si="44"/>
        <v>Percentage Improvement in Eqpt Efficiency Standards above BAU</v>
      </c>
      <c r="D1186" s="6" t="s">
        <v>3091</v>
      </c>
      <c r="E1186" s="47" t="s">
        <v>2404</v>
      </c>
      <c r="F1186" t="s">
        <v>3053</v>
      </c>
      <c r="G1186" s="47" t="s">
        <v>2408</v>
      </c>
      <c r="H1186" s="44">
        <v>1171</v>
      </c>
      <c r="I1186" s="346" t="s">
        <v>44</v>
      </c>
      <c r="J1186" s="276" t="str">
        <f>IF(ISBLANK(INDEX('Policy Characteristics'!D:D,MATCH($C1186,'Policy Characteristics'!$C:$C,0))),"",INDEX('Policy Characteristics'!D:D,MATCH($C1186,'Policy Characteristics'!$C:$C,0)))</f>
        <v>Industry Energy Efficiency Standards</v>
      </c>
      <c r="K1186" s="275" t="str">
        <f>IF(ISBLANK(INDEX('Policy Characteristics'!E:E,MATCH($C1186,'Policy Characteristics'!$C:$C,0))),"",INDEX('Policy Characteristics'!E:E,MATCH($C1186,'Policy Characteristics'!$C:$C,0)))</f>
        <v>indst efficiency standards</v>
      </c>
      <c r="L1186" s="283">
        <f>IF(ISBLANK(INDEX('Policy Characteristics'!F:F,MATCH($C1186,'Policy Characteristics'!$C:$C,0))),"",INDEX('Policy Characteristics'!F:F,MATCH($C1186,'Policy Characteristics'!$C:$C,0)))</f>
        <v>0</v>
      </c>
      <c r="M1186" s="283">
        <f>IF(ISBLANK(INDEX('Policy Characteristics'!G:G,MATCH($C1186,'Policy Characteristics'!$C:$C,0))),"",INDEX('Policy Characteristics'!G:G,MATCH($C1186,'Policy Characteristics'!$C:$C,0)))</f>
        <v>0.25</v>
      </c>
      <c r="N1186" s="283">
        <f>IF(ISBLANK(INDEX('Policy Characteristics'!H:H,MATCH($C1186,'Policy Characteristics'!$C:$C,0))),"",INDEX('Policy Characteristics'!H:H,MATCH($C1186,'Policy Characteristics'!$C:$C,0)))</f>
        <v>0.01</v>
      </c>
      <c r="O1186" s="275" t="str">
        <f>IF(ISBLANK(INDEX('Policy Characteristics'!I:I,MATCH($C1186,'Policy Characteristics'!$C:$C,0))),"",INDEX('Policy Characteristics'!I:I,MATCH($C1186,'Policy Characteristics'!$C:$C,0)))</f>
        <v>% reduction in energy use</v>
      </c>
      <c r="P1186" s="275" t="str">
        <f>IF(ISBLANK(INDEX('Policy Characteristics'!J:J,MATCH($C1186,'Policy Characteristics'!$C:$C,0))),"",INDEX('Policy Characteristics'!J:J,MATCH($C1186,'Policy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6" s="275" t="str">
        <f>IF(ISBLANK(INDEX('Policy Characteristics'!K:K,MATCH($C1186,'Policy Characteristics'!$C:$C,0))),"",INDEX('Policy Characteristics'!K:K,MATCH($C1186,'Policy Characteristics'!$C:$C,0)))</f>
        <v>industry-ag-main.html#eff-stds</v>
      </c>
      <c r="R1186" s="275" t="str">
        <f>IF(ISBLANK(INDEX('Policy Characteristics'!L:L,MATCH($C1186,'Policy Characteristics'!$C:$C,0))),"",INDEX('Policy Characteristics'!L:L,MATCH($C1186,'Policy Characteristics'!$C:$C,0)))</f>
        <v>industry-energy-efficiency-standards.html</v>
      </c>
    </row>
    <row r="1187" spans="1:18" s="4" customFormat="1" x14ac:dyDescent="0.25">
      <c r="A1187" s="275" t="str">
        <f>IF(ISBLANK(INDEX('Policy Characteristics'!A:A,MATCH($C1187,'Policy Characteristics'!$C:$C,0))),"",INDEX('Policy Characteristics'!A:A,MATCH($C1187,'Policy Characteristics'!$C:$C,0)))</f>
        <v>Industry</v>
      </c>
      <c r="B1187" s="284" t="str">
        <f>IF(ISBLANK(INDEX('Policy Characteristics'!B:B,MATCH($C1187,'Policy Characteristics'!$C:$C,0))),"",INDEX('Policy Characteristics'!B:B,MATCH($C1187,'Policy Characteristics'!$C:$C,0)))</f>
        <v>Industry Energy Efficiency Standards</v>
      </c>
      <c r="C1187" s="275" t="str">
        <f t="shared" si="44"/>
        <v>Percentage Improvement in Eqpt Efficiency Standards above BAU</v>
      </c>
      <c r="D1187" s="6" t="s">
        <v>3091</v>
      </c>
      <c r="E1187" s="47" t="s">
        <v>2405</v>
      </c>
      <c r="F1187" t="s">
        <v>3053</v>
      </c>
      <c r="G1187" s="47" t="s">
        <v>2409</v>
      </c>
      <c r="H1187" s="44">
        <v>1172</v>
      </c>
      <c r="I1187" s="346" t="s">
        <v>43</v>
      </c>
      <c r="J1187" s="276" t="str">
        <f>IF(ISBLANK(INDEX('Policy Characteristics'!D:D,MATCH($C1187,'Policy Characteristics'!$C:$C,0))),"",INDEX('Policy Characteristics'!D:D,MATCH($C1187,'Policy Characteristics'!$C:$C,0)))</f>
        <v>Industry Energy Efficiency Standards</v>
      </c>
      <c r="K1187" s="275" t="str">
        <f>IF(ISBLANK(INDEX('Policy Characteristics'!E:E,MATCH($C1187,'Policy Characteristics'!$C:$C,0))),"",INDEX('Policy Characteristics'!E:E,MATCH($C1187,'Policy Characteristics'!$C:$C,0)))</f>
        <v>indst efficiency standards</v>
      </c>
      <c r="L1187" s="283">
        <f>IF(ISBLANK(INDEX('Policy Characteristics'!F:F,MATCH($C1187,'Policy Characteristics'!$C:$C,0))),"",INDEX('Policy Characteristics'!F:F,MATCH($C1187,'Policy Characteristics'!$C:$C,0)))</f>
        <v>0</v>
      </c>
      <c r="M1187" s="283">
        <f>IF(ISBLANK(INDEX('Policy Characteristics'!G:G,MATCH($C1187,'Policy Characteristics'!$C:$C,0))),"",INDEX('Policy Characteristics'!G:G,MATCH($C1187,'Policy Characteristics'!$C:$C,0)))</f>
        <v>0.25</v>
      </c>
      <c r="N1187" s="283">
        <f>IF(ISBLANK(INDEX('Policy Characteristics'!H:H,MATCH($C1187,'Policy Characteristics'!$C:$C,0))),"",INDEX('Policy Characteristics'!H:H,MATCH($C1187,'Policy Characteristics'!$C:$C,0)))</f>
        <v>0.01</v>
      </c>
      <c r="O1187" s="275" t="str">
        <f>IF(ISBLANK(INDEX('Policy Characteristics'!I:I,MATCH($C1187,'Policy Characteristics'!$C:$C,0))),"",INDEX('Policy Characteristics'!I:I,MATCH($C1187,'Policy Characteristics'!$C:$C,0)))</f>
        <v>% reduction in energy use</v>
      </c>
      <c r="P1187" s="275" t="str">
        <f>IF(ISBLANK(INDEX('Policy Characteristics'!J:J,MATCH($C1187,'Policy Characteristics'!$C:$C,0))),"",INDEX('Policy Characteristics'!J:J,MATCH($C1187,'Policy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7" s="275" t="str">
        <f>IF(ISBLANK(INDEX('Policy Characteristics'!K:K,MATCH($C1187,'Policy Characteristics'!$C:$C,0))),"",INDEX('Policy Characteristics'!K:K,MATCH($C1187,'Policy Characteristics'!$C:$C,0)))</f>
        <v>industry-ag-main.html#eff-stds</v>
      </c>
      <c r="R1187" s="275" t="str">
        <f>IF(ISBLANK(INDEX('Policy Characteristics'!L:L,MATCH($C1187,'Policy Characteristics'!$C:$C,0))),"",INDEX('Policy Characteristics'!L:L,MATCH($C1187,'Policy Characteristics'!$C:$C,0)))</f>
        <v>industry-energy-efficiency-standards.html</v>
      </c>
    </row>
    <row r="1188" spans="1:18" s="4" customFormat="1" x14ac:dyDescent="0.25">
      <c r="A1188" s="275" t="str">
        <f>IF(ISBLANK(INDEX('Policy Characteristics'!A:A,MATCH($C1188,'Policy Characteristics'!$C:$C,0))),"",INDEX('Policy Characteristics'!A:A,MATCH($C1188,'Policy Characteristics'!$C:$C,0)))</f>
        <v>Industry</v>
      </c>
      <c r="B1188" s="284" t="str">
        <f>IF(ISBLANK(INDEX('Policy Characteristics'!B:B,MATCH($C1188,'Policy Characteristics'!$C:$C,0))),"",INDEX('Policy Characteristics'!B:B,MATCH($C1188,'Policy Characteristics'!$C:$C,0)))</f>
        <v>Industry Energy Efficiency Standards</v>
      </c>
      <c r="C1188" s="275" t="str">
        <f t="shared" si="44"/>
        <v>Percentage Improvement in Eqpt Efficiency Standards above BAU</v>
      </c>
      <c r="D1188" s="6" t="s">
        <v>3091</v>
      </c>
      <c r="E1188" s="47" t="s">
        <v>2406</v>
      </c>
      <c r="F1188" t="s">
        <v>3053</v>
      </c>
      <c r="G1188" s="47" t="s">
        <v>2412</v>
      </c>
      <c r="H1188" s="44">
        <v>1173</v>
      </c>
      <c r="I1188" s="346" t="s">
        <v>44</v>
      </c>
      <c r="J1188" s="276" t="str">
        <f>IF(ISBLANK(INDEX('Policy Characteristics'!D:D,MATCH($C1188,'Policy Characteristics'!$C:$C,0))),"",INDEX('Policy Characteristics'!D:D,MATCH($C1188,'Policy Characteristics'!$C:$C,0)))</f>
        <v>Industry Energy Efficiency Standards</v>
      </c>
      <c r="K1188" s="275" t="str">
        <f>IF(ISBLANK(INDEX('Policy Characteristics'!E:E,MATCH($C1188,'Policy Characteristics'!$C:$C,0))),"",INDEX('Policy Characteristics'!E:E,MATCH($C1188,'Policy Characteristics'!$C:$C,0)))</f>
        <v>indst efficiency standards</v>
      </c>
      <c r="L1188" s="283">
        <f>IF(ISBLANK(INDEX('Policy Characteristics'!F:F,MATCH($C1188,'Policy Characteristics'!$C:$C,0))),"",INDEX('Policy Characteristics'!F:F,MATCH($C1188,'Policy Characteristics'!$C:$C,0)))</f>
        <v>0</v>
      </c>
      <c r="M1188" s="283">
        <f>IF(ISBLANK(INDEX('Policy Characteristics'!G:G,MATCH($C1188,'Policy Characteristics'!$C:$C,0))),"",INDEX('Policy Characteristics'!G:G,MATCH($C1188,'Policy Characteristics'!$C:$C,0)))</f>
        <v>0.25</v>
      </c>
      <c r="N1188" s="283">
        <f>IF(ISBLANK(INDEX('Policy Characteristics'!H:H,MATCH($C1188,'Policy Characteristics'!$C:$C,0))),"",INDEX('Policy Characteristics'!H:H,MATCH($C1188,'Policy Characteristics'!$C:$C,0)))</f>
        <v>0.01</v>
      </c>
      <c r="O1188" s="275" t="str">
        <f>IF(ISBLANK(INDEX('Policy Characteristics'!I:I,MATCH($C1188,'Policy Characteristics'!$C:$C,0))),"",INDEX('Policy Characteristics'!I:I,MATCH($C1188,'Policy Characteristics'!$C:$C,0)))</f>
        <v>% reduction in energy use</v>
      </c>
      <c r="P1188" s="275" t="str">
        <f>IF(ISBLANK(INDEX('Policy Characteristics'!J:J,MATCH($C1188,'Policy Characteristics'!$C:$C,0))),"",INDEX('Policy Characteristics'!J:J,MATCH($C1188,'Policy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8" s="275" t="str">
        <f>IF(ISBLANK(INDEX('Policy Characteristics'!K:K,MATCH($C1188,'Policy Characteristics'!$C:$C,0))),"",INDEX('Policy Characteristics'!K:K,MATCH($C1188,'Policy Characteristics'!$C:$C,0)))</f>
        <v>industry-ag-main.html#eff-stds</v>
      </c>
      <c r="R1188" s="275" t="str">
        <f>IF(ISBLANK(INDEX('Policy Characteristics'!L:L,MATCH($C1188,'Policy Characteristics'!$C:$C,0))),"",INDEX('Policy Characteristics'!L:L,MATCH($C1188,'Policy Characteristics'!$C:$C,0)))</f>
        <v>industry-energy-efficiency-standards.html</v>
      </c>
    </row>
    <row r="1189" spans="1:18" s="4" customFormat="1" x14ac:dyDescent="0.25">
      <c r="A1189" s="275" t="str">
        <f>IF(ISBLANK(INDEX('Policy Characteristics'!A:A,MATCH($C1189,'Policy Characteristics'!$C:$C,0))),"",INDEX('Policy Characteristics'!A:A,MATCH($C1189,'Policy Characteristics'!$C:$C,0)))</f>
        <v>Industry</v>
      </c>
      <c r="B1189" s="284" t="str">
        <f>IF(ISBLANK(INDEX('Policy Characteristics'!B:B,MATCH($C1189,'Policy Characteristics'!$C:$C,0))),"",INDEX('Policy Characteristics'!B:B,MATCH($C1189,'Policy Characteristics'!$C:$C,0)))</f>
        <v>Industry Energy Efficiency Standards</v>
      </c>
      <c r="C1189" s="275" t="str">
        <f t="shared" si="44"/>
        <v>Percentage Improvement in Eqpt Efficiency Standards above BAU</v>
      </c>
      <c r="D1189" s="6" t="s">
        <v>3091</v>
      </c>
      <c r="E1189" s="47" t="s">
        <v>2709</v>
      </c>
      <c r="F1189" t="s">
        <v>3053</v>
      </c>
      <c r="G1189" s="47" t="s">
        <v>2712</v>
      </c>
      <c r="H1189" s="44">
        <v>1174</v>
      </c>
      <c r="I1189" s="346" t="s">
        <v>44</v>
      </c>
      <c r="J1189" s="276" t="str">
        <f>IF(ISBLANK(INDEX('Policy Characteristics'!D:D,MATCH($C1189,'Policy Characteristics'!$C:$C,0))),"",INDEX('Policy Characteristics'!D:D,MATCH($C1189,'Policy Characteristics'!$C:$C,0)))</f>
        <v>Industry Energy Efficiency Standards</v>
      </c>
      <c r="K1189" s="275" t="str">
        <f>IF(ISBLANK(INDEX('Policy Characteristics'!E:E,MATCH($C1189,'Policy Characteristics'!$C:$C,0))),"",INDEX('Policy Characteristics'!E:E,MATCH($C1189,'Policy Characteristics'!$C:$C,0)))</f>
        <v>indst efficiency standards</v>
      </c>
      <c r="L1189" s="283">
        <f>IF(ISBLANK(INDEX('Policy Characteristics'!F:F,MATCH($C1189,'Policy Characteristics'!$C:$C,0))),"",INDEX('Policy Characteristics'!F:F,MATCH($C1189,'Policy Characteristics'!$C:$C,0)))</f>
        <v>0</v>
      </c>
      <c r="M1189" s="283">
        <f>IF(ISBLANK(INDEX('Policy Characteristics'!G:G,MATCH($C1189,'Policy Characteristics'!$C:$C,0))),"",INDEX('Policy Characteristics'!G:G,MATCH($C1189,'Policy Characteristics'!$C:$C,0)))</f>
        <v>0.25</v>
      </c>
      <c r="N1189" s="283">
        <f>IF(ISBLANK(INDEX('Policy Characteristics'!H:H,MATCH($C1189,'Policy Characteristics'!$C:$C,0))),"",INDEX('Policy Characteristics'!H:H,MATCH($C1189,'Policy Characteristics'!$C:$C,0)))</f>
        <v>0.01</v>
      </c>
      <c r="O1189" s="275" t="str">
        <f>IF(ISBLANK(INDEX('Policy Characteristics'!I:I,MATCH($C1189,'Policy Characteristics'!$C:$C,0))),"",INDEX('Policy Characteristics'!I:I,MATCH($C1189,'Policy Characteristics'!$C:$C,0)))</f>
        <v>% reduction in energy use</v>
      </c>
      <c r="P1189" s="275" t="str">
        <f>IF(ISBLANK(INDEX('Policy Characteristics'!J:J,MATCH($C1189,'Policy Characteristics'!$C:$C,0))),"",INDEX('Policy Characteristics'!J:J,MATCH($C1189,'Policy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9" s="275" t="str">
        <f>IF(ISBLANK(INDEX('Policy Characteristics'!K:K,MATCH($C1189,'Policy Characteristics'!$C:$C,0))),"",INDEX('Policy Characteristics'!K:K,MATCH($C1189,'Policy Characteristics'!$C:$C,0)))</f>
        <v>industry-ag-main.html#eff-stds</v>
      </c>
      <c r="R1189" s="275" t="str">
        <f>IF(ISBLANK(INDEX('Policy Characteristics'!L:L,MATCH($C1189,'Policy Characteristics'!$C:$C,0))),"",INDEX('Policy Characteristics'!L:L,MATCH($C1189,'Policy Characteristics'!$C:$C,0)))</f>
        <v>industry-energy-efficiency-standards.html</v>
      </c>
    </row>
    <row r="1190" spans="1:18" s="4" customFormat="1" x14ac:dyDescent="0.25">
      <c r="A1190" s="275" t="str">
        <f>IF(ISBLANK(INDEX('Policy Characteristics'!A:A,MATCH($C1190,'Policy Characteristics'!$C:$C,0))),"",INDEX('Policy Characteristics'!A:A,MATCH($C1190,'Policy Characteristics'!$C:$C,0)))</f>
        <v>Industry</v>
      </c>
      <c r="B1190" s="284" t="str">
        <f>IF(ISBLANK(INDEX('Policy Characteristics'!B:B,MATCH($C1190,'Policy Characteristics'!$C:$C,0))),"",INDEX('Policy Characteristics'!B:B,MATCH($C1190,'Policy Characteristics'!$C:$C,0)))</f>
        <v>Industry Energy Efficiency Standards</v>
      </c>
      <c r="C1190" s="275" t="str">
        <f t="shared" si="44"/>
        <v>Percentage Improvement in Eqpt Efficiency Standards above BAU</v>
      </c>
      <c r="D1190" s="6" t="s">
        <v>3091</v>
      </c>
      <c r="E1190" s="47" t="s">
        <v>2710</v>
      </c>
      <c r="F1190" t="s">
        <v>3053</v>
      </c>
      <c r="G1190" s="47" t="s">
        <v>2714</v>
      </c>
      <c r="H1190" s="44">
        <v>1175</v>
      </c>
      <c r="I1190" s="346" t="s">
        <v>43</v>
      </c>
      <c r="J1190" s="276" t="str">
        <f>IF(ISBLANK(INDEX('Policy Characteristics'!D:D,MATCH($C1190,'Policy Characteristics'!$C:$C,0))),"",INDEX('Policy Characteristics'!D:D,MATCH($C1190,'Policy Characteristics'!$C:$C,0)))</f>
        <v>Industry Energy Efficiency Standards</v>
      </c>
      <c r="K1190" s="275" t="str">
        <f>IF(ISBLANK(INDEX('Policy Characteristics'!E:E,MATCH($C1190,'Policy Characteristics'!$C:$C,0))),"",INDEX('Policy Characteristics'!E:E,MATCH($C1190,'Policy Characteristics'!$C:$C,0)))</f>
        <v>indst efficiency standards</v>
      </c>
      <c r="L1190" s="283">
        <f>IF(ISBLANK(INDEX('Policy Characteristics'!F:F,MATCH($C1190,'Policy Characteristics'!$C:$C,0))),"",INDEX('Policy Characteristics'!F:F,MATCH($C1190,'Policy Characteristics'!$C:$C,0)))</f>
        <v>0</v>
      </c>
      <c r="M1190" s="283">
        <f>IF(ISBLANK(INDEX('Policy Characteristics'!G:G,MATCH($C1190,'Policy Characteristics'!$C:$C,0))),"",INDEX('Policy Characteristics'!G:G,MATCH($C1190,'Policy Characteristics'!$C:$C,0)))</f>
        <v>0.25</v>
      </c>
      <c r="N1190" s="283">
        <f>IF(ISBLANK(INDEX('Policy Characteristics'!H:H,MATCH($C1190,'Policy Characteristics'!$C:$C,0))),"",INDEX('Policy Characteristics'!H:H,MATCH($C1190,'Policy Characteristics'!$C:$C,0)))</f>
        <v>0.01</v>
      </c>
      <c r="O1190" s="275" t="str">
        <f>IF(ISBLANK(INDEX('Policy Characteristics'!I:I,MATCH($C1190,'Policy Characteristics'!$C:$C,0))),"",INDEX('Policy Characteristics'!I:I,MATCH($C1190,'Policy Characteristics'!$C:$C,0)))</f>
        <v>% reduction in energy use</v>
      </c>
      <c r="P1190" s="275" t="str">
        <f>IF(ISBLANK(INDEX('Policy Characteristics'!J:J,MATCH($C1190,'Policy Characteristics'!$C:$C,0))),"",INDEX('Policy Characteristics'!J:J,MATCH($C1190,'Policy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0" s="275" t="str">
        <f>IF(ISBLANK(INDEX('Policy Characteristics'!K:K,MATCH($C1190,'Policy Characteristics'!$C:$C,0))),"",INDEX('Policy Characteristics'!K:K,MATCH($C1190,'Policy Characteristics'!$C:$C,0)))</f>
        <v>industry-ag-main.html#eff-stds</v>
      </c>
      <c r="R1190" s="275" t="str">
        <f>IF(ISBLANK(INDEX('Policy Characteristics'!L:L,MATCH($C1190,'Policy Characteristics'!$C:$C,0))),"",INDEX('Policy Characteristics'!L:L,MATCH($C1190,'Policy Characteristics'!$C:$C,0)))</f>
        <v>industry-energy-efficiency-standards.html</v>
      </c>
    </row>
    <row r="1191" spans="1:18" s="4" customFormat="1" x14ac:dyDescent="0.25">
      <c r="A1191" s="275" t="str">
        <f>IF(ISBLANK(INDEX('Policy Characteristics'!A:A,MATCH($C1191,'Policy Characteristics'!$C:$C,0))),"",INDEX('Policy Characteristics'!A:A,MATCH($C1191,'Policy Characteristics'!$C:$C,0)))</f>
        <v>Industry</v>
      </c>
      <c r="B1191" s="284" t="str">
        <f>IF(ISBLANK(INDEX('Policy Characteristics'!B:B,MATCH($C1191,'Policy Characteristics'!$C:$C,0))),"",INDEX('Policy Characteristics'!B:B,MATCH($C1191,'Policy Characteristics'!$C:$C,0)))</f>
        <v>Industry Energy Efficiency Standards</v>
      </c>
      <c r="C1191" s="275" t="str">
        <f t="shared" si="44"/>
        <v>Percentage Improvement in Eqpt Efficiency Standards above BAU</v>
      </c>
      <c r="D1191" s="6" t="s">
        <v>3091</v>
      </c>
      <c r="E1191" s="47" t="s">
        <v>2711</v>
      </c>
      <c r="F1191" t="s">
        <v>3053</v>
      </c>
      <c r="G1191" s="47" t="s">
        <v>2715</v>
      </c>
      <c r="H1191" s="44">
        <v>1176</v>
      </c>
      <c r="I1191" s="346" t="s">
        <v>43</v>
      </c>
      <c r="J1191" s="276" t="str">
        <f>IF(ISBLANK(INDEX('Policy Characteristics'!D:D,MATCH($C1191,'Policy Characteristics'!$C:$C,0))),"",INDEX('Policy Characteristics'!D:D,MATCH($C1191,'Policy Characteristics'!$C:$C,0)))</f>
        <v>Industry Energy Efficiency Standards</v>
      </c>
      <c r="K1191" s="275" t="str">
        <f>IF(ISBLANK(INDEX('Policy Characteristics'!E:E,MATCH($C1191,'Policy Characteristics'!$C:$C,0))),"",INDEX('Policy Characteristics'!E:E,MATCH($C1191,'Policy Characteristics'!$C:$C,0)))</f>
        <v>indst efficiency standards</v>
      </c>
      <c r="L1191" s="283">
        <f>IF(ISBLANK(INDEX('Policy Characteristics'!F:F,MATCH($C1191,'Policy Characteristics'!$C:$C,0))),"",INDEX('Policy Characteristics'!F:F,MATCH($C1191,'Policy Characteristics'!$C:$C,0)))</f>
        <v>0</v>
      </c>
      <c r="M1191" s="283">
        <f>IF(ISBLANK(INDEX('Policy Characteristics'!G:G,MATCH($C1191,'Policy Characteristics'!$C:$C,0))),"",INDEX('Policy Characteristics'!G:G,MATCH($C1191,'Policy Characteristics'!$C:$C,0)))</f>
        <v>0.25</v>
      </c>
      <c r="N1191" s="283">
        <f>IF(ISBLANK(INDEX('Policy Characteristics'!H:H,MATCH($C1191,'Policy Characteristics'!$C:$C,0))),"",INDEX('Policy Characteristics'!H:H,MATCH($C1191,'Policy Characteristics'!$C:$C,0)))</f>
        <v>0.01</v>
      </c>
      <c r="O1191" s="275" t="str">
        <f>IF(ISBLANK(INDEX('Policy Characteristics'!I:I,MATCH($C1191,'Policy Characteristics'!$C:$C,0))),"",INDEX('Policy Characteristics'!I:I,MATCH($C1191,'Policy Characteristics'!$C:$C,0)))</f>
        <v>% reduction in energy use</v>
      </c>
      <c r="P1191" s="275" t="str">
        <f>IF(ISBLANK(INDEX('Policy Characteristics'!J:J,MATCH($C1191,'Policy Characteristics'!$C:$C,0))),"",INDEX('Policy Characteristics'!J:J,MATCH($C1191,'Policy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1" s="275" t="str">
        <f>IF(ISBLANK(INDEX('Policy Characteristics'!K:K,MATCH($C1191,'Policy Characteristics'!$C:$C,0))),"",INDEX('Policy Characteristics'!K:K,MATCH($C1191,'Policy Characteristics'!$C:$C,0)))</f>
        <v>industry-ag-main.html#eff-stds</v>
      </c>
      <c r="R1191" s="275" t="str">
        <f>IF(ISBLANK(INDEX('Policy Characteristics'!L:L,MATCH($C1191,'Policy Characteristics'!$C:$C,0))),"",INDEX('Policy Characteristics'!L:L,MATCH($C1191,'Policy Characteristics'!$C:$C,0)))</f>
        <v>industry-energy-efficiency-standards.html</v>
      </c>
    </row>
    <row r="1192" spans="1:18" s="4" customFormat="1" x14ac:dyDescent="0.25">
      <c r="A1192" s="275" t="str">
        <f>IF(ISBLANK(INDEX('Policy Characteristics'!A:A,MATCH($C1192,'Policy Characteristics'!$C:$C,0))),"",INDEX('Policy Characteristics'!A:A,MATCH($C1192,'Policy Characteristics'!$C:$C,0)))</f>
        <v>Industry</v>
      </c>
      <c r="B1192" s="284" t="str">
        <f>IF(ISBLANK(INDEX('Policy Characteristics'!B:B,MATCH($C1192,'Policy Characteristics'!$C:$C,0))),"",INDEX('Policy Characteristics'!B:B,MATCH($C1192,'Policy Characteristics'!$C:$C,0)))</f>
        <v>Industry Energy Efficiency Standards</v>
      </c>
      <c r="C1192" s="275" t="str">
        <f t="shared" si="44"/>
        <v>Percentage Improvement in Eqpt Efficiency Standards above BAU</v>
      </c>
      <c r="D1192" s="6" t="s">
        <v>3091</v>
      </c>
      <c r="E1192" s="47" t="s">
        <v>2708</v>
      </c>
      <c r="F1192" t="s">
        <v>3053</v>
      </c>
      <c r="G1192" s="47" t="s">
        <v>2713</v>
      </c>
      <c r="H1192" s="44">
        <v>1177</v>
      </c>
      <c r="I1192" s="346" t="s">
        <v>44</v>
      </c>
      <c r="J1192" s="276" t="str">
        <f>IF(ISBLANK(INDEX('Policy Characteristics'!D:D,MATCH($C1192,'Policy Characteristics'!$C:$C,0))),"",INDEX('Policy Characteristics'!D:D,MATCH($C1192,'Policy Characteristics'!$C:$C,0)))</f>
        <v>Industry Energy Efficiency Standards</v>
      </c>
      <c r="K1192" s="275" t="str">
        <f>IF(ISBLANK(INDEX('Policy Characteristics'!E:E,MATCH($C1192,'Policy Characteristics'!$C:$C,0))),"",INDEX('Policy Characteristics'!E:E,MATCH($C1192,'Policy Characteristics'!$C:$C,0)))</f>
        <v>indst efficiency standards</v>
      </c>
      <c r="L1192" s="283">
        <f>IF(ISBLANK(INDEX('Policy Characteristics'!F:F,MATCH($C1192,'Policy Characteristics'!$C:$C,0))),"",INDEX('Policy Characteristics'!F:F,MATCH($C1192,'Policy Characteristics'!$C:$C,0)))</f>
        <v>0</v>
      </c>
      <c r="M1192" s="283">
        <f>IF(ISBLANK(INDEX('Policy Characteristics'!G:G,MATCH($C1192,'Policy Characteristics'!$C:$C,0))),"",INDEX('Policy Characteristics'!G:G,MATCH($C1192,'Policy Characteristics'!$C:$C,0)))</f>
        <v>0.25</v>
      </c>
      <c r="N1192" s="283">
        <f>IF(ISBLANK(INDEX('Policy Characteristics'!H:H,MATCH($C1192,'Policy Characteristics'!$C:$C,0))),"",INDEX('Policy Characteristics'!H:H,MATCH($C1192,'Policy Characteristics'!$C:$C,0)))</f>
        <v>0.01</v>
      </c>
      <c r="O1192" s="275" t="str">
        <f>IF(ISBLANK(INDEX('Policy Characteristics'!I:I,MATCH($C1192,'Policy Characteristics'!$C:$C,0))),"",INDEX('Policy Characteristics'!I:I,MATCH($C1192,'Policy Characteristics'!$C:$C,0)))</f>
        <v>% reduction in energy use</v>
      </c>
      <c r="P1192" s="275" t="str">
        <f>IF(ISBLANK(INDEX('Policy Characteristics'!J:J,MATCH($C1192,'Policy Characteristics'!$C:$C,0))),"",INDEX('Policy Characteristics'!J:J,MATCH($C1192,'Policy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2" s="275" t="str">
        <f>IF(ISBLANK(INDEX('Policy Characteristics'!K:K,MATCH($C1192,'Policy Characteristics'!$C:$C,0))),"",INDEX('Policy Characteristics'!K:K,MATCH($C1192,'Policy Characteristics'!$C:$C,0)))</f>
        <v>industry-ag-main.html#eff-stds</v>
      </c>
      <c r="R1192" s="275" t="str">
        <f>IF(ISBLANK(INDEX('Policy Characteristics'!L:L,MATCH($C1192,'Policy Characteristics'!$C:$C,0))),"",INDEX('Policy Characteristics'!L:L,MATCH($C1192,'Policy Characteristics'!$C:$C,0)))</f>
        <v>industry-energy-efficiency-standards.html</v>
      </c>
    </row>
    <row r="1193" spans="1:18" s="4" customFormat="1" x14ac:dyDescent="0.25">
      <c r="A1193" s="275" t="str">
        <f>IF(ISBLANK(INDEX('Policy Characteristics'!A:A,MATCH($C1193,'Policy Characteristics'!$C:$C,0))),"",INDEX('Policy Characteristics'!A:A,MATCH($C1193,'Policy Characteristics'!$C:$C,0)))</f>
        <v>Industry</v>
      </c>
      <c r="B1193" s="284" t="str">
        <f>IF(ISBLANK(INDEX('Policy Characteristics'!B:B,MATCH($C1193,'Policy Characteristics'!$C:$C,0))),"",INDEX('Policy Characteristics'!B:B,MATCH($C1193,'Policy Characteristics'!$C:$C,0)))</f>
        <v>Industry Energy Efficiency Standards</v>
      </c>
      <c r="C1193" s="275" t="str">
        <f t="shared" si="44"/>
        <v>Percentage Improvement in Eqpt Efficiency Standards above BAU</v>
      </c>
      <c r="D1193" s="6" t="s">
        <v>3092</v>
      </c>
      <c r="E1193" s="47" t="s">
        <v>2401</v>
      </c>
      <c r="F1193" t="s">
        <v>3054</v>
      </c>
      <c r="G1193" s="47" t="s">
        <v>2407</v>
      </c>
      <c r="H1193" s="44">
        <v>1178</v>
      </c>
      <c r="I1193" s="347" t="s">
        <v>44</v>
      </c>
      <c r="J1193" s="276" t="str">
        <f>IF(ISBLANK(INDEX('Policy Characteristics'!D:D,MATCH($C1193,'Policy Characteristics'!$C:$C,0))),"",INDEX('Policy Characteristics'!D:D,MATCH($C1193,'Policy Characteristics'!$C:$C,0)))</f>
        <v>Industry Energy Efficiency Standards</v>
      </c>
      <c r="K1193" s="275" t="str">
        <f>IF(ISBLANK(INDEX('Policy Characteristics'!E:E,MATCH($C1193,'Policy Characteristics'!$C:$C,0))),"",INDEX('Policy Characteristics'!E:E,MATCH($C1193,'Policy Characteristics'!$C:$C,0)))</f>
        <v>indst efficiency standards</v>
      </c>
      <c r="L1193" s="283">
        <f>IF(ISBLANK(INDEX('Policy Characteristics'!F:F,MATCH($C1193,'Policy Characteristics'!$C:$C,0))),"",INDEX('Policy Characteristics'!F:F,MATCH($C1193,'Policy Characteristics'!$C:$C,0)))</f>
        <v>0</v>
      </c>
      <c r="M1193" s="283">
        <f>IF(ISBLANK(INDEX('Policy Characteristics'!G:G,MATCH($C1193,'Policy Characteristics'!$C:$C,0))),"",INDEX('Policy Characteristics'!G:G,MATCH($C1193,'Policy Characteristics'!$C:$C,0)))</f>
        <v>0.25</v>
      </c>
      <c r="N1193" s="283">
        <f>IF(ISBLANK(INDEX('Policy Characteristics'!H:H,MATCH($C1193,'Policy Characteristics'!$C:$C,0))),"",INDEX('Policy Characteristics'!H:H,MATCH($C1193,'Policy Characteristics'!$C:$C,0)))</f>
        <v>0.01</v>
      </c>
      <c r="O1193" s="275" t="str">
        <f>IF(ISBLANK(INDEX('Policy Characteristics'!I:I,MATCH($C1193,'Policy Characteristics'!$C:$C,0))),"",INDEX('Policy Characteristics'!I:I,MATCH($C1193,'Policy Characteristics'!$C:$C,0)))</f>
        <v>% reduction in energy use</v>
      </c>
      <c r="P1193" s="275" t="str">
        <f>IF(ISBLANK(INDEX('Policy Characteristics'!J:J,MATCH($C1193,'Policy Characteristics'!$C:$C,0))),"",INDEX('Policy Characteristics'!J:J,MATCH($C1193,'Policy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3" s="275" t="str">
        <f>IF(ISBLANK(INDEX('Policy Characteristics'!K:K,MATCH($C1193,'Policy Characteristics'!$C:$C,0))),"",INDEX('Policy Characteristics'!K:K,MATCH($C1193,'Policy Characteristics'!$C:$C,0)))</f>
        <v>industry-ag-main.html#eff-stds</v>
      </c>
      <c r="R1193" s="275" t="str">
        <f>IF(ISBLANK(INDEX('Policy Characteristics'!L:L,MATCH($C1193,'Policy Characteristics'!$C:$C,0))),"",INDEX('Policy Characteristics'!L:L,MATCH($C1193,'Policy Characteristics'!$C:$C,0)))</f>
        <v>industry-energy-efficiency-standards.html</v>
      </c>
    </row>
    <row r="1194" spans="1:18" s="4" customFormat="1" x14ac:dyDescent="0.25">
      <c r="A1194" s="275" t="str">
        <f>IF(ISBLANK(INDEX('Policy Characteristics'!A:A,MATCH($C1194,'Policy Characteristics'!$C:$C,0))),"",INDEX('Policy Characteristics'!A:A,MATCH($C1194,'Policy Characteristics'!$C:$C,0)))</f>
        <v>Industry</v>
      </c>
      <c r="B1194" s="284" t="str">
        <f>IF(ISBLANK(INDEX('Policy Characteristics'!B:B,MATCH($C1194,'Policy Characteristics'!$C:$C,0))),"",INDEX('Policy Characteristics'!B:B,MATCH($C1194,'Policy Characteristics'!$C:$C,0)))</f>
        <v>Industry Energy Efficiency Standards</v>
      </c>
      <c r="C1194" s="275" t="str">
        <f t="shared" si="44"/>
        <v>Percentage Improvement in Eqpt Efficiency Standards above BAU</v>
      </c>
      <c r="D1194" s="6" t="s">
        <v>3092</v>
      </c>
      <c r="E1194" s="47" t="s">
        <v>2402</v>
      </c>
      <c r="F1194" t="s">
        <v>3054</v>
      </c>
      <c r="G1194" s="47" t="s">
        <v>2410</v>
      </c>
      <c r="H1194" s="44">
        <v>1179</v>
      </c>
      <c r="I1194" s="346" t="s">
        <v>44</v>
      </c>
      <c r="J1194" s="276" t="str">
        <f>IF(ISBLANK(INDEX('Policy Characteristics'!D:D,MATCH($C1194,'Policy Characteristics'!$C:$C,0))),"",INDEX('Policy Characteristics'!D:D,MATCH($C1194,'Policy Characteristics'!$C:$C,0)))</f>
        <v>Industry Energy Efficiency Standards</v>
      </c>
      <c r="K1194" s="275" t="str">
        <f>IF(ISBLANK(INDEX('Policy Characteristics'!E:E,MATCH($C1194,'Policy Characteristics'!$C:$C,0))),"",INDEX('Policy Characteristics'!E:E,MATCH($C1194,'Policy Characteristics'!$C:$C,0)))</f>
        <v>indst efficiency standards</v>
      </c>
      <c r="L1194" s="283">
        <f>IF(ISBLANK(INDEX('Policy Characteristics'!F:F,MATCH($C1194,'Policy Characteristics'!$C:$C,0))),"",INDEX('Policy Characteristics'!F:F,MATCH($C1194,'Policy Characteristics'!$C:$C,0)))</f>
        <v>0</v>
      </c>
      <c r="M1194" s="283">
        <f>IF(ISBLANK(INDEX('Policy Characteristics'!G:G,MATCH($C1194,'Policy Characteristics'!$C:$C,0))),"",INDEX('Policy Characteristics'!G:G,MATCH($C1194,'Policy Characteristics'!$C:$C,0)))</f>
        <v>0.25</v>
      </c>
      <c r="N1194" s="283">
        <f>IF(ISBLANK(INDEX('Policy Characteristics'!H:H,MATCH($C1194,'Policy Characteristics'!$C:$C,0))),"",INDEX('Policy Characteristics'!H:H,MATCH($C1194,'Policy Characteristics'!$C:$C,0)))</f>
        <v>0.01</v>
      </c>
      <c r="O1194" s="275" t="str">
        <f>IF(ISBLANK(INDEX('Policy Characteristics'!I:I,MATCH($C1194,'Policy Characteristics'!$C:$C,0))),"",INDEX('Policy Characteristics'!I:I,MATCH($C1194,'Policy Characteristics'!$C:$C,0)))</f>
        <v>% reduction in energy use</v>
      </c>
      <c r="P1194" s="275" t="str">
        <f>IF(ISBLANK(INDEX('Policy Characteristics'!J:J,MATCH($C1194,'Policy Characteristics'!$C:$C,0))),"",INDEX('Policy Characteristics'!J:J,MATCH($C1194,'Policy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4" s="275" t="str">
        <f>IF(ISBLANK(INDEX('Policy Characteristics'!K:K,MATCH($C1194,'Policy Characteristics'!$C:$C,0))),"",INDEX('Policy Characteristics'!K:K,MATCH($C1194,'Policy Characteristics'!$C:$C,0)))</f>
        <v>industry-ag-main.html#eff-stds</v>
      </c>
      <c r="R1194" s="275" t="str">
        <f>IF(ISBLANK(INDEX('Policy Characteristics'!L:L,MATCH($C1194,'Policy Characteristics'!$C:$C,0))),"",INDEX('Policy Characteristics'!L:L,MATCH($C1194,'Policy Characteristics'!$C:$C,0)))</f>
        <v>industry-energy-efficiency-standards.html</v>
      </c>
    </row>
    <row r="1195" spans="1:18" s="4" customFormat="1" x14ac:dyDescent="0.25">
      <c r="A1195" s="275" t="str">
        <f>IF(ISBLANK(INDEX('Policy Characteristics'!A:A,MATCH($C1195,'Policy Characteristics'!$C:$C,0))),"",INDEX('Policy Characteristics'!A:A,MATCH($C1195,'Policy Characteristics'!$C:$C,0)))</f>
        <v>Industry</v>
      </c>
      <c r="B1195" s="284" t="str">
        <f>IF(ISBLANK(INDEX('Policy Characteristics'!B:B,MATCH($C1195,'Policy Characteristics'!$C:$C,0))),"",INDEX('Policy Characteristics'!B:B,MATCH($C1195,'Policy Characteristics'!$C:$C,0)))</f>
        <v>Industry Energy Efficiency Standards</v>
      </c>
      <c r="C1195" s="275" t="str">
        <f t="shared" si="44"/>
        <v>Percentage Improvement in Eqpt Efficiency Standards above BAU</v>
      </c>
      <c r="D1195" s="6" t="s">
        <v>3092</v>
      </c>
      <c r="E1195" s="47" t="s">
        <v>2403</v>
      </c>
      <c r="F1195" t="s">
        <v>3054</v>
      </c>
      <c r="G1195" s="47" t="s">
        <v>2411</v>
      </c>
      <c r="H1195" s="44">
        <v>1180</v>
      </c>
      <c r="I1195" s="346" t="s">
        <v>43</v>
      </c>
      <c r="J1195" s="276" t="str">
        <f>IF(ISBLANK(INDEX('Policy Characteristics'!D:D,MATCH($C1195,'Policy Characteristics'!$C:$C,0))),"",INDEX('Policy Characteristics'!D:D,MATCH($C1195,'Policy Characteristics'!$C:$C,0)))</f>
        <v>Industry Energy Efficiency Standards</v>
      </c>
      <c r="K1195" s="275" t="str">
        <f>IF(ISBLANK(INDEX('Policy Characteristics'!E:E,MATCH($C1195,'Policy Characteristics'!$C:$C,0))),"",INDEX('Policy Characteristics'!E:E,MATCH($C1195,'Policy Characteristics'!$C:$C,0)))</f>
        <v>indst efficiency standards</v>
      </c>
      <c r="L1195" s="283">
        <f>IF(ISBLANK(INDEX('Policy Characteristics'!F:F,MATCH($C1195,'Policy Characteristics'!$C:$C,0))),"",INDEX('Policy Characteristics'!F:F,MATCH($C1195,'Policy Characteristics'!$C:$C,0)))</f>
        <v>0</v>
      </c>
      <c r="M1195" s="283">
        <f>IF(ISBLANK(INDEX('Policy Characteristics'!G:G,MATCH($C1195,'Policy Characteristics'!$C:$C,0))),"",INDEX('Policy Characteristics'!G:G,MATCH($C1195,'Policy Characteristics'!$C:$C,0)))</f>
        <v>0.25</v>
      </c>
      <c r="N1195" s="283">
        <f>IF(ISBLANK(INDEX('Policy Characteristics'!H:H,MATCH($C1195,'Policy Characteristics'!$C:$C,0))),"",INDEX('Policy Characteristics'!H:H,MATCH($C1195,'Policy Characteristics'!$C:$C,0)))</f>
        <v>0.01</v>
      </c>
      <c r="O1195" s="275" t="str">
        <f>IF(ISBLANK(INDEX('Policy Characteristics'!I:I,MATCH($C1195,'Policy Characteristics'!$C:$C,0))),"",INDEX('Policy Characteristics'!I:I,MATCH($C1195,'Policy Characteristics'!$C:$C,0)))</f>
        <v>% reduction in energy use</v>
      </c>
      <c r="P1195" s="275" t="str">
        <f>IF(ISBLANK(INDEX('Policy Characteristics'!J:J,MATCH($C1195,'Policy Characteristics'!$C:$C,0))),"",INDEX('Policy Characteristics'!J:J,MATCH($C1195,'Policy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5" s="275" t="str">
        <f>IF(ISBLANK(INDEX('Policy Characteristics'!K:K,MATCH($C1195,'Policy Characteristics'!$C:$C,0))),"",INDEX('Policy Characteristics'!K:K,MATCH($C1195,'Policy Characteristics'!$C:$C,0)))</f>
        <v>industry-ag-main.html#eff-stds</v>
      </c>
      <c r="R1195" s="275" t="str">
        <f>IF(ISBLANK(INDEX('Policy Characteristics'!L:L,MATCH($C1195,'Policy Characteristics'!$C:$C,0))),"",INDEX('Policy Characteristics'!L:L,MATCH($C1195,'Policy Characteristics'!$C:$C,0)))</f>
        <v>industry-energy-efficiency-standards.html</v>
      </c>
    </row>
    <row r="1196" spans="1:18" s="4" customFormat="1" x14ac:dyDescent="0.25">
      <c r="A1196" s="275" t="str">
        <f>IF(ISBLANK(INDEX('Policy Characteristics'!A:A,MATCH($C1196,'Policy Characteristics'!$C:$C,0))),"",INDEX('Policy Characteristics'!A:A,MATCH($C1196,'Policy Characteristics'!$C:$C,0)))</f>
        <v>Industry</v>
      </c>
      <c r="B1196" s="284" t="str">
        <f>IF(ISBLANK(INDEX('Policy Characteristics'!B:B,MATCH($C1196,'Policy Characteristics'!$C:$C,0))),"",INDEX('Policy Characteristics'!B:B,MATCH($C1196,'Policy Characteristics'!$C:$C,0)))</f>
        <v>Industry Energy Efficiency Standards</v>
      </c>
      <c r="C1196" s="275" t="str">
        <f t="shared" si="44"/>
        <v>Percentage Improvement in Eqpt Efficiency Standards above BAU</v>
      </c>
      <c r="D1196" s="6" t="s">
        <v>3092</v>
      </c>
      <c r="E1196" s="47" t="s">
        <v>2404</v>
      </c>
      <c r="F1196" t="s">
        <v>3054</v>
      </c>
      <c r="G1196" s="47" t="s">
        <v>2408</v>
      </c>
      <c r="H1196" s="44">
        <v>1181</v>
      </c>
      <c r="I1196" s="346" t="s">
        <v>44</v>
      </c>
      <c r="J1196" s="276" t="str">
        <f>IF(ISBLANK(INDEX('Policy Characteristics'!D:D,MATCH($C1196,'Policy Characteristics'!$C:$C,0))),"",INDEX('Policy Characteristics'!D:D,MATCH($C1196,'Policy Characteristics'!$C:$C,0)))</f>
        <v>Industry Energy Efficiency Standards</v>
      </c>
      <c r="K1196" s="275" t="str">
        <f>IF(ISBLANK(INDEX('Policy Characteristics'!E:E,MATCH($C1196,'Policy Characteristics'!$C:$C,0))),"",INDEX('Policy Characteristics'!E:E,MATCH($C1196,'Policy Characteristics'!$C:$C,0)))</f>
        <v>indst efficiency standards</v>
      </c>
      <c r="L1196" s="283">
        <f>IF(ISBLANK(INDEX('Policy Characteristics'!F:F,MATCH($C1196,'Policy Characteristics'!$C:$C,0))),"",INDEX('Policy Characteristics'!F:F,MATCH($C1196,'Policy Characteristics'!$C:$C,0)))</f>
        <v>0</v>
      </c>
      <c r="M1196" s="283">
        <f>IF(ISBLANK(INDEX('Policy Characteristics'!G:G,MATCH($C1196,'Policy Characteristics'!$C:$C,0))),"",INDEX('Policy Characteristics'!G:G,MATCH($C1196,'Policy Characteristics'!$C:$C,0)))</f>
        <v>0.25</v>
      </c>
      <c r="N1196" s="283">
        <f>IF(ISBLANK(INDEX('Policy Characteristics'!H:H,MATCH($C1196,'Policy Characteristics'!$C:$C,0))),"",INDEX('Policy Characteristics'!H:H,MATCH($C1196,'Policy Characteristics'!$C:$C,0)))</f>
        <v>0.01</v>
      </c>
      <c r="O1196" s="275" t="str">
        <f>IF(ISBLANK(INDEX('Policy Characteristics'!I:I,MATCH($C1196,'Policy Characteristics'!$C:$C,0))),"",INDEX('Policy Characteristics'!I:I,MATCH($C1196,'Policy Characteristics'!$C:$C,0)))</f>
        <v>% reduction in energy use</v>
      </c>
      <c r="P1196" s="275" t="str">
        <f>IF(ISBLANK(INDEX('Policy Characteristics'!J:J,MATCH($C1196,'Policy Characteristics'!$C:$C,0))),"",INDEX('Policy Characteristics'!J:J,MATCH($C1196,'Policy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6" s="275" t="str">
        <f>IF(ISBLANK(INDEX('Policy Characteristics'!K:K,MATCH($C1196,'Policy Characteristics'!$C:$C,0))),"",INDEX('Policy Characteristics'!K:K,MATCH($C1196,'Policy Characteristics'!$C:$C,0)))</f>
        <v>industry-ag-main.html#eff-stds</v>
      </c>
      <c r="R1196" s="275" t="str">
        <f>IF(ISBLANK(INDEX('Policy Characteristics'!L:L,MATCH($C1196,'Policy Characteristics'!$C:$C,0))),"",INDEX('Policy Characteristics'!L:L,MATCH($C1196,'Policy Characteristics'!$C:$C,0)))</f>
        <v>industry-energy-efficiency-standards.html</v>
      </c>
    </row>
    <row r="1197" spans="1:18" s="4" customFormat="1" x14ac:dyDescent="0.25">
      <c r="A1197" s="275" t="str">
        <f>IF(ISBLANK(INDEX('Policy Characteristics'!A:A,MATCH($C1197,'Policy Characteristics'!$C:$C,0))),"",INDEX('Policy Characteristics'!A:A,MATCH($C1197,'Policy Characteristics'!$C:$C,0)))</f>
        <v>Industry</v>
      </c>
      <c r="B1197" s="284" t="str">
        <f>IF(ISBLANK(INDEX('Policy Characteristics'!B:B,MATCH($C1197,'Policy Characteristics'!$C:$C,0))),"",INDEX('Policy Characteristics'!B:B,MATCH($C1197,'Policy Characteristics'!$C:$C,0)))</f>
        <v>Industry Energy Efficiency Standards</v>
      </c>
      <c r="C1197" s="275" t="str">
        <f t="shared" si="44"/>
        <v>Percentage Improvement in Eqpt Efficiency Standards above BAU</v>
      </c>
      <c r="D1197" s="6" t="s">
        <v>3092</v>
      </c>
      <c r="E1197" s="47" t="s">
        <v>2405</v>
      </c>
      <c r="F1197" t="s">
        <v>3054</v>
      </c>
      <c r="G1197" s="47" t="s">
        <v>2409</v>
      </c>
      <c r="H1197" s="44">
        <v>1182</v>
      </c>
      <c r="I1197" s="346" t="s">
        <v>44</v>
      </c>
      <c r="J1197" s="276" t="str">
        <f>IF(ISBLANK(INDEX('Policy Characteristics'!D:D,MATCH($C1197,'Policy Characteristics'!$C:$C,0))),"",INDEX('Policy Characteristics'!D:D,MATCH($C1197,'Policy Characteristics'!$C:$C,0)))</f>
        <v>Industry Energy Efficiency Standards</v>
      </c>
      <c r="K1197" s="275" t="str">
        <f>IF(ISBLANK(INDEX('Policy Characteristics'!E:E,MATCH($C1197,'Policy Characteristics'!$C:$C,0))),"",INDEX('Policy Characteristics'!E:E,MATCH($C1197,'Policy Characteristics'!$C:$C,0)))</f>
        <v>indst efficiency standards</v>
      </c>
      <c r="L1197" s="283">
        <f>IF(ISBLANK(INDEX('Policy Characteristics'!F:F,MATCH($C1197,'Policy Characteristics'!$C:$C,0))),"",INDEX('Policy Characteristics'!F:F,MATCH($C1197,'Policy Characteristics'!$C:$C,0)))</f>
        <v>0</v>
      </c>
      <c r="M1197" s="283">
        <f>IF(ISBLANK(INDEX('Policy Characteristics'!G:G,MATCH($C1197,'Policy Characteristics'!$C:$C,0))),"",INDEX('Policy Characteristics'!G:G,MATCH($C1197,'Policy Characteristics'!$C:$C,0)))</f>
        <v>0.25</v>
      </c>
      <c r="N1197" s="283">
        <f>IF(ISBLANK(INDEX('Policy Characteristics'!H:H,MATCH($C1197,'Policy Characteristics'!$C:$C,0))),"",INDEX('Policy Characteristics'!H:H,MATCH($C1197,'Policy Characteristics'!$C:$C,0)))</f>
        <v>0.01</v>
      </c>
      <c r="O1197" s="275" t="str">
        <f>IF(ISBLANK(INDEX('Policy Characteristics'!I:I,MATCH($C1197,'Policy Characteristics'!$C:$C,0))),"",INDEX('Policy Characteristics'!I:I,MATCH($C1197,'Policy Characteristics'!$C:$C,0)))</f>
        <v>% reduction in energy use</v>
      </c>
      <c r="P1197" s="275" t="str">
        <f>IF(ISBLANK(INDEX('Policy Characteristics'!J:J,MATCH($C1197,'Policy Characteristics'!$C:$C,0))),"",INDEX('Policy Characteristics'!J:J,MATCH($C1197,'Policy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7" s="275" t="str">
        <f>IF(ISBLANK(INDEX('Policy Characteristics'!K:K,MATCH($C1197,'Policy Characteristics'!$C:$C,0))),"",INDEX('Policy Characteristics'!K:K,MATCH($C1197,'Policy Characteristics'!$C:$C,0)))</f>
        <v>industry-ag-main.html#eff-stds</v>
      </c>
      <c r="R1197" s="275" t="str">
        <f>IF(ISBLANK(INDEX('Policy Characteristics'!L:L,MATCH($C1197,'Policy Characteristics'!$C:$C,0))),"",INDEX('Policy Characteristics'!L:L,MATCH($C1197,'Policy Characteristics'!$C:$C,0)))</f>
        <v>industry-energy-efficiency-standards.html</v>
      </c>
    </row>
    <row r="1198" spans="1:18" s="4" customFormat="1" x14ac:dyDescent="0.25">
      <c r="A1198" s="275" t="str">
        <f>IF(ISBLANK(INDEX('Policy Characteristics'!A:A,MATCH($C1198,'Policy Characteristics'!$C:$C,0))),"",INDEX('Policy Characteristics'!A:A,MATCH($C1198,'Policy Characteristics'!$C:$C,0)))</f>
        <v>Industry</v>
      </c>
      <c r="B1198" s="284" t="str">
        <f>IF(ISBLANK(INDEX('Policy Characteristics'!B:B,MATCH($C1198,'Policy Characteristics'!$C:$C,0))),"",INDEX('Policy Characteristics'!B:B,MATCH($C1198,'Policy Characteristics'!$C:$C,0)))</f>
        <v>Industry Energy Efficiency Standards</v>
      </c>
      <c r="C1198" s="275" t="str">
        <f t="shared" si="44"/>
        <v>Percentage Improvement in Eqpt Efficiency Standards above BAU</v>
      </c>
      <c r="D1198" s="6" t="s">
        <v>3092</v>
      </c>
      <c r="E1198" s="47" t="s">
        <v>2406</v>
      </c>
      <c r="F1198" t="s">
        <v>3054</v>
      </c>
      <c r="G1198" s="47" t="s">
        <v>2412</v>
      </c>
      <c r="H1198" s="44">
        <v>1183</v>
      </c>
      <c r="I1198" s="346" t="s">
        <v>44</v>
      </c>
      <c r="J1198" s="276" t="str">
        <f>IF(ISBLANK(INDEX('Policy Characteristics'!D:D,MATCH($C1198,'Policy Characteristics'!$C:$C,0))),"",INDEX('Policy Characteristics'!D:D,MATCH($C1198,'Policy Characteristics'!$C:$C,0)))</f>
        <v>Industry Energy Efficiency Standards</v>
      </c>
      <c r="K1198" s="275" t="str">
        <f>IF(ISBLANK(INDEX('Policy Characteristics'!E:E,MATCH($C1198,'Policy Characteristics'!$C:$C,0))),"",INDEX('Policy Characteristics'!E:E,MATCH($C1198,'Policy Characteristics'!$C:$C,0)))</f>
        <v>indst efficiency standards</v>
      </c>
      <c r="L1198" s="283">
        <f>IF(ISBLANK(INDEX('Policy Characteristics'!F:F,MATCH($C1198,'Policy Characteristics'!$C:$C,0))),"",INDEX('Policy Characteristics'!F:F,MATCH($C1198,'Policy Characteristics'!$C:$C,0)))</f>
        <v>0</v>
      </c>
      <c r="M1198" s="283">
        <f>IF(ISBLANK(INDEX('Policy Characteristics'!G:G,MATCH($C1198,'Policy Characteristics'!$C:$C,0))),"",INDEX('Policy Characteristics'!G:G,MATCH($C1198,'Policy Characteristics'!$C:$C,0)))</f>
        <v>0.25</v>
      </c>
      <c r="N1198" s="283">
        <f>IF(ISBLANK(INDEX('Policy Characteristics'!H:H,MATCH($C1198,'Policy Characteristics'!$C:$C,0))),"",INDEX('Policy Characteristics'!H:H,MATCH($C1198,'Policy Characteristics'!$C:$C,0)))</f>
        <v>0.01</v>
      </c>
      <c r="O1198" s="275" t="str">
        <f>IF(ISBLANK(INDEX('Policy Characteristics'!I:I,MATCH($C1198,'Policy Characteristics'!$C:$C,0))),"",INDEX('Policy Characteristics'!I:I,MATCH($C1198,'Policy Characteristics'!$C:$C,0)))</f>
        <v>% reduction in energy use</v>
      </c>
      <c r="P1198" s="275" t="str">
        <f>IF(ISBLANK(INDEX('Policy Characteristics'!J:J,MATCH($C1198,'Policy Characteristics'!$C:$C,0))),"",INDEX('Policy Characteristics'!J:J,MATCH($C1198,'Policy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8" s="275" t="str">
        <f>IF(ISBLANK(INDEX('Policy Characteristics'!K:K,MATCH($C1198,'Policy Characteristics'!$C:$C,0))),"",INDEX('Policy Characteristics'!K:K,MATCH($C1198,'Policy Characteristics'!$C:$C,0)))</f>
        <v>industry-ag-main.html#eff-stds</v>
      </c>
      <c r="R1198" s="275" t="str">
        <f>IF(ISBLANK(INDEX('Policy Characteristics'!L:L,MATCH($C1198,'Policy Characteristics'!$C:$C,0))),"",INDEX('Policy Characteristics'!L:L,MATCH($C1198,'Policy Characteristics'!$C:$C,0)))</f>
        <v>industry-energy-efficiency-standards.html</v>
      </c>
    </row>
    <row r="1199" spans="1:18" s="4" customFormat="1" x14ac:dyDescent="0.25">
      <c r="A1199" s="275" t="str">
        <f>IF(ISBLANK(INDEX('Policy Characteristics'!A:A,MATCH($C1199,'Policy Characteristics'!$C:$C,0))),"",INDEX('Policy Characteristics'!A:A,MATCH($C1199,'Policy Characteristics'!$C:$C,0)))</f>
        <v>Industry</v>
      </c>
      <c r="B1199" s="284" t="str">
        <f>IF(ISBLANK(INDEX('Policy Characteristics'!B:B,MATCH($C1199,'Policy Characteristics'!$C:$C,0))),"",INDEX('Policy Characteristics'!B:B,MATCH($C1199,'Policy Characteristics'!$C:$C,0)))</f>
        <v>Industry Energy Efficiency Standards</v>
      </c>
      <c r="C1199" s="275" t="str">
        <f t="shared" si="44"/>
        <v>Percentage Improvement in Eqpt Efficiency Standards above BAU</v>
      </c>
      <c r="D1199" s="6" t="s">
        <v>3092</v>
      </c>
      <c r="E1199" s="47" t="s">
        <v>2709</v>
      </c>
      <c r="F1199" t="s">
        <v>3054</v>
      </c>
      <c r="G1199" s="47" t="s">
        <v>2712</v>
      </c>
      <c r="H1199" s="44">
        <v>1184</v>
      </c>
      <c r="I1199" s="346" t="s">
        <v>44</v>
      </c>
      <c r="J1199" s="276" t="str">
        <f>IF(ISBLANK(INDEX('Policy Characteristics'!D:D,MATCH($C1199,'Policy Characteristics'!$C:$C,0))),"",INDEX('Policy Characteristics'!D:D,MATCH($C1199,'Policy Characteristics'!$C:$C,0)))</f>
        <v>Industry Energy Efficiency Standards</v>
      </c>
      <c r="K1199" s="275" t="str">
        <f>IF(ISBLANK(INDEX('Policy Characteristics'!E:E,MATCH($C1199,'Policy Characteristics'!$C:$C,0))),"",INDEX('Policy Characteristics'!E:E,MATCH($C1199,'Policy Characteristics'!$C:$C,0)))</f>
        <v>indst efficiency standards</v>
      </c>
      <c r="L1199" s="283">
        <f>IF(ISBLANK(INDEX('Policy Characteristics'!F:F,MATCH($C1199,'Policy Characteristics'!$C:$C,0))),"",INDEX('Policy Characteristics'!F:F,MATCH($C1199,'Policy Characteristics'!$C:$C,0)))</f>
        <v>0</v>
      </c>
      <c r="M1199" s="283">
        <f>IF(ISBLANK(INDEX('Policy Characteristics'!G:G,MATCH($C1199,'Policy Characteristics'!$C:$C,0))),"",INDEX('Policy Characteristics'!G:G,MATCH($C1199,'Policy Characteristics'!$C:$C,0)))</f>
        <v>0.25</v>
      </c>
      <c r="N1199" s="283">
        <f>IF(ISBLANK(INDEX('Policy Characteristics'!H:H,MATCH($C1199,'Policy Characteristics'!$C:$C,0))),"",INDEX('Policy Characteristics'!H:H,MATCH($C1199,'Policy Characteristics'!$C:$C,0)))</f>
        <v>0.01</v>
      </c>
      <c r="O1199" s="275" t="str">
        <f>IF(ISBLANK(INDEX('Policy Characteristics'!I:I,MATCH($C1199,'Policy Characteristics'!$C:$C,0))),"",INDEX('Policy Characteristics'!I:I,MATCH($C1199,'Policy Characteristics'!$C:$C,0)))</f>
        <v>% reduction in energy use</v>
      </c>
      <c r="P1199" s="275" t="str">
        <f>IF(ISBLANK(INDEX('Policy Characteristics'!J:J,MATCH($C1199,'Policy Characteristics'!$C:$C,0))),"",INDEX('Policy Characteristics'!J:J,MATCH($C1199,'Policy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9" s="275" t="str">
        <f>IF(ISBLANK(INDEX('Policy Characteristics'!K:K,MATCH($C1199,'Policy Characteristics'!$C:$C,0))),"",INDEX('Policy Characteristics'!K:K,MATCH($C1199,'Policy Characteristics'!$C:$C,0)))</f>
        <v>industry-ag-main.html#eff-stds</v>
      </c>
      <c r="R1199" s="275" t="str">
        <f>IF(ISBLANK(INDEX('Policy Characteristics'!L:L,MATCH($C1199,'Policy Characteristics'!$C:$C,0))),"",INDEX('Policy Characteristics'!L:L,MATCH($C1199,'Policy Characteristics'!$C:$C,0)))</f>
        <v>industry-energy-efficiency-standards.html</v>
      </c>
    </row>
    <row r="1200" spans="1:18" s="4" customFormat="1" x14ac:dyDescent="0.25">
      <c r="A1200" s="275" t="str">
        <f>IF(ISBLANK(INDEX('Policy Characteristics'!A:A,MATCH($C1200,'Policy Characteristics'!$C:$C,0))),"",INDEX('Policy Characteristics'!A:A,MATCH($C1200,'Policy Characteristics'!$C:$C,0)))</f>
        <v>Industry</v>
      </c>
      <c r="B1200" s="284" t="str">
        <f>IF(ISBLANK(INDEX('Policy Characteristics'!B:B,MATCH($C1200,'Policy Characteristics'!$C:$C,0))),"",INDEX('Policy Characteristics'!B:B,MATCH($C1200,'Policy Characteristics'!$C:$C,0)))</f>
        <v>Industry Energy Efficiency Standards</v>
      </c>
      <c r="C1200" s="275" t="str">
        <f t="shared" si="44"/>
        <v>Percentage Improvement in Eqpt Efficiency Standards above BAU</v>
      </c>
      <c r="D1200" s="6" t="s">
        <v>3092</v>
      </c>
      <c r="E1200" s="47" t="s">
        <v>2710</v>
      </c>
      <c r="F1200" t="s">
        <v>3054</v>
      </c>
      <c r="G1200" s="47" t="s">
        <v>2714</v>
      </c>
      <c r="H1200" s="44">
        <v>1185</v>
      </c>
      <c r="I1200" s="346" t="s">
        <v>44</v>
      </c>
      <c r="J1200" s="276" t="str">
        <f>IF(ISBLANK(INDEX('Policy Characteristics'!D:D,MATCH($C1200,'Policy Characteristics'!$C:$C,0))),"",INDEX('Policy Characteristics'!D:D,MATCH($C1200,'Policy Characteristics'!$C:$C,0)))</f>
        <v>Industry Energy Efficiency Standards</v>
      </c>
      <c r="K1200" s="275" t="str">
        <f>IF(ISBLANK(INDEX('Policy Characteristics'!E:E,MATCH($C1200,'Policy Characteristics'!$C:$C,0))),"",INDEX('Policy Characteristics'!E:E,MATCH($C1200,'Policy Characteristics'!$C:$C,0)))</f>
        <v>indst efficiency standards</v>
      </c>
      <c r="L1200" s="283">
        <f>IF(ISBLANK(INDEX('Policy Characteristics'!F:F,MATCH($C1200,'Policy Characteristics'!$C:$C,0))),"",INDEX('Policy Characteristics'!F:F,MATCH($C1200,'Policy Characteristics'!$C:$C,0)))</f>
        <v>0</v>
      </c>
      <c r="M1200" s="283">
        <f>IF(ISBLANK(INDEX('Policy Characteristics'!G:G,MATCH($C1200,'Policy Characteristics'!$C:$C,0))),"",INDEX('Policy Characteristics'!G:G,MATCH($C1200,'Policy Characteristics'!$C:$C,0)))</f>
        <v>0.25</v>
      </c>
      <c r="N1200" s="283">
        <f>IF(ISBLANK(INDEX('Policy Characteristics'!H:H,MATCH($C1200,'Policy Characteristics'!$C:$C,0))),"",INDEX('Policy Characteristics'!H:H,MATCH($C1200,'Policy Characteristics'!$C:$C,0)))</f>
        <v>0.01</v>
      </c>
      <c r="O1200" s="275" t="str">
        <f>IF(ISBLANK(INDEX('Policy Characteristics'!I:I,MATCH($C1200,'Policy Characteristics'!$C:$C,0))),"",INDEX('Policy Characteristics'!I:I,MATCH($C1200,'Policy Characteristics'!$C:$C,0)))</f>
        <v>% reduction in energy use</v>
      </c>
      <c r="P1200" s="275" t="str">
        <f>IF(ISBLANK(INDEX('Policy Characteristics'!J:J,MATCH($C1200,'Policy Characteristics'!$C:$C,0))),"",INDEX('Policy Characteristics'!J:J,MATCH($C1200,'Policy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0" s="275" t="str">
        <f>IF(ISBLANK(INDEX('Policy Characteristics'!K:K,MATCH($C1200,'Policy Characteristics'!$C:$C,0))),"",INDEX('Policy Characteristics'!K:K,MATCH($C1200,'Policy Characteristics'!$C:$C,0)))</f>
        <v>industry-ag-main.html#eff-stds</v>
      </c>
      <c r="R1200" s="275" t="str">
        <f>IF(ISBLANK(INDEX('Policy Characteristics'!L:L,MATCH($C1200,'Policy Characteristics'!$C:$C,0))),"",INDEX('Policy Characteristics'!L:L,MATCH($C1200,'Policy Characteristics'!$C:$C,0)))</f>
        <v>industry-energy-efficiency-standards.html</v>
      </c>
    </row>
    <row r="1201" spans="1:18" s="4" customFormat="1" x14ac:dyDescent="0.25">
      <c r="A1201" s="275" t="str">
        <f>IF(ISBLANK(INDEX('Policy Characteristics'!A:A,MATCH($C1201,'Policy Characteristics'!$C:$C,0))),"",INDEX('Policy Characteristics'!A:A,MATCH($C1201,'Policy Characteristics'!$C:$C,0)))</f>
        <v>Industry</v>
      </c>
      <c r="B1201" s="284" t="str">
        <f>IF(ISBLANK(INDEX('Policy Characteristics'!B:B,MATCH($C1201,'Policy Characteristics'!$C:$C,0))),"",INDEX('Policy Characteristics'!B:B,MATCH($C1201,'Policy Characteristics'!$C:$C,0)))</f>
        <v>Industry Energy Efficiency Standards</v>
      </c>
      <c r="C1201" s="275" t="str">
        <f t="shared" si="44"/>
        <v>Percentage Improvement in Eqpt Efficiency Standards above BAU</v>
      </c>
      <c r="D1201" s="6" t="s">
        <v>3092</v>
      </c>
      <c r="E1201" s="47" t="s">
        <v>2711</v>
      </c>
      <c r="F1201" t="s">
        <v>3054</v>
      </c>
      <c r="G1201" s="47" t="s">
        <v>2715</v>
      </c>
      <c r="H1201" s="44">
        <v>1186</v>
      </c>
      <c r="I1201" s="346" t="s">
        <v>44</v>
      </c>
      <c r="J1201" s="276" t="str">
        <f>IF(ISBLANK(INDEX('Policy Characteristics'!D:D,MATCH($C1201,'Policy Characteristics'!$C:$C,0))),"",INDEX('Policy Characteristics'!D:D,MATCH($C1201,'Policy Characteristics'!$C:$C,0)))</f>
        <v>Industry Energy Efficiency Standards</v>
      </c>
      <c r="K1201" s="275" t="str">
        <f>IF(ISBLANK(INDEX('Policy Characteristics'!E:E,MATCH($C1201,'Policy Characteristics'!$C:$C,0))),"",INDEX('Policy Characteristics'!E:E,MATCH($C1201,'Policy Characteristics'!$C:$C,0)))</f>
        <v>indst efficiency standards</v>
      </c>
      <c r="L1201" s="283">
        <f>IF(ISBLANK(INDEX('Policy Characteristics'!F:F,MATCH($C1201,'Policy Characteristics'!$C:$C,0))),"",INDEX('Policy Characteristics'!F:F,MATCH($C1201,'Policy Characteristics'!$C:$C,0)))</f>
        <v>0</v>
      </c>
      <c r="M1201" s="283">
        <f>IF(ISBLANK(INDEX('Policy Characteristics'!G:G,MATCH($C1201,'Policy Characteristics'!$C:$C,0))),"",INDEX('Policy Characteristics'!G:G,MATCH($C1201,'Policy Characteristics'!$C:$C,0)))</f>
        <v>0.25</v>
      </c>
      <c r="N1201" s="283">
        <f>IF(ISBLANK(INDEX('Policy Characteristics'!H:H,MATCH($C1201,'Policy Characteristics'!$C:$C,0))),"",INDEX('Policy Characteristics'!H:H,MATCH($C1201,'Policy Characteristics'!$C:$C,0)))</f>
        <v>0.01</v>
      </c>
      <c r="O1201" s="275" t="str">
        <f>IF(ISBLANK(INDEX('Policy Characteristics'!I:I,MATCH($C1201,'Policy Characteristics'!$C:$C,0))),"",INDEX('Policy Characteristics'!I:I,MATCH($C1201,'Policy Characteristics'!$C:$C,0)))</f>
        <v>% reduction in energy use</v>
      </c>
      <c r="P1201" s="275" t="str">
        <f>IF(ISBLANK(INDEX('Policy Characteristics'!J:J,MATCH($C1201,'Policy Characteristics'!$C:$C,0))),"",INDEX('Policy Characteristics'!J:J,MATCH($C1201,'Policy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1" s="275" t="str">
        <f>IF(ISBLANK(INDEX('Policy Characteristics'!K:K,MATCH($C1201,'Policy Characteristics'!$C:$C,0))),"",INDEX('Policy Characteristics'!K:K,MATCH($C1201,'Policy Characteristics'!$C:$C,0)))</f>
        <v>industry-ag-main.html#eff-stds</v>
      </c>
      <c r="R1201" s="275" t="str">
        <f>IF(ISBLANK(INDEX('Policy Characteristics'!L:L,MATCH($C1201,'Policy Characteristics'!$C:$C,0))),"",INDEX('Policy Characteristics'!L:L,MATCH($C1201,'Policy Characteristics'!$C:$C,0)))</f>
        <v>industry-energy-efficiency-standards.html</v>
      </c>
    </row>
    <row r="1202" spans="1:18" s="4" customFormat="1" x14ac:dyDescent="0.25">
      <c r="A1202" s="275" t="str">
        <f>IF(ISBLANK(INDEX('Policy Characteristics'!A:A,MATCH($C1202,'Policy Characteristics'!$C:$C,0))),"",INDEX('Policy Characteristics'!A:A,MATCH($C1202,'Policy Characteristics'!$C:$C,0)))</f>
        <v>Industry</v>
      </c>
      <c r="B1202" s="284" t="str">
        <f>IF(ISBLANK(INDEX('Policy Characteristics'!B:B,MATCH($C1202,'Policy Characteristics'!$C:$C,0))),"",INDEX('Policy Characteristics'!B:B,MATCH($C1202,'Policy Characteristics'!$C:$C,0)))</f>
        <v>Industry Energy Efficiency Standards</v>
      </c>
      <c r="C1202" s="275" t="str">
        <f t="shared" si="44"/>
        <v>Percentage Improvement in Eqpt Efficiency Standards above BAU</v>
      </c>
      <c r="D1202" s="6" t="s">
        <v>3092</v>
      </c>
      <c r="E1202" s="47" t="s">
        <v>2708</v>
      </c>
      <c r="F1202" t="s">
        <v>3054</v>
      </c>
      <c r="G1202" s="47" t="s">
        <v>2713</v>
      </c>
      <c r="H1202" s="44">
        <v>1187</v>
      </c>
      <c r="I1202" s="346" t="s">
        <v>44</v>
      </c>
      <c r="J1202" s="276" t="str">
        <f>IF(ISBLANK(INDEX('Policy Characteristics'!D:D,MATCH($C1202,'Policy Characteristics'!$C:$C,0))),"",INDEX('Policy Characteristics'!D:D,MATCH($C1202,'Policy Characteristics'!$C:$C,0)))</f>
        <v>Industry Energy Efficiency Standards</v>
      </c>
      <c r="K1202" s="275" t="str">
        <f>IF(ISBLANK(INDEX('Policy Characteristics'!E:E,MATCH($C1202,'Policy Characteristics'!$C:$C,0))),"",INDEX('Policy Characteristics'!E:E,MATCH($C1202,'Policy Characteristics'!$C:$C,0)))</f>
        <v>indst efficiency standards</v>
      </c>
      <c r="L1202" s="283">
        <f>IF(ISBLANK(INDEX('Policy Characteristics'!F:F,MATCH($C1202,'Policy Characteristics'!$C:$C,0))),"",INDEX('Policy Characteristics'!F:F,MATCH($C1202,'Policy Characteristics'!$C:$C,0)))</f>
        <v>0</v>
      </c>
      <c r="M1202" s="283">
        <f>IF(ISBLANK(INDEX('Policy Characteristics'!G:G,MATCH($C1202,'Policy Characteristics'!$C:$C,0))),"",INDEX('Policy Characteristics'!G:G,MATCH($C1202,'Policy Characteristics'!$C:$C,0)))</f>
        <v>0.25</v>
      </c>
      <c r="N1202" s="283">
        <f>IF(ISBLANK(INDEX('Policy Characteristics'!H:H,MATCH($C1202,'Policy Characteristics'!$C:$C,0))),"",INDEX('Policy Characteristics'!H:H,MATCH($C1202,'Policy Characteristics'!$C:$C,0)))</f>
        <v>0.01</v>
      </c>
      <c r="O1202" s="275" t="str">
        <f>IF(ISBLANK(INDEX('Policy Characteristics'!I:I,MATCH($C1202,'Policy Characteristics'!$C:$C,0))),"",INDEX('Policy Characteristics'!I:I,MATCH($C1202,'Policy Characteristics'!$C:$C,0)))</f>
        <v>% reduction in energy use</v>
      </c>
      <c r="P1202" s="275" t="str">
        <f>IF(ISBLANK(INDEX('Policy Characteristics'!J:J,MATCH($C1202,'Policy Characteristics'!$C:$C,0))),"",INDEX('Policy Characteristics'!J:J,MATCH($C1202,'Policy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2" s="275" t="str">
        <f>IF(ISBLANK(INDEX('Policy Characteristics'!K:K,MATCH($C1202,'Policy Characteristics'!$C:$C,0))),"",INDEX('Policy Characteristics'!K:K,MATCH($C1202,'Policy Characteristics'!$C:$C,0)))</f>
        <v>industry-ag-main.html#eff-stds</v>
      </c>
      <c r="R1202" s="275" t="str">
        <f>IF(ISBLANK(INDEX('Policy Characteristics'!L:L,MATCH($C1202,'Policy Characteristics'!$C:$C,0))),"",INDEX('Policy Characteristics'!L:L,MATCH($C1202,'Policy Characteristics'!$C:$C,0)))</f>
        <v>industry-energy-efficiency-standards.html</v>
      </c>
    </row>
    <row r="1203" spans="1:18" s="4" customFormat="1" x14ac:dyDescent="0.25">
      <c r="A1203" s="275" t="str">
        <f>IF(ISBLANK(INDEX('Policy Characteristics'!A:A,MATCH($C1203,'Policy Characteristics'!$C:$C,0))),"",INDEX('Policy Characteristics'!A:A,MATCH($C1203,'Policy Characteristics'!$C:$C,0)))</f>
        <v>Industry</v>
      </c>
      <c r="B1203" s="284" t="str">
        <f>IF(ISBLANK(INDEX('Policy Characteristics'!B:B,MATCH($C1203,'Policy Characteristics'!$C:$C,0))),"",INDEX('Policy Characteristics'!B:B,MATCH($C1203,'Policy Characteristics'!$C:$C,0)))</f>
        <v>Industry Energy Efficiency Standards</v>
      </c>
      <c r="C1203" s="275" t="str">
        <f t="shared" si="44"/>
        <v>Percentage Improvement in Eqpt Efficiency Standards above BAU</v>
      </c>
      <c r="D1203" s="6" t="s">
        <v>3093</v>
      </c>
      <c r="E1203" s="47" t="s">
        <v>2401</v>
      </c>
      <c r="F1203" t="s">
        <v>3096</v>
      </c>
      <c r="G1203" s="47" t="s">
        <v>2407</v>
      </c>
      <c r="H1203" s="44">
        <v>1188</v>
      </c>
      <c r="I1203" s="346" t="s">
        <v>43</v>
      </c>
      <c r="J1203" s="276" t="str">
        <f>IF(ISBLANK(INDEX('Policy Characteristics'!D:D,MATCH($C1203,'Policy Characteristics'!$C:$C,0))),"",INDEX('Policy Characteristics'!D:D,MATCH($C1203,'Policy Characteristics'!$C:$C,0)))</f>
        <v>Industry Energy Efficiency Standards</v>
      </c>
      <c r="K1203" s="275" t="str">
        <f>IF(ISBLANK(INDEX('Policy Characteristics'!E:E,MATCH($C1203,'Policy Characteristics'!$C:$C,0))),"",INDEX('Policy Characteristics'!E:E,MATCH($C1203,'Policy Characteristics'!$C:$C,0)))</f>
        <v>indst efficiency standards</v>
      </c>
      <c r="L1203" s="283">
        <f>IF(ISBLANK(INDEX('Policy Characteristics'!F:F,MATCH($C1203,'Policy Characteristics'!$C:$C,0))),"",INDEX('Policy Characteristics'!F:F,MATCH($C1203,'Policy Characteristics'!$C:$C,0)))</f>
        <v>0</v>
      </c>
      <c r="M1203" s="283">
        <f>IF(ISBLANK(INDEX('Policy Characteristics'!G:G,MATCH($C1203,'Policy Characteristics'!$C:$C,0))),"",INDEX('Policy Characteristics'!G:G,MATCH($C1203,'Policy Characteristics'!$C:$C,0)))</f>
        <v>0.25</v>
      </c>
      <c r="N1203" s="283">
        <f>IF(ISBLANK(INDEX('Policy Characteristics'!H:H,MATCH($C1203,'Policy Characteristics'!$C:$C,0))),"",INDEX('Policy Characteristics'!H:H,MATCH($C1203,'Policy Characteristics'!$C:$C,0)))</f>
        <v>0.01</v>
      </c>
      <c r="O1203" s="275" t="str">
        <f>IF(ISBLANK(INDEX('Policy Characteristics'!I:I,MATCH($C1203,'Policy Characteristics'!$C:$C,0))),"",INDEX('Policy Characteristics'!I:I,MATCH($C1203,'Policy Characteristics'!$C:$C,0)))</f>
        <v>% reduction in energy use</v>
      </c>
      <c r="P1203" s="275" t="str">
        <f>IF(ISBLANK(INDEX('Policy Characteristics'!J:J,MATCH($C1203,'Policy Characteristics'!$C:$C,0))),"",INDEX('Policy Characteristics'!J:J,MATCH($C1203,'Policy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3" s="275" t="str">
        <f>IF(ISBLANK(INDEX('Policy Characteristics'!K:K,MATCH($C1203,'Policy Characteristics'!$C:$C,0))),"",INDEX('Policy Characteristics'!K:K,MATCH($C1203,'Policy Characteristics'!$C:$C,0)))</f>
        <v>industry-ag-main.html#eff-stds</v>
      </c>
      <c r="R1203" s="275" t="str">
        <f>IF(ISBLANK(INDEX('Policy Characteristics'!L:L,MATCH($C1203,'Policy Characteristics'!$C:$C,0))),"",INDEX('Policy Characteristics'!L:L,MATCH($C1203,'Policy Characteristics'!$C:$C,0)))</f>
        <v>industry-energy-efficiency-standards.html</v>
      </c>
    </row>
    <row r="1204" spans="1:18" s="4" customFormat="1" x14ac:dyDescent="0.25">
      <c r="A1204" s="275" t="str">
        <f>IF(ISBLANK(INDEX('Policy Characteristics'!A:A,MATCH($C1204,'Policy Characteristics'!$C:$C,0))),"",INDEX('Policy Characteristics'!A:A,MATCH($C1204,'Policy Characteristics'!$C:$C,0)))</f>
        <v>Industry</v>
      </c>
      <c r="B1204" s="284" t="str">
        <f>IF(ISBLANK(INDEX('Policy Characteristics'!B:B,MATCH($C1204,'Policy Characteristics'!$C:$C,0))),"",INDEX('Policy Characteristics'!B:B,MATCH($C1204,'Policy Characteristics'!$C:$C,0)))</f>
        <v>Industry Energy Efficiency Standards</v>
      </c>
      <c r="C1204" s="275" t="str">
        <f t="shared" si="44"/>
        <v>Percentage Improvement in Eqpt Efficiency Standards above BAU</v>
      </c>
      <c r="D1204" s="6" t="s">
        <v>3093</v>
      </c>
      <c r="E1204" s="47" t="s">
        <v>2402</v>
      </c>
      <c r="F1204" t="s">
        <v>3096</v>
      </c>
      <c r="G1204" s="47" t="s">
        <v>2410</v>
      </c>
      <c r="H1204" s="44">
        <v>1189</v>
      </c>
      <c r="I1204" s="346" t="s">
        <v>44</v>
      </c>
      <c r="J1204" s="276" t="str">
        <f>IF(ISBLANK(INDEX('Policy Characteristics'!D:D,MATCH($C1204,'Policy Characteristics'!$C:$C,0))),"",INDEX('Policy Characteristics'!D:D,MATCH($C1204,'Policy Characteristics'!$C:$C,0)))</f>
        <v>Industry Energy Efficiency Standards</v>
      </c>
      <c r="K1204" s="275" t="str">
        <f>IF(ISBLANK(INDEX('Policy Characteristics'!E:E,MATCH($C1204,'Policy Characteristics'!$C:$C,0))),"",INDEX('Policy Characteristics'!E:E,MATCH($C1204,'Policy Characteristics'!$C:$C,0)))</f>
        <v>indst efficiency standards</v>
      </c>
      <c r="L1204" s="283">
        <f>IF(ISBLANK(INDEX('Policy Characteristics'!F:F,MATCH($C1204,'Policy Characteristics'!$C:$C,0))),"",INDEX('Policy Characteristics'!F:F,MATCH($C1204,'Policy Characteristics'!$C:$C,0)))</f>
        <v>0</v>
      </c>
      <c r="M1204" s="283">
        <f>IF(ISBLANK(INDEX('Policy Characteristics'!G:G,MATCH($C1204,'Policy Characteristics'!$C:$C,0))),"",INDEX('Policy Characteristics'!G:G,MATCH($C1204,'Policy Characteristics'!$C:$C,0)))</f>
        <v>0.25</v>
      </c>
      <c r="N1204" s="283">
        <f>IF(ISBLANK(INDEX('Policy Characteristics'!H:H,MATCH($C1204,'Policy Characteristics'!$C:$C,0))),"",INDEX('Policy Characteristics'!H:H,MATCH($C1204,'Policy Characteristics'!$C:$C,0)))</f>
        <v>0.01</v>
      </c>
      <c r="O1204" s="275" t="str">
        <f>IF(ISBLANK(INDEX('Policy Characteristics'!I:I,MATCH($C1204,'Policy Characteristics'!$C:$C,0))),"",INDEX('Policy Characteristics'!I:I,MATCH($C1204,'Policy Characteristics'!$C:$C,0)))</f>
        <v>% reduction in energy use</v>
      </c>
      <c r="P1204" s="275" t="str">
        <f>IF(ISBLANK(INDEX('Policy Characteristics'!J:J,MATCH($C1204,'Policy Characteristics'!$C:$C,0))),"",INDEX('Policy Characteristics'!J:J,MATCH($C1204,'Policy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4" s="275" t="str">
        <f>IF(ISBLANK(INDEX('Policy Characteristics'!K:K,MATCH($C1204,'Policy Characteristics'!$C:$C,0))),"",INDEX('Policy Characteristics'!K:K,MATCH($C1204,'Policy Characteristics'!$C:$C,0)))</f>
        <v>industry-ag-main.html#eff-stds</v>
      </c>
      <c r="R1204" s="275" t="str">
        <f>IF(ISBLANK(INDEX('Policy Characteristics'!L:L,MATCH($C1204,'Policy Characteristics'!$C:$C,0))),"",INDEX('Policy Characteristics'!L:L,MATCH($C1204,'Policy Characteristics'!$C:$C,0)))</f>
        <v>industry-energy-efficiency-standards.html</v>
      </c>
    </row>
    <row r="1205" spans="1:18" s="4" customFormat="1" x14ac:dyDescent="0.25">
      <c r="A1205" s="275" t="str">
        <f>IF(ISBLANK(INDEX('Policy Characteristics'!A:A,MATCH($C1205,'Policy Characteristics'!$C:$C,0))),"",INDEX('Policy Characteristics'!A:A,MATCH($C1205,'Policy Characteristics'!$C:$C,0)))</f>
        <v>Industry</v>
      </c>
      <c r="B1205" s="284" t="str">
        <f>IF(ISBLANK(INDEX('Policy Characteristics'!B:B,MATCH($C1205,'Policy Characteristics'!$C:$C,0))),"",INDEX('Policy Characteristics'!B:B,MATCH($C1205,'Policy Characteristics'!$C:$C,0)))</f>
        <v>Industry Energy Efficiency Standards</v>
      </c>
      <c r="C1205" s="275" t="str">
        <f t="shared" si="44"/>
        <v>Percentage Improvement in Eqpt Efficiency Standards above BAU</v>
      </c>
      <c r="D1205" s="6" t="s">
        <v>3093</v>
      </c>
      <c r="E1205" s="47" t="s">
        <v>2403</v>
      </c>
      <c r="F1205" t="s">
        <v>3096</v>
      </c>
      <c r="G1205" s="47" t="s">
        <v>2411</v>
      </c>
      <c r="H1205" s="44">
        <v>1190</v>
      </c>
      <c r="I1205" s="346" t="s">
        <v>44</v>
      </c>
      <c r="J1205" s="276" t="str">
        <f>IF(ISBLANK(INDEX('Policy Characteristics'!D:D,MATCH($C1205,'Policy Characteristics'!$C:$C,0))),"",INDEX('Policy Characteristics'!D:D,MATCH($C1205,'Policy Characteristics'!$C:$C,0)))</f>
        <v>Industry Energy Efficiency Standards</v>
      </c>
      <c r="K1205" s="275" t="str">
        <f>IF(ISBLANK(INDEX('Policy Characteristics'!E:E,MATCH($C1205,'Policy Characteristics'!$C:$C,0))),"",INDEX('Policy Characteristics'!E:E,MATCH($C1205,'Policy Characteristics'!$C:$C,0)))</f>
        <v>indst efficiency standards</v>
      </c>
      <c r="L1205" s="283">
        <f>IF(ISBLANK(INDEX('Policy Characteristics'!F:F,MATCH($C1205,'Policy Characteristics'!$C:$C,0))),"",INDEX('Policy Characteristics'!F:F,MATCH($C1205,'Policy Characteristics'!$C:$C,0)))</f>
        <v>0</v>
      </c>
      <c r="M1205" s="283">
        <f>IF(ISBLANK(INDEX('Policy Characteristics'!G:G,MATCH($C1205,'Policy Characteristics'!$C:$C,0))),"",INDEX('Policy Characteristics'!G:G,MATCH($C1205,'Policy Characteristics'!$C:$C,0)))</f>
        <v>0.25</v>
      </c>
      <c r="N1205" s="283">
        <f>IF(ISBLANK(INDEX('Policy Characteristics'!H:H,MATCH($C1205,'Policy Characteristics'!$C:$C,0))),"",INDEX('Policy Characteristics'!H:H,MATCH($C1205,'Policy Characteristics'!$C:$C,0)))</f>
        <v>0.01</v>
      </c>
      <c r="O1205" s="275" t="str">
        <f>IF(ISBLANK(INDEX('Policy Characteristics'!I:I,MATCH($C1205,'Policy Characteristics'!$C:$C,0))),"",INDEX('Policy Characteristics'!I:I,MATCH($C1205,'Policy Characteristics'!$C:$C,0)))</f>
        <v>% reduction in energy use</v>
      </c>
      <c r="P1205" s="275" t="str">
        <f>IF(ISBLANK(INDEX('Policy Characteristics'!J:J,MATCH($C1205,'Policy Characteristics'!$C:$C,0))),"",INDEX('Policy Characteristics'!J:J,MATCH($C1205,'Policy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5" s="275" t="str">
        <f>IF(ISBLANK(INDEX('Policy Characteristics'!K:K,MATCH($C1205,'Policy Characteristics'!$C:$C,0))),"",INDEX('Policy Characteristics'!K:K,MATCH($C1205,'Policy Characteristics'!$C:$C,0)))</f>
        <v>industry-ag-main.html#eff-stds</v>
      </c>
      <c r="R1205" s="275" t="str">
        <f>IF(ISBLANK(INDEX('Policy Characteristics'!L:L,MATCH($C1205,'Policy Characteristics'!$C:$C,0))),"",INDEX('Policy Characteristics'!L:L,MATCH($C1205,'Policy Characteristics'!$C:$C,0)))</f>
        <v>industry-energy-efficiency-standards.html</v>
      </c>
    </row>
    <row r="1206" spans="1:18" s="4" customFormat="1" x14ac:dyDescent="0.25">
      <c r="A1206" s="275" t="str">
        <f>IF(ISBLANK(INDEX('Policy Characteristics'!A:A,MATCH($C1206,'Policy Characteristics'!$C:$C,0))),"",INDEX('Policy Characteristics'!A:A,MATCH($C1206,'Policy Characteristics'!$C:$C,0)))</f>
        <v>Industry</v>
      </c>
      <c r="B1206" s="284" t="str">
        <f>IF(ISBLANK(INDEX('Policy Characteristics'!B:B,MATCH($C1206,'Policy Characteristics'!$C:$C,0))),"",INDEX('Policy Characteristics'!B:B,MATCH($C1206,'Policy Characteristics'!$C:$C,0)))</f>
        <v>Industry Energy Efficiency Standards</v>
      </c>
      <c r="C1206" s="275" t="str">
        <f t="shared" si="44"/>
        <v>Percentage Improvement in Eqpt Efficiency Standards above BAU</v>
      </c>
      <c r="D1206" s="6" t="s">
        <v>3093</v>
      </c>
      <c r="E1206" s="47" t="s">
        <v>2404</v>
      </c>
      <c r="F1206" t="s">
        <v>3096</v>
      </c>
      <c r="G1206" s="47" t="s">
        <v>2408</v>
      </c>
      <c r="H1206" s="44">
        <v>1191</v>
      </c>
      <c r="I1206" s="346" t="s">
        <v>44</v>
      </c>
      <c r="J1206" s="276" t="str">
        <f>IF(ISBLANK(INDEX('Policy Characteristics'!D:D,MATCH($C1206,'Policy Characteristics'!$C:$C,0))),"",INDEX('Policy Characteristics'!D:D,MATCH($C1206,'Policy Characteristics'!$C:$C,0)))</f>
        <v>Industry Energy Efficiency Standards</v>
      </c>
      <c r="K1206" s="275" t="str">
        <f>IF(ISBLANK(INDEX('Policy Characteristics'!E:E,MATCH($C1206,'Policy Characteristics'!$C:$C,0))),"",INDEX('Policy Characteristics'!E:E,MATCH($C1206,'Policy Characteristics'!$C:$C,0)))</f>
        <v>indst efficiency standards</v>
      </c>
      <c r="L1206" s="283">
        <f>IF(ISBLANK(INDEX('Policy Characteristics'!F:F,MATCH($C1206,'Policy Characteristics'!$C:$C,0))),"",INDEX('Policy Characteristics'!F:F,MATCH($C1206,'Policy Characteristics'!$C:$C,0)))</f>
        <v>0</v>
      </c>
      <c r="M1206" s="283">
        <f>IF(ISBLANK(INDEX('Policy Characteristics'!G:G,MATCH($C1206,'Policy Characteristics'!$C:$C,0))),"",INDEX('Policy Characteristics'!G:G,MATCH($C1206,'Policy Characteristics'!$C:$C,0)))</f>
        <v>0.25</v>
      </c>
      <c r="N1206" s="283">
        <f>IF(ISBLANK(INDEX('Policy Characteristics'!H:H,MATCH($C1206,'Policy Characteristics'!$C:$C,0))),"",INDEX('Policy Characteristics'!H:H,MATCH($C1206,'Policy Characteristics'!$C:$C,0)))</f>
        <v>0.01</v>
      </c>
      <c r="O1206" s="275" t="str">
        <f>IF(ISBLANK(INDEX('Policy Characteristics'!I:I,MATCH($C1206,'Policy Characteristics'!$C:$C,0))),"",INDEX('Policy Characteristics'!I:I,MATCH($C1206,'Policy Characteristics'!$C:$C,0)))</f>
        <v>% reduction in energy use</v>
      </c>
      <c r="P1206" s="275" t="str">
        <f>IF(ISBLANK(INDEX('Policy Characteristics'!J:J,MATCH($C1206,'Policy Characteristics'!$C:$C,0))),"",INDEX('Policy Characteristics'!J:J,MATCH($C1206,'Policy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6" s="275" t="str">
        <f>IF(ISBLANK(INDEX('Policy Characteristics'!K:K,MATCH($C1206,'Policy Characteristics'!$C:$C,0))),"",INDEX('Policy Characteristics'!K:K,MATCH($C1206,'Policy Characteristics'!$C:$C,0)))</f>
        <v>industry-ag-main.html#eff-stds</v>
      </c>
      <c r="R1206" s="275" t="str">
        <f>IF(ISBLANK(INDEX('Policy Characteristics'!L:L,MATCH($C1206,'Policy Characteristics'!$C:$C,0))),"",INDEX('Policy Characteristics'!L:L,MATCH($C1206,'Policy Characteristics'!$C:$C,0)))</f>
        <v>industry-energy-efficiency-standards.html</v>
      </c>
    </row>
    <row r="1207" spans="1:18" s="4" customFormat="1" x14ac:dyDescent="0.25">
      <c r="A1207" s="275" t="str">
        <f>IF(ISBLANK(INDEX('Policy Characteristics'!A:A,MATCH($C1207,'Policy Characteristics'!$C:$C,0))),"",INDEX('Policy Characteristics'!A:A,MATCH($C1207,'Policy Characteristics'!$C:$C,0)))</f>
        <v>Industry</v>
      </c>
      <c r="B1207" s="284" t="str">
        <f>IF(ISBLANK(INDEX('Policy Characteristics'!B:B,MATCH($C1207,'Policy Characteristics'!$C:$C,0))),"",INDEX('Policy Characteristics'!B:B,MATCH($C1207,'Policy Characteristics'!$C:$C,0)))</f>
        <v>Industry Energy Efficiency Standards</v>
      </c>
      <c r="C1207" s="275" t="str">
        <f t="shared" si="44"/>
        <v>Percentage Improvement in Eqpt Efficiency Standards above BAU</v>
      </c>
      <c r="D1207" s="6" t="s">
        <v>3093</v>
      </c>
      <c r="E1207" s="47" t="s">
        <v>2405</v>
      </c>
      <c r="F1207" t="s">
        <v>3096</v>
      </c>
      <c r="G1207" s="47" t="s">
        <v>2409</v>
      </c>
      <c r="H1207" s="44">
        <v>1192</v>
      </c>
      <c r="I1207" s="346" t="s">
        <v>44</v>
      </c>
      <c r="J1207" s="276" t="str">
        <f>IF(ISBLANK(INDEX('Policy Characteristics'!D:D,MATCH($C1207,'Policy Characteristics'!$C:$C,0))),"",INDEX('Policy Characteristics'!D:D,MATCH($C1207,'Policy Characteristics'!$C:$C,0)))</f>
        <v>Industry Energy Efficiency Standards</v>
      </c>
      <c r="K1207" s="275" t="str">
        <f>IF(ISBLANK(INDEX('Policy Characteristics'!E:E,MATCH($C1207,'Policy Characteristics'!$C:$C,0))),"",INDEX('Policy Characteristics'!E:E,MATCH($C1207,'Policy Characteristics'!$C:$C,0)))</f>
        <v>indst efficiency standards</v>
      </c>
      <c r="L1207" s="283">
        <f>IF(ISBLANK(INDEX('Policy Characteristics'!F:F,MATCH($C1207,'Policy Characteristics'!$C:$C,0))),"",INDEX('Policy Characteristics'!F:F,MATCH($C1207,'Policy Characteristics'!$C:$C,0)))</f>
        <v>0</v>
      </c>
      <c r="M1207" s="283">
        <f>IF(ISBLANK(INDEX('Policy Characteristics'!G:G,MATCH($C1207,'Policy Characteristics'!$C:$C,0))),"",INDEX('Policy Characteristics'!G:G,MATCH($C1207,'Policy Characteristics'!$C:$C,0)))</f>
        <v>0.25</v>
      </c>
      <c r="N1207" s="283">
        <f>IF(ISBLANK(INDEX('Policy Characteristics'!H:H,MATCH($C1207,'Policy Characteristics'!$C:$C,0))),"",INDEX('Policy Characteristics'!H:H,MATCH($C1207,'Policy Characteristics'!$C:$C,0)))</f>
        <v>0.01</v>
      </c>
      <c r="O1207" s="275" t="str">
        <f>IF(ISBLANK(INDEX('Policy Characteristics'!I:I,MATCH($C1207,'Policy Characteristics'!$C:$C,0))),"",INDEX('Policy Characteristics'!I:I,MATCH($C1207,'Policy Characteristics'!$C:$C,0)))</f>
        <v>% reduction in energy use</v>
      </c>
      <c r="P1207" s="275" t="str">
        <f>IF(ISBLANK(INDEX('Policy Characteristics'!J:J,MATCH($C1207,'Policy Characteristics'!$C:$C,0))),"",INDEX('Policy Characteristics'!J:J,MATCH($C1207,'Policy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7" s="275" t="str">
        <f>IF(ISBLANK(INDEX('Policy Characteristics'!K:K,MATCH($C1207,'Policy Characteristics'!$C:$C,0))),"",INDEX('Policy Characteristics'!K:K,MATCH($C1207,'Policy Characteristics'!$C:$C,0)))</f>
        <v>industry-ag-main.html#eff-stds</v>
      </c>
      <c r="R1207" s="275" t="str">
        <f>IF(ISBLANK(INDEX('Policy Characteristics'!L:L,MATCH($C1207,'Policy Characteristics'!$C:$C,0))),"",INDEX('Policy Characteristics'!L:L,MATCH($C1207,'Policy Characteristics'!$C:$C,0)))</f>
        <v>industry-energy-efficiency-standards.html</v>
      </c>
    </row>
    <row r="1208" spans="1:18" s="4" customFormat="1" x14ac:dyDescent="0.25">
      <c r="A1208" s="275" t="str">
        <f>IF(ISBLANK(INDEX('Policy Characteristics'!A:A,MATCH($C1208,'Policy Characteristics'!$C:$C,0))),"",INDEX('Policy Characteristics'!A:A,MATCH($C1208,'Policy Characteristics'!$C:$C,0)))</f>
        <v>Industry</v>
      </c>
      <c r="B1208" s="284" t="str">
        <f>IF(ISBLANK(INDEX('Policy Characteristics'!B:B,MATCH($C1208,'Policy Characteristics'!$C:$C,0))),"",INDEX('Policy Characteristics'!B:B,MATCH($C1208,'Policy Characteristics'!$C:$C,0)))</f>
        <v>Industry Energy Efficiency Standards</v>
      </c>
      <c r="C1208" s="275" t="str">
        <f t="shared" si="44"/>
        <v>Percentage Improvement in Eqpt Efficiency Standards above BAU</v>
      </c>
      <c r="D1208" s="6" t="s">
        <v>3093</v>
      </c>
      <c r="E1208" s="47" t="s">
        <v>2406</v>
      </c>
      <c r="F1208" t="s">
        <v>3096</v>
      </c>
      <c r="G1208" s="47" t="s">
        <v>2412</v>
      </c>
      <c r="H1208" s="44">
        <v>1193</v>
      </c>
      <c r="I1208" s="346" t="s">
        <v>44</v>
      </c>
      <c r="J1208" s="276" t="str">
        <f>IF(ISBLANK(INDEX('Policy Characteristics'!D:D,MATCH($C1208,'Policy Characteristics'!$C:$C,0))),"",INDEX('Policy Characteristics'!D:D,MATCH($C1208,'Policy Characteristics'!$C:$C,0)))</f>
        <v>Industry Energy Efficiency Standards</v>
      </c>
      <c r="K1208" s="275" t="str">
        <f>IF(ISBLANK(INDEX('Policy Characteristics'!E:E,MATCH($C1208,'Policy Characteristics'!$C:$C,0))),"",INDEX('Policy Characteristics'!E:E,MATCH($C1208,'Policy Characteristics'!$C:$C,0)))</f>
        <v>indst efficiency standards</v>
      </c>
      <c r="L1208" s="283">
        <f>IF(ISBLANK(INDEX('Policy Characteristics'!F:F,MATCH($C1208,'Policy Characteristics'!$C:$C,0))),"",INDEX('Policy Characteristics'!F:F,MATCH($C1208,'Policy Characteristics'!$C:$C,0)))</f>
        <v>0</v>
      </c>
      <c r="M1208" s="283">
        <f>IF(ISBLANK(INDEX('Policy Characteristics'!G:G,MATCH($C1208,'Policy Characteristics'!$C:$C,0))),"",INDEX('Policy Characteristics'!G:G,MATCH($C1208,'Policy Characteristics'!$C:$C,0)))</f>
        <v>0.25</v>
      </c>
      <c r="N1208" s="283">
        <f>IF(ISBLANK(INDEX('Policy Characteristics'!H:H,MATCH($C1208,'Policy Characteristics'!$C:$C,0))),"",INDEX('Policy Characteristics'!H:H,MATCH($C1208,'Policy Characteristics'!$C:$C,0)))</f>
        <v>0.01</v>
      </c>
      <c r="O1208" s="275" t="str">
        <f>IF(ISBLANK(INDEX('Policy Characteristics'!I:I,MATCH($C1208,'Policy Characteristics'!$C:$C,0))),"",INDEX('Policy Characteristics'!I:I,MATCH($C1208,'Policy Characteristics'!$C:$C,0)))</f>
        <v>% reduction in energy use</v>
      </c>
      <c r="P1208" s="275" t="str">
        <f>IF(ISBLANK(INDEX('Policy Characteristics'!J:J,MATCH($C1208,'Policy Characteristics'!$C:$C,0))),"",INDEX('Policy Characteristics'!J:J,MATCH($C1208,'Policy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8" s="275" t="str">
        <f>IF(ISBLANK(INDEX('Policy Characteristics'!K:K,MATCH($C1208,'Policy Characteristics'!$C:$C,0))),"",INDEX('Policy Characteristics'!K:K,MATCH($C1208,'Policy Characteristics'!$C:$C,0)))</f>
        <v>industry-ag-main.html#eff-stds</v>
      </c>
      <c r="R1208" s="275" t="str">
        <f>IF(ISBLANK(INDEX('Policy Characteristics'!L:L,MATCH($C1208,'Policy Characteristics'!$C:$C,0))),"",INDEX('Policy Characteristics'!L:L,MATCH($C1208,'Policy Characteristics'!$C:$C,0)))</f>
        <v>industry-energy-efficiency-standards.html</v>
      </c>
    </row>
    <row r="1209" spans="1:18" s="4" customFormat="1" x14ac:dyDescent="0.25">
      <c r="A1209" s="275" t="str">
        <f>IF(ISBLANK(INDEX('Policy Characteristics'!A:A,MATCH($C1209,'Policy Characteristics'!$C:$C,0))),"",INDEX('Policy Characteristics'!A:A,MATCH($C1209,'Policy Characteristics'!$C:$C,0)))</f>
        <v>Industry</v>
      </c>
      <c r="B1209" s="284" t="str">
        <f>IF(ISBLANK(INDEX('Policy Characteristics'!B:B,MATCH($C1209,'Policy Characteristics'!$C:$C,0))),"",INDEX('Policy Characteristics'!B:B,MATCH($C1209,'Policy Characteristics'!$C:$C,0)))</f>
        <v>Industry Energy Efficiency Standards</v>
      </c>
      <c r="C1209" s="275" t="str">
        <f t="shared" si="44"/>
        <v>Percentage Improvement in Eqpt Efficiency Standards above BAU</v>
      </c>
      <c r="D1209" s="6" t="s">
        <v>3093</v>
      </c>
      <c r="E1209" s="47" t="s">
        <v>2709</v>
      </c>
      <c r="F1209" t="s">
        <v>3096</v>
      </c>
      <c r="G1209" s="47" t="s">
        <v>2712</v>
      </c>
      <c r="H1209" s="44">
        <v>1194</v>
      </c>
      <c r="I1209" s="346" t="s">
        <v>44</v>
      </c>
      <c r="J1209" s="276" t="str">
        <f>IF(ISBLANK(INDEX('Policy Characteristics'!D:D,MATCH($C1209,'Policy Characteristics'!$C:$C,0))),"",INDEX('Policy Characteristics'!D:D,MATCH($C1209,'Policy Characteristics'!$C:$C,0)))</f>
        <v>Industry Energy Efficiency Standards</v>
      </c>
      <c r="K1209" s="275" t="str">
        <f>IF(ISBLANK(INDEX('Policy Characteristics'!E:E,MATCH($C1209,'Policy Characteristics'!$C:$C,0))),"",INDEX('Policy Characteristics'!E:E,MATCH($C1209,'Policy Characteristics'!$C:$C,0)))</f>
        <v>indst efficiency standards</v>
      </c>
      <c r="L1209" s="283">
        <f>IF(ISBLANK(INDEX('Policy Characteristics'!F:F,MATCH($C1209,'Policy Characteristics'!$C:$C,0))),"",INDEX('Policy Characteristics'!F:F,MATCH($C1209,'Policy Characteristics'!$C:$C,0)))</f>
        <v>0</v>
      </c>
      <c r="M1209" s="283">
        <f>IF(ISBLANK(INDEX('Policy Characteristics'!G:G,MATCH($C1209,'Policy Characteristics'!$C:$C,0))),"",INDEX('Policy Characteristics'!G:G,MATCH($C1209,'Policy Characteristics'!$C:$C,0)))</f>
        <v>0.25</v>
      </c>
      <c r="N1209" s="283">
        <f>IF(ISBLANK(INDEX('Policy Characteristics'!H:H,MATCH($C1209,'Policy Characteristics'!$C:$C,0))),"",INDEX('Policy Characteristics'!H:H,MATCH($C1209,'Policy Characteristics'!$C:$C,0)))</f>
        <v>0.01</v>
      </c>
      <c r="O1209" s="275" t="str">
        <f>IF(ISBLANK(INDEX('Policy Characteristics'!I:I,MATCH($C1209,'Policy Characteristics'!$C:$C,0))),"",INDEX('Policy Characteristics'!I:I,MATCH($C1209,'Policy Characteristics'!$C:$C,0)))</f>
        <v>% reduction in energy use</v>
      </c>
      <c r="P1209" s="275" t="str">
        <f>IF(ISBLANK(INDEX('Policy Characteristics'!J:J,MATCH($C1209,'Policy Characteristics'!$C:$C,0))),"",INDEX('Policy Characteristics'!J:J,MATCH($C1209,'Policy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9" s="275" t="str">
        <f>IF(ISBLANK(INDEX('Policy Characteristics'!K:K,MATCH($C1209,'Policy Characteristics'!$C:$C,0))),"",INDEX('Policy Characteristics'!K:K,MATCH($C1209,'Policy Characteristics'!$C:$C,0)))</f>
        <v>industry-ag-main.html#eff-stds</v>
      </c>
      <c r="R1209" s="275" t="str">
        <f>IF(ISBLANK(INDEX('Policy Characteristics'!L:L,MATCH($C1209,'Policy Characteristics'!$C:$C,0))),"",INDEX('Policy Characteristics'!L:L,MATCH($C1209,'Policy Characteristics'!$C:$C,0)))</f>
        <v>industry-energy-efficiency-standards.html</v>
      </c>
    </row>
    <row r="1210" spans="1:18" s="4" customFormat="1" x14ac:dyDescent="0.25">
      <c r="A1210" s="275" t="str">
        <f>IF(ISBLANK(INDEX('Policy Characteristics'!A:A,MATCH($C1210,'Policy Characteristics'!$C:$C,0))),"",INDEX('Policy Characteristics'!A:A,MATCH($C1210,'Policy Characteristics'!$C:$C,0)))</f>
        <v>Industry</v>
      </c>
      <c r="B1210" s="284" t="str">
        <f>IF(ISBLANK(INDEX('Policy Characteristics'!B:B,MATCH($C1210,'Policy Characteristics'!$C:$C,0))),"",INDEX('Policy Characteristics'!B:B,MATCH($C1210,'Policy Characteristics'!$C:$C,0)))</f>
        <v>Industry Energy Efficiency Standards</v>
      </c>
      <c r="C1210" s="275" t="str">
        <f t="shared" si="44"/>
        <v>Percentage Improvement in Eqpt Efficiency Standards above BAU</v>
      </c>
      <c r="D1210" s="6" t="s">
        <v>3093</v>
      </c>
      <c r="E1210" s="47" t="s">
        <v>2710</v>
      </c>
      <c r="F1210" t="s">
        <v>3096</v>
      </c>
      <c r="G1210" s="47" t="s">
        <v>2714</v>
      </c>
      <c r="H1210" s="44">
        <v>1195</v>
      </c>
      <c r="I1210" s="346" t="s">
        <v>44</v>
      </c>
      <c r="J1210" s="276" t="str">
        <f>IF(ISBLANK(INDEX('Policy Characteristics'!D:D,MATCH($C1210,'Policy Characteristics'!$C:$C,0))),"",INDEX('Policy Characteristics'!D:D,MATCH($C1210,'Policy Characteristics'!$C:$C,0)))</f>
        <v>Industry Energy Efficiency Standards</v>
      </c>
      <c r="K1210" s="275" t="str">
        <f>IF(ISBLANK(INDEX('Policy Characteristics'!E:E,MATCH($C1210,'Policy Characteristics'!$C:$C,0))),"",INDEX('Policy Characteristics'!E:E,MATCH($C1210,'Policy Characteristics'!$C:$C,0)))</f>
        <v>indst efficiency standards</v>
      </c>
      <c r="L1210" s="283">
        <f>IF(ISBLANK(INDEX('Policy Characteristics'!F:F,MATCH($C1210,'Policy Characteristics'!$C:$C,0))),"",INDEX('Policy Characteristics'!F:F,MATCH($C1210,'Policy Characteristics'!$C:$C,0)))</f>
        <v>0</v>
      </c>
      <c r="M1210" s="283">
        <f>IF(ISBLANK(INDEX('Policy Characteristics'!G:G,MATCH($C1210,'Policy Characteristics'!$C:$C,0))),"",INDEX('Policy Characteristics'!G:G,MATCH($C1210,'Policy Characteristics'!$C:$C,0)))</f>
        <v>0.25</v>
      </c>
      <c r="N1210" s="283">
        <f>IF(ISBLANK(INDEX('Policy Characteristics'!H:H,MATCH($C1210,'Policy Characteristics'!$C:$C,0))),"",INDEX('Policy Characteristics'!H:H,MATCH($C1210,'Policy Characteristics'!$C:$C,0)))</f>
        <v>0.01</v>
      </c>
      <c r="O1210" s="275" t="str">
        <f>IF(ISBLANK(INDEX('Policy Characteristics'!I:I,MATCH($C1210,'Policy Characteristics'!$C:$C,0))),"",INDEX('Policy Characteristics'!I:I,MATCH($C1210,'Policy Characteristics'!$C:$C,0)))</f>
        <v>% reduction in energy use</v>
      </c>
      <c r="P1210" s="275" t="str">
        <f>IF(ISBLANK(INDEX('Policy Characteristics'!J:J,MATCH($C1210,'Policy Characteristics'!$C:$C,0))),"",INDEX('Policy Characteristics'!J:J,MATCH($C1210,'Policy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0" s="275" t="str">
        <f>IF(ISBLANK(INDEX('Policy Characteristics'!K:K,MATCH($C1210,'Policy Characteristics'!$C:$C,0))),"",INDEX('Policy Characteristics'!K:K,MATCH($C1210,'Policy Characteristics'!$C:$C,0)))</f>
        <v>industry-ag-main.html#eff-stds</v>
      </c>
      <c r="R1210" s="275" t="str">
        <f>IF(ISBLANK(INDEX('Policy Characteristics'!L:L,MATCH($C1210,'Policy Characteristics'!$C:$C,0))),"",INDEX('Policy Characteristics'!L:L,MATCH($C1210,'Policy Characteristics'!$C:$C,0)))</f>
        <v>industry-energy-efficiency-standards.html</v>
      </c>
    </row>
    <row r="1211" spans="1:18" s="4" customFormat="1" x14ac:dyDescent="0.25">
      <c r="A1211" s="275" t="str">
        <f>IF(ISBLANK(INDEX('Policy Characteristics'!A:A,MATCH($C1211,'Policy Characteristics'!$C:$C,0))),"",INDEX('Policy Characteristics'!A:A,MATCH($C1211,'Policy Characteristics'!$C:$C,0)))</f>
        <v>Industry</v>
      </c>
      <c r="B1211" s="284" t="str">
        <f>IF(ISBLANK(INDEX('Policy Characteristics'!B:B,MATCH($C1211,'Policy Characteristics'!$C:$C,0))),"",INDEX('Policy Characteristics'!B:B,MATCH($C1211,'Policy Characteristics'!$C:$C,0)))</f>
        <v>Industry Energy Efficiency Standards</v>
      </c>
      <c r="C1211" s="275" t="str">
        <f t="shared" si="44"/>
        <v>Percentage Improvement in Eqpt Efficiency Standards above BAU</v>
      </c>
      <c r="D1211" s="6" t="s">
        <v>3093</v>
      </c>
      <c r="E1211" s="47" t="s">
        <v>2711</v>
      </c>
      <c r="F1211" t="s">
        <v>3096</v>
      </c>
      <c r="G1211" s="47" t="s">
        <v>2715</v>
      </c>
      <c r="H1211" s="44">
        <v>1196</v>
      </c>
      <c r="I1211" s="346" t="s">
        <v>44</v>
      </c>
      <c r="J1211" s="276" t="str">
        <f>IF(ISBLANK(INDEX('Policy Characteristics'!D:D,MATCH($C1211,'Policy Characteristics'!$C:$C,0))),"",INDEX('Policy Characteristics'!D:D,MATCH($C1211,'Policy Characteristics'!$C:$C,0)))</f>
        <v>Industry Energy Efficiency Standards</v>
      </c>
      <c r="K1211" s="275" t="str">
        <f>IF(ISBLANK(INDEX('Policy Characteristics'!E:E,MATCH($C1211,'Policy Characteristics'!$C:$C,0))),"",INDEX('Policy Characteristics'!E:E,MATCH($C1211,'Policy Characteristics'!$C:$C,0)))</f>
        <v>indst efficiency standards</v>
      </c>
      <c r="L1211" s="283">
        <f>IF(ISBLANK(INDEX('Policy Characteristics'!F:F,MATCH($C1211,'Policy Characteristics'!$C:$C,0))),"",INDEX('Policy Characteristics'!F:F,MATCH($C1211,'Policy Characteristics'!$C:$C,0)))</f>
        <v>0</v>
      </c>
      <c r="M1211" s="283">
        <f>IF(ISBLANK(INDEX('Policy Characteristics'!G:G,MATCH($C1211,'Policy Characteristics'!$C:$C,0))),"",INDEX('Policy Characteristics'!G:G,MATCH($C1211,'Policy Characteristics'!$C:$C,0)))</f>
        <v>0.25</v>
      </c>
      <c r="N1211" s="283">
        <f>IF(ISBLANK(INDEX('Policy Characteristics'!H:H,MATCH($C1211,'Policy Characteristics'!$C:$C,0))),"",INDEX('Policy Characteristics'!H:H,MATCH($C1211,'Policy Characteristics'!$C:$C,0)))</f>
        <v>0.01</v>
      </c>
      <c r="O1211" s="275" t="str">
        <f>IF(ISBLANK(INDEX('Policy Characteristics'!I:I,MATCH($C1211,'Policy Characteristics'!$C:$C,0))),"",INDEX('Policy Characteristics'!I:I,MATCH($C1211,'Policy Characteristics'!$C:$C,0)))</f>
        <v>% reduction in energy use</v>
      </c>
      <c r="P1211" s="275" t="str">
        <f>IF(ISBLANK(INDEX('Policy Characteristics'!J:J,MATCH($C1211,'Policy Characteristics'!$C:$C,0))),"",INDEX('Policy Characteristics'!J:J,MATCH($C1211,'Policy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1" s="275" t="str">
        <f>IF(ISBLANK(INDEX('Policy Characteristics'!K:K,MATCH($C1211,'Policy Characteristics'!$C:$C,0))),"",INDEX('Policy Characteristics'!K:K,MATCH($C1211,'Policy Characteristics'!$C:$C,0)))</f>
        <v>industry-ag-main.html#eff-stds</v>
      </c>
      <c r="R1211" s="275" t="str">
        <f>IF(ISBLANK(INDEX('Policy Characteristics'!L:L,MATCH($C1211,'Policy Characteristics'!$C:$C,0))),"",INDEX('Policy Characteristics'!L:L,MATCH($C1211,'Policy Characteristics'!$C:$C,0)))</f>
        <v>industry-energy-efficiency-standards.html</v>
      </c>
    </row>
    <row r="1212" spans="1:18" s="4" customFormat="1" x14ac:dyDescent="0.25">
      <c r="A1212" s="275" t="str">
        <f>IF(ISBLANK(INDEX('Policy Characteristics'!A:A,MATCH($C1212,'Policy Characteristics'!$C:$C,0))),"",INDEX('Policy Characteristics'!A:A,MATCH($C1212,'Policy Characteristics'!$C:$C,0)))</f>
        <v>Industry</v>
      </c>
      <c r="B1212" s="284" t="str">
        <f>IF(ISBLANK(INDEX('Policy Characteristics'!B:B,MATCH($C1212,'Policy Characteristics'!$C:$C,0))),"",INDEX('Policy Characteristics'!B:B,MATCH($C1212,'Policy Characteristics'!$C:$C,0)))</f>
        <v>Industry Energy Efficiency Standards</v>
      </c>
      <c r="C1212" s="275" t="str">
        <f t="shared" si="44"/>
        <v>Percentage Improvement in Eqpt Efficiency Standards above BAU</v>
      </c>
      <c r="D1212" s="6" t="s">
        <v>3093</v>
      </c>
      <c r="E1212" s="47" t="s">
        <v>2708</v>
      </c>
      <c r="F1212" t="s">
        <v>3096</v>
      </c>
      <c r="G1212" s="47" t="s">
        <v>2713</v>
      </c>
      <c r="H1212" s="44">
        <v>1197</v>
      </c>
      <c r="I1212" s="346" t="s">
        <v>44</v>
      </c>
      <c r="J1212" s="276" t="str">
        <f>IF(ISBLANK(INDEX('Policy Characteristics'!D:D,MATCH($C1212,'Policy Characteristics'!$C:$C,0))),"",INDEX('Policy Characteristics'!D:D,MATCH($C1212,'Policy Characteristics'!$C:$C,0)))</f>
        <v>Industry Energy Efficiency Standards</v>
      </c>
      <c r="K1212" s="275" t="str">
        <f>IF(ISBLANK(INDEX('Policy Characteristics'!E:E,MATCH($C1212,'Policy Characteristics'!$C:$C,0))),"",INDEX('Policy Characteristics'!E:E,MATCH($C1212,'Policy Characteristics'!$C:$C,0)))</f>
        <v>indst efficiency standards</v>
      </c>
      <c r="L1212" s="283">
        <f>IF(ISBLANK(INDEX('Policy Characteristics'!F:F,MATCH($C1212,'Policy Characteristics'!$C:$C,0))),"",INDEX('Policy Characteristics'!F:F,MATCH($C1212,'Policy Characteristics'!$C:$C,0)))</f>
        <v>0</v>
      </c>
      <c r="M1212" s="283">
        <f>IF(ISBLANK(INDEX('Policy Characteristics'!G:G,MATCH($C1212,'Policy Characteristics'!$C:$C,0))),"",INDEX('Policy Characteristics'!G:G,MATCH($C1212,'Policy Characteristics'!$C:$C,0)))</f>
        <v>0.25</v>
      </c>
      <c r="N1212" s="283">
        <f>IF(ISBLANK(INDEX('Policy Characteristics'!H:H,MATCH($C1212,'Policy Characteristics'!$C:$C,0))),"",INDEX('Policy Characteristics'!H:H,MATCH($C1212,'Policy Characteristics'!$C:$C,0)))</f>
        <v>0.01</v>
      </c>
      <c r="O1212" s="275" t="str">
        <f>IF(ISBLANK(INDEX('Policy Characteristics'!I:I,MATCH($C1212,'Policy Characteristics'!$C:$C,0))),"",INDEX('Policy Characteristics'!I:I,MATCH($C1212,'Policy Characteristics'!$C:$C,0)))</f>
        <v>% reduction in energy use</v>
      </c>
      <c r="P1212" s="275" t="str">
        <f>IF(ISBLANK(INDEX('Policy Characteristics'!J:J,MATCH($C1212,'Policy Characteristics'!$C:$C,0))),"",INDEX('Policy Characteristics'!J:J,MATCH($C1212,'Policy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2" s="275" t="str">
        <f>IF(ISBLANK(INDEX('Policy Characteristics'!K:K,MATCH($C1212,'Policy Characteristics'!$C:$C,0))),"",INDEX('Policy Characteristics'!K:K,MATCH($C1212,'Policy Characteristics'!$C:$C,0)))</f>
        <v>industry-ag-main.html#eff-stds</v>
      </c>
      <c r="R1212" s="275" t="str">
        <f>IF(ISBLANK(INDEX('Policy Characteristics'!L:L,MATCH($C1212,'Policy Characteristics'!$C:$C,0))),"",INDEX('Policy Characteristics'!L:L,MATCH($C1212,'Policy Characteristics'!$C:$C,0)))</f>
        <v>industry-energy-efficiency-standards.html</v>
      </c>
    </row>
    <row r="1213" spans="1:18" s="4" customFormat="1" x14ac:dyDescent="0.25">
      <c r="A1213" s="275" t="str">
        <f>IF(ISBLANK(INDEX('Policy Characteristics'!A:A,MATCH($C1213,'Policy Characteristics'!$C:$C,0))),"",INDEX('Policy Characteristics'!A:A,MATCH($C1213,'Policy Characteristics'!$C:$C,0)))</f>
        <v>Industry</v>
      </c>
      <c r="B1213" s="284" t="str">
        <f>IF(ISBLANK(INDEX('Policy Characteristics'!B:B,MATCH($C1213,'Policy Characteristics'!$C:$C,0))),"",INDEX('Policy Characteristics'!B:B,MATCH($C1213,'Policy Characteristics'!$C:$C,0)))</f>
        <v>Industry Energy Efficiency Standards</v>
      </c>
      <c r="C1213" s="275" t="str">
        <f t="shared" si="44"/>
        <v>Percentage Improvement in Eqpt Efficiency Standards above BAU</v>
      </c>
      <c r="D1213" s="6" t="s">
        <v>3094</v>
      </c>
      <c r="E1213" s="47" t="s">
        <v>2401</v>
      </c>
      <c r="F1213" t="s">
        <v>3055</v>
      </c>
      <c r="G1213" s="47" t="s">
        <v>2407</v>
      </c>
      <c r="H1213" s="44">
        <v>1198</v>
      </c>
      <c r="I1213" s="346" t="s">
        <v>43</v>
      </c>
      <c r="J1213" s="276" t="str">
        <f>IF(ISBLANK(INDEX('Policy Characteristics'!D:D,MATCH($C1213,'Policy Characteristics'!$C:$C,0))),"",INDEX('Policy Characteristics'!D:D,MATCH($C1213,'Policy Characteristics'!$C:$C,0)))</f>
        <v>Industry Energy Efficiency Standards</v>
      </c>
      <c r="K1213" s="275" t="str">
        <f>IF(ISBLANK(INDEX('Policy Characteristics'!E:E,MATCH($C1213,'Policy Characteristics'!$C:$C,0))),"",INDEX('Policy Characteristics'!E:E,MATCH($C1213,'Policy Characteristics'!$C:$C,0)))</f>
        <v>indst efficiency standards</v>
      </c>
      <c r="L1213" s="283">
        <f>IF(ISBLANK(INDEX('Policy Characteristics'!F:F,MATCH($C1213,'Policy Characteristics'!$C:$C,0))),"",INDEX('Policy Characteristics'!F:F,MATCH($C1213,'Policy Characteristics'!$C:$C,0)))</f>
        <v>0</v>
      </c>
      <c r="M1213" s="283">
        <f>IF(ISBLANK(INDEX('Policy Characteristics'!G:G,MATCH($C1213,'Policy Characteristics'!$C:$C,0))),"",INDEX('Policy Characteristics'!G:G,MATCH($C1213,'Policy Characteristics'!$C:$C,0)))</f>
        <v>0.25</v>
      </c>
      <c r="N1213" s="283">
        <f>IF(ISBLANK(INDEX('Policy Characteristics'!H:H,MATCH($C1213,'Policy Characteristics'!$C:$C,0))),"",INDEX('Policy Characteristics'!H:H,MATCH($C1213,'Policy Characteristics'!$C:$C,0)))</f>
        <v>0.01</v>
      </c>
      <c r="O1213" s="275" t="str">
        <f>IF(ISBLANK(INDEX('Policy Characteristics'!I:I,MATCH($C1213,'Policy Characteristics'!$C:$C,0))),"",INDEX('Policy Characteristics'!I:I,MATCH($C1213,'Policy Characteristics'!$C:$C,0)))</f>
        <v>% reduction in energy use</v>
      </c>
      <c r="P1213" s="275" t="str">
        <f>IF(ISBLANK(INDEX('Policy Characteristics'!J:J,MATCH($C1213,'Policy Characteristics'!$C:$C,0))),"",INDEX('Policy Characteristics'!J:J,MATCH($C1213,'Policy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3" s="275" t="str">
        <f>IF(ISBLANK(INDEX('Policy Characteristics'!K:K,MATCH($C1213,'Policy Characteristics'!$C:$C,0))),"",INDEX('Policy Characteristics'!K:K,MATCH($C1213,'Policy Characteristics'!$C:$C,0)))</f>
        <v>industry-ag-main.html#eff-stds</v>
      </c>
      <c r="R1213" s="275" t="str">
        <f>IF(ISBLANK(INDEX('Policy Characteristics'!L:L,MATCH($C1213,'Policy Characteristics'!$C:$C,0))),"",INDEX('Policy Characteristics'!L:L,MATCH($C1213,'Policy Characteristics'!$C:$C,0)))</f>
        <v>industry-energy-efficiency-standards.html</v>
      </c>
    </row>
    <row r="1214" spans="1:18" s="4" customFormat="1" x14ac:dyDescent="0.25">
      <c r="A1214" s="275" t="str">
        <f>IF(ISBLANK(INDEX('Policy Characteristics'!A:A,MATCH($C1214,'Policy Characteristics'!$C:$C,0))),"",INDEX('Policy Characteristics'!A:A,MATCH($C1214,'Policy Characteristics'!$C:$C,0)))</f>
        <v>Industry</v>
      </c>
      <c r="B1214" s="284" t="str">
        <f>IF(ISBLANK(INDEX('Policy Characteristics'!B:B,MATCH($C1214,'Policy Characteristics'!$C:$C,0))),"",INDEX('Policy Characteristics'!B:B,MATCH($C1214,'Policy Characteristics'!$C:$C,0)))</f>
        <v>Industry Energy Efficiency Standards</v>
      </c>
      <c r="C1214" s="275" t="str">
        <f t="shared" si="44"/>
        <v>Percentage Improvement in Eqpt Efficiency Standards above BAU</v>
      </c>
      <c r="D1214" s="6" t="s">
        <v>3094</v>
      </c>
      <c r="E1214" s="47" t="s">
        <v>2402</v>
      </c>
      <c r="F1214" t="s">
        <v>3055</v>
      </c>
      <c r="G1214" s="47" t="s">
        <v>2410</v>
      </c>
      <c r="H1214" s="44">
        <v>1199</v>
      </c>
      <c r="I1214" s="346" t="s">
        <v>44</v>
      </c>
      <c r="J1214" s="276" t="str">
        <f>IF(ISBLANK(INDEX('Policy Characteristics'!D:D,MATCH($C1214,'Policy Characteristics'!$C:$C,0))),"",INDEX('Policy Characteristics'!D:D,MATCH($C1214,'Policy Characteristics'!$C:$C,0)))</f>
        <v>Industry Energy Efficiency Standards</v>
      </c>
      <c r="K1214" s="275" t="str">
        <f>IF(ISBLANK(INDEX('Policy Characteristics'!E:E,MATCH($C1214,'Policy Characteristics'!$C:$C,0))),"",INDEX('Policy Characteristics'!E:E,MATCH($C1214,'Policy Characteristics'!$C:$C,0)))</f>
        <v>indst efficiency standards</v>
      </c>
      <c r="L1214" s="283">
        <f>IF(ISBLANK(INDEX('Policy Characteristics'!F:F,MATCH($C1214,'Policy Characteristics'!$C:$C,0))),"",INDEX('Policy Characteristics'!F:F,MATCH($C1214,'Policy Characteristics'!$C:$C,0)))</f>
        <v>0</v>
      </c>
      <c r="M1214" s="283">
        <f>IF(ISBLANK(INDEX('Policy Characteristics'!G:G,MATCH($C1214,'Policy Characteristics'!$C:$C,0))),"",INDEX('Policy Characteristics'!G:G,MATCH($C1214,'Policy Characteristics'!$C:$C,0)))</f>
        <v>0.25</v>
      </c>
      <c r="N1214" s="283">
        <f>IF(ISBLANK(INDEX('Policy Characteristics'!H:H,MATCH($C1214,'Policy Characteristics'!$C:$C,0))),"",INDEX('Policy Characteristics'!H:H,MATCH($C1214,'Policy Characteristics'!$C:$C,0)))</f>
        <v>0.01</v>
      </c>
      <c r="O1214" s="275" t="str">
        <f>IF(ISBLANK(INDEX('Policy Characteristics'!I:I,MATCH($C1214,'Policy Characteristics'!$C:$C,0))),"",INDEX('Policy Characteristics'!I:I,MATCH($C1214,'Policy Characteristics'!$C:$C,0)))</f>
        <v>% reduction in energy use</v>
      </c>
      <c r="P1214" s="275" t="str">
        <f>IF(ISBLANK(INDEX('Policy Characteristics'!J:J,MATCH($C1214,'Policy Characteristics'!$C:$C,0))),"",INDEX('Policy Characteristics'!J:J,MATCH($C1214,'Policy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4" s="275" t="str">
        <f>IF(ISBLANK(INDEX('Policy Characteristics'!K:K,MATCH($C1214,'Policy Characteristics'!$C:$C,0))),"",INDEX('Policy Characteristics'!K:K,MATCH($C1214,'Policy Characteristics'!$C:$C,0)))</f>
        <v>industry-ag-main.html#eff-stds</v>
      </c>
      <c r="R1214" s="275" t="str">
        <f>IF(ISBLANK(INDEX('Policy Characteristics'!L:L,MATCH($C1214,'Policy Characteristics'!$C:$C,0))),"",INDEX('Policy Characteristics'!L:L,MATCH($C1214,'Policy Characteristics'!$C:$C,0)))</f>
        <v>industry-energy-efficiency-standards.html</v>
      </c>
    </row>
    <row r="1215" spans="1:18" s="4" customFormat="1" x14ac:dyDescent="0.25">
      <c r="A1215" s="275" t="str">
        <f>IF(ISBLANK(INDEX('Policy Characteristics'!A:A,MATCH($C1215,'Policy Characteristics'!$C:$C,0))),"",INDEX('Policy Characteristics'!A:A,MATCH($C1215,'Policy Characteristics'!$C:$C,0)))</f>
        <v>Industry</v>
      </c>
      <c r="B1215" s="284" t="str">
        <f>IF(ISBLANK(INDEX('Policy Characteristics'!B:B,MATCH($C1215,'Policy Characteristics'!$C:$C,0))),"",INDEX('Policy Characteristics'!B:B,MATCH($C1215,'Policy Characteristics'!$C:$C,0)))</f>
        <v>Industry Energy Efficiency Standards</v>
      </c>
      <c r="C1215" s="275" t="str">
        <f t="shared" si="44"/>
        <v>Percentage Improvement in Eqpt Efficiency Standards above BAU</v>
      </c>
      <c r="D1215" s="6" t="s">
        <v>3094</v>
      </c>
      <c r="E1215" s="47" t="s">
        <v>2403</v>
      </c>
      <c r="F1215" t="s">
        <v>3055</v>
      </c>
      <c r="G1215" s="47" t="s">
        <v>2411</v>
      </c>
      <c r="H1215" s="44">
        <v>1200</v>
      </c>
      <c r="I1215" s="346" t="s">
        <v>43</v>
      </c>
      <c r="J1215" s="276" t="str">
        <f>IF(ISBLANK(INDEX('Policy Characteristics'!D:D,MATCH($C1215,'Policy Characteristics'!$C:$C,0))),"",INDEX('Policy Characteristics'!D:D,MATCH($C1215,'Policy Characteristics'!$C:$C,0)))</f>
        <v>Industry Energy Efficiency Standards</v>
      </c>
      <c r="K1215" s="275" t="str">
        <f>IF(ISBLANK(INDEX('Policy Characteristics'!E:E,MATCH($C1215,'Policy Characteristics'!$C:$C,0))),"",INDEX('Policy Characteristics'!E:E,MATCH($C1215,'Policy Characteristics'!$C:$C,0)))</f>
        <v>indst efficiency standards</v>
      </c>
      <c r="L1215" s="283">
        <f>IF(ISBLANK(INDEX('Policy Characteristics'!F:F,MATCH($C1215,'Policy Characteristics'!$C:$C,0))),"",INDEX('Policy Characteristics'!F:F,MATCH($C1215,'Policy Characteristics'!$C:$C,0)))</f>
        <v>0</v>
      </c>
      <c r="M1215" s="283">
        <f>IF(ISBLANK(INDEX('Policy Characteristics'!G:G,MATCH($C1215,'Policy Characteristics'!$C:$C,0))),"",INDEX('Policy Characteristics'!G:G,MATCH($C1215,'Policy Characteristics'!$C:$C,0)))</f>
        <v>0.25</v>
      </c>
      <c r="N1215" s="283">
        <f>IF(ISBLANK(INDEX('Policy Characteristics'!H:H,MATCH($C1215,'Policy Characteristics'!$C:$C,0))),"",INDEX('Policy Characteristics'!H:H,MATCH($C1215,'Policy Characteristics'!$C:$C,0)))</f>
        <v>0.01</v>
      </c>
      <c r="O1215" s="275" t="str">
        <f>IF(ISBLANK(INDEX('Policy Characteristics'!I:I,MATCH($C1215,'Policy Characteristics'!$C:$C,0))),"",INDEX('Policy Characteristics'!I:I,MATCH($C1215,'Policy Characteristics'!$C:$C,0)))</f>
        <v>% reduction in energy use</v>
      </c>
      <c r="P1215" s="275" t="str">
        <f>IF(ISBLANK(INDEX('Policy Characteristics'!J:J,MATCH($C1215,'Policy Characteristics'!$C:$C,0))),"",INDEX('Policy Characteristics'!J:J,MATCH($C1215,'Policy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5" s="275" t="str">
        <f>IF(ISBLANK(INDEX('Policy Characteristics'!K:K,MATCH($C1215,'Policy Characteristics'!$C:$C,0))),"",INDEX('Policy Characteristics'!K:K,MATCH($C1215,'Policy Characteristics'!$C:$C,0)))</f>
        <v>industry-ag-main.html#eff-stds</v>
      </c>
      <c r="R1215" s="275" t="str">
        <f>IF(ISBLANK(INDEX('Policy Characteristics'!L:L,MATCH($C1215,'Policy Characteristics'!$C:$C,0))),"",INDEX('Policy Characteristics'!L:L,MATCH($C1215,'Policy Characteristics'!$C:$C,0)))</f>
        <v>industry-energy-efficiency-standards.html</v>
      </c>
    </row>
    <row r="1216" spans="1:18" s="4" customFormat="1" x14ac:dyDescent="0.25">
      <c r="A1216" s="275" t="str">
        <f>IF(ISBLANK(INDEX('Policy Characteristics'!A:A,MATCH($C1216,'Policy Characteristics'!$C:$C,0))),"",INDEX('Policy Characteristics'!A:A,MATCH($C1216,'Policy Characteristics'!$C:$C,0)))</f>
        <v>Industry</v>
      </c>
      <c r="B1216" s="284" t="str">
        <f>IF(ISBLANK(INDEX('Policy Characteristics'!B:B,MATCH($C1216,'Policy Characteristics'!$C:$C,0))),"",INDEX('Policy Characteristics'!B:B,MATCH($C1216,'Policy Characteristics'!$C:$C,0)))</f>
        <v>Industry Energy Efficiency Standards</v>
      </c>
      <c r="C1216" s="275" t="str">
        <f t="shared" si="44"/>
        <v>Percentage Improvement in Eqpt Efficiency Standards above BAU</v>
      </c>
      <c r="D1216" s="6" t="s">
        <v>3094</v>
      </c>
      <c r="E1216" s="47" t="s">
        <v>2404</v>
      </c>
      <c r="F1216" t="s">
        <v>3055</v>
      </c>
      <c r="G1216" s="47" t="s">
        <v>2408</v>
      </c>
      <c r="H1216" s="44">
        <v>1201</v>
      </c>
      <c r="I1216" s="346" t="s">
        <v>44</v>
      </c>
      <c r="J1216" s="276" t="str">
        <f>IF(ISBLANK(INDEX('Policy Characteristics'!D:D,MATCH($C1216,'Policy Characteristics'!$C:$C,0))),"",INDEX('Policy Characteristics'!D:D,MATCH($C1216,'Policy Characteristics'!$C:$C,0)))</f>
        <v>Industry Energy Efficiency Standards</v>
      </c>
      <c r="K1216" s="275" t="str">
        <f>IF(ISBLANK(INDEX('Policy Characteristics'!E:E,MATCH($C1216,'Policy Characteristics'!$C:$C,0))),"",INDEX('Policy Characteristics'!E:E,MATCH($C1216,'Policy Characteristics'!$C:$C,0)))</f>
        <v>indst efficiency standards</v>
      </c>
      <c r="L1216" s="283">
        <f>IF(ISBLANK(INDEX('Policy Characteristics'!F:F,MATCH($C1216,'Policy Characteristics'!$C:$C,0))),"",INDEX('Policy Characteristics'!F:F,MATCH($C1216,'Policy Characteristics'!$C:$C,0)))</f>
        <v>0</v>
      </c>
      <c r="M1216" s="283">
        <f>IF(ISBLANK(INDEX('Policy Characteristics'!G:G,MATCH($C1216,'Policy Characteristics'!$C:$C,0))),"",INDEX('Policy Characteristics'!G:G,MATCH($C1216,'Policy Characteristics'!$C:$C,0)))</f>
        <v>0.25</v>
      </c>
      <c r="N1216" s="283">
        <f>IF(ISBLANK(INDEX('Policy Characteristics'!H:H,MATCH($C1216,'Policy Characteristics'!$C:$C,0))),"",INDEX('Policy Characteristics'!H:H,MATCH($C1216,'Policy Characteristics'!$C:$C,0)))</f>
        <v>0.01</v>
      </c>
      <c r="O1216" s="275" t="str">
        <f>IF(ISBLANK(INDEX('Policy Characteristics'!I:I,MATCH($C1216,'Policy Characteristics'!$C:$C,0))),"",INDEX('Policy Characteristics'!I:I,MATCH($C1216,'Policy Characteristics'!$C:$C,0)))</f>
        <v>% reduction in energy use</v>
      </c>
      <c r="P1216" s="275" t="str">
        <f>IF(ISBLANK(INDEX('Policy Characteristics'!J:J,MATCH($C1216,'Policy Characteristics'!$C:$C,0))),"",INDEX('Policy Characteristics'!J:J,MATCH($C1216,'Policy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6" s="275" t="str">
        <f>IF(ISBLANK(INDEX('Policy Characteristics'!K:K,MATCH($C1216,'Policy Characteristics'!$C:$C,0))),"",INDEX('Policy Characteristics'!K:K,MATCH($C1216,'Policy Characteristics'!$C:$C,0)))</f>
        <v>industry-ag-main.html#eff-stds</v>
      </c>
      <c r="R1216" s="275" t="str">
        <f>IF(ISBLANK(INDEX('Policy Characteristics'!L:L,MATCH($C1216,'Policy Characteristics'!$C:$C,0))),"",INDEX('Policy Characteristics'!L:L,MATCH($C1216,'Policy Characteristics'!$C:$C,0)))</f>
        <v>industry-energy-efficiency-standards.html</v>
      </c>
    </row>
    <row r="1217" spans="1:18" s="4" customFormat="1" x14ac:dyDescent="0.25">
      <c r="A1217" s="275" t="str">
        <f>IF(ISBLANK(INDEX('Policy Characteristics'!A:A,MATCH($C1217,'Policy Characteristics'!$C:$C,0))),"",INDEX('Policy Characteristics'!A:A,MATCH($C1217,'Policy Characteristics'!$C:$C,0)))</f>
        <v>Industry</v>
      </c>
      <c r="B1217" s="284" t="str">
        <f>IF(ISBLANK(INDEX('Policy Characteristics'!B:B,MATCH($C1217,'Policy Characteristics'!$C:$C,0))),"",INDEX('Policy Characteristics'!B:B,MATCH($C1217,'Policy Characteristics'!$C:$C,0)))</f>
        <v>Industry Energy Efficiency Standards</v>
      </c>
      <c r="C1217" s="275" t="str">
        <f t="shared" si="44"/>
        <v>Percentage Improvement in Eqpt Efficiency Standards above BAU</v>
      </c>
      <c r="D1217" s="6" t="s">
        <v>3094</v>
      </c>
      <c r="E1217" s="47" t="s">
        <v>2405</v>
      </c>
      <c r="F1217" t="s">
        <v>3055</v>
      </c>
      <c r="G1217" s="47" t="s">
        <v>2409</v>
      </c>
      <c r="H1217" s="44">
        <v>1202</v>
      </c>
      <c r="I1217" s="346" t="s">
        <v>43</v>
      </c>
      <c r="J1217" s="276" t="str">
        <f>IF(ISBLANK(INDEX('Policy Characteristics'!D:D,MATCH($C1217,'Policy Characteristics'!$C:$C,0))),"",INDEX('Policy Characteristics'!D:D,MATCH($C1217,'Policy Characteristics'!$C:$C,0)))</f>
        <v>Industry Energy Efficiency Standards</v>
      </c>
      <c r="K1217" s="275" t="str">
        <f>IF(ISBLANK(INDEX('Policy Characteristics'!E:E,MATCH($C1217,'Policy Characteristics'!$C:$C,0))),"",INDEX('Policy Characteristics'!E:E,MATCH($C1217,'Policy Characteristics'!$C:$C,0)))</f>
        <v>indst efficiency standards</v>
      </c>
      <c r="L1217" s="283">
        <f>IF(ISBLANK(INDEX('Policy Characteristics'!F:F,MATCH($C1217,'Policy Characteristics'!$C:$C,0))),"",INDEX('Policy Characteristics'!F:F,MATCH($C1217,'Policy Characteristics'!$C:$C,0)))</f>
        <v>0</v>
      </c>
      <c r="M1217" s="283">
        <f>IF(ISBLANK(INDEX('Policy Characteristics'!G:G,MATCH($C1217,'Policy Characteristics'!$C:$C,0))),"",INDEX('Policy Characteristics'!G:G,MATCH($C1217,'Policy Characteristics'!$C:$C,0)))</f>
        <v>0.25</v>
      </c>
      <c r="N1217" s="283">
        <f>IF(ISBLANK(INDEX('Policy Characteristics'!H:H,MATCH($C1217,'Policy Characteristics'!$C:$C,0))),"",INDEX('Policy Characteristics'!H:H,MATCH($C1217,'Policy Characteristics'!$C:$C,0)))</f>
        <v>0.01</v>
      </c>
      <c r="O1217" s="275" t="str">
        <f>IF(ISBLANK(INDEX('Policy Characteristics'!I:I,MATCH($C1217,'Policy Characteristics'!$C:$C,0))),"",INDEX('Policy Characteristics'!I:I,MATCH($C1217,'Policy Characteristics'!$C:$C,0)))</f>
        <v>% reduction in energy use</v>
      </c>
      <c r="P1217" s="275" t="str">
        <f>IF(ISBLANK(INDEX('Policy Characteristics'!J:J,MATCH($C1217,'Policy Characteristics'!$C:$C,0))),"",INDEX('Policy Characteristics'!J:J,MATCH($C1217,'Policy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7" s="275" t="str">
        <f>IF(ISBLANK(INDEX('Policy Characteristics'!K:K,MATCH($C1217,'Policy Characteristics'!$C:$C,0))),"",INDEX('Policy Characteristics'!K:K,MATCH($C1217,'Policy Characteristics'!$C:$C,0)))</f>
        <v>industry-ag-main.html#eff-stds</v>
      </c>
      <c r="R1217" s="275" t="str">
        <f>IF(ISBLANK(INDEX('Policy Characteristics'!L:L,MATCH($C1217,'Policy Characteristics'!$C:$C,0))),"",INDEX('Policy Characteristics'!L:L,MATCH($C1217,'Policy Characteristics'!$C:$C,0)))</f>
        <v>industry-energy-efficiency-standards.html</v>
      </c>
    </row>
    <row r="1218" spans="1:18" s="4" customFormat="1" x14ac:dyDescent="0.25">
      <c r="A1218" s="275" t="str">
        <f>IF(ISBLANK(INDEX('Policy Characteristics'!A:A,MATCH($C1218,'Policy Characteristics'!$C:$C,0))),"",INDEX('Policy Characteristics'!A:A,MATCH($C1218,'Policy Characteristics'!$C:$C,0)))</f>
        <v>Industry</v>
      </c>
      <c r="B1218" s="284" t="str">
        <f>IF(ISBLANK(INDEX('Policy Characteristics'!B:B,MATCH($C1218,'Policy Characteristics'!$C:$C,0))),"",INDEX('Policy Characteristics'!B:B,MATCH($C1218,'Policy Characteristics'!$C:$C,0)))</f>
        <v>Industry Energy Efficiency Standards</v>
      </c>
      <c r="C1218" s="275" t="str">
        <f t="shared" si="44"/>
        <v>Percentage Improvement in Eqpt Efficiency Standards above BAU</v>
      </c>
      <c r="D1218" s="6" t="s">
        <v>3094</v>
      </c>
      <c r="E1218" s="47" t="s">
        <v>2406</v>
      </c>
      <c r="F1218" t="s">
        <v>3055</v>
      </c>
      <c r="G1218" s="47" t="s">
        <v>2412</v>
      </c>
      <c r="H1218" s="44">
        <v>1203</v>
      </c>
      <c r="I1218" s="346" t="s">
        <v>44</v>
      </c>
      <c r="J1218" s="276" t="str">
        <f>IF(ISBLANK(INDEX('Policy Characteristics'!D:D,MATCH($C1218,'Policy Characteristics'!$C:$C,0))),"",INDEX('Policy Characteristics'!D:D,MATCH($C1218,'Policy Characteristics'!$C:$C,0)))</f>
        <v>Industry Energy Efficiency Standards</v>
      </c>
      <c r="K1218" s="275" t="str">
        <f>IF(ISBLANK(INDEX('Policy Characteristics'!E:E,MATCH($C1218,'Policy Characteristics'!$C:$C,0))),"",INDEX('Policy Characteristics'!E:E,MATCH($C1218,'Policy Characteristics'!$C:$C,0)))</f>
        <v>indst efficiency standards</v>
      </c>
      <c r="L1218" s="283">
        <f>IF(ISBLANK(INDEX('Policy Characteristics'!F:F,MATCH($C1218,'Policy Characteristics'!$C:$C,0))),"",INDEX('Policy Characteristics'!F:F,MATCH($C1218,'Policy Characteristics'!$C:$C,0)))</f>
        <v>0</v>
      </c>
      <c r="M1218" s="283">
        <f>IF(ISBLANK(INDEX('Policy Characteristics'!G:G,MATCH($C1218,'Policy Characteristics'!$C:$C,0))),"",INDEX('Policy Characteristics'!G:G,MATCH($C1218,'Policy Characteristics'!$C:$C,0)))</f>
        <v>0.25</v>
      </c>
      <c r="N1218" s="283">
        <f>IF(ISBLANK(INDEX('Policy Characteristics'!H:H,MATCH($C1218,'Policy Characteristics'!$C:$C,0))),"",INDEX('Policy Characteristics'!H:H,MATCH($C1218,'Policy Characteristics'!$C:$C,0)))</f>
        <v>0.01</v>
      </c>
      <c r="O1218" s="275" t="str">
        <f>IF(ISBLANK(INDEX('Policy Characteristics'!I:I,MATCH($C1218,'Policy Characteristics'!$C:$C,0))),"",INDEX('Policy Characteristics'!I:I,MATCH($C1218,'Policy Characteristics'!$C:$C,0)))</f>
        <v>% reduction in energy use</v>
      </c>
      <c r="P1218" s="275" t="str">
        <f>IF(ISBLANK(INDEX('Policy Characteristics'!J:J,MATCH($C1218,'Policy Characteristics'!$C:$C,0))),"",INDEX('Policy Characteristics'!J:J,MATCH($C1218,'Policy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8" s="275" t="str">
        <f>IF(ISBLANK(INDEX('Policy Characteristics'!K:K,MATCH($C1218,'Policy Characteristics'!$C:$C,0))),"",INDEX('Policy Characteristics'!K:K,MATCH($C1218,'Policy Characteristics'!$C:$C,0)))</f>
        <v>industry-ag-main.html#eff-stds</v>
      </c>
      <c r="R1218" s="275" t="str">
        <f>IF(ISBLANK(INDEX('Policy Characteristics'!L:L,MATCH($C1218,'Policy Characteristics'!$C:$C,0))),"",INDEX('Policy Characteristics'!L:L,MATCH($C1218,'Policy Characteristics'!$C:$C,0)))</f>
        <v>industry-energy-efficiency-standards.html</v>
      </c>
    </row>
    <row r="1219" spans="1:18" s="4" customFormat="1" x14ac:dyDescent="0.25">
      <c r="A1219" s="275" t="str">
        <f>IF(ISBLANK(INDEX('Policy Characteristics'!A:A,MATCH($C1219,'Policy Characteristics'!$C:$C,0))),"",INDEX('Policy Characteristics'!A:A,MATCH($C1219,'Policy Characteristics'!$C:$C,0)))</f>
        <v>Industry</v>
      </c>
      <c r="B1219" s="284" t="str">
        <f>IF(ISBLANK(INDEX('Policy Characteristics'!B:B,MATCH($C1219,'Policy Characteristics'!$C:$C,0))),"",INDEX('Policy Characteristics'!B:B,MATCH($C1219,'Policy Characteristics'!$C:$C,0)))</f>
        <v>Industry Energy Efficiency Standards</v>
      </c>
      <c r="C1219" s="275" t="str">
        <f t="shared" si="44"/>
        <v>Percentage Improvement in Eqpt Efficiency Standards above BAU</v>
      </c>
      <c r="D1219" s="6" t="s">
        <v>3094</v>
      </c>
      <c r="E1219" s="47" t="s">
        <v>2709</v>
      </c>
      <c r="F1219" t="s">
        <v>3055</v>
      </c>
      <c r="G1219" s="47" t="s">
        <v>2712</v>
      </c>
      <c r="H1219" s="44">
        <v>1204</v>
      </c>
      <c r="I1219" s="346" t="s">
        <v>44</v>
      </c>
      <c r="J1219" s="276" t="str">
        <f>IF(ISBLANK(INDEX('Policy Characteristics'!D:D,MATCH($C1219,'Policy Characteristics'!$C:$C,0))),"",INDEX('Policy Characteristics'!D:D,MATCH($C1219,'Policy Characteristics'!$C:$C,0)))</f>
        <v>Industry Energy Efficiency Standards</v>
      </c>
      <c r="K1219" s="275" t="str">
        <f>IF(ISBLANK(INDEX('Policy Characteristics'!E:E,MATCH($C1219,'Policy Characteristics'!$C:$C,0))),"",INDEX('Policy Characteristics'!E:E,MATCH($C1219,'Policy Characteristics'!$C:$C,0)))</f>
        <v>indst efficiency standards</v>
      </c>
      <c r="L1219" s="283">
        <f>IF(ISBLANK(INDEX('Policy Characteristics'!F:F,MATCH($C1219,'Policy Characteristics'!$C:$C,0))),"",INDEX('Policy Characteristics'!F:F,MATCH($C1219,'Policy Characteristics'!$C:$C,0)))</f>
        <v>0</v>
      </c>
      <c r="M1219" s="283">
        <f>IF(ISBLANK(INDEX('Policy Characteristics'!G:G,MATCH($C1219,'Policy Characteristics'!$C:$C,0))),"",INDEX('Policy Characteristics'!G:G,MATCH($C1219,'Policy Characteristics'!$C:$C,0)))</f>
        <v>0.25</v>
      </c>
      <c r="N1219" s="283">
        <f>IF(ISBLANK(INDEX('Policy Characteristics'!H:H,MATCH($C1219,'Policy Characteristics'!$C:$C,0))),"",INDEX('Policy Characteristics'!H:H,MATCH($C1219,'Policy Characteristics'!$C:$C,0)))</f>
        <v>0.01</v>
      </c>
      <c r="O1219" s="275" t="str">
        <f>IF(ISBLANK(INDEX('Policy Characteristics'!I:I,MATCH($C1219,'Policy Characteristics'!$C:$C,0))),"",INDEX('Policy Characteristics'!I:I,MATCH($C1219,'Policy Characteristics'!$C:$C,0)))</f>
        <v>% reduction in energy use</v>
      </c>
      <c r="P1219" s="275" t="str">
        <f>IF(ISBLANK(INDEX('Policy Characteristics'!J:J,MATCH($C1219,'Policy Characteristics'!$C:$C,0))),"",INDEX('Policy Characteristics'!J:J,MATCH($C1219,'Policy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9" s="275" t="str">
        <f>IF(ISBLANK(INDEX('Policy Characteristics'!K:K,MATCH($C1219,'Policy Characteristics'!$C:$C,0))),"",INDEX('Policy Characteristics'!K:K,MATCH($C1219,'Policy Characteristics'!$C:$C,0)))</f>
        <v>industry-ag-main.html#eff-stds</v>
      </c>
      <c r="R1219" s="275" t="str">
        <f>IF(ISBLANK(INDEX('Policy Characteristics'!L:L,MATCH($C1219,'Policy Characteristics'!$C:$C,0))),"",INDEX('Policy Characteristics'!L:L,MATCH($C1219,'Policy Characteristics'!$C:$C,0)))</f>
        <v>industry-energy-efficiency-standards.html</v>
      </c>
    </row>
    <row r="1220" spans="1:18" s="4" customFormat="1" x14ac:dyDescent="0.25">
      <c r="A1220" s="275" t="str">
        <f>IF(ISBLANK(INDEX('Policy Characteristics'!A:A,MATCH($C1220,'Policy Characteristics'!$C:$C,0))),"",INDEX('Policy Characteristics'!A:A,MATCH($C1220,'Policy Characteristics'!$C:$C,0)))</f>
        <v>Industry</v>
      </c>
      <c r="B1220" s="284" t="str">
        <f>IF(ISBLANK(INDEX('Policy Characteristics'!B:B,MATCH($C1220,'Policy Characteristics'!$C:$C,0))),"",INDEX('Policy Characteristics'!B:B,MATCH($C1220,'Policy Characteristics'!$C:$C,0)))</f>
        <v>Industry Energy Efficiency Standards</v>
      </c>
      <c r="C1220" s="275" t="str">
        <f t="shared" si="44"/>
        <v>Percentage Improvement in Eqpt Efficiency Standards above BAU</v>
      </c>
      <c r="D1220" s="6" t="s">
        <v>3094</v>
      </c>
      <c r="E1220" s="47" t="s">
        <v>2710</v>
      </c>
      <c r="F1220" t="s">
        <v>3055</v>
      </c>
      <c r="G1220" s="47" t="s">
        <v>2714</v>
      </c>
      <c r="H1220" s="44">
        <v>1205</v>
      </c>
      <c r="I1220" s="346" t="s">
        <v>43</v>
      </c>
      <c r="J1220" s="276" t="str">
        <f>IF(ISBLANK(INDEX('Policy Characteristics'!D:D,MATCH($C1220,'Policy Characteristics'!$C:$C,0))),"",INDEX('Policy Characteristics'!D:D,MATCH($C1220,'Policy Characteristics'!$C:$C,0)))</f>
        <v>Industry Energy Efficiency Standards</v>
      </c>
      <c r="K1220" s="275" t="str">
        <f>IF(ISBLANK(INDEX('Policy Characteristics'!E:E,MATCH($C1220,'Policy Characteristics'!$C:$C,0))),"",INDEX('Policy Characteristics'!E:E,MATCH($C1220,'Policy Characteristics'!$C:$C,0)))</f>
        <v>indst efficiency standards</v>
      </c>
      <c r="L1220" s="283">
        <f>IF(ISBLANK(INDEX('Policy Characteristics'!F:F,MATCH($C1220,'Policy Characteristics'!$C:$C,0))),"",INDEX('Policy Characteristics'!F:F,MATCH($C1220,'Policy Characteristics'!$C:$C,0)))</f>
        <v>0</v>
      </c>
      <c r="M1220" s="283">
        <f>IF(ISBLANK(INDEX('Policy Characteristics'!G:G,MATCH($C1220,'Policy Characteristics'!$C:$C,0))),"",INDEX('Policy Characteristics'!G:G,MATCH($C1220,'Policy Characteristics'!$C:$C,0)))</f>
        <v>0.25</v>
      </c>
      <c r="N1220" s="283">
        <f>IF(ISBLANK(INDEX('Policy Characteristics'!H:H,MATCH($C1220,'Policy Characteristics'!$C:$C,0))),"",INDEX('Policy Characteristics'!H:H,MATCH($C1220,'Policy Characteristics'!$C:$C,0)))</f>
        <v>0.01</v>
      </c>
      <c r="O1220" s="275" t="str">
        <f>IF(ISBLANK(INDEX('Policy Characteristics'!I:I,MATCH($C1220,'Policy Characteristics'!$C:$C,0))),"",INDEX('Policy Characteristics'!I:I,MATCH($C1220,'Policy Characteristics'!$C:$C,0)))</f>
        <v>% reduction in energy use</v>
      </c>
      <c r="P1220" s="275" t="str">
        <f>IF(ISBLANK(INDEX('Policy Characteristics'!J:J,MATCH($C1220,'Policy Characteristics'!$C:$C,0))),"",INDEX('Policy Characteristics'!J:J,MATCH($C1220,'Policy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0" s="275" t="str">
        <f>IF(ISBLANK(INDEX('Policy Characteristics'!K:K,MATCH($C1220,'Policy Characteristics'!$C:$C,0))),"",INDEX('Policy Characteristics'!K:K,MATCH($C1220,'Policy Characteristics'!$C:$C,0)))</f>
        <v>industry-ag-main.html#eff-stds</v>
      </c>
      <c r="R1220" s="275" t="str">
        <f>IF(ISBLANK(INDEX('Policy Characteristics'!L:L,MATCH($C1220,'Policy Characteristics'!$C:$C,0))),"",INDEX('Policy Characteristics'!L:L,MATCH($C1220,'Policy Characteristics'!$C:$C,0)))</f>
        <v>industry-energy-efficiency-standards.html</v>
      </c>
    </row>
    <row r="1221" spans="1:18" s="4" customFormat="1" x14ac:dyDescent="0.25">
      <c r="A1221" s="275" t="str">
        <f>IF(ISBLANK(INDEX('Policy Characteristics'!A:A,MATCH($C1221,'Policy Characteristics'!$C:$C,0))),"",INDEX('Policy Characteristics'!A:A,MATCH($C1221,'Policy Characteristics'!$C:$C,0)))</f>
        <v>Industry</v>
      </c>
      <c r="B1221" s="284" t="str">
        <f>IF(ISBLANK(INDEX('Policy Characteristics'!B:B,MATCH($C1221,'Policy Characteristics'!$C:$C,0))),"",INDEX('Policy Characteristics'!B:B,MATCH($C1221,'Policy Characteristics'!$C:$C,0)))</f>
        <v>Industry Energy Efficiency Standards</v>
      </c>
      <c r="C1221" s="275" t="str">
        <f t="shared" si="44"/>
        <v>Percentage Improvement in Eqpt Efficiency Standards above BAU</v>
      </c>
      <c r="D1221" s="6" t="s">
        <v>3094</v>
      </c>
      <c r="E1221" s="47" t="s">
        <v>2711</v>
      </c>
      <c r="F1221" t="s">
        <v>3055</v>
      </c>
      <c r="G1221" s="47" t="s">
        <v>2715</v>
      </c>
      <c r="H1221" s="44">
        <v>1206</v>
      </c>
      <c r="I1221" s="346" t="s">
        <v>43</v>
      </c>
      <c r="J1221" s="276" t="str">
        <f>IF(ISBLANK(INDEX('Policy Characteristics'!D:D,MATCH($C1221,'Policy Characteristics'!$C:$C,0))),"",INDEX('Policy Characteristics'!D:D,MATCH($C1221,'Policy Characteristics'!$C:$C,0)))</f>
        <v>Industry Energy Efficiency Standards</v>
      </c>
      <c r="K1221" s="275" t="str">
        <f>IF(ISBLANK(INDEX('Policy Characteristics'!E:E,MATCH($C1221,'Policy Characteristics'!$C:$C,0))),"",INDEX('Policy Characteristics'!E:E,MATCH($C1221,'Policy Characteristics'!$C:$C,0)))</f>
        <v>indst efficiency standards</v>
      </c>
      <c r="L1221" s="283">
        <f>IF(ISBLANK(INDEX('Policy Characteristics'!F:F,MATCH($C1221,'Policy Characteristics'!$C:$C,0))),"",INDEX('Policy Characteristics'!F:F,MATCH($C1221,'Policy Characteristics'!$C:$C,0)))</f>
        <v>0</v>
      </c>
      <c r="M1221" s="283">
        <f>IF(ISBLANK(INDEX('Policy Characteristics'!G:G,MATCH($C1221,'Policy Characteristics'!$C:$C,0))),"",INDEX('Policy Characteristics'!G:G,MATCH($C1221,'Policy Characteristics'!$C:$C,0)))</f>
        <v>0.25</v>
      </c>
      <c r="N1221" s="283">
        <f>IF(ISBLANK(INDEX('Policy Characteristics'!H:H,MATCH($C1221,'Policy Characteristics'!$C:$C,0))),"",INDEX('Policy Characteristics'!H:H,MATCH($C1221,'Policy Characteristics'!$C:$C,0)))</f>
        <v>0.01</v>
      </c>
      <c r="O1221" s="275" t="str">
        <f>IF(ISBLANK(INDEX('Policy Characteristics'!I:I,MATCH($C1221,'Policy Characteristics'!$C:$C,0))),"",INDEX('Policy Characteristics'!I:I,MATCH($C1221,'Policy Characteristics'!$C:$C,0)))</f>
        <v>% reduction in energy use</v>
      </c>
      <c r="P1221" s="275" t="str">
        <f>IF(ISBLANK(INDEX('Policy Characteristics'!J:J,MATCH($C1221,'Policy Characteristics'!$C:$C,0))),"",INDEX('Policy Characteristics'!J:J,MATCH($C1221,'Policy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1" s="275" t="str">
        <f>IF(ISBLANK(INDEX('Policy Characteristics'!K:K,MATCH($C1221,'Policy Characteristics'!$C:$C,0))),"",INDEX('Policy Characteristics'!K:K,MATCH($C1221,'Policy Characteristics'!$C:$C,0)))</f>
        <v>industry-ag-main.html#eff-stds</v>
      </c>
      <c r="R1221" s="275" t="str">
        <f>IF(ISBLANK(INDEX('Policy Characteristics'!L:L,MATCH($C1221,'Policy Characteristics'!$C:$C,0))),"",INDEX('Policy Characteristics'!L:L,MATCH($C1221,'Policy Characteristics'!$C:$C,0)))</f>
        <v>industry-energy-efficiency-standards.html</v>
      </c>
    </row>
    <row r="1222" spans="1:18" s="4" customFormat="1" x14ac:dyDescent="0.25">
      <c r="A1222" s="275" t="str">
        <f>IF(ISBLANK(INDEX('Policy Characteristics'!A:A,MATCH($C1222,'Policy Characteristics'!$C:$C,0))),"",INDEX('Policy Characteristics'!A:A,MATCH($C1222,'Policy Characteristics'!$C:$C,0)))</f>
        <v>Industry</v>
      </c>
      <c r="B1222" s="284" t="str">
        <f>IF(ISBLANK(INDEX('Policy Characteristics'!B:B,MATCH($C1222,'Policy Characteristics'!$C:$C,0))),"",INDEX('Policy Characteristics'!B:B,MATCH($C1222,'Policy Characteristics'!$C:$C,0)))</f>
        <v>Industry Energy Efficiency Standards</v>
      </c>
      <c r="C1222" s="275" t="str">
        <f t="shared" si="44"/>
        <v>Percentage Improvement in Eqpt Efficiency Standards above BAU</v>
      </c>
      <c r="D1222" s="6" t="s">
        <v>3094</v>
      </c>
      <c r="E1222" s="47" t="s">
        <v>2708</v>
      </c>
      <c r="F1222" t="s">
        <v>3055</v>
      </c>
      <c r="G1222" s="47" t="s">
        <v>2713</v>
      </c>
      <c r="H1222" s="44">
        <v>1207</v>
      </c>
      <c r="I1222" s="346" t="s">
        <v>44</v>
      </c>
      <c r="J1222" s="276" t="str">
        <f>IF(ISBLANK(INDEX('Policy Characteristics'!D:D,MATCH($C1222,'Policy Characteristics'!$C:$C,0))),"",INDEX('Policy Characteristics'!D:D,MATCH($C1222,'Policy Characteristics'!$C:$C,0)))</f>
        <v>Industry Energy Efficiency Standards</v>
      </c>
      <c r="K1222" s="275" t="str">
        <f>IF(ISBLANK(INDEX('Policy Characteristics'!E:E,MATCH($C1222,'Policy Characteristics'!$C:$C,0))),"",INDEX('Policy Characteristics'!E:E,MATCH($C1222,'Policy Characteristics'!$C:$C,0)))</f>
        <v>indst efficiency standards</v>
      </c>
      <c r="L1222" s="283">
        <f>IF(ISBLANK(INDEX('Policy Characteristics'!F:F,MATCH($C1222,'Policy Characteristics'!$C:$C,0))),"",INDEX('Policy Characteristics'!F:F,MATCH($C1222,'Policy Characteristics'!$C:$C,0)))</f>
        <v>0</v>
      </c>
      <c r="M1222" s="283">
        <f>IF(ISBLANK(INDEX('Policy Characteristics'!G:G,MATCH($C1222,'Policy Characteristics'!$C:$C,0))),"",INDEX('Policy Characteristics'!G:G,MATCH($C1222,'Policy Characteristics'!$C:$C,0)))</f>
        <v>0.25</v>
      </c>
      <c r="N1222" s="283">
        <f>IF(ISBLANK(INDEX('Policy Characteristics'!H:H,MATCH($C1222,'Policy Characteristics'!$C:$C,0))),"",INDEX('Policy Characteristics'!H:H,MATCH($C1222,'Policy Characteristics'!$C:$C,0)))</f>
        <v>0.01</v>
      </c>
      <c r="O1222" s="275" t="str">
        <f>IF(ISBLANK(INDEX('Policy Characteristics'!I:I,MATCH($C1222,'Policy Characteristics'!$C:$C,0))),"",INDEX('Policy Characteristics'!I:I,MATCH($C1222,'Policy Characteristics'!$C:$C,0)))</f>
        <v>% reduction in energy use</v>
      </c>
      <c r="P1222" s="275" t="str">
        <f>IF(ISBLANK(INDEX('Policy Characteristics'!J:J,MATCH($C1222,'Policy Characteristics'!$C:$C,0))),"",INDEX('Policy Characteristics'!J:J,MATCH($C1222,'Policy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2" s="275" t="str">
        <f>IF(ISBLANK(INDEX('Policy Characteristics'!K:K,MATCH($C1222,'Policy Characteristics'!$C:$C,0))),"",INDEX('Policy Characteristics'!K:K,MATCH($C1222,'Policy Characteristics'!$C:$C,0)))</f>
        <v>industry-ag-main.html#eff-stds</v>
      </c>
      <c r="R1222" s="275" t="str">
        <f>IF(ISBLANK(INDEX('Policy Characteristics'!L:L,MATCH($C1222,'Policy Characteristics'!$C:$C,0))),"",INDEX('Policy Characteristics'!L:L,MATCH($C1222,'Policy Characteristics'!$C:$C,0)))</f>
        <v>industry-energy-efficiency-standards.html</v>
      </c>
    </row>
    <row r="1223" spans="1:18" s="4" customFormat="1" x14ac:dyDescent="0.25">
      <c r="A1223" s="275" t="str">
        <f>IF(ISBLANK(INDEX('Policy Characteristics'!A:A,MATCH($C1223,'Policy Characteristics'!$C:$C,0))),"",INDEX('Policy Characteristics'!A:A,MATCH($C1223,'Policy Characteristics'!$C:$C,0)))</f>
        <v>Industry</v>
      </c>
      <c r="B1223" s="284" t="str">
        <f>IF(ISBLANK(INDEX('Policy Characteristics'!B:B,MATCH($C1223,'Policy Characteristics'!$C:$C,0))),"",INDEX('Policy Characteristics'!B:B,MATCH($C1223,'Policy Characteristics'!$C:$C,0)))</f>
        <v>Material Efficiency, Longevity, &amp; Re-Use</v>
      </c>
      <c r="C1223" t="s">
        <v>2437</v>
      </c>
      <c r="D1223" s="47" t="s">
        <v>3082</v>
      </c>
      <c r="E1223" s="47"/>
      <c r="F1223" s="6" t="s">
        <v>3045</v>
      </c>
      <c r="G1223" s="47"/>
      <c r="H1223" s="44">
        <v>429</v>
      </c>
      <c r="I1223" s="346" t="s">
        <v>43</v>
      </c>
      <c r="J1223" s="276" t="str">
        <f>IF(ISBLANK(INDEX('Policy Characteristics'!D:D,MATCH($C1223,'Policy Characteristics'!$C:$C,0))),"",INDEX('Policy Characteristics'!D:D,MATCH($C1223,'Policy Characteristics'!$C:$C,0)))</f>
        <v>Material Efficiency, Longevity, &amp; Re-Use</v>
      </c>
      <c r="K1223" s="275" t="str">
        <f>IF(ISBLANK(INDEX('Policy Characteristics'!E:E,MATCH($C1223,'Policy Characteristics'!$C:$C,0))),"",INDEX('Policy Characteristics'!E:E,MATCH($C1223,'Policy Characteristics'!$C:$C,0)))</f>
        <v>indst reduce nonenergy product demand</v>
      </c>
      <c r="L1223" s="283">
        <f>IF(ISBLANK(INDEX('Policy Characteristics'!F:F,MATCH($C1223,'Policy Characteristics'!$C:$C,0))),"",INDEX('Policy Characteristics'!F:F,MATCH($C1223,'Policy Characteristics'!$C:$C,0)))</f>
        <v>0</v>
      </c>
      <c r="M1223" s="283">
        <f>IF(ISBLANK(INDEX('Policy Characteristics'!G:G,MATCH($C1223,'Policy Characteristics'!$C:$C,0))),"",INDEX('Policy Characteristics'!G:G,MATCH($C1223,'Policy Characteristics'!$C:$C,0)))</f>
        <v>1</v>
      </c>
      <c r="N1223" s="283">
        <f>IF(ISBLANK(INDEX('Policy Characteristics'!H:H,MATCH($C1223,'Policy Characteristics'!$C:$C,0))),"",INDEX('Policy Characteristics'!H:H,MATCH($C1223,'Policy Characteristics'!$C:$C,0)))</f>
        <v>0.01</v>
      </c>
      <c r="O1223" s="275" t="str">
        <f>IF(ISBLANK(INDEX('Policy Characteristics'!I:I,MATCH($C1223,'Policy Characteristics'!$C:$C,0))),"",INDEX('Policy Characteristics'!I:I,MATCH($C1223,'Policy Characteristics'!$C:$C,0)))</f>
        <v>% demand reduction</v>
      </c>
      <c r="P1223" s="275" t="str">
        <f>IF(ISBLANK(INDEX('Policy Characteristics'!J:J,MATCH($C1223,'Policy Characteristics'!$C:$C,0))),"",INDEX('Policy Characteristics'!J:J,MATCH($C1223,'Policy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3" s="275" t="str">
        <f>IF(ISBLANK(INDEX('Policy Characteristics'!K:K,MATCH($C1223,'Policy Characteristics'!$C:$C,0))),"",INDEX('Policy Characteristics'!K:K,MATCH($C1223,'Policy Characteristics'!$C:$C,0)))</f>
        <v/>
      </c>
      <c r="R1223" s="275" t="str">
        <f>IF(ISBLANK(INDEX('Policy Characteristics'!L:L,MATCH($C1223,'Policy Characteristics'!$C:$C,0))),"",INDEX('Policy Characteristics'!L:L,MATCH($C1223,'Policy Characteristics'!$C:$C,0)))</f>
        <v>material-efficiency-longevity-reuse.html</v>
      </c>
    </row>
    <row r="1224" spans="1:18" s="4" customFormat="1" x14ac:dyDescent="0.25">
      <c r="A1224" s="275" t="str">
        <f>IF(ISBLANK(INDEX('Policy Characteristics'!A:A,MATCH($C1224,'Policy Characteristics'!$C:$C,0))),"",INDEX('Policy Characteristics'!A:A,MATCH($C1224,'Policy Characteristics'!$C:$C,0)))</f>
        <v>Industry</v>
      </c>
      <c r="B1224" s="284" t="str">
        <f>IF(ISBLANK(INDEX('Policy Characteristics'!B:B,MATCH($C1224,'Policy Characteristics'!$C:$C,0))),"",INDEX('Policy Characteristics'!B:B,MATCH($C1224,'Policy Characteristics'!$C:$C,0)))</f>
        <v>Material Efficiency, Longevity, &amp; Re-Use</v>
      </c>
      <c r="C1224" s="275" t="str">
        <f t="shared" ref="C1224" si="45">C$1223</f>
        <v>Percent Reduction in Nonenergy Nonagriculture Industry Product Demand</v>
      </c>
      <c r="D1224" s="6" t="s">
        <v>3083</v>
      </c>
      <c r="E1224" s="47"/>
      <c r="F1224" s="6" t="s">
        <v>2583</v>
      </c>
      <c r="G1224" s="47"/>
      <c r="H1224" s="44">
        <v>430</v>
      </c>
      <c r="I1224" s="346" t="s">
        <v>43</v>
      </c>
      <c r="J1224" s="276" t="str">
        <f>IF(ISBLANK(INDEX('Policy Characteristics'!D:D,MATCH($C1224,'Policy Characteristics'!$C:$C,0))),"",INDEX('Policy Characteristics'!D:D,MATCH($C1224,'Policy Characteristics'!$C:$C,0)))</f>
        <v>Material Efficiency, Longevity, &amp; Re-Use</v>
      </c>
      <c r="K1224" s="275" t="str">
        <f>IF(ISBLANK(INDEX('Policy Characteristics'!E:E,MATCH($C1224,'Policy Characteristics'!$C:$C,0))),"",INDEX('Policy Characteristics'!E:E,MATCH($C1224,'Policy Characteristics'!$C:$C,0)))</f>
        <v>indst reduce nonenergy product demand</v>
      </c>
      <c r="L1224" s="283">
        <f>IF(ISBLANK(INDEX('Policy Characteristics'!F:F,MATCH($C1224,'Policy Characteristics'!$C:$C,0))),"",INDEX('Policy Characteristics'!F:F,MATCH($C1224,'Policy Characteristics'!$C:$C,0)))</f>
        <v>0</v>
      </c>
      <c r="M1224" s="283">
        <f>IF(ISBLANK(INDEX('Policy Characteristics'!G:G,MATCH($C1224,'Policy Characteristics'!$C:$C,0))),"",INDEX('Policy Characteristics'!G:G,MATCH($C1224,'Policy Characteristics'!$C:$C,0)))</f>
        <v>1</v>
      </c>
      <c r="N1224" s="283">
        <f>IF(ISBLANK(INDEX('Policy Characteristics'!H:H,MATCH($C1224,'Policy Characteristics'!$C:$C,0))),"",INDEX('Policy Characteristics'!H:H,MATCH($C1224,'Policy Characteristics'!$C:$C,0)))</f>
        <v>0.01</v>
      </c>
      <c r="O1224" s="275" t="str">
        <f>IF(ISBLANK(INDEX('Policy Characteristics'!I:I,MATCH($C1224,'Policy Characteristics'!$C:$C,0))),"",INDEX('Policy Characteristics'!I:I,MATCH($C1224,'Policy Characteristics'!$C:$C,0)))</f>
        <v>% demand reduction</v>
      </c>
      <c r="P1224" s="275" t="str">
        <f>IF(ISBLANK(INDEX('Policy Characteristics'!J:J,MATCH($C1224,'Policy Characteristics'!$C:$C,0))),"",INDEX('Policy Characteristics'!J:J,MATCH($C1224,'Policy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4" s="275" t="str">
        <f>IF(ISBLANK(INDEX('Policy Characteristics'!K:K,MATCH($C1224,'Policy Characteristics'!$C:$C,0))),"",INDEX('Policy Characteristics'!K:K,MATCH($C1224,'Policy Characteristics'!$C:$C,0)))</f>
        <v/>
      </c>
      <c r="R1224" s="275" t="str">
        <f>IF(ISBLANK(INDEX('Policy Characteristics'!L:L,MATCH($C1224,'Policy Characteristics'!$C:$C,0))),"",INDEX('Policy Characteristics'!L:L,MATCH($C1224,'Policy Characteristics'!$C:$C,0)))</f>
        <v>material-efficiency-longevity-reuse.html</v>
      </c>
    </row>
    <row r="1225" spans="1:18" s="4" customFormat="1" x14ac:dyDescent="0.25">
      <c r="A1225" s="275" t="str">
        <f>IF(ISBLANK(INDEX('Policy Characteristics'!A:A,MATCH($C1225,'Policy Characteristics'!$C:$C,0))),"",INDEX('Policy Characteristics'!A:A,MATCH($C1225,'Policy Characteristics'!$C:$C,0)))</f>
        <v>Industry</v>
      </c>
      <c r="B1225" s="284" t="str">
        <f>IF(ISBLANK(INDEX('Policy Characteristics'!B:B,MATCH($C1225,'Policy Characteristics'!$C:$C,0))),"",INDEX('Policy Characteristics'!B:B,MATCH($C1225,'Policy Characteristics'!$C:$C,0)))</f>
        <v>Material Efficiency, Longevity, &amp; Re-Use</v>
      </c>
      <c r="C1225" s="275" t="str">
        <f t="shared" ref="C1225" si="46">C$1223</f>
        <v>Percent Reduction in Nonenergy Nonagriculture Industry Product Demand</v>
      </c>
      <c r="D1225" s="6" t="s">
        <v>3093</v>
      </c>
      <c r="E1225" s="47"/>
      <c r="F1225" s="6" t="s">
        <v>3096</v>
      </c>
      <c r="G1225" s="47"/>
      <c r="H1225" s="44">
        <v>432</v>
      </c>
      <c r="I1225" s="346" t="s">
        <v>43</v>
      </c>
      <c r="J1225" s="276" t="str">
        <f>IF(ISBLANK(INDEX('Policy Characteristics'!D:D,MATCH($C1225,'Policy Characteristics'!$C:$C,0))),"",INDEX('Policy Characteristics'!D:D,MATCH($C1225,'Policy Characteristics'!$C:$C,0)))</f>
        <v>Material Efficiency, Longevity, &amp; Re-Use</v>
      </c>
      <c r="K1225" s="275" t="str">
        <f>IF(ISBLANK(INDEX('Policy Characteristics'!E:E,MATCH($C1225,'Policy Characteristics'!$C:$C,0))),"",INDEX('Policy Characteristics'!E:E,MATCH($C1225,'Policy Characteristics'!$C:$C,0)))</f>
        <v>indst reduce nonenergy product demand</v>
      </c>
      <c r="L1225" s="283">
        <f>IF(ISBLANK(INDEX('Policy Characteristics'!F:F,MATCH($C1225,'Policy Characteristics'!$C:$C,0))),"",INDEX('Policy Characteristics'!F:F,MATCH($C1225,'Policy Characteristics'!$C:$C,0)))</f>
        <v>0</v>
      </c>
      <c r="M1225" s="283">
        <f>IF(ISBLANK(INDEX('Policy Characteristics'!G:G,MATCH($C1225,'Policy Characteristics'!$C:$C,0))),"",INDEX('Policy Characteristics'!G:G,MATCH($C1225,'Policy Characteristics'!$C:$C,0)))</f>
        <v>1</v>
      </c>
      <c r="N1225" s="283">
        <f>IF(ISBLANK(INDEX('Policy Characteristics'!H:H,MATCH($C1225,'Policy Characteristics'!$C:$C,0))),"",INDEX('Policy Characteristics'!H:H,MATCH($C1225,'Policy Characteristics'!$C:$C,0)))</f>
        <v>0.01</v>
      </c>
      <c r="O1225" s="275" t="str">
        <f>IF(ISBLANK(INDEX('Policy Characteristics'!I:I,MATCH($C1225,'Policy Characteristics'!$C:$C,0))),"",INDEX('Policy Characteristics'!I:I,MATCH($C1225,'Policy Characteristics'!$C:$C,0)))</f>
        <v>% demand reduction</v>
      </c>
      <c r="P1225" s="275" t="str">
        <f>IF(ISBLANK(INDEX('Policy Characteristics'!J:J,MATCH($C1225,'Policy Characteristics'!$C:$C,0))),"",INDEX('Policy Characteristics'!J:J,MATCH($C1225,'Policy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5" s="275" t="str">
        <f>IF(ISBLANK(INDEX('Policy Characteristics'!K:K,MATCH($C1225,'Policy Characteristics'!$C:$C,0))),"",INDEX('Policy Characteristics'!K:K,MATCH($C1225,'Policy Characteristics'!$C:$C,0)))</f>
        <v/>
      </c>
      <c r="R1225" s="275" t="str">
        <f>IF(ISBLANK(INDEX('Policy Characteristics'!L:L,MATCH($C1225,'Policy Characteristics'!$C:$C,0))),"",INDEX('Policy Characteristics'!L:L,MATCH($C1225,'Policy Characteristics'!$C:$C,0)))</f>
        <v>material-efficiency-longevity-reuse.html</v>
      </c>
    </row>
    <row r="1226" spans="1:18" x14ac:dyDescent="0.25">
      <c r="A1226" s="275" t="str">
        <f>IF(ISBLANK(INDEX('Policy Characteristics'!A:A,MATCH($C1226,'Policy Characteristics'!$C:$C,0))),"",INDEX('Policy Characteristics'!A:A,MATCH($C1226,'Policy Characteristics'!$C:$C,0)))</f>
        <v>Industry</v>
      </c>
      <c r="B1226" s="284" t="str">
        <f>IF(ISBLANK(INDEX('Policy Characteristics'!B:B,MATCH($C1226,'Policy Characteristics'!$C:$C,0))),"",INDEX('Policy Characteristics'!B:B,MATCH($C1226,'Policy Characteristics'!$C:$C,0)))</f>
        <v>Methane Capture</v>
      </c>
      <c r="C1226" t="s">
        <v>286</v>
      </c>
      <c r="D1226" s="47" t="s">
        <v>3072</v>
      </c>
      <c r="E1226" s="47"/>
      <c r="F1226" t="s">
        <v>3036</v>
      </c>
      <c r="G1226" s="47"/>
      <c r="H1226" s="44">
        <v>1458</v>
      </c>
      <c r="I1226" s="346" t="s">
        <v>43</v>
      </c>
      <c r="J1226" s="276" t="str">
        <f>IF(ISBLANK(INDEX('Policy Characteristics'!D:D,MATCH($C1226,'Policy Characteristics'!$C:$C,0))),"",INDEX('Policy Characteristics'!D:D,MATCH($C1226,'Policy Characteristics'!$C:$C,0)))</f>
        <v>Methane Capture and Destruction</v>
      </c>
      <c r="K1226" s="275" t="str">
        <f>IF(ISBLANK(INDEX('Policy Characteristics'!E:E,MATCH($C1226,'Policy Characteristics'!$C:$C,0))),"",INDEX('Policy Characteristics'!E:E,MATCH($C1226,'Policy Characteristics'!$C:$C,0)))</f>
        <v>indst methane capture</v>
      </c>
      <c r="L1226" s="283">
        <f>IF(ISBLANK(INDEX('Policy Characteristics'!F:F,MATCH($C1226,'Policy Characteristics'!$C:$C,0))),"",INDEX('Policy Characteristics'!F:F,MATCH($C1226,'Policy Characteristics'!$C:$C,0)))</f>
        <v>0</v>
      </c>
      <c r="M1226" s="283">
        <f>IF(ISBLANK(INDEX('Policy Characteristics'!G:G,MATCH($C1226,'Policy Characteristics'!$C:$C,0))),"",INDEX('Policy Characteristics'!G:G,MATCH($C1226,'Policy Characteristics'!$C:$C,0)))</f>
        <v>1</v>
      </c>
      <c r="N1226" s="283">
        <f>IF(ISBLANK(INDEX('Policy Characteristics'!H:H,MATCH($C1226,'Policy Characteristics'!$C:$C,0))),"",INDEX('Policy Characteristics'!H:H,MATCH($C1226,'Policy Characteristics'!$C:$C,0)))</f>
        <v>0.01</v>
      </c>
      <c r="O1226" s="275" t="str">
        <f>IF(ISBLANK(INDEX('Policy Characteristics'!I:I,MATCH($C1226,'Policy Characteristics'!$C:$C,0))),"",INDEX('Policy Characteristics'!I:I,MATCH($C1226,'Policy Characteristics'!$C:$C,0)))</f>
        <v>% of potential achieved</v>
      </c>
      <c r="P1226" s="275" t="str">
        <f>IF(ISBLANK(INDEX('Policy Characteristics'!J:J,MATCH($C1226,'Policy Characteristics'!$C:$C,0))),"",INDEX('Policy Characteristics'!J:J,MATCH($C1226,'Policy Characteristics'!$C:$C,0)))</f>
        <v>**Description:** This policy reduces methane emissions from the selected industry by increasing the capture of methane that is currently being released into the atmosphere (for example, stopping leaks from wellheads, pipes, coal mines, landfills, etc.).</v>
      </c>
      <c r="Q1226" s="275" t="str">
        <f>IF(ISBLANK(INDEX('Policy Characteristics'!K:K,MATCH($C1226,'Policy Characteristics'!$C:$C,0))),"",INDEX('Policy Characteristics'!K:K,MATCH($C1226,'Policy Characteristics'!$C:$C,0)))</f>
        <v>industry-ag-main.html#methane-capture</v>
      </c>
      <c r="R1226" s="275" t="str">
        <f>IF(ISBLANK(INDEX('Policy Characteristics'!L:L,MATCH($C1226,'Policy Characteristics'!$C:$C,0))),"",INDEX('Policy Characteristics'!L:L,MATCH($C1226,'Policy Characteristics'!$C:$C,0)))</f>
        <v>methane-capture.html</v>
      </c>
    </row>
    <row r="1227" spans="1:18" x14ac:dyDescent="0.25">
      <c r="A1227" s="275" t="str">
        <f>IF(ISBLANK(INDEX('Policy Characteristics'!A:A,MATCH($C1227,'Policy Characteristics'!$C:$C,0))),"",INDEX('Policy Characteristics'!A:A,MATCH($C1227,'Policy Characteristics'!$C:$C,0)))</f>
        <v>Industry</v>
      </c>
      <c r="B1227" s="284" t="str">
        <f>IF(ISBLANK(INDEX('Policy Characteristics'!B:B,MATCH($C1227,'Policy Characteristics'!$C:$C,0))),"",INDEX('Policy Characteristics'!B:B,MATCH($C1227,'Policy Characteristics'!$C:$C,0)))</f>
        <v>Methane Capture</v>
      </c>
      <c r="C1227" s="275" t="str">
        <f t="shared" ref="C1227:C1229" si="47">C$1226</f>
        <v>Fraction of Methane Capture Opportunities Achieved</v>
      </c>
      <c r="D1227" s="47" t="s">
        <v>3092</v>
      </c>
      <c r="E1227" s="47"/>
      <c r="F1227" t="s">
        <v>3054</v>
      </c>
      <c r="G1227" s="47"/>
      <c r="H1227" s="44">
        <v>1459</v>
      </c>
      <c r="I1227" s="346" t="s">
        <v>43</v>
      </c>
      <c r="J1227" s="276" t="str">
        <f>IF(ISBLANK(INDEX('Policy Characteristics'!D:D,MATCH($C1227,'Policy Characteristics'!$C:$C,0))),"",INDEX('Policy Characteristics'!D:D,MATCH($C1227,'Policy Characteristics'!$C:$C,0)))</f>
        <v>Methane Capture and Destruction</v>
      </c>
      <c r="K1227" s="275" t="str">
        <f>IF(ISBLANK(INDEX('Policy Characteristics'!E:E,MATCH($C1227,'Policy Characteristics'!$C:$C,0))),"",INDEX('Policy Characteristics'!E:E,MATCH($C1227,'Policy Characteristics'!$C:$C,0)))</f>
        <v>indst methane capture</v>
      </c>
      <c r="L1227" s="283">
        <f>IF(ISBLANK(INDEX('Policy Characteristics'!F:F,MATCH($C1227,'Policy Characteristics'!$C:$C,0))),"",INDEX('Policy Characteristics'!F:F,MATCH($C1227,'Policy Characteristics'!$C:$C,0)))</f>
        <v>0</v>
      </c>
      <c r="M1227" s="283">
        <f>IF(ISBLANK(INDEX('Policy Characteristics'!G:G,MATCH($C1227,'Policy Characteristics'!$C:$C,0))),"",INDEX('Policy Characteristics'!G:G,MATCH($C1227,'Policy Characteristics'!$C:$C,0)))</f>
        <v>1</v>
      </c>
      <c r="N1227" s="283">
        <f>IF(ISBLANK(INDEX('Policy Characteristics'!H:H,MATCH($C1227,'Policy Characteristics'!$C:$C,0))),"",INDEX('Policy Characteristics'!H:H,MATCH($C1227,'Policy Characteristics'!$C:$C,0)))</f>
        <v>0.01</v>
      </c>
      <c r="O1227" s="275" t="str">
        <f>IF(ISBLANK(INDEX('Policy Characteristics'!I:I,MATCH($C1227,'Policy Characteristics'!$C:$C,0))),"",INDEX('Policy Characteristics'!I:I,MATCH($C1227,'Policy Characteristics'!$C:$C,0)))</f>
        <v>% of potential achieved</v>
      </c>
      <c r="P1227" s="275" t="str">
        <f>IF(ISBLANK(INDEX('Policy Characteristics'!J:J,MATCH($C1227,'Policy Characteristics'!$C:$C,0))),"",INDEX('Policy Characteristics'!J:J,MATCH($C1227,'Policy Characteristics'!$C:$C,0)))</f>
        <v>**Description:** This policy reduces methane emissions from the selected industry by increasing the capture of methane that is currently being released into the atmosphere (for example, stopping leaks from wellheads, pipes, coal mines, landfills, etc.).</v>
      </c>
      <c r="Q1227" s="275" t="str">
        <f>IF(ISBLANK(INDEX('Policy Characteristics'!K:K,MATCH($C1227,'Policy Characteristics'!$C:$C,0))),"",INDEX('Policy Characteristics'!K:K,MATCH($C1227,'Policy Characteristics'!$C:$C,0)))</f>
        <v>industry-ag-main.html#methane-capture</v>
      </c>
      <c r="R1227" s="275" t="str">
        <f>IF(ISBLANK(INDEX('Policy Characteristics'!L:L,MATCH($C1227,'Policy Characteristics'!$C:$C,0))),"",INDEX('Policy Characteristics'!L:L,MATCH($C1227,'Policy Characteristics'!$C:$C,0)))</f>
        <v>methane-capture.html</v>
      </c>
    </row>
    <row r="1228" spans="1:18" x14ac:dyDescent="0.25">
      <c r="A1228" s="275" t="str">
        <f>IF(ISBLANK(INDEX('Policy Characteristics'!A:A,MATCH($C1228,'Policy Characteristics'!$C:$C,0))),"",INDEX('Policy Characteristics'!A:A,MATCH($C1228,'Policy Characteristics'!$C:$C,0)))</f>
        <v>Industry</v>
      </c>
      <c r="B1228" s="284" t="str">
        <f>IF(ISBLANK(INDEX('Policy Characteristics'!B:B,MATCH($C1228,'Policy Characteristics'!$C:$C,0))),"",INDEX('Policy Characteristics'!B:B,MATCH($C1228,'Policy Characteristics'!$C:$C,0)))</f>
        <v>Methane Capture</v>
      </c>
      <c r="C1228" s="275" t="str">
        <f t="shared" si="47"/>
        <v>Fraction of Methane Capture Opportunities Achieved</v>
      </c>
      <c r="D1228" s="47" t="s">
        <v>3071</v>
      </c>
      <c r="E1228" s="47"/>
      <c r="F1228" t="s">
        <v>2763</v>
      </c>
      <c r="G1228" s="47"/>
      <c r="H1228" s="44">
        <v>513</v>
      </c>
      <c r="I1228" s="346" t="s">
        <v>43</v>
      </c>
      <c r="J1228" s="276" t="str">
        <f>IF(ISBLANK(INDEX('Policy Characteristics'!D:D,MATCH($C1228,'Policy Characteristics'!$C:$C,0))),"",INDEX('Policy Characteristics'!D:D,MATCH($C1228,'Policy Characteristics'!$C:$C,0)))</f>
        <v>Methane Capture and Destruction</v>
      </c>
      <c r="K1228" s="275" t="str">
        <f>IF(ISBLANK(INDEX('Policy Characteristics'!E:E,MATCH($C1228,'Policy Characteristics'!$C:$C,0))),"",INDEX('Policy Characteristics'!E:E,MATCH($C1228,'Policy Characteristics'!$C:$C,0)))</f>
        <v>indst methane capture</v>
      </c>
      <c r="L1228" s="283">
        <f>IF(ISBLANK(INDEX('Policy Characteristics'!F:F,MATCH($C1228,'Policy Characteristics'!$C:$C,0))),"",INDEX('Policy Characteristics'!F:F,MATCH($C1228,'Policy Characteristics'!$C:$C,0)))</f>
        <v>0</v>
      </c>
      <c r="M1228" s="283">
        <f>IF(ISBLANK(INDEX('Policy Characteristics'!G:G,MATCH($C1228,'Policy Characteristics'!$C:$C,0))),"",INDEX('Policy Characteristics'!G:G,MATCH($C1228,'Policy Characteristics'!$C:$C,0)))</f>
        <v>1</v>
      </c>
      <c r="N1228" s="283">
        <f>IF(ISBLANK(INDEX('Policy Characteristics'!H:H,MATCH($C1228,'Policy Characteristics'!$C:$C,0))),"",INDEX('Policy Characteristics'!H:H,MATCH($C1228,'Policy Characteristics'!$C:$C,0)))</f>
        <v>0.01</v>
      </c>
      <c r="O1228" s="275" t="str">
        <f>IF(ISBLANK(INDEX('Policy Characteristics'!I:I,MATCH($C1228,'Policy Characteristics'!$C:$C,0))),"",INDEX('Policy Characteristics'!I:I,MATCH($C1228,'Policy Characteristics'!$C:$C,0)))</f>
        <v>% of potential achieved</v>
      </c>
      <c r="P1228" s="275" t="str">
        <f>IF(ISBLANK(INDEX('Policy Characteristics'!J:J,MATCH($C1228,'Policy Characteristics'!$C:$C,0))),"",INDEX('Policy Characteristics'!J:J,MATCH($C1228,'Policy Characteristics'!$C:$C,0)))</f>
        <v>**Description:** This policy reduces methane emissions from the selected industry by increasing the capture of methane that is currently being released into the atmosphere (for example, stopping leaks from wellheads, pipes, coal mines, landfills, etc.).</v>
      </c>
      <c r="Q1228" s="275" t="str">
        <f>IF(ISBLANK(INDEX('Policy Characteristics'!K:K,MATCH($C1228,'Policy Characteristics'!$C:$C,0))),"",INDEX('Policy Characteristics'!K:K,MATCH($C1228,'Policy Characteristics'!$C:$C,0)))</f>
        <v>industry-ag-main.html#methane-capture</v>
      </c>
      <c r="R1228" s="275" t="str">
        <f>IF(ISBLANK(INDEX('Policy Characteristics'!L:L,MATCH($C1228,'Policy Characteristics'!$C:$C,0))),"",INDEX('Policy Characteristics'!L:L,MATCH($C1228,'Policy Characteristics'!$C:$C,0)))</f>
        <v>methane-capture.html</v>
      </c>
    </row>
    <row r="1229" spans="1:18" x14ac:dyDescent="0.25">
      <c r="A1229" s="275" t="str">
        <f>IF(ISBLANK(INDEX('Policy Characteristics'!A:A,MATCH($C1229,'Policy Characteristics'!$C:$C,0))),"",INDEX('Policy Characteristics'!A:A,MATCH($C1229,'Policy Characteristics'!$C:$C,0)))</f>
        <v>Industry</v>
      </c>
      <c r="B1229" s="284" t="str">
        <f>IF(ISBLANK(INDEX('Policy Characteristics'!B:B,MATCH($C1229,'Policy Characteristics'!$C:$C,0))),"",INDEX('Policy Characteristics'!B:B,MATCH($C1229,'Policy Characteristics'!$C:$C,0)))</f>
        <v>Methane Capture</v>
      </c>
      <c r="C1229" s="275" t="str">
        <f t="shared" si="47"/>
        <v>Fraction of Methane Capture Opportunities Achieved</v>
      </c>
      <c r="D1229" s="47" t="s">
        <v>3093</v>
      </c>
      <c r="E1229" s="47"/>
      <c r="F1229" t="s">
        <v>3096</v>
      </c>
      <c r="G1229" s="47"/>
      <c r="H1229" s="44">
        <v>514</v>
      </c>
      <c r="I1229" s="346" t="s">
        <v>43</v>
      </c>
      <c r="J1229" s="276" t="str">
        <f>IF(ISBLANK(INDEX('Policy Characteristics'!D:D,MATCH($C1229,'Policy Characteristics'!$C:$C,0))),"",INDEX('Policy Characteristics'!D:D,MATCH($C1229,'Policy Characteristics'!$C:$C,0)))</f>
        <v>Methane Capture and Destruction</v>
      </c>
      <c r="K1229" s="275" t="str">
        <f>IF(ISBLANK(INDEX('Policy Characteristics'!E:E,MATCH($C1229,'Policy Characteristics'!$C:$C,0))),"",INDEX('Policy Characteristics'!E:E,MATCH($C1229,'Policy Characteristics'!$C:$C,0)))</f>
        <v>indst methane capture</v>
      </c>
      <c r="L1229" s="283">
        <f>IF(ISBLANK(INDEX('Policy Characteristics'!F:F,MATCH($C1229,'Policy Characteristics'!$C:$C,0))),"",INDEX('Policy Characteristics'!F:F,MATCH($C1229,'Policy Characteristics'!$C:$C,0)))</f>
        <v>0</v>
      </c>
      <c r="M1229" s="283">
        <f>IF(ISBLANK(INDEX('Policy Characteristics'!G:G,MATCH($C1229,'Policy Characteristics'!$C:$C,0))),"",INDEX('Policy Characteristics'!G:G,MATCH($C1229,'Policy Characteristics'!$C:$C,0)))</f>
        <v>1</v>
      </c>
      <c r="N1229" s="283">
        <f>IF(ISBLANK(INDEX('Policy Characteristics'!H:H,MATCH($C1229,'Policy Characteristics'!$C:$C,0))),"",INDEX('Policy Characteristics'!H:H,MATCH($C1229,'Policy Characteristics'!$C:$C,0)))</f>
        <v>0.01</v>
      </c>
      <c r="O1229" s="275" t="str">
        <f>IF(ISBLANK(INDEX('Policy Characteristics'!I:I,MATCH($C1229,'Policy Characteristics'!$C:$C,0))),"",INDEX('Policy Characteristics'!I:I,MATCH($C1229,'Policy Characteristics'!$C:$C,0)))</f>
        <v>% of potential achieved</v>
      </c>
      <c r="P1229" s="275" t="str">
        <f>IF(ISBLANK(INDEX('Policy Characteristics'!J:J,MATCH($C1229,'Policy Characteristics'!$C:$C,0))),"",INDEX('Policy Characteristics'!J:J,MATCH($C1229,'Policy Characteristics'!$C:$C,0)))</f>
        <v>**Description:** This policy reduces methane emissions from the selected industry by increasing the capture of methane that is currently being released into the atmosphere (for example, stopping leaks from wellheads, pipes, coal mines, landfills, etc.).</v>
      </c>
      <c r="Q1229" s="275" t="str">
        <f>IF(ISBLANK(INDEX('Policy Characteristics'!K:K,MATCH($C1229,'Policy Characteristics'!$C:$C,0))),"",INDEX('Policy Characteristics'!K:K,MATCH($C1229,'Policy Characteristics'!$C:$C,0)))</f>
        <v>industry-ag-main.html#methane-capture</v>
      </c>
      <c r="R1229" s="275" t="str">
        <f>IF(ISBLANK(INDEX('Policy Characteristics'!L:L,MATCH($C1229,'Policy Characteristics'!$C:$C,0))),"",INDEX('Policy Characteristics'!L:L,MATCH($C1229,'Policy Characteristics'!$C:$C,0)))</f>
        <v>methane-capture.html</v>
      </c>
    </row>
    <row r="1230" spans="1:18" x14ac:dyDescent="0.25">
      <c r="A1230" s="275" t="str">
        <f>IF(ISBLANK(INDEX('Policy Characteristics'!A:A,MATCH($C1230,'Policy Characteristics'!$C:$C,0))),"",INDEX('Policy Characteristics'!A:A,MATCH($C1230,'Policy Characteristics'!$C:$C,0)))</f>
        <v>Industry</v>
      </c>
      <c r="B1230" s="284" t="str">
        <f>IF(ISBLANK(INDEX('Policy Characteristics'!B:B,MATCH($C1230,'Policy Characteristics'!$C:$C,0))),"",INDEX('Policy Characteristics'!B:B,MATCH($C1230,'Policy Characteristics'!$C:$C,0)))</f>
        <v>Methane Destruction</v>
      </c>
      <c r="C1230" t="s">
        <v>287</v>
      </c>
      <c r="D1230" s="47" t="s">
        <v>3072</v>
      </c>
      <c r="E1230" s="47"/>
      <c r="F1230" t="s">
        <v>3036</v>
      </c>
      <c r="G1230" s="47"/>
      <c r="H1230" s="44">
        <v>1460</v>
      </c>
      <c r="I1230" s="346" t="s">
        <v>43</v>
      </c>
      <c r="J1230" s="276" t="str">
        <f>IF(ISBLANK(INDEX('Policy Characteristics'!D:D,MATCH($C1230,'Policy Characteristics'!$C:$C,0))),"",INDEX('Policy Characteristics'!D:D,MATCH($C1230,'Policy Characteristics'!$C:$C,0)))</f>
        <v>Methane Capture and Destruction</v>
      </c>
      <c r="K1230" s="275" t="str">
        <f>IF(ISBLANK(INDEX('Policy Characteristics'!E:E,MATCH($C1230,'Policy Characteristics'!$C:$C,0))),"",INDEX('Policy Characteristics'!E:E,MATCH($C1230,'Policy Characteristics'!$C:$C,0)))</f>
        <v>indst methane destruction</v>
      </c>
      <c r="L1230" s="283">
        <f>IF(ISBLANK(INDEX('Policy Characteristics'!F:F,MATCH($C1230,'Policy Characteristics'!$C:$C,0))),"",INDEX('Policy Characteristics'!F:F,MATCH($C1230,'Policy Characteristics'!$C:$C,0)))</f>
        <v>0</v>
      </c>
      <c r="M1230" s="283">
        <f>IF(ISBLANK(INDEX('Policy Characteristics'!G:G,MATCH($C1230,'Policy Characteristics'!$C:$C,0))),"",INDEX('Policy Characteristics'!G:G,MATCH($C1230,'Policy Characteristics'!$C:$C,0)))</f>
        <v>1</v>
      </c>
      <c r="N1230" s="283">
        <f>IF(ISBLANK(INDEX('Policy Characteristics'!H:H,MATCH($C1230,'Policy Characteristics'!$C:$C,0))),"",INDEX('Policy Characteristics'!H:H,MATCH($C1230,'Policy Characteristics'!$C:$C,0)))</f>
        <v>0.01</v>
      </c>
      <c r="O1230" s="275" t="str">
        <f>IF(ISBLANK(INDEX('Policy Characteristics'!I:I,MATCH($C1230,'Policy Characteristics'!$C:$C,0))),"",INDEX('Policy Characteristics'!I:I,MATCH($C1230,'Policy Characteristics'!$C:$C,0)))</f>
        <v>% of potential achieved</v>
      </c>
      <c r="P1230" s="275" t="str">
        <f>IF(ISBLANK(INDEX('Policy Characteristics'!J:J,MATCH($C1230,'Policy Characteristics'!$C:$C,0))),"",INDEX('Policy Characteristics'!J:J,MATCH($C1230,'Policy Characteristics'!$C:$C,0)))</f>
        <v>**Description:** This policy reduces methane emissions from the selected industry by increasing the burning of methane that is currently being released into the atmosphere (i.e. flaring instead of venting/leaking).</v>
      </c>
      <c r="Q1230" s="275" t="str">
        <f>IF(ISBLANK(INDEX('Policy Characteristics'!K:K,MATCH($C1230,'Policy Characteristics'!$C:$C,0))),"",INDEX('Policy Characteristics'!K:K,MATCH($C1230,'Policy Characteristics'!$C:$C,0)))</f>
        <v>industry-ag-main.html#methane-destr</v>
      </c>
      <c r="R1230" s="275" t="str">
        <f>IF(ISBLANK(INDEX('Policy Characteristics'!L:L,MATCH($C1230,'Policy Characteristics'!$C:$C,0))),"",INDEX('Policy Characteristics'!L:L,MATCH($C1230,'Policy Characteristics'!$C:$C,0)))</f>
        <v>methane-destruction.html</v>
      </c>
    </row>
    <row r="1231" spans="1:18" x14ac:dyDescent="0.25">
      <c r="A1231" s="275" t="str">
        <f>IF(ISBLANK(INDEX('Policy Characteristics'!A:A,MATCH($C1231,'Policy Characteristics'!$C:$C,0))),"",INDEX('Policy Characteristics'!A:A,MATCH($C1231,'Policy Characteristics'!$C:$C,0)))</f>
        <v>Industry</v>
      </c>
      <c r="B1231" s="284" t="str">
        <f>IF(ISBLANK(INDEX('Policy Characteristics'!B:B,MATCH($C1231,'Policy Characteristics'!$C:$C,0))),"",INDEX('Policy Characteristics'!B:B,MATCH($C1231,'Policy Characteristics'!$C:$C,0)))</f>
        <v>Methane Destruction</v>
      </c>
      <c r="C1231" s="275" t="str">
        <f t="shared" ref="C1231:C1233" si="48">C$1230</f>
        <v>Fraction of Methane Destruction Opportunities Achieved</v>
      </c>
      <c r="D1231" s="47" t="s">
        <v>3092</v>
      </c>
      <c r="E1231" s="47"/>
      <c r="F1231" t="s">
        <v>3054</v>
      </c>
      <c r="G1231" s="47"/>
      <c r="H1231" s="44">
        <v>1461</v>
      </c>
      <c r="I1231" s="346" t="s">
        <v>43</v>
      </c>
      <c r="J1231" s="276" t="str">
        <f>IF(ISBLANK(INDEX('Policy Characteristics'!D:D,MATCH($C1231,'Policy Characteristics'!$C:$C,0))),"",INDEX('Policy Characteristics'!D:D,MATCH($C1231,'Policy Characteristics'!$C:$C,0)))</f>
        <v>Methane Capture and Destruction</v>
      </c>
      <c r="K1231" s="275" t="str">
        <f>IF(ISBLANK(INDEX('Policy Characteristics'!E:E,MATCH($C1231,'Policy Characteristics'!$C:$C,0))),"",INDEX('Policy Characteristics'!E:E,MATCH($C1231,'Policy Characteristics'!$C:$C,0)))</f>
        <v>indst methane destruction</v>
      </c>
      <c r="L1231" s="283">
        <f>IF(ISBLANK(INDEX('Policy Characteristics'!F:F,MATCH($C1231,'Policy Characteristics'!$C:$C,0))),"",INDEX('Policy Characteristics'!F:F,MATCH($C1231,'Policy Characteristics'!$C:$C,0)))</f>
        <v>0</v>
      </c>
      <c r="M1231" s="283">
        <f>IF(ISBLANK(INDEX('Policy Characteristics'!G:G,MATCH($C1231,'Policy Characteristics'!$C:$C,0))),"",INDEX('Policy Characteristics'!G:G,MATCH($C1231,'Policy Characteristics'!$C:$C,0)))</f>
        <v>1</v>
      </c>
      <c r="N1231" s="283">
        <f>IF(ISBLANK(INDEX('Policy Characteristics'!H:H,MATCH($C1231,'Policy Characteristics'!$C:$C,0))),"",INDEX('Policy Characteristics'!H:H,MATCH($C1231,'Policy Characteristics'!$C:$C,0)))</f>
        <v>0.01</v>
      </c>
      <c r="O1231" s="275" t="str">
        <f>IF(ISBLANK(INDEX('Policy Characteristics'!I:I,MATCH($C1231,'Policy Characteristics'!$C:$C,0))),"",INDEX('Policy Characteristics'!I:I,MATCH($C1231,'Policy Characteristics'!$C:$C,0)))</f>
        <v>% of potential achieved</v>
      </c>
      <c r="P1231" s="275" t="str">
        <f>IF(ISBLANK(INDEX('Policy Characteristics'!J:J,MATCH($C1231,'Policy Characteristics'!$C:$C,0))),"",INDEX('Policy Characteristics'!J:J,MATCH($C1231,'Policy Characteristics'!$C:$C,0)))</f>
        <v>**Description:** This policy reduces methane emissions from the selected industry by increasing the burning of methane that is currently being released into the atmosphere (i.e. flaring instead of venting/leaking).</v>
      </c>
      <c r="Q1231" s="275" t="str">
        <f>IF(ISBLANK(INDEX('Policy Characteristics'!K:K,MATCH($C1231,'Policy Characteristics'!$C:$C,0))),"",INDEX('Policy Characteristics'!K:K,MATCH($C1231,'Policy Characteristics'!$C:$C,0)))</f>
        <v>industry-ag-main.html#methane-destr</v>
      </c>
      <c r="R1231" s="275" t="str">
        <f>IF(ISBLANK(INDEX('Policy Characteristics'!L:L,MATCH($C1231,'Policy Characteristics'!$C:$C,0))),"",INDEX('Policy Characteristics'!L:L,MATCH($C1231,'Policy Characteristics'!$C:$C,0)))</f>
        <v>methane-destruction.html</v>
      </c>
    </row>
    <row r="1232" spans="1:18" x14ac:dyDescent="0.25">
      <c r="A1232" s="275" t="str">
        <f>IF(ISBLANK(INDEX('Policy Characteristics'!A:A,MATCH($C1232,'Policy Characteristics'!$C:$C,0))),"",INDEX('Policy Characteristics'!A:A,MATCH($C1232,'Policy Characteristics'!$C:$C,0)))</f>
        <v>Industry</v>
      </c>
      <c r="B1232" s="284" t="str">
        <f>IF(ISBLANK(INDEX('Policy Characteristics'!B:B,MATCH($C1232,'Policy Characteristics'!$C:$C,0))),"",INDEX('Policy Characteristics'!B:B,MATCH($C1232,'Policy Characteristics'!$C:$C,0)))</f>
        <v>Methane Destruction</v>
      </c>
      <c r="C1232" s="275" t="str">
        <f t="shared" si="48"/>
        <v>Fraction of Methane Destruction Opportunities Achieved</v>
      </c>
      <c r="D1232" s="47" t="s">
        <v>3071</v>
      </c>
      <c r="E1232" s="47"/>
      <c r="F1232" t="s">
        <v>2763</v>
      </c>
      <c r="G1232" s="47"/>
      <c r="H1232" s="44">
        <v>515</v>
      </c>
      <c r="I1232" s="346" t="s">
        <v>43</v>
      </c>
      <c r="J1232" s="276" t="str">
        <f>IF(ISBLANK(INDEX('Policy Characteristics'!D:D,MATCH($C1232,'Policy Characteristics'!$C:$C,0))),"",INDEX('Policy Characteristics'!D:D,MATCH($C1232,'Policy Characteristics'!$C:$C,0)))</f>
        <v>Methane Capture and Destruction</v>
      </c>
      <c r="K1232" s="275" t="str">
        <f>IF(ISBLANK(INDEX('Policy Characteristics'!E:E,MATCH($C1232,'Policy Characteristics'!$C:$C,0))),"",INDEX('Policy Characteristics'!E:E,MATCH($C1232,'Policy Characteristics'!$C:$C,0)))</f>
        <v>indst methane destruction</v>
      </c>
      <c r="L1232" s="283">
        <f>IF(ISBLANK(INDEX('Policy Characteristics'!F:F,MATCH($C1232,'Policy Characteristics'!$C:$C,0))),"",INDEX('Policy Characteristics'!F:F,MATCH($C1232,'Policy Characteristics'!$C:$C,0)))</f>
        <v>0</v>
      </c>
      <c r="M1232" s="283">
        <f>IF(ISBLANK(INDEX('Policy Characteristics'!G:G,MATCH($C1232,'Policy Characteristics'!$C:$C,0))),"",INDEX('Policy Characteristics'!G:G,MATCH($C1232,'Policy Characteristics'!$C:$C,0)))</f>
        <v>1</v>
      </c>
      <c r="N1232" s="283">
        <f>IF(ISBLANK(INDEX('Policy Characteristics'!H:H,MATCH($C1232,'Policy Characteristics'!$C:$C,0))),"",INDEX('Policy Characteristics'!H:H,MATCH($C1232,'Policy Characteristics'!$C:$C,0)))</f>
        <v>0.01</v>
      </c>
      <c r="O1232" s="275" t="str">
        <f>IF(ISBLANK(INDEX('Policy Characteristics'!I:I,MATCH($C1232,'Policy Characteristics'!$C:$C,0))),"",INDEX('Policy Characteristics'!I:I,MATCH($C1232,'Policy Characteristics'!$C:$C,0)))</f>
        <v>% of potential achieved</v>
      </c>
      <c r="P1232" s="275" t="str">
        <f>IF(ISBLANK(INDEX('Policy Characteristics'!J:J,MATCH($C1232,'Policy Characteristics'!$C:$C,0))),"",INDEX('Policy Characteristics'!J:J,MATCH($C1232,'Policy Characteristics'!$C:$C,0)))</f>
        <v>**Description:** This policy reduces methane emissions from the selected industry by increasing the burning of methane that is currently being released into the atmosphere (i.e. flaring instead of venting/leaking).</v>
      </c>
      <c r="Q1232" s="275" t="str">
        <f>IF(ISBLANK(INDEX('Policy Characteristics'!K:K,MATCH($C1232,'Policy Characteristics'!$C:$C,0))),"",INDEX('Policy Characteristics'!K:K,MATCH($C1232,'Policy Characteristics'!$C:$C,0)))</f>
        <v>industry-ag-main.html#methane-destr</v>
      </c>
      <c r="R1232" s="275" t="str">
        <f>IF(ISBLANK(INDEX('Policy Characteristics'!L:L,MATCH($C1232,'Policy Characteristics'!$C:$C,0))),"",INDEX('Policy Characteristics'!L:L,MATCH($C1232,'Policy Characteristics'!$C:$C,0)))</f>
        <v>methane-destruction.html</v>
      </c>
    </row>
    <row r="1233" spans="1:18" x14ac:dyDescent="0.25">
      <c r="A1233" s="275" t="str">
        <f>IF(ISBLANK(INDEX('Policy Characteristics'!A:A,MATCH($C1233,'Policy Characteristics'!$C:$C,0))),"",INDEX('Policy Characteristics'!A:A,MATCH($C1233,'Policy Characteristics'!$C:$C,0)))</f>
        <v>Industry</v>
      </c>
      <c r="B1233" s="284" t="str">
        <f>IF(ISBLANK(INDEX('Policy Characteristics'!B:B,MATCH($C1233,'Policy Characteristics'!$C:$C,0))),"",INDEX('Policy Characteristics'!B:B,MATCH($C1233,'Policy Characteristics'!$C:$C,0)))</f>
        <v>Methane Destruction</v>
      </c>
      <c r="C1233" s="275" t="str">
        <f t="shared" si="48"/>
        <v>Fraction of Methane Destruction Opportunities Achieved</v>
      </c>
      <c r="D1233" s="47" t="s">
        <v>3093</v>
      </c>
      <c r="E1233" s="47"/>
      <c r="F1233" t="s">
        <v>3096</v>
      </c>
      <c r="G1233" s="47"/>
      <c r="H1233" s="44">
        <v>516</v>
      </c>
      <c r="I1233" s="346" t="s">
        <v>43</v>
      </c>
      <c r="J1233" s="276" t="str">
        <f>IF(ISBLANK(INDEX('Policy Characteristics'!D:D,MATCH($C1233,'Policy Characteristics'!$C:$C,0))),"",INDEX('Policy Characteristics'!D:D,MATCH($C1233,'Policy Characteristics'!$C:$C,0)))</f>
        <v>Methane Capture and Destruction</v>
      </c>
      <c r="K1233" s="275" t="str">
        <f>IF(ISBLANK(INDEX('Policy Characteristics'!E:E,MATCH($C1233,'Policy Characteristics'!$C:$C,0))),"",INDEX('Policy Characteristics'!E:E,MATCH($C1233,'Policy Characteristics'!$C:$C,0)))</f>
        <v>indst methane destruction</v>
      </c>
      <c r="L1233" s="283">
        <f>IF(ISBLANK(INDEX('Policy Characteristics'!F:F,MATCH($C1233,'Policy Characteristics'!$C:$C,0))),"",INDEX('Policy Characteristics'!F:F,MATCH($C1233,'Policy Characteristics'!$C:$C,0)))</f>
        <v>0</v>
      </c>
      <c r="M1233" s="283">
        <f>IF(ISBLANK(INDEX('Policy Characteristics'!G:G,MATCH($C1233,'Policy Characteristics'!$C:$C,0))),"",INDEX('Policy Characteristics'!G:G,MATCH($C1233,'Policy Characteristics'!$C:$C,0)))</f>
        <v>1</v>
      </c>
      <c r="N1233" s="283">
        <f>IF(ISBLANK(INDEX('Policy Characteristics'!H:H,MATCH($C1233,'Policy Characteristics'!$C:$C,0))),"",INDEX('Policy Characteristics'!H:H,MATCH($C1233,'Policy Characteristics'!$C:$C,0)))</f>
        <v>0.01</v>
      </c>
      <c r="O1233" s="275" t="str">
        <f>IF(ISBLANK(INDEX('Policy Characteristics'!I:I,MATCH($C1233,'Policy Characteristics'!$C:$C,0))),"",INDEX('Policy Characteristics'!I:I,MATCH($C1233,'Policy Characteristics'!$C:$C,0)))</f>
        <v>% of potential achieved</v>
      </c>
      <c r="P1233" s="275" t="str">
        <f>IF(ISBLANK(INDEX('Policy Characteristics'!J:J,MATCH($C1233,'Policy Characteristics'!$C:$C,0))),"",INDEX('Policy Characteristics'!J:J,MATCH($C1233,'Policy Characteristics'!$C:$C,0)))</f>
        <v>**Description:** This policy reduces methane emissions from the selected industry by increasing the burning of methane that is currently being released into the atmosphere (i.e. flaring instead of venting/leaking).</v>
      </c>
      <c r="Q1233" s="275" t="str">
        <f>IF(ISBLANK(INDEX('Policy Characteristics'!K:K,MATCH($C1233,'Policy Characteristics'!$C:$C,0))),"",INDEX('Policy Characteristics'!K:K,MATCH($C1233,'Policy Characteristics'!$C:$C,0)))</f>
        <v>industry-ag-main.html#methane-destr</v>
      </c>
      <c r="R1233" s="275" t="str">
        <f>IF(ISBLANK(INDEX('Policy Characteristics'!L:L,MATCH($C1233,'Policy Characteristics'!$C:$C,0))),"",INDEX('Policy Characteristics'!L:L,MATCH($C1233,'Policy Characteristics'!$C:$C,0)))</f>
        <v>methane-destruction.html</v>
      </c>
    </row>
    <row r="1234" spans="1:18" x14ac:dyDescent="0.25">
      <c r="A1234" s="275" t="str">
        <f>IF(ISBLANK(INDEX('Policy Characteristics'!A:A,MATCH($C1234,'Policy Characteristics'!$C:$C,0))),"",INDEX('Policy Characteristics'!A:A,MATCH($C1234,'Policy Characteristics'!$C:$C,0)))</f>
        <v>Industry</v>
      </c>
      <c r="B1234" s="284" t="str">
        <f>IF(ISBLANK(INDEX('Policy Characteristics'!B:B,MATCH($C1234,'Policy Characteristics'!$C:$C,0))),"",INDEX('Policy Characteristics'!B:B,MATCH($C1234,'Policy Characteristics'!$C:$C,0)))</f>
        <v>N2O Abatement</v>
      </c>
      <c r="C1234" s="1" t="s">
        <v>3247</v>
      </c>
      <c r="D1234" s="47"/>
      <c r="E1234" s="47"/>
      <c r="F1234"/>
      <c r="G1234" s="47"/>
      <c r="H1234" s="44">
        <v>1562</v>
      </c>
      <c r="I1234" s="346" t="s">
        <v>43</v>
      </c>
      <c r="J1234" s="276" t="str">
        <f>IF(ISBLANK(INDEX('Policy Characteristics'!D:D,MATCH($C1234,'Policy Characteristics'!$C:$C,0))),"",INDEX('Policy Characteristics'!D:D,MATCH($C1234,'Policy Characteristics'!$C:$C,0)))</f>
        <v>N2O Abatement</v>
      </c>
      <c r="K1234" s="275" t="str">
        <f>IF(ISBLANK(INDEX('Policy Characteristics'!E:E,MATCH($C1234,'Policy Characteristics'!$C:$C,0))),"",INDEX('Policy Characteristics'!E:E,MATCH($C1234,'Policy Characteristics'!$C:$C,0)))</f>
        <v>indst N2O abatement</v>
      </c>
      <c r="L1234" s="283">
        <f>IF(ISBLANK(INDEX('Policy Characteristics'!F:F,MATCH($C1234,'Policy Characteristics'!$C:$C,0))),"",INDEX('Policy Characteristics'!F:F,MATCH($C1234,'Policy Characteristics'!$C:$C,0)))</f>
        <v>0</v>
      </c>
      <c r="M1234" s="283">
        <f>IF(ISBLANK(INDEX('Policy Characteristics'!G:G,MATCH($C1234,'Policy Characteristics'!$C:$C,0))),"",INDEX('Policy Characteristics'!G:G,MATCH($C1234,'Policy Characteristics'!$C:$C,0)))</f>
        <v>1</v>
      </c>
      <c r="N1234" s="283">
        <f>IF(ISBLANK(INDEX('Policy Characteristics'!H:H,MATCH($C1234,'Policy Characteristics'!$C:$C,0))),"",INDEX('Policy Characteristics'!H:H,MATCH($C1234,'Policy Characteristics'!$C:$C,0)))</f>
        <v>0.01</v>
      </c>
      <c r="O1234" s="275" t="str">
        <f>IF(ISBLANK(INDEX('Policy Characteristics'!I:I,MATCH($C1234,'Policy Characteristics'!$C:$C,0))),"",INDEX('Policy Characteristics'!I:I,MATCH($C1234,'Policy Characteristics'!$C:$C,0)))</f>
        <v>% of potential achieved</v>
      </c>
      <c r="P1234" s="275" t="str">
        <f>IF(ISBLANK(INDEX('Policy Characteristics'!J:J,MATCH($C1234,'Policy Characteristics'!$C:$C,0))),"",INDEX('Policy Characteristics'!J:J,MATCH($C1234,'Policy Characteristics'!$C:$C,0)))</f>
        <v>**Description:** This policy reduces nitrous oxide (N2O) process emissions from the chemicals industry (primarily from the production of nitric acid and adipic acid) by destroying the N2O rather than venting it to the atmosphere.</v>
      </c>
      <c r="Q1234" s="275" t="str">
        <f>IF(ISBLANK(INDEX('Policy Characteristics'!K:K,MATCH($C1234,'Policy Characteristics'!$C:$C,0))),"",INDEX('Policy Characteristics'!K:K,MATCH($C1234,'Policy Characteristics'!$C:$C,0)))</f>
        <v/>
      </c>
      <c r="R1234" s="275" t="str">
        <f>IF(ISBLANK(INDEX('Policy Characteristics'!L:L,MATCH($C1234,'Policy Characteristics'!$C:$C,0))),"",INDEX('Policy Characteristics'!L:L,MATCH($C1234,'Policy Characteristics'!$C:$C,0)))</f>
        <v/>
      </c>
    </row>
    <row r="1235" spans="1:18" x14ac:dyDescent="0.25">
      <c r="A1235" s="275" t="str">
        <f>IF(ISBLANK(INDEX('Policy Characteristics'!A:A,MATCH($C1235,'Policy Characteristics'!$C:$C,0))),"",INDEX('Policy Characteristics'!A:A,MATCH($C1235,'Policy Characteristics'!$C:$C,0)))</f>
        <v>Industry</v>
      </c>
      <c r="B1235" s="284" t="str">
        <f>IF(ISBLANK(INDEX('Policy Characteristics'!B:B,MATCH($C1235,'Policy Characteristics'!$C:$C,0))),"",INDEX('Policy Characteristics'!B:B,MATCH($C1235,'Policy Characteristics'!$C:$C,0)))</f>
        <v>Reduce Fossil Fuel Exports</v>
      </c>
      <c r="C1235" t="s">
        <v>2494</v>
      </c>
      <c r="D1235" s="6" t="s">
        <v>450</v>
      </c>
      <c r="E1235" s="47"/>
      <c r="F1235" s="6" t="s">
        <v>447</v>
      </c>
      <c r="G1235" s="47"/>
      <c r="H1235" s="44">
        <v>451</v>
      </c>
      <c r="I1235" s="346" t="s">
        <v>43</v>
      </c>
      <c r="J1235" s="276" t="str">
        <f>IF(ISBLANK(INDEX('Policy Characteristics'!D:D,MATCH($C1235,'Policy Characteristics'!$C:$C,0))),"",INDEX('Policy Characteristics'!D:D,MATCH($C1235,'Policy Characteristics'!$C:$C,0)))</f>
        <v>Percent Reduction in Fossil Fuel Exports</v>
      </c>
      <c r="K1235" s="275" t="str">
        <f>IF(ISBLANK(INDEX('Policy Characteristics'!E:E,MATCH($C1235,'Policy Characteristics'!$C:$C,0))),"",INDEX('Policy Characteristics'!E:E,MATCH($C1235,'Policy Characteristics'!$C:$C,0)))</f>
        <v>indst reduce fossil fuel exports</v>
      </c>
      <c r="L1235" s="283">
        <f>IF(ISBLANK(INDEX('Policy Characteristics'!F:F,MATCH($C1235,'Policy Characteristics'!$C:$C,0))),"",INDEX('Policy Characteristics'!F:F,MATCH($C1235,'Policy Characteristics'!$C:$C,0)))</f>
        <v>0</v>
      </c>
      <c r="M1235" s="283">
        <f>IF(ISBLANK(INDEX('Policy Characteristics'!G:G,MATCH($C1235,'Policy Characteristics'!$C:$C,0))),"",INDEX('Policy Characteristics'!G:G,MATCH($C1235,'Policy Characteristics'!$C:$C,0)))</f>
        <v>1</v>
      </c>
      <c r="N1235" s="283">
        <f>IF(ISBLANK(INDEX('Policy Characteristics'!H:H,MATCH($C1235,'Policy Characteristics'!$C:$C,0))),"",INDEX('Policy Characteristics'!H:H,MATCH($C1235,'Policy Characteristics'!$C:$C,0)))</f>
        <v>0.01</v>
      </c>
      <c r="O1235" s="275" t="str">
        <f>IF(ISBLANK(INDEX('Policy Characteristics'!I:I,MATCH($C1235,'Policy Characteristics'!$C:$C,0))),"",INDEX('Policy Characteristics'!I:I,MATCH($C1235,'Policy Characteristics'!$C:$C,0)))</f>
        <v>% reduction in exports</v>
      </c>
      <c r="P1235" s="275" t="str">
        <f>IF(ISBLANK(INDEX('Policy Characteristics'!J:J,MATCH($C1235,'Policy Characteristics'!$C:$C,0))),"",INDEX('Policy Characteristics'!J:J,MATCH($C1235,'Policy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5" s="275" t="str">
        <f>IF(ISBLANK(INDEX('Policy Characteristics'!K:K,MATCH($C1235,'Policy Characteristics'!$C:$C,0))),"",INDEX('Policy Characteristics'!K:K,MATCH($C1235,'Policy Characteristics'!$C:$C,0)))</f>
        <v/>
      </c>
      <c r="R1235" s="275" t="str">
        <f>IF(ISBLANK(INDEX('Policy Characteristics'!L:L,MATCH($C1235,'Policy Characteristics'!$C:$C,0))),"",INDEX('Policy Characteristics'!L:L,MATCH($C1235,'Policy Characteristics'!$C:$C,0)))</f>
        <v>reduce-fuel-exports.html</v>
      </c>
    </row>
    <row r="1236" spans="1:18" x14ac:dyDescent="0.25">
      <c r="A1236" s="275" t="str">
        <f>IF(ISBLANK(INDEX('Policy Characteristics'!A:A,MATCH($C1236,'Policy Characteristics'!$C:$C,0))),"",INDEX('Policy Characteristics'!A:A,MATCH($C1236,'Policy Characteristics'!$C:$C,0)))</f>
        <v>Industry</v>
      </c>
      <c r="B1236" s="284" t="str">
        <f>IF(ISBLANK(INDEX('Policy Characteristics'!B:B,MATCH($C1236,'Policy Characteristics'!$C:$C,0))),"",INDEX('Policy Characteristics'!B:B,MATCH($C1236,'Policy Characteristics'!$C:$C,0)))</f>
        <v>Reduce Fossil Fuel Exports</v>
      </c>
      <c r="C1236" s="275" t="str">
        <f t="shared" ref="C1236:C1243" si="49">C$1235</f>
        <v>Percent Reduction in Fossil Fuel Exports</v>
      </c>
      <c r="D1236" s="6" t="s">
        <v>46</v>
      </c>
      <c r="E1236" s="47"/>
      <c r="F1236" s="6" t="s">
        <v>87</v>
      </c>
      <c r="G1236" s="47"/>
      <c r="H1236" s="44">
        <v>452</v>
      </c>
      <c r="I1236" s="346" t="s">
        <v>43</v>
      </c>
      <c r="J1236" s="276" t="str">
        <f>IF(ISBLANK(INDEX('Policy Characteristics'!D:D,MATCH($C1236,'Policy Characteristics'!$C:$C,0))),"",INDEX('Policy Characteristics'!D:D,MATCH($C1236,'Policy Characteristics'!$C:$C,0)))</f>
        <v>Percent Reduction in Fossil Fuel Exports</v>
      </c>
      <c r="K1236" s="275" t="str">
        <f>IF(ISBLANK(INDEX('Policy Characteristics'!E:E,MATCH($C1236,'Policy Characteristics'!$C:$C,0))),"",INDEX('Policy Characteristics'!E:E,MATCH($C1236,'Policy Characteristics'!$C:$C,0)))</f>
        <v>indst reduce fossil fuel exports</v>
      </c>
      <c r="L1236" s="283">
        <f>IF(ISBLANK(INDEX('Policy Characteristics'!F:F,MATCH($C1236,'Policy Characteristics'!$C:$C,0))),"",INDEX('Policy Characteristics'!F:F,MATCH($C1236,'Policy Characteristics'!$C:$C,0)))</f>
        <v>0</v>
      </c>
      <c r="M1236" s="283">
        <f>IF(ISBLANK(INDEX('Policy Characteristics'!G:G,MATCH($C1236,'Policy Characteristics'!$C:$C,0))),"",INDEX('Policy Characteristics'!G:G,MATCH($C1236,'Policy Characteristics'!$C:$C,0)))</f>
        <v>1</v>
      </c>
      <c r="N1236" s="283">
        <f>IF(ISBLANK(INDEX('Policy Characteristics'!H:H,MATCH($C1236,'Policy Characteristics'!$C:$C,0))),"",INDEX('Policy Characteristics'!H:H,MATCH($C1236,'Policy Characteristics'!$C:$C,0)))</f>
        <v>0.01</v>
      </c>
      <c r="O1236" s="275" t="str">
        <f>IF(ISBLANK(INDEX('Policy Characteristics'!I:I,MATCH($C1236,'Policy Characteristics'!$C:$C,0))),"",INDEX('Policy Characteristics'!I:I,MATCH($C1236,'Policy Characteristics'!$C:$C,0)))</f>
        <v>% reduction in exports</v>
      </c>
      <c r="P1236" s="275" t="str">
        <f>IF(ISBLANK(INDEX('Policy Characteristics'!J:J,MATCH($C1236,'Policy Characteristics'!$C:$C,0))),"",INDEX('Policy Characteristics'!J:J,MATCH($C1236,'Policy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6" s="275" t="str">
        <f>IF(ISBLANK(INDEX('Policy Characteristics'!K:K,MATCH($C1236,'Policy Characteristics'!$C:$C,0))),"",INDEX('Policy Characteristics'!K:K,MATCH($C1236,'Policy Characteristics'!$C:$C,0)))</f>
        <v/>
      </c>
      <c r="R1236" s="275" t="str">
        <f>IF(ISBLANK(INDEX('Policy Characteristics'!L:L,MATCH($C1236,'Policy Characteristics'!$C:$C,0))),"",INDEX('Policy Characteristics'!L:L,MATCH($C1236,'Policy Characteristics'!$C:$C,0)))</f>
        <v>reduce-fuel-exports.html</v>
      </c>
    </row>
    <row r="1237" spans="1:18" x14ac:dyDescent="0.25">
      <c r="A1237" s="275" t="str">
        <f>IF(ISBLANK(INDEX('Policy Characteristics'!A:A,MATCH($C1237,'Policy Characteristics'!$C:$C,0))),"",INDEX('Policy Characteristics'!A:A,MATCH($C1237,'Policy Characteristics'!$C:$C,0)))</f>
        <v>Industry</v>
      </c>
      <c r="B1237" s="284" t="str">
        <f>IF(ISBLANK(INDEX('Policy Characteristics'!B:B,MATCH($C1237,'Policy Characteristics'!$C:$C,0))),"",INDEX('Policy Characteristics'!B:B,MATCH($C1237,'Policy Characteristics'!$C:$C,0)))</f>
        <v>Reduce Fossil Fuel Exports</v>
      </c>
      <c r="C1237" s="275" t="str">
        <f t="shared" si="49"/>
        <v>Percent Reduction in Fossil Fuel Exports</v>
      </c>
      <c r="D1237" s="6" t="s">
        <v>53</v>
      </c>
      <c r="E1237" s="47"/>
      <c r="F1237" s="6" t="s">
        <v>95</v>
      </c>
      <c r="G1237" s="47"/>
      <c r="H1237" s="44">
        <v>453</v>
      </c>
      <c r="I1237" s="346" t="s">
        <v>43</v>
      </c>
      <c r="J1237" s="276" t="str">
        <f>IF(ISBLANK(INDEX('Policy Characteristics'!D:D,MATCH($C1237,'Policy Characteristics'!$C:$C,0))),"",INDEX('Policy Characteristics'!D:D,MATCH($C1237,'Policy Characteristics'!$C:$C,0)))</f>
        <v>Percent Reduction in Fossil Fuel Exports</v>
      </c>
      <c r="K1237" s="275" t="str">
        <f>IF(ISBLANK(INDEX('Policy Characteristics'!E:E,MATCH($C1237,'Policy Characteristics'!$C:$C,0))),"",INDEX('Policy Characteristics'!E:E,MATCH($C1237,'Policy Characteristics'!$C:$C,0)))</f>
        <v>indst reduce fossil fuel exports</v>
      </c>
      <c r="L1237" s="283">
        <f>IF(ISBLANK(INDEX('Policy Characteristics'!F:F,MATCH($C1237,'Policy Characteristics'!$C:$C,0))),"",INDEX('Policy Characteristics'!F:F,MATCH($C1237,'Policy Characteristics'!$C:$C,0)))</f>
        <v>0</v>
      </c>
      <c r="M1237" s="283">
        <f>IF(ISBLANK(INDEX('Policy Characteristics'!G:G,MATCH($C1237,'Policy Characteristics'!$C:$C,0))),"",INDEX('Policy Characteristics'!G:G,MATCH($C1237,'Policy Characteristics'!$C:$C,0)))</f>
        <v>1</v>
      </c>
      <c r="N1237" s="283">
        <f>IF(ISBLANK(INDEX('Policy Characteristics'!H:H,MATCH($C1237,'Policy Characteristics'!$C:$C,0))),"",INDEX('Policy Characteristics'!H:H,MATCH($C1237,'Policy Characteristics'!$C:$C,0)))</f>
        <v>0.01</v>
      </c>
      <c r="O1237" s="275" t="str">
        <f>IF(ISBLANK(INDEX('Policy Characteristics'!I:I,MATCH($C1237,'Policy Characteristics'!$C:$C,0))),"",INDEX('Policy Characteristics'!I:I,MATCH($C1237,'Policy Characteristics'!$C:$C,0)))</f>
        <v>% reduction in exports</v>
      </c>
      <c r="P1237" s="275" t="str">
        <f>IF(ISBLANK(INDEX('Policy Characteristics'!J:J,MATCH($C1237,'Policy Characteristics'!$C:$C,0))),"",INDEX('Policy Characteristics'!J:J,MATCH($C1237,'Policy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7" s="275" t="str">
        <f>IF(ISBLANK(INDEX('Policy Characteristics'!K:K,MATCH($C1237,'Policy Characteristics'!$C:$C,0))),"",INDEX('Policy Characteristics'!K:K,MATCH($C1237,'Policy Characteristics'!$C:$C,0)))</f>
        <v/>
      </c>
      <c r="R1237" s="275" t="str">
        <f>IF(ISBLANK(INDEX('Policy Characteristics'!L:L,MATCH($C1237,'Policy Characteristics'!$C:$C,0))),"",INDEX('Policy Characteristics'!L:L,MATCH($C1237,'Policy Characteristics'!$C:$C,0)))</f>
        <v>reduce-fuel-exports.html</v>
      </c>
    </row>
    <row r="1238" spans="1:18" x14ac:dyDescent="0.25">
      <c r="A1238" s="275" t="str">
        <f>IF(ISBLANK(INDEX('Policy Characteristics'!A:A,MATCH($C1238,'Policy Characteristics'!$C:$C,0))),"",INDEX('Policy Characteristics'!A:A,MATCH($C1238,'Policy Characteristics'!$C:$C,0)))</f>
        <v>Industry</v>
      </c>
      <c r="B1238" s="284" t="str">
        <f>IF(ISBLANK(INDEX('Policy Characteristics'!B:B,MATCH($C1238,'Policy Characteristics'!$C:$C,0))),"",INDEX('Policy Characteristics'!B:B,MATCH($C1238,'Policy Characteristics'!$C:$C,0)))</f>
        <v>Reduce Fossil Fuel Exports</v>
      </c>
      <c r="C1238" s="275" t="str">
        <f t="shared" si="49"/>
        <v>Percent Reduction in Fossil Fuel Exports</v>
      </c>
      <c r="D1238" s="6" t="s">
        <v>54</v>
      </c>
      <c r="E1238" s="47"/>
      <c r="F1238" s="6" t="s">
        <v>96</v>
      </c>
      <c r="G1238" s="47"/>
      <c r="H1238" s="44">
        <v>454</v>
      </c>
      <c r="I1238" s="346" t="s">
        <v>43</v>
      </c>
      <c r="J1238" s="276" t="str">
        <f>IF(ISBLANK(INDEX('Policy Characteristics'!D:D,MATCH($C1238,'Policy Characteristics'!$C:$C,0))),"",INDEX('Policy Characteristics'!D:D,MATCH($C1238,'Policy Characteristics'!$C:$C,0)))</f>
        <v>Percent Reduction in Fossil Fuel Exports</v>
      </c>
      <c r="K1238" s="275" t="str">
        <f>IF(ISBLANK(INDEX('Policy Characteristics'!E:E,MATCH($C1238,'Policy Characteristics'!$C:$C,0))),"",INDEX('Policy Characteristics'!E:E,MATCH($C1238,'Policy Characteristics'!$C:$C,0)))</f>
        <v>indst reduce fossil fuel exports</v>
      </c>
      <c r="L1238" s="283">
        <f>IF(ISBLANK(INDEX('Policy Characteristics'!F:F,MATCH($C1238,'Policy Characteristics'!$C:$C,0))),"",INDEX('Policy Characteristics'!F:F,MATCH($C1238,'Policy Characteristics'!$C:$C,0)))</f>
        <v>0</v>
      </c>
      <c r="M1238" s="283">
        <f>IF(ISBLANK(INDEX('Policy Characteristics'!G:G,MATCH($C1238,'Policy Characteristics'!$C:$C,0))),"",INDEX('Policy Characteristics'!G:G,MATCH($C1238,'Policy Characteristics'!$C:$C,0)))</f>
        <v>1</v>
      </c>
      <c r="N1238" s="283">
        <f>IF(ISBLANK(INDEX('Policy Characteristics'!H:H,MATCH($C1238,'Policy Characteristics'!$C:$C,0))),"",INDEX('Policy Characteristics'!H:H,MATCH($C1238,'Policy Characteristics'!$C:$C,0)))</f>
        <v>0.01</v>
      </c>
      <c r="O1238" s="275" t="str">
        <f>IF(ISBLANK(INDEX('Policy Characteristics'!I:I,MATCH($C1238,'Policy Characteristics'!$C:$C,0))),"",INDEX('Policy Characteristics'!I:I,MATCH($C1238,'Policy Characteristics'!$C:$C,0)))</f>
        <v>% reduction in exports</v>
      </c>
      <c r="P1238" s="275" t="str">
        <f>IF(ISBLANK(INDEX('Policy Characteristics'!J:J,MATCH($C1238,'Policy Characteristics'!$C:$C,0))),"",INDEX('Policy Characteristics'!J:J,MATCH($C1238,'Policy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8" s="275" t="str">
        <f>IF(ISBLANK(INDEX('Policy Characteristics'!K:K,MATCH($C1238,'Policy Characteristics'!$C:$C,0))),"",INDEX('Policy Characteristics'!K:K,MATCH($C1238,'Policy Characteristics'!$C:$C,0)))</f>
        <v/>
      </c>
      <c r="R1238" s="275" t="str">
        <f>IF(ISBLANK(INDEX('Policy Characteristics'!L:L,MATCH($C1238,'Policy Characteristics'!$C:$C,0))),"",INDEX('Policy Characteristics'!L:L,MATCH($C1238,'Policy Characteristics'!$C:$C,0)))</f>
        <v>reduce-fuel-exports.html</v>
      </c>
    </row>
    <row r="1239" spans="1:18" x14ac:dyDescent="0.25">
      <c r="A1239" s="275" t="str">
        <f>IF(ISBLANK(INDEX('Policy Characteristics'!A:A,MATCH($C1239,'Policy Characteristics'!$C:$C,0))),"",INDEX('Policy Characteristics'!A:A,MATCH($C1239,'Policy Characteristics'!$C:$C,0)))</f>
        <v>Industry</v>
      </c>
      <c r="B1239" s="284" t="str">
        <f>IF(ISBLANK(INDEX('Policy Characteristics'!B:B,MATCH($C1239,'Policy Characteristics'!$C:$C,0))),"",INDEX('Policy Characteristics'!B:B,MATCH($C1239,'Policy Characteristics'!$C:$C,0)))</f>
        <v>Reduce Fossil Fuel Exports</v>
      </c>
      <c r="C1239" s="275" t="str">
        <f t="shared" si="49"/>
        <v>Percent Reduction in Fossil Fuel Exports</v>
      </c>
      <c r="D1239" s="6" t="s">
        <v>2475</v>
      </c>
      <c r="E1239" s="47"/>
      <c r="F1239" s="6" t="s">
        <v>2476</v>
      </c>
      <c r="G1239" s="47"/>
      <c r="H1239" s="44">
        <v>455</v>
      </c>
      <c r="I1239" s="346" t="s">
        <v>43</v>
      </c>
      <c r="J1239" s="276" t="str">
        <f>IF(ISBLANK(INDEX('Policy Characteristics'!D:D,MATCH($C1239,'Policy Characteristics'!$C:$C,0))),"",INDEX('Policy Characteristics'!D:D,MATCH($C1239,'Policy Characteristics'!$C:$C,0)))</f>
        <v>Percent Reduction in Fossil Fuel Exports</v>
      </c>
      <c r="K1239" s="275" t="str">
        <f>IF(ISBLANK(INDEX('Policy Characteristics'!E:E,MATCH($C1239,'Policy Characteristics'!$C:$C,0))),"",INDEX('Policy Characteristics'!E:E,MATCH($C1239,'Policy Characteristics'!$C:$C,0)))</f>
        <v>indst reduce fossil fuel exports</v>
      </c>
      <c r="L1239" s="283">
        <f>IF(ISBLANK(INDEX('Policy Characteristics'!F:F,MATCH($C1239,'Policy Characteristics'!$C:$C,0))),"",INDEX('Policy Characteristics'!F:F,MATCH($C1239,'Policy Characteristics'!$C:$C,0)))</f>
        <v>0</v>
      </c>
      <c r="M1239" s="283">
        <f>IF(ISBLANK(INDEX('Policy Characteristics'!G:G,MATCH($C1239,'Policy Characteristics'!$C:$C,0))),"",INDEX('Policy Characteristics'!G:G,MATCH($C1239,'Policy Characteristics'!$C:$C,0)))</f>
        <v>1</v>
      </c>
      <c r="N1239" s="283">
        <f>IF(ISBLANK(INDEX('Policy Characteristics'!H:H,MATCH($C1239,'Policy Characteristics'!$C:$C,0))),"",INDEX('Policy Characteristics'!H:H,MATCH($C1239,'Policy Characteristics'!$C:$C,0)))</f>
        <v>0.01</v>
      </c>
      <c r="O1239" s="275" t="str">
        <f>IF(ISBLANK(INDEX('Policy Characteristics'!I:I,MATCH($C1239,'Policy Characteristics'!$C:$C,0))),"",INDEX('Policy Characteristics'!I:I,MATCH($C1239,'Policy Characteristics'!$C:$C,0)))</f>
        <v>% reduction in exports</v>
      </c>
      <c r="P1239" s="275" t="str">
        <f>IF(ISBLANK(INDEX('Policy Characteristics'!J:J,MATCH($C1239,'Policy Characteristics'!$C:$C,0))),"",INDEX('Policy Characteristics'!J:J,MATCH($C1239,'Policy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9" s="275" t="str">
        <f>IF(ISBLANK(INDEX('Policy Characteristics'!K:K,MATCH($C1239,'Policy Characteristics'!$C:$C,0))),"",INDEX('Policy Characteristics'!K:K,MATCH($C1239,'Policy Characteristics'!$C:$C,0)))</f>
        <v/>
      </c>
      <c r="R1239" s="275" t="str">
        <f>IF(ISBLANK(INDEX('Policy Characteristics'!L:L,MATCH($C1239,'Policy Characteristics'!$C:$C,0))),"",INDEX('Policy Characteristics'!L:L,MATCH($C1239,'Policy Characteristics'!$C:$C,0)))</f>
        <v>reduce-fuel-exports.html</v>
      </c>
    </row>
    <row r="1240" spans="1:18" x14ac:dyDescent="0.25">
      <c r="A1240" s="275" t="str">
        <f>IF(ISBLANK(INDEX('Policy Characteristics'!A:A,MATCH($C1240,'Policy Characteristics'!$C:$C,0))),"",INDEX('Policy Characteristics'!A:A,MATCH($C1240,'Policy Characteristics'!$C:$C,0)))</f>
        <v>Industry</v>
      </c>
      <c r="B1240" s="284" t="str">
        <f>IF(ISBLANK(INDEX('Policy Characteristics'!B:B,MATCH($C1240,'Policy Characteristics'!$C:$C,0))),"",INDEX('Policy Characteristics'!B:B,MATCH($C1240,'Policy Characteristics'!$C:$C,0)))</f>
        <v>Reduce Fossil Fuel Exports</v>
      </c>
      <c r="C1240" s="275" t="str">
        <f t="shared" si="49"/>
        <v>Percent Reduction in Fossil Fuel Exports</v>
      </c>
      <c r="D1240" s="6" t="s">
        <v>443</v>
      </c>
      <c r="E1240" s="47"/>
      <c r="F1240" s="6" t="s">
        <v>444</v>
      </c>
      <c r="G1240" s="47"/>
      <c r="H1240" s="44">
        <v>456</v>
      </c>
      <c r="I1240" s="347" t="s">
        <v>44</v>
      </c>
      <c r="J1240" s="276" t="str">
        <f>IF(ISBLANK(INDEX('Policy Characteristics'!D:D,MATCH($C1240,'Policy Characteristics'!$C:$C,0))),"",INDEX('Policy Characteristics'!D:D,MATCH($C1240,'Policy Characteristics'!$C:$C,0)))</f>
        <v>Percent Reduction in Fossil Fuel Exports</v>
      </c>
      <c r="K1240" s="275" t="str">
        <f>IF(ISBLANK(INDEX('Policy Characteristics'!E:E,MATCH($C1240,'Policy Characteristics'!$C:$C,0))),"",INDEX('Policy Characteristics'!E:E,MATCH($C1240,'Policy Characteristics'!$C:$C,0)))</f>
        <v>indst reduce fossil fuel exports</v>
      </c>
      <c r="L1240" s="283">
        <f>IF(ISBLANK(INDEX('Policy Characteristics'!F:F,MATCH($C1240,'Policy Characteristics'!$C:$C,0))),"",INDEX('Policy Characteristics'!F:F,MATCH($C1240,'Policy Characteristics'!$C:$C,0)))</f>
        <v>0</v>
      </c>
      <c r="M1240" s="283">
        <f>IF(ISBLANK(INDEX('Policy Characteristics'!G:G,MATCH($C1240,'Policy Characteristics'!$C:$C,0))),"",INDEX('Policy Characteristics'!G:G,MATCH($C1240,'Policy Characteristics'!$C:$C,0)))</f>
        <v>1</v>
      </c>
      <c r="N1240" s="283">
        <f>IF(ISBLANK(INDEX('Policy Characteristics'!H:H,MATCH($C1240,'Policy Characteristics'!$C:$C,0))),"",INDEX('Policy Characteristics'!H:H,MATCH($C1240,'Policy Characteristics'!$C:$C,0)))</f>
        <v>0.01</v>
      </c>
      <c r="O1240" s="275" t="str">
        <f>IF(ISBLANK(INDEX('Policy Characteristics'!I:I,MATCH($C1240,'Policy Characteristics'!$C:$C,0))),"",INDEX('Policy Characteristics'!I:I,MATCH($C1240,'Policy Characteristics'!$C:$C,0)))</f>
        <v>% reduction in exports</v>
      </c>
      <c r="P1240" s="275" t="str">
        <f>IF(ISBLANK(INDEX('Policy Characteristics'!J:J,MATCH($C1240,'Policy Characteristics'!$C:$C,0))),"",INDEX('Policy Characteristics'!J:J,MATCH($C1240,'Policy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40" s="275" t="str">
        <f>IF(ISBLANK(INDEX('Policy Characteristics'!K:K,MATCH($C1240,'Policy Characteristics'!$C:$C,0))),"",INDEX('Policy Characteristics'!K:K,MATCH($C1240,'Policy Characteristics'!$C:$C,0)))</f>
        <v/>
      </c>
      <c r="R1240" s="275" t="str">
        <f>IF(ISBLANK(INDEX('Policy Characteristics'!L:L,MATCH($C1240,'Policy Characteristics'!$C:$C,0))),"",INDEX('Policy Characteristics'!L:L,MATCH($C1240,'Policy Characteristics'!$C:$C,0)))</f>
        <v>reduce-fuel-exports.html</v>
      </c>
    </row>
    <row r="1241" spans="1:18" x14ac:dyDescent="0.25">
      <c r="A1241" s="275" t="str">
        <f>IF(ISBLANK(INDEX('Policy Characteristics'!A:A,MATCH($C1241,'Policy Characteristics'!$C:$C,0))),"",INDEX('Policy Characteristics'!A:A,MATCH($C1241,'Policy Characteristics'!$C:$C,0)))</f>
        <v>Industry</v>
      </c>
      <c r="B1241" s="284" t="str">
        <f>IF(ISBLANK(INDEX('Policy Characteristics'!B:B,MATCH($C1241,'Policy Characteristics'!$C:$C,0))),"",INDEX('Policy Characteristics'!B:B,MATCH($C1241,'Policy Characteristics'!$C:$C,0)))</f>
        <v>Reduce Fossil Fuel Exports</v>
      </c>
      <c r="C1241" s="275" t="str">
        <f t="shared" si="49"/>
        <v>Percent Reduction in Fossil Fuel Exports</v>
      </c>
      <c r="D1241" s="6" t="s">
        <v>2467</v>
      </c>
      <c r="E1241" s="47"/>
      <c r="F1241" s="6" t="s">
        <v>2471</v>
      </c>
      <c r="G1241" s="47"/>
      <c r="H1241" s="44">
        <v>457</v>
      </c>
      <c r="I1241" s="346" t="s">
        <v>43</v>
      </c>
      <c r="J1241" s="276" t="str">
        <f>IF(ISBLANK(INDEX('Policy Characteristics'!D:D,MATCH($C1241,'Policy Characteristics'!$C:$C,0))),"",INDEX('Policy Characteristics'!D:D,MATCH($C1241,'Policy Characteristics'!$C:$C,0)))</f>
        <v>Percent Reduction in Fossil Fuel Exports</v>
      </c>
      <c r="K1241" s="275" t="str">
        <f>IF(ISBLANK(INDEX('Policy Characteristics'!E:E,MATCH($C1241,'Policy Characteristics'!$C:$C,0))),"",INDEX('Policy Characteristics'!E:E,MATCH($C1241,'Policy Characteristics'!$C:$C,0)))</f>
        <v>indst reduce fossil fuel exports</v>
      </c>
      <c r="L1241" s="283">
        <f>IF(ISBLANK(INDEX('Policy Characteristics'!F:F,MATCH($C1241,'Policy Characteristics'!$C:$C,0))),"",INDEX('Policy Characteristics'!F:F,MATCH($C1241,'Policy Characteristics'!$C:$C,0)))</f>
        <v>0</v>
      </c>
      <c r="M1241" s="283">
        <f>IF(ISBLANK(INDEX('Policy Characteristics'!G:G,MATCH($C1241,'Policy Characteristics'!$C:$C,0))),"",INDEX('Policy Characteristics'!G:G,MATCH($C1241,'Policy Characteristics'!$C:$C,0)))</f>
        <v>1</v>
      </c>
      <c r="N1241" s="283">
        <f>IF(ISBLANK(INDEX('Policy Characteristics'!H:H,MATCH($C1241,'Policy Characteristics'!$C:$C,0))),"",INDEX('Policy Characteristics'!H:H,MATCH($C1241,'Policy Characteristics'!$C:$C,0)))</f>
        <v>0.01</v>
      </c>
      <c r="O1241" s="275" t="str">
        <f>IF(ISBLANK(INDEX('Policy Characteristics'!I:I,MATCH($C1241,'Policy Characteristics'!$C:$C,0))),"",INDEX('Policy Characteristics'!I:I,MATCH($C1241,'Policy Characteristics'!$C:$C,0)))</f>
        <v>% reduction in exports</v>
      </c>
      <c r="P1241" s="275" t="str">
        <f>IF(ISBLANK(INDEX('Policy Characteristics'!J:J,MATCH($C1241,'Policy Characteristics'!$C:$C,0))),"",INDEX('Policy Characteristics'!J:J,MATCH($C1241,'Policy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41" s="275" t="str">
        <f>IF(ISBLANK(INDEX('Policy Characteristics'!K:K,MATCH($C1241,'Policy Characteristics'!$C:$C,0))),"",INDEX('Policy Characteristics'!K:K,MATCH($C1241,'Policy Characteristics'!$C:$C,0)))</f>
        <v/>
      </c>
      <c r="R1241" s="275" t="str">
        <f>IF(ISBLANK(INDEX('Policy Characteristics'!L:L,MATCH($C1241,'Policy Characteristics'!$C:$C,0))),"",INDEX('Policy Characteristics'!L:L,MATCH($C1241,'Policy Characteristics'!$C:$C,0)))</f>
        <v>reduce-fuel-exports.html</v>
      </c>
    </row>
    <row r="1242" spans="1:18" x14ac:dyDescent="0.25">
      <c r="A1242" s="275" t="str">
        <f>IF(ISBLANK(INDEX('Policy Characteristics'!A:A,MATCH($C1242,'Policy Characteristics'!$C:$C,0))),"",INDEX('Policy Characteristics'!A:A,MATCH($C1242,'Policy Characteristics'!$C:$C,0)))</f>
        <v>Industry</v>
      </c>
      <c r="B1242" s="284" t="str">
        <f>IF(ISBLANK(INDEX('Policy Characteristics'!B:B,MATCH($C1242,'Policy Characteristics'!$C:$C,0))),"",INDEX('Policy Characteristics'!B:B,MATCH($C1242,'Policy Characteristics'!$C:$C,0)))</f>
        <v>Reduce Fossil Fuel Exports</v>
      </c>
      <c r="C1242" s="275" t="str">
        <f t="shared" si="49"/>
        <v>Percent Reduction in Fossil Fuel Exports</v>
      </c>
      <c r="D1242" s="6" t="s">
        <v>2477</v>
      </c>
      <c r="E1242" s="47"/>
      <c r="F1242" s="6" t="s">
        <v>2478</v>
      </c>
      <c r="G1242" s="47"/>
      <c r="H1242" s="44">
        <v>458</v>
      </c>
      <c r="I1242" s="346" t="s">
        <v>43</v>
      </c>
      <c r="J1242" s="276" t="str">
        <f>IF(ISBLANK(INDEX('Policy Characteristics'!D:D,MATCH($C1242,'Policy Characteristics'!$C:$C,0))),"",INDEX('Policy Characteristics'!D:D,MATCH($C1242,'Policy Characteristics'!$C:$C,0)))</f>
        <v>Percent Reduction in Fossil Fuel Exports</v>
      </c>
      <c r="K1242" s="275" t="str">
        <f>IF(ISBLANK(INDEX('Policy Characteristics'!E:E,MATCH($C1242,'Policy Characteristics'!$C:$C,0))),"",INDEX('Policy Characteristics'!E:E,MATCH($C1242,'Policy Characteristics'!$C:$C,0)))</f>
        <v>indst reduce fossil fuel exports</v>
      </c>
      <c r="L1242" s="283">
        <f>IF(ISBLANK(INDEX('Policy Characteristics'!F:F,MATCH($C1242,'Policy Characteristics'!$C:$C,0))),"",INDEX('Policy Characteristics'!F:F,MATCH($C1242,'Policy Characteristics'!$C:$C,0)))</f>
        <v>0</v>
      </c>
      <c r="M1242" s="283">
        <f>IF(ISBLANK(INDEX('Policy Characteristics'!G:G,MATCH($C1242,'Policy Characteristics'!$C:$C,0))),"",INDEX('Policy Characteristics'!G:G,MATCH($C1242,'Policy Characteristics'!$C:$C,0)))</f>
        <v>1</v>
      </c>
      <c r="N1242" s="283">
        <f>IF(ISBLANK(INDEX('Policy Characteristics'!H:H,MATCH($C1242,'Policy Characteristics'!$C:$C,0))),"",INDEX('Policy Characteristics'!H:H,MATCH($C1242,'Policy Characteristics'!$C:$C,0)))</f>
        <v>0.01</v>
      </c>
      <c r="O1242" s="275" t="str">
        <f>IF(ISBLANK(INDEX('Policy Characteristics'!I:I,MATCH($C1242,'Policy Characteristics'!$C:$C,0))),"",INDEX('Policy Characteristics'!I:I,MATCH($C1242,'Policy Characteristics'!$C:$C,0)))</f>
        <v>% reduction in exports</v>
      </c>
      <c r="P1242" s="275" t="str">
        <f>IF(ISBLANK(INDEX('Policy Characteristics'!J:J,MATCH($C1242,'Policy Characteristics'!$C:$C,0))),"",INDEX('Policy Characteristics'!J:J,MATCH($C1242,'Policy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42" s="275" t="str">
        <f>IF(ISBLANK(INDEX('Policy Characteristics'!K:K,MATCH($C1242,'Policy Characteristics'!$C:$C,0))),"",INDEX('Policy Characteristics'!K:K,MATCH($C1242,'Policy Characteristics'!$C:$C,0)))</f>
        <v/>
      </c>
      <c r="R1242" s="275" t="str">
        <f>IF(ISBLANK(INDEX('Policy Characteristics'!L:L,MATCH($C1242,'Policy Characteristics'!$C:$C,0))),"",INDEX('Policy Characteristics'!L:L,MATCH($C1242,'Policy Characteristics'!$C:$C,0)))</f>
        <v>reduce-fuel-exports.html</v>
      </c>
    </row>
    <row r="1243" spans="1:18" x14ac:dyDescent="0.25">
      <c r="A1243" s="275" t="str">
        <f>IF(ISBLANK(INDEX('Policy Characteristics'!A:A,MATCH($C1243,'Policy Characteristics'!$C:$C,0))),"",INDEX('Policy Characteristics'!A:A,MATCH($C1243,'Policy Characteristics'!$C:$C,0)))</f>
        <v>Industry</v>
      </c>
      <c r="B1243" s="284" t="str">
        <f>IF(ISBLANK(INDEX('Policy Characteristics'!B:B,MATCH($C1243,'Policy Characteristics'!$C:$C,0))),"",INDEX('Policy Characteristics'!B:B,MATCH($C1243,'Policy Characteristics'!$C:$C,0)))</f>
        <v>Reduce Fossil Fuel Exports</v>
      </c>
      <c r="C1243" s="275" t="str">
        <f t="shared" si="49"/>
        <v>Percent Reduction in Fossil Fuel Exports</v>
      </c>
      <c r="D1243" s="6" t="s">
        <v>2468</v>
      </c>
      <c r="E1243" s="47"/>
      <c r="F1243" s="6" t="s">
        <v>2472</v>
      </c>
      <c r="G1243" s="47"/>
      <c r="H1243" s="44">
        <v>459</v>
      </c>
      <c r="I1243" s="346" t="s">
        <v>43</v>
      </c>
      <c r="J1243" s="276" t="str">
        <f>IF(ISBLANK(INDEX('Policy Characteristics'!D:D,MATCH($C1243,'Policy Characteristics'!$C:$C,0))),"",INDEX('Policy Characteristics'!D:D,MATCH($C1243,'Policy Characteristics'!$C:$C,0)))</f>
        <v>Percent Reduction in Fossil Fuel Exports</v>
      </c>
      <c r="K1243" s="275" t="str">
        <f>IF(ISBLANK(INDEX('Policy Characteristics'!E:E,MATCH($C1243,'Policy Characteristics'!$C:$C,0))),"",INDEX('Policy Characteristics'!E:E,MATCH($C1243,'Policy Characteristics'!$C:$C,0)))</f>
        <v>indst reduce fossil fuel exports</v>
      </c>
      <c r="L1243" s="283">
        <f>IF(ISBLANK(INDEX('Policy Characteristics'!F:F,MATCH($C1243,'Policy Characteristics'!$C:$C,0))),"",INDEX('Policy Characteristics'!F:F,MATCH($C1243,'Policy Characteristics'!$C:$C,0)))</f>
        <v>0</v>
      </c>
      <c r="M1243" s="283">
        <f>IF(ISBLANK(INDEX('Policy Characteristics'!G:G,MATCH($C1243,'Policy Characteristics'!$C:$C,0))),"",INDEX('Policy Characteristics'!G:G,MATCH($C1243,'Policy Characteristics'!$C:$C,0)))</f>
        <v>1</v>
      </c>
      <c r="N1243" s="283">
        <f>IF(ISBLANK(INDEX('Policy Characteristics'!H:H,MATCH($C1243,'Policy Characteristics'!$C:$C,0))),"",INDEX('Policy Characteristics'!H:H,MATCH($C1243,'Policy Characteristics'!$C:$C,0)))</f>
        <v>0.01</v>
      </c>
      <c r="O1243" s="275" t="str">
        <f>IF(ISBLANK(INDEX('Policy Characteristics'!I:I,MATCH($C1243,'Policy Characteristics'!$C:$C,0))),"",INDEX('Policy Characteristics'!I:I,MATCH($C1243,'Policy Characteristics'!$C:$C,0)))</f>
        <v>% reduction in exports</v>
      </c>
      <c r="P1243" s="275" t="str">
        <f>IF(ISBLANK(INDEX('Policy Characteristics'!J:J,MATCH($C1243,'Policy Characteristics'!$C:$C,0))),"",INDEX('Policy Characteristics'!J:J,MATCH($C1243,'Policy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43" s="275" t="str">
        <f>IF(ISBLANK(INDEX('Policy Characteristics'!K:K,MATCH($C1243,'Policy Characteristics'!$C:$C,0))),"",INDEX('Policy Characteristics'!K:K,MATCH($C1243,'Policy Characteristics'!$C:$C,0)))</f>
        <v/>
      </c>
      <c r="R1243" s="275" t="str">
        <f>IF(ISBLANK(INDEX('Policy Characteristics'!L:L,MATCH($C1243,'Policy Characteristics'!$C:$C,0))),"",INDEX('Policy Characteristics'!L:L,MATCH($C1243,'Policy Characteristics'!$C:$C,0)))</f>
        <v>reduce-fuel-exports.html</v>
      </c>
    </row>
    <row r="1244" spans="1:18" x14ac:dyDescent="0.25">
      <c r="A1244" s="275" t="str">
        <f>IF(ISBLANK(INDEX('Policy Characteristics'!A:A,MATCH($C1244,'Policy Characteristics'!$C:$C,0))),"",INDEX('Policy Characteristics'!A:A,MATCH($C1244,'Policy Characteristics'!$C:$C,0)))</f>
        <v>Agriculture, Land Use, and Forestry</v>
      </c>
      <c r="B1244" s="284" t="str">
        <f>IF(ISBLANK(INDEX('Policy Characteristics'!B:B,MATCH($C1244,'Policy Characteristics'!$C:$C,0))),"",INDEX('Policy Characteristics'!B:B,MATCH($C1244,'Policy Characteristics'!$C:$C,0)))</f>
        <v>Afforestation and Reforestation</v>
      </c>
      <c r="C1244" t="s">
        <v>431</v>
      </c>
      <c r="D1244" s="47"/>
      <c r="E1244" s="47"/>
      <c r="F1244" s="47"/>
      <c r="G1244" s="47"/>
      <c r="H1244" s="44">
        <v>60</v>
      </c>
      <c r="I1244" s="346" t="s">
        <v>43</v>
      </c>
      <c r="J1244" s="276" t="str">
        <f>IF(ISBLANK(INDEX('Policy Characteristics'!D:D,MATCH($C1244,'Policy Characteristics'!$C:$C,0))),"",INDEX('Policy Characteristics'!D:D,MATCH($C1244,'Policy Characteristics'!$C:$C,0)))</f>
        <v>Afforestation and Reforestation</v>
      </c>
      <c r="K1244" s="275" t="str">
        <f>IF(ISBLANK(INDEX('Policy Characteristics'!E:E,MATCH($C1244,'Policy Characteristics'!$C:$C,0))),"",INDEX('Policy Characteristics'!E:E,MATCH($C1244,'Policy Characteristics'!$C:$C,0)))</f>
        <v>land afforestation and reforestation</v>
      </c>
      <c r="L1244" s="283">
        <f>IF(ISBLANK(INDEX('Policy Characteristics'!F:F,MATCH($C1244,'Policy Characteristics'!$C:$C,0))),"",INDEX('Policy Characteristics'!F:F,MATCH($C1244,'Policy Characteristics'!$C:$C,0)))</f>
        <v>0</v>
      </c>
      <c r="M1244" s="283">
        <f>IF(ISBLANK(INDEX('Policy Characteristics'!G:G,MATCH($C1244,'Policy Characteristics'!$C:$C,0))),"",INDEX('Policy Characteristics'!G:G,MATCH($C1244,'Policy Characteristics'!$C:$C,0)))</f>
        <v>1</v>
      </c>
      <c r="N1244" s="283">
        <f>IF(ISBLANK(INDEX('Policy Characteristics'!H:H,MATCH($C1244,'Policy Characteristics'!$C:$C,0))),"",INDEX('Policy Characteristics'!H:H,MATCH($C1244,'Policy Characteristics'!$C:$C,0)))</f>
        <v>0.01</v>
      </c>
      <c r="O1244" s="275" t="str">
        <f>IF(ISBLANK(INDEX('Policy Characteristics'!I:I,MATCH($C1244,'Policy Characteristics'!$C:$C,0))),"",INDEX('Policy Characteristics'!I:I,MATCH($C1244,'Policy Characteristics'!$C:$C,0)))</f>
        <v>% of potential achieved</v>
      </c>
      <c r="P1244" s="275" t="str">
        <f>IF(ISBLANK(INDEX('Policy Characteristics'!J:J,MATCH($C1244,'Policy Characteristics'!$C:$C,0))),"",INDEX('Policy Characteristics'!J:J,MATCH($C1244,'Policy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3.5 million acres per year in 2050 (roughly equal to 0.175% of the land area of the lower 48 states).</v>
      </c>
      <c r="Q1244" s="275" t="str">
        <f>IF(ISBLANK(INDEX('Policy Characteristics'!K:K,MATCH($C1244,'Policy Characteristics'!$C:$C,0))),"",INDEX('Policy Characteristics'!K:K,MATCH($C1244,'Policy Characteristics'!$C:$C,0)))</f>
        <v>lulucf.html#aff-ref</v>
      </c>
      <c r="R1244" s="275" t="str">
        <f>IF(ISBLANK(INDEX('Policy Characteristics'!L:L,MATCH($C1244,'Policy Characteristics'!$C:$C,0))),"",INDEX('Policy Characteristics'!L:L,MATCH($C1244,'Policy Characteristics'!$C:$C,0)))</f>
        <v>afforestation-and-reforestation.html</v>
      </c>
    </row>
    <row r="1245" spans="1:18" x14ac:dyDescent="0.25">
      <c r="A1245" s="275" t="str">
        <f>IF(ISBLANK(INDEX('Policy Characteristics'!A:A,MATCH($C1245,'Policy Characteristics'!$C:$C,0))),"",INDEX('Policy Characteristics'!A:A,MATCH($C1245,'Policy Characteristics'!$C:$C,0)))</f>
        <v>Agriculture, Land Use, and Forestry</v>
      </c>
      <c r="B1245" s="284" t="str">
        <f>IF(ISBLANK(INDEX('Policy Characteristics'!B:B,MATCH($C1245,'Policy Characteristics'!$C:$C,0))),"",INDEX('Policy Characteristics'!B:B,MATCH($C1245,'Policy Characteristics'!$C:$C,0)))</f>
        <v>Avoid Deforestation</v>
      </c>
      <c r="C1245" t="s">
        <v>438</v>
      </c>
      <c r="D1245" s="47"/>
      <c r="E1245" s="47"/>
      <c r="F1245" s="47"/>
      <c r="G1245" s="47"/>
      <c r="H1245" s="44">
        <v>705</v>
      </c>
      <c r="I1245" s="347" t="s">
        <v>43</v>
      </c>
      <c r="J1245" s="276" t="str">
        <f>IF(ISBLANK(INDEX('Policy Characteristics'!D:D,MATCH($C1245,'Policy Characteristics'!$C:$C,0))),"",INDEX('Policy Characteristics'!D:D,MATCH($C1245,'Policy Characteristics'!$C:$C,0)))</f>
        <v>Avoid Deforestation</v>
      </c>
      <c r="K1245" s="275" t="str">
        <f>IF(ISBLANK(INDEX('Policy Characteristics'!E:E,MATCH($C1245,'Policy Characteristics'!$C:$C,0))),"",INDEX('Policy Characteristics'!E:E,MATCH($C1245,'Policy Characteristics'!$C:$C,0)))</f>
        <v>land avoid deforestation</v>
      </c>
      <c r="L1245" s="283">
        <f>IF(ISBLANK(INDEX('Policy Characteristics'!F:F,MATCH($C1245,'Policy Characteristics'!$C:$C,0))),"",INDEX('Policy Characteristics'!F:F,MATCH($C1245,'Policy Characteristics'!$C:$C,0)))</f>
        <v>0</v>
      </c>
      <c r="M1245" s="283">
        <f>IF(ISBLANK(INDEX('Policy Characteristics'!G:G,MATCH($C1245,'Policy Characteristics'!$C:$C,0))),"",INDEX('Policy Characteristics'!G:G,MATCH($C1245,'Policy Characteristics'!$C:$C,0)))</f>
        <v>1</v>
      </c>
      <c r="N1245" s="283">
        <f>IF(ISBLANK(INDEX('Policy Characteristics'!H:H,MATCH($C1245,'Policy Characteristics'!$C:$C,0))),"",INDEX('Policy Characteristics'!H:H,MATCH($C1245,'Policy Characteristics'!$C:$C,0)))</f>
        <v>0.01</v>
      </c>
      <c r="O1245" s="275" t="str">
        <f>IF(ISBLANK(INDEX('Policy Characteristics'!I:I,MATCH($C1245,'Policy Characteristics'!$C:$C,0))),"",INDEX('Policy Characteristics'!I:I,MATCH($C1245,'Policy Characteristics'!$C:$C,0)))</f>
        <v>% of potential achieved</v>
      </c>
      <c r="P1245" s="275" t="str">
        <f>IF(ISBLANK(INDEX('Policy Characteristics'!J:J,MATCH($C1245,'Policy Characteristics'!$C:$C,0))),"",INDEX('Policy Characteristics'!J:J,MATCH($C1245,'Policy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245" s="275" t="str">
        <f>IF(ISBLANK(INDEX('Policy Characteristics'!K:K,MATCH($C1245,'Policy Characteristics'!$C:$C,0))),"",INDEX('Policy Characteristics'!K:K,MATCH($C1245,'Policy Characteristics'!$C:$C,0)))</f>
        <v>lulucf.html#avoid-def</v>
      </c>
      <c r="R1245" s="275" t="str">
        <f>IF(ISBLANK(INDEX('Policy Characteristics'!L:L,MATCH($C1245,'Policy Characteristics'!$C:$C,0))),"",INDEX('Policy Characteristics'!L:L,MATCH($C1245,'Policy Characteristics'!$C:$C,0)))</f>
        <v>avoid-deforestation.html</v>
      </c>
    </row>
    <row r="1246" spans="1:18" x14ac:dyDescent="0.25">
      <c r="A1246" s="275" t="str">
        <f>IF(ISBLANK(INDEX('Policy Characteristics'!A:A,MATCH($C1246,'Policy Characteristics'!$C:$C,0))),"",INDEX('Policy Characteristics'!A:A,MATCH($C1246,'Policy Characteristics'!$C:$C,0)))</f>
        <v>Agriculture, Land Use, and Forestry</v>
      </c>
      <c r="B1246" s="284" t="str">
        <f>IF(ISBLANK(INDEX('Policy Characteristics'!B:B,MATCH($C1246,'Policy Characteristics'!$C:$C,0))),"",INDEX('Policy Characteristics'!B:B,MATCH($C1246,'Policy Characteristics'!$C:$C,0)))</f>
        <v>Grassland Restoration and Avoided Conversion</v>
      </c>
      <c r="C1246" t="s">
        <v>435</v>
      </c>
      <c r="D1246" s="47"/>
      <c r="E1246" s="47"/>
      <c r="F1246" s="47"/>
      <c r="G1246" s="47"/>
      <c r="H1246" s="44">
        <v>177</v>
      </c>
      <c r="I1246" s="347" t="s">
        <v>43</v>
      </c>
      <c r="J1246" s="276" t="str">
        <f>IF(ISBLANK(INDEX('Policy Characteristics'!D:D,MATCH($C1246,'Policy Characteristics'!$C:$C,0))),"",INDEX('Policy Characteristics'!D:D,MATCH($C1246,'Policy Characteristics'!$C:$C,0)))</f>
        <v>Grassland Restoration and Avoided Conversion</v>
      </c>
      <c r="K1246" s="275" t="str">
        <f>IF(ISBLANK(INDEX('Policy Characteristics'!E:E,MATCH($C1246,'Policy Characteristics'!$C:$C,0))),"",INDEX('Policy Characteristics'!E:E,MATCH($C1246,'Policy Characteristics'!$C:$C,0)))</f>
        <v>land forest restoration</v>
      </c>
      <c r="L1246" s="283">
        <f>IF(ISBLANK(INDEX('Policy Characteristics'!F:F,MATCH($C1246,'Policy Characteristics'!$C:$C,0))),"",INDEX('Policy Characteristics'!F:F,MATCH($C1246,'Policy Characteristics'!$C:$C,0)))</f>
        <v>0</v>
      </c>
      <c r="M1246" s="283">
        <f>IF(ISBLANK(INDEX('Policy Characteristics'!G:G,MATCH($C1246,'Policy Characteristics'!$C:$C,0))),"",INDEX('Policy Characteristics'!G:G,MATCH($C1246,'Policy Characteristics'!$C:$C,0)))</f>
        <v>1</v>
      </c>
      <c r="N1246" s="283">
        <f>IF(ISBLANK(INDEX('Policy Characteristics'!H:H,MATCH($C1246,'Policy Characteristics'!$C:$C,0))),"",INDEX('Policy Characteristics'!H:H,MATCH($C1246,'Policy Characteristics'!$C:$C,0)))</f>
        <v>0.01</v>
      </c>
      <c r="O1246" s="275" t="str">
        <f>IF(ISBLANK(INDEX('Policy Characteristics'!I:I,MATCH($C1246,'Policy Characteristics'!$C:$C,0))),"",INDEX('Policy Characteristics'!I:I,MATCH($C1246,'Policy Characteristics'!$C:$C,0)))</f>
        <v>% of potential achieved</v>
      </c>
      <c r="P1246" s="275" t="str">
        <f>IF(ISBLANK(INDEX('Policy Characteristics'!J:J,MATCH($C1246,'Policy Characteristics'!$C:$C,0))),"",INDEX('Policy Characteristics'!J:J,MATCH($C1246,'Policy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246" s="275" t="str">
        <f>IF(ISBLANK(INDEX('Policy Characteristics'!K:K,MATCH($C1246,'Policy Characteristics'!$C:$C,0))),"",INDEX('Policy Characteristics'!K:K,MATCH($C1246,'Policy Characteristics'!$C:$C,0)))</f>
        <v/>
      </c>
      <c r="R1246" s="275" t="str">
        <f>IF(ISBLANK(INDEX('Policy Characteristics'!L:L,MATCH($C1246,'Policy Characteristics'!$C:$C,0))),"",INDEX('Policy Characteristics'!L:L,MATCH($C1246,'Policy Characteristics'!$C:$C,0)))</f>
        <v>forest-restoration.html</v>
      </c>
    </row>
    <row r="1247" spans="1:18" x14ac:dyDescent="0.25">
      <c r="A1247" s="275" t="str">
        <f>IF(ISBLANK(INDEX('Policy Characteristics'!A:A,MATCH($C1247,'Policy Characteristics'!$C:$C,0))),"",INDEX('Policy Characteristics'!A:A,MATCH($C1247,'Policy Characteristics'!$C:$C,0)))</f>
        <v>Agriculture, Land Use, and Forestry</v>
      </c>
      <c r="B1247" s="284" t="str">
        <f>IF(ISBLANK(INDEX('Policy Characteristics'!B:B,MATCH($C1247,'Policy Characteristics'!$C:$C,0))),"",INDEX('Policy Characteristics'!B:B,MATCH($C1247,'Policy Characteristics'!$C:$C,0)))</f>
        <v>Forest Set-Asides</v>
      </c>
      <c r="C1247" t="s">
        <v>432</v>
      </c>
      <c r="D1247" s="47"/>
      <c r="E1247" s="47"/>
      <c r="F1247" s="47"/>
      <c r="G1247" s="47"/>
      <c r="H1247" s="44">
        <v>61</v>
      </c>
      <c r="I1247" s="346" t="s">
        <v>43</v>
      </c>
      <c r="J1247" s="276" t="str">
        <f>IF(ISBLANK(INDEX('Policy Characteristics'!D:D,MATCH($C1247,'Policy Characteristics'!$C:$C,0))),"",INDEX('Policy Characteristics'!D:D,MATCH($C1247,'Policy Characteristics'!$C:$C,0)))</f>
        <v>Forest Set-Asides</v>
      </c>
      <c r="K1247" s="275" t="str">
        <f>IF(ISBLANK(INDEX('Policy Characteristics'!E:E,MATCH($C1247,'Policy Characteristics'!$C:$C,0))),"",INDEX('Policy Characteristics'!E:E,MATCH($C1247,'Policy Characteristics'!$C:$C,0)))</f>
        <v>land forest set asides</v>
      </c>
      <c r="L1247" s="283">
        <f>IF(ISBLANK(INDEX('Policy Characteristics'!F:F,MATCH($C1247,'Policy Characteristics'!$C:$C,0))),"",INDEX('Policy Characteristics'!F:F,MATCH($C1247,'Policy Characteristics'!$C:$C,0)))</f>
        <v>0</v>
      </c>
      <c r="M1247" s="283">
        <f>IF(ISBLANK(INDEX('Policy Characteristics'!G:G,MATCH($C1247,'Policy Characteristics'!$C:$C,0))),"",INDEX('Policy Characteristics'!G:G,MATCH($C1247,'Policy Characteristics'!$C:$C,0)))</f>
        <v>1</v>
      </c>
      <c r="N1247" s="283">
        <f>IF(ISBLANK(INDEX('Policy Characteristics'!H:H,MATCH($C1247,'Policy Characteristics'!$C:$C,0))),"",INDEX('Policy Characteristics'!H:H,MATCH($C1247,'Policy Characteristics'!$C:$C,0)))</f>
        <v>0.01</v>
      </c>
      <c r="O1247" s="275" t="str">
        <f>IF(ISBLANK(INDEX('Policy Characteristics'!I:I,MATCH($C1247,'Policy Characteristics'!$C:$C,0))),"",INDEX('Policy Characteristics'!I:I,MATCH($C1247,'Policy Characteristics'!$C:$C,0)))</f>
        <v>% of potential achieved</v>
      </c>
      <c r="P1247" s="275" t="str">
        <f>IF(ISBLANK(INDEX('Policy Characteristics'!J:J,MATCH($C1247,'Policy Characteristics'!$C:$C,0))),"",INDEX('Policy Characteristics'!J:J,MATCH($C1247,'Policy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247" s="275" t="str">
        <f>IF(ISBLANK(INDEX('Policy Characteristics'!K:K,MATCH($C1247,'Policy Characteristics'!$C:$C,0))),"",INDEX('Policy Characteristics'!K:K,MATCH($C1247,'Policy Characteristics'!$C:$C,0)))</f>
        <v>lulucf.html#set-asides</v>
      </c>
      <c r="R1247" s="275" t="str">
        <f>IF(ISBLANK(INDEX('Policy Characteristics'!L:L,MATCH($C1247,'Policy Characteristics'!$C:$C,0))),"",INDEX('Policy Characteristics'!L:L,MATCH($C1247,'Policy Characteristics'!$C:$C,0)))</f>
        <v>forest-set-asides.html</v>
      </c>
    </row>
    <row r="1248" spans="1:18" x14ac:dyDescent="0.25">
      <c r="A1248" s="275" t="str">
        <f>IF(ISBLANK(INDEX('Policy Characteristics'!A:A,MATCH($C1248,'Policy Characteristics'!$C:$C,0))),"",INDEX('Policy Characteristics'!A:A,MATCH($C1248,'Policy Characteristics'!$C:$C,0)))</f>
        <v>Agriculture, Land Use, and Forestry</v>
      </c>
      <c r="B1248" s="284" t="str">
        <f>IF(ISBLANK(INDEX('Policy Characteristics'!B:B,MATCH($C1248,'Policy Characteristics'!$C:$C,0))),"",INDEX('Policy Characteristics'!B:B,MATCH($C1248,'Policy Characteristics'!$C:$C,0)))</f>
        <v>Cropland and Rice Measures</v>
      </c>
      <c r="C1248" t="s">
        <v>2775</v>
      </c>
      <c r="D1248" s="47"/>
      <c r="E1248" s="47"/>
      <c r="F1248" s="47"/>
      <c r="G1248" s="47"/>
      <c r="H1248" s="44">
        <v>62</v>
      </c>
      <c r="I1248" s="346" t="s">
        <v>43</v>
      </c>
      <c r="J1248" s="276" t="str">
        <f>IF(ISBLANK(INDEX('Policy Characteristics'!D:D,MATCH($C1248,'Policy Characteristics'!$C:$C,0))),"",INDEX('Policy Characteristics'!D:D,MATCH($C1248,'Policy Characteristics'!$C:$C,0)))</f>
        <v>Cropland and Rice Measures</v>
      </c>
      <c r="K1248" s="275" t="str">
        <f>IF(ISBLANK(INDEX('Policy Characteristics'!E:E,MATCH($C1248,'Policy Characteristics'!$C:$C,0))),"",INDEX('Policy Characteristics'!E:E,MATCH($C1248,'Policy Characteristics'!$C:$C,0)))</f>
        <v>indst cropland and rice measures</v>
      </c>
      <c r="L1248" s="283">
        <f>IF(ISBLANK(INDEX('Policy Characteristics'!F:F,MATCH($C1248,'Policy Characteristics'!$C:$C,0))),"",INDEX('Policy Characteristics'!F:F,MATCH($C1248,'Policy Characteristics'!$C:$C,0)))</f>
        <v>0</v>
      </c>
      <c r="M1248" s="283">
        <f>IF(ISBLANK(INDEX('Policy Characteristics'!G:G,MATCH($C1248,'Policy Characteristics'!$C:$C,0))),"",INDEX('Policy Characteristics'!G:G,MATCH($C1248,'Policy Characteristics'!$C:$C,0)))</f>
        <v>1</v>
      </c>
      <c r="N1248" s="283">
        <f>IF(ISBLANK(INDEX('Policy Characteristics'!H:H,MATCH($C1248,'Policy Characteristics'!$C:$C,0))),"",INDEX('Policy Characteristics'!H:H,MATCH($C1248,'Policy Characteristics'!$C:$C,0)))</f>
        <v>0.01</v>
      </c>
      <c r="O1248" s="275" t="str">
        <f>IF(ISBLANK(INDEX('Policy Characteristics'!I:I,MATCH($C1248,'Policy Characteristics'!$C:$C,0))),"",INDEX('Policy Characteristics'!I:I,MATCH($C1248,'Policy Characteristics'!$C:$C,0)))</f>
        <v>% of potential achieved</v>
      </c>
      <c r="P1248" s="275" t="str">
        <f>IF(ISBLANK(INDEX('Policy Characteristics'!J:J,MATCH($C1248,'Policy Characteristics'!$C:$C,0))),"",INDEX('Policy Characteristics'!J:J,MATCH($C1248,'Policy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If this policy is fully implemented, agricultural process emissions in 2050 are reduced by 2%.</v>
      </c>
      <c r="Q1248" s="275" t="str">
        <f>IF(ISBLANK(INDEX('Policy Characteristics'!K:K,MATCH($C1248,'Policy Characteristics'!$C:$C,0))),"",INDEX('Policy Characteristics'!K:K,MATCH($C1248,'Policy Characteristics'!$C:$C,0)))</f>
        <v>industry-ag-main.html#cropland</v>
      </c>
      <c r="R1248" s="275" t="str">
        <f>IF(ISBLANK(INDEX('Policy Characteristics'!L:L,MATCH($C1248,'Policy Characteristics'!$C:$C,0))),"",INDEX('Policy Characteristics'!L:L,MATCH($C1248,'Policy Characteristics'!$C:$C,0)))</f>
        <v>cropland-management.html</v>
      </c>
    </row>
    <row r="1249" spans="1:18" x14ac:dyDescent="0.25">
      <c r="A1249" s="275" t="str">
        <f>IF(ISBLANK(INDEX('Policy Characteristics'!A:A,MATCH($C1249,'Policy Characteristics'!$C:$C,0))),"",INDEX('Policy Characteristics'!A:A,MATCH($C1249,'Policy Characteristics'!$C:$C,0)))</f>
        <v>Agriculture, Land Use, and Forestry</v>
      </c>
      <c r="B1249" s="284" t="str">
        <f>IF(ISBLANK(INDEX('Policy Characteristics'!B:B,MATCH($C1249,'Policy Characteristics'!$C:$C,0))),"",INDEX('Policy Characteristics'!B:B,MATCH($C1249,'Policy Characteristics'!$C:$C,0)))</f>
        <v>Improved Soil Measures</v>
      </c>
      <c r="C1249" t="s">
        <v>3365</v>
      </c>
      <c r="D1249" s="47"/>
      <c r="E1249" s="47"/>
      <c r="F1249" s="47"/>
      <c r="G1249" s="47"/>
      <c r="H1249" s="44">
        <v>1654</v>
      </c>
      <c r="I1249" s="346" t="s">
        <v>43</v>
      </c>
      <c r="J1249" s="276" t="str">
        <f>IF(ISBLANK(INDEX('Policy Characteristics'!D:D,MATCH($C1249,'Policy Characteristics'!$C:$C,0))),"",INDEX('Policy Characteristics'!D:D,MATCH($C1249,'Policy Characteristics'!$C:$C,0)))</f>
        <v>Improved Soil Measures</v>
      </c>
      <c r="K1249" s="275" t="str">
        <f>IF(ISBLANK(INDEX('Policy Characteristics'!E:E,MATCH($C1249,'Policy Characteristics'!$C:$C,0))),"",INDEX('Policy Characteristics'!E:E,MATCH($C1249,'Policy Characteristics'!$C:$C,0)))</f>
        <v>indst tillage</v>
      </c>
      <c r="L1249" s="283">
        <f>IF(ISBLANK(INDEX('Policy Characteristics'!F:F,MATCH($C1249,'Policy Characteristics'!$C:$C,0))),"",INDEX('Policy Characteristics'!F:F,MATCH($C1249,'Policy Characteristics'!$C:$C,0)))</f>
        <v>0</v>
      </c>
      <c r="M1249" s="283">
        <f>IF(ISBLANK(INDEX('Policy Characteristics'!G:G,MATCH($C1249,'Policy Characteristics'!$C:$C,0))),"",INDEX('Policy Characteristics'!G:G,MATCH($C1249,'Policy Characteristics'!$C:$C,0)))</f>
        <v>1</v>
      </c>
      <c r="N1249" s="283">
        <f>IF(ISBLANK(INDEX('Policy Characteristics'!H:H,MATCH($C1249,'Policy Characteristics'!$C:$C,0))),"",INDEX('Policy Characteristics'!H:H,MATCH($C1249,'Policy Characteristics'!$C:$C,0)))</f>
        <v>0.01</v>
      </c>
      <c r="O1249" s="275" t="str">
        <f>IF(ISBLANK(INDEX('Policy Characteristics'!I:I,MATCH($C1249,'Policy Characteristics'!$C:$C,0))),"",INDEX('Policy Characteristics'!I:I,MATCH($C1249,'Policy Characteristics'!$C:$C,0)))</f>
        <v>% of potential achieved</v>
      </c>
      <c r="P1249" s="275" t="str">
        <f>IF(ISBLANK(INDEX('Policy Characteristics'!J:J,MATCH($C1249,'Policy Characteristics'!$C:$C,0))),"",INDEX('Policy Characteristics'!J:J,MATCH($C1249,'Policy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249" s="275" t="str">
        <f>IF(ISBLANK(INDEX('Policy Characteristics'!K:K,MATCH($C1249,'Policy Characteristics'!$C:$C,0))),"",INDEX('Policy Characteristics'!K:K,MATCH($C1249,'Policy Characteristics'!$C:$C,0)))</f>
        <v/>
      </c>
      <c r="R1249" s="275" t="str">
        <f>IF(ISBLANK(INDEX('Policy Characteristics'!L:L,MATCH($C1249,'Policy Characteristics'!$C:$C,0))),"",INDEX('Policy Characteristics'!L:L,MATCH($C1249,'Policy Characteristics'!$C:$C,0)))</f>
        <v/>
      </c>
    </row>
    <row r="1250" spans="1:18" x14ac:dyDescent="0.25">
      <c r="A1250" s="275" t="str">
        <f>IF(ISBLANK(INDEX('Policy Characteristics'!A:A,MATCH($C1250,'Policy Characteristics'!$C:$C,0))),"",INDEX('Policy Characteristics'!A:A,MATCH($C1250,'Policy Characteristics'!$C:$C,0)))</f>
        <v>Agriculture, Land Use, and Forestry</v>
      </c>
      <c r="B1250" s="284" t="str">
        <f>IF(ISBLANK(INDEX('Policy Characteristics'!B:B,MATCH($C1250,'Policy Characteristics'!$C:$C,0))),"",INDEX('Policy Characteristics'!B:B,MATCH($C1250,'Policy Characteristics'!$C:$C,0)))</f>
        <v>Improved Forest Management</v>
      </c>
      <c r="C1250" t="s">
        <v>433</v>
      </c>
      <c r="D1250" s="47"/>
      <c r="E1250" s="47"/>
      <c r="F1250" s="47"/>
      <c r="G1250" s="47"/>
      <c r="H1250" s="44">
        <v>63</v>
      </c>
      <c r="I1250" s="346" t="s">
        <v>43</v>
      </c>
      <c r="J1250" s="276" t="str">
        <f>IF(ISBLANK(INDEX('Policy Characteristics'!D:D,MATCH($C1250,'Policy Characteristics'!$C:$C,0))),"",INDEX('Policy Characteristics'!D:D,MATCH($C1250,'Policy Characteristics'!$C:$C,0)))</f>
        <v>Improved Forest Management</v>
      </c>
      <c r="K1250" s="275" t="str">
        <f>IF(ISBLANK(INDEX('Policy Characteristics'!E:E,MATCH($C1250,'Policy Characteristics'!$C:$C,0))),"",INDEX('Policy Characteristics'!E:E,MATCH($C1250,'Policy Characteristics'!$C:$C,0)))</f>
        <v>land forest management</v>
      </c>
      <c r="L1250" s="283">
        <f>IF(ISBLANK(INDEX('Policy Characteristics'!F:F,MATCH($C1250,'Policy Characteristics'!$C:$C,0))),"",INDEX('Policy Characteristics'!F:F,MATCH($C1250,'Policy Characteristics'!$C:$C,0)))</f>
        <v>0</v>
      </c>
      <c r="M1250" s="283">
        <f>IF(ISBLANK(INDEX('Policy Characteristics'!G:G,MATCH($C1250,'Policy Characteristics'!$C:$C,0))),"",INDEX('Policy Characteristics'!G:G,MATCH($C1250,'Policy Characteristics'!$C:$C,0)))</f>
        <v>1</v>
      </c>
      <c r="N1250" s="283">
        <f>IF(ISBLANK(INDEX('Policy Characteristics'!H:H,MATCH($C1250,'Policy Characteristics'!$C:$C,0))),"",INDEX('Policy Characteristics'!H:H,MATCH($C1250,'Policy Characteristics'!$C:$C,0)))</f>
        <v>0.01</v>
      </c>
      <c r="O1250" s="275" t="str">
        <f>IF(ISBLANK(INDEX('Policy Characteristics'!I:I,MATCH($C1250,'Policy Characteristics'!$C:$C,0))),"",INDEX('Policy Characteristics'!I:I,MATCH($C1250,'Policy Characteristics'!$C:$C,0)))</f>
        <v>% of potential achieved</v>
      </c>
      <c r="P1250" s="275" t="str">
        <f>IF(ISBLANK(INDEX('Policy Characteristics'!J:J,MATCH($C1250,'Policy Characteristics'!$C:$C,0))),"",INDEX('Policy Characteristics'!J:J,MATCH($C1250,'Policy Characteristics'!$C:$C,0)))</f>
        <v>**Description:**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v>
      </c>
      <c r="Q1250" s="275" t="str">
        <f>IF(ISBLANK(INDEX('Policy Characteristics'!K:K,MATCH($C1250,'Policy Characteristics'!$C:$C,0))),"",INDEX('Policy Characteristics'!K:K,MATCH($C1250,'Policy Characteristics'!$C:$C,0)))</f>
        <v>lulucf.html#forest-mgmt</v>
      </c>
      <c r="R1250" s="275" t="str">
        <f>IF(ISBLANK(INDEX('Policy Characteristics'!L:L,MATCH($C1250,'Policy Characteristics'!$C:$C,0))),"",INDEX('Policy Characteristics'!L:L,MATCH($C1250,'Policy Characteristics'!$C:$C,0)))</f>
        <v>improved-forest-management.html</v>
      </c>
    </row>
    <row r="1251" spans="1:18" x14ac:dyDescent="0.25">
      <c r="A1251" s="275" t="str">
        <f>IF(ISBLANK(INDEX('Policy Characteristics'!A:A,MATCH($C1251,'Policy Characteristics'!$C:$C,0))),"",INDEX('Policy Characteristics'!A:A,MATCH($C1251,'Policy Characteristics'!$C:$C,0)))</f>
        <v>Agriculture, Land Use, and Forestry</v>
      </c>
      <c r="B1251" s="284" t="str">
        <f>IF(ISBLANK(INDEX('Policy Characteristics'!B:B,MATCH($C1251,'Policy Characteristics'!$C:$C,0))),"",INDEX('Policy Characteristics'!B:B,MATCH($C1251,'Policy Characteristics'!$C:$C,0)))</f>
        <v>Livestock Measures</v>
      </c>
      <c r="C1251" t="s">
        <v>2808</v>
      </c>
      <c r="D1251" s="47"/>
      <c r="E1251" s="47"/>
      <c r="F1251" s="47"/>
      <c r="G1251" s="47"/>
      <c r="H1251" s="44">
        <v>64</v>
      </c>
      <c r="I1251" s="346" t="s">
        <v>43</v>
      </c>
      <c r="J1251" s="276" t="str">
        <f>IF(ISBLANK(INDEX('Policy Characteristics'!D:D,MATCH($C1251,'Policy Characteristics'!$C:$C,0))),"",INDEX('Policy Characteristics'!D:D,MATCH($C1251,'Policy Characteristics'!$C:$C,0)))</f>
        <v>Livestock Measures</v>
      </c>
      <c r="K1251" s="275" t="str">
        <f>IF(ISBLANK(INDEX('Policy Characteristics'!E:E,MATCH($C1251,'Policy Characteristics'!$C:$C,0))),"",INDEX('Policy Characteristics'!E:E,MATCH($C1251,'Policy Characteristics'!$C:$C,0)))</f>
        <v>indst livestock measures</v>
      </c>
      <c r="L1251" s="283">
        <f>IF(ISBLANK(INDEX('Policy Characteristics'!F:F,MATCH($C1251,'Policy Characteristics'!$C:$C,0))),"",INDEX('Policy Characteristics'!F:F,MATCH($C1251,'Policy Characteristics'!$C:$C,0)))</f>
        <v>0</v>
      </c>
      <c r="M1251" s="283">
        <f>IF(ISBLANK(INDEX('Policy Characteristics'!G:G,MATCH($C1251,'Policy Characteristics'!$C:$C,0))),"",INDEX('Policy Characteristics'!G:G,MATCH($C1251,'Policy Characteristics'!$C:$C,0)))</f>
        <v>1</v>
      </c>
      <c r="N1251" s="283">
        <f>IF(ISBLANK(INDEX('Policy Characteristics'!H:H,MATCH($C1251,'Policy Characteristics'!$C:$C,0))),"",INDEX('Policy Characteristics'!H:H,MATCH($C1251,'Policy Characteristics'!$C:$C,0)))</f>
        <v>0.01</v>
      </c>
      <c r="O1251" s="275" t="str">
        <f>IF(ISBLANK(INDEX('Policy Characteristics'!I:I,MATCH($C1251,'Policy Characteristics'!$C:$C,0))),"",INDEX('Policy Characteristics'!I:I,MATCH($C1251,'Policy Characteristics'!$C:$C,0)))</f>
        <v>% of potential achieved</v>
      </c>
      <c r="P1251" s="275" t="str">
        <f>IF(ISBLANK(INDEX('Policy Characteristics'!J:J,MATCH($C1251,'Policy Characteristics'!$C:$C,0))),"",INDEX('Policy Characteristics'!J:J,MATCH($C1251,'Policy Characteristics'!$C:$C,0)))</f>
        <v>**Description:** This policy reduces greenhouse gas emissions from agriculture through livestock-related measures, such as feed supplements or drugs to prevent enteric methane formation. // **Guidance for setting values:** If this policy is fully implemented, agricultural process emissions in 2050 are reduced by 10%.</v>
      </c>
      <c r="Q1251" s="275" t="str">
        <f>IF(ISBLANK(INDEX('Policy Characteristics'!K:K,MATCH($C1251,'Policy Characteristics'!$C:$C,0))),"",INDEX('Policy Characteristics'!K:K,MATCH($C1251,'Policy Characteristics'!$C:$C,0)))</f>
        <v>industry-ag-main.html#livestock</v>
      </c>
      <c r="R1251" s="275" t="str">
        <f>IF(ISBLANK(INDEX('Policy Characteristics'!L:L,MATCH($C1251,'Policy Characteristics'!$C:$C,0))),"",INDEX('Policy Characteristics'!L:L,MATCH($C1251,'Policy Characteristics'!$C:$C,0)))</f>
        <v>livestock-measures.html</v>
      </c>
    </row>
    <row r="1252" spans="1:18" x14ac:dyDescent="0.25">
      <c r="A1252" s="275" t="str">
        <f>IF(ISBLANK(INDEX('Policy Characteristics'!A:A,MATCH($C1252,'Policy Characteristics'!$C:$C,0))),"",INDEX('Policy Characteristics'!A:A,MATCH($C1252,'Policy Characteristics'!$C:$C,0)))</f>
        <v>Agriculture, Land Use, and Forestry</v>
      </c>
      <c r="B1252" s="284" t="str">
        <f>IF(ISBLANK(INDEX('Policy Characteristics'!B:B,MATCH($C1252,'Policy Characteristics'!$C:$C,0))),"",INDEX('Policy Characteristics'!B:B,MATCH($C1252,'Policy Characteristics'!$C:$C,0)))</f>
        <v>Wetland Restoration</v>
      </c>
      <c r="C1252" t="s">
        <v>434</v>
      </c>
      <c r="D1252" s="47"/>
      <c r="E1252" s="47"/>
      <c r="F1252" s="47"/>
      <c r="G1252" s="47"/>
      <c r="H1252" s="44">
        <v>178</v>
      </c>
      <c r="I1252" s="346" t="s">
        <v>43</v>
      </c>
      <c r="J1252" s="276" t="str">
        <f>IF(ISBLANK(INDEX('Policy Characteristics'!D:D,MATCH($C1252,'Policy Characteristics'!$C:$C,0))),"",INDEX('Policy Characteristics'!D:D,MATCH($C1252,'Policy Characteristics'!$C:$C,0)))</f>
        <v>Wetland Restoration</v>
      </c>
      <c r="K1252" s="275" t="str">
        <f>IF(ISBLANK(INDEX('Policy Characteristics'!E:E,MATCH($C1252,'Policy Characteristics'!$C:$C,0))),"",INDEX('Policy Characteristics'!E:E,MATCH($C1252,'Policy Characteristics'!$C:$C,0)))</f>
        <v>land peatland restoration</v>
      </c>
      <c r="L1252" s="283">
        <f>IF(ISBLANK(INDEX('Policy Characteristics'!F:F,MATCH($C1252,'Policy Characteristics'!$C:$C,0))),"",INDEX('Policy Characteristics'!F:F,MATCH($C1252,'Policy Characteristics'!$C:$C,0)))</f>
        <v>0</v>
      </c>
      <c r="M1252" s="283">
        <f>IF(ISBLANK(INDEX('Policy Characteristics'!G:G,MATCH($C1252,'Policy Characteristics'!$C:$C,0))),"",INDEX('Policy Characteristics'!G:G,MATCH($C1252,'Policy Characteristics'!$C:$C,0)))</f>
        <v>1</v>
      </c>
      <c r="N1252" s="283">
        <f>IF(ISBLANK(INDEX('Policy Characteristics'!H:H,MATCH($C1252,'Policy Characteristics'!$C:$C,0))),"",INDEX('Policy Characteristics'!H:H,MATCH($C1252,'Policy Characteristics'!$C:$C,0)))</f>
        <v>0.01</v>
      </c>
      <c r="O1252" s="275" t="str">
        <f>IF(ISBLANK(INDEX('Policy Characteristics'!I:I,MATCH($C1252,'Policy Characteristics'!$C:$C,0))),"",INDEX('Policy Characteristics'!I:I,MATCH($C1252,'Policy Characteristics'!$C:$C,0)))</f>
        <v>% of potential achieved</v>
      </c>
      <c r="P1252" s="275" t="str">
        <f>IF(ISBLANK(INDEX('Policy Characteristics'!J:J,MATCH($C1252,'Policy Characteristics'!$C:$C,0))),"",INDEX('Policy Characteristics'!J:J,MATCH($C1252,'Policy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252" s="275" t="str">
        <f>IF(ISBLANK(INDEX('Policy Characteristics'!K:K,MATCH($C1252,'Policy Characteristics'!$C:$C,0))),"",INDEX('Policy Characteristics'!K:K,MATCH($C1252,'Policy Characteristics'!$C:$C,0)))</f>
        <v/>
      </c>
      <c r="R1252" s="275" t="str">
        <f>IF(ISBLANK(INDEX('Policy Characteristics'!L:L,MATCH($C1252,'Policy Characteristics'!$C:$C,0))),"",INDEX('Policy Characteristics'!L:L,MATCH($C1252,'Policy Characteristics'!$C:$C,0)))</f>
        <v>peatland-restoration.html</v>
      </c>
    </row>
    <row r="1253" spans="1:18" x14ac:dyDescent="0.25">
      <c r="A1253" s="275" t="str">
        <f>IF(ISBLANK(INDEX('Policy Characteristics'!A:A,MATCH($C1253,'Policy Characteristics'!$C:$C,0))),"",INDEX('Policy Characteristics'!A:A,MATCH($C1253,'Policy Characteristics'!$C:$C,0)))</f>
        <v>Agriculture, Land Use, and Forestry</v>
      </c>
      <c r="B1253" s="284" t="str">
        <f>IF(ISBLANK(INDEX('Policy Characteristics'!B:B,MATCH($C1253,'Policy Characteristics'!$C:$C,0))),"",INDEX('Policy Characteristics'!B:B,MATCH($C1253,'Policy Characteristics'!$C:$C,0)))</f>
        <v>Shift to Non-Animal Products</v>
      </c>
      <c r="C1253" t="s">
        <v>2443</v>
      </c>
      <c r="D1253" s="47"/>
      <c r="E1253" s="47"/>
      <c r="F1253" s="47"/>
      <c r="G1253" s="47"/>
      <c r="H1253" s="44">
        <v>434</v>
      </c>
      <c r="I1253" s="346" t="s">
        <v>43</v>
      </c>
      <c r="J1253" s="276" t="str">
        <f>IF(ISBLANK(INDEX('Policy Characteristics'!D:D,MATCH($C1253,'Policy Characteristics'!$C:$C,0))),"",INDEX('Policy Characteristics'!D:D,MATCH($C1253,'Policy Characteristics'!$C:$C,0)))</f>
        <v>Shift to Non-Animal Products</v>
      </c>
      <c r="K1253" s="275" t="str">
        <f>IF(ISBLANK(INDEX('Policy Characteristics'!E:E,MATCH($C1253,'Policy Characteristics'!$C:$C,0))),"",INDEX('Policy Characteristics'!E:E,MATCH($C1253,'Policy Characteristics'!$C:$C,0)))</f>
        <v>indst shift to nonanimal products</v>
      </c>
      <c r="L1253" s="283">
        <f>IF(ISBLANK(INDEX('Policy Characteristics'!F:F,MATCH($C1253,'Policy Characteristics'!$C:$C,0))),"",INDEX('Policy Characteristics'!F:F,MATCH($C1253,'Policy Characteristics'!$C:$C,0)))</f>
        <v>0</v>
      </c>
      <c r="M1253" s="283">
        <f>IF(ISBLANK(INDEX('Policy Characteristics'!G:G,MATCH($C1253,'Policy Characteristics'!$C:$C,0))),"",INDEX('Policy Characteristics'!G:G,MATCH($C1253,'Policy Characteristics'!$C:$C,0)))</f>
        <v>1</v>
      </c>
      <c r="N1253" s="283">
        <f>IF(ISBLANK(INDEX('Policy Characteristics'!H:H,MATCH($C1253,'Policy Characteristics'!$C:$C,0))),"",INDEX('Policy Characteristics'!H:H,MATCH($C1253,'Policy Characteristics'!$C:$C,0)))</f>
        <v>0.01</v>
      </c>
      <c r="O1253" s="275" t="str">
        <f>IF(ISBLANK(INDEX('Policy Characteristics'!I:I,MATCH($C1253,'Policy Characteristics'!$C:$C,0))),"",INDEX('Policy Characteristics'!I:I,MATCH($C1253,'Policy Characteristics'!$C:$C,0)))</f>
        <v>% reduction in animal products</v>
      </c>
      <c r="P1253" s="275" t="str">
        <f>IF(ISBLANK(INDEX('Policy Characteristics'!J:J,MATCH($C1253,'Policy Characteristics'!$C:$C,0))),"",INDEX('Policy Characteristics'!J:J,MATCH($C1253,'Policy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253" s="275" t="str">
        <f>IF(ISBLANK(INDEX('Policy Characteristics'!K:K,MATCH($C1253,'Policy Characteristics'!$C:$C,0))),"",INDEX('Policy Characteristics'!K:K,MATCH($C1253,'Policy Characteristics'!$C:$C,0)))</f>
        <v/>
      </c>
      <c r="R1253" s="275" t="str">
        <f>IF(ISBLANK(INDEX('Policy Characteristics'!L:L,MATCH($C1253,'Policy Characteristics'!$C:$C,0))),"",INDEX('Policy Characteristics'!L:L,MATCH($C1253,'Policy Characteristics'!$C:$C,0)))</f>
        <v>shift-to-non-animal-products.html</v>
      </c>
    </row>
    <row r="1254" spans="1:18" s="2" customFormat="1" x14ac:dyDescent="0.25">
      <c r="A1254" s="275" t="str">
        <f>IF(ISBLANK(INDEX('Policy Characteristics'!A:A,MATCH($C1254,'Policy Characteristics'!$C:$C,0))),"",INDEX('Policy Characteristics'!A:A,MATCH($C1254,'Policy Characteristics'!$C:$C,0)))</f>
        <v>District Heat and Hydrogen</v>
      </c>
      <c r="B1254" s="284" t="str">
        <f>IF(ISBLANK(INDEX('Policy Characteristics'!B:B,MATCH($C1254,'Policy Characteristics'!$C:$C,0))),"",INDEX('Policy Characteristics'!B:B,MATCH($C1254,'Policy Characteristics'!$C:$C,0)))</f>
        <v>Use CHP for District Heat</v>
      </c>
      <c r="C1254" s="339" t="s">
        <v>288</v>
      </c>
      <c r="D1254" s="6"/>
      <c r="E1254" s="6"/>
      <c r="F1254" s="6"/>
      <c r="G1254" s="6"/>
      <c r="H1254" s="44">
        <v>68</v>
      </c>
      <c r="I1254" s="347" t="s">
        <v>43</v>
      </c>
      <c r="J1254" s="276" t="str">
        <f>IF(ISBLANK(INDEX('Policy Characteristics'!D:D,MATCH($C1254,'Policy Characteristics'!$C:$C,0))),"",INDEX('Policy Characteristics'!D:D,MATCH($C1254,'Policy Characteristics'!$C:$C,0)))</f>
        <v>District Heat CHP</v>
      </c>
      <c r="K1254" s="275" t="str">
        <f>IF(ISBLANK(INDEX('Policy Characteristics'!E:E,MATCH($C1254,'Policy Characteristics'!$C:$C,0))),"",INDEX('Policy Characteristics'!E:E,MATCH($C1254,'Policy Characteristics'!$C:$C,0)))</f>
        <v>heat convert heat to CHP</v>
      </c>
      <c r="L1254" s="283">
        <f>IF(ISBLANK(INDEX('Policy Characteristics'!F:F,MATCH($C1254,'Policy Characteristics'!$C:$C,0))),"",INDEX('Policy Characteristics'!F:F,MATCH($C1254,'Policy Characteristics'!$C:$C,0)))</f>
        <v>0</v>
      </c>
      <c r="M1254" s="283">
        <f>IF(ISBLANK(INDEX('Policy Characteristics'!G:G,MATCH($C1254,'Policy Characteristics'!$C:$C,0))),"",INDEX('Policy Characteristics'!G:G,MATCH($C1254,'Policy Characteristics'!$C:$C,0)))</f>
        <v>1</v>
      </c>
      <c r="N1254" s="283">
        <f>IF(ISBLANK(INDEX('Policy Characteristics'!H:H,MATCH($C1254,'Policy Characteristics'!$C:$C,0))),"",INDEX('Policy Characteristics'!H:H,MATCH($C1254,'Policy Characteristics'!$C:$C,0)))</f>
        <v>0.01</v>
      </c>
      <c r="O1254" s="275" t="str">
        <f>IF(ISBLANK(INDEX('Policy Characteristics'!I:I,MATCH($C1254,'Policy Characteristics'!$C:$C,0))),"",INDEX('Policy Characteristics'!I:I,MATCH($C1254,'Policy Characteristics'!$C:$C,0)))</f>
        <v>% non-CHP heat converted</v>
      </c>
      <c r="P1254" s="275" t="str">
        <f>IF(ISBLANK(INDEX('Policy Characteristics'!J:J,MATCH($C1254,'Policy Characteristics'!$C:$C,0))),"",INDEX('Policy Characteristics'!J:J,MATCH($C1254,'Policy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254" s="275" t="str">
        <f>IF(ISBLANK(INDEX('Policy Characteristics'!K:K,MATCH($C1254,'Policy Characteristics'!$C:$C,0))),"",INDEX('Policy Characteristics'!K:K,MATCH($C1254,'Policy Characteristics'!$C:$C,0)))</f>
        <v>district-heating.html#chp</v>
      </c>
      <c r="R1254" s="275" t="str">
        <f>IF(ISBLANK(INDEX('Policy Characteristics'!L:L,MATCH($C1254,'Policy Characteristics'!$C:$C,0))),"",INDEX('Policy Characteristics'!L:L,MATCH($C1254,'Policy Characteristics'!$C:$C,0)))</f>
        <v>convert-non-chp-heat-production.html</v>
      </c>
    </row>
    <row r="1255" spans="1:18" s="2" customFormat="1" x14ac:dyDescent="0.25">
      <c r="A1255" s="275" t="str">
        <f>IF(ISBLANK(INDEX('Policy Characteristics'!A:A,MATCH($C1255,'Policy Characteristics'!$C:$C,0))),"",INDEX('Policy Characteristics'!A:A,MATCH($C1255,'Policy Characteristics'!$C:$C,0)))</f>
        <v>District Heat and Hydrogen</v>
      </c>
      <c r="B1255" s="284" t="str">
        <f>IF(ISBLANK(INDEX('Policy Characteristics'!B:B,MATCH($C1255,'Policy Characteristics'!$C:$C,0))),"",INDEX('Policy Characteristics'!B:B,MATCH($C1255,'Policy Characteristics'!$C:$C,0)))</f>
        <v>Produce District Heat with Hydrogen</v>
      </c>
      <c r="C1255" s="339" t="s">
        <v>2742</v>
      </c>
      <c r="D1255" s="6"/>
      <c r="E1255" s="6"/>
      <c r="F1255" s="6"/>
      <c r="G1255" s="6"/>
      <c r="H1255" s="44">
        <v>176</v>
      </c>
      <c r="I1255" s="347" t="s">
        <v>43</v>
      </c>
      <c r="J1255" s="276" t="str">
        <f>IF(ISBLANK(INDEX('Policy Characteristics'!D:D,MATCH($C1255,'Policy Characteristics'!$C:$C,0))),"",INDEX('Policy Characteristics'!D:D,MATCH($C1255,'Policy Characteristics'!$C:$C,0)))</f>
        <v>District Heat Fuel Switching</v>
      </c>
      <c r="K1255" s="275" t="str">
        <f>IF(ISBLANK(INDEX('Policy Characteristics'!E:E,MATCH($C1255,'Policy Characteristics'!$C:$C,0))),"",INDEX('Policy Characteristics'!E:E,MATCH($C1255,'Policy Characteristics'!$C:$C,0)))</f>
        <v>heat fuel type shifting</v>
      </c>
      <c r="L1255" s="283">
        <f>IF(ISBLANK(INDEX('Policy Characteristics'!F:F,MATCH($C1255,'Policy Characteristics'!$C:$C,0))),"",INDEX('Policy Characteristics'!F:F,MATCH($C1255,'Policy Characteristics'!$C:$C,0)))</f>
        <v>0</v>
      </c>
      <c r="M1255" s="283">
        <f>IF(ISBLANK(INDEX('Policy Characteristics'!G:G,MATCH($C1255,'Policy Characteristics'!$C:$C,0))),"",INDEX('Policy Characteristics'!G:G,MATCH($C1255,'Policy Characteristics'!$C:$C,0)))</f>
        <v>1</v>
      </c>
      <c r="N1255" s="283">
        <f>IF(ISBLANK(INDEX('Policy Characteristics'!H:H,MATCH($C1255,'Policy Characteristics'!$C:$C,0))),"",INDEX('Policy Characteristics'!H:H,MATCH($C1255,'Policy Characteristics'!$C:$C,0)))</f>
        <v>0.01</v>
      </c>
      <c r="O1255" s="275" t="str">
        <f>IF(ISBLANK(INDEX('Policy Characteristics'!I:I,MATCH($C1255,'Policy Characteristics'!$C:$C,0))),"",INDEX('Policy Characteristics'!I:I,MATCH($C1255,'Policy Characteristics'!$C:$C,0)))</f>
        <v>% of fuel use</v>
      </c>
      <c r="P1255" s="275" t="str">
        <f>IF(ISBLANK(INDEX('Policy Characteristics'!J:J,MATCH($C1255,'Policy Characteristics'!$C:$C,0))),"",INDEX('Policy Characteristics'!J:J,MATCH($C1255,'Policy Characteristics'!$C:$C,0)))</f>
        <v>**Description:** This policy causes a percentage of the district heat to be generated by burning hydrogen instead of the fuels used in the BAU case. // **Guidance for setting values:**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v>
      </c>
      <c r="Q1255" s="275" t="str">
        <f>IF(ISBLANK(INDEX('Policy Characteristics'!K:K,MATCH($C1255,'Policy Characteristics'!$C:$C,0))),"",INDEX('Policy Characteristics'!K:K,MATCH($C1255,'Policy Characteristics'!$C:$C,0)))</f>
        <v>district-heating.html#convert-coal</v>
      </c>
      <c r="R1255" s="275" t="str">
        <f>IF(ISBLANK(INDEX('Policy Characteristics'!L:L,MATCH($C1255,'Policy Characteristics'!$C:$C,0))),"",INDEX('Policy Characteristics'!L:L,MATCH($C1255,'Policy Characteristics'!$C:$C,0)))</f>
        <v>district-heat-fuel-switching.html</v>
      </c>
    </row>
    <row r="1256" spans="1:18" s="2" customFormat="1" x14ac:dyDescent="0.25">
      <c r="A1256" s="275" t="str">
        <f>IF(ISBLANK(INDEX('Policy Characteristics'!A:A,MATCH($C1256,'Policy Characteristics'!$C:$C,0))),"",INDEX('Policy Characteristics'!A:A,MATCH($C1256,'Policy Characteristics'!$C:$C,0)))</f>
        <v>District Heat and Hydrogen</v>
      </c>
      <c r="B1256" s="284" t="str">
        <f>IF(ISBLANK(INDEX('Policy Characteristics'!B:B,MATCH($C1256,'Policy Characteristics'!$C:$C,0))),"",INDEX('Policy Characteristics'!B:B,MATCH($C1256,'Policy Characteristics'!$C:$C,0)))</f>
        <v>Shift Hydrogen Production to Electrolysis</v>
      </c>
      <c r="C1256" s="339" t="s">
        <v>2481</v>
      </c>
      <c r="D1256" s="6"/>
      <c r="E1256" s="6"/>
      <c r="F1256" s="6"/>
      <c r="G1256" s="6"/>
      <c r="H1256" s="44">
        <v>450</v>
      </c>
      <c r="I1256" s="347" t="s">
        <v>43</v>
      </c>
      <c r="J1256" s="276" t="str">
        <f>IF(ISBLANK(INDEX('Policy Characteristics'!D:D,MATCH($C1256,'Policy Characteristics'!$C:$C,0))),"",INDEX('Policy Characteristics'!D:D,MATCH($C1256,'Policy Characteristics'!$C:$C,0)))</f>
        <v>Hydrogen Electrolysis</v>
      </c>
      <c r="K1256" s="275" t="str">
        <f>IF(ISBLANK(INDEX('Policy Characteristics'!E:E,MATCH($C1256,'Policy Characteristics'!$C:$C,0))),"",INDEX('Policy Characteristics'!E:E,MATCH($C1256,'Policy Characteristics'!$C:$C,0)))</f>
        <v>hydgn shift production pathways</v>
      </c>
      <c r="L1256" s="283">
        <f>IF(ISBLANK(INDEX('Policy Characteristics'!F:F,MATCH($C1256,'Policy Characteristics'!$C:$C,0))),"",INDEX('Policy Characteristics'!F:F,MATCH($C1256,'Policy Characteristics'!$C:$C,0)))</f>
        <v>0</v>
      </c>
      <c r="M1256" s="283">
        <f>IF(ISBLANK(INDEX('Policy Characteristics'!G:G,MATCH($C1256,'Policy Characteristics'!$C:$C,0))),"",INDEX('Policy Characteristics'!G:G,MATCH($C1256,'Policy Characteristics'!$C:$C,0)))</f>
        <v>1</v>
      </c>
      <c r="N1256" s="283">
        <f>IF(ISBLANK(INDEX('Policy Characteristics'!H:H,MATCH($C1256,'Policy Characteristics'!$C:$C,0))),"",INDEX('Policy Characteristics'!H:H,MATCH($C1256,'Policy Characteristics'!$C:$C,0)))</f>
        <v>0.01</v>
      </c>
      <c r="O1256" s="275" t="str">
        <f>IF(ISBLANK(INDEX('Policy Characteristics'!I:I,MATCH($C1256,'Policy Characteristics'!$C:$C,0))),"",INDEX('Policy Characteristics'!I:I,MATCH($C1256,'Policy Characteristics'!$C:$C,0)))</f>
        <v>% of hydrogen production</v>
      </c>
      <c r="P1256" s="275" t="str">
        <f>IF(ISBLANK(INDEX('Policy Characteristics'!J:J,MATCH($C1256,'Policy Characteristics'!$C:$C,0))),"",INDEX('Policy Characteristics'!J:J,MATCH($C1256,'Policy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256" s="275" t="str">
        <f>IF(ISBLANK(INDEX('Policy Characteristics'!K:K,MATCH($C1256,'Policy Characteristics'!$C:$C,0))),"",INDEX('Policy Characteristics'!K:K,MATCH($C1256,'Policy Characteristics'!$C:$C,0)))</f>
        <v/>
      </c>
      <c r="R1256" s="275" t="str">
        <f>IF(ISBLANK(INDEX('Policy Characteristics'!L:L,MATCH($C1256,'Policy Characteristics'!$C:$C,0))),"",INDEX('Policy Characteristics'!L:L,MATCH($C1256,'Policy Characteristics'!$C:$C,0)))</f>
        <v>switch-hydrogen-production-pathway.html</v>
      </c>
    </row>
    <row r="1257" spans="1:18" s="4" customFormat="1" x14ac:dyDescent="0.25">
      <c r="A1257" s="275" t="str">
        <f>IF(ISBLANK(INDEX('Policy Characteristics'!A:A,MATCH($C1257,'Policy Characteristics'!$C:$C,0))),"",INDEX('Policy Characteristics'!A:A,MATCH($C1257,'Policy Characteristics'!$C:$C,0)))</f>
        <v>Cross-Sector</v>
      </c>
      <c r="B1257" s="284" t="str">
        <f>IF(ISBLANK(INDEX('Policy Characteristics'!B:B,MATCH($C1257,'Policy Characteristics'!$C:$C,0))),"",INDEX('Policy Characteristics'!B:B,MATCH($C1257,'Policy Characteristics'!$C:$C,0)))</f>
        <v>Carbon Price</v>
      </c>
      <c r="C1257" t="s">
        <v>2414</v>
      </c>
      <c r="D1257" s="47" t="s">
        <v>333</v>
      </c>
      <c r="E1257" s="47"/>
      <c r="F1257" s="47" t="s">
        <v>337</v>
      </c>
      <c r="G1257" s="47"/>
      <c r="H1257" s="44">
        <v>171</v>
      </c>
      <c r="I1257" s="346" t="s">
        <v>43</v>
      </c>
      <c r="J1257" s="276" t="str">
        <f>IF(ISBLANK(INDEX('Policy Characteristics'!D:D,MATCH($C1257,'Policy Characteristics'!$C:$C,0))),"",INDEX('Policy Characteristics'!D:D,MATCH($C1257,'Policy Characteristics'!$C:$C,0)))</f>
        <v>Carbon Price</v>
      </c>
      <c r="K1257" s="275" t="str">
        <f>IF(ISBLANK(INDEX('Policy Characteristics'!E:E,MATCH($C1257,'Policy Characteristics'!$C:$C,0))),"",INDEX('Policy Characteristics'!E:E,MATCH($C1257,'Policy Characteristics'!$C:$C,0)))</f>
        <v>cross carbon tax</v>
      </c>
      <c r="L1257" s="275">
        <f>IF(ISBLANK(INDEX('Policy Characteristics'!F:F,MATCH($C1257,'Policy Characteristics'!$C:$C,0))),"",INDEX('Policy Characteristics'!F:F,MATCH($C1257,'Policy Characteristics'!$C:$C,0)))</f>
        <v>0</v>
      </c>
      <c r="M1257" s="275">
        <f>IF(ISBLANK(INDEX('Policy Characteristics'!G:G,MATCH($C1257,'Policy Characteristics'!$C:$C,0))),"",INDEX('Policy Characteristics'!G:G,MATCH($C1257,'Policy Characteristics'!$C:$C,0)))</f>
        <v>300</v>
      </c>
      <c r="N1257" s="275">
        <f>IF(ISBLANK(INDEX('Policy Characteristics'!H:H,MATCH($C1257,'Policy Characteristics'!$C:$C,0))),"",INDEX('Policy Characteristics'!H:H,MATCH($C1257,'Policy Characteristics'!$C:$C,0)))</f>
        <v>5</v>
      </c>
      <c r="O1257" s="275" t="str">
        <f>IF(ISBLANK(INDEX('Policy Characteristics'!I:I,MATCH($C1257,'Policy Characteristics'!$C:$C,0))),"",INDEX('Policy Characteristics'!I:I,MATCH($C1257,'Policy Characteristics'!$C:$C,0)))</f>
        <v>$/metric ton CO2e</v>
      </c>
      <c r="P1257" s="275" t="str">
        <f>IF(ISBLANK(INDEX('Policy Characteristics'!J:J,MATCH($C1257,'Policy Characteristics'!$C:$C,0))),"",INDEX('Policy Characteristics'!J:J,MATCH($C1257,'Policy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7" s="275" t="str">
        <f>IF(ISBLANK(INDEX('Policy Characteristics'!K:K,MATCH($C1257,'Policy Characteristics'!$C:$C,0))),"",INDEX('Policy Characteristics'!K:K,MATCH($C1257,'Policy Characteristics'!$C:$C,0)))</f>
        <v>fuels.html#carbon-tax</v>
      </c>
      <c r="R1257" s="275" t="str">
        <f>IF(ISBLANK(INDEX('Policy Characteristics'!L:L,MATCH($C1257,'Policy Characteristics'!$C:$C,0))),"",INDEX('Policy Characteristics'!L:L,MATCH($C1257,'Policy Characteristics'!$C:$C,0)))</f>
        <v>carbon-tax.html</v>
      </c>
    </row>
    <row r="1258" spans="1:18" s="4" customFormat="1" x14ac:dyDescent="0.25">
      <c r="A1258" s="275" t="str">
        <f>IF(ISBLANK(INDEX('Policy Characteristics'!A:A,MATCH($C1258,'Policy Characteristics'!$C:$C,0))),"",INDEX('Policy Characteristics'!A:A,MATCH($C1258,'Policy Characteristics'!$C:$C,0)))</f>
        <v>Cross-Sector</v>
      </c>
      <c r="B1258" s="284" t="str">
        <f>IF(ISBLANK(INDEX('Policy Characteristics'!B:B,MATCH($C1258,'Policy Characteristics'!$C:$C,0))),"",INDEX('Policy Characteristics'!B:B,MATCH($C1258,'Policy Characteristics'!$C:$C,0)))</f>
        <v>Carbon Price</v>
      </c>
      <c r="C1258" s="275" t="str">
        <f t="shared" ref="C1258" si="50">C$1257</f>
        <v>Additional Carbon Tax Rate</v>
      </c>
      <c r="D1258" s="47" t="s">
        <v>341</v>
      </c>
      <c r="E1258" s="47"/>
      <c r="F1258" s="47" t="s">
        <v>342</v>
      </c>
      <c r="G1258" s="47"/>
      <c r="H1258" s="44">
        <v>172</v>
      </c>
      <c r="I1258" s="346" t="s">
        <v>43</v>
      </c>
      <c r="J1258" s="276" t="str">
        <f>IF(ISBLANK(INDEX('Policy Characteristics'!D:D,MATCH($C1258,'Policy Characteristics'!$C:$C,0))),"",INDEX('Policy Characteristics'!D:D,MATCH($C1258,'Policy Characteristics'!$C:$C,0)))</f>
        <v>Carbon Price</v>
      </c>
      <c r="K1258" s="275" t="str">
        <f>IF(ISBLANK(INDEX('Policy Characteristics'!E:E,MATCH($C1258,'Policy Characteristics'!$C:$C,0))),"",INDEX('Policy Characteristics'!E:E,MATCH($C1258,'Policy Characteristics'!$C:$C,0)))</f>
        <v>cross carbon tax</v>
      </c>
      <c r="L1258" s="275">
        <f>IF(ISBLANK(INDEX('Policy Characteristics'!F:F,MATCH($C1258,'Policy Characteristics'!$C:$C,0))),"",INDEX('Policy Characteristics'!F:F,MATCH($C1258,'Policy Characteristics'!$C:$C,0)))</f>
        <v>0</v>
      </c>
      <c r="M1258" s="275">
        <f>IF(ISBLANK(INDEX('Policy Characteristics'!G:G,MATCH($C1258,'Policy Characteristics'!$C:$C,0))),"",INDEX('Policy Characteristics'!G:G,MATCH($C1258,'Policy Characteristics'!$C:$C,0)))</f>
        <v>300</v>
      </c>
      <c r="N1258" s="275">
        <f>IF(ISBLANK(INDEX('Policy Characteristics'!H:H,MATCH($C1258,'Policy Characteristics'!$C:$C,0))),"",INDEX('Policy Characteristics'!H:H,MATCH($C1258,'Policy Characteristics'!$C:$C,0)))</f>
        <v>5</v>
      </c>
      <c r="O1258" s="275" t="str">
        <f>IF(ISBLANK(INDEX('Policy Characteristics'!I:I,MATCH($C1258,'Policy Characteristics'!$C:$C,0))),"",INDEX('Policy Characteristics'!I:I,MATCH($C1258,'Policy Characteristics'!$C:$C,0)))</f>
        <v>$/metric ton CO2e</v>
      </c>
      <c r="P1258" s="275" t="str">
        <f>IF(ISBLANK(INDEX('Policy Characteristics'!J:J,MATCH($C1258,'Policy Characteristics'!$C:$C,0))),"",INDEX('Policy Characteristics'!J:J,MATCH($C1258,'Policy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8" s="275" t="str">
        <f>IF(ISBLANK(INDEX('Policy Characteristics'!K:K,MATCH($C1258,'Policy Characteristics'!$C:$C,0))),"",INDEX('Policy Characteristics'!K:K,MATCH($C1258,'Policy Characteristics'!$C:$C,0)))</f>
        <v>fuels.html#carbon-tax</v>
      </c>
      <c r="R1258" s="275" t="str">
        <f>IF(ISBLANK(INDEX('Policy Characteristics'!L:L,MATCH($C1258,'Policy Characteristics'!$C:$C,0))),"",INDEX('Policy Characteristics'!L:L,MATCH($C1258,'Policy Characteristics'!$C:$C,0)))</f>
        <v>carbon-tax.html</v>
      </c>
    </row>
    <row r="1259" spans="1:18" s="4" customFormat="1" x14ac:dyDescent="0.25">
      <c r="A1259" s="275" t="str">
        <f>IF(ISBLANK(INDEX('Policy Characteristics'!A:A,MATCH($C1259,'Policy Characteristics'!$C:$C,0))),"",INDEX('Policy Characteristics'!A:A,MATCH($C1259,'Policy Characteristics'!$C:$C,0)))</f>
        <v>Cross-Sector</v>
      </c>
      <c r="B1259" s="284" t="str">
        <f>IF(ISBLANK(INDEX('Policy Characteristics'!B:B,MATCH($C1259,'Policy Characteristics'!$C:$C,0))),"",INDEX('Policy Characteristics'!B:B,MATCH($C1259,'Policy Characteristics'!$C:$C,0)))</f>
        <v>Carbon Price</v>
      </c>
      <c r="C1259" s="275" t="str">
        <f t="shared" ref="C1259:C1262" si="51">C$1257</f>
        <v>Additional Carbon Tax Rate</v>
      </c>
      <c r="D1259" s="47" t="s">
        <v>335</v>
      </c>
      <c r="E1259" s="47"/>
      <c r="F1259" s="47" t="s">
        <v>339</v>
      </c>
      <c r="G1259" s="47"/>
      <c r="H1259" s="44">
        <v>173</v>
      </c>
      <c r="I1259" s="346" t="s">
        <v>43</v>
      </c>
      <c r="J1259" s="276" t="str">
        <f>IF(ISBLANK(INDEX('Policy Characteristics'!D:D,MATCH($C1259,'Policy Characteristics'!$C:$C,0))),"",INDEX('Policy Characteristics'!D:D,MATCH($C1259,'Policy Characteristics'!$C:$C,0)))</f>
        <v>Carbon Price</v>
      </c>
      <c r="K1259" s="275" t="str">
        <f>IF(ISBLANK(INDEX('Policy Characteristics'!E:E,MATCH($C1259,'Policy Characteristics'!$C:$C,0))),"",INDEX('Policy Characteristics'!E:E,MATCH($C1259,'Policy Characteristics'!$C:$C,0)))</f>
        <v>cross carbon tax</v>
      </c>
      <c r="L1259" s="275">
        <f>IF(ISBLANK(INDEX('Policy Characteristics'!F:F,MATCH($C1259,'Policy Characteristics'!$C:$C,0))),"",INDEX('Policy Characteristics'!F:F,MATCH($C1259,'Policy Characteristics'!$C:$C,0)))</f>
        <v>0</v>
      </c>
      <c r="M1259" s="275">
        <f>IF(ISBLANK(INDEX('Policy Characteristics'!G:G,MATCH($C1259,'Policy Characteristics'!$C:$C,0))),"",INDEX('Policy Characteristics'!G:G,MATCH($C1259,'Policy Characteristics'!$C:$C,0)))</f>
        <v>300</v>
      </c>
      <c r="N1259" s="275">
        <f>IF(ISBLANK(INDEX('Policy Characteristics'!H:H,MATCH($C1259,'Policy Characteristics'!$C:$C,0))),"",INDEX('Policy Characteristics'!H:H,MATCH($C1259,'Policy Characteristics'!$C:$C,0)))</f>
        <v>5</v>
      </c>
      <c r="O1259" s="275" t="str">
        <f>IF(ISBLANK(INDEX('Policy Characteristics'!I:I,MATCH($C1259,'Policy Characteristics'!$C:$C,0))),"",INDEX('Policy Characteristics'!I:I,MATCH($C1259,'Policy Characteristics'!$C:$C,0)))</f>
        <v>$/metric ton CO2e</v>
      </c>
      <c r="P1259" s="275" t="str">
        <f>IF(ISBLANK(INDEX('Policy Characteristics'!J:J,MATCH($C1259,'Policy Characteristics'!$C:$C,0))),"",INDEX('Policy Characteristics'!J:J,MATCH($C1259,'Policy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9" s="275" t="str">
        <f>IF(ISBLANK(INDEX('Policy Characteristics'!K:K,MATCH($C1259,'Policy Characteristics'!$C:$C,0))),"",INDEX('Policy Characteristics'!K:K,MATCH($C1259,'Policy Characteristics'!$C:$C,0)))</f>
        <v>fuels.html#carbon-tax</v>
      </c>
      <c r="R1259" s="275" t="str">
        <f>IF(ISBLANK(INDEX('Policy Characteristics'!L:L,MATCH($C1259,'Policy Characteristics'!$C:$C,0))),"",INDEX('Policy Characteristics'!L:L,MATCH($C1259,'Policy Characteristics'!$C:$C,0)))</f>
        <v>carbon-tax.html</v>
      </c>
    </row>
    <row r="1260" spans="1:18" s="4" customFormat="1" x14ac:dyDescent="0.25">
      <c r="A1260" s="275" t="str">
        <f>IF(ISBLANK(INDEX('Policy Characteristics'!A:A,MATCH($C1260,'Policy Characteristics'!$C:$C,0))),"",INDEX('Policy Characteristics'!A:A,MATCH($C1260,'Policy Characteristics'!$C:$C,0)))</f>
        <v>Cross-Sector</v>
      </c>
      <c r="B1260" s="284" t="str">
        <f>IF(ISBLANK(INDEX('Policy Characteristics'!B:B,MATCH($C1260,'Policy Characteristics'!$C:$C,0))),"",INDEX('Policy Characteristics'!B:B,MATCH($C1260,'Policy Characteristics'!$C:$C,0)))</f>
        <v>Carbon Price</v>
      </c>
      <c r="C1260" s="275" t="str">
        <f t="shared" si="51"/>
        <v>Additional Carbon Tax Rate</v>
      </c>
      <c r="D1260" s="47" t="s">
        <v>336</v>
      </c>
      <c r="E1260" s="47"/>
      <c r="F1260" s="47" t="s">
        <v>340</v>
      </c>
      <c r="G1260" s="47"/>
      <c r="H1260" s="44">
        <v>174</v>
      </c>
      <c r="I1260" s="346" t="s">
        <v>43</v>
      </c>
      <c r="J1260" s="276" t="str">
        <f>IF(ISBLANK(INDEX('Policy Characteristics'!D:D,MATCH($C1260,'Policy Characteristics'!$C:$C,0))),"",INDEX('Policy Characteristics'!D:D,MATCH($C1260,'Policy Characteristics'!$C:$C,0)))</f>
        <v>Carbon Price</v>
      </c>
      <c r="K1260" s="275" t="str">
        <f>IF(ISBLANK(INDEX('Policy Characteristics'!E:E,MATCH($C1260,'Policy Characteristics'!$C:$C,0))),"",INDEX('Policy Characteristics'!E:E,MATCH($C1260,'Policy Characteristics'!$C:$C,0)))</f>
        <v>cross carbon tax</v>
      </c>
      <c r="L1260" s="275">
        <f>IF(ISBLANK(INDEX('Policy Characteristics'!F:F,MATCH($C1260,'Policy Characteristics'!$C:$C,0))),"",INDEX('Policy Characteristics'!F:F,MATCH($C1260,'Policy Characteristics'!$C:$C,0)))</f>
        <v>0</v>
      </c>
      <c r="M1260" s="275">
        <f>IF(ISBLANK(INDEX('Policy Characteristics'!G:G,MATCH($C1260,'Policy Characteristics'!$C:$C,0))),"",INDEX('Policy Characteristics'!G:G,MATCH($C1260,'Policy Characteristics'!$C:$C,0)))</f>
        <v>300</v>
      </c>
      <c r="N1260" s="275">
        <f>IF(ISBLANK(INDEX('Policy Characteristics'!H:H,MATCH($C1260,'Policy Characteristics'!$C:$C,0))),"",INDEX('Policy Characteristics'!H:H,MATCH($C1260,'Policy Characteristics'!$C:$C,0)))</f>
        <v>5</v>
      </c>
      <c r="O1260" s="275" t="str">
        <f>IF(ISBLANK(INDEX('Policy Characteristics'!I:I,MATCH($C1260,'Policy Characteristics'!$C:$C,0))),"",INDEX('Policy Characteristics'!I:I,MATCH($C1260,'Policy Characteristics'!$C:$C,0)))</f>
        <v>$/metric ton CO2e</v>
      </c>
      <c r="P1260" s="275" t="str">
        <f>IF(ISBLANK(INDEX('Policy Characteristics'!J:J,MATCH($C1260,'Policy Characteristics'!$C:$C,0))),"",INDEX('Policy Characteristics'!J:J,MATCH($C1260,'Policy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0" s="275" t="str">
        <f>IF(ISBLANK(INDEX('Policy Characteristics'!K:K,MATCH($C1260,'Policy Characteristics'!$C:$C,0))),"",INDEX('Policy Characteristics'!K:K,MATCH($C1260,'Policy Characteristics'!$C:$C,0)))</f>
        <v>fuels.html#carbon-tax</v>
      </c>
      <c r="R1260" s="275" t="str">
        <f>IF(ISBLANK(INDEX('Policy Characteristics'!L:L,MATCH($C1260,'Policy Characteristics'!$C:$C,0))),"",INDEX('Policy Characteristics'!L:L,MATCH($C1260,'Policy Characteristics'!$C:$C,0)))</f>
        <v>carbon-tax.html</v>
      </c>
    </row>
    <row r="1261" spans="1:18" s="4" customFormat="1" x14ac:dyDescent="0.25">
      <c r="A1261" s="275" t="str">
        <f>IF(ISBLANK(INDEX('Policy Characteristics'!A:A,MATCH($C1261,'Policy Characteristics'!$C:$C,0))),"",INDEX('Policy Characteristics'!A:A,MATCH($C1261,'Policy Characteristics'!$C:$C,0)))</f>
        <v>Cross-Sector</v>
      </c>
      <c r="B1261" s="284" t="str">
        <f>IF(ISBLANK(INDEX('Policy Characteristics'!B:B,MATCH($C1261,'Policy Characteristics'!$C:$C,0))),"",INDEX('Policy Characteristics'!B:B,MATCH($C1261,'Policy Characteristics'!$C:$C,0)))</f>
        <v>Carbon Price</v>
      </c>
      <c r="C1261" s="275" t="str">
        <f t="shared" si="51"/>
        <v>Additional Carbon Tax Rate</v>
      </c>
      <c r="D1261" s="47" t="s">
        <v>334</v>
      </c>
      <c r="E1261" s="47"/>
      <c r="F1261" s="47" t="s">
        <v>338</v>
      </c>
      <c r="G1261" s="47"/>
      <c r="H1261" s="44">
        <v>175</v>
      </c>
      <c r="I1261" s="346" t="s">
        <v>43</v>
      </c>
      <c r="J1261" s="276" t="str">
        <f>IF(ISBLANK(INDEX('Policy Characteristics'!D:D,MATCH($C1261,'Policy Characteristics'!$C:$C,0))),"",INDEX('Policy Characteristics'!D:D,MATCH($C1261,'Policy Characteristics'!$C:$C,0)))</f>
        <v>Carbon Price</v>
      </c>
      <c r="K1261" s="275" t="str">
        <f>IF(ISBLANK(INDEX('Policy Characteristics'!E:E,MATCH($C1261,'Policy Characteristics'!$C:$C,0))),"",INDEX('Policy Characteristics'!E:E,MATCH($C1261,'Policy Characteristics'!$C:$C,0)))</f>
        <v>cross carbon tax</v>
      </c>
      <c r="L1261" s="275">
        <f>IF(ISBLANK(INDEX('Policy Characteristics'!F:F,MATCH($C1261,'Policy Characteristics'!$C:$C,0))),"",INDEX('Policy Characteristics'!F:F,MATCH($C1261,'Policy Characteristics'!$C:$C,0)))</f>
        <v>0</v>
      </c>
      <c r="M1261" s="275">
        <f>IF(ISBLANK(INDEX('Policy Characteristics'!G:G,MATCH($C1261,'Policy Characteristics'!$C:$C,0))),"",INDEX('Policy Characteristics'!G:G,MATCH($C1261,'Policy Characteristics'!$C:$C,0)))</f>
        <v>300</v>
      </c>
      <c r="N1261" s="275">
        <f>IF(ISBLANK(INDEX('Policy Characteristics'!H:H,MATCH($C1261,'Policy Characteristics'!$C:$C,0))),"",INDEX('Policy Characteristics'!H:H,MATCH($C1261,'Policy Characteristics'!$C:$C,0)))</f>
        <v>5</v>
      </c>
      <c r="O1261" s="275" t="str">
        <f>IF(ISBLANK(INDEX('Policy Characteristics'!I:I,MATCH($C1261,'Policy Characteristics'!$C:$C,0))),"",INDEX('Policy Characteristics'!I:I,MATCH($C1261,'Policy Characteristics'!$C:$C,0)))</f>
        <v>$/metric ton CO2e</v>
      </c>
      <c r="P1261" s="275" t="str">
        <f>IF(ISBLANK(INDEX('Policy Characteristics'!J:J,MATCH($C1261,'Policy Characteristics'!$C:$C,0))),"",INDEX('Policy Characteristics'!J:J,MATCH($C1261,'Policy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1" s="275" t="str">
        <f>IF(ISBLANK(INDEX('Policy Characteristics'!K:K,MATCH($C1261,'Policy Characteristics'!$C:$C,0))),"",INDEX('Policy Characteristics'!K:K,MATCH($C1261,'Policy Characteristics'!$C:$C,0)))</f>
        <v>fuels.html#carbon-tax</v>
      </c>
      <c r="R1261" s="275" t="str">
        <f>IF(ISBLANK(INDEX('Policy Characteristics'!L:L,MATCH($C1261,'Policy Characteristics'!$C:$C,0))),"",INDEX('Policy Characteristics'!L:L,MATCH($C1261,'Policy Characteristics'!$C:$C,0)))</f>
        <v>carbon-tax.html</v>
      </c>
    </row>
    <row r="1262" spans="1:18" s="4" customFormat="1" x14ac:dyDescent="0.25">
      <c r="A1262" s="275" t="str">
        <f>IF(ISBLANK(INDEX('Policy Characteristics'!A:A,MATCH($C1262,'Policy Characteristics'!$C:$C,0))),"",INDEX('Policy Characteristics'!A:A,MATCH($C1262,'Policy Characteristics'!$C:$C,0)))</f>
        <v>Cross-Sector</v>
      </c>
      <c r="B1262" s="284" t="str">
        <f>IF(ISBLANK(INDEX('Policy Characteristics'!B:B,MATCH($C1262,'Policy Characteristics'!$C:$C,0))),"",INDEX('Policy Characteristics'!B:B,MATCH($C1262,'Policy Characteristics'!$C:$C,0)))</f>
        <v>Carbon Price</v>
      </c>
      <c r="C1262" s="275" t="str">
        <f t="shared" si="51"/>
        <v>Additional Carbon Tax Rate</v>
      </c>
      <c r="D1262" s="47" t="s">
        <v>2497</v>
      </c>
      <c r="E1262" s="47"/>
      <c r="F1262" s="47" t="s">
        <v>2884</v>
      </c>
      <c r="G1262" s="47"/>
      <c r="H1262" s="44">
        <v>544</v>
      </c>
      <c r="I1262" s="346" t="s">
        <v>43</v>
      </c>
      <c r="J1262" s="276" t="str">
        <f>IF(ISBLANK(INDEX('Policy Characteristics'!D:D,MATCH($C1262,'Policy Characteristics'!$C:$C,0))),"",INDEX('Policy Characteristics'!D:D,MATCH($C1262,'Policy Characteristics'!$C:$C,0)))</f>
        <v>Carbon Price</v>
      </c>
      <c r="K1262" s="275" t="str">
        <f>IF(ISBLANK(INDEX('Policy Characteristics'!E:E,MATCH($C1262,'Policy Characteristics'!$C:$C,0))),"",INDEX('Policy Characteristics'!E:E,MATCH($C1262,'Policy Characteristics'!$C:$C,0)))</f>
        <v>cross carbon tax</v>
      </c>
      <c r="L1262" s="275">
        <f>IF(ISBLANK(INDEX('Policy Characteristics'!F:F,MATCH($C1262,'Policy Characteristics'!$C:$C,0))),"",INDEX('Policy Characteristics'!F:F,MATCH($C1262,'Policy Characteristics'!$C:$C,0)))</f>
        <v>0</v>
      </c>
      <c r="M1262" s="275">
        <f>IF(ISBLANK(INDEX('Policy Characteristics'!G:G,MATCH($C1262,'Policy Characteristics'!$C:$C,0))),"",INDEX('Policy Characteristics'!G:G,MATCH($C1262,'Policy Characteristics'!$C:$C,0)))</f>
        <v>300</v>
      </c>
      <c r="N1262" s="275">
        <f>IF(ISBLANK(INDEX('Policy Characteristics'!H:H,MATCH($C1262,'Policy Characteristics'!$C:$C,0))),"",INDEX('Policy Characteristics'!H:H,MATCH($C1262,'Policy Characteristics'!$C:$C,0)))</f>
        <v>5</v>
      </c>
      <c r="O1262" s="275" t="str">
        <f>IF(ISBLANK(INDEX('Policy Characteristics'!I:I,MATCH($C1262,'Policy Characteristics'!$C:$C,0))),"",INDEX('Policy Characteristics'!I:I,MATCH($C1262,'Policy Characteristics'!$C:$C,0)))</f>
        <v>$/metric ton CO2e</v>
      </c>
      <c r="P1262" s="275" t="str">
        <f>IF(ISBLANK(INDEX('Policy Characteristics'!J:J,MATCH($C1262,'Policy Characteristics'!$C:$C,0))),"",INDEX('Policy Characteristics'!J:J,MATCH($C1262,'Policy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2" s="275" t="str">
        <f>IF(ISBLANK(INDEX('Policy Characteristics'!K:K,MATCH($C1262,'Policy Characteristics'!$C:$C,0))),"",INDEX('Policy Characteristics'!K:K,MATCH($C1262,'Policy Characteristics'!$C:$C,0)))</f>
        <v>fuels.html#carbon-tax</v>
      </c>
      <c r="R1262" s="275" t="str">
        <f>IF(ISBLANK(INDEX('Policy Characteristics'!L:L,MATCH($C1262,'Policy Characteristics'!$C:$C,0))),"",INDEX('Policy Characteristics'!L:L,MATCH($C1262,'Policy Characteristics'!$C:$C,0)))</f>
        <v>carbon-tax.html</v>
      </c>
    </row>
    <row r="1263" spans="1:18" s="4" customFormat="1" x14ac:dyDescent="0.25">
      <c r="A1263" s="275" t="str">
        <f>IF(ISBLANK(INDEX('Policy Characteristics'!A:A,MATCH($C1263,'Policy Characteristics'!$C:$C,0))),"",INDEX('Policy Characteristics'!A:A,MATCH($C1263,'Policy Characteristics'!$C:$C,0)))</f>
        <v>Cross-Sector</v>
      </c>
      <c r="B1263" s="284" t="str">
        <f>IF(ISBLANK(INDEX('Policy Characteristics'!B:B,MATCH($C1263,'Policy Characteristics'!$C:$C,0))),"",INDEX('Policy Characteristics'!B:B,MATCH($C1263,'Policy Characteristics'!$C:$C,0)))</f>
        <v>End Existing Subsidies</v>
      </c>
      <c r="C1263" t="s">
        <v>140</v>
      </c>
      <c r="D1263" s="47" t="s">
        <v>52</v>
      </c>
      <c r="E1263" s="47"/>
      <c r="F1263" s="47" t="s">
        <v>93</v>
      </c>
      <c r="G1263" s="47"/>
      <c r="H1263" s="44">
        <v>706</v>
      </c>
      <c r="I1263" s="347" t="s">
        <v>44</v>
      </c>
      <c r="J1263" s="276" t="str">
        <f>IF(ISBLANK(INDEX('Policy Characteristics'!D:D,MATCH($C1263,'Policy Characteristics'!$C:$C,0))),"",INDEX('Policy Characteristics'!D:D,MATCH($C1263,'Policy Characteristics'!$C:$C,0)))</f>
        <v>End Existing Subsidies</v>
      </c>
      <c r="K1263" s="275" t="str">
        <f>IF(ISBLANK(INDEX('Policy Characteristics'!E:E,MATCH($C1263,'Policy Characteristics'!$C:$C,0))),"",INDEX('Policy Characteristics'!E:E,MATCH($C1263,'Policy Characteristics'!$C:$C,0)))</f>
        <v>cross reduce BAU subsidies</v>
      </c>
      <c r="L1263" s="283">
        <f>IF(ISBLANK(INDEX('Policy Characteristics'!F:F,MATCH($C1263,'Policy Characteristics'!$C:$C,0))),"",INDEX('Policy Characteristics'!F:F,MATCH($C1263,'Policy Characteristics'!$C:$C,0)))</f>
        <v>0</v>
      </c>
      <c r="M1263" s="283">
        <f>IF(ISBLANK(INDEX('Policy Characteristics'!G:G,MATCH($C1263,'Policy Characteristics'!$C:$C,0))),"",INDEX('Policy Characteristics'!G:G,MATCH($C1263,'Policy Characteristics'!$C:$C,0)))</f>
        <v>1</v>
      </c>
      <c r="N1263" s="283">
        <f>IF(ISBLANK(INDEX('Policy Characteristics'!H:H,MATCH($C1263,'Policy Characteristics'!$C:$C,0))),"",INDEX('Policy Characteristics'!H:H,MATCH($C1263,'Policy Characteristics'!$C:$C,0)))</f>
        <v>0.01</v>
      </c>
      <c r="O1263" s="275" t="str">
        <f>IF(ISBLANK(INDEX('Policy Characteristics'!I:I,MATCH($C1263,'Policy Characteristics'!$C:$C,0))),"",INDEX('Policy Characteristics'!I:I,MATCH($C1263,'Policy Characteristics'!$C:$C,0)))</f>
        <v>% reduction in BAU subsidies</v>
      </c>
      <c r="P1263" s="275" t="str">
        <f>IF(ISBLANK(INDEX('Policy Characteristics'!J:J,MATCH($C1263,'Policy Characteristics'!$C:$C,0))),"",INDEX('Policy Characteristics'!J:J,MATCH($C1263,'Policy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3" s="275" t="str">
        <f>IF(ISBLANK(INDEX('Policy Characteristics'!K:K,MATCH($C1263,'Policy Characteristics'!$C:$C,0))),"",INDEX('Policy Characteristics'!K:K,MATCH($C1263,'Policy Characteristics'!$C:$C,0)))</f>
        <v>fuels.html#end-subsidies</v>
      </c>
      <c r="R1263" s="275" t="str">
        <f>IF(ISBLANK(INDEX('Policy Characteristics'!L:L,MATCH($C1263,'Policy Characteristics'!$C:$C,0))),"",INDEX('Policy Characteristics'!L:L,MATCH($C1263,'Policy Characteristics'!$C:$C,0)))</f>
        <v>end-existing-subsidies.html</v>
      </c>
    </row>
    <row r="1264" spans="1:18" s="4" customFormat="1" x14ac:dyDescent="0.25">
      <c r="A1264" s="275" t="str">
        <f>IF(ISBLANK(INDEX('Policy Characteristics'!A:A,MATCH($C1264,'Policy Characteristics'!$C:$C,0))),"",INDEX('Policy Characteristics'!A:A,MATCH($C1264,'Policy Characteristics'!$C:$C,0)))</f>
        <v>Cross-Sector</v>
      </c>
      <c r="B1264" s="284" t="str">
        <f>IF(ISBLANK(INDEX('Policy Characteristics'!B:B,MATCH($C1264,'Policy Characteristics'!$C:$C,0))),"",INDEX('Policy Characteristics'!B:B,MATCH($C1264,'Policy Characteristics'!$C:$C,0)))</f>
        <v>End Existing Subsidies</v>
      </c>
      <c r="C1264" s="275" t="str">
        <f t="shared" ref="C1264:C1279" si="52">C$1263</f>
        <v>Percent Reduction in BAU Subsidies</v>
      </c>
      <c r="D1264" s="6" t="s">
        <v>450</v>
      </c>
      <c r="E1264" s="47"/>
      <c r="F1264" s="6" t="s">
        <v>447</v>
      </c>
      <c r="G1264" s="47"/>
      <c r="H1264" s="44">
        <v>69</v>
      </c>
      <c r="I1264" s="347" t="s">
        <v>43</v>
      </c>
      <c r="J1264" s="276" t="str">
        <f>IF(ISBLANK(INDEX('Policy Characteristics'!D:D,MATCH($C1264,'Policy Characteristics'!$C:$C,0))),"",INDEX('Policy Characteristics'!D:D,MATCH($C1264,'Policy Characteristics'!$C:$C,0)))</f>
        <v>End Existing Subsidies</v>
      </c>
      <c r="K1264" s="275" t="str">
        <f>IF(ISBLANK(INDEX('Policy Characteristics'!E:E,MATCH($C1264,'Policy Characteristics'!$C:$C,0))),"",INDEX('Policy Characteristics'!E:E,MATCH($C1264,'Policy Characteristics'!$C:$C,0)))</f>
        <v>cross reduce BAU subsidies</v>
      </c>
      <c r="L1264" s="283">
        <f>IF(ISBLANK(INDEX('Policy Characteristics'!F:F,MATCH($C1264,'Policy Characteristics'!$C:$C,0))),"",INDEX('Policy Characteristics'!F:F,MATCH($C1264,'Policy Characteristics'!$C:$C,0)))</f>
        <v>0</v>
      </c>
      <c r="M1264" s="283">
        <f>IF(ISBLANK(INDEX('Policy Characteristics'!G:G,MATCH($C1264,'Policy Characteristics'!$C:$C,0))),"",INDEX('Policy Characteristics'!G:G,MATCH($C1264,'Policy Characteristics'!$C:$C,0)))</f>
        <v>1</v>
      </c>
      <c r="N1264" s="283">
        <f>IF(ISBLANK(INDEX('Policy Characteristics'!H:H,MATCH($C1264,'Policy Characteristics'!$C:$C,0))),"",INDEX('Policy Characteristics'!H:H,MATCH($C1264,'Policy Characteristics'!$C:$C,0)))</f>
        <v>0.01</v>
      </c>
      <c r="O1264" s="275" t="str">
        <f>IF(ISBLANK(INDEX('Policy Characteristics'!I:I,MATCH($C1264,'Policy Characteristics'!$C:$C,0))),"",INDEX('Policy Characteristics'!I:I,MATCH($C1264,'Policy Characteristics'!$C:$C,0)))</f>
        <v>% reduction in BAU subsidies</v>
      </c>
      <c r="P1264" s="275" t="str">
        <f>IF(ISBLANK(INDEX('Policy Characteristics'!J:J,MATCH($C1264,'Policy Characteristics'!$C:$C,0))),"",INDEX('Policy Characteristics'!J:J,MATCH($C1264,'Policy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4" s="275" t="str">
        <f>IF(ISBLANK(INDEX('Policy Characteristics'!K:K,MATCH($C1264,'Policy Characteristics'!$C:$C,0))),"",INDEX('Policy Characteristics'!K:K,MATCH($C1264,'Policy Characteristics'!$C:$C,0)))</f>
        <v>fuels.html#end-subsidies</v>
      </c>
      <c r="R1264" s="275" t="str">
        <f>IF(ISBLANK(INDEX('Policy Characteristics'!L:L,MATCH($C1264,'Policy Characteristics'!$C:$C,0))),"",INDEX('Policy Characteristics'!L:L,MATCH($C1264,'Policy Characteristics'!$C:$C,0)))</f>
        <v>end-existing-subsidies.html</v>
      </c>
    </row>
    <row r="1265" spans="1:18" s="4" customFormat="1" x14ac:dyDescent="0.25">
      <c r="A1265" s="275" t="str">
        <f>IF(ISBLANK(INDEX('Policy Characteristics'!A:A,MATCH($C1265,'Policy Characteristics'!$C:$C,0))),"",INDEX('Policy Characteristics'!A:A,MATCH($C1265,'Policy Characteristics'!$C:$C,0)))</f>
        <v>Cross-Sector</v>
      </c>
      <c r="B1265" s="284" t="str">
        <f>IF(ISBLANK(INDEX('Policy Characteristics'!B:B,MATCH($C1265,'Policy Characteristics'!$C:$C,0))),"",INDEX('Policy Characteristics'!B:B,MATCH($C1265,'Policy Characteristics'!$C:$C,0)))</f>
        <v>End Existing Subsidies</v>
      </c>
      <c r="C1265" s="275" t="str">
        <f t="shared" si="52"/>
        <v>Percent Reduction in BAU Subsidies</v>
      </c>
      <c r="D1265" s="6" t="s">
        <v>46</v>
      </c>
      <c r="E1265" s="47"/>
      <c r="F1265" s="6" t="s">
        <v>87</v>
      </c>
      <c r="G1265" s="47"/>
      <c r="H1265" s="44">
        <v>70</v>
      </c>
      <c r="I1265" s="347" t="s">
        <v>43</v>
      </c>
      <c r="J1265" s="276" t="str">
        <f>IF(ISBLANK(INDEX('Policy Characteristics'!D:D,MATCH($C1265,'Policy Characteristics'!$C:$C,0))),"",INDEX('Policy Characteristics'!D:D,MATCH($C1265,'Policy Characteristics'!$C:$C,0)))</f>
        <v>End Existing Subsidies</v>
      </c>
      <c r="K1265" s="275" t="str">
        <f>IF(ISBLANK(INDEX('Policy Characteristics'!E:E,MATCH($C1265,'Policy Characteristics'!$C:$C,0))),"",INDEX('Policy Characteristics'!E:E,MATCH($C1265,'Policy Characteristics'!$C:$C,0)))</f>
        <v>cross reduce BAU subsidies</v>
      </c>
      <c r="L1265" s="283">
        <f>IF(ISBLANK(INDEX('Policy Characteristics'!F:F,MATCH($C1265,'Policy Characteristics'!$C:$C,0))),"",INDEX('Policy Characteristics'!F:F,MATCH($C1265,'Policy Characteristics'!$C:$C,0)))</f>
        <v>0</v>
      </c>
      <c r="M1265" s="283">
        <f>IF(ISBLANK(INDEX('Policy Characteristics'!G:G,MATCH($C1265,'Policy Characteristics'!$C:$C,0))),"",INDEX('Policy Characteristics'!G:G,MATCH($C1265,'Policy Characteristics'!$C:$C,0)))</f>
        <v>1</v>
      </c>
      <c r="N1265" s="283">
        <f>IF(ISBLANK(INDEX('Policy Characteristics'!H:H,MATCH($C1265,'Policy Characteristics'!$C:$C,0))),"",INDEX('Policy Characteristics'!H:H,MATCH($C1265,'Policy Characteristics'!$C:$C,0)))</f>
        <v>0.01</v>
      </c>
      <c r="O1265" s="275" t="str">
        <f>IF(ISBLANK(INDEX('Policy Characteristics'!I:I,MATCH($C1265,'Policy Characteristics'!$C:$C,0))),"",INDEX('Policy Characteristics'!I:I,MATCH($C1265,'Policy Characteristics'!$C:$C,0)))</f>
        <v>% reduction in BAU subsidies</v>
      </c>
      <c r="P1265" s="275" t="str">
        <f>IF(ISBLANK(INDEX('Policy Characteristics'!J:J,MATCH($C1265,'Policy Characteristics'!$C:$C,0))),"",INDEX('Policy Characteristics'!J:J,MATCH($C1265,'Policy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5" s="275" t="str">
        <f>IF(ISBLANK(INDEX('Policy Characteristics'!K:K,MATCH($C1265,'Policy Characteristics'!$C:$C,0))),"",INDEX('Policy Characteristics'!K:K,MATCH($C1265,'Policy Characteristics'!$C:$C,0)))</f>
        <v>fuels.html#end-subsidies</v>
      </c>
      <c r="R1265" s="275" t="str">
        <f>IF(ISBLANK(INDEX('Policy Characteristics'!L:L,MATCH($C1265,'Policy Characteristics'!$C:$C,0))),"",INDEX('Policy Characteristics'!L:L,MATCH($C1265,'Policy Characteristics'!$C:$C,0)))</f>
        <v>end-existing-subsidies.html</v>
      </c>
    </row>
    <row r="1266" spans="1:18" s="4" customFormat="1" x14ac:dyDescent="0.25">
      <c r="A1266" s="275" t="str">
        <f>IF(ISBLANK(INDEX('Policy Characteristics'!A:A,MATCH($C1266,'Policy Characteristics'!$C:$C,0))),"",INDEX('Policy Characteristics'!A:A,MATCH($C1266,'Policy Characteristics'!$C:$C,0)))</f>
        <v>Cross-Sector</v>
      </c>
      <c r="B1266" s="284" t="str">
        <f>IF(ISBLANK(INDEX('Policy Characteristics'!B:B,MATCH($C1266,'Policy Characteristics'!$C:$C,0))),"",INDEX('Policy Characteristics'!B:B,MATCH($C1266,'Policy Characteristics'!$C:$C,0)))</f>
        <v>End Existing Subsidies</v>
      </c>
      <c r="C1266" s="275" t="str">
        <f t="shared" si="52"/>
        <v>Percent Reduction in BAU Subsidies</v>
      </c>
      <c r="D1266" s="6" t="s">
        <v>47</v>
      </c>
      <c r="E1266" s="47"/>
      <c r="F1266" s="6" t="s">
        <v>88</v>
      </c>
      <c r="G1266" s="47"/>
      <c r="H1266" s="44">
        <v>71</v>
      </c>
      <c r="I1266" s="347" t="s">
        <v>43</v>
      </c>
      <c r="J1266" s="276" t="str">
        <f>IF(ISBLANK(INDEX('Policy Characteristics'!D:D,MATCH($C1266,'Policy Characteristics'!$C:$C,0))),"",INDEX('Policy Characteristics'!D:D,MATCH($C1266,'Policy Characteristics'!$C:$C,0)))</f>
        <v>End Existing Subsidies</v>
      </c>
      <c r="K1266" s="275" t="str">
        <f>IF(ISBLANK(INDEX('Policy Characteristics'!E:E,MATCH($C1266,'Policy Characteristics'!$C:$C,0))),"",INDEX('Policy Characteristics'!E:E,MATCH($C1266,'Policy Characteristics'!$C:$C,0)))</f>
        <v>cross reduce BAU subsidies</v>
      </c>
      <c r="L1266" s="283">
        <f>IF(ISBLANK(INDEX('Policy Characteristics'!F:F,MATCH($C1266,'Policy Characteristics'!$C:$C,0))),"",INDEX('Policy Characteristics'!F:F,MATCH($C1266,'Policy Characteristics'!$C:$C,0)))</f>
        <v>0</v>
      </c>
      <c r="M1266" s="283">
        <f>IF(ISBLANK(INDEX('Policy Characteristics'!G:G,MATCH($C1266,'Policy Characteristics'!$C:$C,0))),"",INDEX('Policy Characteristics'!G:G,MATCH($C1266,'Policy Characteristics'!$C:$C,0)))</f>
        <v>1</v>
      </c>
      <c r="N1266" s="283">
        <f>IF(ISBLANK(INDEX('Policy Characteristics'!H:H,MATCH($C1266,'Policy Characteristics'!$C:$C,0))),"",INDEX('Policy Characteristics'!H:H,MATCH($C1266,'Policy Characteristics'!$C:$C,0)))</f>
        <v>0.01</v>
      </c>
      <c r="O1266" s="275" t="str">
        <f>IF(ISBLANK(INDEX('Policy Characteristics'!I:I,MATCH($C1266,'Policy Characteristics'!$C:$C,0))),"",INDEX('Policy Characteristics'!I:I,MATCH($C1266,'Policy Characteristics'!$C:$C,0)))</f>
        <v>% reduction in BAU subsidies</v>
      </c>
      <c r="P1266" s="275" t="str">
        <f>IF(ISBLANK(INDEX('Policy Characteristics'!J:J,MATCH($C1266,'Policy Characteristics'!$C:$C,0))),"",INDEX('Policy Characteristics'!J:J,MATCH($C1266,'Policy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6" s="275" t="str">
        <f>IF(ISBLANK(INDEX('Policy Characteristics'!K:K,MATCH($C1266,'Policy Characteristics'!$C:$C,0))),"",INDEX('Policy Characteristics'!K:K,MATCH($C1266,'Policy Characteristics'!$C:$C,0)))</f>
        <v>fuels.html#end-subsidies</v>
      </c>
      <c r="R1266" s="275" t="str">
        <f>IF(ISBLANK(INDEX('Policy Characteristics'!L:L,MATCH($C1266,'Policy Characteristics'!$C:$C,0))),"",INDEX('Policy Characteristics'!L:L,MATCH($C1266,'Policy Characteristics'!$C:$C,0)))</f>
        <v>end-existing-subsidies.html</v>
      </c>
    </row>
    <row r="1267" spans="1:18" s="4" customFormat="1" x14ac:dyDescent="0.25">
      <c r="A1267" s="275" t="str">
        <f>IF(ISBLANK(INDEX('Policy Characteristics'!A:A,MATCH($C1267,'Policy Characteristics'!$C:$C,0))),"",INDEX('Policy Characteristics'!A:A,MATCH($C1267,'Policy Characteristics'!$C:$C,0)))</f>
        <v>Cross-Sector</v>
      </c>
      <c r="B1267" s="284" t="str">
        <f>IF(ISBLANK(INDEX('Policy Characteristics'!B:B,MATCH($C1267,'Policy Characteristics'!$C:$C,0))),"",INDEX('Policy Characteristics'!B:B,MATCH($C1267,'Policy Characteristics'!$C:$C,0)))</f>
        <v>End Existing Subsidies</v>
      </c>
      <c r="C1267" s="275" t="str">
        <f t="shared" si="52"/>
        <v>Percent Reduction in BAU Subsidies</v>
      </c>
      <c r="D1267" s="6" t="s">
        <v>48</v>
      </c>
      <c r="E1267" s="47"/>
      <c r="F1267" s="6" t="s">
        <v>89</v>
      </c>
      <c r="G1267" s="47"/>
      <c r="H1267" s="44">
        <v>72</v>
      </c>
      <c r="I1267" s="347" t="s">
        <v>44</v>
      </c>
      <c r="J1267" s="276" t="str">
        <f>IF(ISBLANK(INDEX('Policy Characteristics'!D:D,MATCH($C1267,'Policy Characteristics'!$C:$C,0))),"",INDEX('Policy Characteristics'!D:D,MATCH($C1267,'Policy Characteristics'!$C:$C,0)))</f>
        <v>End Existing Subsidies</v>
      </c>
      <c r="K1267" s="275" t="str">
        <f>IF(ISBLANK(INDEX('Policy Characteristics'!E:E,MATCH($C1267,'Policy Characteristics'!$C:$C,0))),"",INDEX('Policy Characteristics'!E:E,MATCH($C1267,'Policy Characteristics'!$C:$C,0)))</f>
        <v>cross reduce BAU subsidies</v>
      </c>
      <c r="L1267" s="283">
        <f>IF(ISBLANK(INDEX('Policy Characteristics'!F:F,MATCH($C1267,'Policy Characteristics'!$C:$C,0))),"",INDEX('Policy Characteristics'!F:F,MATCH($C1267,'Policy Characteristics'!$C:$C,0)))</f>
        <v>0</v>
      </c>
      <c r="M1267" s="283">
        <f>IF(ISBLANK(INDEX('Policy Characteristics'!G:G,MATCH($C1267,'Policy Characteristics'!$C:$C,0))),"",INDEX('Policy Characteristics'!G:G,MATCH($C1267,'Policy Characteristics'!$C:$C,0)))</f>
        <v>1</v>
      </c>
      <c r="N1267" s="283">
        <f>IF(ISBLANK(INDEX('Policy Characteristics'!H:H,MATCH($C1267,'Policy Characteristics'!$C:$C,0))),"",INDEX('Policy Characteristics'!H:H,MATCH($C1267,'Policy Characteristics'!$C:$C,0)))</f>
        <v>0.01</v>
      </c>
      <c r="O1267" s="275" t="str">
        <f>IF(ISBLANK(INDEX('Policy Characteristics'!I:I,MATCH($C1267,'Policy Characteristics'!$C:$C,0))),"",INDEX('Policy Characteristics'!I:I,MATCH($C1267,'Policy Characteristics'!$C:$C,0)))</f>
        <v>% reduction in BAU subsidies</v>
      </c>
      <c r="P1267" s="275" t="str">
        <f>IF(ISBLANK(INDEX('Policy Characteristics'!J:J,MATCH($C1267,'Policy Characteristics'!$C:$C,0))),"",INDEX('Policy Characteristics'!J:J,MATCH($C1267,'Policy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7" s="275" t="str">
        <f>IF(ISBLANK(INDEX('Policy Characteristics'!K:K,MATCH($C1267,'Policy Characteristics'!$C:$C,0))),"",INDEX('Policy Characteristics'!K:K,MATCH($C1267,'Policy Characteristics'!$C:$C,0)))</f>
        <v>fuels.html#end-subsidies</v>
      </c>
      <c r="R1267" s="275" t="str">
        <f>IF(ISBLANK(INDEX('Policy Characteristics'!L:L,MATCH($C1267,'Policy Characteristics'!$C:$C,0))),"",INDEX('Policy Characteristics'!L:L,MATCH($C1267,'Policy Characteristics'!$C:$C,0)))</f>
        <v>end-existing-subsidies.html</v>
      </c>
    </row>
    <row r="1268" spans="1:18" s="4" customFormat="1" x14ac:dyDescent="0.25">
      <c r="A1268" s="275" t="str">
        <f>IF(ISBLANK(INDEX('Policy Characteristics'!A:A,MATCH($C1268,'Policy Characteristics'!$C:$C,0))),"",INDEX('Policy Characteristics'!A:A,MATCH($C1268,'Policy Characteristics'!$C:$C,0)))</f>
        <v>Cross-Sector</v>
      </c>
      <c r="B1268" s="284" t="str">
        <f>IF(ISBLANK(INDEX('Policy Characteristics'!B:B,MATCH($C1268,'Policy Characteristics'!$C:$C,0))),"",INDEX('Policy Characteristics'!B:B,MATCH($C1268,'Policy Characteristics'!$C:$C,0)))</f>
        <v>End Existing Subsidies</v>
      </c>
      <c r="C1268" s="275" t="str">
        <f t="shared" si="52"/>
        <v>Percent Reduction in BAU Subsidies</v>
      </c>
      <c r="D1268" s="6" t="s">
        <v>49</v>
      </c>
      <c r="E1268" s="47"/>
      <c r="F1268" s="6" t="s">
        <v>452</v>
      </c>
      <c r="G1268" s="47"/>
      <c r="H1268" s="44">
        <v>73</v>
      </c>
      <c r="I1268" s="347" t="s">
        <v>44</v>
      </c>
      <c r="J1268" s="276" t="str">
        <f>IF(ISBLANK(INDEX('Policy Characteristics'!D:D,MATCH($C1268,'Policy Characteristics'!$C:$C,0))),"",INDEX('Policy Characteristics'!D:D,MATCH($C1268,'Policy Characteristics'!$C:$C,0)))</f>
        <v>End Existing Subsidies</v>
      </c>
      <c r="K1268" s="275" t="str">
        <f>IF(ISBLANK(INDEX('Policy Characteristics'!E:E,MATCH($C1268,'Policy Characteristics'!$C:$C,0))),"",INDEX('Policy Characteristics'!E:E,MATCH($C1268,'Policy Characteristics'!$C:$C,0)))</f>
        <v>cross reduce BAU subsidies</v>
      </c>
      <c r="L1268" s="283">
        <f>IF(ISBLANK(INDEX('Policy Characteristics'!F:F,MATCH($C1268,'Policy Characteristics'!$C:$C,0))),"",INDEX('Policy Characteristics'!F:F,MATCH($C1268,'Policy Characteristics'!$C:$C,0)))</f>
        <v>0</v>
      </c>
      <c r="M1268" s="283">
        <f>IF(ISBLANK(INDEX('Policy Characteristics'!G:G,MATCH($C1268,'Policy Characteristics'!$C:$C,0))),"",INDEX('Policy Characteristics'!G:G,MATCH($C1268,'Policy Characteristics'!$C:$C,0)))</f>
        <v>1</v>
      </c>
      <c r="N1268" s="283">
        <f>IF(ISBLANK(INDEX('Policy Characteristics'!H:H,MATCH($C1268,'Policy Characteristics'!$C:$C,0))),"",INDEX('Policy Characteristics'!H:H,MATCH($C1268,'Policy Characteristics'!$C:$C,0)))</f>
        <v>0.01</v>
      </c>
      <c r="O1268" s="275" t="str">
        <f>IF(ISBLANK(INDEX('Policy Characteristics'!I:I,MATCH($C1268,'Policy Characteristics'!$C:$C,0))),"",INDEX('Policy Characteristics'!I:I,MATCH($C1268,'Policy Characteristics'!$C:$C,0)))</f>
        <v>% reduction in BAU subsidies</v>
      </c>
      <c r="P1268" s="275" t="str">
        <f>IF(ISBLANK(INDEX('Policy Characteristics'!J:J,MATCH($C1268,'Policy Characteristics'!$C:$C,0))),"",INDEX('Policy Characteristics'!J:J,MATCH($C1268,'Policy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8" s="275" t="str">
        <f>IF(ISBLANK(INDEX('Policy Characteristics'!K:K,MATCH($C1268,'Policy Characteristics'!$C:$C,0))),"",INDEX('Policy Characteristics'!K:K,MATCH($C1268,'Policy Characteristics'!$C:$C,0)))</f>
        <v>fuels.html#end-subsidies</v>
      </c>
      <c r="R1268" s="275" t="str">
        <f>IF(ISBLANK(INDEX('Policy Characteristics'!L:L,MATCH($C1268,'Policy Characteristics'!$C:$C,0))),"",INDEX('Policy Characteristics'!L:L,MATCH($C1268,'Policy Characteristics'!$C:$C,0)))</f>
        <v>end-existing-subsidies.html</v>
      </c>
    </row>
    <row r="1269" spans="1:18" s="4" customFormat="1" x14ac:dyDescent="0.25">
      <c r="A1269" s="275" t="str">
        <f>IF(ISBLANK(INDEX('Policy Characteristics'!A:A,MATCH($C1269,'Policy Characteristics'!$C:$C,0))),"",INDEX('Policy Characteristics'!A:A,MATCH($C1269,'Policy Characteristics'!$C:$C,0)))</f>
        <v>Cross-Sector</v>
      </c>
      <c r="B1269" s="284" t="str">
        <f>IF(ISBLANK(INDEX('Policy Characteristics'!B:B,MATCH($C1269,'Policy Characteristics'!$C:$C,0))),"",INDEX('Policy Characteristics'!B:B,MATCH($C1269,'Policy Characteristics'!$C:$C,0)))</f>
        <v>End Existing Subsidies</v>
      </c>
      <c r="C1269" s="275" t="str">
        <f t="shared" si="52"/>
        <v>Percent Reduction in BAU Subsidies</v>
      </c>
      <c r="D1269" s="6" t="s">
        <v>50</v>
      </c>
      <c r="E1269" s="47"/>
      <c r="F1269" s="6" t="s">
        <v>94</v>
      </c>
      <c r="G1269" s="47"/>
      <c r="H1269" s="44">
        <v>74</v>
      </c>
      <c r="I1269" s="347" t="s">
        <v>43</v>
      </c>
      <c r="J1269" s="276" t="str">
        <f>IF(ISBLANK(INDEX('Policy Characteristics'!D:D,MATCH($C1269,'Policy Characteristics'!$C:$C,0))),"",INDEX('Policy Characteristics'!D:D,MATCH($C1269,'Policy Characteristics'!$C:$C,0)))</f>
        <v>End Existing Subsidies</v>
      </c>
      <c r="K1269" s="275" t="str">
        <f>IF(ISBLANK(INDEX('Policy Characteristics'!E:E,MATCH($C1269,'Policy Characteristics'!$C:$C,0))),"",INDEX('Policy Characteristics'!E:E,MATCH($C1269,'Policy Characteristics'!$C:$C,0)))</f>
        <v>cross reduce BAU subsidies</v>
      </c>
      <c r="L1269" s="283">
        <f>IF(ISBLANK(INDEX('Policy Characteristics'!F:F,MATCH($C1269,'Policy Characteristics'!$C:$C,0))),"",INDEX('Policy Characteristics'!F:F,MATCH($C1269,'Policy Characteristics'!$C:$C,0)))</f>
        <v>0</v>
      </c>
      <c r="M1269" s="283">
        <f>IF(ISBLANK(INDEX('Policy Characteristics'!G:G,MATCH($C1269,'Policy Characteristics'!$C:$C,0))),"",INDEX('Policy Characteristics'!G:G,MATCH($C1269,'Policy Characteristics'!$C:$C,0)))</f>
        <v>1</v>
      </c>
      <c r="N1269" s="283">
        <f>IF(ISBLANK(INDEX('Policy Characteristics'!H:H,MATCH($C1269,'Policy Characteristics'!$C:$C,0))),"",INDEX('Policy Characteristics'!H:H,MATCH($C1269,'Policy Characteristics'!$C:$C,0)))</f>
        <v>0.01</v>
      </c>
      <c r="O1269" s="275" t="str">
        <f>IF(ISBLANK(INDEX('Policy Characteristics'!I:I,MATCH($C1269,'Policy Characteristics'!$C:$C,0))),"",INDEX('Policy Characteristics'!I:I,MATCH($C1269,'Policy Characteristics'!$C:$C,0)))</f>
        <v>% reduction in BAU subsidies</v>
      </c>
      <c r="P1269" s="275" t="str">
        <f>IF(ISBLANK(INDEX('Policy Characteristics'!J:J,MATCH($C1269,'Policy Characteristics'!$C:$C,0))),"",INDEX('Policy Characteristics'!J:J,MATCH($C1269,'Policy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9" s="275" t="str">
        <f>IF(ISBLANK(INDEX('Policy Characteristics'!K:K,MATCH($C1269,'Policy Characteristics'!$C:$C,0))),"",INDEX('Policy Characteristics'!K:K,MATCH($C1269,'Policy Characteristics'!$C:$C,0)))</f>
        <v>fuels.html#end-subsidies</v>
      </c>
      <c r="R1269" s="275" t="str">
        <f>IF(ISBLANK(INDEX('Policy Characteristics'!L:L,MATCH($C1269,'Policy Characteristics'!$C:$C,0))),"",INDEX('Policy Characteristics'!L:L,MATCH($C1269,'Policy Characteristics'!$C:$C,0)))</f>
        <v>end-existing-subsidies.html</v>
      </c>
    </row>
    <row r="1270" spans="1:18" s="4" customFormat="1" x14ac:dyDescent="0.25">
      <c r="A1270" s="275" t="str">
        <f>IF(ISBLANK(INDEX('Policy Characteristics'!A:A,MATCH($C1270,'Policy Characteristics'!$C:$C,0))),"",INDEX('Policy Characteristics'!A:A,MATCH($C1270,'Policy Characteristics'!$C:$C,0)))</f>
        <v>Cross-Sector</v>
      </c>
      <c r="B1270" s="284" t="str">
        <f>IF(ISBLANK(INDEX('Policy Characteristics'!B:B,MATCH($C1270,'Policy Characteristics'!$C:$C,0))),"",INDEX('Policy Characteristics'!B:B,MATCH($C1270,'Policy Characteristics'!$C:$C,0)))</f>
        <v>End Existing Subsidies</v>
      </c>
      <c r="C1270" s="275" t="str">
        <f t="shared" si="52"/>
        <v>Percent Reduction in BAU Subsidies</v>
      </c>
      <c r="D1270" s="6" t="s">
        <v>51</v>
      </c>
      <c r="E1270" s="47"/>
      <c r="F1270" s="6" t="s">
        <v>92</v>
      </c>
      <c r="G1270" s="47"/>
      <c r="H1270" s="44">
        <v>707</v>
      </c>
      <c r="I1270" s="347" t="s">
        <v>44</v>
      </c>
      <c r="J1270" s="276" t="str">
        <f>IF(ISBLANK(INDEX('Policy Characteristics'!D:D,MATCH($C1270,'Policy Characteristics'!$C:$C,0))),"",INDEX('Policy Characteristics'!D:D,MATCH($C1270,'Policy Characteristics'!$C:$C,0)))</f>
        <v>End Existing Subsidies</v>
      </c>
      <c r="K1270" s="275" t="str">
        <f>IF(ISBLANK(INDEX('Policy Characteristics'!E:E,MATCH($C1270,'Policy Characteristics'!$C:$C,0))),"",INDEX('Policy Characteristics'!E:E,MATCH($C1270,'Policy Characteristics'!$C:$C,0)))</f>
        <v>cross reduce BAU subsidies</v>
      </c>
      <c r="L1270" s="283">
        <f>IF(ISBLANK(INDEX('Policy Characteristics'!F:F,MATCH($C1270,'Policy Characteristics'!$C:$C,0))),"",INDEX('Policy Characteristics'!F:F,MATCH($C1270,'Policy Characteristics'!$C:$C,0)))</f>
        <v>0</v>
      </c>
      <c r="M1270" s="283">
        <f>IF(ISBLANK(INDEX('Policy Characteristics'!G:G,MATCH($C1270,'Policy Characteristics'!$C:$C,0))),"",INDEX('Policy Characteristics'!G:G,MATCH($C1270,'Policy Characteristics'!$C:$C,0)))</f>
        <v>1</v>
      </c>
      <c r="N1270" s="283">
        <f>IF(ISBLANK(INDEX('Policy Characteristics'!H:H,MATCH($C1270,'Policy Characteristics'!$C:$C,0))),"",INDEX('Policy Characteristics'!H:H,MATCH($C1270,'Policy Characteristics'!$C:$C,0)))</f>
        <v>0.01</v>
      </c>
      <c r="O1270" s="275" t="str">
        <f>IF(ISBLANK(INDEX('Policy Characteristics'!I:I,MATCH($C1270,'Policy Characteristics'!$C:$C,0))),"",INDEX('Policy Characteristics'!I:I,MATCH($C1270,'Policy Characteristics'!$C:$C,0)))</f>
        <v>% reduction in BAU subsidies</v>
      </c>
      <c r="P1270" s="275" t="str">
        <f>IF(ISBLANK(INDEX('Policy Characteristics'!J:J,MATCH($C1270,'Policy Characteristics'!$C:$C,0))),"",INDEX('Policy Characteristics'!J:J,MATCH($C1270,'Policy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0" s="275" t="str">
        <f>IF(ISBLANK(INDEX('Policy Characteristics'!K:K,MATCH($C1270,'Policy Characteristics'!$C:$C,0))),"",INDEX('Policy Characteristics'!K:K,MATCH($C1270,'Policy Characteristics'!$C:$C,0)))</f>
        <v>fuels.html#end-subsidies</v>
      </c>
      <c r="R1270" s="275" t="str">
        <f>IF(ISBLANK(INDEX('Policy Characteristics'!L:L,MATCH($C1270,'Policy Characteristics'!$C:$C,0))),"",INDEX('Policy Characteristics'!L:L,MATCH($C1270,'Policy Characteristics'!$C:$C,0)))</f>
        <v>end-existing-subsidies.html</v>
      </c>
    </row>
    <row r="1271" spans="1:18" s="4" customFormat="1" x14ac:dyDescent="0.25">
      <c r="A1271" s="275" t="str">
        <f>IF(ISBLANK(INDEX('Policy Characteristics'!A:A,MATCH($C1271,'Policy Characteristics'!$C:$C,0))),"",INDEX('Policy Characteristics'!A:A,MATCH($C1271,'Policy Characteristics'!$C:$C,0)))</f>
        <v>Cross-Sector</v>
      </c>
      <c r="B1271" s="284" t="str">
        <f>IF(ISBLANK(INDEX('Policy Characteristics'!B:B,MATCH($C1271,'Policy Characteristics'!$C:$C,0))),"",INDEX('Policy Characteristics'!B:B,MATCH($C1271,'Policy Characteristics'!$C:$C,0)))</f>
        <v>End Existing Subsidies</v>
      </c>
      <c r="C1271" s="275" t="str">
        <f t="shared" si="52"/>
        <v>Percent Reduction in BAU Subsidies</v>
      </c>
      <c r="D1271" s="6" t="s">
        <v>53</v>
      </c>
      <c r="E1271" s="47"/>
      <c r="F1271" s="6" t="s">
        <v>95</v>
      </c>
      <c r="G1271" s="47"/>
      <c r="H1271" s="44">
        <v>75</v>
      </c>
      <c r="I1271" s="347" t="s">
        <v>43</v>
      </c>
      <c r="J1271" s="276" t="str">
        <f>IF(ISBLANK(INDEX('Policy Characteristics'!D:D,MATCH($C1271,'Policy Characteristics'!$C:$C,0))),"",INDEX('Policy Characteristics'!D:D,MATCH($C1271,'Policy Characteristics'!$C:$C,0)))</f>
        <v>End Existing Subsidies</v>
      </c>
      <c r="K1271" s="275" t="str">
        <f>IF(ISBLANK(INDEX('Policy Characteristics'!E:E,MATCH($C1271,'Policy Characteristics'!$C:$C,0))),"",INDEX('Policy Characteristics'!E:E,MATCH($C1271,'Policy Characteristics'!$C:$C,0)))</f>
        <v>cross reduce BAU subsidies</v>
      </c>
      <c r="L1271" s="283">
        <f>IF(ISBLANK(INDEX('Policy Characteristics'!F:F,MATCH($C1271,'Policy Characteristics'!$C:$C,0))),"",INDEX('Policy Characteristics'!F:F,MATCH($C1271,'Policy Characteristics'!$C:$C,0)))</f>
        <v>0</v>
      </c>
      <c r="M1271" s="283">
        <f>IF(ISBLANK(INDEX('Policy Characteristics'!G:G,MATCH($C1271,'Policy Characteristics'!$C:$C,0))),"",INDEX('Policy Characteristics'!G:G,MATCH($C1271,'Policy Characteristics'!$C:$C,0)))</f>
        <v>1</v>
      </c>
      <c r="N1271" s="283">
        <f>IF(ISBLANK(INDEX('Policy Characteristics'!H:H,MATCH($C1271,'Policy Characteristics'!$C:$C,0))),"",INDEX('Policy Characteristics'!H:H,MATCH($C1271,'Policy Characteristics'!$C:$C,0)))</f>
        <v>0.01</v>
      </c>
      <c r="O1271" s="275" t="str">
        <f>IF(ISBLANK(INDEX('Policy Characteristics'!I:I,MATCH($C1271,'Policy Characteristics'!$C:$C,0))),"",INDEX('Policy Characteristics'!I:I,MATCH($C1271,'Policy Characteristics'!$C:$C,0)))</f>
        <v>% reduction in BAU subsidies</v>
      </c>
      <c r="P1271" s="275" t="str">
        <f>IF(ISBLANK(INDEX('Policy Characteristics'!J:J,MATCH($C1271,'Policy Characteristics'!$C:$C,0))),"",INDEX('Policy Characteristics'!J:J,MATCH($C1271,'Policy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1" s="275" t="str">
        <f>IF(ISBLANK(INDEX('Policy Characteristics'!K:K,MATCH($C1271,'Policy Characteristics'!$C:$C,0))),"",INDEX('Policy Characteristics'!K:K,MATCH($C1271,'Policy Characteristics'!$C:$C,0)))</f>
        <v>fuels.html#end-subsidies</v>
      </c>
      <c r="R1271" s="275" t="str">
        <f>IF(ISBLANK(INDEX('Policy Characteristics'!L:L,MATCH($C1271,'Policy Characteristics'!$C:$C,0))),"",INDEX('Policy Characteristics'!L:L,MATCH($C1271,'Policy Characteristics'!$C:$C,0)))</f>
        <v>end-existing-subsidies.html</v>
      </c>
    </row>
    <row r="1272" spans="1:18" s="4" customFormat="1" x14ac:dyDescent="0.25">
      <c r="A1272" s="275" t="str">
        <f>IF(ISBLANK(INDEX('Policy Characteristics'!A:A,MATCH($C1272,'Policy Characteristics'!$C:$C,0))),"",INDEX('Policy Characteristics'!A:A,MATCH($C1272,'Policy Characteristics'!$C:$C,0)))</f>
        <v>Cross-Sector</v>
      </c>
      <c r="B1272" s="284" t="str">
        <f>IF(ISBLANK(INDEX('Policy Characteristics'!B:B,MATCH($C1272,'Policy Characteristics'!$C:$C,0))),"",INDEX('Policy Characteristics'!B:B,MATCH($C1272,'Policy Characteristics'!$C:$C,0)))</f>
        <v>End Existing Subsidies</v>
      </c>
      <c r="C1272" s="275" t="str">
        <f t="shared" si="52"/>
        <v>Percent Reduction in BAU Subsidies</v>
      </c>
      <c r="D1272" s="6" t="s">
        <v>54</v>
      </c>
      <c r="E1272" s="47"/>
      <c r="F1272" s="6" t="s">
        <v>96</v>
      </c>
      <c r="G1272" s="47"/>
      <c r="H1272" s="44">
        <v>76</v>
      </c>
      <c r="I1272" s="347" t="s">
        <v>43</v>
      </c>
      <c r="J1272" s="276" t="str">
        <f>IF(ISBLANK(INDEX('Policy Characteristics'!D:D,MATCH($C1272,'Policy Characteristics'!$C:$C,0))),"",INDEX('Policy Characteristics'!D:D,MATCH($C1272,'Policy Characteristics'!$C:$C,0)))</f>
        <v>End Existing Subsidies</v>
      </c>
      <c r="K1272" s="275" t="str">
        <f>IF(ISBLANK(INDEX('Policy Characteristics'!E:E,MATCH($C1272,'Policy Characteristics'!$C:$C,0))),"",INDEX('Policy Characteristics'!E:E,MATCH($C1272,'Policy Characteristics'!$C:$C,0)))</f>
        <v>cross reduce BAU subsidies</v>
      </c>
      <c r="L1272" s="283">
        <f>IF(ISBLANK(INDEX('Policy Characteristics'!F:F,MATCH($C1272,'Policy Characteristics'!$C:$C,0))),"",INDEX('Policy Characteristics'!F:F,MATCH($C1272,'Policy Characteristics'!$C:$C,0)))</f>
        <v>0</v>
      </c>
      <c r="M1272" s="283">
        <f>IF(ISBLANK(INDEX('Policy Characteristics'!G:G,MATCH($C1272,'Policy Characteristics'!$C:$C,0))),"",INDEX('Policy Characteristics'!G:G,MATCH($C1272,'Policy Characteristics'!$C:$C,0)))</f>
        <v>1</v>
      </c>
      <c r="N1272" s="283">
        <f>IF(ISBLANK(INDEX('Policy Characteristics'!H:H,MATCH($C1272,'Policy Characteristics'!$C:$C,0))),"",INDEX('Policy Characteristics'!H:H,MATCH($C1272,'Policy Characteristics'!$C:$C,0)))</f>
        <v>0.01</v>
      </c>
      <c r="O1272" s="275" t="str">
        <f>IF(ISBLANK(INDEX('Policy Characteristics'!I:I,MATCH($C1272,'Policy Characteristics'!$C:$C,0))),"",INDEX('Policy Characteristics'!I:I,MATCH($C1272,'Policy Characteristics'!$C:$C,0)))</f>
        <v>% reduction in BAU subsidies</v>
      </c>
      <c r="P1272" s="275" t="str">
        <f>IF(ISBLANK(INDEX('Policy Characteristics'!J:J,MATCH($C1272,'Policy Characteristics'!$C:$C,0))),"",INDEX('Policy Characteristics'!J:J,MATCH($C1272,'Policy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2" s="275" t="str">
        <f>IF(ISBLANK(INDEX('Policy Characteristics'!K:K,MATCH($C1272,'Policy Characteristics'!$C:$C,0))),"",INDEX('Policy Characteristics'!K:K,MATCH($C1272,'Policy Characteristics'!$C:$C,0)))</f>
        <v>fuels.html#end-subsidies</v>
      </c>
      <c r="R1272" s="275" t="str">
        <f>IF(ISBLANK(INDEX('Policy Characteristics'!L:L,MATCH($C1272,'Policy Characteristics'!$C:$C,0))),"",INDEX('Policy Characteristics'!L:L,MATCH($C1272,'Policy Characteristics'!$C:$C,0)))</f>
        <v>end-existing-subsidies.html</v>
      </c>
    </row>
    <row r="1273" spans="1:18" s="4" customFormat="1" x14ac:dyDescent="0.25">
      <c r="A1273" s="275" t="str">
        <f>IF(ISBLANK(INDEX('Policy Characteristics'!A:A,MATCH($C1273,'Policy Characteristics'!$C:$C,0))),"",INDEX('Policy Characteristics'!A:A,MATCH($C1273,'Policy Characteristics'!$C:$C,0)))</f>
        <v>Cross-Sector</v>
      </c>
      <c r="B1273" s="284" t="str">
        <f>IF(ISBLANK(INDEX('Policy Characteristics'!B:B,MATCH($C1273,'Policy Characteristics'!$C:$C,0))),"",INDEX('Policy Characteristics'!B:B,MATCH($C1273,'Policy Characteristics'!$C:$C,0)))</f>
        <v>End Existing Subsidies</v>
      </c>
      <c r="C1273" s="275" t="str">
        <f t="shared" si="52"/>
        <v>Percent Reduction in BAU Subsidies</v>
      </c>
      <c r="D1273" s="6" t="s">
        <v>55</v>
      </c>
      <c r="E1273" s="47"/>
      <c r="F1273" s="6" t="s">
        <v>97</v>
      </c>
      <c r="G1273" s="47"/>
      <c r="H1273" s="44">
        <v>708</v>
      </c>
      <c r="I1273" s="347" t="s">
        <v>44</v>
      </c>
      <c r="J1273" s="276" t="str">
        <f>IF(ISBLANK(INDEX('Policy Characteristics'!D:D,MATCH($C1273,'Policy Characteristics'!$C:$C,0))),"",INDEX('Policy Characteristics'!D:D,MATCH($C1273,'Policy Characteristics'!$C:$C,0)))</f>
        <v>End Existing Subsidies</v>
      </c>
      <c r="K1273" s="275" t="str">
        <f>IF(ISBLANK(INDEX('Policy Characteristics'!E:E,MATCH($C1273,'Policy Characteristics'!$C:$C,0))),"",INDEX('Policy Characteristics'!E:E,MATCH($C1273,'Policy Characteristics'!$C:$C,0)))</f>
        <v>cross reduce BAU subsidies</v>
      </c>
      <c r="L1273" s="283">
        <f>IF(ISBLANK(INDEX('Policy Characteristics'!F:F,MATCH($C1273,'Policy Characteristics'!$C:$C,0))),"",INDEX('Policy Characteristics'!F:F,MATCH($C1273,'Policy Characteristics'!$C:$C,0)))</f>
        <v>0</v>
      </c>
      <c r="M1273" s="283">
        <f>IF(ISBLANK(INDEX('Policy Characteristics'!G:G,MATCH($C1273,'Policy Characteristics'!$C:$C,0))),"",INDEX('Policy Characteristics'!G:G,MATCH($C1273,'Policy Characteristics'!$C:$C,0)))</f>
        <v>1</v>
      </c>
      <c r="N1273" s="283">
        <f>IF(ISBLANK(INDEX('Policy Characteristics'!H:H,MATCH($C1273,'Policy Characteristics'!$C:$C,0))),"",INDEX('Policy Characteristics'!H:H,MATCH($C1273,'Policy Characteristics'!$C:$C,0)))</f>
        <v>0.01</v>
      </c>
      <c r="O1273" s="275" t="str">
        <f>IF(ISBLANK(INDEX('Policy Characteristics'!I:I,MATCH($C1273,'Policy Characteristics'!$C:$C,0))),"",INDEX('Policy Characteristics'!I:I,MATCH($C1273,'Policy Characteristics'!$C:$C,0)))</f>
        <v>% reduction in BAU subsidies</v>
      </c>
      <c r="P1273" s="275" t="str">
        <f>IF(ISBLANK(INDEX('Policy Characteristics'!J:J,MATCH($C1273,'Policy Characteristics'!$C:$C,0))),"",INDEX('Policy Characteristics'!J:J,MATCH($C1273,'Policy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3" s="275" t="str">
        <f>IF(ISBLANK(INDEX('Policy Characteristics'!K:K,MATCH($C1273,'Policy Characteristics'!$C:$C,0))),"",INDEX('Policy Characteristics'!K:K,MATCH($C1273,'Policy Characteristics'!$C:$C,0)))</f>
        <v>fuels.html#end-subsidies</v>
      </c>
      <c r="R1273" s="275" t="str">
        <f>IF(ISBLANK(INDEX('Policy Characteristics'!L:L,MATCH($C1273,'Policy Characteristics'!$C:$C,0))),"",INDEX('Policy Characteristics'!L:L,MATCH($C1273,'Policy Characteristics'!$C:$C,0)))</f>
        <v>end-existing-subsidies.html</v>
      </c>
    </row>
    <row r="1274" spans="1:18" s="4" customFormat="1" x14ac:dyDescent="0.25">
      <c r="A1274" s="275" t="str">
        <f>IF(ISBLANK(INDEX('Policy Characteristics'!A:A,MATCH($C1274,'Policy Characteristics'!$C:$C,0))),"",INDEX('Policy Characteristics'!A:A,MATCH($C1274,'Policy Characteristics'!$C:$C,0)))</f>
        <v>Cross-Sector</v>
      </c>
      <c r="B1274" s="284" t="str">
        <f>IF(ISBLANK(INDEX('Policy Characteristics'!B:B,MATCH($C1274,'Policy Characteristics'!$C:$C,0))),"",INDEX('Policy Characteristics'!B:B,MATCH($C1274,'Policy Characteristics'!$C:$C,0)))</f>
        <v>End Existing Subsidies</v>
      </c>
      <c r="C1274" s="275" t="str">
        <f t="shared" si="52"/>
        <v>Percent Reduction in BAU Subsidies</v>
      </c>
      <c r="D1274" s="6" t="s">
        <v>56</v>
      </c>
      <c r="E1274" s="47"/>
      <c r="F1274" s="6" t="s">
        <v>98</v>
      </c>
      <c r="G1274" s="47"/>
      <c r="H1274" s="44">
        <v>709</v>
      </c>
      <c r="I1274" s="347" t="s">
        <v>44</v>
      </c>
      <c r="J1274" s="276" t="str">
        <f>IF(ISBLANK(INDEX('Policy Characteristics'!D:D,MATCH($C1274,'Policy Characteristics'!$C:$C,0))),"",INDEX('Policy Characteristics'!D:D,MATCH($C1274,'Policy Characteristics'!$C:$C,0)))</f>
        <v>End Existing Subsidies</v>
      </c>
      <c r="K1274" s="275" t="str">
        <f>IF(ISBLANK(INDEX('Policy Characteristics'!E:E,MATCH($C1274,'Policy Characteristics'!$C:$C,0))),"",INDEX('Policy Characteristics'!E:E,MATCH($C1274,'Policy Characteristics'!$C:$C,0)))</f>
        <v>cross reduce BAU subsidies</v>
      </c>
      <c r="L1274" s="283">
        <f>IF(ISBLANK(INDEX('Policy Characteristics'!F:F,MATCH($C1274,'Policy Characteristics'!$C:$C,0))),"",INDEX('Policy Characteristics'!F:F,MATCH($C1274,'Policy Characteristics'!$C:$C,0)))</f>
        <v>0</v>
      </c>
      <c r="M1274" s="283">
        <f>IF(ISBLANK(INDEX('Policy Characteristics'!G:G,MATCH($C1274,'Policy Characteristics'!$C:$C,0))),"",INDEX('Policy Characteristics'!G:G,MATCH($C1274,'Policy Characteristics'!$C:$C,0)))</f>
        <v>1</v>
      </c>
      <c r="N1274" s="283">
        <f>IF(ISBLANK(INDEX('Policy Characteristics'!H:H,MATCH($C1274,'Policy Characteristics'!$C:$C,0))),"",INDEX('Policy Characteristics'!H:H,MATCH($C1274,'Policy Characteristics'!$C:$C,0)))</f>
        <v>0.01</v>
      </c>
      <c r="O1274" s="275" t="str">
        <f>IF(ISBLANK(INDEX('Policy Characteristics'!I:I,MATCH($C1274,'Policy Characteristics'!$C:$C,0))),"",INDEX('Policy Characteristics'!I:I,MATCH($C1274,'Policy Characteristics'!$C:$C,0)))</f>
        <v>% reduction in BAU subsidies</v>
      </c>
      <c r="P1274" s="275" t="str">
        <f>IF(ISBLANK(INDEX('Policy Characteristics'!J:J,MATCH($C1274,'Policy Characteristics'!$C:$C,0))),"",INDEX('Policy Characteristics'!J:J,MATCH($C1274,'Policy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4" s="275" t="str">
        <f>IF(ISBLANK(INDEX('Policy Characteristics'!K:K,MATCH($C1274,'Policy Characteristics'!$C:$C,0))),"",INDEX('Policy Characteristics'!K:K,MATCH($C1274,'Policy Characteristics'!$C:$C,0)))</f>
        <v>fuels.html#end-subsidies</v>
      </c>
      <c r="R1274" s="275" t="str">
        <f>IF(ISBLANK(INDEX('Policy Characteristics'!L:L,MATCH($C1274,'Policy Characteristics'!$C:$C,0))),"",INDEX('Policy Characteristics'!L:L,MATCH($C1274,'Policy Characteristics'!$C:$C,0)))</f>
        <v>end-existing-subsidies.html</v>
      </c>
    </row>
    <row r="1275" spans="1:18" s="4" customFormat="1" x14ac:dyDescent="0.25">
      <c r="A1275" s="275" t="str">
        <f>IF(ISBLANK(INDEX('Policy Characteristics'!A:A,MATCH($C1275,'Policy Characteristics'!$C:$C,0))),"",INDEX('Policy Characteristics'!A:A,MATCH($C1275,'Policy Characteristics'!$C:$C,0)))</f>
        <v>Cross-Sector</v>
      </c>
      <c r="B1275" s="284" t="str">
        <f>IF(ISBLANK(INDEX('Policy Characteristics'!B:B,MATCH($C1275,'Policy Characteristics'!$C:$C,0))),"",INDEX('Policy Characteristics'!B:B,MATCH($C1275,'Policy Characteristics'!$C:$C,0)))</f>
        <v>End Existing Subsidies</v>
      </c>
      <c r="C1275" s="275" t="str">
        <f t="shared" si="52"/>
        <v>Percent Reduction in BAU Subsidies</v>
      </c>
      <c r="D1275" s="6" t="s">
        <v>2475</v>
      </c>
      <c r="E1275" s="47"/>
      <c r="F1275" s="6" t="s">
        <v>2476</v>
      </c>
      <c r="G1275" s="47"/>
      <c r="H1275" s="44">
        <v>710</v>
      </c>
      <c r="I1275" s="347" t="s">
        <v>44</v>
      </c>
      <c r="J1275" s="276" t="str">
        <f>IF(ISBLANK(INDEX('Policy Characteristics'!D:D,MATCH($C1275,'Policy Characteristics'!$C:$C,0))),"",INDEX('Policy Characteristics'!D:D,MATCH($C1275,'Policy Characteristics'!$C:$C,0)))</f>
        <v>End Existing Subsidies</v>
      </c>
      <c r="K1275" s="275" t="str">
        <f>IF(ISBLANK(INDEX('Policy Characteristics'!E:E,MATCH($C1275,'Policy Characteristics'!$C:$C,0))),"",INDEX('Policy Characteristics'!E:E,MATCH($C1275,'Policy Characteristics'!$C:$C,0)))</f>
        <v>cross reduce BAU subsidies</v>
      </c>
      <c r="L1275" s="283">
        <f>IF(ISBLANK(INDEX('Policy Characteristics'!F:F,MATCH($C1275,'Policy Characteristics'!$C:$C,0))),"",INDEX('Policy Characteristics'!F:F,MATCH($C1275,'Policy Characteristics'!$C:$C,0)))</f>
        <v>0</v>
      </c>
      <c r="M1275" s="283">
        <f>IF(ISBLANK(INDEX('Policy Characteristics'!G:G,MATCH($C1275,'Policy Characteristics'!$C:$C,0))),"",INDEX('Policy Characteristics'!G:G,MATCH($C1275,'Policy Characteristics'!$C:$C,0)))</f>
        <v>1</v>
      </c>
      <c r="N1275" s="283">
        <f>IF(ISBLANK(INDEX('Policy Characteristics'!H:H,MATCH($C1275,'Policy Characteristics'!$C:$C,0))),"",INDEX('Policy Characteristics'!H:H,MATCH($C1275,'Policy Characteristics'!$C:$C,0)))</f>
        <v>0.01</v>
      </c>
      <c r="O1275" s="275" t="str">
        <f>IF(ISBLANK(INDEX('Policy Characteristics'!I:I,MATCH($C1275,'Policy Characteristics'!$C:$C,0))),"",INDEX('Policy Characteristics'!I:I,MATCH($C1275,'Policy Characteristics'!$C:$C,0)))</f>
        <v>% reduction in BAU subsidies</v>
      </c>
      <c r="P1275" s="275" t="str">
        <f>IF(ISBLANK(INDEX('Policy Characteristics'!J:J,MATCH($C1275,'Policy Characteristics'!$C:$C,0))),"",INDEX('Policy Characteristics'!J:J,MATCH($C1275,'Policy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5" s="275" t="str">
        <f>IF(ISBLANK(INDEX('Policy Characteristics'!K:K,MATCH($C1275,'Policy Characteristics'!$C:$C,0))),"",INDEX('Policy Characteristics'!K:K,MATCH($C1275,'Policy Characteristics'!$C:$C,0)))</f>
        <v>fuels.html#end-subsidies</v>
      </c>
      <c r="R1275" s="275" t="str">
        <f>IF(ISBLANK(INDEX('Policy Characteristics'!L:L,MATCH($C1275,'Policy Characteristics'!$C:$C,0))),"",INDEX('Policy Characteristics'!L:L,MATCH($C1275,'Policy Characteristics'!$C:$C,0)))</f>
        <v>end-existing-subsidies.html</v>
      </c>
    </row>
    <row r="1276" spans="1:18" s="4" customFormat="1" x14ac:dyDescent="0.25">
      <c r="A1276" s="275" t="str">
        <f>IF(ISBLANK(INDEX('Policy Characteristics'!A:A,MATCH($C1276,'Policy Characteristics'!$C:$C,0))),"",INDEX('Policy Characteristics'!A:A,MATCH($C1276,'Policy Characteristics'!$C:$C,0)))</f>
        <v>Cross-Sector</v>
      </c>
      <c r="B1276" s="284" t="str">
        <f>IF(ISBLANK(INDEX('Policy Characteristics'!B:B,MATCH($C1276,'Policy Characteristics'!$C:$C,0))),"",INDEX('Policy Characteristics'!B:B,MATCH($C1276,'Policy Characteristics'!$C:$C,0)))</f>
        <v>End Existing Subsidies</v>
      </c>
      <c r="C1276" s="275" t="str">
        <f t="shared" si="52"/>
        <v>Percent Reduction in BAU Subsidies</v>
      </c>
      <c r="D1276" s="6" t="s">
        <v>75</v>
      </c>
      <c r="E1276" s="47"/>
      <c r="F1276" s="6" t="s">
        <v>99</v>
      </c>
      <c r="G1276" s="47"/>
      <c r="H1276" s="44">
        <v>711</v>
      </c>
      <c r="I1276" s="347" t="s">
        <v>44</v>
      </c>
      <c r="J1276" s="276" t="str">
        <f>IF(ISBLANK(INDEX('Policy Characteristics'!D:D,MATCH($C1276,'Policy Characteristics'!$C:$C,0))),"",INDEX('Policy Characteristics'!D:D,MATCH($C1276,'Policy Characteristics'!$C:$C,0)))</f>
        <v>End Existing Subsidies</v>
      </c>
      <c r="K1276" s="275" t="str">
        <f>IF(ISBLANK(INDEX('Policy Characteristics'!E:E,MATCH($C1276,'Policy Characteristics'!$C:$C,0))),"",INDEX('Policy Characteristics'!E:E,MATCH($C1276,'Policy Characteristics'!$C:$C,0)))</f>
        <v>cross reduce BAU subsidies</v>
      </c>
      <c r="L1276" s="283">
        <f>IF(ISBLANK(INDEX('Policy Characteristics'!F:F,MATCH($C1276,'Policy Characteristics'!$C:$C,0))),"",INDEX('Policy Characteristics'!F:F,MATCH($C1276,'Policy Characteristics'!$C:$C,0)))</f>
        <v>0</v>
      </c>
      <c r="M1276" s="283">
        <f>IF(ISBLANK(INDEX('Policy Characteristics'!G:G,MATCH($C1276,'Policy Characteristics'!$C:$C,0))),"",INDEX('Policy Characteristics'!G:G,MATCH($C1276,'Policy Characteristics'!$C:$C,0)))</f>
        <v>1</v>
      </c>
      <c r="N1276" s="283">
        <f>IF(ISBLANK(INDEX('Policy Characteristics'!H:H,MATCH($C1276,'Policy Characteristics'!$C:$C,0))),"",INDEX('Policy Characteristics'!H:H,MATCH($C1276,'Policy Characteristics'!$C:$C,0)))</f>
        <v>0.01</v>
      </c>
      <c r="O1276" s="275" t="str">
        <f>IF(ISBLANK(INDEX('Policy Characteristics'!I:I,MATCH($C1276,'Policy Characteristics'!$C:$C,0))),"",INDEX('Policy Characteristics'!I:I,MATCH($C1276,'Policy Characteristics'!$C:$C,0)))</f>
        <v>% reduction in BAU subsidies</v>
      </c>
      <c r="P1276" s="275" t="str">
        <f>IF(ISBLANK(INDEX('Policy Characteristics'!J:J,MATCH($C1276,'Policy Characteristics'!$C:$C,0))),"",INDEX('Policy Characteristics'!J:J,MATCH($C1276,'Policy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6" s="275" t="str">
        <f>IF(ISBLANK(INDEX('Policy Characteristics'!K:K,MATCH($C1276,'Policy Characteristics'!$C:$C,0))),"",INDEX('Policy Characteristics'!K:K,MATCH($C1276,'Policy Characteristics'!$C:$C,0)))</f>
        <v>fuels.html#end-subsidies</v>
      </c>
      <c r="R1276" s="275" t="str">
        <f>IF(ISBLANK(INDEX('Policy Characteristics'!L:L,MATCH($C1276,'Policy Characteristics'!$C:$C,0))),"",INDEX('Policy Characteristics'!L:L,MATCH($C1276,'Policy Characteristics'!$C:$C,0)))</f>
        <v>end-existing-subsidies.html</v>
      </c>
    </row>
    <row r="1277" spans="1:18" s="4" customFormat="1" x14ac:dyDescent="0.25">
      <c r="A1277" s="275" t="str">
        <f>IF(ISBLANK(INDEX('Policy Characteristics'!A:A,MATCH($C1277,'Policy Characteristics'!$C:$C,0))),"",INDEX('Policy Characteristics'!A:A,MATCH($C1277,'Policy Characteristics'!$C:$C,0)))</f>
        <v>Cross-Sector</v>
      </c>
      <c r="B1277" s="284" t="str">
        <f>IF(ISBLANK(INDEX('Policy Characteristics'!B:B,MATCH($C1277,'Policy Characteristics'!$C:$C,0))),"",INDEX('Policy Characteristics'!B:B,MATCH($C1277,'Policy Characteristics'!$C:$C,0)))</f>
        <v>End Existing Subsidies</v>
      </c>
      <c r="C1277" s="275" t="str">
        <f t="shared" si="52"/>
        <v>Percent Reduction in BAU Subsidies</v>
      </c>
      <c r="D1277" s="6" t="s">
        <v>436</v>
      </c>
      <c r="E1277" s="47"/>
      <c r="F1277" s="6" t="s">
        <v>437</v>
      </c>
      <c r="G1277" s="47"/>
      <c r="H1277" s="44">
        <v>712</v>
      </c>
      <c r="I1277" s="347" t="s">
        <v>44</v>
      </c>
      <c r="J1277" s="276" t="str">
        <f>IF(ISBLANK(INDEX('Policy Characteristics'!D:D,MATCH($C1277,'Policy Characteristics'!$C:$C,0))),"",INDEX('Policy Characteristics'!D:D,MATCH($C1277,'Policy Characteristics'!$C:$C,0)))</f>
        <v>End Existing Subsidies</v>
      </c>
      <c r="K1277" s="275" t="str">
        <f>IF(ISBLANK(INDEX('Policy Characteristics'!E:E,MATCH($C1277,'Policy Characteristics'!$C:$C,0))),"",INDEX('Policy Characteristics'!E:E,MATCH($C1277,'Policy Characteristics'!$C:$C,0)))</f>
        <v>cross reduce BAU subsidies</v>
      </c>
      <c r="L1277" s="283">
        <f>IF(ISBLANK(INDEX('Policy Characteristics'!F:F,MATCH($C1277,'Policy Characteristics'!$C:$C,0))),"",INDEX('Policy Characteristics'!F:F,MATCH($C1277,'Policy Characteristics'!$C:$C,0)))</f>
        <v>0</v>
      </c>
      <c r="M1277" s="283">
        <f>IF(ISBLANK(INDEX('Policy Characteristics'!G:G,MATCH($C1277,'Policy Characteristics'!$C:$C,0))),"",INDEX('Policy Characteristics'!G:G,MATCH($C1277,'Policy Characteristics'!$C:$C,0)))</f>
        <v>1</v>
      </c>
      <c r="N1277" s="283">
        <f>IF(ISBLANK(INDEX('Policy Characteristics'!H:H,MATCH($C1277,'Policy Characteristics'!$C:$C,0))),"",INDEX('Policy Characteristics'!H:H,MATCH($C1277,'Policy Characteristics'!$C:$C,0)))</f>
        <v>0.01</v>
      </c>
      <c r="O1277" s="275" t="str">
        <f>IF(ISBLANK(INDEX('Policy Characteristics'!I:I,MATCH($C1277,'Policy Characteristics'!$C:$C,0))),"",INDEX('Policy Characteristics'!I:I,MATCH($C1277,'Policy Characteristics'!$C:$C,0)))</f>
        <v>% reduction in BAU subsidies</v>
      </c>
      <c r="P1277" s="275" t="str">
        <f>IF(ISBLANK(INDEX('Policy Characteristics'!J:J,MATCH($C1277,'Policy Characteristics'!$C:$C,0))),"",INDEX('Policy Characteristics'!J:J,MATCH($C1277,'Policy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7" s="275" t="str">
        <f>IF(ISBLANK(INDEX('Policy Characteristics'!K:K,MATCH($C1277,'Policy Characteristics'!$C:$C,0))),"",INDEX('Policy Characteristics'!K:K,MATCH($C1277,'Policy Characteristics'!$C:$C,0)))</f>
        <v>fuels.html#end-subsidies</v>
      </c>
      <c r="R1277" s="275" t="str">
        <f>IF(ISBLANK(INDEX('Policy Characteristics'!L:L,MATCH($C1277,'Policy Characteristics'!$C:$C,0))),"",INDEX('Policy Characteristics'!L:L,MATCH($C1277,'Policy Characteristics'!$C:$C,0)))</f>
        <v>end-existing-subsidies.html</v>
      </c>
    </row>
    <row r="1278" spans="1:18" s="4" customFormat="1" x14ac:dyDescent="0.25">
      <c r="A1278" s="275" t="str">
        <f>IF(ISBLANK(INDEX('Policy Characteristics'!A:A,MATCH($C1278,'Policy Characteristics'!$C:$C,0))),"",INDEX('Policy Characteristics'!A:A,MATCH($C1278,'Policy Characteristics'!$C:$C,0)))</f>
        <v>Cross-Sector</v>
      </c>
      <c r="B1278" s="284" t="str">
        <f>IF(ISBLANK(INDEX('Policy Characteristics'!B:B,MATCH($C1278,'Policy Characteristics'!$C:$C,0))),"",INDEX('Policy Characteristics'!B:B,MATCH($C1278,'Policy Characteristics'!$C:$C,0)))</f>
        <v>End Existing Subsidies</v>
      </c>
      <c r="C1278" s="275" t="str">
        <f t="shared" si="52"/>
        <v>Percent Reduction in BAU Subsidies</v>
      </c>
      <c r="D1278" s="6" t="s">
        <v>443</v>
      </c>
      <c r="E1278" s="47"/>
      <c r="F1278" s="6" t="s">
        <v>444</v>
      </c>
      <c r="G1278" s="47"/>
      <c r="H1278" s="44">
        <v>713</v>
      </c>
      <c r="I1278" s="347" t="s">
        <v>44</v>
      </c>
      <c r="J1278" s="276" t="str">
        <f>IF(ISBLANK(INDEX('Policy Characteristics'!D:D,MATCH($C1278,'Policy Characteristics'!$C:$C,0))),"",INDEX('Policy Characteristics'!D:D,MATCH($C1278,'Policy Characteristics'!$C:$C,0)))</f>
        <v>End Existing Subsidies</v>
      </c>
      <c r="K1278" s="275" t="str">
        <f>IF(ISBLANK(INDEX('Policy Characteristics'!E:E,MATCH($C1278,'Policy Characteristics'!$C:$C,0))),"",INDEX('Policy Characteristics'!E:E,MATCH($C1278,'Policy Characteristics'!$C:$C,0)))</f>
        <v>cross reduce BAU subsidies</v>
      </c>
      <c r="L1278" s="283">
        <f>IF(ISBLANK(INDEX('Policy Characteristics'!F:F,MATCH($C1278,'Policy Characteristics'!$C:$C,0))),"",INDEX('Policy Characteristics'!F:F,MATCH($C1278,'Policy Characteristics'!$C:$C,0)))</f>
        <v>0</v>
      </c>
      <c r="M1278" s="283">
        <f>IF(ISBLANK(INDEX('Policy Characteristics'!G:G,MATCH($C1278,'Policy Characteristics'!$C:$C,0))),"",INDEX('Policy Characteristics'!G:G,MATCH($C1278,'Policy Characteristics'!$C:$C,0)))</f>
        <v>1</v>
      </c>
      <c r="N1278" s="283">
        <f>IF(ISBLANK(INDEX('Policy Characteristics'!H:H,MATCH($C1278,'Policy Characteristics'!$C:$C,0))),"",INDEX('Policy Characteristics'!H:H,MATCH($C1278,'Policy Characteristics'!$C:$C,0)))</f>
        <v>0.01</v>
      </c>
      <c r="O1278" s="275" t="str">
        <f>IF(ISBLANK(INDEX('Policy Characteristics'!I:I,MATCH($C1278,'Policy Characteristics'!$C:$C,0))),"",INDEX('Policy Characteristics'!I:I,MATCH($C1278,'Policy Characteristics'!$C:$C,0)))</f>
        <v>% reduction in BAU subsidies</v>
      </c>
      <c r="P1278" s="275" t="str">
        <f>IF(ISBLANK(INDEX('Policy Characteristics'!J:J,MATCH($C1278,'Policy Characteristics'!$C:$C,0))),"",INDEX('Policy Characteristics'!J:J,MATCH($C1278,'Policy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8" s="275" t="str">
        <f>IF(ISBLANK(INDEX('Policy Characteristics'!K:K,MATCH($C1278,'Policy Characteristics'!$C:$C,0))),"",INDEX('Policy Characteristics'!K:K,MATCH($C1278,'Policy Characteristics'!$C:$C,0)))</f>
        <v>fuels.html#end-subsidies</v>
      </c>
      <c r="R1278" s="275" t="str">
        <f>IF(ISBLANK(INDEX('Policy Characteristics'!L:L,MATCH($C1278,'Policy Characteristics'!$C:$C,0))),"",INDEX('Policy Characteristics'!L:L,MATCH($C1278,'Policy Characteristics'!$C:$C,0)))</f>
        <v>end-existing-subsidies.html</v>
      </c>
    </row>
    <row r="1279" spans="1:18" s="4" customFormat="1" x14ac:dyDescent="0.25">
      <c r="A1279" s="275" t="str">
        <f>IF(ISBLANK(INDEX('Policy Characteristics'!A:A,MATCH($C1279,'Policy Characteristics'!$C:$C,0))),"",INDEX('Policy Characteristics'!A:A,MATCH($C1279,'Policy Characteristics'!$C:$C,0)))</f>
        <v>Cross-Sector</v>
      </c>
      <c r="B1279" s="284" t="str">
        <f>IF(ISBLANK(INDEX('Policy Characteristics'!B:B,MATCH($C1279,'Policy Characteristics'!$C:$C,0))),"",INDEX('Policy Characteristics'!B:B,MATCH($C1279,'Policy Characteristics'!$C:$C,0)))</f>
        <v>End Existing Subsidies</v>
      </c>
      <c r="C1279" s="275" t="str">
        <f t="shared" si="52"/>
        <v>Percent Reduction in BAU Subsidies</v>
      </c>
      <c r="D1279" s="6" t="s">
        <v>2467</v>
      </c>
      <c r="E1279" s="47"/>
      <c r="F1279" s="6" t="s">
        <v>2471</v>
      </c>
      <c r="G1279" s="47"/>
      <c r="H1279" s="44">
        <v>714</v>
      </c>
      <c r="I1279" s="347" t="s">
        <v>44</v>
      </c>
      <c r="J1279" s="276" t="str">
        <f>IF(ISBLANK(INDEX('Policy Characteristics'!D:D,MATCH($C1279,'Policy Characteristics'!$C:$C,0))),"",INDEX('Policy Characteristics'!D:D,MATCH($C1279,'Policy Characteristics'!$C:$C,0)))</f>
        <v>End Existing Subsidies</v>
      </c>
      <c r="K1279" s="275" t="str">
        <f>IF(ISBLANK(INDEX('Policy Characteristics'!E:E,MATCH($C1279,'Policy Characteristics'!$C:$C,0))),"",INDEX('Policy Characteristics'!E:E,MATCH($C1279,'Policy Characteristics'!$C:$C,0)))</f>
        <v>cross reduce BAU subsidies</v>
      </c>
      <c r="L1279" s="283">
        <f>IF(ISBLANK(INDEX('Policy Characteristics'!F:F,MATCH($C1279,'Policy Characteristics'!$C:$C,0))),"",INDEX('Policy Characteristics'!F:F,MATCH($C1279,'Policy Characteristics'!$C:$C,0)))</f>
        <v>0</v>
      </c>
      <c r="M1279" s="283">
        <f>IF(ISBLANK(INDEX('Policy Characteristics'!G:G,MATCH($C1279,'Policy Characteristics'!$C:$C,0))),"",INDEX('Policy Characteristics'!G:G,MATCH($C1279,'Policy Characteristics'!$C:$C,0)))</f>
        <v>1</v>
      </c>
      <c r="N1279" s="283">
        <f>IF(ISBLANK(INDEX('Policy Characteristics'!H:H,MATCH($C1279,'Policy Characteristics'!$C:$C,0))),"",INDEX('Policy Characteristics'!H:H,MATCH($C1279,'Policy Characteristics'!$C:$C,0)))</f>
        <v>0.01</v>
      </c>
      <c r="O1279" s="275" t="str">
        <f>IF(ISBLANK(INDEX('Policy Characteristics'!I:I,MATCH($C1279,'Policy Characteristics'!$C:$C,0))),"",INDEX('Policy Characteristics'!I:I,MATCH($C1279,'Policy Characteristics'!$C:$C,0)))</f>
        <v>% reduction in BAU subsidies</v>
      </c>
      <c r="P1279" s="275" t="str">
        <f>IF(ISBLANK(INDEX('Policy Characteristics'!J:J,MATCH($C1279,'Policy Characteristics'!$C:$C,0))),"",INDEX('Policy Characteristics'!J:J,MATCH($C1279,'Policy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9" s="275" t="str">
        <f>IF(ISBLANK(INDEX('Policy Characteristics'!K:K,MATCH($C1279,'Policy Characteristics'!$C:$C,0))),"",INDEX('Policy Characteristics'!K:K,MATCH($C1279,'Policy Characteristics'!$C:$C,0)))</f>
        <v>fuels.html#end-subsidies</v>
      </c>
      <c r="R1279" s="275" t="str">
        <f>IF(ISBLANK(INDEX('Policy Characteristics'!L:L,MATCH($C1279,'Policy Characteristics'!$C:$C,0))),"",INDEX('Policy Characteristics'!L:L,MATCH($C1279,'Policy Characteristics'!$C:$C,0)))</f>
        <v>end-existing-subsidies.html</v>
      </c>
    </row>
    <row r="1280" spans="1:18" s="4" customFormat="1" x14ac:dyDescent="0.25">
      <c r="A1280" s="275" t="str">
        <f>IF(ISBLANK(INDEX('Policy Characteristics'!A:A,MATCH($C1280,'Policy Characteristics'!$C:$C,0))),"",INDEX('Policy Characteristics'!A:A,MATCH($C1280,'Policy Characteristics'!$C:$C,0)))</f>
        <v>Cross-Sector</v>
      </c>
      <c r="B1280" s="284" t="str">
        <f>IF(ISBLANK(INDEX('Policy Characteristics'!B:B,MATCH($C1280,'Policy Characteristics'!$C:$C,0))),"",INDEX('Policy Characteristics'!B:B,MATCH($C1280,'Policy Characteristics'!$C:$C,0)))</f>
        <v>End Existing Subsidies</v>
      </c>
      <c r="C1280" s="275" t="str">
        <f t="shared" ref="C1280" si="53">C$1263</f>
        <v>Percent Reduction in BAU Subsidies</v>
      </c>
      <c r="D1280" s="6" t="s">
        <v>2477</v>
      </c>
      <c r="E1280" s="47"/>
      <c r="F1280" s="6" t="s">
        <v>2478</v>
      </c>
      <c r="G1280" s="47"/>
      <c r="H1280" s="44">
        <v>715</v>
      </c>
      <c r="I1280" s="347" t="s">
        <v>44</v>
      </c>
      <c r="J1280" s="276" t="str">
        <f>IF(ISBLANK(INDEX('Policy Characteristics'!D:D,MATCH($C1280,'Policy Characteristics'!$C:$C,0))),"",INDEX('Policy Characteristics'!D:D,MATCH($C1280,'Policy Characteristics'!$C:$C,0)))</f>
        <v>End Existing Subsidies</v>
      </c>
      <c r="K1280" s="275" t="str">
        <f>IF(ISBLANK(INDEX('Policy Characteristics'!E:E,MATCH($C1280,'Policy Characteristics'!$C:$C,0))),"",INDEX('Policy Characteristics'!E:E,MATCH($C1280,'Policy Characteristics'!$C:$C,0)))</f>
        <v>cross reduce BAU subsidies</v>
      </c>
      <c r="L1280" s="283">
        <f>IF(ISBLANK(INDEX('Policy Characteristics'!F:F,MATCH($C1280,'Policy Characteristics'!$C:$C,0))),"",INDEX('Policy Characteristics'!F:F,MATCH($C1280,'Policy Characteristics'!$C:$C,0)))</f>
        <v>0</v>
      </c>
      <c r="M1280" s="283">
        <f>IF(ISBLANK(INDEX('Policy Characteristics'!G:G,MATCH($C1280,'Policy Characteristics'!$C:$C,0))),"",INDEX('Policy Characteristics'!G:G,MATCH($C1280,'Policy Characteristics'!$C:$C,0)))</f>
        <v>1</v>
      </c>
      <c r="N1280" s="283">
        <f>IF(ISBLANK(INDEX('Policy Characteristics'!H:H,MATCH($C1280,'Policy Characteristics'!$C:$C,0))),"",INDEX('Policy Characteristics'!H:H,MATCH($C1280,'Policy Characteristics'!$C:$C,0)))</f>
        <v>0.01</v>
      </c>
      <c r="O1280" s="275" t="str">
        <f>IF(ISBLANK(INDEX('Policy Characteristics'!I:I,MATCH($C1280,'Policy Characteristics'!$C:$C,0))),"",INDEX('Policy Characteristics'!I:I,MATCH($C1280,'Policy Characteristics'!$C:$C,0)))</f>
        <v>% reduction in BAU subsidies</v>
      </c>
      <c r="P1280" s="275" t="str">
        <f>IF(ISBLANK(INDEX('Policy Characteristics'!J:J,MATCH($C1280,'Policy Characteristics'!$C:$C,0))),"",INDEX('Policy Characteristics'!J:J,MATCH($C1280,'Policy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0" s="275" t="str">
        <f>IF(ISBLANK(INDEX('Policy Characteristics'!K:K,MATCH($C1280,'Policy Characteristics'!$C:$C,0))),"",INDEX('Policy Characteristics'!K:K,MATCH($C1280,'Policy Characteristics'!$C:$C,0)))</f>
        <v>fuels.html#end-subsidies</v>
      </c>
      <c r="R1280" s="275" t="str">
        <f>IF(ISBLANK(INDEX('Policy Characteristics'!L:L,MATCH($C1280,'Policy Characteristics'!$C:$C,0))),"",INDEX('Policy Characteristics'!L:L,MATCH($C1280,'Policy Characteristics'!$C:$C,0)))</f>
        <v>end-existing-subsidies.html</v>
      </c>
    </row>
    <row r="1281" spans="1:18" s="4" customFormat="1" x14ac:dyDescent="0.25">
      <c r="A1281" s="275" t="str">
        <f>IF(ISBLANK(INDEX('Policy Characteristics'!A:A,MATCH($C1281,'Policy Characteristics'!$C:$C,0))),"",INDEX('Policy Characteristics'!A:A,MATCH($C1281,'Policy Characteristics'!$C:$C,0)))</f>
        <v>Cross-Sector</v>
      </c>
      <c r="B1281" s="284" t="str">
        <f>IF(ISBLANK(INDEX('Policy Characteristics'!B:B,MATCH($C1281,'Policy Characteristics'!$C:$C,0))),"",INDEX('Policy Characteristics'!B:B,MATCH($C1281,'Policy Characteristics'!$C:$C,0)))</f>
        <v>End Existing Subsidies</v>
      </c>
      <c r="C1281" s="275" t="str">
        <f t="shared" ref="C1281:C1283" si="54">C$1263</f>
        <v>Percent Reduction in BAU Subsidies</v>
      </c>
      <c r="D1281" s="6" t="s">
        <v>2468</v>
      </c>
      <c r="E1281" s="47"/>
      <c r="F1281" s="6" t="s">
        <v>2472</v>
      </c>
      <c r="G1281" s="47"/>
      <c r="H1281" s="44">
        <v>716</v>
      </c>
      <c r="I1281" s="347" t="s">
        <v>44</v>
      </c>
      <c r="J1281" s="276" t="str">
        <f>IF(ISBLANK(INDEX('Policy Characteristics'!D:D,MATCH($C1281,'Policy Characteristics'!$C:$C,0))),"",INDEX('Policy Characteristics'!D:D,MATCH($C1281,'Policy Characteristics'!$C:$C,0)))</f>
        <v>End Existing Subsidies</v>
      </c>
      <c r="K1281" s="275" t="str">
        <f>IF(ISBLANK(INDEX('Policy Characteristics'!E:E,MATCH($C1281,'Policy Characteristics'!$C:$C,0))),"",INDEX('Policy Characteristics'!E:E,MATCH($C1281,'Policy Characteristics'!$C:$C,0)))</f>
        <v>cross reduce BAU subsidies</v>
      </c>
      <c r="L1281" s="283">
        <f>IF(ISBLANK(INDEX('Policy Characteristics'!F:F,MATCH($C1281,'Policy Characteristics'!$C:$C,0))),"",INDEX('Policy Characteristics'!F:F,MATCH($C1281,'Policy Characteristics'!$C:$C,0)))</f>
        <v>0</v>
      </c>
      <c r="M1281" s="283">
        <f>IF(ISBLANK(INDEX('Policy Characteristics'!G:G,MATCH($C1281,'Policy Characteristics'!$C:$C,0))),"",INDEX('Policy Characteristics'!G:G,MATCH($C1281,'Policy Characteristics'!$C:$C,0)))</f>
        <v>1</v>
      </c>
      <c r="N1281" s="283">
        <f>IF(ISBLANK(INDEX('Policy Characteristics'!H:H,MATCH($C1281,'Policy Characteristics'!$C:$C,0))),"",INDEX('Policy Characteristics'!H:H,MATCH($C1281,'Policy Characteristics'!$C:$C,0)))</f>
        <v>0.01</v>
      </c>
      <c r="O1281" s="275" t="str">
        <f>IF(ISBLANK(INDEX('Policy Characteristics'!I:I,MATCH($C1281,'Policy Characteristics'!$C:$C,0))),"",INDEX('Policy Characteristics'!I:I,MATCH($C1281,'Policy Characteristics'!$C:$C,0)))</f>
        <v>% reduction in BAU subsidies</v>
      </c>
      <c r="P1281" s="275" t="str">
        <f>IF(ISBLANK(INDEX('Policy Characteristics'!J:J,MATCH($C1281,'Policy Characteristics'!$C:$C,0))),"",INDEX('Policy Characteristics'!J:J,MATCH($C1281,'Policy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1" s="275" t="str">
        <f>IF(ISBLANK(INDEX('Policy Characteristics'!K:K,MATCH($C1281,'Policy Characteristics'!$C:$C,0))),"",INDEX('Policy Characteristics'!K:K,MATCH($C1281,'Policy Characteristics'!$C:$C,0)))</f>
        <v>fuels.html#end-subsidies</v>
      </c>
      <c r="R1281" s="275" t="str">
        <f>IF(ISBLANK(INDEX('Policy Characteristics'!L:L,MATCH($C1281,'Policy Characteristics'!$C:$C,0))),"",INDEX('Policy Characteristics'!L:L,MATCH($C1281,'Policy Characteristics'!$C:$C,0)))</f>
        <v>end-existing-subsidies.html</v>
      </c>
    </row>
    <row r="1282" spans="1:18" s="4" customFormat="1" x14ac:dyDescent="0.25">
      <c r="A1282" s="275" t="str">
        <f>IF(ISBLANK(INDEX('Policy Characteristics'!A:A,MATCH($C1282,'Policy Characteristics'!$C:$C,0))),"",INDEX('Policy Characteristics'!A:A,MATCH($C1282,'Policy Characteristics'!$C:$C,0)))</f>
        <v>Cross-Sector</v>
      </c>
      <c r="B1282" s="284" t="str">
        <f>IF(ISBLANK(INDEX('Policy Characteristics'!B:B,MATCH($C1282,'Policy Characteristics'!$C:$C,0))),"",INDEX('Policy Characteristics'!B:B,MATCH($C1282,'Policy Characteristics'!$C:$C,0)))</f>
        <v>End Existing Subsidies</v>
      </c>
      <c r="C1282" s="275" t="str">
        <f t="shared" si="54"/>
        <v>Percent Reduction in BAU Subsidies</v>
      </c>
      <c r="D1282" s="6" t="s">
        <v>2469</v>
      </c>
      <c r="E1282" s="47"/>
      <c r="F1282" s="6" t="s">
        <v>2473</v>
      </c>
      <c r="G1282" s="47"/>
      <c r="H1282" s="44">
        <v>717</v>
      </c>
      <c r="I1282" s="347" t="s">
        <v>44</v>
      </c>
      <c r="J1282" s="276" t="str">
        <f>IF(ISBLANK(INDEX('Policy Characteristics'!D:D,MATCH($C1282,'Policy Characteristics'!$C:$C,0))),"",INDEX('Policy Characteristics'!D:D,MATCH($C1282,'Policy Characteristics'!$C:$C,0)))</f>
        <v>End Existing Subsidies</v>
      </c>
      <c r="K1282" s="275" t="str">
        <f>IF(ISBLANK(INDEX('Policy Characteristics'!E:E,MATCH($C1282,'Policy Characteristics'!$C:$C,0))),"",INDEX('Policy Characteristics'!E:E,MATCH($C1282,'Policy Characteristics'!$C:$C,0)))</f>
        <v>cross reduce BAU subsidies</v>
      </c>
      <c r="L1282" s="283">
        <f>IF(ISBLANK(INDEX('Policy Characteristics'!F:F,MATCH($C1282,'Policy Characteristics'!$C:$C,0))),"",INDEX('Policy Characteristics'!F:F,MATCH($C1282,'Policy Characteristics'!$C:$C,0)))</f>
        <v>0</v>
      </c>
      <c r="M1282" s="283">
        <f>IF(ISBLANK(INDEX('Policy Characteristics'!G:G,MATCH($C1282,'Policy Characteristics'!$C:$C,0))),"",INDEX('Policy Characteristics'!G:G,MATCH($C1282,'Policy Characteristics'!$C:$C,0)))</f>
        <v>1</v>
      </c>
      <c r="N1282" s="283">
        <f>IF(ISBLANK(INDEX('Policy Characteristics'!H:H,MATCH($C1282,'Policy Characteristics'!$C:$C,0))),"",INDEX('Policy Characteristics'!H:H,MATCH($C1282,'Policy Characteristics'!$C:$C,0)))</f>
        <v>0.01</v>
      </c>
      <c r="O1282" s="275" t="str">
        <f>IF(ISBLANK(INDEX('Policy Characteristics'!I:I,MATCH($C1282,'Policy Characteristics'!$C:$C,0))),"",INDEX('Policy Characteristics'!I:I,MATCH($C1282,'Policy Characteristics'!$C:$C,0)))</f>
        <v>% reduction in BAU subsidies</v>
      </c>
      <c r="P1282" s="275" t="str">
        <f>IF(ISBLANK(INDEX('Policy Characteristics'!J:J,MATCH($C1282,'Policy Characteristics'!$C:$C,0))),"",INDEX('Policy Characteristics'!J:J,MATCH($C1282,'Policy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2" s="275" t="str">
        <f>IF(ISBLANK(INDEX('Policy Characteristics'!K:K,MATCH($C1282,'Policy Characteristics'!$C:$C,0))),"",INDEX('Policy Characteristics'!K:K,MATCH($C1282,'Policy Characteristics'!$C:$C,0)))</f>
        <v>fuels.html#end-subsidies</v>
      </c>
      <c r="R1282" s="275" t="str">
        <f>IF(ISBLANK(INDEX('Policy Characteristics'!L:L,MATCH($C1282,'Policy Characteristics'!$C:$C,0))),"",INDEX('Policy Characteristics'!L:L,MATCH($C1282,'Policy Characteristics'!$C:$C,0)))</f>
        <v>end-existing-subsidies.html</v>
      </c>
    </row>
    <row r="1283" spans="1:18" s="4" customFormat="1" x14ac:dyDescent="0.25">
      <c r="A1283" s="275" t="str">
        <f>IF(ISBLANK(INDEX('Policy Characteristics'!A:A,MATCH($C1283,'Policy Characteristics'!$C:$C,0))),"",INDEX('Policy Characteristics'!A:A,MATCH($C1283,'Policy Characteristics'!$C:$C,0)))</f>
        <v>Cross-Sector</v>
      </c>
      <c r="B1283" s="284" t="str">
        <f>IF(ISBLANK(INDEX('Policy Characteristics'!B:B,MATCH($C1283,'Policy Characteristics'!$C:$C,0))),"",INDEX('Policy Characteristics'!B:B,MATCH($C1283,'Policy Characteristics'!$C:$C,0)))</f>
        <v>End Existing Subsidies</v>
      </c>
      <c r="C1283" s="275" t="str">
        <f t="shared" si="54"/>
        <v>Percent Reduction in BAU Subsidies</v>
      </c>
      <c r="D1283" s="6" t="s">
        <v>2470</v>
      </c>
      <c r="E1283" s="47"/>
      <c r="F1283" s="6" t="s">
        <v>2474</v>
      </c>
      <c r="G1283" s="47"/>
      <c r="H1283" s="44">
        <v>718</v>
      </c>
      <c r="I1283" s="347" t="s">
        <v>44</v>
      </c>
      <c r="J1283" s="276" t="str">
        <f>IF(ISBLANK(INDEX('Policy Characteristics'!D:D,MATCH($C1283,'Policy Characteristics'!$C:$C,0))),"",INDEX('Policy Characteristics'!D:D,MATCH($C1283,'Policy Characteristics'!$C:$C,0)))</f>
        <v>End Existing Subsidies</v>
      </c>
      <c r="K1283" s="275" t="str">
        <f>IF(ISBLANK(INDEX('Policy Characteristics'!E:E,MATCH($C1283,'Policy Characteristics'!$C:$C,0))),"",INDEX('Policy Characteristics'!E:E,MATCH($C1283,'Policy Characteristics'!$C:$C,0)))</f>
        <v>cross reduce BAU subsidies</v>
      </c>
      <c r="L1283" s="283">
        <f>IF(ISBLANK(INDEX('Policy Characteristics'!F:F,MATCH($C1283,'Policy Characteristics'!$C:$C,0))),"",INDEX('Policy Characteristics'!F:F,MATCH($C1283,'Policy Characteristics'!$C:$C,0)))</f>
        <v>0</v>
      </c>
      <c r="M1283" s="283">
        <f>IF(ISBLANK(INDEX('Policy Characteristics'!G:G,MATCH($C1283,'Policy Characteristics'!$C:$C,0))),"",INDEX('Policy Characteristics'!G:G,MATCH($C1283,'Policy Characteristics'!$C:$C,0)))</f>
        <v>1</v>
      </c>
      <c r="N1283" s="283">
        <f>IF(ISBLANK(INDEX('Policy Characteristics'!H:H,MATCH($C1283,'Policy Characteristics'!$C:$C,0))),"",INDEX('Policy Characteristics'!H:H,MATCH($C1283,'Policy Characteristics'!$C:$C,0)))</f>
        <v>0.01</v>
      </c>
      <c r="O1283" s="275" t="str">
        <f>IF(ISBLANK(INDEX('Policy Characteristics'!I:I,MATCH($C1283,'Policy Characteristics'!$C:$C,0))),"",INDEX('Policy Characteristics'!I:I,MATCH($C1283,'Policy Characteristics'!$C:$C,0)))</f>
        <v>% reduction in BAU subsidies</v>
      </c>
      <c r="P1283" s="275" t="str">
        <f>IF(ISBLANK(INDEX('Policy Characteristics'!J:J,MATCH($C1283,'Policy Characteristics'!$C:$C,0))),"",INDEX('Policy Characteristics'!J:J,MATCH($C1283,'Policy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3" s="275" t="str">
        <f>IF(ISBLANK(INDEX('Policy Characteristics'!K:K,MATCH($C1283,'Policy Characteristics'!$C:$C,0))),"",INDEX('Policy Characteristics'!K:K,MATCH($C1283,'Policy Characteristics'!$C:$C,0)))</f>
        <v>fuels.html#end-subsidies</v>
      </c>
      <c r="R1283" s="275" t="str">
        <f>IF(ISBLANK(INDEX('Policy Characteristics'!L:L,MATCH($C1283,'Policy Characteristics'!$C:$C,0))),"",INDEX('Policy Characteristics'!L:L,MATCH($C1283,'Policy Characteristics'!$C:$C,0)))</f>
        <v>end-existing-subsidies.html</v>
      </c>
    </row>
    <row r="1284" spans="1:18" s="2" customFormat="1" x14ac:dyDescent="0.25">
      <c r="A1284" s="275" t="str">
        <f>IF(ISBLANK(INDEX('Policy Characteristics'!A:A,MATCH($C1284,'Policy Characteristics'!$C:$C,0))),"",INDEX('Policy Characteristics'!A:A,MATCH($C1284,'Policy Characteristics'!$C:$C,0)))</f>
        <v>Cross-Sector</v>
      </c>
      <c r="B1284" s="284" t="str">
        <f>IF(ISBLANK(INDEX('Policy Characteristics'!B:B,MATCH($C1284,'Policy Characteristics'!$C:$C,0))),"",INDEX('Policy Characteristics'!B:B,MATCH($C1284,'Policy Characteristics'!$C:$C,0)))</f>
        <v>Exempt Non-CO2 Emissions from C Tax</v>
      </c>
      <c r="C1284" s="339" t="s">
        <v>2448</v>
      </c>
      <c r="D1284" s="6"/>
      <c r="E1284" s="6"/>
      <c r="F1284" s="6"/>
      <c r="G1284" s="6"/>
      <c r="H1284" s="44">
        <v>719</v>
      </c>
      <c r="I1284" s="347" t="s">
        <v>44</v>
      </c>
      <c r="J1284" s="276" t="str">
        <f>IF(ISBLANK(INDEX('Policy Characteristics'!D:D,MATCH($C1284,'Policy Characteristics'!$C:$C,0))),"",INDEX('Policy Characteristics'!D:D,MATCH($C1284,'Policy Characteristics'!$C:$C,0)))</f>
        <v/>
      </c>
      <c r="K1284" s="275" t="str">
        <f>IF(ISBLANK(INDEX('Policy Characteristics'!E:E,MATCH($C1284,'Policy Characteristics'!$C:$C,0))),"",INDEX('Policy Characteristics'!E:E,MATCH($C1284,'Policy Characteristics'!$C:$C,0)))</f>
        <v>cross toggle whether carbon tax affects non CO2 emissions</v>
      </c>
      <c r="L1284" s="275">
        <f>IF(ISBLANK(INDEX('Policy Characteristics'!F:F,MATCH($C1284,'Policy Characteristics'!$C:$C,0))),"",INDEX('Policy Characteristics'!F:F,MATCH($C1284,'Policy Characteristics'!$C:$C,0)))</f>
        <v>0</v>
      </c>
      <c r="M1284" s="275">
        <f>IF(ISBLANK(INDEX('Policy Characteristics'!G:G,MATCH($C1284,'Policy Characteristics'!$C:$C,0))),"",INDEX('Policy Characteristics'!G:G,MATCH($C1284,'Policy Characteristics'!$C:$C,0)))</f>
        <v>1</v>
      </c>
      <c r="N1284" s="275">
        <f>IF(ISBLANK(INDEX('Policy Characteristics'!H:H,MATCH($C1284,'Policy Characteristics'!$C:$C,0))),"",INDEX('Policy Characteristics'!H:H,MATCH($C1284,'Policy Characteristics'!$C:$C,0)))</f>
        <v>1</v>
      </c>
      <c r="O1284" s="275" t="str">
        <f>IF(ISBLANK(INDEX('Policy Characteristics'!I:I,MATCH($C1284,'Policy Characteristics'!$C:$C,0))),"",INDEX('Policy Characteristics'!I:I,MATCH($C1284,'Policy Characteristics'!$C:$C,0)))</f>
        <v>on/off</v>
      </c>
      <c r="P1284" s="275" t="str">
        <f>IF(ISBLANK(INDEX('Policy Characteristics'!J:J,MATCH($C1284,'Policy Characteristics'!$C:$C,0))),"",INDEX('Policy Characteristics'!J:J,MATCH($C1284,'Policy Characteristics'!$C:$C,0)))</f>
        <v>**Description:** By default, the carbon tax applies to CO2 and non-CO2 emissions. This policy exempts non-CO2 emissions, meaning the carbon tax will only apply to CO2 emissions.</v>
      </c>
      <c r="Q1284" s="275" t="str">
        <f>IF(ISBLANK(INDEX('Policy Characteristics'!K:K,MATCH($C1284,'Policy Characteristics'!$C:$C,0))),"",INDEX('Policy Characteristics'!K:K,MATCH($C1284,'Policy Characteristics'!$C:$C,0)))</f>
        <v>fuels.html#carbon-tax</v>
      </c>
      <c r="R1284" s="275" t="str">
        <f>IF(ISBLANK(INDEX('Policy Characteristics'!L:L,MATCH($C1284,'Policy Characteristics'!$C:$C,0))),"",INDEX('Policy Characteristics'!L:L,MATCH($C1284,'Policy Characteristics'!$C:$C,0)))</f>
        <v>carbon-tax.html</v>
      </c>
    </row>
    <row r="1285" spans="1:18" s="2" customFormat="1" x14ac:dyDescent="0.25">
      <c r="A1285" s="275" t="str">
        <f>IF(ISBLANK(INDEX('Policy Characteristics'!A:A,MATCH($C1285,'Policy Characteristics'!$C:$C,0))),"",INDEX('Policy Characteristics'!A:A,MATCH($C1285,'Policy Characteristics'!$C:$C,0)))</f>
        <v>Cross-Sector</v>
      </c>
      <c r="B1285" s="284" t="str">
        <f>IF(ISBLANK(INDEX('Policy Characteristics'!B:B,MATCH($C1285,'Policy Characteristics'!$C:$C,0))),"",INDEX('Policy Characteristics'!B:B,MATCH($C1285,'Policy Characteristics'!$C:$C,0)))</f>
        <v>Exempt Process Emissions from C Tax</v>
      </c>
      <c r="C1285" s="1" t="s">
        <v>3394</v>
      </c>
      <c r="D1285" s="47" t="s">
        <v>3070</v>
      </c>
      <c r="E1285" s="6"/>
      <c r="F1285" t="s">
        <v>3095</v>
      </c>
      <c r="G1285" s="6"/>
      <c r="H1285" s="49">
        <v>1628</v>
      </c>
      <c r="I1285" s="347" t="s">
        <v>43</v>
      </c>
      <c r="J1285" s="276" t="str">
        <f>IF(ISBLANK(INDEX('Policy Characteristics'!D:D,MATCH($C1285,'Policy Characteristics'!$C:$C,0))),"",INDEX('Policy Characteristics'!D:D,MATCH($C1285,'Policy Characteristics'!$C:$C,0)))</f>
        <v/>
      </c>
      <c r="K1285" s="275" t="str">
        <f>IF(ISBLANK(INDEX('Policy Characteristics'!E:E,MATCH($C1285,'Policy Characteristics'!$C:$C,0))),"",INDEX('Policy Characteristics'!E:E,MATCH($C1285,'Policy Characteristics'!$C:$C,0)))</f>
        <v>cross toggle whether carbon tax affects process emissions</v>
      </c>
      <c r="L1285" s="275">
        <f>IF(ISBLANK(INDEX('Policy Characteristics'!F:F,MATCH($C1285,'Policy Characteristics'!$C:$C,0))),"",INDEX('Policy Characteristics'!F:F,MATCH($C1285,'Policy Characteristics'!$C:$C,0)))</f>
        <v>0</v>
      </c>
      <c r="M1285" s="275">
        <f>IF(ISBLANK(INDEX('Policy Characteristics'!G:G,MATCH($C1285,'Policy Characteristics'!$C:$C,0))),"",INDEX('Policy Characteristics'!G:G,MATCH($C1285,'Policy Characteristics'!$C:$C,0)))</f>
        <v>1</v>
      </c>
      <c r="N1285" s="275">
        <f>IF(ISBLANK(INDEX('Policy Characteristics'!H:H,MATCH($C1285,'Policy Characteristics'!$C:$C,0))),"",INDEX('Policy Characteristics'!H:H,MATCH($C1285,'Policy Characteristics'!$C:$C,0)))</f>
        <v>1</v>
      </c>
      <c r="O1285" s="275" t="str">
        <f>IF(ISBLANK(INDEX('Policy Characteristics'!I:I,MATCH($C1285,'Policy Characteristics'!$C:$C,0))),"",INDEX('Policy Characteristics'!I:I,MATCH($C1285,'Policy Characteristics'!$C:$C,0)))</f>
        <v>on/off</v>
      </c>
      <c r="P1285" s="275" t="str">
        <f>IF(ISBLANK(INDEX('Policy Characteristics'!J:J,MATCH($C1285,'Policy Characteristics'!$C:$C,0))),"",INDEX('Policy Characteristics'!J:J,MATCH($C1285,'Policy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5" s="275" t="str">
        <f>IF(ISBLANK(INDEX('Policy Characteristics'!K:K,MATCH($C1285,'Policy Characteristics'!$C:$C,0))),"",INDEX('Policy Characteristics'!K:K,MATCH($C1285,'Policy Characteristics'!$C:$C,0)))</f>
        <v>fuels.html#carbon-tax</v>
      </c>
      <c r="R1285" s="275" t="str">
        <f>IF(ISBLANK(INDEX('Policy Characteristics'!L:L,MATCH($C1285,'Policy Characteristics'!$C:$C,0))),"",INDEX('Policy Characteristics'!L:L,MATCH($C1285,'Policy Characteristics'!$C:$C,0)))</f>
        <v>carbon-tax.html</v>
      </c>
    </row>
    <row r="1286" spans="1:18" s="2" customFormat="1" x14ac:dyDescent="0.25">
      <c r="A1286" s="275" t="str">
        <f>IF(ISBLANK(INDEX('Policy Characteristics'!A:A,MATCH($C1286,'Policy Characteristics'!$C:$C,0))),"",INDEX('Policy Characteristics'!A:A,MATCH($C1286,'Policy Characteristics'!$C:$C,0)))</f>
        <v>Cross-Sector</v>
      </c>
      <c r="B1286" s="284" t="str">
        <f>IF(ISBLANK(INDEX('Policy Characteristics'!B:B,MATCH($C1286,'Policy Characteristics'!$C:$C,0))),"",INDEX('Policy Characteristics'!B:B,MATCH($C1286,'Policy Characteristics'!$C:$C,0)))</f>
        <v>Exempt Process Emissions from C Tax</v>
      </c>
      <c r="C1286" s="275" t="str">
        <f>C$1285</f>
        <v>BEPEfCT Boolean Exempt Process Emissions from Carbon Tax</v>
      </c>
      <c r="D1286" s="6" t="s">
        <v>3071</v>
      </c>
      <c r="E1286" s="6"/>
      <c r="F1286" t="s">
        <v>2763</v>
      </c>
      <c r="G1286" s="6"/>
      <c r="H1286" s="49">
        <v>1629</v>
      </c>
      <c r="I1286" s="347" t="s">
        <v>43</v>
      </c>
      <c r="J1286" s="276" t="str">
        <f>IF(ISBLANK(INDEX('Policy Characteristics'!D:D,MATCH($C1286,'Policy Characteristics'!$C:$C,0))),"",INDEX('Policy Characteristics'!D:D,MATCH($C1286,'Policy Characteristics'!$C:$C,0)))</f>
        <v/>
      </c>
      <c r="K1286" s="275" t="str">
        <f>IF(ISBLANK(INDEX('Policy Characteristics'!E:E,MATCH($C1286,'Policy Characteristics'!$C:$C,0))),"",INDEX('Policy Characteristics'!E:E,MATCH($C1286,'Policy Characteristics'!$C:$C,0)))</f>
        <v>cross toggle whether carbon tax affects process emissions</v>
      </c>
      <c r="L1286" s="275">
        <f>IF(ISBLANK(INDEX('Policy Characteristics'!F:F,MATCH($C1286,'Policy Characteristics'!$C:$C,0))),"",INDEX('Policy Characteristics'!F:F,MATCH($C1286,'Policy Characteristics'!$C:$C,0)))</f>
        <v>0</v>
      </c>
      <c r="M1286" s="275">
        <f>IF(ISBLANK(INDEX('Policy Characteristics'!G:G,MATCH($C1286,'Policy Characteristics'!$C:$C,0))),"",INDEX('Policy Characteristics'!G:G,MATCH($C1286,'Policy Characteristics'!$C:$C,0)))</f>
        <v>1</v>
      </c>
      <c r="N1286" s="275">
        <f>IF(ISBLANK(INDEX('Policy Characteristics'!H:H,MATCH($C1286,'Policy Characteristics'!$C:$C,0))),"",INDEX('Policy Characteristics'!H:H,MATCH($C1286,'Policy Characteristics'!$C:$C,0)))</f>
        <v>1</v>
      </c>
      <c r="O1286" s="275" t="str">
        <f>IF(ISBLANK(INDEX('Policy Characteristics'!I:I,MATCH($C1286,'Policy Characteristics'!$C:$C,0))),"",INDEX('Policy Characteristics'!I:I,MATCH($C1286,'Policy Characteristics'!$C:$C,0)))</f>
        <v>on/off</v>
      </c>
      <c r="P1286" s="275" t="str">
        <f>IF(ISBLANK(INDEX('Policy Characteristics'!J:J,MATCH($C1286,'Policy Characteristics'!$C:$C,0))),"",INDEX('Policy Characteristics'!J:J,MATCH($C1286,'Policy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6" s="275" t="str">
        <f>IF(ISBLANK(INDEX('Policy Characteristics'!K:K,MATCH($C1286,'Policy Characteristics'!$C:$C,0))),"",INDEX('Policy Characteristics'!K:K,MATCH($C1286,'Policy Characteristics'!$C:$C,0)))</f>
        <v>fuels.html#carbon-tax</v>
      </c>
      <c r="R1286" s="275" t="str">
        <f>IF(ISBLANK(INDEX('Policy Characteristics'!L:L,MATCH($C1286,'Policy Characteristics'!$C:$C,0))),"",INDEX('Policy Characteristics'!L:L,MATCH($C1286,'Policy Characteristics'!$C:$C,0)))</f>
        <v>carbon-tax.html</v>
      </c>
    </row>
    <row r="1287" spans="1:18" s="2" customFormat="1" x14ac:dyDescent="0.25">
      <c r="A1287" s="275" t="str">
        <f>IF(ISBLANK(INDEX('Policy Characteristics'!A:A,MATCH($C1287,'Policy Characteristics'!$C:$C,0))),"",INDEX('Policy Characteristics'!A:A,MATCH($C1287,'Policy Characteristics'!$C:$C,0)))</f>
        <v>Cross-Sector</v>
      </c>
      <c r="B1287" s="284" t="str">
        <f>IF(ISBLANK(INDEX('Policy Characteristics'!B:B,MATCH($C1287,'Policy Characteristics'!$C:$C,0))),"",INDEX('Policy Characteristics'!B:B,MATCH($C1287,'Policy Characteristics'!$C:$C,0)))</f>
        <v>Exempt Process Emissions from C Tax</v>
      </c>
      <c r="C1287" s="275" t="str">
        <f t="shared" ref="C1287:C1309" si="55">C$1285</f>
        <v>BEPEfCT Boolean Exempt Process Emissions from Carbon Tax</v>
      </c>
      <c r="D1287" s="6" t="s">
        <v>3072</v>
      </c>
      <c r="E1287" s="6"/>
      <c r="F1287" t="s">
        <v>3036</v>
      </c>
      <c r="G1287" s="6"/>
      <c r="H1287" s="49">
        <v>1630</v>
      </c>
      <c r="I1287" s="347" t="s">
        <v>43</v>
      </c>
      <c r="J1287" s="276" t="str">
        <f>IF(ISBLANK(INDEX('Policy Characteristics'!D:D,MATCH($C1287,'Policy Characteristics'!$C:$C,0))),"",INDEX('Policy Characteristics'!D:D,MATCH($C1287,'Policy Characteristics'!$C:$C,0)))</f>
        <v/>
      </c>
      <c r="K1287" s="275" t="str">
        <f>IF(ISBLANK(INDEX('Policy Characteristics'!E:E,MATCH($C1287,'Policy Characteristics'!$C:$C,0))),"",INDEX('Policy Characteristics'!E:E,MATCH($C1287,'Policy Characteristics'!$C:$C,0)))</f>
        <v>cross toggle whether carbon tax affects process emissions</v>
      </c>
      <c r="L1287" s="275">
        <f>IF(ISBLANK(INDEX('Policy Characteristics'!F:F,MATCH($C1287,'Policy Characteristics'!$C:$C,0))),"",INDEX('Policy Characteristics'!F:F,MATCH($C1287,'Policy Characteristics'!$C:$C,0)))</f>
        <v>0</v>
      </c>
      <c r="M1287" s="275">
        <f>IF(ISBLANK(INDEX('Policy Characteristics'!G:G,MATCH($C1287,'Policy Characteristics'!$C:$C,0))),"",INDEX('Policy Characteristics'!G:G,MATCH($C1287,'Policy Characteristics'!$C:$C,0)))</f>
        <v>1</v>
      </c>
      <c r="N1287" s="275">
        <f>IF(ISBLANK(INDEX('Policy Characteristics'!H:H,MATCH($C1287,'Policy Characteristics'!$C:$C,0))),"",INDEX('Policy Characteristics'!H:H,MATCH($C1287,'Policy Characteristics'!$C:$C,0)))</f>
        <v>1</v>
      </c>
      <c r="O1287" s="275" t="str">
        <f>IF(ISBLANK(INDEX('Policy Characteristics'!I:I,MATCH($C1287,'Policy Characteristics'!$C:$C,0))),"",INDEX('Policy Characteristics'!I:I,MATCH($C1287,'Policy Characteristics'!$C:$C,0)))</f>
        <v>on/off</v>
      </c>
      <c r="P1287" s="275" t="str">
        <f>IF(ISBLANK(INDEX('Policy Characteristics'!J:J,MATCH($C1287,'Policy Characteristics'!$C:$C,0))),"",INDEX('Policy Characteristics'!J:J,MATCH($C1287,'Policy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7" s="275" t="str">
        <f>IF(ISBLANK(INDEX('Policy Characteristics'!K:K,MATCH($C1287,'Policy Characteristics'!$C:$C,0))),"",INDEX('Policy Characteristics'!K:K,MATCH($C1287,'Policy Characteristics'!$C:$C,0)))</f>
        <v>fuels.html#carbon-tax</v>
      </c>
      <c r="R1287" s="275" t="str">
        <f>IF(ISBLANK(INDEX('Policy Characteristics'!L:L,MATCH($C1287,'Policy Characteristics'!$C:$C,0))),"",INDEX('Policy Characteristics'!L:L,MATCH($C1287,'Policy Characteristics'!$C:$C,0)))</f>
        <v>carbon-tax.html</v>
      </c>
    </row>
    <row r="1288" spans="1:18" s="2" customFormat="1" x14ac:dyDescent="0.25">
      <c r="A1288" s="275" t="str">
        <f>IF(ISBLANK(INDEX('Policy Characteristics'!A:A,MATCH($C1288,'Policy Characteristics'!$C:$C,0))),"",INDEX('Policy Characteristics'!A:A,MATCH($C1288,'Policy Characteristics'!$C:$C,0)))</f>
        <v>Cross-Sector</v>
      </c>
      <c r="B1288" s="284" t="str">
        <f>IF(ISBLANK(INDEX('Policy Characteristics'!B:B,MATCH($C1288,'Policy Characteristics'!$C:$C,0))),"",INDEX('Policy Characteristics'!B:B,MATCH($C1288,'Policy Characteristics'!$C:$C,0)))</f>
        <v>Exempt Process Emissions from C Tax</v>
      </c>
      <c r="C1288" s="275" t="str">
        <f t="shared" si="55"/>
        <v>BEPEfCT Boolean Exempt Process Emissions from Carbon Tax</v>
      </c>
      <c r="D1288" s="6" t="s">
        <v>3073</v>
      </c>
      <c r="E1288" s="6"/>
      <c r="F1288" t="s">
        <v>3037</v>
      </c>
      <c r="G1288" s="6"/>
      <c r="H1288" s="49">
        <v>1631</v>
      </c>
      <c r="I1288" s="347" t="s">
        <v>44</v>
      </c>
      <c r="J1288" s="276" t="str">
        <f>IF(ISBLANK(INDEX('Policy Characteristics'!D:D,MATCH($C1288,'Policy Characteristics'!$C:$C,0))),"",INDEX('Policy Characteristics'!D:D,MATCH($C1288,'Policy Characteristics'!$C:$C,0)))</f>
        <v/>
      </c>
      <c r="K1288" s="275" t="str">
        <f>IF(ISBLANK(INDEX('Policy Characteristics'!E:E,MATCH($C1288,'Policy Characteristics'!$C:$C,0))),"",INDEX('Policy Characteristics'!E:E,MATCH($C1288,'Policy Characteristics'!$C:$C,0)))</f>
        <v>cross toggle whether carbon tax affects process emissions</v>
      </c>
      <c r="L1288" s="275">
        <f>IF(ISBLANK(INDEX('Policy Characteristics'!F:F,MATCH($C1288,'Policy Characteristics'!$C:$C,0))),"",INDEX('Policy Characteristics'!F:F,MATCH($C1288,'Policy Characteristics'!$C:$C,0)))</f>
        <v>0</v>
      </c>
      <c r="M1288" s="275">
        <f>IF(ISBLANK(INDEX('Policy Characteristics'!G:G,MATCH($C1288,'Policy Characteristics'!$C:$C,0))),"",INDEX('Policy Characteristics'!G:G,MATCH($C1288,'Policy Characteristics'!$C:$C,0)))</f>
        <v>1</v>
      </c>
      <c r="N1288" s="275">
        <f>IF(ISBLANK(INDEX('Policy Characteristics'!H:H,MATCH($C1288,'Policy Characteristics'!$C:$C,0))),"",INDEX('Policy Characteristics'!H:H,MATCH($C1288,'Policy Characteristics'!$C:$C,0)))</f>
        <v>1</v>
      </c>
      <c r="O1288" s="275" t="str">
        <f>IF(ISBLANK(INDEX('Policy Characteristics'!I:I,MATCH($C1288,'Policy Characteristics'!$C:$C,0))),"",INDEX('Policy Characteristics'!I:I,MATCH($C1288,'Policy Characteristics'!$C:$C,0)))</f>
        <v>on/off</v>
      </c>
      <c r="P1288" s="275" t="str">
        <f>IF(ISBLANK(INDEX('Policy Characteristics'!J:J,MATCH($C1288,'Policy Characteristics'!$C:$C,0))),"",INDEX('Policy Characteristics'!J:J,MATCH($C1288,'Policy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8" s="275" t="str">
        <f>IF(ISBLANK(INDEX('Policy Characteristics'!K:K,MATCH($C1288,'Policy Characteristics'!$C:$C,0))),"",INDEX('Policy Characteristics'!K:K,MATCH($C1288,'Policy Characteristics'!$C:$C,0)))</f>
        <v>fuels.html#carbon-tax</v>
      </c>
      <c r="R1288" s="275" t="str">
        <f>IF(ISBLANK(INDEX('Policy Characteristics'!L:L,MATCH($C1288,'Policy Characteristics'!$C:$C,0))),"",INDEX('Policy Characteristics'!L:L,MATCH($C1288,'Policy Characteristics'!$C:$C,0)))</f>
        <v>carbon-tax.html</v>
      </c>
    </row>
    <row r="1289" spans="1:18" s="2" customFormat="1" x14ac:dyDescent="0.25">
      <c r="A1289" s="275" t="str">
        <f>IF(ISBLANK(INDEX('Policy Characteristics'!A:A,MATCH($C1289,'Policy Characteristics'!$C:$C,0))),"",INDEX('Policy Characteristics'!A:A,MATCH($C1289,'Policy Characteristics'!$C:$C,0)))</f>
        <v>Cross-Sector</v>
      </c>
      <c r="B1289" s="284" t="str">
        <f>IF(ISBLANK(INDEX('Policy Characteristics'!B:B,MATCH($C1289,'Policy Characteristics'!$C:$C,0))),"",INDEX('Policy Characteristics'!B:B,MATCH($C1289,'Policy Characteristics'!$C:$C,0)))</f>
        <v>Exempt Process Emissions from C Tax</v>
      </c>
      <c r="C1289" s="275" t="str">
        <f t="shared" si="55"/>
        <v>BEPEfCT Boolean Exempt Process Emissions from Carbon Tax</v>
      </c>
      <c r="D1289" s="6" t="s">
        <v>3074</v>
      </c>
      <c r="E1289" s="6"/>
      <c r="F1289" t="s">
        <v>3038</v>
      </c>
      <c r="G1289" s="6"/>
      <c r="H1289" s="49">
        <v>1632</v>
      </c>
      <c r="I1289" s="347" t="s">
        <v>44</v>
      </c>
      <c r="J1289" s="276" t="str">
        <f>IF(ISBLANK(INDEX('Policy Characteristics'!D:D,MATCH($C1289,'Policy Characteristics'!$C:$C,0))),"",INDEX('Policy Characteristics'!D:D,MATCH($C1289,'Policy Characteristics'!$C:$C,0)))</f>
        <v/>
      </c>
      <c r="K1289" s="275" t="str">
        <f>IF(ISBLANK(INDEX('Policy Characteristics'!E:E,MATCH($C1289,'Policy Characteristics'!$C:$C,0))),"",INDEX('Policy Characteristics'!E:E,MATCH($C1289,'Policy Characteristics'!$C:$C,0)))</f>
        <v>cross toggle whether carbon tax affects process emissions</v>
      </c>
      <c r="L1289" s="275">
        <f>IF(ISBLANK(INDEX('Policy Characteristics'!F:F,MATCH($C1289,'Policy Characteristics'!$C:$C,0))),"",INDEX('Policy Characteristics'!F:F,MATCH($C1289,'Policy Characteristics'!$C:$C,0)))</f>
        <v>0</v>
      </c>
      <c r="M1289" s="275">
        <f>IF(ISBLANK(INDEX('Policy Characteristics'!G:G,MATCH($C1289,'Policy Characteristics'!$C:$C,0))),"",INDEX('Policy Characteristics'!G:G,MATCH($C1289,'Policy Characteristics'!$C:$C,0)))</f>
        <v>1</v>
      </c>
      <c r="N1289" s="275">
        <f>IF(ISBLANK(INDEX('Policy Characteristics'!H:H,MATCH($C1289,'Policy Characteristics'!$C:$C,0))),"",INDEX('Policy Characteristics'!H:H,MATCH($C1289,'Policy Characteristics'!$C:$C,0)))</f>
        <v>1</v>
      </c>
      <c r="O1289" s="275" t="str">
        <f>IF(ISBLANK(INDEX('Policy Characteristics'!I:I,MATCH($C1289,'Policy Characteristics'!$C:$C,0))),"",INDEX('Policy Characteristics'!I:I,MATCH($C1289,'Policy Characteristics'!$C:$C,0)))</f>
        <v>on/off</v>
      </c>
      <c r="P1289" s="275" t="str">
        <f>IF(ISBLANK(INDEX('Policy Characteristics'!J:J,MATCH($C1289,'Policy Characteristics'!$C:$C,0))),"",INDEX('Policy Characteristics'!J:J,MATCH($C1289,'Policy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9" s="275" t="str">
        <f>IF(ISBLANK(INDEX('Policy Characteristics'!K:K,MATCH($C1289,'Policy Characteristics'!$C:$C,0))),"",INDEX('Policy Characteristics'!K:K,MATCH($C1289,'Policy Characteristics'!$C:$C,0)))</f>
        <v>fuels.html#carbon-tax</v>
      </c>
      <c r="R1289" s="275" t="str">
        <f>IF(ISBLANK(INDEX('Policy Characteristics'!L:L,MATCH($C1289,'Policy Characteristics'!$C:$C,0))),"",INDEX('Policy Characteristics'!L:L,MATCH($C1289,'Policy Characteristics'!$C:$C,0)))</f>
        <v>carbon-tax.html</v>
      </c>
    </row>
    <row r="1290" spans="1:18" s="2" customFormat="1" x14ac:dyDescent="0.25">
      <c r="A1290" s="275" t="str">
        <f>IF(ISBLANK(INDEX('Policy Characteristics'!A:A,MATCH($C1290,'Policy Characteristics'!$C:$C,0))),"",INDEX('Policy Characteristics'!A:A,MATCH($C1290,'Policy Characteristics'!$C:$C,0)))</f>
        <v>Cross-Sector</v>
      </c>
      <c r="B1290" s="284" t="str">
        <f>IF(ISBLANK(INDEX('Policy Characteristics'!B:B,MATCH($C1290,'Policy Characteristics'!$C:$C,0))),"",INDEX('Policy Characteristics'!B:B,MATCH($C1290,'Policy Characteristics'!$C:$C,0)))</f>
        <v>Exempt Process Emissions from C Tax</v>
      </c>
      <c r="C1290" s="275" t="str">
        <f t="shared" si="55"/>
        <v>BEPEfCT Boolean Exempt Process Emissions from Carbon Tax</v>
      </c>
      <c r="D1290" s="6" t="s">
        <v>3075</v>
      </c>
      <c r="E1290" s="6"/>
      <c r="F1290" t="s">
        <v>3039</v>
      </c>
      <c r="G1290" s="6"/>
      <c r="H1290" s="49">
        <v>1633</v>
      </c>
      <c r="I1290" s="347" t="s">
        <v>44</v>
      </c>
      <c r="J1290" s="276" t="str">
        <f>IF(ISBLANK(INDEX('Policy Characteristics'!D:D,MATCH($C1290,'Policy Characteristics'!$C:$C,0))),"",INDEX('Policy Characteristics'!D:D,MATCH($C1290,'Policy Characteristics'!$C:$C,0)))</f>
        <v/>
      </c>
      <c r="K1290" s="275" t="str">
        <f>IF(ISBLANK(INDEX('Policy Characteristics'!E:E,MATCH($C1290,'Policy Characteristics'!$C:$C,0))),"",INDEX('Policy Characteristics'!E:E,MATCH($C1290,'Policy Characteristics'!$C:$C,0)))</f>
        <v>cross toggle whether carbon tax affects process emissions</v>
      </c>
      <c r="L1290" s="275">
        <f>IF(ISBLANK(INDEX('Policy Characteristics'!F:F,MATCH($C1290,'Policy Characteristics'!$C:$C,0))),"",INDEX('Policy Characteristics'!F:F,MATCH($C1290,'Policy Characteristics'!$C:$C,0)))</f>
        <v>0</v>
      </c>
      <c r="M1290" s="275">
        <f>IF(ISBLANK(INDEX('Policy Characteristics'!G:G,MATCH($C1290,'Policy Characteristics'!$C:$C,0))),"",INDEX('Policy Characteristics'!G:G,MATCH($C1290,'Policy Characteristics'!$C:$C,0)))</f>
        <v>1</v>
      </c>
      <c r="N1290" s="275">
        <f>IF(ISBLANK(INDEX('Policy Characteristics'!H:H,MATCH($C1290,'Policy Characteristics'!$C:$C,0))),"",INDEX('Policy Characteristics'!H:H,MATCH($C1290,'Policy Characteristics'!$C:$C,0)))</f>
        <v>1</v>
      </c>
      <c r="O1290" s="275" t="str">
        <f>IF(ISBLANK(INDEX('Policy Characteristics'!I:I,MATCH($C1290,'Policy Characteristics'!$C:$C,0))),"",INDEX('Policy Characteristics'!I:I,MATCH($C1290,'Policy Characteristics'!$C:$C,0)))</f>
        <v>on/off</v>
      </c>
      <c r="P1290" s="275" t="str">
        <f>IF(ISBLANK(INDEX('Policy Characteristics'!J:J,MATCH($C1290,'Policy Characteristics'!$C:$C,0))),"",INDEX('Policy Characteristics'!J:J,MATCH($C1290,'Policy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0" s="275" t="str">
        <f>IF(ISBLANK(INDEX('Policy Characteristics'!K:K,MATCH($C1290,'Policy Characteristics'!$C:$C,0))),"",INDEX('Policy Characteristics'!K:K,MATCH($C1290,'Policy Characteristics'!$C:$C,0)))</f>
        <v>fuels.html#carbon-tax</v>
      </c>
      <c r="R1290" s="275" t="str">
        <f>IF(ISBLANK(INDEX('Policy Characteristics'!L:L,MATCH($C1290,'Policy Characteristics'!$C:$C,0))),"",INDEX('Policy Characteristics'!L:L,MATCH($C1290,'Policy Characteristics'!$C:$C,0)))</f>
        <v>carbon-tax.html</v>
      </c>
    </row>
    <row r="1291" spans="1:18" s="2" customFormat="1" x14ac:dyDescent="0.25">
      <c r="A1291" s="275" t="str">
        <f>IF(ISBLANK(INDEX('Policy Characteristics'!A:A,MATCH($C1291,'Policy Characteristics'!$C:$C,0))),"",INDEX('Policy Characteristics'!A:A,MATCH($C1291,'Policy Characteristics'!$C:$C,0)))</f>
        <v>Cross-Sector</v>
      </c>
      <c r="B1291" s="284" t="str">
        <f>IF(ISBLANK(INDEX('Policy Characteristics'!B:B,MATCH($C1291,'Policy Characteristics'!$C:$C,0))),"",INDEX('Policy Characteristics'!B:B,MATCH($C1291,'Policy Characteristics'!$C:$C,0)))</f>
        <v>Exempt Process Emissions from C Tax</v>
      </c>
      <c r="C1291" s="275" t="str">
        <f t="shared" si="55"/>
        <v>BEPEfCT Boolean Exempt Process Emissions from Carbon Tax</v>
      </c>
      <c r="D1291" s="6" t="s">
        <v>3076</v>
      </c>
      <c r="E1291" s="6"/>
      <c r="F1291" t="s">
        <v>3040</v>
      </c>
      <c r="G1291" s="6"/>
      <c r="H1291" s="49">
        <v>1634</v>
      </c>
      <c r="I1291" s="347" t="s">
        <v>44</v>
      </c>
      <c r="J1291" s="276" t="str">
        <f>IF(ISBLANK(INDEX('Policy Characteristics'!D:D,MATCH($C1291,'Policy Characteristics'!$C:$C,0))),"",INDEX('Policy Characteristics'!D:D,MATCH($C1291,'Policy Characteristics'!$C:$C,0)))</f>
        <v/>
      </c>
      <c r="K1291" s="275" t="str">
        <f>IF(ISBLANK(INDEX('Policy Characteristics'!E:E,MATCH($C1291,'Policy Characteristics'!$C:$C,0))),"",INDEX('Policy Characteristics'!E:E,MATCH($C1291,'Policy Characteristics'!$C:$C,0)))</f>
        <v>cross toggle whether carbon tax affects process emissions</v>
      </c>
      <c r="L1291" s="275">
        <f>IF(ISBLANK(INDEX('Policy Characteristics'!F:F,MATCH($C1291,'Policy Characteristics'!$C:$C,0))),"",INDEX('Policy Characteristics'!F:F,MATCH($C1291,'Policy Characteristics'!$C:$C,0)))</f>
        <v>0</v>
      </c>
      <c r="M1291" s="275">
        <f>IF(ISBLANK(INDEX('Policy Characteristics'!G:G,MATCH($C1291,'Policy Characteristics'!$C:$C,0))),"",INDEX('Policy Characteristics'!G:G,MATCH($C1291,'Policy Characteristics'!$C:$C,0)))</f>
        <v>1</v>
      </c>
      <c r="N1291" s="275">
        <f>IF(ISBLANK(INDEX('Policy Characteristics'!H:H,MATCH($C1291,'Policy Characteristics'!$C:$C,0))),"",INDEX('Policy Characteristics'!H:H,MATCH($C1291,'Policy Characteristics'!$C:$C,0)))</f>
        <v>1</v>
      </c>
      <c r="O1291" s="275" t="str">
        <f>IF(ISBLANK(INDEX('Policy Characteristics'!I:I,MATCH($C1291,'Policy Characteristics'!$C:$C,0))),"",INDEX('Policy Characteristics'!I:I,MATCH($C1291,'Policy Characteristics'!$C:$C,0)))</f>
        <v>on/off</v>
      </c>
      <c r="P1291" s="275" t="str">
        <f>IF(ISBLANK(INDEX('Policy Characteristics'!J:J,MATCH($C1291,'Policy Characteristics'!$C:$C,0))),"",INDEX('Policy Characteristics'!J:J,MATCH($C1291,'Policy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1" s="275" t="str">
        <f>IF(ISBLANK(INDEX('Policy Characteristics'!K:K,MATCH($C1291,'Policy Characteristics'!$C:$C,0))),"",INDEX('Policy Characteristics'!K:K,MATCH($C1291,'Policy Characteristics'!$C:$C,0)))</f>
        <v>fuels.html#carbon-tax</v>
      </c>
      <c r="R1291" s="275" t="str">
        <f>IF(ISBLANK(INDEX('Policy Characteristics'!L:L,MATCH($C1291,'Policy Characteristics'!$C:$C,0))),"",INDEX('Policy Characteristics'!L:L,MATCH($C1291,'Policy Characteristics'!$C:$C,0)))</f>
        <v>carbon-tax.html</v>
      </c>
    </row>
    <row r="1292" spans="1:18" s="2" customFormat="1" x14ac:dyDescent="0.25">
      <c r="A1292" s="275" t="str">
        <f>IF(ISBLANK(INDEX('Policy Characteristics'!A:A,MATCH($C1292,'Policy Characteristics'!$C:$C,0))),"",INDEX('Policy Characteristics'!A:A,MATCH($C1292,'Policy Characteristics'!$C:$C,0)))</f>
        <v>Cross-Sector</v>
      </c>
      <c r="B1292" s="284" t="str">
        <f>IF(ISBLANK(INDEX('Policy Characteristics'!B:B,MATCH($C1292,'Policy Characteristics'!$C:$C,0))),"",INDEX('Policy Characteristics'!B:B,MATCH($C1292,'Policy Characteristics'!$C:$C,0)))</f>
        <v>Exempt Process Emissions from C Tax</v>
      </c>
      <c r="C1292" s="275" t="str">
        <f t="shared" si="55"/>
        <v>BEPEfCT Boolean Exempt Process Emissions from Carbon Tax</v>
      </c>
      <c r="D1292" s="6" t="s">
        <v>3077</v>
      </c>
      <c r="E1292" s="6"/>
      <c r="F1292" t="s">
        <v>3041</v>
      </c>
      <c r="G1292" s="6"/>
      <c r="H1292" s="49">
        <v>1635</v>
      </c>
      <c r="I1292" s="347" t="s">
        <v>44</v>
      </c>
      <c r="J1292" s="276" t="str">
        <f>IF(ISBLANK(INDEX('Policy Characteristics'!D:D,MATCH($C1292,'Policy Characteristics'!$C:$C,0))),"",INDEX('Policy Characteristics'!D:D,MATCH($C1292,'Policy Characteristics'!$C:$C,0)))</f>
        <v/>
      </c>
      <c r="K1292" s="275" t="str">
        <f>IF(ISBLANK(INDEX('Policy Characteristics'!E:E,MATCH($C1292,'Policy Characteristics'!$C:$C,0))),"",INDEX('Policy Characteristics'!E:E,MATCH($C1292,'Policy Characteristics'!$C:$C,0)))</f>
        <v>cross toggle whether carbon tax affects process emissions</v>
      </c>
      <c r="L1292" s="275">
        <f>IF(ISBLANK(INDEX('Policy Characteristics'!F:F,MATCH($C1292,'Policy Characteristics'!$C:$C,0))),"",INDEX('Policy Characteristics'!F:F,MATCH($C1292,'Policy Characteristics'!$C:$C,0)))</f>
        <v>0</v>
      </c>
      <c r="M1292" s="275">
        <f>IF(ISBLANK(INDEX('Policy Characteristics'!G:G,MATCH($C1292,'Policy Characteristics'!$C:$C,0))),"",INDEX('Policy Characteristics'!G:G,MATCH($C1292,'Policy Characteristics'!$C:$C,0)))</f>
        <v>1</v>
      </c>
      <c r="N1292" s="275">
        <f>IF(ISBLANK(INDEX('Policy Characteristics'!H:H,MATCH($C1292,'Policy Characteristics'!$C:$C,0))),"",INDEX('Policy Characteristics'!H:H,MATCH($C1292,'Policy Characteristics'!$C:$C,0)))</f>
        <v>1</v>
      </c>
      <c r="O1292" s="275" t="str">
        <f>IF(ISBLANK(INDEX('Policy Characteristics'!I:I,MATCH($C1292,'Policy Characteristics'!$C:$C,0))),"",INDEX('Policy Characteristics'!I:I,MATCH($C1292,'Policy Characteristics'!$C:$C,0)))</f>
        <v>on/off</v>
      </c>
      <c r="P1292" s="275" t="str">
        <f>IF(ISBLANK(INDEX('Policy Characteristics'!J:J,MATCH($C1292,'Policy Characteristics'!$C:$C,0))),"",INDEX('Policy Characteristics'!J:J,MATCH($C1292,'Policy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2" s="275" t="str">
        <f>IF(ISBLANK(INDEX('Policy Characteristics'!K:K,MATCH($C1292,'Policy Characteristics'!$C:$C,0))),"",INDEX('Policy Characteristics'!K:K,MATCH($C1292,'Policy Characteristics'!$C:$C,0)))</f>
        <v>fuels.html#carbon-tax</v>
      </c>
      <c r="R1292" s="275" t="str">
        <f>IF(ISBLANK(INDEX('Policy Characteristics'!L:L,MATCH($C1292,'Policy Characteristics'!$C:$C,0))),"",INDEX('Policy Characteristics'!L:L,MATCH($C1292,'Policy Characteristics'!$C:$C,0)))</f>
        <v>carbon-tax.html</v>
      </c>
    </row>
    <row r="1293" spans="1:18" s="2" customFormat="1" x14ac:dyDescent="0.25">
      <c r="A1293" s="275" t="str">
        <f>IF(ISBLANK(INDEX('Policy Characteristics'!A:A,MATCH($C1293,'Policy Characteristics'!$C:$C,0))),"",INDEX('Policy Characteristics'!A:A,MATCH($C1293,'Policy Characteristics'!$C:$C,0)))</f>
        <v>Cross-Sector</v>
      </c>
      <c r="B1293" s="284" t="str">
        <f>IF(ISBLANK(INDEX('Policy Characteristics'!B:B,MATCH($C1293,'Policy Characteristics'!$C:$C,0))),"",INDEX('Policy Characteristics'!B:B,MATCH($C1293,'Policy Characteristics'!$C:$C,0)))</f>
        <v>Exempt Process Emissions from C Tax</v>
      </c>
      <c r="C1293" s="275" t="str">
        <f t="shared" si="55"/>
        <v>BEPEfCT Boolean Exempt Process Emissions from Carbon Tax</v>
      </c>
      <c r="D1293" s="6" t="s">
        <v>3078</v>
      </c>
      <c r="E1293" s="6"/>
      <c r="F1293" t="s">
        <v>3042</v>
      </c>
      <c r="G1293" s="6"/>
      <c r="H1293" s="49">
        <v>1636</v>
      </c>
      <c r="I1293" s="347" t="s">
        <v>44</v>
      </c>
      <c r="J1293" s="276" t="str">
        <f>IF(ISBLANK(INDEX('Policy Characteristics'!D:D,MATCH($C1293,'Policy Characteristics'!$C:$C,0))),"",INDEX('Policy Characteristics'!D:D,MATCH($C1293,'Policy Characteristics'!$C:$C,0)))</f>
        <v/>
      </c>
      <c r="K1293" s="275" t="str">
        <f>IF(ISBLANK(INDEX('Policy Characteristics'!E:E,MATCH($C1293,'Policy Characteristics'!$C:$C,0))),"",INDEX('Policy Characteristics'!E:E,MATCH($C1293,'Policy Characteristics'!$C:$C,0)))</f>
        <v>cross toggle whether carbon tax affects process emissions</v>
      </c>
      <c r="L1293" s="275">
        <f>IF(ISBLANK(INDEX('Policy Characteristics'!F:F,MATCH($C1293,'Policy Characteristics'!$C:$C,0))),"",INDEX('Policy Characteristics'!F:F,MATCH($C1293,'Policy Characteristics'!$C:$C,0)))</f>
        <v>0</v>
      </c>
      <c r="M1293" s="275">
        <f>IF(ISBLANK(INDEX('Policy Characteristics'!G:G,MATCH($C1293,'Policy Characteristics'!$C:$C,0))),"",INDEX('Policy Characteristics'!G:G,MATCH($C1293,'Policy Characteristics'!$C:$C,0)))</f>
        <v>1</v>
      </c>
      <c r="N1293" s="275">
        <f>IF(ISBLANK(INDEX('Policy Characteristics'!H:H,MATCH($C1293,'Policy Characteristics'!$C:$C,0))),"",INDEX('Policy Characteristics'!H:H,MATCH($C1293,'Policy Characteristics'!$C:$C,0)))</f>
        <v>1</v>
      </c>
      <c r="O1293" s="275" t="str">
        <f>IF(ISBLANK(INDEX('Policy Characteristics'!I:I,MATCH($C1293,'Policy Characteristics'!$C:$C,0))),"",INDEX('Policy Characteristics'!I:I,MATCH($C1293,'Policy Characteristics'!$C:$C,0)))</f>
        <v>on/off</v>
      </c>
      <c r="P1293" s="275" t="str">
        <f>IF(ISBLANK(INDEX('Policy Characteristics'!J:J,MATCH($C1293,'Policy Characteristics'!$C:$C,0))),"",INDEX('Policy Characteristics'!J:J,MATCH($C1293,'Policy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3" s="275" t="str">
        <f>IF(ISBLANK(INDEX('Policy Characteristics'!K:K,MATCH($C1293,'Policy Characteristics'!$C:$C,0))),"",INDEX('Policy Characteristics'!K:K,MATCH($C1293,'Policy Characteristics'!$C:$C,0)))</f>
        <v>fuels.html#carbon-tax</v>
      </c>
      <c r="R1293" s="275" t="str">
        <f>IF(ISBLANK(INDEX('Policy Characteristics'!L:L,MATCH($C1293,'Policy Characteristics'!$C:$C,0))),"",INDEX('Policy Characteristics'!L:L,MATCH($C1293,'Policy Characteristics'!$C:$C,0)))</f>
        <v>carbon-tax.html</v>
      </c>
    </row>
    <row r="1294" spans="1:18" s="2" customFormat="1" x14ac:dyDescent="0.25">
      <c r="A1294" s="275" t="str">
        <f>IF(ISBLANK(INDEX('Policy Characteristics'!A:A,MATCH($C1294,'Policy Characteristics'!$C:$C,0))),"",INDEX('Policy Characteristics'!A:A,MATCH($C1294,'Policy Characteristics'!$C:$C,0)))</f>
        <v>Cross-Sector</v>
      </c>
      <c r="B1294" s="284" t="str">
        <f>IF(ISBLANK(INDEX('Policy Characteristics'!B:B,MATCH($C1294,'Policy Characteristics'!$C:$C,0))),"",INDEX('Policy Characteristics'!B:B,MATCH($C1294,'Policy Characteristics'!$C:$C,0)))</f>
        <v>Exempt Process Emissions from C Tax</v>
      </c>
      <c r="C1294" s="275" t="str">
        <f t="shared" si="55"/>
        <v>BEPEfCT Boolean Exempt Process Emissions from Carbon Tax</v>
      </c>
      <c r="D1294" s="6" t="s">
        <v>3079</v>
      </c>
      <c r="E1294" s="6"/>
      <c r="F1294" t="s">
        <v>2582</v>
      </c>
      <c r="G1294" s="6"/>
      <c r="H1294" s="49">
        <v>1637</v>
      </c>
      <c r="I1294" s="347" t="s">
        <v>43</v>
      </c>
      <c r="J1294" s="276" t="str">
        <f>IF(ISBLANK(INDEX('Policy Characteristics'!D:D,MATCH($C1294,'Policy Characteristics'!$C:$C,0))),"",INDEX('Policy Characteristics'!D:D,MATCH($C1294,'Policy Characteristics'!$C:$C,0)))</f>
        <v/>
      </c>
      <c r="K1294" s="275" t="str">
        <f>IF(ISBLANK(INDEX('Policy Characteristics'!E:E,MATCH($C1294,'Policy Characteristics'!$C:$C,0))),"",INDEX('Policy Characteristics'!E:E,MATCH($C1294,'Policy Characteristics'!$C:$C,0)))</f>
        <v>cross toggle whether carbon tax affects process emissions</v>
      </c>
      <c r="L1294" s="275">
        <f>IF(ISBLANK(INDEX('Policy Characteristics'!F:F,MATCH($C1294,'Policy Characteristics'!$C:$C,0))),"",INDEX('Policy Characteristics'!F:F,MATCH($C1294,'Policy Characteristics'!$C:$C,0)))</f>
        <v>0</v>
      </c>
      <c r="M1294" s="275">
        <f>IF(ISBLANK(INDEX('Policy Characteristics'!G:G,MATCH($C1294,'Policy Characteristics'!$C:$C,0))),"",INDEX('Policy Characteristics'!G:G,MATCH($C1294,'Policy Characteristics'!$C:$C,0)))</f>
        <v>1</v>
      </c>
      <c r="N1294" s="275">
        <f>IF(ISBLANK(INDEX('Policy Characteristics'!H:H,MATCH($C1294,'Policy Characteristics'!$C:$C,0))),"",INDEX('Policy Characteristics'!H:H,MATCH($C1294,'Policy Characteristics'!$C:$C,0)))</f>
        <v>1</v>
      </c>
      <c r="O1294" s="275" t="str">
        <f>IF(ISBLANK(INDEX('Policy Characteristics'!I:I,MATCH($C1294,'Policy Characteristics'!$C:$C,0))),"",INDEX('Policy Characteristics'!I:I,MATCH($C1294,'Policy Characteristics'!$C:$C,0)))</f>
        <v>on/off</v>
      </c>
      <c r="P1294" s="275" t="str">
        <f>IF(ISBLANK(INDEX('Policy Characteristics'!J:J,MATCH($C1294,'Policy Characteristics'!$C:$C,0))),"",INDEX('Policy Characteristics'!J:J,MATCH($C1294,'Policy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4" s="275" t="str">
        <f>IF(ISBLANK(INDEX('Policy Characteristics'!K:K,MATCH($C1294,'Policy Characteristics'!$C:$C,0))),"",INDEX('Policy Characteristics'!K:K,MATCH($C1294,'Policy Characteristics'!$C:$C,0)))</f>
        <v>fuels.html#carbon-tax</v>
      </c>
      <c r="R1294" s="275" t="str">
        <f>IF(ISBLANK(INDEX('Policy Characteristics'!L:L,MATCH($C1294,'Policy Characteristics'!$C:$C,0))),"",INDEX('Policy Characteristics'!L:L,MATCH($C1294,'Policy Characteristics'!$C:$C,0)))</f>
        <v>carbon-tax.html</v>
      </c>
    </row>
    <row r="1295" spans="1:18" s="2" customFormat="1" x14ac:dyDescent="0.25">
      <c r="A1295" s="275" t="str">
        <f>IF(ISBLANK(INDEX('Policy Characteristics'!A:A,MATCH($C1295,'Policy Characteristics'!$C:$C,0))),"",INDEX('Policy Characteristics'!A:A,MATCH($C1295,'Policy Characteristics'!$C:$C,0)))</f>
        <v>Cross-Sector</v>
      </c>
      <c r="B1295" s="284" t="str">
        <f>IF(ISBLANK(INDEX('Policy Characteristics'!B:B,MATCH($C1295,'Policy Characteristics'!$C:$C,0))),"",INDEX('Policy Characteristics'!B:B,MATCH($C1295,'Policy Characteristics'!$C:$C,0)))</f>
        <v>Exempt Process Emissions from C Tax</v>
      </c>
      <c r="C1295" s="275" t="str">
        <f t="shared" si="55"/>
        <v>BEPEfCT Boolean Exempt Process Emissions from Carbon Tax</v>
      </c>
      <c r="D1295" s="6" t="s">
        <v>3080</v>
      </c>
      <c r="E1295" s="6"/>
      <c r="F1295" t="s">
        <v>3043</v>
      </c>
      <c r="G1295" s="6"/>
      <c r="H1295" s="49">
        <v>1638</v>
      </c>
      <c r="I1295" s="347" t="s">
        <v>44</v>
      </c>
      <c r="J1295" s="276" t="str">
        <f>IF(ISBLANK(INDEX('Policy Characteristics'!D:D,MATCH($C1295,'Policy Characteristics'!$C:$C,0))),"",INDEX('Policy Characteristics'!D:D,MATCH($C1295,'Policy Characteristics'!$C:$C,0)))</f>
        <v/>
      </c>
      <c r="K1295" s="275" t="str">
        <f>IF(ISBLANK(INDEX('Policy Characteristics'!E:E,MATCH($C1295,'Policy Characteristics'!$C:$C,0))),"",INDEX('Policy Characteristics'!E:E,MATCH($C1295,'Policy Characteristics'!$C:$C,0)))</f>
        <v>cross toggle whether carbon tax affects process emissions</v>
      </c>
      <c r="L1295" s="275">
        <f>IF(ISBLANK(INDEX('Policy Characteristics'!F:F,MATCH($C1295,'Policy Characteristics'!$C:$C,0))),"",INDEX('Policy Characteristics'!F:F,MATCH($C1295,'Policy Characteristics'!$C:$C,0)))</f>
        <v>0</v>
      </c>
      <c r="M1295" s="275">
        <f>IF(ISBLANK(INDEX('Policy Characteristics'!G:G,MATCH($C1295,'Policy Characteristics'!$C:$C,0))),"",INDEX('Policy Characteristics'!G:G,MATCH($C1295,'Policy Characteristics'!$C:$C,0)))</f>
        <v>1</v>
      </c>
      <c r="N1295" s="275">
        <f>IF(ISBLANK(INDEX('Policy Characteristics'!H:H,MATCH($C1295,'Policy Characteristics'!$C:$C,0))),"",INDEX('Policy Characteristics'!H:H,MATCH($C1295,'Policy Characteristics'!$C:$C,0)))</f>
        <v>1</v>
      </c>
      <c r="O1295" s="275" t="str">
        <f>IF(ISBLANK(INDEX('Policy Characteristics'!I:I,MATCH($C1295,'Policy Characteristics'!$C:$C,0))),"",INDEX('Policy Characteristics'!I:I,MATCH($C1295,'Policy Characteristics'!$C:$C,0)))</f>
        <v>on/off</v>
      </c>
      <c r="P1295" s="275" t="str">
        <f>IF(ISBLANK(INDEX('Policy Characteristics'!J:J,MATCH($C1295,'Policy Characteristics'!$C:$C,0))),"",INDEX('Policy Characteristics'!J:J,MATCH($C1295,'Policy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5" s="275" t="str">
        <f>IF(ISBLANK(INDEX('Policy Characteristics'!K:K,MATCH($C1295,'Policy Characteristics'!$C:$C,0))),"",INDEX('Policy Characteristics'!K:K,MATCH($C1295,'Policy Characteristics'!$C:$C,0)))</f>
        <v>fuels.html#carbon-tax</v>
      </c>
      <c r="R1295" s="275" t="str">
        <f>IF(ISBLANK(INDEX('Policy Characteristics'!L:L,MATCH($C1295,'Policy Characteristics'!$C:$C,0))),"",INDEX('Policy Characteristics'!L:L,MATCH($C1295,'Policy Characteristics'!$C:$C,0)))</f>
        <v>carbon-tax.html</v>
      </c>
    </row>
    <row r="1296" spans="1:18" s="2" customFormat="1" x14ac:dyDescent="0.25">
      <c r="A1296" s="275" t="str">
        <f>IF(ISBLANK(INDEX('Policy Characteristics'!A:A,MATCH($C1296,'Policy Characteristics'!$C:$C,0))),"",INDEX('Policy Characteristics'!A:A,MATCH($C1296,'Policy Characteristics'!$C:$C,0)))</f>
        <v>Cross-Sector</v>
      </c>
      <c r="B1296" s="284" t="str">
        <f>IF(ISBLANK(INDEX('Policy Characteristics'!B:B,MATCH($C1296,'Policy Characteristics'!$C:$C,0))),"",INDEX('Policy Characteristics'!B:B,MATCH($C1296,'Policy Characteristics'!$C:$C,0)))</f>
        <v>Exempt Process Emissions from C Tax</v>
      </c>
      <c r="C1296" s="275" t="str">
        <f t="shared" si="55"/>
        <v>BEPEfCT Boolean Exempt Process Emissions from Carbon Tax</v>
      </c>
      <c r="D1296" s="6" t="s">
        <v>3081</v>
      </c>
      <c r="E1296" s="6"/>
      <c r="F1296" t="s">
        <v>3044</v>
      </c>
      <c r="G1296" s="6"/>
      <c r="H1296" s="49">
        <v>1639</v>
      </c>
      <c r="I1296" s="347" t="s">
        <v>44</v>
      </c>
      <c r="J1296" s="276" t="str">
        <f>IF(ISBLANK(INDEX('Policy Characteristics'!D:D,MATCH($C1296,'Policy Characteristics'!$C:$C,0))),"",INDEX('Policy Characteristics'!D:D,MATCH($C1296,'Policy Characteristics'!$C:$C,0)))</f>
        <v/>
      </c>
      <c r="K1296" s="275" t="str">
        <f>IF(ISBLANK(INDEX('Policy Characteristics'!E:E,MATCH($C1296,'Policy Characteristics'!$C:$C,0))),"",INDEX('Policy Characteristics'!E:E,MATCH($C1296,'Policy Characteristics'!$C:$C,0)))</f>
        <v>cross toggle whether carbon tax affects process emissions</v>
      </c>
      <c r="L1296" s="275">
        <f>IF(ISBLANK(INDEX('Policy Characteristics'!F:F,MATCH($C1296,'Policy Characteristics'!$C:$C,0))),"",INDEX('Policy Characteristics'!F:F,MATCH($C1296,'Policy Characteristics'!$C:$C,0)))</f>
        <v>0</v>
      </c>
      <c r="M1296" s="275">
        <f>IF(ISBLANK(INDEX('Policy Characteristics'!G:G,MATCH($C1296,'Policy Characteristics'!$C:$C,0))),"",INDEX('Policy Characteristics'!G:G,MATCH($C1296,'Policy Characteristics'!$C:$C,0)))</f>
        <v>1</v>
      </c>
      <c r="N1296" s="275">
        <f>IF(ISBLANK(INDEX('Policy Characteristics'!H:H,MATCH($C1296,'Policy Characteristics'!$C:$C,0))),"",INDEX('Policy Characteristics'!H:H,MATCH($C1296,'Policy Characteristics'!$C:$C,0)))</f>
        <v>1</v>
      </c>
      <c r="O1296" s="275" t="str">
        <f>IF(ISBLANK(INDEX('Policy Characteristics'!I:I,MATCH($C1296,'Policy Characteristics'!$C:$C,0))),"",INDEX('Policy Characteristics'!I:I,MATCH($C1296,'Policy Characteristics'!$C:$C,0)))</f>
        <v>on/off</v>
      </c>
      <c r="P1296" s="275" t="str">
        <f>IF(ISBLANK(INDEX('Policy Characteristics'!J:J,MATCH($C1296,'Policy Characteristics'!$C:$C,0))),"",INDEX('Policy Characteristics'!J:J,MATCH($C1296,'Policy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6" s="275" t="str">
        <f>IF(ISBLANK(INDEX('Policy Characteristics'!K:K,MATCH($C1296,'Policy Characteristics'!$C:$C,0))),"",INDEX('Policy Characteristics'!K:K,MATCH($C1296,'Policy Characteristics'!$C:$C,0)))</f>
        <v>fuels.html#carbon-tax</v>
      </c>
      <c r="R1296" s="275" t="str">
        <f>IF(ISBLANK(INDEX('Policy Characteristics'!L:L,MATCH($C1296,'Policy Characteristics'!$C:$C,0))),"",INDEX('Policy Characteristics'!L:L,MATCH($C1296,'Policy Characteristics'!$C:$C,0)))</f>
        <v>carbon-tax.html</v>
      </c>
    </row>
    <row r="1297" spans="1:18" s="2" customFormat="1" x14ac:dyDescent="0.25">
      <c r="A1297" s="275" t="str">
        <f>IF(ISBLANK(INDEX('Policy Characteristics'!A:A,MATCH($C1297,'Policy Characteristics'!$C:$C,0))),"",INDEX('Policy Characteristics'!A:A,MATCH($C1297,'Policy Characteristics'!$C:$C,0)))</f>
        <v>Cross-Sector</v>
      </c>
      <c r="B1297" s="284" t="str">
        <f>IF(ISBLANK(INDEX('Policy Characteristics'!B:B,MATCH($C1297,'Policy Characteristics'!$C:$C,0))),"",INDEX('Policy Characteristics'!B:B,MATCH($C1297,'Policy Characteristics'!$C:$C,0)))</f>
        <v>Exempt Process Emissions from C Tax</v>
      </c>
      <c r="C1297" s="275" t="str">
        <f t="shared" si="55"/>
        <v>BEPEfCT Boolean Exempt Process Emissions from Carbon Tax</v>
      </c>
      <c r="D1297" s="6" t="s">
        <v>3082</v>
      </c>
      <c r="E1297" s="6"/>
      <c r="F1297" t="s">
        <v>3045</v>
      </c>
      <c r="G1297" s="6"/>
      <c r="H1297" s="49">
        <v>1640</v>
      </c>
      <c r="I1297" s="347" t="s">
        <v>44</v>
      </c>
      <c r="J1297" s="276" t="str">
        <f>IF(ISBLANK(INDEX('Policy Characteristics'!D:D,MATCH($C1297,'Policy Characteristics'!$C:$C,0))),"",INDEX('Policy Characteristics'!D:D,MATCH($C1297,'Policy Characteristics'!$C:$C,0)))</f>
        <v/>
      </c>
      <c r="K1297" s="275" t="str">
        <f>IF(ISBLANK(INDEX('Policy Characteristics'!E:E,MATCH($C1297,'Policy Characteristics'!$C:$C,0))),"",INDEX('Policy Characteristics'!E:E,MATCH($C1297,'Policy Characteristics'!$C:$C,0)))</f>
        <v>cross toggle whether carbon tax affects process emissions</v>
      </c>
      <c r="L1297" s="275">
        <f>IF(ISBLANK(INDEX('Policy Characteristics'!F:F,MATCH($C1297,'Policy Characteristics'!$C:$C,0))),"",INDEX('Policy Characteristics'!F:F,MATCH($C1297,'Policy Characteristics'!$C:$C,0)))</f>
        <v>0</v>
      </c>
      <c r="M1297" s="275">
        <f>IF(ISBLANK(INDEX('Policy Characteristics'!G:G,MATCH($C1297,'Policy Characteristics'!$C:$C,0))),"",INDEX('Policy Characteristics'!G:G,MATCH($C1297,'Policy Characteristics'!$C:$C,0)))</f>
        <v>1</v>
      </c>
      <c r="N1297" s="275">
        <f>IF(ISBLANK(INDEX('Policy Characteristics'!H:H,MATCH($C1297,'Policy Characteristics'!$C:$C,0))),"",INDEX('Policy Characteristics'!H:H,MATCH($C1297,'Policy Characteristics'!$C:$C,0)))</f>
        <v>1</v>
      </c>
      <c r="O1297" s="275" t="str">
        <f>IF(ISBLANK(INDEX('Policy Characteristics'!I:I,MATCH($C1297,'Policy Characteristics'!$C:$C,0))),"",INDEX('Policy Characteristics'!I:I,MATCH($C1297,'Policy Characteristics'!$C:$C,0)))</f>
        <v>on/off</v>
      </c>
      <c r="P1297" s="275" t="str">
        <f>IF(ISBLANK(INDEX('Policy Characteristics'!J:J,MATCH($C1297,'Policy Characteristics'!$C:$C,0))),"",INDEX('Policy Characteristics'!J:J,MATCH($C1297,'Policy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7" s="275" t="str">
        <f>IF(ISBLANK(INDEX('Policy Characteristics'!K:K,MATCH($C1297,'Policy Characteristics'!$C:$C,0))),"",INDEX('Policy Characteristics'!K:K,MATCH($C1297,'Policy Characteristics'!$C:$C,0)))</f>
        <v>fuels.html#carbon-tax</v>
      </c>
      <c r="R1297" s="275" t="str">
        <f>IF(ISBLANK(INDEX('Policy Characteristics'!L:L,MATCH($C1297,'Policy Characteristics'!$C:$C,0))),"",INDEX('Policy Characteristics'!L:L,MATCH($C1297,'Policy Characteristics'!$C:$C,0)))</f>
        <v>carbon-tax.html</v>
      </c>
    </row>
    <row r="1298" spans="1:18" s="2" customFormat="1" x14ac:dyDescent="0.25">
      <c r="A1298" s="275" t="str">
        <f>IF(ISBLANK(INDEX('Policy Characteristics'!A:A,MATCH($C1298,'Policy Characteristics'!$C:$C,0))),"",INDEX('Policy Characteristics'!A:A,MATCH($C1298,'Policy Characteristics'!$C:$C,0)))</f>
        <v>Cross-Sector</v>
      </c>
      <c r="B1298" s="284" t="str">
        <f>IF(ISBLANK(INDEX('Policy Characteristics'!B:B,MATCH($C1298,'Policy Characteristics'!$C:$C,0))),"",INDEX('Policy Characteristics'!B:B,MATCH($C1298,'Policy Characteristics'!$C:$C,0)))</f>
        <v>Exempt Process Emissions from C Tax</v>
      </c>
      <c r="C1298" s="275" t="str">
        <f t="shared" si="55"/>
        <v>BEPEfCT Boolean Exempt Process Emissions from Carbon Tax</v>
      </c>
      <c r="D1298" s="6" t="s">
        <v>3083</v>
      </c>
      <c r="E1298" s="6"/>
      <c r="F1298" t="s">
        <v>2583</v>
      </c>
      <c r="G1298" s="6"/>
      <c r="H1298" s="49">
        <v>1641</v>
      </c>
      <c r="I1298" s="347" t="s">
        <v>44</v>
      </c>
      <c r="J1298" s="276" t="str">
        <f>IF(ISBLANK(INDEX('Policy Characteristics'!D:D,MATCH($C1298,'Policy Characteristics'!$C:$C,0))),"",INDEX('Policy Characteristics'!D:D,MATCH($C1298,'Policy Characteristics'!$C:$C,0)))</f>
        <v/>
      </c>
      <c r="K1298" s="275" t="str">
        <f>IF(ISBLANK(INDEX('Policy Characteristics'!E:E,MATCH($C1298,'Policy Characteristics'!$C:$C,0))),"",INDEX('Policy Characteristics'!E:E,MATCH($C1298,'Policy Characteristics'!$C:$C,0)))</f>
        <v>cross toggle whether carbon tax affects process emissions</v>
      </c>
      <c r="L1298" s="275">
        <f>IF(ISBLANK(INDEX('Policy Characteristics'!F:F,MATCH($C1298,'Policy Characteristics'!$C:$C,0))),"",INDEX('Policy Characteristics'!F:F,MATCH($C1298,'Policy Characteristics'!$C:$C,0)))</f>
        <v>0</v>
      </c>
      <c r="M1298" s="275">
        <f>IF(ISBLANK(INDEX('Policy Characteristics'!G:G,MATCH($C1298,'Policy Characteristics'!$C:$C,0))),"",INDEX('Policy Characteristics'!G:G,MATCH($C1298,'Policy Characteristics'!$C:$C,0)))</f>
        <v>1</v>
      </c>
      <c r="N1298" s="275">
        <f>IF(ISBLANK(INDEX('Policy Characteristics'!H:H,MATCH($C1298,'Policy Characteristics'!$C:$C,0))),"",INDEX('Policy Characteristics'!H:H,MATCH($C1298,'Policy Characteristics'!$C:$C,0)))</f>
        <v>1</v>
      </c>
      <c r="O1298" s="275" t="str">
        <f>IF(ISBLANK(INDEX('Policy Characteristics'!I:I,MATCH($C1298,'Policy Characteristics'!$C:$C,0))),"",INDEX('Policy Characteristics'!I:I,MATCH($C1298,'Policy Characteristics'!$C:$C,0)))</f>
        <v>on/off</v>
      </c>
      <c r="P1298" s="275" t="str">
        <f>IF(ISBLANK(INDEX('Policy Characteristics'!J:J,MATCH($C1298,'Policy Characteristics'!$C:$C,0))),"",INDEX('Policy Characteristics'!J:J,MATCH($C1298,'Policy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8" s="275" t="str">
        <f>IF(ISBLANK(INDEX('Policy Characteristics'!K:K,MATCH($C1298,'Policy Characteristics'!$C:$C,0))),"",INDEX('Policy Characteristics'!K:K,MATCH($C1298,'Policy Characteristics'!$C:$C,0)))</f>
        <v>fuels.html#carbon-tax</v>
      </c>
      <c r="R1298" s="275" t="str">
        <f>IF(ISBLANK(INDEX('Policy Characteristics'!L:L,MATCH($C1298,'Policy Characteristics'!$C:$C,0))),"",INDEX('Policy Characteristics'!L:L,MATCH($C1298,'Policy Characteristics'!$C:$C,0)))</f>
        <v>carbon-tax.html</v>
      </c>
    </row>
    <row r="1299" spans="1:18" s="2" customFormat="1" x14ac:dyDescent="0.25">
      <c r="A1299" s="275" t="str">
        <f>IF(ISBLANK(INDEX('Policy Characteristics'!A:A,MATCH($C1299,'Policy Characteristics'!$C:$C,0))),"",INDEX('Policy Characteristics'!A:A,MATCH($C1299,'Policy Characteristics'!$C:$C,0)))</f>
        <v>Cross-Sector</v>
      </c>
      <c r="B1299" s="284" t="str">
        <f>IF(ISBLANK(INDEX('Policy Characteristics'!B:B,MATCH($C1299,'Policy Characteristics'!$C:$C,0))),"",INDEX('Policy Characteristics'!B:B,MATCH($C1299,'Policy Characteristics'!$C:$C,0)))</f>
        <v>Exempt Process Emissions from C Tax</v>
      </c>
      <c r="C1299" s="275" t="str">
        <f t="shared" si="55"/>
        <v>BEPEfCT Boolean Exempt Process Emissions from Carbon Tax</v>
      </c>
      <c r="D1299" s="6" t="s">
        <v>3084</v>
      </c>
      <c r="E1299" s="6"/>
      <c r="F1299" t="s">
        <v>3046</v>
      </c>
      <c r="G1299" s="6"/>
      <c r="H1299" s="49">
        <v>1642</v>
      </c>
      <c r="I1299" s="347" t="s">
        <v>44</v>
      </c>
      <c r="J1299" s="276" t="str">
        <f>IF(ISBLANK(INDEX('Policy Characteristics'!D:D,MATCH($C1299,'Policy Characteristics'!$C:$C,0))),"",INDEX('Policy Characteristics'!D:D,MATCH($C1299,'Policy Characteristics'!$C:$C,0)))</f>
        <v/>
      </c>
      <c r="K1299" s="275" t="str">
        <f>IF(ISBLANK(INDEX('Policy Characteristics'!E:E,MATCH($C1299,'Policy Characteristics'!$C:$C,0))),"",INDEX('Policy Characteristics'!E:E,MATCH($C1299,'Policy Characteristics'!$C:$C,0)))</f>
        <v>cross toggle whether carbon tax affects process emissions</v>
      </c>
      <c r="L1299" s="275">
        <f>IF(ISBLANK(INDEX('Policy Characteristics'!F:F,MATCH($C1299,'Policy Characteristics'!$C:$C,0))),"",INDEX('Policy Characteristics'!F:F,MATCH($C1299,'Policy Characteristics'!$C:$C,0)))</f>
        <v>0</v>
      </c>
      <c r="M1299" s="275">
        <f>IF(ISBLANK(INDEX('Policy Characteristics'!G:G,MATCH($C1299,'Policy Characteristics'!$C:$C,0))),"",INDEX('Policy Characteristics'!G:G,MATCH($C1299,'Policy Characteristics'!$C:$C,0)))</f>
        <v>1</v>
      </c>
      <c r="N1299" s="275">
        <f>IF(ISBLANK(INDEX('Policy Characteristics'!H:H,MATCH($C1299,'Policy Characteristics'!$C:$C,0))),"",INDEX('Policy Characteristics'!H:H,MATCH($C1299,'Policy Characteristics'!$C:$C,0)))</f>
        <v>1</v>
      </c>
      <c r="O1299" s="275" t="str">
        <f>IF(ISBLANK(INDEX('Policy Characteristics'!I:I,MATCH($C1299,'Policy Characteristics'!$C:$C,0))),"",INDEX('Policy Characteristics'!I:I,MATCH($C1299,'Policy Characteristics'!$C:$C,0)))</f>
        <v>on/off</v>
      </c>
      <c r="P1299" s="275" t="str">
        <f>IF(ISBLANK(INDEX('Policy Characteristics'!J:J,MATCH($C1299,'Policy Characteristics'!$C:$C,0))),"",INDEX('Policy Characteristics'!J:J,MATCH($C1299,'Policy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9" s="275" t="str">
        <f>IF(ISBLANK(INDEX('Policy Characteristics'!K:K,MATCH($C1299,'Policy Characteristics'!$C:$C,0))),"",INDEX('Policy Characteristics'!K:K,MATCH($C1299,'Policy Characteristics'!$C:$C,0)))</f>
        <v>fuels.html#carbon-tax</v>
      </c>
      <c r="R1299" s="275" t="str">
        <f>IF(ISBLANK(INDEX('Policy Characteristics'!L:L,MATCH($C1299,'Policy Characteristics'!$C:$C,0))),"",INDEX('Policy Characteristics'!L:L,MATCH($C1299,'Policy Characteristics'!$C:$C,0)))</f>
        <v>carbon-tax.html</v>
      </c>
    </row>
    <row r="1300" spans="1:18" s="2" customFormat="1" x14ac:dyDescent="0.25">
      <c r="A1300" s="275" t="str">
        <f>IF(ISBLANK(INDEX('Policy Characteristics'!A:A,MATCH($C1300,'Policy Characteristics'!$C:$C,0))),"",INDEX('Policy Characteristics'!A:A,MATCH($C1300,'Policy Characteristics'!$C:$C,0)))</f>
        <v>Cross-Sector</v>
      </c>
      <c r="B1300" s="284" t="str">
        <f>IF(ISBLANK(INDEX('Policy Characteristics'!B:B,MATCH($C1300,'Policy Characteristics'!$C:$C,0))),"",INDEX('Policy Characteristics'!B:B,MATCH($C1300,'Policy Characteristics'!$C:$C,0)))</f>
        <v>Exempt Process Emissions from C Tax</v>
      </c>
      <c r="C1300" s="275" t="str">
        <f t="shared" si="55"/>
        <v>BEPEfCT Boolean Exempt Process Emissions from Carbon Tax</v>
      </c>
      <c r="D1300" s="6" t="s">
        <v>3085</v>
      </c>
      <c r="E1300" s="6"/>
      <c r="F1300" t="s">
        <v>3047</v>
      </c>
      <c r="G1300" s="6"/>
      <c r="H1300" s="49">
        <v>1643</v>
      </c>
      <c r="I1300" s="347" t="s">
        <v>44</v>
      </c>
      <c r="J1300" s="276" t="str">
        <f>IF(ISBLANK(INDEX('Policy Characteristics'!D:D,MATCH($C1300,'Policy Characteristics'!$C:$C,0))),"",INDEX('Policy Characteristics'!D:D,MATCH($C1300,'Policy Characteristics'!$C:$C,0)))</f>
        <v/>
      </c>
      <c r="K1300" s="275" t="str">
        <f>IF(ISBLANK(INDEX('Policy Characteristics'!E:E,MATCH($C1300,'Policy Characteristics'!$C:$C,0))),"",INDEX('Policy Characteristics'!E:E,MATCH($C1300,'Policy Characteristics'!$C:$C,0)))</f>
        <v>cross toggle whether carbon tax affects process emissions</v>
      </c>
      <c r="L1300" s="275">
        <f>IF(ISBLANK(INDEX('Policy Characteristics'!F:F,MATCH($C1300,'Policy Characteristics'!$C:$C,0))),"",INDEX('Policy Characteristics'!F:F,MATCH($C1300,'Policy Characteristics'!$C:$C,0)))</f>
        <v>0</v>
      </c>
      <c r="M1300" s="275">
        <f>IF(ISBLANK(INDEX('Policy Characteristics'!G:G,MATCH($C1300,'Policy Characteristics'!$C:$C,0))),"",INDEX('Policy Characteristics'!G:G,MATCH($C1300,'Policy Characteristics'!$C:$C,0)))</f>
        <v>1</v>
      </c>
      <c r="N1300" s="275">
        <f>IF(ISBLANK(INDEX('Policy Characteristics'!H:H,MATCH($C1300,'Policy Characteristics'!$C:$C,0))),"",INDEX('Policy Characteristics'!H:H,MATCH($C1300,'Policy Characteristics'!$C:$C,0)))</f>
        <v>1</v>
      </c>
      <c r="O1300" s="275" t="str">
        <f>IF(ISBLANK(INDEX('Policy Characteristics'!I:I,MATCH($C1300,'Policy Characteristics'!$C:$C,0))),"",INDEX('Policy Characteristics'!I:I,MATCH($C1300,'Policy Characteristics'!$C:$C,0)))</f>
        <v>on/off</v>
      </c>
      <c r="P1300" s="275" t="str">
        <f>IF(ISBLANK(INDEX('Policy Characteristics'!J:J,MATCH($C1300,'Policy Characteristics'!$C:$C,0))),"",INDEX('Policy Characteristics'!J:J,MATCH($C1300,'Policy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0" s="275" t="str">
        <f>IF(ISBLANK(INDEX('Policy Characteristics'!K:K,MATCH($C1300,'Policy Characteristics'!$C:$C,0))),"",INDEX('Policy Characteristics'!K:K,MATCH($C1300,'Policy Characteristics'!$C:$C,0)))</f>
        <v>fuels.html#carbon-tax</v>
      </c>
      <c r="R1300" s="275" t="str">
        <f>IF(ISBLANK(INDEX('Policy Characteristics'!L:L,MATCH($C1300,'Policy Characteristics'!$C:$C,0))),"",INDEX('Policy Characteristics'!L:L,MATCH($C1300,'Policy Characteristics'!$C:$C,0)))</f>
        <v>carbon-tax.html</v>
      </c>
    </row>
    <row r="1301" spans="1:18" s="2" customFormat="1" x14ac:dyDescent="0.25">
      <c r="A1301" s="275" t="str">
        <f>IF(ISBLANK(INDEX('Policy Characteristics'!A:A,MATCH($C1301,'Policy Characteristics'!$C:$C,0))),"",INDEX('Policy Characteristics'!A:A,MATCH($C1301,'Policy Characteristics'!$C:$C,0)))</f>
        <v>Cross-Sector</v>
      </c>
      <c r="B1301" s="284" t="str">
        <f>IF(ISBLANK(INDEX('Policy Characteristics'!B:B,MATCH($C1301,'Policy Characteristics'!$C:$C,0))),"",INDEX('Policy Characteristics'!B:B,MATCH($C1301,'Policy Characteristics'!$C:$C,0)))</f>
        <v>Exempt Process Emissions from C Tax</v>
      </c>
      <c r="C1301" s="275" t="str">
        <f t="shared" si="55"/>
        <v>BEPEfCT Boolean Exempt Process Emissions from Carbon Tax</v>
      </c>
      <c r="D1301" s="6" t="s">
        <v>3086</v>
      </c>
      <c r="E1301" s="6"/>
      <c r="F1301" t="s">
        <v>3048</v>
      </c>
      <c r="G1301" s="6"/>
      <c r="H1301" s="49">
        <v>1644</v>
      </c>
      <c r="I1301" s="347" t="s">
        <v>44</v>
      </c>
      <c r="J1301" s="276" t="str">
        <f>IF(ISBLANK(INDEX('Policy Characteristics'!D:D,MATCH($C1301,'Policy Characteristics'!$C:$C,0))),"",INDEX('Policy Characteristics'!D:D,MATCH($C1301,'Policy Characteristics'!$C:$C,0)))</f>
        <v/>
      </c>
      <c r="K1301" s="275" t="str">
        <f>IF(ISBLANK(INDEX('Policy Characteristics'!E:E,MATCH($C1301,'Policy Characteristics'!$C:$C,0))),"",INDEX('Policy Characteristics'!E:E,MATCH($C1301,'Policy Characteristics'!$C:$C,0)))</f>
        <v>cross toggle whether carbon tax affects process emissions</v>
      </c>
      <c r="L1301" s="275">
        <f>IF(ISBLANK(INDEX('Policy Characteristics'!F:F,MATCH($C1301,'Policy Characteristics'!$C:$C,0))),"",INDEX('Policy Characteristics'!F:F,MATCH($C1301,'Policy Characteristics'!$C:$C,0)))</f>
        <v>0</v>
      </c>
      <c r="M1301" s="275">
        <f>IF(ISBLANK(INDEX('Policy Characteristics'!G:G,MATCH($C1301,'Policy Characteristics'!$C:$C,0))),"",INDEX('Policy Characteristics'!G:G,MATCH($C1301,'Policy Characteristics'!$C:$C,0)))</f>
        <v>1</v>
      </c>
      <c r="N1301" s="275">
        <f>IF(ISBLANK(INDEX('Policy Characteristics'!H:H,MATCH($C1301,'Policy Characteristics'!$C:$C,0))),"",INDEX('Policy Characteristics'!H:H,MATCH($C1301,'Policy Characteristics'!$C:$C,0)))</f>
        <v>1</v>
      </c>
      <c r="O1301" s="275" t="str">
        <f>IF(ISBLANK(INDEX('Policy Characteristics'!I:I,MATCH($C1301,'Policy Characteristics'!$C:$C,0))),"",INDEX('Policy Characteristics'!I:I,MATCH($C1301,'Policy Characteristics'!$C:$C,0)))</f>
        <v>on/off</v>
      </c>
      <c r="P1301" s="275" t="str">
        <f>IF(ISBLANK(INDEX('Policy Characteristics'!J:J,MATCH($C1301,'Policy Characteristics'!$C:$C,0))),"",INDEX('Policy Characteristics'!J:J,MATCH($C1301,'Policy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1" s="275" t="str">
        <f>IF(ISBLANK(INDEX('Policy Characteristics'!K:K,MATCH($C1301,'Policy Characteristics'!$C:$C,0))),"",INDEX('Policy Characteristics'!K:K,MATCH($C1301,'Policy Characteristics'!$C:$C,0)))</f>
        <v>fuels.html#carbon-tax</v>
      </c>
      <c r="R1301" s="275" t="str">
        <f>IF(ISBLANK(INDEX('Policy Characteristics'!L:L,MATCH($C1301,'Policy Characteristics'!$C:$C,0))),"",INDEX('Policy Characteristics'!L:L,MATCH($C1301,'Policy Characteristics'!$C:$C,0)))</f>
        <v>carbon-tax.html</v>
      </c>
    </row>
    <row r="1302" spans="1:18" s="2" customFormat="1" x14ac:dyDescent="0.25">
      <c r="A1302" s="275" t="str">
        <f>IF(ISBLANK(INDEX('Policy Characteristics'!A:A,MATCH($C1302,'Policy Characteristics'!$C:$C,0))),"",INDEX('Policy Characteristics'!A:A,MATCH($C1302,'Policy Characteristics'!$C:$C,0)))</f>
        <v>Cross-Sector</v>
      </c>
      <c r="B1302" s="284" t="str">
        <f>IF(ISBLANK(INDEX('Policy Characteristics'!B:B,MATCH($C1302,'Policy Characteristics'!$C:$C,0))),"",INDEX('Policy Characteristics'!B:B,MATCH($C1302,'Policy Characteristics'!$C:$C,0)))</f>
        <v>Exempt Process Emissions from C Tax</v>
      </c>
      <c r="C1302" s="275" t="str">
        <f t="shared" si="55"/>
        <v>BEPEfCT Boolean Exempt Process Emissions from Carbon Tax</v>
      </c>
      <c r="D1302" s="6" t="s">
        <v>3087</v>
      </c>
      <c r="E1302" s="6"/>
      <c r="F1302" t="s">
        <v>3049</v>
      </c>
      <c r="G1302" s="6"/>
      <c r="H1302" s="49">
        <v>1645</v>
      </c>
      <c r="I1302" s="347" t="s">
        <v>44</v>
      </c>
      <c r="J1302" s="276" t="str">
        <f>IF(ISBLANK(INDEX('Policy Characteristics'!D:D,MATCH($C1302,'Policy Characteristics'!$C:$C,0))),"",INDEX('Policy Characteristics'!D:D,MATCH($C1302,'Policy Characteristics'!$C:$C,0)))</f>
        <v/>
      </c>
      <c r="K1302" s="275" t="str">
        <f>IF(ISBLANK(INDEX('Policy Characteristics'!E:E,MATCH($C1302,'Policy Characteristics'!$C:$C,0))),"",INDEX('Policy Characteristics'!E:E,MATCH($C1302,'Policy Characteristics'!$C:$C,0)))</f>
        <v>cross toggle whether carbon tax affects process emissions</v>
      </c>
      <c r="L1302" s="275">
        <f>IF(ISBLANK(INDEX('Policy Characteristics'!F:F,MATCH($C1302,'Policy Characteristics'!$C:$C,0))),"",INDEX('Policy Characteristics'!F:F,MATCH($C1302,'Policy Characteristics'!$C:$C,0)))</f>
        <v>0</v>
      </c>
      <c r="M1302" s="275">
        <f>IF(ISBLANK(INDEX('Policy Characteristics'!G:G,MATCH($C1302,'Policy Characteristics'!$C:$C,0))),"",INDEX('Policy Characteristics'!G:G,MATCH($C1302,'Policy Characteristics'!$C:$C,0)))</f>
        <v>1</v>
      </c>
      <c r="N1302" s="275">
        <f>IF(ISBLANK(INDEX('Policy Characteristics'!H:H,MATCH($C1302,'Policy Characteristics'!$C:$C,0))),"",INDEX('Policy Characteristics'!H:H,MATCH($C1302,'Policy Characteristics'!$C:$C,0)))</f>
        <v>1</v>
      </c>
      <c r="O1302" s="275" t="str">
        <f>IF(ISBLANK(INDEX('Policy Characteristics'!I:I,MATCH($C1302,'Policy Characteristics'!$C:$C,0))),"",INDEX('Policy Characteristics'!I:I,MATCH($C1302,'Policy Characteristics'!$C:$C,0)))</f>
        <v>on/off</v>
      </c>
      <c r="P1302" s="275" t="str">
        <f>IF(ISBLANK(INDEX('Policy Characteristics'!J:J,MATCH($C1302,'Policy Characteristics'!$C:$C,0))),"",INDEX('Policy Characteristics'!J:J,MATCH($C1302,'Policy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2" s="275" t="str">
        <f>IF(ISBLANK(INDEX('Policy Characteristics'!K:K,MATCH($C1302,'Policy Characteristics'!$C:$C,0))),"",INDEX('Policy Characteristics'!K:K,MATCH($C1302,'Policy Characteristics'!$C:$C,0)))</f>
        <v>fuels.html#carbon-tax</v>
      </c>
      <c r="R1302" s="275" t="str">
        <f>IF(ISBLANK(INDEX('Policy Characteristics'!L:L,MATCH($C1302,'Policy Characteristics'!$C:$C,0))),"",INDEX('Policy Characteristics'!L:L,MATCH($C1302,'Policy Characteristics'!$C:$C,0)))</f>
        <v>carbon-tax.html</v>
      </c>
    </row>
    <row r="1303" spans="1:18" s="2" customFormat="1" x14ac:dyDescent="0.25">
      <c r="A1303" s="275" t="str">
        <f>IF(ISBLANK(INDEX('Policy Characteristics'!A:A,MATCH($C1303,'Policy Characteristics'!$C:$C,0))),"",INDEX('Policy Characteristics'!A:A,MATCH($C1303,'Policy Characteristics'!$C:$C,0)))</f>
        <v>Cross-Sector</v>
      </c>
      <c r="B1303" s="284" t="str">
        <f>IF(ISBLANK(INDEX('Policy Characteristics'!B:B,MATCH($C1303,'Policy Characteristics'!$C:$C,0))),"",INDEX('Policy Characteristics'!B:B,MATCH($C1303,'Policy Characteristics'!$C:$C,0)))</f>
        <v>Exempt Process Emissions from C Tax</v>
      </c>
      <c r="C1303" s="275" t="str">
        <f t="shared" si="55"/>
        <v>BEPEfCT Boolean Exempt Process Emissions from Carbon Tax</v>
      </c>
      <c r="D1303" s="6" t="s">
        <v>3088</v>
      </c>
      <c r="E1303" s="6"/>
      <c r="F1303" t="s">
        <v>3050</v>
      </c>
      <c r="G1303" s="6"/>
      <c r="H1303" s="49">
        <v>1646</v>
      </c>
      <c r="I1303" s="347" t="s">
        <v>44</v>
      </c>
      <c r="J1303" s="276" t="str">
        <f>IF(ISBLANK(INDEX('Policy Characteristics'!D:D,MATCH($C1303,'Policy Characteristics'!$C:$C,0))),"",INDEX('Policy Characteristics'!D:D,MATCH($C1303,'Policy Characteristics'!$C:$C,0)))</f>
        <v/>
      </c>
      <c r="K1303" s="275" t="str">
        <f>IF(ISBLANK(INDEX('Policy Characteristics'!E:E,MATCH($C1303,'Policy Characteristics'!$C:$C,0))),"",INDEX('Policy Characteristics'!E:E,MATCH($C1303,'Policy Characteristics'!$C:$C,0)))</f>
        <v>cross toggle whether carbon tax affects process emissions</v>
      </c>
      <c r="L1303" s="275">
        <f>IF(ISBLANK(INDEX('Policy Characteristics'!F:F,MATCH($C1303,'Policy Characteristics'!$C:$C,0))),"",INDEX('Policy Characteristics'!F:F,MATCH($C1303,'Policy Characteristics'!$C:$C,0)))</f>
        <v>0</v>
      </c>
      <c r="M1303" s="275">
        <f>IF(ISBLANK(INDEX('Policy Characteristics'!G:G,MATCH($C1303,'Policy Characteristics'!$C:$C,0))),"",INDEX('Policy Characteristics'!G:G,MATCH($C1303,'Policy Characteristics'!$C:$C,0)))</f>
        <v>1</v>
      </c>
      <c r="N1303" s="275">
        <f>IF(ISBLANK(INDEX('Policy Characteristics'!H:H,MATCH($C1303,'Policy Characteristics'!$C:$C,0))),"",INDEX('Policy Characteristics'!H:H,MATCH($C1303,'Policy Characteristics'!$C:$C,0)))</f>
        <v>1</v>
      </c>
      <c r="O1303" s="275" t="str">
        <f>IF(ISBLANK(INDEX('Policy Characteristics'!I:I,MATCH($C1303,'Policy Characteristics'!$C:$C,0))),"",INDEX('Policy Characteristics'!I:I,MATCH($C1303,'Policy Characteristics'!$C:$C,0)))</f>
        <v>on/off</v>
      </c>
      <c r="P1303" s="275" t="str">
        <f>IF(ISBLANK(INDEX('Policy Characteristics'!J:J,MATCH($C1303,'Policy Characteristics'!$C:$C,0))),"",INDEX('Policy Characteristics'!J:J,MATCH($C1303,'Policy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3" s="275" t="str">
        <f>IF(ISBLANK(INDEX('Policy Characteristics'!K:K,MATCH($C1303,'Policy Characteristics'!$C:$C,0))),"",INDEX('Policy Characteristics'!K:K,MATCH($C1303,'Policy Characteristics'!$C:$C,0)))</f>
        <v>fuels.html#carbon-tax</v>
      </c>
      <c r="R1303" s="275" t="str">
        <f>IF(ISBLANK(INDEX('Policy Characteristics'!L:L,MATCH($C1303,'Policy Characteristics'!$C:$C,0))),"",INDEX('Policy Characteristics'!L:L,MATCH($C1303,'Policy Characteristics'!$C:$C,0)))</f>
        <v>carbon-tax.html</v>
      </c>
    </row>
    <row r="1304" spans="1:18" s="2" customFormat="1" x14ac:dyDescent="0.25">
      <c r="A1304" s="275" t="str">
        <f>IF(ISBLANK(INDEX('Policy Characteristics'!A:A,MATCH($C1304,'Policy Characteristics'!$C:$C,0))),"",INDEX('Policy Characteristics'!A:A,MATCH($C1304,'Policy Characteristics'!$C:$C,0)))</f>
        <v>Cross-Sector</v>
      </c>
      <c r="B1304" s="284" t="str">
        <f>IF(ISBLANK(INDEX('Policy Characteristics'!B:B,MATCH($C1304,'Policy Characteristics'!$C:$C,0))),"",INDEX('Policy Characteristics'!B:B,MATCH($C1304,'Policy Characteristics'!$C:$C,0)))</f>
        <v>Exempt Process Emissions from C Tax</v>
      </c>
      <c r="C1304" s="275" t="str">
        <f t="shared" si="55"/>
        <v>BEPEfCT Boolean Exempt Process Emissions from Carbon Tax</v>
      </c>
      <c r="D1304" s="6" t="s">
        <v>3089</v>
      </c>
      <c r="E1304" s="6"/>
      <c r="F1304" t="s">
        <v>3051</v>
      </c>
      <c r="G1304" s="6"/>
      <c r="H1304" s="49">
        <v>1647</v>
      </c>
      <c r="I1304" s="347" t="s">
        <v>44</v>
      </c>
      <c r="J1304" s="276" t="str">
        <f>IF(ISBLANK(INDEX('Policy Characteristics'!D:D,MATCH($C1304,'Policy Characteristics'!$C:$C,0))),"",INDEX('Policy Characteristics'!D:D,MATCH($C1304,'Policy Characteristics'!$C:$C,0)))</f>
        <v/>
      </c>
      <c r="K1304" s="275" t="str">
        <f>IF(ISBLANK(INDEX('Policy Characteristics'!E:E,MATCH($C1304,'Policy Characteristics'!$C:$C,0))),"",INDEX('Policy Characteristics'!E:E,MATCH($C1304,'Policy Characteristics'!$C:$C,0)))</f>
        <v>cross toggle whether carbon tax affects process emissions</v>
      </c>
      <c r="L1304" s="275">
        <f>IF(ISBLANK(INDEX('Policy Characteristics'!F:F,MATCH($C1304,'Policy Characteristics'!$C:$C,0))),"",INDEX('Policy Characteristics'!F:F,MATCH($C1304,'Policy Characteristics'!$C:$C,0)))</f>
        <v>0</v>
      </c>
      <c r="M1304" s="275">
        <f>IF(ISBLANK(INDEX('Policy Characteristics'!G:G,MATCH($C1304,'Policy Characteristics'!$C:$C,0))),"",INDEX('Policy Characteristics'!G:G,MATCH($C1304,'Policy Characteristics'!$C:$C,0)))</f>
        <v>1</v>
      </c>
      <c r="N1304" s="275">
        <f>IF(ISBLANK(INDEX('Policy Characteristics'!H:H,MATCH($C1304,'Policy Characteristics'!$C:$C,0))),"",INDEX('Policy Characteristics'!H:H,MATCH($C1304,'Policy Characteristics'!$C:$C,0)))</f>
        <v>1</v>
      </c>
      <c r="O1304" s="275" t="str">
        <f>IF(ISBLANK(INDEX('Policy Characteristics'!I:I,MATCH($C1304,'Policy Characteristics'!$C:$C,0))),"",INDEX('Policy Characteristics'!I:I,MATCH($C1304,'Policy Characteristics'!$C:$C,0)))</f>
        <v>on/off</v>
      </c>
      <c r="P1304" s="275" t="str">
        <f>IF(ISBLANK(INDEX('Policy Characteristics'!J:J,MATCH($C1304,'Policy Characteristics'!$C:$C,0))),"",INDEX('Policy Characteristics'!J:J,MATCH($C1304,'Policy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4" s="275" t="str">
        <f>IF(ISBLANK(INDEX('Policy Characteristics'!K:K,MATCH($C1304,'Policy Characteristics'!$C:$C,0))),"",INDEX('Policy Characteristics'!K:K,MATCH($C1304,'Policy Characteristics'!$C:$C,0)))</f>
        <v>fuels.html#carbon-tax</v>
      </c>
      <c r="R1304" s="275" t="str">
        <f>IF(ISBLANK(INDEX('Policy Characteristics'!L:L,MATCH($C1304,'Policy Characteristics'!$C:$C,0))),"",INDEX('Policy Characteristics'!L:L,MATCH($C1304,'Policy Characteristics'!$C:$C,0)))</f>
        <v>carbon-tax.html</v>
      </c>
    </row>
    <row r="1305" spans="1:18" s="2" customFormat="1" x14ac:dyDescent="0.25">
      <c r="A1305" s="275" t="str">
        <f>IF(ISBLANK(INDEX('Policy Characteristics'!A:A,MATCH($C1305,'Policy Characteristics'!$C:$C,0))),"",INDEX('Policy Characteristics'!A:A,MATCH($C1305,'Policy Characteristics'!$C:$C,0)))</f>
        <v>Cross-Sector</v>
      </c>
      <c r="B1305" s="284" t="str">
        <f>IF(ISBLANK(INDEX('Policy Characteristics'!B:B,MATCH($C1305,'Policy Characteristics'!$C:$C,0))),"",INDEX('Policy Characteristics'!B:B,MATCH($C1305,'Policy Characteristics'!$C:$C,0)))</f>
        <v>Exempt Process Emissions from C Tax</v>
      </c>
      <c r="C1305" s="275" t="str">
        <f t="shared" si="55"/>
        <v>BEPEfCT Boolean Exempt Process Emissions from Carbon Tax</v>
      </c>
      <c r="D1305" s="6" t="s">
        <v>3090</v>
      </c>
      <c r="E1305" s="6"/>
      <c r="F1305" t="s">
        <v>3052</v>
      </c>
      <c r="G1305" s="6"/>
      <c r="H1305" s="49">
        <v>1648</v>
      </c>
      <c r="I1305" s="347" t="s">
        <v>44</v>
      </c>
      <c r="J1305" s="276" t="str">
        <f>IF(ISBLANK(INDEX('Policy Characteristics'!D:D,MATCH($C1305,'Policy Characteristics'!$C:$C,0))),"",INDEX('Policy Characteristics'!D:D,MATCH($C1305,'Policy Characteristics'!$C:$C,0)))</f>
        <v/>
      </c>
      <c r="K1305" s="275" t="str">
        <f>IF(ISBLANK(INDEX('Policy Characteristics'!E:E,MATCH($C1305,'Policy Characteristics'!$C:$C,0))),"",INDEX('Policy Characteristics'!E:E,MATCH($C1305,'Policy Characteristics'!$C:$C,0)))</f>
        <v>cross toggle whether carbon tax affects process emissions</v>
      </c>
      <c r="L1305" s="275">
        <f>IF(ISBLANK(INDEX('Policy Characteristics'!F:F,MATCH($C1305,'Policy Characteristics'!$C:$C,0))),"",INDEX('Policy Characteristics'!F:F,MATCH($C1305,'Policy Characteristics'!$C:$C,0)))</f>
        <v>0</v>
      </c>
      <c r="M1305" s="275">
        <f>IF(ISBLANK(INDEX('Policy Characteristics'!G:G,MATCH($C1305,'Policy Characteristics'!$C:$C,0))),"",INDEX('Policy Characteristics'!G:G,MATCH($C1305,'Policy Characteristics'!$C:$C,0)))</f>
        <v>1</v>
      </c>
      <c r="N1305" s="275">
        <f>IF(ISBLANK(INDEX('Policy Characteristics'!H:H,MATCH($C1305,'Policy Characteristics'!$C:$C,0))),"",INDEX('Policy Characteristics'!H:H,MATCH($C1305,'Policy Characteristics'!$C:$C,0)))</f>
        <v>1</v>
      </c>
      <c r="O1305" s="275" t="str">
        <f>IF(ISBLANK(INDEX('Policy Characteristics'!I:I,MATCH($C1305,'Policy Characteristics'!$C:$C,0))),"",INDEX('Policy Characteristics'!I:I,MATCH($C1305,'Policy Characteristics'!$C:$C,0)))</f>
        <v>on/off</v>
      </c>
      <c r="P1305" s="275" t="str">
        <f>IF(ISBLANK(INDEX('Policy Characteristics'!J:J,MATCH($C1305,'Policy Characteristics'!$C:$C,0))),"",INDEX('Policy Characteristics'!J:J,MATCH($C1305,'Policy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5" s="275" t="str">
        <f>IF(ISBLANK(INDEX('Policy Characteristics'!K:K,MATCH($C1305,'Policy Characteristics'!$C:$C,0))),"",INDEX('Policy Characteristics'!K:K,MATCH($C1305,'Policy Characteristics'!$C:$C,0)))</f>
        <v>fuels.html#carbon-tax</v>
      </c>
      <c r="R1305" s="275" t="str">
        <f>IF(ISBLANK(INDEX('Policy Characteristics'!L:L,MATCH($C1305,'Policy Characteristics'!$C:$C,0))),"",INDEX('Policy Characteristics'!L:L,MATCH($C1305,'Policy Characteristics'!$C:$C,0)))</f>
        <v>carbon-tax.html</v>
      </c>
    </row>
    <row r="1306" spans="1:18" s="2" customFormat="1" x14ac:dyDescent="0.25">
      <c r="A1306" s="275" t="str">
        <f>IF(ISBLANK(INDEX('Policy Characteristics'!A:A,MATCH($C1306,'Policy Characteristics'!$C:$C,0))),"",INDEX('Policy Characteristics'!A:A,MATCH($C1306,'Policy Characteristics'!$C:$C,0)))</f>
        <v>Cross-Sector</v>
      </c>
      <c r="B1306" s="284" t="str">
        <f>IF(ISBLANK(INDEX('Policy Characteristics'!B:B,MATCH($C1306,'Policy Characteristics'!$C:$C,0))),"",INDEX('Policy Characteristics'!B:B,MATCH($C1306,'Policy Characteristics'!$C:$C,0)))</f>
        <v>Exempt Process Emissions from C Tax</v>
      </c>
      <c r="C1306" s="275" t="str">
        <f t="shared" si="55"/>
        <v>BEPEfCT Boolean Exempt Process Emissions from Carbon Tax</v>
      </c>
      <c r="D1306" s="6" t="s">
        <v>3091</v>
      </c>
      <c r="E1306" s="6"/>
      <c r="F1306" t="s">
        <v>3053</v>
      </c>
      <c r="G1306" s="6"/>
      <c r="H1306" s="49">
        <v>1649</v>
      </c>
      <c r="I1306" s="347" t="s">
        <v>44</v>
      </c>
      <c r="J1306" s="276" t="str">
        <f>IF(ISBLANK(INDEX('Policy Characteristics'!D:D,MATCH($C1306,'Policy Characteristics'!$C:$C,0))),"",INDEX('Policy Characteristics'!D:D,MATCH($C1306,'Policy Characteristics'!$C:$C,0)))</f>
        <v/>
      </c>
      <c r="K1306" s="275" t="str">
        <f>IF(ISBLANK(INDEX('Policy Characteristics'!E:E,MATCH($C1306,'Policy Characteristics'!$C:$C,0))),"",INDEX('Policy Characteristics'!E:E,MATCH($C1306,'Policy Characteristics'!$C:$C,0)))</f>
        <v>cross toggle whether carbon tax affects process emissions</v>
      </c>
      <c r="L1306" s="275">
        <f>IF(ISBLANK(INDEX('Policy Characteristics'!F:F,MATCH($C1306,'Policy Characteristics'!$C:$C,0))),"",INDEX('Policy Characteristics'!F:F,MATCH($C1306,'Policy Characteristics'!$C:$C,0)))</f>
        <v>0</v>
      </c>
      <c r="M1306" s="275">
        <f>IF(ISBLANK(INDEX('Policy Characteristics'!G:G,MATCH($C1306,'Policy Characteristics'!$C:$C,0))),"",INDEX('Policy Characteristics'!G:G,MATCH($C1306,'Policy Characteristics'!$C:$C,0)))</f>
        <v>1</v>
      </c>
      <c r="N1306" s="275">
        <f>IF(ISBLANK(INDEX('Policy Characteristics'!H:H,MATCH($C1306,'Policy Characteristics'!$C:$C,0))),"",INDEX('Policy Characteristics'!H:H,MATCH($C1306,'Policy Characteristics'!$C:$C,0)))</f>
        <v>1</v>
      </c>
      <c r="O1306" s="275" t="str">
        <f>IF(ISBLANK(INDEX('Policy Characteristics'!I:I,MATCH($C1306,'Policy Characteristics'!$C:$C,0))),"",INDEX('Policy Characteristics'!I:I,MATCH($C1306,'Policy Characteristics'!$C:$C,0)))</f>
        <v>on/off</v>
      </c>
      <c r="P1306" s="275" t="str">
        <f>IF(ISBLANK(INDEX('Policy Characteristics'!J:J,MATCH($C1306,'Policy Characteristics'!$C:$C,0))),"",INDEX('Policy Characteristics'!J:J,MATCH($C1306,'Policy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6" s="275" t="str">
        <f>IF(ISBLANK(INDEX('Policy Characteristics'!K:K,MATCH($C1306,'Policy Characteristics'!$C:$C,0))),"",INDEX('Policy Characteristics'!K:K,MATCH($C1306,'Policy Characteristics'!$C:$C,0)))</f>
        <v>fuels.html#carbon-tax</v>
      </c>
      <c r="R1306" s="275" t="str">
        <f>IF(ISBLANK(INDEX('Policy Characteristics'!L:L,MATCH($C1306,'Policy Characteristics'!$C:$C,0))),"",INDEX('Policy Characteristics'!L:L,MATCH($C1306,'Policy Characteristics'!$C:$C,0)))</f>
        <v>carbon-tax.html</v>
      </c>
    </row>
    <row r="1307" spans="1:18" s="2" customFormat="1" x14ac:dyDescent="0.25">
      <c r="A1307" s="275" t="str">
        <f>IF(ISBLANK(INDEX('Policy Characteristics'!A:A,MATCH($C1307,'Policy Characteristics'!$C:$C,0))),"",INDEX('Policy Characteristics'!A:A,MATCH($C1307,'Policy Characteristics'!$C:$C,0)))</f>
        <v>Cross-Sector</v>
      </c>
      <c r="B1307" s="284" t="str">
        <f>IF(ISBLANK(INDEX('Policy Characteristics'!B:B,MATCH($C1307,'Policy Characteristics'!$C:$C,0))),"",INDEX('Policy Characteristics'!B:B,MATCH($C1307,'Policy Characteristics'!$C:$C,0)))</f>
        <v>Exempt Process Emissions from C Tax</v>
      </c>
      <c r="C1307" s="275" t="str">
        <f t="shared" si="55"/>
        <v>BEPEfCT Boolean Exempt Process Emissions from Carbon Tax</v>
      </c>
      <c r="D1307" s="6" t="s">
        <v>3092</v>
      </c>
      <c r="E1307" s="6"/>
      <c r="F1307" t="s">
        <v>3054</v>
      </c>
      <c r="G1307" s="6"/>
      <c r="H1307" s="49">
        <v>1650</v>
      </c>
      <c r="I1307" s="347" t="s">
        <v>43</v>
      </c>
      <c r="J1307" s="276" t="str">
        <f>IF(ISBLANK(INDEX('Policy Characteristics'!D:D,MATCH($C1307,'Policy Characteristics'!$C:$C,0))),"",INDEX('Policy Characteristics'!D:D,MATCH($C1307,'Policy Characteristics'!$C:$C,0)))</f>
        <v/>
      </c>
      <c r="K1307" s="275" t="str">
        <f>IF(ISBLANK(INDEX('Policy Characteristics'!E:E,MATCH($C1307,'Policy Characteristics'!$C:$C,0))),"",INDEX('Policy Characteristics'!E:E,MATCH($C1307,'Policy Characteristics'!$C:$C,0)))</f>
        <v>cross toggle whether carbon tax affects process emissions</v>
      </c>
      <c r="L1307" s="275">
        <f>IF(ISBLANK(INDEX('Policy Characteristics'!F:F,MATCH($C1307,'Policy Characteristics'!$C:$C,0))),"",INDEX('Policy Characteristics'!F:F,MATCH($C1307,'Policy Characteristics'!$C:$C,0)))</f>
        <v>0</v>
      </c>
      <c r="M1307" s="275">
        <f>IF(ISBLANK(INDEX('Policy Characteristics'!G:G,MATCH($C1307,'Policy Characteristics'!$C:$C,0))),"",INDEX('Policy Characteristics'!G:G,MATCH($C1307,'Policy Characteristics'!$C:$C,0)))</f>
        <v>1</v>
      </c>
      <c r="N1307" s="275">
        <f>IF(ISBLANK(INDEX('Policy Characteristics'!H:H,MATCH($C1307,'Policy Characteristics'!$C:$C,0))),"",INDEX('Policy Characteristics'!H:H,MATCH($C1307,'Policy Characteristics'!$C:$C,0)))</f>
        <v>1</v>
      </c>
      <c r="O1307" s="275" t="str">
        <f>IF(ISBLANK(INDEX('Policy Characteristics'!I:I,MATCH($C1307,'Policy Characteristics'!$C:$C,0))),"",INDEX('Policy Characteristics'!I:I,MATCH($C1307,'Policy Characteristics'!$C:$C,0)))</f>
        <v>on/off</v>
      </c>
      <c r="P1307" s="275" t="str">
        <f>IF(ISBLANK(INDEX('Policy Characteristics'!J:J,MATCH($C1307,'Policy Characteristics'!$C:$C,0))),"",INDEX('Policy Characteristics'!J:J,MATCH($C1307,'Policy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7" s="275" t="str">
        <f>IF(ISBLANK(INDEX('Policy Characteristics'!K:K,MATCH($C1307,'Policy Characteristics'!$C:$C,0))),"",INDEX('Policy Characteristics'!K:K,MATCH($C1307,'Policy Characteristics'!$C:$C,0)))</f>
        <v>fuels.html#carbon-tax</v>
      </c>
      <c r="R1307" s="275" t="str">
        <f>IF(ISBLANK(INDEX('Policy Characteristics'!L:L,MATCH($C1307,'Policy Characteristics'!$C:$C,0))),"",INDEX('Policy Characteristics'!L:L,MATCH($C1307,'Policy Characteristics'!$C:$C,0)))</f>
        <v>carbon-tax.html</v>
      </c>
    </row>
    <row r="1308" spans="1:18" s="2" customFormat="1" x14ac:dyDescent="0.25">
      <c r="A1308" s="275" t="str">
        <f>IF(ISBLANK(INDEX('Policy Characteristics'!A:A,MATCH($C1308,'Policy Characteristics'!$C:$C,0))),"",INDEX('Policy Characteristics'!A:A,MATCH($C1308,'Policy Characteristics'!$C:$C,0)))</f>
        <v>Cross-Sector</v>
      </c>
      <c r="B1308" s="284" t="str">
        <f>IF(ISBLANK(INDEX('Policy Characteristics'!B:B,MATCH($C1308,'Policy Characteristics'!$C:$C,0))),"",INDEX('Policy Characteristics'!B:B,MATCH($C1308,'Policy Characteristics'!$C:$C,0)))</f>
        <v>Exempt Process Emissions from C Tax</v>
      </c>
      <c r="C1308" s="275" t="str">
        <f t="shared" si="55"/>
        <v>BEPEfCT Boolean Exempt Process Emissions from Carbon Tax</v>
      </c>
      <c r="D1308" s="6" t="s">
        <v>3093</v>
      </c>
      <c r="E1308" s="6"/>
      <c r="F1308" t="s">
        <v>3096</v>
      </c>
      <c r="G1308" s="6"/>
      <c r="H1308" s="49">
        <v>1651</v>
      </c>
      <c r="I1308" s="347" t="s">
        <v>43</v>
      </c>
      <c r="J1308" s="276" t="str">
        <f>IF(ISBLANK(INDEX('Policy Characteristics'!D:D,MATCH($C1308,'Policy Characteristics'!$C:$C,0))),"",INDEX('Policy Characteristics'!D:D,MATCH($C1308,'Policy Characteristics'!$C:$C,0)))</f>
        <v/>
      </c>
      <c r="K1308" s="275" t="str">
        <f>IF(ISBLANK(INDEX('Policy Characteristics'!E:E,MATCH($C1308,'Policy Characteristics'!$C:$C,0))),"",INDEX('Policy Characteristics'!E:E,MATCH($C1308,'Policy Characteristics'!$C:$C,0)))</f>
        <v>cross toggle whether carbon tax affects process emissions</v>
      </c>
      <c r="L1308" s="275">
        <f>IF(ISBLANK(INDEX('Policy Characteristics'!F:F,MATCH($C1308,'Policy Characteristics'!$C:$C,0))),"",INDEX('Policy Characteristics'!F:F,MATCH($C1308,'Policy Characteristics'!$C:$C,0)))</f>
        <v>0</v>
      </c>
      <c r="M1308" s="275">
        <f>IF(ISBLANK(INDEX('Policy Characteristics'!G:G,MATCH($C1308,'Policy Characteristics'!$C:$C,0))),"",INDEX('Policy Characteristics'!G:G,MATCH($C1308,'Policy Characteristics'!$C:$C,0)))</f>
        <v>1</v>
      </c>
      <c r="N1308" s="275">
        <f>IF(ISBLANK(INDEX('Policy Characteristics'!H:H,MATCH($C1308,'Policy Characteristics'!$C:$C,0))),"",INDEX('Policy Characteristics'!H:H,MATCH($C1308,'Policy Characteristics'!$C:$C,0)))</f>
        <v>1</v>
      </c>
      <c r="O1308" s="275" t="str">
        <f>IF(ISBLANK(INDEX('Policy Characteristics'!I:I,MATCH($C1308,'Policy Characteristics'!$C:$C,0))),"",INDEX('Policy Characteristics'!I:I,MATCH($C1308,'Policy Characteristics'!$C:$C,0)))</f>
        <v>on/off</v>
      </c>
      <c r="P1308" s="275" t="str">
        <f>IF(ISBLANK(INDEX('Policy Characteristics'!J:J,MATCH($C1308,'Policy Characteristics'!$C:$C,0))),"",INDEX('Policy Characteristics'!J:J,MATCH($C1308,'Policy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8" s="275" t="str">
        <f>IF(ISBLANK(INDEX('Policy Characteristics'!K:K,MATCH($C1308,'Policy Characteristics'!$C:$C,0))),"",INDEX('Policy Characteristics'!K:K,MATCH($C1308,'Policy Characteristics'!$C:$C,0)))</f>
        <v>fuels.html#carbon-tax</v>
      </c>
      <c r="R1308" s="275" t="str">
        <f>IF(ISBLANK(INDEX('Policy Characteristics'!L:L,MATCH($C1308,'Policy Characteristics'!$C:$C,0))),"",INDEX('Policy Characteristics'!L:L,MATCH($C1308,'Policy Characteristics'!$C:$C,0)))</f>
        <v>carbon-tax.html</v>
      </c>
    </row>
    <row r="1309" spans="1:18" s="2" customFormat="1" x14ac:dyDescent="0.25">
      <c r="A1309" s="275" t="str">
        <f>IF(ISBLANK(INDEX('Policy Characteristics'!A:A,MATCH($C1309,'Policy Characteristics'!$C:$C,0))),"",INDEX('Policy Characteristics'!A:A,MATCH($C1309,'Policy Characteristics'!$C:$C,0)))</f>
        <v>Cross-Sector</v>
      </c>
      <c r="B1309" s="284" t="str">
        <f>IF(ISBLANK(INDEX('Policy Characteristics'!B:B,MATCH($C1309,'Policy Characteristics'!$C:$C,0))),"",INDEX('Policy Characteristics'!B:B,MATCH($C1309,'Policy Characteristics'!$C:$C,0)))</f>
        <v>Exempt Process Emissions from C Tax</v>
      </c>
      <c r="C1309" s="275" t="str">
        <f t="shared" si="55"/>
        <v>BEPEfCT Boolean Exempt Process Emissions from Carbon Tax</v>
      </c>
      <c r="D1309" s="6" t="s">
        <v>3094</v>
      </c>
      <c r="E1309" s="6"/>
      <c r="F1309" t="s">
        <v>3055</v>
      </c>
      <c r="G1309" s="6"/>
      <c r="H1309" s="49">
        <v>1652</v>
      </c>
      <c r="I1309" s="347" t="s">
        <v>44</v>
      </c>
      <c r="J1309" s="276" t="str">
        <f>IF(ISBLANK(INDEX('Policy Characteristics'!D:D,MATCH($C1309,'Policy Characteristics'!$C:$C,0))),"",INDEX('Policy Characteristics'!D:D,MATCH($C1309,'Policy Characteristics'!$C:$C,0)))</f>
        <v/>
      </c>
      <c r="K1309" s="275" t="str">
        <f>IF(ISBLANK(INDEX('Policy Characteristics'!E:E,MATCH($C1309,'Policy Characteristics'!$C:$C,0))),"",INDEX('Policy Characteristics'!E:E,MATCH($C1309,'Policy Characteristics'!$C:$C,0)))</f>
        <v>cross toggle whether carbon tax affects process emissions</v>
      </c>
      <c r="L1309" s="275">
        <f>IF(ISBLANK(INDEX('Policy Characteristics'!F:F,MATCH($C1309,'Policy Characteristics'!$C:$C,0))),"",INDEX('Policy Characteristics'!F:F,MATCH($C1309,'Policy Characteristics'!$C:$C,0)))</f>
        <v>0</v>
      </c>
      <c r="M1309" s="275">
        <f>IF(ISBLANK(INDEX('Policy Characteristics'!G:G,MATCH($C1309,'Policy Characteristics'!$C:$C,0))),"",INDEX('Policy Characteristics'!G:G,MATCH($C1309,'Policy Characteristics'!$C:$C,0)))</f>
        <v>1</v>
      </c>
      <c r="N1309" s="275">
        <f>IF(ISBLANK(INDEX('Policy Characteristics'!H:H,MATCH($C1309,'Policy Characteristics'!$C:$C,0))),"",INDEX('Policy Characteristics'!H:H,MATCH($C1309,'Policy Characteristics'!$C:$C,0)))</f>
        <v>1</v>
      </c>
      <c r="O1309" s="275" t="str">
        <f>IF(ISBLANK(INDEX('Policy Characteristics'!I:I,MATCH($C1309,'Policy Characteristics'!$C:$C,0))),"",INDEX('Policy Characteristics'!I:I,MATCH($C1309,'Policy Characteristics'!$C:$C,0)))</f>
        <v>on/off</v>
      </c>
      <c r="P1309" s="275" t="str">
        <f>IF(ISBLANK(INDEX('Policy Characteristics'!J:J,MATCH($C1309,'Policy Characteristics'!$C:$C,0))),"",INDEX('Policy Characteristics'!J:J,MATCH($C1309,'Policy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9" s="275" t="str">
        <f>IF(ISBLANK(INDEX('Policy Characteristics'!K:K,MATCH($C1309,'Policy Characteristics'!$C:$C,0))),"",INDEX('Policy Characteristics'!K:K,MATCH($C1309,'Policy Characteristics'!$C:$C,0)))</f>
        <v>fuels.html#carbon-tax</v>
      </c>
      <c r="R1309" s="275" t="str">
        <f>IF(ISBLANK(INDEX('Policy Characteristics'!L:L,MATCH($C1309,'Policy Characteristics'!$C:$C,0))),"",INDEX('Policy Characteristics'!L:L,MATCH($C1309,'Policy Characteristics'!$C:$C,0)))</f>
        <v>carbon-tax.html</v>
      </c>
    </row>
    <row r="1310" spans="1:18" s="2" customFormat="1" x14ac:dyDescent="0.25">
      <c r="A1310" s="275" t="str">
        <f>IF(ISBLANK(INDEX('Policy Characteristics'!A:A,MATCH($C1310,'Policy Characteristics'!$C:$C,0))),"",INDEX('Policy Characteristics'!A:A,MATCH($C1310,'Policy Characteristics'!$C:$C,0)))</f>
        <v>Cross-Sector</v>
      </c>
      <c r="B1310" s="284" t="str">
        <f>IF(ISBLANK(INDEX('Policy Characteristics'!B:B,MATCH($C1310,'Policy Characteristics'!$C:$C,0))),"",INDEX('Policy Characteristics'!B:B,MATCH($C1310,'Policy Characteristics'!$C:$C,0)))</f>
        <v>Toggle Carbon Tax Border Adjustment</v>
      </c>
      <c r="C1310" s="1" t="s">
        <v>3395</v>
      </c>
      <c r="D1310" s="6"/>
      <c r="E1310" s="6"/>
      <c r="F1310" s="6"/>
      <c r="G1310" s="6"/>
      <c r="H1310" s="49">
        <v>1627</v>
      </c>
      <c r="I1310" s="347" t="s">
        <v>43</v>
      </c>
      <c r="J1310" s="276" t="str">
        <f>IF(ISBLANK(INDEX('Policy Characteristics'!D:D,MATCH($C1310,'Policy Characteristics'!$C:$C,0))),"",INDEX('Policy Characteristics'!D:D,MATCH($C1310,'Policy Characteristics'!$C:$C,0)))</f>
        <v/>
      </c>
      <c r="K1310" s="275" t="str">
        <f>IF(ISBLANK(INDEX('Policy Characteristics'!E:E,MATCH($C1310,'Policy Characteristics'!$C:$C,0))),"",INDEX('Policy Characteristics'!E:E,MATCH($C1310,'Policy Characteristics'!$C:$C,0)))</f>
        <v/>
      </c>
      <c r="L1310" s="275">
        <f>IF(ISBLANK(INDEX('Policy Characteristics'!F:F,MATCH($C1310,'Policy Characteristics'!$C:$C,0))),"",INDEX('Policy Characteristics'!F:F,MATCH($C1310,'Policy Characteristics'!$C:$C,0)))</f>
        <v>0</v>
      </c>
      <c r="M1310" s="275">
        <f>IF(ISBLANK(INDEX('Policy Characteristics'!G:G,MATCH($C1310,'Policy Characteristics'!$C:$C,0))),"",INDEX('Policy Characteristics'!G:G,MATCH($C1310,'Policy Characteristics'!$C:$C,0)))</f>
        <v>1</v>
      </c>
      <c r="N1310" s="275">
        <f>IF(ISBLANK(INDEX('Policy Characteristics'!H:H,MATCH($C1310,'Policy Characteristics'!$C:$C,0))),"",INDEX('Policy Characteristics'!H:H,MATCH($C1310,'Policy Characteristics'!$C:$C,0)))</f>
        <v>1</v>
      </c>
      <c r="O1310" s="275" t="str">
        <f>IF(ISBLANK(INDEX('Policy Characteristics'!I:I,MATCH($C1310,'Policy Characteristics'!$C:$C,0))),"",INDEX('Policy Characteristics'!I:I,MATCH($C1310,'Policy Characteristics'!$C:$C,0)))</f>
        <v>on/off</v>
      </c>
      <c r="P1310" s="275" t="str">
        <f>IF(ISBLANK(INDEX('Policy Characteristics'!J:J,MATCH($C1310,'Policy Characteristics'!$C:$C,0))),"",INDEX('Policy Characteristics'!J:J,MATCH($C1310,'Policy Characteristics'!$C:$C,0)))</f>
        <v>**Description:** By default, carbon taxes apply to only domestically produced goods. If set to zero, this policy enables carbon tax border adjustments, meaning the carbon tax will apply to both domestically produced and imported goods.</v>
      </c>
      <c r="Q1310" s="275" t="str">
        <f>IF(ISBLANK(INDEX('Policy Characteristics'!K:K,MATCH($C1310,'Policy Characteristics'!$C:$C,0))),"",INDEX('Policy Characteristics'!K:K,MATCH($C1310,'Policy Characteristics'!$C:$C,0)))</f>
        <v>fuels.html#carbon-tax</v>
      </c>
      <c r="R1310" s="275" t="str">
        <f>IF(ISBLANK(INDEX('Policy Characteristics'!L:L,MATCH($C1310,'Policy Characteristics'!$C:$C,0))),"",INDEX('Policy Characteristics'!L:L,MATCH($C1310,'Policy Characteristics'!$C:$C,0)))</f>
        <v>carbon-tax.html</v>
      </c>
    </row>
    <row r="1311" spans="1:18" s="2" customFormat="1" x14ac:dyDescent="0.25">
      <c r="A1311" s="275" t="str">
        <f>IF(ISBLANK(INDEX('Policy Characteristics'!A:A,MATCH($C1311,'Policy Characteristics'!$C:$C,0))),"",INDEX('Policy Characteristics'!A:A,MATCH($C1311,'Policy Characteristics'!$C:$C,0)))</f>
        <v>Cross-Sector</v>
      </c>
      <c r="B1311" s="284" t="str">
        <f>IF(ISBLANK(INDEX('Policy Characteristics'!B:B,MATCH($C1311,'Policy Characteristics'!$C:$C,0))),"",INDEX('Policy Characteristics'!B:B,MATCH($C1311,'Policy Characteristics'!$C:$C,0)))</f>
        <v>Fixed Energy Prices</v>
      </c>
      <c r="C1311" s="339" t="s">
        <v>2716</v>
      </c>
      <c r="D1311" s="6" t="s">
        <v>52</v>
      </c>
      <c r="E1311" s="6"/>
      <c r="F1311" s="6" t="s">
        <v>93</v>
      </c>
      <c r="G1311" s="6"/>
      <c r="H1311" s="44">
        <v>720</v>
      </c>
      <c r="I1311" s="347" t="s">
        <v>44</v>
      </c>
      <c r="J1311" s="276" t="str">
        <f>IF(ISBLANK(INDEX('Policy Characteristics'!D:D,MATCH($C1311,'Policy Characteristics'!$C:$C,0))),"",INDEX('Policy Characteristics'!D:D,MATCH($C1311,'Policy Characteristics'!$C:$C,0)))</f>
        <v>Fixed Energy Prices</v>
      </c>
      <c r="K1311" s="275" t="str">
        <f>IF(ISBLANK(INDEX('Policy Characteristics'!E:E,MATCH($C1311,'Policy Characteristics'!$C:$C,0))),"",INDEX('Policy Characteristics'!E:E,MATCH($C1311,'Policy Characteristics'!$C:$C,0)))</f>
        <v>cross toggle whether policies affect energy prices</v>
      </c>
      <c r="L1311" s="275">
        <f>IF(ISBLANK(INDEX('Policy Characteristics'!F:F,MATCH($C1311,'Policy Characteristics'!$C:$C,0))),"",INDEX('Policy Characteristics'!F:F,MATCH($C1311,'Policy Characteristics'!$C:$C,0)))</f>
        <v>0</v>
      </c>
      <c r="M1311" s="275">
        <f>IF(ISBLANK(INDEX('Policy Characteristics'!G:G,MATCH($C1311,'Policy Characteristics'!$C:$C,0))),"",INDEX('Policy Characteristics'!G:G,MATCH($C1311,'Policy Characteristics'!$C:$C,0)))</f>
        <v>1</v>
      </c>
      <c r="N1311" s="275">
        <f>IF(ISBLANK(INDEX('Policy Characteristics'!H:H,MATCH($C1311,'Policy Characteristics'!$C:$C,0))),"",INDEX('Policy Characteristics'!H:H,MATCH($C1311,'Policy Characteristics'!$C:$C,0)))</f>
        <v>1</v>
      </c>
      <c r="O1311" s="275" t="str">
        <f>IF(ISBLANK(INDEX('Policy Characteristics'!I:I,MATCH($C1311,'Policy Characteristics'!$C:$C,0))),"",INDEX('Policy Characteristics'!I:I,MATCH($C1311,'Policy Characteristics'!$C:$C,0)))</f>
        <v>on/off</v>
      </c>
      <c r="P1311" s="275" t="str">
        <f>IF(ISBLANK(INDEX('Policy Characteristics'!J:J,MATCH($C1311,'Policy Characteristics'!$C:$C,0))),"",INDEX('Policy Characteristics'!J:J,MATCH($C1311,'Policy Characteristics'!$C:$C,0)))</f>
        <v/>
      </c>
      <c r="Q1311" s="275" t="str">
        <f>IF(ISBLANK(INDEX('Policy Characteristics'!K:K,MATCH($C1311,'Policy Characteristics'!$C:$C,0))),"",INDEX('Policy Characteristics'!K:K,MATCH($C1311,'Policy Characteristics'!$C:$C,0)))</f>
        <v/>
      </c>
      <c r="R1311" s="275" t="str">
        <f>IF(ISBLANK(INDEX('Policy Characteristics'!L:L,MATCH($C1311,'Policy Characteristics'!$C:$C,0))),"",INDEX('Policy Characteristics'!L:L,MATCH($C1311,'Policy Characteristics'!$C:$C,0)))</f>
        <v/>
      </c>
    </row>
    <row r="1312" spans="1:18" s="2" customFormat="1" x14ac:dyDescent="0.25">
      <c r="A1312" s="275" t="str">
        <f>IF(ISBLANK(INDEX('Policy Characteristics'!A:A,MATCH($C1312,'Policy Characteristics'!$C:$C,0))),"",INDEX('Policy Characteristics'!A:A,MATCH($C1312,'Policy Characteristics'!$C:$C,0)))</f>
        <v>Cross-Sector</v>
      </c>
      <c r="B1312" s="284" t="str">
        <f>IF(ISBLANK(INDEX('Policy Characteristics'!B:B,MATCH($C1312,'Policy Characteristics'!$C:$C,0))),"",INDEX('Policy Characteristics'!B:B,MATCH($C1312,'Policy Characteristics'!$C:$C,0)))</f>
        <v>Fixed Energy Prices</v>
      </c>
      <c r="C1312" s="275" t="str">
        <f t="shared" ref="C1312:C1313" si="56">C$1311</f>
        <v>Toggle Whether Policies Affect Energy Prices</v>
      </c>
      <c r="D1312" s="6" t="s">
        <v>75</v>
      </c>
      <c r="E1312" s="6"/>
      <c r="F1312" s="6" t="s">
        <v>99</v>
      </c>
      <c r="G1312" s="6"/>
      <c r="H1312" s="44">
        <v>721</v>
      </c>
      <c r="I1312" s="347" t="s">
        <v>44</v>
      </c>
      <c r="J1312" s="276" t="str">
        <f>IF(ISBLANK(INDEX('Policy Characteristics'!D:D,MATCH($C1312,'Policy Characteristics'!$C:$C,0))),"",INDEX('Policy Characteristics'!D:D,MATCH($C1312,'Policy Characteristics'!$C:$C,0)))</f>
        <v>Fixed Energy Prices</v>
      </c>
      <c r="K1312" s="275" t="str">
        <f>IF(ISBLANK(INDEX('Policy Characteristics'!E:E,MATCH($C1312,'Policy Characteristics'!$C:$C,0))),"",INDEX('Policy Characteristics'!E:E,MATCH($C1312,'Policy Characteristics'!$C:$C,0)))</f>
        <v>cross toggle whether policies affect energy prices</v>
      </c>
      <c r="L1312" s="275">
        <f>IF(ISBLANK(INDEX('Policy Characteristics'!F:F,MATCH($C1312,'Policy Characteristics'!$C:$C,0))),"",INDEX('Policy Characteristics'!F:F,MATCH($C1312,'Policy Characteristics'!$C:$C,0)))</f>
        <v>0</v>
      </c>
      <c r="M1312" s="275">
        <f>IF(ISBLANK(INDEX('Policy Characteristics'!G:G,MATCH($C1312,'Policy Characteristics'!$C:$C,0))),"",INDEX('Policy Characteristics'!G:G,MATCH($C1312,'Policy Characteristics'!$C:$C,0)))</f>
        <v>1</v>
      </c>
      <c r="N1312" s="275">
        <f>IF(ISBLANK(INDEX('Policy Characteristics'!H:H,MATCH($C1312,'Policy Characteristics'!$C:$C,0))),"",INDEX('Policy Characteristics'!H:H,MATCH($C1312,'Policy Characteristics'!$C:$C,0)))</f>
        <v>1</v>
      </c>
      <c r="O1312" s="275" t="str">
        <f>IF(ISBLANK(INDEX('Policy Characteristics'!I:I,MATCH($C1312,'Policy Characteristics'!$C:$C,0))),"",INDEX('Policy Characteristics'!I:I,MATCH($C1312,'Policy Characteristics'!$C:$C,0)))</f>
        <v>on/off</v>
      </c>
      <c r="P1312" s="275" t="str">
        <f>IF(ISBLANK(INDEX('Policy Characteristics'!J:J,MATCH($C1312,'Policy Characteristics'!$C:$C,0))),"",INDEX('Policy Characteristics'!J:J,MATCH($C1312,'Policy Characteristics'!$C:$C,0)))</f>
        <v/>
      </c>
      <c r="Q1312" s="275" t="str">
        <f>IF(ISBLANK(INDEX('Policy Characteristics'!K:K,MATCH($C1312,'Policy Characteristics'!$C:$C,0))),"",INDEX('Policy Characteristics'!K:K,MATCH($C1312,'Policy Characteristics'!$C:$C,0)))</f>
        <v/>
      </c>
      <c r="R1312" s="275" t="str">
        <f>IF(ISBLANK(INDEX('Policy Characteristics'!L:L,MATCH($C1312,'Policy Characteristics'!$C:$C,0))),"",INDEX('Policy Characteristics'!L:L,MATCH($C1312,'Policy Characteristics'!$C:$C,0)))</f>
        <v/>
      </c>
    </row>
    <row r="1313" spans="1:18" s="2" customFormat="1" x14ac:dyDescent="0.25">
      <c r="A1313" s="275" t="str">
        <f>IF(ISBLANK(INDEX('Policy Characteristics'!A:A,MATCH($C1313,'Policy Characteristics'!$C:$C,0))),"",INDEX('Policy Characteristics'!A:A,MATCH($C1313,'Policy Characteristics'!$C:$C,0)))</f>
        <v>Cross-Sector</v>
      </c>
      <c r="B1313" s="284" t="str">
        <f>IF(ISBLANK(INDEX('Policy Characteristics'!B:B,MATCH($C1313,'Policy Characteristics'!$C:$C,0))),"",INDEX('Policy Characteristics'!B:B,MATCH($C1313,'Policy Characteristics'!$C:$C,0)))</f>
        <v>Fixed Energy Prices</v>
      </c>
      <c r="C1313" s="275" t="str">
        <f t="shared" si="56"/>
        <v>Toggle Whether Policies Affect Energy Prices</v>
      </c>
      <c r="D1313" s="6" t="s">
        <v>2470</v>
      </c>
      <c r="E1313" s="6"/>
      <c r="F1313" s="6" t="s">
        <v>2474</v>
      </c>
      <c r="G1313" s="6"/>
      <c r="H1313" s="44">
        <v>722</v>
      </c>
      <c r="I1313" s="347" t="s">
        <v>44</v>
      </c>
      <c r="J1313" s="276" t="str">
        <f>IF(ISBLANK(INDEX('Policy Characteristics'!D:D,MATCH($C1313,'Policy Characteristics'!$C:$C,0))),"",INDEX('Policy Characteristics'!D:D,MATCH($C1313,'Policy Characteristics'!$C:$C,0)))</f>
        <v>Fixed Energy Prices</v>
      </c>
      <c r="K1313" s="275" t="str">
        <f>IF(ISBLANK(INDEX('Policy Characteristics'!E:E,MATCH($C1313,'Policy Characteristics'!$C:$C,0))),"",INDEX('Policy Characteristics'!E:E,MATCH($C1313,'Policy Characteristics'!$C:$C,0)))</f>
        <v>cross toggle whether policies affect energy prices</v>
      </c>
      <c r="L1313" s="275">
        <f>IF(ISBLANK(INDEX('Policy Characteristics'!F:F,MATCH($C1313,'Policy Characteristics'!$C:$C,0))),"",INDEX('Policy Characteristics'!F:F,MATCH($C1313,'Policy Characteristics'!$C:$C,0)))</f>
        <v>0</v>
      </c>
      <c r="M1313" s="275">
        <f>IF(ISBLANK(INDEX('Policy Characteristics'!G:G,MATCH($C1313,'Policy Characteristics'!$C:$C,0))),"",INDEX('Policy Characteristics'!G:G,MATCH($C1313,'Policy Characteristics'!$C:$C,0)))</f>
        <v>1</v>
      </c>
      <c r="N1313" s="275">
        <f>IF(ISBLANK(INDEX('Policy Characteristics'!H:H,MATCH($C1313,'Policy Characteristics'!$C:$C,0))),"",INDEX('Policy Characteristics'!H:H,MATCH($C1313,'Policy Characteristics'!$C:$C,0)))</f>
        <v>1</v>
      </c>
      <c r="O1313" s="275" t="str">
        <f>IF(ISBLANK(INDEX('Policy Characteristics'!I:I,MATCH($C1313,'Policy Characteristics'!$C:$C,0))),"",INDEX('Policy Characteristics'!I:I,MATCH($C1313,'Policy Characteristics'!$C:$C,0)))</f>
        <v>on/off</v>
      </c>
      <c r="P1313" s="275" t="str">
        <f>IF(ISBLANK(INDEX('Policy Characteristics'!J:J,MATCH($C1313,'Policy Characteristics'!$C:$C,0))),"",INDEX('Policy Characteristics'!J:J,MATCH($C1313,'Policy Characteristics'!$C:$C,0)))</f>
        <v/>
      </c>
      <c r="Q1313" s="275" t="str">
        <f>IF(ISBLANK(INDEX('Policy Characteristics'!K:K,MATCH($C1313,'Policy Characteristics'!$C:$C,0))),"",INDEX('Policy Characteristics'!K:K,MATCH($C1313,'Policy Characteristics'!$C:$C,0)))</f>
        <v/>
      </c>
      <c r="R1313" s="275" t="str">
        <f>IF(ISBLANK(INDEX('Policy Characteristics'!L:L,MATCH($C1313,'Policy Characteristics'!$C:$C,0))),"",INDEX('Policy Characteristics'!L:L,MATCH($C1313,'Policy Characteristics'!$C:$C,0)))</f>
        <v/>
      </c>
    </row>
    <row r="1314" spans="1:18" s="2" customFormat="1" x14ac:dyDescent="0.25">
      <c r="A1314" s="275" t="str">
        <f>IF(ISBLANK(INDEX('Policy Characteristics'!A:A,MATCH($C1314,'Policy Characteristics'!$C:$C,0))),"",INDEX('Policy Characteristics'!A:A,MATCH($C1314,'Policy Characteristics'!$C:$C,0)))</f>
        <v>Cross-Sector</v>
      </c>
      <c r="B1314" s="284" t="str">
        <f>IF(ISBLANK(INDEX('Policy Characteristics'!B:B,MATCH($C1314,'Policy Characteristics'!$C:$C,0))),"",INDEX('Policy Characteristics'!B:B,MATCH($C1314,'Policy Characteristics'!$C:$C,0)))</f>
        <v>Fixed Energy Prices</v>
      </c>
      <c r="C1314" s="339" t="s">
        <v>2716</v>
      </c>
      <c r="D1314" s="6" t="s">
        <v>450</v>
      </c>
      <c r="E1314" s="47"/>
      <c r="F1314" s="6" t="s">
        <v>447</v>
      </c>
      <c r="G1314" s="6"/>
      <c r="H1314" s="49">
        <v>836</v>
      </c>
      <c r="I1314" s="347" t="s">
        <v>44</v>
      </c>
      <c r="J1314" s="276" t="str">
        <f>IF(ISBLANK(INDEX('Policy Characteristics'!D:D,MATCH($C1314,'Policy Characteristics'!$C:$C,0))),"",INDEX('Policy Characteristics'!D:D,MATCH($C1314,'Policy Characteristics'!$C:$C,0)))</f>
        <v>Fixed Energy Prices</v>
      </c>
      <c r="K1314" s="275" t="str">
        <f>IF(ISBLANK(INDEX('Policy Characteristics'!E:E,MATCH($C1314,'Policy Characteristics'!$C:$C,0))),"",INDEX('Policy Characteristics'!E:E,MATCH($C1314,'Policy Characteristics'!$C:$C,0)))</f>
        <v>cross toggle whether policies affect energy prices</v>
      </c>
      <c r="L1314" s="275">
        <f>IF(ISBLANK(INDEX('Policy Characteristics'!F:F,MATCH($C1314,'Policy Characteristics'!$C:$C,0))),"",INDEX('Policy Characteristics'!F:F,MATCH($C1314,'Policy Characteristics'!$C:$C,0)))</f>
        <v>0</v>
      </c>
      <c r="M1314" s="275">
        <f>IF(ISBLANK(INDEX('Policy Characteristics'!G:G,MATCH($C1314,'Policy Characteristics'!$C:$C,0))),"",INDEX('Policy Characteristics'!G:G,MATCH($C1314,'Policy Characteristics'!$C:$C,0)))</f>
        <v>1</v>
      </c>
      <c r="N1314" s="275">
        <f>IF(ISBLANK(INDEX('Policy Characteristics'!H:H,MATCH($C1314,'Policy Characteristics'!$C:$C,0))),"",INDEX('Policy Characteristics'!H:H,MATCH($C1314,'Policy Characteristics'!$C:$C,0)))</f>
        <v>1</v>
      </c>
      <c r="O1314" s="275" t="str">
        <f>IF(ISBLANK(INDEX('Policy Characteristics'!I:I,MATCH($C1314,'Policy Characteristics'!$C:$C,0))),"",INDEX('Policy Characteristics'!I:I,MATCH($C1314,'Policy Characteristics'!$C:$C,0)))</f>
        <v>on/off</v>
      </c>
      <c r="P1314" s="275" t="str">
        <f>IF(ISBLANK(INDEX('Policy Characteristics'!J:J,MATCH($C1314,'Policy Characteristics'!$C:$C,0))),"",INDEX('Policy Characteristics'!J:J,MATCH($C1314,'Policy Characteristics'!$C:$C,0)))</f>
        <v/>
      </c>
      <c r="Q1314" s="275" t="str">
        <f>IF(ISBLANK(INDEX('Policy Characteristics'!K:K,MATCH($C1314,'Policy Characteristics'!$C:$C,0))),"",INDEX('Policy Characteristics'!K:K,MATCH($C1314,'Policy Characteristics'!$C:$C,0)))</f>
        <v/>
      </c>
      <c r="R1314" s="275" t="str">
        <f>IF(ISBLANK(INDEX('Policy Characteristics'!L:L,MATCH($C1314,'Policy Characteristics'!$C:$C,0))),"",INDEX('Policy Characteristics'!L:L,MATCH($C1314,'Policy Characteristics'!$C:$C,0)))</f>
        <v/>
      </c>
    </row>
    <row r="1315" spans="1:18" s="2" customFormat="1" x14ac:dyDescent="0.25">
      <c r="A1315" s="275" t="str">
        <f>IF(ISBLANK(INDEX('Policy Characteristics'!A:A,MATCH($C1315,'Policy Characteristics'!$C:$C,0))),"",INDEX('Policy Characteristics'!A:A,MATCH($C1315,'Policy Characteristics'!$C:$C,0)))</f>
        <v>Cross-Sector</v>
      </c>
      <c r="B1315" s="284" t="str">
        <f>IF(ISBLANK(INDEX('Policy Characteristics'!B:B,MATCH($C1315,'Policy Characteristics'!$C:$C,0))),"",INDEX('Policy Characteristics'!B:B,MATCH($C1315,'Policy Characteristics'!$C:$C,0)))</f>
        <v>Fixed Energy Prices</v>
      </c>
      <c r="C1315" s="275" t="str">
        <f t="shared" ref="C1315:C1325" si="57">C$1314</f>
        <v>Toggle Whether Policies Affect Energy Prices</v>
      </c>
      <c r="D1315" s="6" t="s">
        <v>46</v>
      </c>
      <c r="E1315" s="47"/>
      <c r="F1315" s="6" t="s">
        <v>87</v>
      </c>
      <c r="G1315" s="6"/>
      <c r="H1315" s="44">
        <v>837</v>
      </c>
      <c r="I1315" s="347" t="s">
        <v>44</v>
      </c>
      <c r="J1315" s="276" t="str">
        <f>IF(ISBLANK(INDEX('Policy Characteristics'!D:D,MATCH($C1315,'Policy Characteristics'!$C:$C,0))),"",INDEX('Policy Characteristics'!D:D,MATCH($C1315,'Policy Characteristics'!$C:$C,0)))</f>
        <v>Fixed Energy Prices</v>
      </c>
      <c r="K1315" s="275" t="str">
        <f>IF(ISBLANK(INDEX('Policy Characteristics'!E:E,MATCH($C1315,'Policy Characteristics'!$C:$C,0))),"",INDEX('Policy Characteristics'!E:E,MATCH($C1315,'Policy Characteristics'!$C:$C,0)))</f>
        <v>cross toggle whether policies affect energy prices</v>
      </c>
      <c r="L1315" s="275">
        <f>IF(ISBLANK(INDEX('Policy Characteristics'!F:F,MATCH($C1315,'Policy Characteristics'!$C:$C,0))),"",INDEX('Policy Characteristics'!F:F,MATCH($C1315,'Policy Characteristics'!$C:$C,0)))</f>
        <v>0</v>
      </c>
      <c r="M1315" s="275">
        <f>IF(ISBLANK(INDEX('Policy Characteristics'!G:G,MATCH($C1315,'Policy Characteristics'!$C:$C,0))),"",INDEX('Policy Characteristics'!G:G,MATCH($C1315,'Policy Characteristics'!$C:$C,0)))</f>
        <v>1</v>
      </c>
      <c r="N1315" s="275">
        <f>IF(ISBLANK(INDEX('Policy Characteristics'!H:H,MATCH($C1315,'Policy Characteristics'!$C:$C,0))),"",INDEX('Policy Characteristics'!H:H,MATCH($C1315,'Policy Characteristics'!$C:$C,0)))</f>
        <v>1</v>
      </c>
      <c r="O1315" s="275" t="str">
        <f>IF(ISBLANK(INDEX('Policy Characteristics'!I:I,MATCH($C1315,'Policy Characteristics'!$C:$C,0))),"",INDEX('Policy Characteristics'!I:I,MATCH($C1315,'Policy Characteristics'!$C:$C,0)))</f>
        <v>on/off</v>
      </c>
      <c r="P1315" s="275" t="str">
        <f>IF(ISBLANK(INDEX('Policy Characteristics'!J:J,MATCH($C1315,'Policy Characteristics'!$C:$C,0))),"",INDEX('Policy Characteristics'!J:J,MATCH($C1315,'Policy Characteristics'!$C:$C,0)))</f>
        <v/>
      </c>
      <c r="Q1315" s="275" t="str">
        <f>IF(ISBLANK(INDEX('Policy Characteristics'!K:K,MATCH($C1315,'Policy Characteristics'!$C:$C,0))),"",INDEX('Policy Characteristics'!K:K,MATCH($C1315,'Policy Characteristics'!$C:$C,0)))</f>
        <v/>
      </c>
      <c r="R1315" s="275" t="str">
        <f>IF(ISBLANK(INDEX('Policy Characteristics'!L:L,MATCH($C1315,'Policy Characteristics'!$C:$C,0))),"",INDEX('Policy Characteristics'!L:L,MATCH($C1315,'Policy Characteristics'!$C:$C,0)))</f>
        <v/>
      </c>
    </row>
    <row r="1316" spans="1:18" s="2" customFormat="1" x14ac:dyDescent="0.25">
      <c r="A1316" s="275" t="str">
        <f>IF(ISBLANK(INDEX('Policy Characteristics'!A:A,MATCH($C1316,'Policy Characteristics'!$C:$C,0))),"",INDEX('Policy Characteristics'!A:A,MATCH($C1316,'Policy Characteristics'!$C:$C,0)))</f>
        <v>Cross-Sector</v>
      </c>
      <c r="B1316" s="284" t="str">
        <f>IF(ISBLANK(INDEX('Policy Characteristics'!B:B,MATCH($C1316,'Policy Characteristics'!$C:$C,0))),"",INDEX('Policy Characteristics'!B:B,MATCH($C1316,'Policy Characteristics'!$C:$C,0)))</f>
        <v>Fixed Energy Prices</v>
      </c>
      <c r="C1316" s="275" t="str">
        <f t="shared" si="57"/>
        <v>Toggle Whether Policies Affect Energy Prices</v>
      </c>
      <c r="D1316" s="6" t="s">
        <v>51</v>
      </c>
      <c r="E1316" s="47"/>
      <c r="F1316" s="6" t="s">
        <v>92</v>
      </c>
      <c r="G1316" s="6"/>
      <c r="H1316" s="49">
        <v>838</v>
      </c>
      <c r="I1316" s="347" t="s">
        <v>44</v>
      </c>
      <c r="J1316" s="276" t="str">
        <f>IF(ISBLANK(INDEX('Policy Characteristics'!D:D,MATCH($C1316,'Policy Characteristics'!$C:$C,0))),"",INDEX('Policy Characteristics'!D:D,MATCH($C1316,'Policy Characteristics'!$C:$C,0)))</f>
        <v>Fixed Energy Prices</v>
      </c>
      <c r="K1316" s="275" t="str">
        <f>IF(ISBLANK(INDEX('Policy Characteristics'!E:E,MATCH($C1316,'Policy Characteristics'!$C:$C,0))),"",INDEX('Policy Characteristics'!E:E,MATCH($C1316,'Policy Characteristics'!$C:$C,0)))</f>
        <v>cross toggle whether policies affect energy prices</v>
      </c>
      <c r="L1316" s="275">
        <f>IF(ISBLANK(INDEX('Policy Characteristics'!F:F,MATCH($C1316,'Policy Characteristics'!$C:$C,0))),"",INDEX('Policy Characteristics'!F:F,MATCH($C1316,'Policy Characteristics'!$C:$C,0)))</f>
        <v>0</v>
      </c>
      <c r="M1316" s="275">
        <f>IF(ISBLANK(INDEX('Policy Characteristics'!G:G,MATCH($C1316,'Policy Characteristics'!$C:$C,0))),"",INDEX('Policy Characteristics'!G:G,MATCH($C1316,'Policy Characteristics'!$C:$C,0)))</f>
        <v>1</v>
      </c>
      <c r="N1316" s="275">
        <f>IF(ISBLANK(INDEX('Policy Characteristics'!H:H,MATCH($C1316,'Policy Characteristics'!$C:$C,0))),"",INDEX('Policy Characteristics'!H:H,MATCH($C1316,'Policy Characteristics'!$C:$C,0)))</f>
        <v>1</v>
      </c>
      <c r="O1316" s="275" t="str">
        <f>IF(ISBLANK(INDEX('Policy Characteristics'!I:I,MATCH($C1316,'Policy Characteristics'!$C:$C,0))),"",INDEX('Policy Characteristics'!I:I,MATCH($C1316,'Policy Characteristics'!$C:$C,0)))</f>
        <v>on/off</v>
      </c>
      <c r="P1316" s="275" t="str">
        <f>IF(ISBLANK(INDEX('Policy Characteristics'!J:J,MATCH($C1316,'Policy Characteristics'!$C:$C,0))),"",INDEX('Policy Characteristics'!J:J,MATCH($C1316,'Policy Characteristics'!$C:$C,0)))</f>
        <v/>
      </c>
      <c r="Q1316" s="275" t="str">
        <f>IF(ISBLANK(INDEX('Policy Characteristics'!K:K,MATCH($C1316,'Policy Characteristics'!$C:$C,0))),"",INDEX('Policy Characteristics'!K:K,MATCH($C1316,'Policy Characteristics'!$C:$C,0)))</f>
        <v/>
      </c>
      <c r="R1316" s="275" t="str">
        <f>IF(ISBLANK(INDEX('Policy Characteristics'!L:L,MATCH($C1316,'Policy Characteristics'!$C:$C,0))),"",INDEX('Policy Characteristics'!L:L,MATCH($C1316,'Policy Characteristics'!$C:$C,0)))</f>
        <v/>
      </c>
    </row>
    <row r="1317" spans="1:18" s="2" customFormat="1" x14ac:dyDescent="0.25">
      <c r="A1317" s="275" t="str">
        <f>IF(ISBLANK(INDEX('Policy Characteristics'!A:A,MATCH($C1317,'Policy Characteristics'!$C:$C,0))),"",INDEX('Policy Characteristics'!A:A,MATCH($C1317,'Policy Characteristics'!$C:$C,0)))</f>
        <v>Cross-Sector</v>
      </c>
      <c r="B1317" s="284" t="str">
        <f>IF(ISBLANK(INDEX('Policy Characteristics'!B:B,MATCH($C1317,'Policy Characteristics'!$C:$C,0))),"",INDEX('Policy Characteristics'!B:B,MATCH($C1317,'Policy Characteristics'!$C:$C,0)))</f>
        <v>Fixed Energy Prices</v>
      </c>
      <c r="C1317" s="275" t="str">
        <f t="shared" si="57"/>
        <v>Toggle Whether Policies Affect Energy Prices</v>
      </c>
      <c r="D1317" s="6" t="s">
        <v>53</v>
      </c>
      <c r="E1317" s="47"/>
      <c r="F1317" s="6" t="s">
        <v>95</v>
      </c>
      <c r="G1317" s="6"/>
      <c r="H1317" s="44">
        <v>839</v>
      </c>
      <c r="I1317" s="347" t="s">
        <v>44</v>
      </c>
      <c r="J1317" s="276" t="str">
        <f>IF(ISBLANK(INDEX('Policy Characteristics'!D:D,MATCH($C1317,'Policy Characteristics'!$C:$C,0))),"",INDEX('Policy Characteristics'!D:D,MATCH($C1317,'Policy Characteristics'!$C:$C,0)))</f>
        <v>Fixed Energy Prices</v>
      </c>
      <c r="K1317" s="275" t="str">
        <f>IF(ISBLANK(INDEX('Policy Characteristics'!E:E,MATCH($C1317,'Policy Characteristics'!$C:$C,0))),"",INDEX('Policy Characteristics'!E:E,MATCH($C1317,'Policy Characteristics'!$C:$C,0)))</f>
        <v>cross toggle whether policies affect energy prices</v>
      </c>
      <c r="L1317" s="275">
        <f>IF(ISBLANK(INDEX('Policy Characteristics'!F:F,MATCH($C1317,'Policy Characteristics'!$C:$C,0))),"",INDEX('Policy Characteristics'!F:F,MATCH($C1317,'Policy Characteristics'!$C:$C,0)))</f>
        <v>0</v>
      </c>
      <c r="M1317" s="275">
        <f>IF(ISBLANK(INDEX('Policy Characteristics'!G:G,MATCH($C1317,'Policy Characteristics'!$C:$C,0))),"",INDEX('Policy Characteristics'!G:G,MATCH($C1317,'Policy Characteristics'!$C:$C,0)))</f>
        <v>1</v>
      </c>
      <c r="N1317" s="275">
        <f>IF(ISBLANK(INDEX('Policy Characteristics'!H:H,MATCH($C1317,'Policy Characteristics'!$C:$C,0))),"",INDEX('Policy Characteristics'!H:H,MATCH($C1317,'Policy Characteristics'!$C:$C,0)))</f>
        <v>1</v>
      </c>
      <c r="O1317" s="275" t="str">
        <f>IF(ISBLANK(INDEX('Policy Characteristics'!I:I,MATCH($C1317,'Policy Characteristics'!$C:$C,0))),"",INDEX('Policy Characteristics'!I:I,MATCH($C1317,'Policy Characteristics'!$C:$C,0)))</f>
        <v>on/off</v>
      </c>
      <c r="P1317" s="275" t="str">
        <f>IF(ISBLANK(INDEX('Policy Characteristics'!J:J,MATCH($C1317,'Policy Characteristics'!$C:$C,0))),"",INDEX('Policy Characteristics'!J:J,MATCH($C1317,'Policy Characteristics'!$C:$C,0)))</f>
        <v/>
      </c>
      <c r="Q1317" s="275" t="str">
        <f>IF(ISBLANK(INDEX('Policy Characteristics'!K:K,MATCH($C1317,'Policy Characteristics'!$C:$C,0))),"",INDEX('Policy Characteristics'!K:K,MATCH($C1317,'Policy Characteristics'!$C:$C,0)))</f>
        <v/>
      </c>
      <c r="R1317" s="275" t="str">
        <f>IF(ISBLANK(INDEX('Policy Characteristics'!L:L,MATCH($C1317,'Policy Characteristics'!$C:$C,0))),"",INDEX('Policy Characteristics'!L:L,MATCH($C1317,'Policy Characteristics'!$C:$C,0)))</f>
        <v/>
      </c>
    </row>
    <row r="1318" spans="1:18" s="2" customFormat="1" x14ac:dyDescent="0.25">
      <c r="A1318" s="275" t="str">
        <f>IF(ISBLANK(INDEX('Policy Characteristics'!A:A,MATCH($C1318,'Policy Characteristics'!$C:$C,0))),"",INDEX('Policy Characteristics'!A:A,MATCH($C1318,'Policy Characteristics'!$C:$C,0)))</f>
        <v>Cross-Sector</v>
      </c>
      <c r="B1318" s="284" t="str">
        <f>IF(ISBLANK(INDEX('Policy Characteristics'!B:B,MATCH($C1318,'Policy Characteristics'!$C:$C,0))),"",INDEX('Policy Characteristics'!B:B,MATCH($C1318,'Policy Characteristics'!$C:$C,0)))</f>
        <v>Fixed Energy Prices</v>
      </c>
      <c r="C1318" s="275" t="str">
        <f t="shared" si="57"/>
        <v>Toggle Whether Policies Affect Energy Prices</v>
      </c>
      <c r="D1318" s="6" t="s">
        <v>54</v>
      </c>
      <c r="E1318" s="47"/>
      <c r="F1318" s="6" t="s">
        <v>96</v>
      </c>
      <c r="G1318" s="6"/>
      <c r="H1318" s="49">
        <v>840</v>
      </c>
      <c r="I1318" s="347" t="s">
        <v>44</v>
      </c>
      <c r="J1318" s="276" t="str">
        <f>IF(ISBLANK(INDEX('Policy Characteristics'!D:D,MATCH($C1318,'Policy Characteristics'!$C:$C,0))),"",INDEX('Policy Characteristics'!D:D,MATCH($C1318,'Policy Characteristics'!$C:$C,0)))</f>
        <v>Fixed Energy Prices</v>
      </c>
      <c r="K1318" s="275" t="str">
        <f>IF(ISBLANK(INDEX('Policy Characteristics'!E:E,MATCH($C1318,'Policy Characteristics'!$C:$C,0))),"",INDEX('Policy Characteristics'!E:E,MATCH($C1318,'Policy Characteristics'!$C:$C,0)))</f>
        <v>cross toggle whether policies affect energy prices</v>
      </c>
      <c r="L1318" s="275">
        <f>IF(ISBLANK(INDEX('Policy Characteristics'!F:F,MATCH($C1318,'Policy Characteristics'!$C:$C,0))),"",INDEX('Policy Characteristics'!F:F,MATCH($C1318,'Policy Characteristics'!$C:$C,0)))</f>
        <v>0</v>
      </c>
      <c r="M1318" s="275">
        <f>IF(ISBLANK(INDEX('Policy Characteristics'!G:G,MATCH($C1318,'Policy Characteristics'!$C:$C,0))),"",INDEX('Policy Characteristics'!G:G,MATCH($C1318,'Policy Characteristics'!$C:$C,0)))</f>
        <v>1</v>
      </c>
      <c r="N1318" s="275">
        <f>IF(ISBLANK(INDEX('Policy Characteristics'!H:H,MATCH($C1318,'Policy Characteristics'!$C:$C,0))),"",INDEX('Policy Characteristics'!H:H,MATCH($C1318,'Policy Characteristics'!$C:$C,0)))</f>
        <v>1</v>
      </c>
      <c r="O1318" s="275" t="str">
        <f>IF(ISBLANK(INDEX('Policy Characteristics'!I:I,MATCH($C1318,'Policy Characteristics'!$C:$C,0))),"",INDEX('Policy Characteristics'!I:I,MATCH($C1318,'Policy Characteristics'!$C:$C,0)))</f>
        <v>on/off</v>
      </c>
      <c r="P1318" s="275" t="str">
        <f>IF(ISBLANK(INDEX('Policy Characteristics'!J:J,MATCH($C1318,'Policy Characteristics'!$C:$C,0))),"",INDEX('Policy Characteristics'!J:J,MATCH($C1318,'Policy Characteristics'!$C:$C,0)))</f>
        <v/>
      </c>
      <c r="Q1318" s="275" t="str">
        <f>IF(ISBLANK(INDEX('Policy Characteristics'!K:K,MATCH($C1318,'Policy Characteristics'!$C:$C,0))),"",INDEX('Policy Characteristics'!K:K,MATCH($C1318,'Policy Characteristics'!$C:$C,0)))</f>
        <v/>
      </c>
      <c r="R1318" s="275" t="str">
        <f>IF(ISBLANK(INDEX('Policy Characteristics'!L:L,MATCH($C1318,'Policy Characteristics'!$C:$C,0))),"",INDEX('Policy Characteristics'!L:L,MATCH($C1318,'Policy Characteristics'!$C:$C,0)))</f>
        <v/>
      </c>
    </row>
    <row r="1319" spans="1:18" s="2" customFormat="1" x14ac:dyDescent="0.25">
      <c r="A1319" s="275" t="str">
        <f>IF(ISBLANK(INDEX('Policy Characteristics'!A:A,MATCH($C1319,'Policy Characteristics'!$C:$C,0))),"",INDEX('Policy Characteristics'!A:A,MATCH($C1319,'Policy Characteristics'!$C:$C,0)))</f>
        <v>Cross-Sector</v>
      </c>
      <c r="B1319" s="284" t="str">
        <f>IF(ISBLANK(INDEX('Policy Characteristics'!B:B,MATCH($C1319,'Policy Characteristics'!$C:$C,0))),"",INDEX('Policy Characteristics'!B:B,MATCH($C1319,'Policy Characteristics'!$C:$C,0)))</f>
        <v>Fixed Energy Prices</v>
      </c>
      <c r="C1319" s="275" t="str">
        <f t="shared" si="57"/>
        <v>Toggle Whether Policies Affect Energy Prices</v>
      </c>
      <c r="D1319" s="6" t="s">
        <v>55</v>
      </c>
      <c r="E1319" s="47"/>
      <c r="F1319" s="6" t="s">
        <v>97</v>
      </c>
      <c r="G1319" s="6"/>
      <c r="H1319" s="44">
        <v>841</v>
      </c>
      <c r="I1319" s="347" t="s">
        <v>44</v>
      </c>
      <c r="J1319" s="276" t="str">
        <f>IF(ISBLANK(INDEX('Policy Characteristics'!D:D,MATCH($C1319,'Policy Characteristics'!$C:$C,0))),"",INDEX('Policy Characteristics'!D:D,MATCH($C1319,'Policy Characteristics'!$C:$C,0)))</f>
        <v>Fixed Energy Prices</v>
      </c>
      <c r="K1319" s="275" t="str">
        <f>IF(ISBLANK(INDEX('Policy Characteristics'!E:E,MATCH($C1319,'Policy Characteristics'!$C:$C,0))),"",INDEX('Policy Characteristics'!E:E,MATCH($C1319,'Policy Characteristics'!$C:$C,0)))</f>
        <v>cross toggle whether policies affect energy prices</v>
      </c>
      <c r="L1319" s="275">
        <f>IF(ISBLANK(INDEX('Policy Characteristics'!F:F,MATCH($C1319,'Policy Characteristics'!$C:$C,0))),"",INDEX('Policy Characteristics'!F:F,MATCH($C1319,'Policy Characteristics'!$C:$C,0)))</f>
        <v>0</v>
      </c>
      <c r="M1319" s="275">
        <f>IF(ISBLANK(INDEX('Policy Characteristics'!G:G,MATCH($C1319,'Policy Characteristics'!$C:$C,0))),"",INDEX('Policy Characteristics'!G:G,MATCH($C1319,'Policy Characteristics'!$C:$C,0)))</f>
        <v>1</v>
      </c>
      <c r="N1319" s="275">
        <f>IF(ISBLANK(INDEX('Policy Characteristics'!H:H,MATCH($C1319,'Policy Characteristics'!$C:$C,0))),"",INDEX('Policy Characteristics'!H:H,MATCH($C1319,'Policy Characteristics'!$C:$C,0)))</f>
        <v>1</v>
      </c>
      <c r="O1319" s="275" t="str">
        <f>IF(ISBLANK(INDEX('Policy Characteristics'!I:I,MATCH($C1319,'Policy Characteristics'!$C:$C,0))),"",INDEX('Policy Characteristics'!I:I,MATCH($C1319,'Policy Characteristics'!$C:$C,0)))</f>
        <v>on/off</v>
      </c>
      <c r="P1319" s="275" t="str">
        <f>IF(ISBLANK(INDEX('Policy Characteristics'!J:J,MATCH($C1319,'Policy Characteristics'!$C:$C,0))),"",INDEX('Policy Characteristics'!J:J,MATCH($C1319,'Policy Characteristics'!$C:$C,0)))</f>
        <v/>
      </c>
      <c r="Q1319" s="275" t="str">
        <f>IF(ISBLANK(INDEX('Policy Characteristics'!K:K,MATCH($C1319,'Policy Characteristics'!$C:$C,0))),"",INDEX('Policy Characteristics'!K:K,MATCH($C1319,'Policy Characteristics'!$C:$C,0)))</f>
        <v/>
      </c>
      <c r="R1319" s="275" t="str">
        <f>IF(ISBLANK(INDEX('Policy Characteristics'!L:L,MATCH($C1319,'Policy Characteristics'!$C:$C,0))),"",INDEX('Policy Characteristics'!L:L,MATCH($C1319,'Policy Characteristics'!$C:$C,0)))</f>
        <v/>
      </c>
    </row>
    <row r="1320" spans="1:18" s="2" customFormat="1" x14ac:dyDescent="0.25">
      <c r="A1320" s="275" t="str">
        <f>IF(ISBLANK(INDEX('Policy Characteristics'!A:A,MATCH($C1320,'Policy Characteristics'!$C:$C,0))),"",INDEX('Policy Characteristics'!A:A,MATCH($C1320,'Policy Characteristics'!$C:$C,0)))</f>
        <v>Cross-Sector</v>
      </c>
      <c r="B1320" s="284" t="str">
        <f>IF(ISBLANK(INDEX('Policy Characteristics'!B:B,MATCH($C1320,'Policy Characteristics'!$C:$C,0))),"",INDEX('Policy Characteristics'!B:B,MATCH($C1320,'Policy Characteristics'!$C:$C,0)))</f>
        <v>Fixed Energy Prices</v>
      </c>
      <c r="C1320" s="275" t="str">
        <f t="shared" si="57"/>
        <v>Toggle Whether Policies Affect Energy Prices</v>
      </c>
      <c r="D1320" s="6" t="s">
        <v>56</v>
      </c>
      <c r="E1320" s="47"/>
      <c r="F1320" s="6" t="s">
        <v>98</v>
      </c>
      <c r="G1320" s="6"/>
      <c r="H1320" s="49">
        <v>842</v>
      </c>
      <c r="I1320" s="347" t="s">
        <v>44</v>
      </c>
      <c r="J1320" s="276" t="str">
        <f>IF(ISBLANK(INDEX('Policy Characteristics'!D:D,MATCH($C1320,'Policy Characteristics'!$C:$C,0))),"",INDEX('Policy Characteristics'!D:D,MATCH($C1320,'Policy Characteristics'!$C:$C,0)))</f>
        <v>Fixed Energy Prices</v>
      </c>
      <c r="K1320" s="275" t="str">
        <f>IF(ISBLANK(INDEX('Policy Characteristics'!E:E,MATCH($C1320,'Policy Characteristics'!$C:$C,0))),"",INDEX('Policy Characteristics'!E:E,MATCH($C1320,'Policy Characteristics'!$C:$C,0)))</f>
        <v>cross toggle whether policies affect energy prices</v>
      </c>
      <c r="L1320" s="275">
        <f>IF(ISBLANK(INDEX('Policy Characteristics'!F:F,MATCH($C1320,'Policy Characteristics'!$C:$C,0))),"",INDEX('Policy Characteristics'!F:F,MATCH($C1320,'Policy Characteristics'!$C:$C,0)))</f>
        <v>0</v>
      </c>
      <c r="M1320" s="275">
        <f>IF(ISBLANK(INDEX('Policy Characteristics'!G:G,MATCH($C1320,'Policy Characteristics'!$C:$C,0))),"",INDEX('Policy Characteristics'!G:G,MATCH($C1320,'Policy Characteristics'!$C:$C,0)))</f>
        <v>1</v>
      </c>
      <c r="N1320" s="275">
        <f>IF(ISBLANK(INDEX('Policy Characteristics'!H:H,MATCH($C1320,'Policy Characteristics'!$C:$C,0))),"",INDEX('Policy Characteristics'!H:H,MATCH($C1320,'Policy Characteristics'!$C:$C,0)))</f>
        <v>1</v>
      </c>
      <c r="O1320" s="275" t="str">
        <f>IF(ISBLANK(INDEX('Policy Characteristics'!I:I,MATCH($C1320,'Policy Characteristics'!$C:$C,0))),"",INDEX('Policy Characteristics'!I:I,MATCH($C1320,'Policy Characteristics'!$C:$C,0)))</f>
        <v>on/off</v>
      </c>
      <c r="P1320" s="275" t="str">
        <f>IF(ISBLANK(INDEX('Policy Characteristics'!J:J,MATCH($C1320,'Policy Characteristics'!$C:$C,0))),"",INDEX('Policy Characteristics'!J:J,MATCH($C1320,'Policy Characteristics'!$C:$C,0)))</f>
        <v/>
      </c>
      <c r="Q1320" s="275" t="str">
        <f>IF(ISBLANK(INDEX('Policy Characteristics'!K:K,MATCH($C1320,'Policy Characteristics'!$C:$C,0))),"",INDEX('Policy Characteristics'!K:K,MATCH($C1320,'Policy Characteristics'!$C:$C,0)))</f>
        <v/>
      </c>
      <c r="R1320" s="275" t="str">
        <f>IF(ISBLANK(INDEX('Policy Characteristics'!L:L,MATCH($C1320,'Policy Characteristics'!$C:$C,0))),"",INDEX('Policy Characteristics'!L:L,MATCH($C1320,'Policy Characteristics'!$C:$C,0)))</f>
        <v/>
      </c>
    </row>
    <row r="1321" spans="1:18" s="2" customFormat="1" x14ac:dyDescent="0.25">
      <c r="A1321" s="275" t="str">
        <f>IF(ISBLANK(INDEX('Policy Characteristics'!A:A,MATCH($C1321,'Policy Characteristics'!$C:$C,0))),"",INDEX('Policy Characteristics'!A:A,MATCH($C1321,'Policy Characteristics'!$C:$C,0)))</f>
        <v>Cross-Sector</v>
      </c>
      <c r="B1321" s="284" t="str">
        <f>IF(ISBLANK(INDEX('Policy Characteristics'!B:B,MATCH($C1321,'Policy Characteristics'!$C:$C,0))),"",INDEX('Policy Characteristics'!B:B,MATCH($C1321,'Policy Characteristics'!$C:$C,0)))</f>
        <v>Fixed Energy Prices</v>
      </c>
      <c r="C1321" s="275" t="str">
        <f t="shared" si="57"/>
        <v>Toggle Whether Policies Affect Energy Prices</v>
      </c>
      <c r="D1321" s="6" t="s">
        <v>2475</v>
      </c>
      <c r="E1321" s="47"/>
      <c r="F1321" s="6" t="s">
        <v>2476</v>
      </c>
      <c r="G1321" s="6"/>
      <c r="H1321" s="44">
        <v>843</v>
      </c>
      <c r="I1321" s="347" t="s">
        <v>44</v>
      </c>
      <c r="J1321" s="276" t="str">
        <f>IF(ISBLANK(INDEX('Policy Characteristics'!D:D,MATCH($C1321,'Policy Characteristics'!$C:$C,0))),"",INDEX('Policy Characteristics'!D:D,MATCH($C1321,'Policy Characteristics'!$C:$C,0)))</f>
        <v>Fixed Energy Prices</v>
      </c>
      <c r="K1321" s="275" t="str">
        <f>IF(ISBLANK(INDEX('Policy Characteristics'!E:E,MATCH($C1321,'Policy Characteristics'!$C:$C,0))),"",INDEX('Policy Characteristics'!E:E,MATCH($C1321,'Policy Characteristics'!$C:$C,0)))</f>
        <v>cross toggle whether policies affect energy prices</v>
      </c>
      <c r="L1321" s="275">
        <f>IF(ISBLANK(INDEX('Policy Characteristics'!F:F,MATCH($C1321,'Policy Characteristics'!$C:$C,0))),"",INDEX('Policy Characteristics'!F:F,MATCH($C1321,'Policy Characteristics'!$C:$C,0)))</f>
        <v>0</v>
      </c>
      <c r="M1321" s="275">
        <f>IF(ISBLANK(INDEX('Policy Characteristics'!G:G,MATCH($C1321,'Policy Characteristics'!$C:$C,0))),"",INDEX('Policy Characteristics'!G:G,MATCH($C1321,'Policy Characteristics'!$C:$C,0)))</f>
        <v>1</v>
      </c>
      <c r="N1321" s="275">
        <f>IF(ISBLANK(INDEX('Policy Characteristics'!H:H,MATCH($C1321,'Policy Characteristics'!$C:$C,0))),"",INDEX('Policy Characteristics'!H:H,MATCH($C1321,'Policy Characteristics'!$C:$C,0)))</f>
        <v>1</v>
      </c>
      <c r="O1321" s="275" t="str">
        <f>IF(ISBLANK(INDEX('Policy Characteristics'!I:I,MATCH($C1321,'Policy Characteristics'!$C:$C,0))),"",INDEX('Policy Characteristics'!I:I,MATCH($C1321,'Policy Characteristics'!$C:$C,0)))</f>
        <v>on/off</v>
      </c>
      <c r="P1321" s="275" t="str">
        <f>IF(ISBLANK(INDEX('Policy Characteristics'!J:J,MATCH($C1321,'Policy Characteristics'!$C:$C,0))),"",INDEX('Policy Characteristics'!J:J,MATCH($C1321,'Policy Characteristics'!$C:$C,0)))</f>
        <v/>
      </c>
      <c r="Q1321" s="275" t="str">
        <f>IF(ISBLANK(INDEX('Policy Characteristics'!K:K,MATCH($C1321,'Policy Characteristics'!$C:$C,0))),"",INDEX('Policy Characteristics'!K:K,MATCH($C1321,'Policy Characteristics'!$C:$C,0)))</f>
        <v/>
      </c>
      <c r="R1321" s="275" t="str">
        <f>IF(ISBLANK(INDEX('Policy Characteristics'!L:L,MATCH($C1321,'Policy Characteristics'!$C:$C,0))),"",INDEX('Policy Characteristics'!L:L,MATCH($C1321,'Policy Characteristics'!$C:$C,0)))</f>
        <v/>
      </c>
    </row>
    <row r="1322" spans="1:18" s="2" customFormat="1" x14ac:dyDescent="0.25">
      <c r="A1322" s="275" t="str">
        <f>IF(ISBLANK(INDEX('Policy Characteristics'!A:A,MATCH($C1322,'Policy Characteristics'!$C:$C,0))),"",INDEX('Policy Characteristics'!A:A,MATCH($C1322,'Policy Characteristics'!$C:$C,0)))</f>
        <v>Cross-Sector</v>
      </c>
      <c r="B1322" s="284" t="str">
        <f>IF(ISBLANK(INDEX('Policy Characteristics'!B:B,MATCH($C1322,'Policy Characteristics'!$C:$C,0))),"",INDEX('Policy Characteristics'!B:B,MATCH($C1322,'Policy Characteristics'!$C:$C,0)))</f>
        <v>Fixed Energy Prices</v>
      </c>
      <c r="C1322" s="275" t="str">
        <f t="shared" si="57"/>
        <v>Toggle Whether Policies Affect Energy Prices</v>
      </c>
      <c r="D1322" s="6" t="s">
        <v>443</v>
      </c>
      <c r="E1322" s="47"/>
      <c r="F1322" s="6" t="s">
        <v>444</v>
      </c>
      <c r="G1322" s="6"/>
      <c r="H1322" s="49">
        <v>844</v>
      </c>
      <c r="I1322" s="347" t="s">
        <v>44</v>
      </c>
      <c r="J1322" s="276" t="str">
        <f>IF(ISBLANK(INDEX('Policy Characteristics'!D:D,MATCH($C1322,'Policy Characteristics'!$C:$C,0))),"",INDEX('Policy Characteristics'!D:D,MATCH($C1322,'Policy Characteristics'!$C:$C,0)))</f>
        <v>Fixed Energy Prices</v>
      </c>
      <c r="K1322" s="275" t="str">
        <f>IF(ISBLANK(INDEX('Policy Characteristics'!E:E,MATCH($C1322,'Policy Characteristics'!$C:$C,0))),"",INDEX('Policy Characteristics'!E:E,MATCH($C1322,'Policy Characteristics'!$C:$C,0)))</f>
        <v>cross toggle whether policies affect energy prices</v>
      </c>
      <c r="L1322" s="275">
        <f>IF(ISBLANK(INDEX('Policy Characteristics'!F:F,MATCH($C1322,'Policy Characteristics'!$C:$C,0))),"",INDEX('Policy Characteristics'!F:F,MATCH($C1322,'Policy Characteristics'!$C:$C,0)))</f>
        <v>0</v>
      </c>
      <c r="M1322" s="275">
        <f>IF(ISBLANK(INDEX('Policy Characteristics'!G:G,MATCH($C1322,'Policy Characteristics'!$C:$C,0))),"",INDEX('Policy Characteristics'!G:G,MATCH($C1322,'Policy Characteristics'!$C:$C,0)))</f>
        <v>1</v>
      </c>
      <c r="N1322" s="275">
        <f>IF(ISBLANK(INDEX('Policy Characteristics'!H:H,MATCH($C1322,'Policy Characteristics'!$C:$C,0))),"",INDEX('Policy Characteristics'!H:H,MATCH($C1322,'Policy Characteristics'!$C:$C,0)))</f>
        <v>1</v>
      </c>
      <c r="O1322" s="275" t="str">
        <f>IF(ISBLANK(INDEX('Policy Characteristics'!I:I,MATCH($C1322,'Policy Characteristics'!$C:$C,0))),"",INDEX('Policy Characteristics'!I:I,MATCH($C1322,'Policy Characteristics'!$C:$C,0)))</f>
        <v>on/off</v>
      </c>
      <c r="P1322" s="275" t="str">
        <f>IF(ISBLANK(INDEX('Policy Characteristics'!J:J,MATCH($C1322,'Policy Characteristics'!$C:$C,0))),"",INDEX('Policy Characteristics'!J:J,MATCH($C1322,'Policy Characteristics'!$C:$C,0)))</f>
        <v/>
      </c>
      <c r="Q1322" s="275" t="str">
        <f>IF(ISBLANK(INDEX('Policy Characteristics'!K:K,MATCH($C1322,'Policy Characteristics'!$C:$C,0))),"",INDEX('Policy Characteristics'!K:K,MATCH($C1322,'Policy Characteristics'!$C:$C,0)))</f>
        <v/>
      </c>
      <c r="R1322" s="275" t="str">
        <f>IF(ISBLANK(INDEX('Policy Characteristics'!L:L,MATCH($C1322,'Policy Characteristics'!$C:$C,0))),"",INDEX('Policy Characteristics'!L:L,MATCH($C1322,'Policy Characteristics'!$C:$C,0)))</f>
        <v/>
      </c>
    </row>
    <row r="1323" spans="1:18" s="2" customFormat="1" x14ac:dyDescent="0.25">
      <c r="A1323" s="275" t="str">
        <f>IF(ISBLANK(INDEX('Policy Characteristics'!A:A,MATCH($C1323,'Policy Characteristics'!$C:$C,0))),"",INDEX('Policy Characteristics'!A:A,MATCH($C1323,'Policy Characteristics'!$C:$C,0)))</f>
        <v>Cross-Sector</v>
      </c>
      <c r="B1323" s="284" t="str">
        <f>IF(ISBLANK(INDEX('Policy Characteristics'!B:B,MATCH($C1323,'Policy Characteristics'!$C:$C,0))),"",INDEX('Policy Characteristics'!B:B,MATCH($C1323,'Policy Characteristics'!$C:$C,0)))</f>
        <v>Fixed Energy Prices</v>
      </c>
      <c r="C1323" s="275" t="str">
        <f t="shared" si="57"/>
        <v>Toggle Whether Policies Affect Energy Prices</v>
      </c>
      <c r="D1323" s="6" t="s">
        <v>2467</v>
      </c>
      <c r="E1323" s="47"/>
      <c r="F1323" s="6" t="s">
        <v>2471</v>
      </c>
      <c r="G1323" s="6"/>
      <c r="H1323" s="44">
        <v>845</v>
      </c>
      <c r="I1323" s="347" t="s">
        <v>44</v>
      </c>
      <c r="J1323" s="276" t="str">
        <f>IF(ISBLANK(INDEX('Policy Characteristics'!D:D,MATCH($C1323,'Policy Characteristics'!$C:$C,0))),"",INDEX('Policy Characteristics'!D:D,MATCH($C1323,'Policy Characteristics'!$C:$C,0)))</f>
        <v>Fixed Energy Prices</v>
      </c>
      <c r="K1323" s="275" t="str">
        <f>IF(ISBLANK(INDEX('Policy Characteristics'!E:E,MATCH($C1323,'Policy Characteristics'!$C:$C,0))),"",INDEX('Policy Characteristics'!E:E,MATCH($C1323,'Policy Characteristics'!$C:$C,0)))</f>
        <v>cross toggle whether policies affect energy prices</v>
      </c>
      <c r="L1323" s="275">
        <f>IF(ISBLANK(INDEX('Policy Characteristics'!F:F,MATCH($C1323,'Policy Characteristics'!$C:$C,0))),"",INDEX('Policy Characteristics'!F:F,MATCH($C1323,'Policy Characteristics'!$C:$C,0)))</f>
        <v>0</v>
      </c>
      <c r="M1323" s="275">
        <f>IF(ISBLANK(INDEX('Policy Characteristics'!G:G,MATCH($C1323,'Policy Characteristics'!$C:$C,0))),"",INDEX('Policy Characteristics'!G:G,MATCH($C1323,'Policy Characteristics'!$C:$C,0)))</f>
        <v>1</v>
      </c>
      <c r="N1323" s="275">
        <f>IF(ISBLANK(INDEX('Policy Characteristics'!H:H,MATCH($C1323,'Policy Characteristics'!$C:$C,0))),"",INDEX('Policy Characteristics'!H:H,MATCH($C1323,'Policy Characteristics'!$C:$C,0)))</f>
        <v>1</v>
      </c>
      <c r="O1323" s="275" t="str">
        <f>IF(ISBLANK(INDEX('Policy Characteristics'!I:I,MATCH($C1323,'Policy Characteristics'!$C:$C,0))),"",INDEX('Policy Characteristics'!I:I,MATCH($C1323,'Policy Characteristics'!$C:$C,0)))</f>
        <v>on/off</v>
      </c>
      <c r="P1323" s="275" t="str">
        <f>IF(ISBLANK(INDEX('Policy Characteristics'!J:J,MATCH($C1323,'Policy Characteristics'!$C:$C,0))),"",INDEX('Policy Characteristics'!J:J,MATCH($C1323,'Policy Characteristics'!$C:$C,0)))</f>
        <v/>
      </c>
      <c r="Q1323" s="275" t="str">
        <f>IF(ISBLANK(INDEX('Policy Characteristics'!K:K,MATCH($C1323,'Policy Characteristics'!$C:$C,0))),"",INDEX('Policy Characteristics'!K:K,MATCH($C1323,'Policy Characteristics'!$C:$C,0)))</f>
        <v/>
      </c>
      <c r="R1323" s="275" t="str">
        <f>IF(ISBLANK(INDEX('Policy Characteristics'!L:L,MATCH($C1323,'Policy Characteristics'!$C:$C,0))),"",INDEX('Policy Characteristics'!L:L,MATCH($C1323,'Policy Characteristics'!$C:$C,0)))</f>
        <v/>
      </c>
    </row>
    <row r="1324" spans="1:18" s="2" customFormat="1" x14ac:dyDescent="0.25">
      <c r="A1324" s="275" t="str">
        <f>IF(ISBLANK(INDEX('Policy Characteristics'!A:A,MATCH($C1324,'Policy Characteristics'!$C:$C,0))),"",INDEX('Policy Characteristics'!A:A,MATCH($C1324,'Policy Characteristics'!$C:$C,0)))</f>
        <v>Cross-Sector</v>
      </c>
      <c r="B1324" s="284" t="str">
        <f>IF(ISBLANK(INDEX('Policy Characteristics'!B:B,MATCH($C1324,'Policy Characteristics'!$C:$C,0))),"",INDEX('Policy Characteristics'!B:B,MATCH($C1324,'Policy Characteristics'!$C:$C,0)))</f>
        <v>Fixed Energy Prices</v>
      </c>
      <c r="C1324" s="275" t="str">
        <f t="shared" si="57"/>
        <v>Toggle Whether Policies Affect Energy Prices</v>
      </c>
      <c r="D1324" s="6" t="s">
        <v>2477</v>
      </c>
      <c r="E1324" s="47"/>
      <c r="F1324" s="6" t="s">
        <v>2478</v>
      </c>
      <c r="G1324" s="6"/>
      <c r="H1324" s="49">
        <v>846</v>
      </c>
      <c r="I1324" s="347" t="s">
        <v>44</v>
      </c>
      <c r="J1324" s="276" t="str">
        <f>IF(ISBLANK(INDEX('Policy Characteristics'!D:D,MATCH($C1324,'Policy Characteristics'!$C:$C,0))),"",INDEX('Policy Characteristics'!D:D,MATCH($C1324,'Policy Characteristics'!$C:$C,0)))</f>
        <v>Fixed Energy Prices</v>
      </c>
      <c r="K1324" s="275" t="str">
        <f>IF(ISBLANK(INDEX('Policy Characteristics'!E:E,MATCH($C1324,'Policy Characteristics'!$C:$C,0))),"",INDEX('Policy Characteristics'!E:E,MATCH($C1324,'Policy Characteristics'!$C:$C,0)))</f>
        <v>cross toggle whether policies affect energy prices</v>
      </c>
      <c r="L1324" s="275">
        <f>IF(ISBLANK(INDEX('Policy Characteristics'!F:F,MATCH($C1324,'Policy Characteristics'!$C:$C,0))),"",INDEX('Policy Characteristics'!F:F,MATCH($C1324,'Policy Characteristics'!$C:$C,0)))</f>
        <v>0</v>
      </c>
      <c r="M1324" s="275">
        <f>IF(ISBLANK(INDEX('Policy Characteristics'!G:G,MATCH($C1324,'Policy Characteristics'!$C:$C,0))),"",INDEX('Policy Characteristics'!G:G,MATCH($C1324,'Policy Characteristics'!$C:$C,0)))</f>
        <v>1</v>
      </c>
      <c r="N1324" s="275">
        <f>IF(ISBLANK(INDEX('Policy Characteristics'!H:H,MATCH($C1324,'Policy Characteristics'!$C:$C,0))),"",INDEX('Policy Characteristics'!H:H,MATCH($C1324,'Policy Characteristics'!$C:$C,0)))</f>
        <v>1</v>
      </c>
      <c r="O1324" s="275" t="str">
        <f>IF(ISBLANK(INDEX('Policy Characteristics'!I:I,MATCH($C1324,'Policy Characteristics'!$C:$C,0))),"",INDEX('Policy Characteristics'!I:I,MATCH($C1324,'Policy Characteristics'!$C:$C,0)))</f>
        <v>on/off</v>
      </c>
      <c r="P1324" s="275" t="str">
        <f>IF(ISBLANK(INDEX('Policy Characteristics'!J:J,MATCH($C1324,'Policy Characteristics'!$C:$C,0))),"",INDEX('Policy Characteristics'!J:J,MATCH($C1324,'Policy Characteristics'!$C:$C,0)))</f>
        <v/>
      </c>
      <c r="Q1324" s="275" t="str">
        <f>IF(ISBLANK(INDEX('Policy Characteristics'!K:K,MATCH($C1324,'Policy Characteristics'!$C:$C,0))),"",INDEX('Policy Characteristics'!K:K,MATCH($C1324,'Policy Characteristics'!$C:$C,0)))</f>
        <v/>
      </c>
      <c r="R1324" s="275" t="str">
        <f>IF(ISBLANK(INDEX('Policy Characteristics'!L:L,MATCH($C1324,'Policy Characteristics'!$C:$C,0))),"",INDEX('Policy Characteristics'!L:L,MATCH($C1324,'Policy Characteristics'!$C:$C,0)))</f>
        <v/>
      </c>
    </row>
    <row r="1325" spans="1:18" s="2" customFormat="1" x14ac:dyDescent="0.25">
      <c r="A1325" s="275" t="str">
        <f>IF(ISBLANK(INDEX('Policy Characteristics'!A:A,MATCH($C1325,'Policy Characteristics'!$C:$C,0))),"",INDEX('Policy Characteristics'!A:A,MATCH($C1325,'Policy Characteristics'!$C:$C,0)))</f>
        <v>Cross-Sector</v>
      </c>
      <c r="B1325" s="284" t="str">
        <f>IF(ISBLANK(INDEX('Policy Characteristics'!B:B,MATCH($C1325,'Policy Characteristics'!$C:$C,0))),"",INDEX('Policy Characteristics'!B:B,MATCH($C1325,'Policy Characteristics'!$C:$C,0)))</f>
        <v>Fixed Energy Prices</v>
      </c>
      <c r="C1325" s="275" t="str">
        <f t="shared" si="57"/>
        <v>Toggle Whether Policies Affect Energy Prices</v>
      </c>
      <c r="D1325" s="6" t="s">
        <v>2468</v>
      </c>
      <c r="E1325" s="47"/>
      <c r="F1325" s="6" t="s">
        <v>2472</v>
      </c>
      <c r="G1325" s="6"/>
      <c r="H1325" s="44">
        <v>847</v>
      </c>
      <c r="I1325" s="347" t="s">
        <v>44</v>
      </c>
      <c r="J1325" s="276" t="str">
        <f>IF(ISBLANK(INDEX('Policy Characteristics'!D:D,MATCH($C1325,'Policy Characteristics'!$C:$C,0))),"",INDEX('Policy Characteristics'!D:D,MATCH($C1325,'Policy Characteristics'!$C:$C,0)))</f>
        <v>Fixed Energy Prices</v>
      </c>
      <c r="K1325" s="275" t="str">
        <f>IF(ISBLANK(INDEX('Policy Characteristics'!E:E,MATCH($C1325,'Policy Characteristics'!$C:$C,0))),"",INDEX('Policy Characteristics'!E:E,MATCH($C1325,'Policy Characteristics'!$C:$C,0)))</f>
        <v>cross toggle whether policies affect energy prices</v>
      </c>
      <c r="L1325" s="275">
        <f>IF(ISBLANK(INDEX('Policy Characteristics'!F:F,MATCH($C1325,'Policy Characteristics'!$C:$C,0))),"",INDEX('Policy Characteristics'!F:F,MATCH($C1325,'Policy Characteristics'!$C:$C,0)))</f>
        <v>0</v>
      </c>
      <c r="M1325" s="275">
        <f>IF(ISBLANK(INDEX('Policy Characteristics'!G:G,MATCH($C1325,'Policy Characteristics'!$C:$C,0))),"",INDEX('Policy Characteristics'!G:G,MATCH($C1325,'Policy Characteristics'!$C:$C,0)))</f>
        <v>1</v>
      </c>
      <c r="N1325" s="275">
        <f>IF(ISBLANK(INDEX('Policy Characteristics'!H:H,MATCH($C1325,'Policy Characteristics'!$C:$C,0))),"",INDEX('Policy Characteristics'!H:H,MATCH($C1325,'Policy Characteristics'!$C:$C,0)))</f>
        <v>1</v>
      </c>
      <c r="O1325" s="275" t="str">
        <f>IF(ISBLANK(INDEX('Policy Characteristics'!I:I,MATCH($C1325,'Policy Characteristics'!$C:$C,0))),"",INDEX('Policy Characteristics'!I:I,MATCH($C1325,'Policy Characteristics'!$C:$C,0)))</f>
        <v>on/off</v>
      </c>
      <c r="P1325" s="275" t="str">
        <f>IF(ISBLANK(INDEX('Policy Characteristics'!J:J,MATCH($C1325,'Policy Characteristics'!$C:$C,0))),"",INDEX('Policy Characteristics'!J:J,MATCH($C1325,'Policy Characteristics'!$C:$C,0)))</f>
        <v/>
      </c>
      <c r="Q1325" s="275" t="str">
        <f>IF(ISBLANK(INDEX('Policy Characteristics'!K:K,MATCH($C1325,'Policy Characteristics'!$C:$C,0))),"",INDEX('Policy Characteristics'!K:K,MATCH($C1325,'Policy Characteristics'!$C:$C,0)))</f>
        <v/>
      </c>
      <c r="R1325" s="275" t="str">
        <f>IF(ISBLANK(INDEX('Policy Characteristics'!L:L,MATCH($C1325,'Policy Characteristics'!$C:$C,0))),"",INDEX('Policy Characteristics'!L:L,MATCH($C1325,'Policy Characteristics'!$C:$C,0)))</f>
        <v/>
      </c>
    </row>
    <row r="1326" spans="1:18" s="2" customFormat="1" x14ac:dyDescent="0.25">
      <c r="A1326" s="275" t="str">
        <f>IF(ISBLANK(INDEX('Policy Characteristics'!A:A,MATCH($C1326,'Policy Characteristics'!$C:$C,0))),"",INDEX('Policy Characteristics'!A:A,MATCH($C1326,'Policy Characteristics'!$C:$C,0)))</f>
        <v>Cross-Sector</v>
      </c>
      <c r="B1326" s="284" t="str">
        <f>IF(ISBLANK(INDEX('Policy Characteristics'!B:B,MATCH($C1326,'Policy Characteristics'!$C:$C,0))),"",INDEX('Policy Characteristics'!B:B,MATCH($C1326,'Policy Characteristics'!$C:$C,0)))</f>
        <v>Fuel Price Deregulation</v>
      </c>
      <c r="C1326" s="339" t="s">
        <v>2760</v>
      </c>
      <c r="D1326" s="6" t="s">
        <v>450</v>
      </c>
      <c r="E1326" s="47"/>
      <c r="F1326" s="6" t="s">
        <v>447</v>
      </c>
      <c r="G1326" s="6"/>
      <c r="H1326" s="44">
        <v>723</v>
      </c>
      <c r="I1326" s="347" t="s">
        <v>44</v>
      </c>
      <c r="J1326" s="276" t="str">
        <f>IF(ISBLANK(INDEX('Policy Characteristics'!D:D,MATCH($C1326,'Policy Characteristics'!$C:$C,0))),"",INDEX('Policy Characteristics'!D:D,MATCH($C1326,'Policy Characteristics'!$C:$C,0)))</f>
        <v>Fuel Price Deregulation</v>
      </c>
      <c r="K1326" s="275" t="str">
        <f>IF(ISBLANK(INDEX('Policy Characteristics'!E:E,MATCH($C1326,'Policy Characteristics'!$C:$C,0))),"",INDEX('Policy Characteristics'!E:E,MATCH($C1326,'Policy Characteristics'!$C:$C,0)))</f>
        <v>cross fuel price deregulation</v>
      </c>
      <c r="L1326" s="283">
        <f>IF(ISBLANK(INDEX('Policy Characteristics'!F:F,MATCH($C1326,'Policy Characteristics'!$C:$C,0))),"",INDEX('Policy Characteristics'!F:F,MATCH($C1326,'Policy Characteristics'!$C:$C,0)))</f>
        <v>0</v>
      </c>
      <c r="M1326" s="283">
        <f>IF(ISBLANK(INDEX('Policy Characteristics'!G:G,MATCH($C1326,'Policy Characteristics'!$C:$C,0))),"",INDEX('Policy Characteristics'!G:G,MATCH($C1326,'Policy Characteristics'!$C:$C,0)))</f>
        <v>1</v>
      </c>
      <c r="N1326" s="283">
        <f>IF(ISBLANK(INDEX('Policy Characteristics'!H:H,MATCH($C1326,'Policy Characteristics'!$C:$C,0))),"",INDEX('Policy Characteristics'!H:H,MATCH($C1326,'Policy Characteristics'!$C:$C,0)))</f>
        <v>0.01</v>
      </c>
      <c r="O1326" s="275" t="str">
        <f>IF(ISBLANK(INDEX('Policy Characteristics'!I:I,MATCH($C1326,'Policy Characteristics'!$C:$C,0))),"",INDEX('Policy Characteristics'!I:I,MATCH($C1326,'Policy Characteristics'!$C:$C,0)))</f>
        <v>% of price deregulated</v>
      </c>
      <c r="P1326" s="275" t="str">
        <f>IF(ISBLANK(INDEX('Policy Characteristics'!J:J,MATCH($C1326,'Policy Characteristics'!$C:$C,0))),"",INDEX('Policy Characteristics'!J:J,MATCH($C1326,'Policy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6" s="275" t="str">
        <f>IF(ISBLANK(INDEX('Policy Characteristics'!K:K,MATCH($C1326,'Policy Characteristics'!$C:$C,0))),"",INDEX('Policy Characteristics'!K:K,MATCH($C1326,'Policy Characteristics'!$C:$C,0)))</f>
        <v>fuels.html#fuel-price-deregulation</v>
      </c>
      <c r="R1326" s="275" t="str">
        <f>IF(ISBLANK(INDEX('Policy Characteristics'!L:L,MATCH($C1326,'Policy Characteristics'!$C:$C,0))),"",INDEX('Policy Characteristics'!L:L,MATCH($C1326,'Policy Characteristics'!$C:$C,0)))</f>
        <v/>
      </c>
    </row>
    <row r="1327" spans="1:18" s="2" customFormat="1" x14ac:dyDescent="0.25">
      <c r="A1327" s="275" t="str">
        <f>IF(ISBLANK(INDEX('Policy Characteristics'!A:A,MATCH($C1327,'Policy Characteristics'!$C:$C,0))),"",INDEX('Policy Characteristics'!A:A,MATCH($C1327,'Policy Characteristics'!$C:$C,0)))</f>
        <v>Cross-Sector</v>
      </c>
      <c r="B1327" s="284" t="str">
        <f>IF(ISBLANK(INDEX('Policy Characteristics'!B:B,MATCH($C1327,'Policy Characteristics'!$C:$C,0))),"",INDEX('Policy Characteristics'!B:B,MATCH($C1327,'Policy Characteristics'!$C:$C,0)))</f>
        <v>Fuel Price Deregulation</v>
      </c>
      <c r="C1327" s="275" t="str">
        <f t="shared" ref="C1327:C1340" si="58">C$1326</f>
        <v>Fuel Price Deregulation</v>
      </c>
      <c r="D1327" s="6" t="s">
        <v>46</v>
      </c>
      <c r="E1327" s="47"/>
      <c r="F1327" s="6" t="s">
        <v>87</v>
      </c>
      <c r="G1327" s="6"/>
      <c r="H1327" s="44">
        <v>724</v>
      </c>
      <c r="I1327" s="347" t="s">
        <v>44</v>
      </c>
      <c r="J1327" s="276" t="str">
        <f>IF(ISBLANK(INDEX('Policy Characteristics'!D:D,MATCH($C1327,'Policy Characteristics'!$C:$C,0))),"",INDEX('Policy Characteristics'!D:D,MATCH($C1327,'Policy Characteristics'!$C:$C,0)))</f>
        <v>Fuel Price Deregulation</v>
      </c>
      <c r="K1327" s="275" t="str">
        <f>IF(ISBLANK(INDEX('Policy Characteristics'!E:E,MATCH($C1327,'Policy Characteristics'!$C:$C,0))),"",INDEX('Policy Characteristics'!E:E,MATCH($C1327,'Policy Characteristics'!$C:$C,0)))</f>
        <v>cross fuel price deregulation</v>
      </c>
      <c r="L1327" s="283">
        <f>IF(ISBLANK(INDEX('Policy Characteristics'!F:F,MATCH($C1327,'Policy Characteristics'!$C:$C,0))),"",INDEX('Policy Characteristics'!F:F,MATCH($C1327,'Policy Characteristics'!$C:$C,0)))</f>
        <v>0</v>
      </c>
      <c r="M1327" s="283">
        <f>IF(ISBLANK(INDEX('Policy Characteristics'!G:G,MATCH($C1327,'Policy Characteristics'!$C:$C,0))),"",INDEX('Policy Characteristics'!G:G,MATCH($C1327,'Policy Characteristics'!$C:$C,0)))</f>
        <v>1</v>
      </c>
      <c r="N1327" s="283">
        <f>IF(ISBLANK(INDEX('Policy Characteristics'!H:H,MATCH($C1327,'Policy Characteristics'!$C:$C,0))),"",INDEX('Policy Characteristics'!H:H,MATCH($C1327,'Policy Characteristics'!$C:$C,0)))</f>
        <v>0.01</v>
      </c>
      <c r="O1327" s="275" t="str">
        <f>IF(ISBLANK(INDEX('Policy Characteristics'!I:I,MATCH($C1327,'Policy Characteristics'!$C:$C,0))),"",INDEX('Policy Characteristics'!I:I,MATCH($C1327,'Policy Characteristics'!$C:$C,0)))</f>
        <v>% of price deregulated</v>
      </c>
      <c r="P1327" s="275" t="str">
        <f>IF(ISBLANK(INDEX('Policy Characteristics'!J:J,MATCH($C1327,'Policy Characteristics'!$C:$C,0))),"",INDEX('Policy Characteristics'!J:J,MATCH($C1327,'Policy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7" s="275" t="str">
        <f>IF(ISBLANK(INDEX('Policy Characteristics'!K:K,MATCH($C1327,'Policy Characteristics'!$C:$C,0))),"",INDEX('Policy Characteristics'!K:K,MATCH($C1327,'Policy Characteristics'!$C:$C,0)))</f>
        <v>fuels.html#fuel-price-deregulation</v>
      </c>
      <c r="R1327" s="275" t="str">
        <f>IF(ISBLANK(INDEX('Policy Characteristics'!L:L,MATCH($C1327,'Policy Characteristics'!$C:$C,0))),"",INDEX('Policy Characteristics'!L:L,MATCH($C1327,'Policy Characteristics'!$C:$C,0)))</f>
        <v/>
      </c>
    </row>
    <row r="1328" spans="1:18" s="2" customFormat="1" x14ac:dyDescent="0.25">
      <c r="A1328" s="275" t="str">
        <f>IF(ISBLANK(INDEX('Policy Characteristics'!A:A,MATCH($C1328,'Policy Characteristics'!$C:$C,0))),"",INDEX('Policy Characteristics'!A:A,MATCH($C1328,'Policy Characteristics'!$C:$C,0)))</f>
        <v>Cross-Sector</v>
      </c>
      <c r="B1328" s="284" t="str">
        <f>IF(ISBLANK(INDEX('Policy Characteristics'!B:B,MATCH($C1328,'Policy Characteristics'!$C:$C,0))),"",INDEX('Policy Characteristics'!B:B,MATCH($C1328,'Policy Characteristics'!$C:$C,0)))</f>
        <v>Fuel Price Deregulation</v>
      </c>
      <c r="C1328" s="275" t="str">
        <f t="shared" si="58"/>
        <v>Fuel Price Deregulation</v>
      </c>
      <c r="D1328" s="6" t="s">
        <v>47</v>
      </c>
      <c r="E1328" s="47"/>
      <c r="F1328" s="6" t="s">
        <v>88</v>
      </c>
      <c r="G1328" s="6"/>
      <c r="H1328" s="44">
        <v>725</v>
      </c>
      <c r="I1328" s="347" t="s">
        <v>44</v>
      </c>
      <c r="J1328" s="276" t="str">
        <f>IF(ISBLANK(INDEX('Policy Characteristics'!D:D,MATCH($C1328,'Policy Characteristics'!$C:$C,0))),"",INDEX('Policy Characteristics'!D:D,MATCH($C1328,'Policy Characteristics'!$C:$C,0)))</f>
        <v>Fuel Price Deregulation</v>
      </c>
      <c r="K1328" s="275" t="str">
        <f>IF(ISBLANK(INDEX('Policy Characteristics'!E:E,MATCH($C1328,'Policy Characteristics'!$C:$C,0))),"",INDEX('Policy Characteristics'!E:E,MATCH($C1328,'Policy Characteristics'!$C:$C,0)))</f>
        <v>cross fuel price deregulation</v>
      </c>
      <c r="L1328" s="283">
        <f>IF(ISBLANK(INDEX('Policy Characteristics'!F:F,MATCH($C1328,'Policy Characteristics'!$C:$C,0))),"",INDEX('Policy Characteristics'!F:F,MATCH($C1328,'Policy Characteristics'!$C:$C,0)))</f>
        <v>0</v>
      </c>
      <c r="M1328" s="283">
        <f>IF(ISBLANK(INDEX('Policy Characteristics'!G:G,MATCH($C1328,'Policy Characteristics'!$C:$C,0))),"",INDEX('Policy Characteristics'!G:G,MATCH($C1328,'Policy Characteristics'!$C:$C,0)))</f>
        <v>1</v>
      </c>
      <c r="N1328" s="283">
        <f>IF(ISBLANK(INDEX('Policy Characteristics'!H:H,MATCH($C1328,'Policy Characteristics'!$C:$C,0))),"",INDEX('Policy Characteristics'!H:H,MATCH($C1328,'Policy Characteristics'!$C:$C,0)))</f>
        <v>0.01</v>
      </c>
      <c r="O1328" s="275" t="str">
        <f>IF(ISBLANK(INDEX('Policy Characteristics'!I:I,MATCH($C1328,'Policy Characteristics'!$C:$C,0))),"",INDEX('Policy Characteristics'!I:I,MATCH($C1328,'Policy Characteristics'!$C:$C,0)))</f>
        <v>% of price deregulated</v>
      </c>
      <c r="P1328" s="275" t="str">
        <f>IF(ISBLANK(INDEX('Policy Characteristics'!J:J,MATCH($C1328,'Policy Characteristics'!$C:$C,0))),"",INDEX('Policy Characteristics'!J:J,MATCH($C1328,'Policy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8" s="275" t="str">
        <f>IF(ISBLANK(INDEX('Policy Characteristics'!K:K,MATCH($C1328,'Policy Characteristics'!$C:$C,0))),"",INDEX('Policy Characteristics'!K:K,MATCH($C1328,'Policy Characteristics'!$C:$C,0)))</f>
        <v>fuels.html#fuel-price-deregulation</v>
      </c>
      <c r="R1328" s="275" t="str">
        <f>IF(ISBLANK(INDEX('Policy Characteristics'!L:L,MATCH($C1328,'Policy Characteristics'!$C:$C,0))),"",INDEX('Policy Characteristics'!L:L,MATCH($C1328,'Policy Characteristics'!$C:$C,0)))</f>
        <v/>
      </c>
    </row>
    <row r="1329" spans="1:18" s="2" customFormat="1" x14ac:dyDescent="0.25">
      <c r="A1329" s="275" t="str">
        <f>IF(ISBLANK(INDEX('Policy Characteristics'!A:A,MATCH($C1329,'Policy Characteristics'!$C:$C,0))),"",INDEX('Policy Characteristics'!A:A,MATCH($C1329,'Policy Characteristics'!$C:$C,0)))</f>
        <v>Cross-Sector</v>
      </c>
      <c r="B1329" s="284" t="str">
        <f>IF(ISBLANK(INDEX('Policy Characteristics'!B:B,MATCH($C1329,'Policy Characteristics'!$C:$C,0))),"",INDEX('Policy Characteristics'!B:B,MATCH($C1329,'Policy Characteristics'!$C:$C,0)))</f>
        <v>Fuel Price Deregulation</v>
      </c>
      <c r="C1329" s="275" t="str">
        <f t="shared" si="58"/>
        <v>Fuel Price Deregulation</v>
      </c>
      <c r="D1329" s="6" t="s">
        <v>51</v>
      </c>
      <c r="E1329" s="47"/>
      <c r="F1329" s="6" t="s">
        <v>92</v>
      </c>
      <c r="G1329" s="6"/>
      <c r="H1329" s="44">
        <v>726</v>
      </c>
      <c r="I1329" s="347" t="s">
        <v>44</v>
      </c>
      <c r="J1329" s="276" t="str">
        <f>IF(ISBLANK(INDEX('Policy Characteristics'!D:D,MATCH($C1329,'Policy Characteristics'!$C:$C,0))),"",INDEX('Policy Characteristics'!D:D,MATCH($C1329,'Policy Characteristics'!$C:$C,0)))</f>
        <v>Fuel Price Deregulation</v>
      </c>
      <c r="K1329" s="275" t="str">
        <f>IF(ISBLANK(INDEX('Policy Characteristics'!E:E,MATCH($C1329,'Policy Characteristics'!$C:$C,0))),"",INDEX('Policy Characteristics'!E:E,MATCH($C1329,'Policy Characteristics'!$C:$C,0)))</f>
        <v>cross fuel price deregulation</v>
      </c>
      <c r="L1329" s="283">
        <f>IF(ISBLANK(INDEX('Policy Characteristics'!F:F,MATCH($C1329,'Policy Characteristics'!$C:$C,0))),"",INDEX('Policy Characteristics'!F:F,MATCH($C1329,'Policy Characteristics'!$C:$C,0)))</f>
        <v>0</v>
      </c>
      <c r="M1329" s="283">
        <f>IF(ISBLANK(INDEX('Policy Characteristics'!G:G,MATCH($C1329,'Policy Characteristics'!$C:$C,0))),"",INDEX('Policy Characteristics'!G:G,MATCH($C1329,'Policy Characteristics'!$C:$C,0)))</f>
        <v>1</v>
      </c>
      <c r="N1329" s="283">
        <f>IF(ISBLANK(INDEX('Policy Characteristics'!H:H,MATCH($C1329,'Policy Characteristics'!$C:$C,0))),"",INDEX('Policy Characteristics'!H:H,MATCH($C1329,'Policy Characteristics'!$C:$C,0)))</f>
        <v>0.01</v>
      </c>
      <c r="O1329" s="275" t="str">
        <f>IF(ISBLANK(INDEX('Policy Characteristics'!I:I,MATCH($C1329,'Policy Characteristics'!$C:$C,0))),"",INDEX('Policy Characteristics'!I:I,MATCH($C1329,'Policy Characteristics'!$C:$C,0)))</f>
        <v>% of price deregulated</v>
      </c>
      <c r="P1329" s="275" t="str">
        <f>IF(ISBLANK(INDEX('Policy Characteristics'!J:J,MATCH($C1329,'Policy Characteristics'!$C:$C,0))),"",INDEX('Policy Characteristics'!J:J,MATCH($C1329,'Policy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9" s="275" t="str">
        <f>IF(ISBLANK(INDEX('Policy Characteristics'!K:K,MATCH($C1329,'Policy Characteristics'!$C:$C,0))),"",INDEX('Policy Characteristics'!K:K,MATCH($C1329,'Policy Characteristics'!$C:$C,0)))</f>
        <v>fuels.html#fuel-price-deregulation</v>
      </c>
      <c r="R1329" s="275" t="str">
        <f>IF(ISBLANK(INDEX('Policy Characteristics'!L:L,MATCH($C1329,'Policy Characteristics'!$C:$C,0))),"",INDEX('Policy Characteristics'!L:L,MATCH($C1329,'Policy Characteristics'!$C:$C,0)))</f>
        <v/>
      </c>
    </row>
    <row r="1330" spans="1:18" s="2" customFormat="1" x14ac:dyDescent="0.25">
      <c r="A1330" s="275" t="str">
        <f>IF(ISBLANK(INDEX('Policy Characteristics'!A:A,MATCH($C1330,'Policy Characteristics'!$C:$C,0))),"",INDEX('Policy Characteristics'!A:A,MATCH($C1330,'Policy Characteristics'!$C:$C,0)))</f>
        <v>Cross-Sector</v>
      </c>
      <c r="B1330" s="284" t="str">
        <f>IF(ISBLANK(INDEX('Policy Characteristics'!B:B,MATCH($C1330,'Policy Characteristics'!$C:$C,0))),"",INDEX('Policy Characteristics'!B:B,MATCH($C1330,'Policy Characteristics'!$C:$C,0)))</f>
        <v>Fuel Price Deregulation</v>
      </c>
      <c r="C1330" s="275" t="str">
        <f t="shared" si="58"/>
        <v>Fuel Price Deregulation</v>
      </c>
      <c r="D1330" s="6" t="s">
        <v>53</v>
      </c>
      <c r="E1330" s="47"/>
      <c r="F1330" s="6" t="s">
        <v>95</v>
      </c>
      <c r="G1330" s="6"/>
      <c r="H1330" s="44">
        <v>727</v>
      </c>
      <c r="I1330" s="347" t="s">
        <v>44</v>
      </c>
      <c r="J1330" s="276" t="str">
        <f>IF(ISBLANK(INDEX('Policy Characteristics'!D:D,MATCH($C1330,'Policy Characteristics'!$C:$C,0))),"",INDEX('Policy Characteristics'!D:D,MATCH($C1330,'Policy Characteristics'!$C:$C,0)))</f>
        <v>Fuel Price Deregulation</v>
      </c>
      <c r="K1330" s="275" t="str">
        <f>IF(ISBLANK(INDEX('Policy Characteristics'!E:E,MATCH($C1330,'Policy Characteristics'!$C:$C,0))),"",INDEX('Policy Characteristics'!E:E,MATCH($C1330,'Policy Characteristics'!$C:$C,0)))</f>
        <v>cross fuel price deregulation</v>
      </c>
      <c r="L1330" s="283">
        <f>IF(ISBLANK(INDEX('Policy Characteristics'!F:F,MATCH($C1330,'Policy Characteristics'!$C:$C,0))),"",INDEX('Policy Characteristics'!F:F,MATCH($C1330,'Policy Characteristics'!$C:$C,0)))</f>
        <v>0</v>
      </c>
      <c r="M1330" s="283">
        <f>IF(ISBLANK(INDEX('Policy Characteristics'!G:G,MATCH($C1330,'Policy Characteristics'!$C:$C,0))),"",INDEX('Policy Characteristics'!G:G,MATCH($C1330,'Policy Characteristics'!$C:$C,0)))</f>
        <v>1</v>
      </c>
      <c r="N1330" s="283">
        <f>IF(ISBLANK(INDEX('Policy Characteristics'!H:H,MATCH($C1330,'Policy Characteristics'!$C:$C,0))),"",INDEX('Policy Characteristics'!H:H,MATCH($C1330,'Policy Characteristics'!$C:$C,0)))</f>
        <v>0.01</v>
      </c>
      <c r="O1330" s="275" t="str">
        <f>IF(ISBLANK(INDEX('Policy Characteristics'!I:I,MATCH($C1330,'Policy Characteristics'!$C:$C,0))),"",INDEX('Policy Characteristics'!I:I,MATCH($C1330,'Policy Characteristics'!$C:$C,0)))</f>
        <v>% of price deregulated</v>
      </c>
      <c r="P1330" s="275" t="str">
        <f>IF(ISBLANK(INDEX('Policy Characteristics'!J:J,MATCH($C1330,'Policy Characteristics'!$C:$C,0))),"",INDEX('Policy Characteristics'!J:J,MATCH($C1330,'Policy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0" s="275" t="str">
        <f>IF(ISBLANK(INDEX('Policy Characteristics'!K:K,MATCH($C1330,'Policy Characteristics'!$C:$C,0))),"",INDEX('Policy Characteristics'!K:K,MATCH($C1330,'Policy Characteristics'!$C:$C,0)))</f>
        <v>fuels.html#fuel-price-deregulation</v>
      </c>
      <c r="R1330" s="275" t="str">
        <f>IF(ISBLANK(INDEX('Policy Characteristics'!L:L,MATCH($C1330,'Policy Characteristics'!$C:$C,0))),"",INDEX('Policy Characteristics'!L:L,MATCH($C1330,'Policy Characteristics'!$C:$C,0)))</f>
        <v/>
      </c>
    </row>
    <row r="1331" spans="1:18" s="2" customFormat="1" x14ac:dyDescent="0.25">
      <c r="A1331" s="275" t="str">
        <f>IF(ISBLANK(INDEX('Policy Characteristics'!A:A,MATCH($C1331,'Policy Characteristics'!$C:$C,0))),"",INDEX('Policy Characteristics'!A:A,MATCH($C1331,'Policy Characteristics'!$C:$C,0)))</f>
        <v>Cross-Sector</v>
      </c>
      <c r="B1331" s="284" t="str">
        <f>IF(ISBLANK(INDEX('Policy Characteristics'!B:B,MATCH($C1331,'Policy Characteristics'!$C:$C,0))),"",INDEX('Policy Characteristics'!B:B,MATCH($C1331,'Policy Characteristics'!$C:$C,0)))</f>
        <v>Fuel Price Deregulation</v>
      </c>
      <c r="C1331" s="275" t="str">
        <f t="shared" si="58"/>
        <v>Fuel Price Deregulation</v>
      </c>
      <c r="D1331" s="6" t="s">
        <v>54</v>
      </c>
      <c r="E1331" s="47"/>
      <c r="F1331" s="6" t="s">
        <v>96</v>
      </c>
      <c r="G1331" s="6"/>
      <c r="H1331" s="44">
        <v>728</v>
      </c>
      <c r="I1331" s="347" t="s">
        <v>44</v>
      </c>
      <c r="J1331" s="276" t="str">
        <f>IF(ISBLANK(INDEX('Policy Characteristics'!D:D,MATCH($C1331,'Policy Characteristics'!$C:$C,0))),"",INDEX('Policy Characteristics'!D:D,MATCH($C1331,'Policy Characteristics'!$C:$C,0)))</f>
        <v>Fuel Price Deregulation</v>
      </c>
      <c r="K1331" s="275" t="str">
        <f>IF(ISBLANK(INDEX('Policy Characteristics'!E:E,MATCH($C1331,'Policy Characteristics'!$C:$C,0))),"",INDEX('Policy Characteristics'!E:E,MATCH($C1331,'Policy Characteristics'!$C:$C,0)))</f>
        <v>cross fuel price deregulation</v>
      </c>
      <c r="L1331" s="283">
        <f>IF(ISBLANK(INDEX('Policy Characteristics'!F:F,MATCH($C1331,'Policy Characteristics'!$C:$C,0))),"",INDEX('Policy Characteristics'!F:F,MATCH($C1331,'Policy Characteristics'!$C:$C,0)))</f>
        <v>0</v>
      </c>
      <c r="M1331" s="283">
        <f>IF(ISBLANK(INDEX('Policy Characteristics'!G:G,MATCH($C1331,'Policy Characteristics'!$C:$C,0))),"",INDEX('Policy Characteristics'!G:G,MATCH($C1331,'Policy Characteristics'!$C:$C,0)))</f>
        <v>1</v>
      </c>
      <c r="N1331" s="283">
        <f>IF(ISBLANK(INDEX('Policy Characteristics'!H:H,MATCH($C1331,'Policy Characteristics'!$C:$C,0))),"",INDEX('Policy Characteristics'!H:H,MATCH($C1331,'Policy Characteristics'!$C:$C,0)))</f>
        <v>0.01</v>
      </c>
      <c r="O1331" s="275" t="str">
        <f>IF(ISBLANK(INDEX('Policy Characteristics'!I:I,MATCH($C1331,'Policy Characteristics'!$C:$C,0))),"",INDEX('Policy Characteristics'!I:I,MATCH($C1331,'Policy Characteristics'!$C:$C,0)))</f>
        <v>% of price deregulated</v>
      </c>
      <c r="P1331" s="275" t="str">
        <f>IF(ISBLANK(INDEX('Policy Characteristics'!J:J,MATCH($C1331,'Policy Characteristics'!$C:$C,0))),"",INDEX('Policy Characteristics'!J:J,MATCH($C1331,'Policy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1" s="275" t="str">
        <f>IF(ISBLANK(INDEX('Policy Characteristics'!K:K,MATCH($C1331,'Policy Characteristics'!$C:$C,0))),"",INDEX('Policy Characteristics'!K:K,MATCH($C1331,'Policy Characteristics'!$C:$C,0)))</f>
        <v>fuels.html#fuel-price-deregulation</v>
      </c>
      <c r="R1331" s="275" t="str">
        <f>IF(ISBLANK(INDEX('Policy Characteristics'!L:L,MATCH($C1331,'Policy Characteristics'!$C:$C,0))),"",INDEX('Policy Characteristics'!L:L,MATCH($C1331,'Policy Characteristics'!$C:$C,0)))</f>
        <v/>
      </c>
    </row>
    <row r="1332" spans="1:18" s="2" customFormat="1" x14ac:dyDescent="0.25">
      <c r="A1332" s="275" t="str">
        <f>IF(ISBLANK(INDEX('Policy Characteristics'!A:A,MATCH($C1332,'Policy Characteristics'!$C:$C,0))),"",INDEX('Policy Characteristics'!A:A,MATCH($C1332,'Policy Characteristics'!$C:$C,0)))</f>
        <v>Cross-Sector</v>
      </c>
      <c r="B1332" s="284" t="str">
        <f>IF(ISBLANK(INDEX('Policy Characteristics'!B:B,MATCH($C1332,'Policy Characteristics'!$C:$C,0))),"",INDEX('Policy Characteristics'!B:B,MATCH($C1332,'Policy Characteristics'!$C:$C,0)))</f>
        <v>Fuel Price Deregulation</v>
      </c>
      <c r="C1332" s="275" t="str">
        <f t="shared" si="58"/>
        <v>Fuel Price Deregulation</v>
      </c>
      <c r="D1332" s="6" t="s">
        <v>55</v>
      </c>
      <c r="E1332" s="47"/>
      <c r="F1332" s="6" t="s">
        <v>97</v>
      </c>
      <c r="G1332" s="6"/>
      <c r="H1332" s="44">
        <v>729</v>
      </c>
      <c r="I1332" s="347" t="s">
        <v>44</v>
      </c>
      <c r="J1332" s="276" t="str">
        <f>IF(ISBLANK(INDEX('Policy Characteristics'!D:D,MATCH($C1332,'Policy Characteristics'!$C:$C,0))),"",INDEX('Policy Characteristics'!D:D,MATCH($C1332,'Policy Characteristics'!$C:$C,0)))</f>
        <v>Fuel Price Deregulation</v>
      </c>
      <c r="K1332" s="275" t="str">
        <f>IF(ISBLANK(INDEX('Policy Characteristics'!E:E,MATCH($C1332,'Policy Characteristics'!$C:$C,0))),"",INDEX('Policy Characteristics'!E:E,MATCH($C1332,'Policy Characteristics'!$C:$C,0)))</f>
        <v>cross fuel price deregulation</v>
      </c>
      <c r="L1332" s="283">
        <f>IF(ISBLANK(INDEX('Policy Characteristics'!F:F,MATCH($C1332,'Policy Characteristics'!$C:$C,0))),"",INDEX('Policy Characteristics'!F:F,MATCH($C1332,'Policy Characteristics'!$C:$C,0)))</f>
        <v>0</v>
      </c>
      <c r="M1332" s="283">
        <f>IF(ISBLANK(INDEX('Policy Characteristics'!G:G,MATCH($C1332,'Policy Characteristics'!$C:$C,0))),"",INDEX('Policy Characteristics'!G:G,MATCH($C1332,'Policy Characteristics'!$C:$C,0)))</f>
        <v>1</v>
      </c>
      <c r="N1332" s="283">
        <f>IF(ISBLANK(INDEX('Policy Characteristics'!H:H,MATCH($C1332,'Policy Characteristics'!$C:$C,0))),"",INDEX('Policy Characteristics'!H:H,MATCH($C1332,'Policy Characteristics'!$C:$C,0)))</f>
        <v>0.01</v>
      </c>
      <c r="O1332" s="275" t="str">
        <f>IF(ISBLANK(INDEX('Policy Characteristics'!I:I,MATCH($C1332,'Policy Characteristics'!$C:$C,0))),"",INDEX('Policy Characteristics'!I:I,MATCH($C1332,'Policy Characteristics'!$C:$C,0)))</f>
        <v>% of price deregulated</v>
      </c>
      <c r="P1332" s="275" t="str">
        <f>IF(ISBLANK(INDEX('Policy Characteristics'!J:J,MATCH($C1332,'Policy Characteristics'!$C:$C,0))),"",INDEX('Policy Characteristics'!J:J,MATCH($C1332,'Policy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2" s="275" t="str">
        <f>IF(ISBLANK(INDEX('Policy Characteristics'!K:K,MATCH($C1332,'Policy Characteristics'!$C:$C,0))),"",INDEX('Policy Characteristics'!K:K,MATCH($C1332,'Policy Characteristics'!$C:$C,0)))</f>
        <v>fuels.html#fuel-price-deregulation</v>
      </c>
      <c r="R1332" s="275" t="str">
        <f>IF(ISBLANK(INDEX('Policy Characteristics'!L:L,MATCH($C1332,'Policy Characteristics'!$C:$C,0))),"",INDEX('Policy Characteristics'!L:L,MATCH($C1332,'Policy Characteristics'!$C:$C,0)))</f>
        <v/>
      </c>
    </row>
    <row r="1333" spans="1:18" s="2" customFormat="1" x14ac:dyDescent="0.25">
      <c r="A1333" s="275" t="str">
        <f>IF(ISBLANK(INDEX('Policy Characteristics'!A:A,MATCH($C1333,'Policy Characteristics'!$C:$C,0))),"",INDEX('Policy Characteristics'!A:A,MATCH($C1333,'Policy Characteristics'!$C:$C,0)))</f>
        <v>Cross-Sector</v>
      </c>
      <c r="B1333" s="284" t="str">
        <f>IF(ISBLANK(INDEX('Policy Characteristics'!B:B,MATCH($C1333,'Policy Characteristics'!$C:$C,0))),"",INDEX('Policy Characteristics'!B:B,MATCH($C1333,'Policy Characteristics'!$C:$C,0)))</f>
        <v>Fuel Price Deregulation</v>
      </c>
      <c r="C1333" s="275" t="str">
        <f t="shared" si="58"/>
        <v>Fuel Price Deregulation</v>
      </c>
      <c r="D1333" s="6" t="s">
        <v>56</v>
      </c>
      <c r="E1333" s="47"/>
      <c r="F1333" s="6" t="s">
        <v>98</v>
      </c>
      <c r="G1333" s="6"/>
      <c r="H1333" s="44">
        <v>730</v>
      </c>
      <c r="I1333" s="347" t="s">
        <v>44</v>
      </c>
      <c r="J1333" s="276" t="str">
        <f>IF(ISBLANK(INDEX('Policy Characteristics'!D:D,MATCH($C1333,'Policy Characteristics'!$C:$C,0))),"",INDEX('Policy Characteristics'!D:D,MATCH($C1333,'Policy Characteristics'!$C:$C,0)))</f>
        <v>Fuel Price Deregulation</v>
      </c>
      <c r="K1333" s="275" t="str">
        <f>IF(ISBLANK(INDEX('Policy Characteristics'!E:E,MATCH($C1333,'Policy Characteristics'!$C:$C,0))),"",INDEX('Policy Characteristics'!E:E,MATCH($C1333,'Policy Characteristics'!$C:$C,0)))</f>
        <v>cross fuel price deregulation</v>
      </c>
      <c r="L1333" s="283">
        <f>IF(ISBLANK(INDEX('Policy Characteristics'!F:F,MATCH($C1333,'Policy Characteristics'!$C:$C,0))),"",INDEX('Policy Characteristics'!F:F,MATCH($C1333,'Policy Characteristics'!$C:$C,0)))</f>
        <v>0</v>
      </c>
      <c r="M1333" s="283">
        <f>IF(ISBLANK(INDEX('Policy Characteristics'!G:G,MATCH($C1333,'Policy Characteristics'!$C:$C,0))),"",INDEX('Policy Characteristics'!G:G,MATCH($C1333,'Policy Characteristics'!$C:$C,0)))</f>
        <v>1</v>
      </c>
      <c r="N1333" s="283">
        <f>IF(ISBLANK(INDEX('Policy Characteristics'!H:H,MATCH($C1333,'Policy Characteristics'!$C:$C,0))),"",INDEX('Policy Characteristics'!H:H,MATCH($C1333,'Policy Characteristics'!$C:$C,0)))</f>
        <v>0.01</v>
      </c>
      <c r="O1333" s="275" t="str">
        <f>IF(ISBLANK(INDEX('Policy Characteristics'!I:I,MATCH($C1333,'Policy Characteristics'!$C:$C,0))),"",INDEX('Policy Characteristics'!I:I,MATCH($C1333,'Policy Characteristics'!$C:$C,0)))</f>
        <v>% of price deregulated</v>
      </c>
      <c r="P1333" s="275" t="str">
        <f>IF(ISBLANK(INDEX('Policy Characteristics'!J:J,MATCH($C1333,'Policy Characteristics'!$C:$C,0))),"",INDEX('Policy Characteristics'!J:J,MATCH($C1333,'Policy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3" s="275" t="str">
        <f>IF(ISBLANK(INDEX('Policy Characteristics'!K:K,MATCH($C1333,'Policy Characteristics'!$C:$C,0))),"",INDEX('Policy Characteristics'!K:K,MATCH($C1333,'Policy Characteristics'!$C:$C,0)))</f>
        <v>fuels.html#fuel-price-deregulation</v>
      </c>
      <c r="R1333" s="275" t="str">
        <f>IF(ISBLANK(INDEX('Policy Characteristics'!L:L,MATCH($C1333,'Policy Characteristics'!$C:$C,0))),"",INDEX('Policy Characteristics'!L:L,MATCH($C1333,'Policy Characteristics'!$C:$C,0)))</f>
        <v/>
      </c>
    </row>
    <row r="1334" spans="1:18" s="2" customFormat="1" x14ac:dyDescent="0.25">
      <c r="A1334" s="275" t="str">
        <f>IF(ISBLANK(INDEX('Policy Characteristics'!A:A,MATCH($C1334,'Policy Characteristics'!$C:$C,0))),"",INDEX('Policy Characteristics'!A:A,MATCH($C1334,'Policy Characteristics'!$C:$C,0)))</f>
        <v>Cross-Sector</v>
      </c>
      <c r="B1334" s="284" t="str">
        <f>IF(ISBLANK(INDEX('Policy Characteristics'!B:B,MATCH($C1334,'Policy Characteristics'!$C:$C,0))),"",INDEX('Policy Characteristics'!B:B,MATCH($C1334,'Policy Characteristics'!$C:$C,0)))</f>
        <v>Fuel Price Deregulation</v>
      </c>
      <c r="C1334" s="275" t="str">
        <f t="shared" si="58"/>
        <v>Fuel Price Deregulation</v>
      </c>
      <c r="D1334" s="6" t="s">
        <v>2475</v>
      </c>
      <c r="E1334" s="47"/>
      <c r="F1334" s="6" t="s">
        <v>2476</v>
      </c>
      <c r="G1334" s="6"/>
      <c r="H1334" s="44">
        <v>731</v>
      </c>
      <c r="I1334" s="347" t="s">
        <v>44</v>
      </c>
      <c r="J1334" s="276" t="str">
        <f>IF(ISBLANK(INDEX('Policy Characteristics'!D:D,MATCH($C1334,'Policy Characteristics'!$C:$C,0))),"",INDEX('Policy Characteristics'!D:D,MATCH($C1334,'Policy Characteristics'!$C:$C,0)))</f>
        <v>Fuel Price Deregulation</v>
      </c>
      <c r="K1334" s="275" t="str">
        <f>IF(ISBLANK(INDEX('Policy Characteristics'!E:E,MATCH($C1334,'Policy Characteristics'!$C:$C,0))),"",INDEX('Policy Characteristics'!E:E,MATCH($C1334,'Policy Characteristics'!$C:$C,0)))</f>
        <v>cross fuel price deregulation</v>
      </c>
      <c r="L1334" s="283">
        <f>IF(ISBLANK(INDEX('Policy Characteristics'!F:F,MATCH($C1334,'Policy Characteristics'!$C:$C,0))),"",INDEX('Policy Characteristics'!F:F,MATCH($C1334,'Policy Characteristics'!$C:$C,0)))</f>
        <v>0</v>
      </c>
      <c r="M1334" s="283">
        <f>IF(ISBLANK(INDEX('Policy Characteristics'!G:G,MATCH($C1334,'Policy Characteristics'!$C:$C,0))),"",INDEX('Policy Characteristics'!G:G,MATCH($C1334,'Policy Characteristics'!$C:$C,0)))</f>
        <v>1</v>
      </c>
      <c r="N1334" s="283">
        <f>IF(ISBLANK(INDEX('Policy Characteristics'!H:H,MATCH($C1334,'Policy Characteristics'!$C:$C,0))),"",INDEX('Policy Characteristics'!H:H,MATCH($C1334,'Policy Characteristics'!$C:$C,0)))</f>
        <v>0.01</v>
      </c>
      <c r="O1334" s="275" t="str">
        <f>IF(ISBLANK(INDEX('Policy Characteristics'!I:I,MATCH($C1334,'Policy Characteristics'!$C:$C,0))),"",INDEX('Policy Characteristics'!I:I,MATCH($C1334,'Policy Characteristics'!$C:$C,0)))</f>
        <v>% of price deregulated</v>
      </c>
      <c r="P1334" s="275" t="str">
        <f>IF(ISBLANK(INDEX('Policy Characteristics'!J:J,MATCH($C1334,'Policy Characteristics'!$C:$C,0))),"",INDEX('Policy Characteristics'!J:J,MATCH($C1334,'Policy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4" s="275" t="str">
        <f>IF(ISBLANK(INDEX('Policy Characteristics'!K:K,MATCH($C1334,'Policy Characteristics'!$C:$C,0))),"",INDEX('Policy Characteristics'!K:K,MATCH($C1334,'Policy Characteristics'!$C:$C,0)))</f>
        <v>fuels.html#fuel-price-deregulation</v>
      </c>
      <c r="R1334" s="275" t="str">
        <f>IF(ISBLANK(INDEX('Policy Characteristics'!L:L,MATCH($C1334,'Policy Characteristics'!$C:$C,0))),"",INDEX('Policy Characteristics'!L:L,MATCH($C1334,'Policy Characteristics'!$C:$C,0)))</f>
        <v/>
      </c>
    </row>
    <row r="1335" spans="1:18" s="2" customFormat="1" x14ac:dyDescent="0.25">
      <c r="A1335" s="275" t="str">
        <f>IF(ISBLANK(INDEX('Policy Characteristics'!A:A,MATCH($C1335,'Policy Characteristics'!$C:$C,0))),"",INDEX('Policy Characteristics'!A:A,MATCH($C1335,'Policy Characteristics'!$C:$C,0)))</f>
        <v>Cross-Sector</v>
      </c>
      <c r="B1335" s="284" t="str">
        <f>IF(ISBLANK(INDEX('Policy Characteristics'!B:B,MATCH($C1335,'Policy Characteristics'!$C:$C,0))),"",INDEX('Policy Characteristics'!B:B,MATCH($C1335,'Policy Characteristics'!$C:$C,0)))</f>
        <v>Fuel Price Deregulation</v>
      </c>
      <c r="C1335" s="275" t="str">
        <f t="shared" si="58"/>
        <v>Fuel Price Deregulation</v>
      </c>
      <c r="D1335" s="6" t="s">
        <v>443</v>
      </c>
      <c r="E1335" s="47"/>
      <c r="F1335" s="6" t="s">
        <v>444</v>
      </c>
      <c r="G1335" s="6"/>
      <c r="H1335" s="44">
        <v>732</v>
      </c>
      <c r="I1335" s="347" t="s">
        <v>44</v>
      </c>
      <c r="J1335" s="276" t="str">
        <f>IF(ISBLANK(INDEX('Policy Characteristics'!D:D,MATCH($C1335,'Policy Characteristics'!$C:$C,0))),"",INDEX('Policy Characteristics'!D:D,MATCH($C1335,'Policy Characteristics'!$C:$C,0)))</f>
        <v>Fuel Price Deregulation</v>
      </c>
      <c r="K1335" s="275" t="str">
        <f>IF(ISBLANK(INDEX('Policy Characteristics'!E:E,MATCH($C1335,'Policy Characteristics'!$C:$C,0))),"",INDEX('Policy Characteristics'!E:E,MATCH($C1335,'Policy Characteristics'!$C:$C,0)))</f>
        <v>cross fuel price deregulation</v>
      </c>
      <c r="L1335" s="283">
        <f>IF(ISBLANK(INDEX('Policy Characteristics'!F:F,MATCH($C1335,'Policy Characteristics'!$C:$C,0))),"",INDEX('Policy Characteristics'!F:F,MATCH($C1335,'Policy Characteristics'!$C:$C,0)))</f>
        <v>0</v>
      </c>
      <c r="M1335" s="283">
        <f>IF(ISBLANK(INDEX('Policy Characteristics'!G:G,MATCH($C1335,'Policy Characteristics'!$C:$C,0))),"",INDEX('Policy Characteristics'!G:G,MATCH($C1335,'Policy Characteristics'!$C:$C,0)))</f>
        <v>1</v>
      </c>
      <c r="N1335" s="283">
        <f>IF(ISBLANK(INDEX('Policy Characteristics'!H:H,MATCH($C1335,'Policy Characteristics'!$C:$C,0))),"",INDEX('Policy Characteristics'!H:H,MATCH($C1335,'Policy Characteristics'!$C:$C,0)))</f>
        <v>0.01</v>
      </c>
      <c r="O1335" s="275" t="str">
        <f>IF(ISBLANK(INDEX('Policy Characteristics'!I:I,MATCH($C1335,'Policy Characteristics'!$C:$C,0))),"",INDEX('Policy Characteristics'!I:I,MATCH($C1335,'Policy Characteristics'!$C:$C,0)))</f>
        <v>% of price deregulated</v>
      </c>
      <c r="P1335" s="275" t="str">
        <f>IF(ISBLANK(INDEX('Policy Characteristics'!J:J,MATCH($C1335,'Policy Characteristics'!$C:$C,0))),"",INDEX('Policy Characteristics'!J:J,MATCH($C1335,'Policy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5" s="275" t="str">
        <f>IF(ISBLANK(INDEX('Policy Characteristics'!K:K,MATCH($C1335,'Policy Characteristics'!$C:$C,0))),"",INDEX('Policy Characteristics'!K:K,MATCH($C1335,'Policy Characteristics'!$C:$C,0)))</f>
        <v>fuels.html#fuel-price-deregulation</v>
      </c>
      <c r="R1335" s="275" t="str">
        <f>IF(ISBLANK(INDEX('Policy Characteristics'!L:L,MATCH($C1335,'Policy Characteristics'!$C:$C,0))),"",INDEX('Policy Characteristics'!L:L,MATCH($C1335,'Policy Characteristics'!$C:$C,0)))</f>
        <v/>
      </c>
    </row>
    <row r="1336" spans="1:18" s="2" customFormat="1" x14ac:dyDescent="0.25">
      <c r="A1336" s="275" t="str">
        <f>IF(ISBLANK(INDEX('Policy Characteristics'!A:A,MATCH($C1336,'Policy Characteristics'!$C:$C,0))),"",INDEX('Policy Characteristics'!A:A,MATCH($C1336,'Policy Characteristics'!$C:$C,0)))</f>
        <v>Cross-Sector</v>
      </c>
      <c r="B1336" s="284" t="str">
        <f>IF(ISBLANK(INDEX('Policy Characteristics'!B:B,MATCH($C1336,'Policy Characteristics'!$C:$C,0))),"",INDEX('Policy Characteristics'!B:B,MATCH($C1336,'Policy Characteristics'!$C:$C,0)))</f>
        <v>Fuel Price Deregulation</v>
      </c>
      <c r="C1336" s="275" t="str">
        <f t="shared" si="58"/>
        <v>Fuel Price Deregulation</v>
      </c>
      <c r="D1336" s="6" t="s">
        <v>2467</v>
      </c>
      <c r="E1336" s="47"/>
      <c r="F1336" s="6" t="s">
        <v>2471</v>
      </c>
      <c r="G1336" s="6"/>
      <c r="H1336" s="44">
        <v>733</v>
      </c>
      <c r="I1336" s="347" t="s">
        <v>44</v>
      </c>
      <c r="J1336" s="276" t="str">
        <f>IF(ISBLANK(INDEX('Policy Characteristics'!D:D,MATCH($C1336,'Policy Characteristics'!$C:$C,0))),"",INDEX('Policy Characteristics'!D:D,MATCH($C1336,'Policy Characteristics'!$C:$C,0)))</f>
        <v>Fuel Price Deregulation</v>
      </c>
      <c r="K1336" s="275" t="str">
        <f>IF(ISBLANK(INDEX('Policy Characteristics'!E:E,MATCH($C1336,'Policy Characteristics'!$C:$C,0))),"",INDEX('Policy Characteristics'!E:E,MATCH($C1336,'Policy Characteristics'!$C:$C,0)))</f>
        <v>cross fuel price deregulation</v>
      </c>
      <c r="L1336" s="283">
        <f>IF(ISBLANK(INDEX('Policy Characteristics'!F:F,MATCH($C1336,'Policy Characteristics'!$C:$C,0))),"",INDEX('Policy Characteristics'!F:F,MATCH($C1336,'Policy Characteristics'!$C:$C,0)))</f>
        <v>0</v>
      </c>
      <c r="M1336" s="283">
        <f>IF(ISBLANK(INDEX('Policy Characteristics'!G:G,MATCH($C1336,'Policy Characteristics'!$C:$C,0))),"",INDEX('Policy Characteristics'!G:G,MATCH($C1336,'Policy Characteristics'!$C:$C,0)))</f>
        <v>1</v>
      </c>
      <c r="N1336" s="283">
        <f>IF(ISBLANK(INDEX('Policy Characteristics'!H:H,MATCH($C1336,'Policy Characteristics'!$C:$C,0))),"",INDEX('Policy Characteristics'!H:H,MATCH($C1336,'Policy Characteristics'!$C:$C,0)))</f>
        <v>0.01</v>
      </c>
      <c r="O1336" s="275" t="str">
        <f>IF(ISBLANK(INDEX('Policy Characteristics'!I:I,MATCH($C1336,'Policy Characteristics'!$C:$C,0))),"",INDEX('Policy Characteristics'!I:I,MATCH($C1336,'Policy Characteristics'!$C:$C,0)))</f>
        <v>% of price deregulated</v>
      </c>
      <c r="P1336" s="275" t="str">
        <f>IF(ISBLANK(INDEX('Policy Characteristics'!J:J,MATCH($C1336,'Policy Characteristics'!$C:$C,0))),"",INDEX('Policy Characteristics'!J:J,MATCH($C1336,'Policy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6" s="275" t="str">
        <f>IF(ISBLANK(INDEX('Policy Characteristics'!K:K,MATCH($C1336,'Policy Characteristics'!$C:$C,0))),"",INDEX('Policy Characteristics'!K:K,MATCH($C1336,'Policy Characteristics'!$C:$C,0)))</f>
        <v>fuels.html#fuel-price-deregulation</v>
      </c>
      <c r="R1336" s="275" t="str">
        <f>IF(ISBLANK(INDEX('Policy Characteristics'!L:L,MATCH($C1336,'Policy Characteristics'!$C:$C,0))),"",INDEX('Policy Characteristics'!L:L,MATCH($C1336,'Policy Characteristics'!$C:$C,0)))</f>
        <v/>
      </c>
    </row>
    <row r="1337" spans="1:18" s="2" customFormat="1" x14ac:dyDescent="0.25">
      <c r="A1337" s="275" t="str">
        <f>IF(ISBLANK(INDEX('Policy Characteristics'!A:A,MATCH($C1337,'Policy Characteristics'!$C:$C,0))),"",INDEX('Policy Characteristics'!A:A,MATCH($C1337,'Policy Characteristics'!$C:$C,0)))</f>
        <v>Cross-Sector</v>
      </c>
      <c r="B1337" s="284" t="str">
        <f>IF(ISBLANK(INDEX('Policy Characteristics'!B:B,MATCH($C1337,'Policy Characteristics'!$C:$C,0))),"",INDEX('Policy Characteristics'!B:B,MATCH($C1337,'Policy Characteristics'!$C:$C,0)))</f>
        <v>Fuel Price Deregulation</v>
      </c>
      <c r="C1337" s="275" t="str">
        <f t="shared" si="58"/>
        <v>Fuel Price Deregulation</v>
      </c>
      <c r="D1337" s="6" t="s">
        <v>2477</v>
      </c>
      <c r="E1337" s="47"/>
      <c r="F1337" s="6" t="s">
        <v>2478</v>
      </c>
      <c r="G1337" s="6"/>
      <c r="H1337" s="44">
        <v>734</v>
      </c>
      <c r="I1337" s="347" t="s">
        <v>44</v>
      </c>
      <c r="J1337" s="276" t="str">
        <f>IF(ISBLANK(INDEX('Policy Characteristics'!D:D,MATCH($C1337,'Policy Characteristics'!$C:$C,0))),"",INDEX('Policy Characteristics'!D:D,MATCH($C1337,'Policy Characteristics'!$C:$C,0)))</f>
        <v>Fuel Price Deregulation</v>
      </c>
      <c r="K1337" s="275" t="str">
        <f>IF(ISBLANK(INDEX('Policy Characteristics'!E:E,MATCH($C1337,'Policy Characteristics'!$C:$C,0))),"",INDEX('Policy Characteristics'!E:E,MATCH($C1337,'Policy Characteristics'!$C:$C,0)))</f>
        <v>cross fuel price deregulation</v>
      </c>
      <c r="L1337" s="283">
        <f>IF(ISBLANK(INDEX('Policy Characteristics'!F:F,MATCH($C1337,'Policy Characteristics'!$C:$C,0))),"",INDEX('Policy Characteristics'!F:F,MATCH($C1337,'Policy Characteristics'!$C:$C,0)))</f>
        <v>0</v>
      </c>
      <c r="M1337" s="283">
        <f>IF(ISBLANK(INDEX('Policy Characteristics'!G:G,MATCH($C1337,'Policy Characteristics'!$C:$C,0))),"",INDEX('Policy Characteristics'!G:G,MATCH($C1337,'Policy Characteristics'!$C:$C,0)))</f>
        <v>1</v>
      </c>
      <c r="N1337" s="283">
        <f>IF(ISBLANK(INDEX('Policy Characteristics'!H:H,MATCH($C1337,'Policy Characteristics'!$C:$C,0))),"",INDEX('Policy Characteristics'!H:H,MATCH($C1337,'Policy Characteristics'!$C:$C,0)))</f>
        <v>0.01</v>
      </c>
      <c r="O1337" s="275" t="str">
        <f>IF(ISBLANK(INDEX('Policy Characteristics'!I:I,MATCH($C1337,'Policy Characteristics'!$C:$C,0))),"",INDEX('Policy Characteristics'!I:I,MATCH($C1337,'Policy Characteristics'!$C:$C,0)))</f>
        <v>% of price deregulated</v>
      </c>
      <c r="P1337" s="275" t="str">
        <f>IF(ISBLANK(INDEX('Policy Characteristics'!J:J,MATCH($C1337,'Policy Characteristics'!$C:$C,0))),"",INDEX('Policy Characteristics'!J:J,MATCH($C1337,'Policy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7" s="275" t="str">
        <f>IF(ISBLANK(INDEX('Policy Characteristics'!K:K,MATCH($C1337,'Policy Characteristics'!$C:$C,0))),"",INDEX('Policy Characteristics'!K:K,MATCH($C1337,'Policy Characteristics'!$C:$C,0)))</f>
        <v>fuels.html#fuel-price-deregulation</v>
      </c>
      <c r="R1337" s="275" t="str">
        <f>IF(ISBLANK(INDEX('Policy Characteristics'!L:L,MATCH($C1337,'Policy Characteristics'!$C:$C,0))),"",INDEX('Policy Characteristics'!L:L,MATCH($C1337,'Policy Characteristics'!$C:$C,0)))</f>
        <v/>
      </c>
    </row>
    <row r="1338" spans="1:18" s="2" customFormat="1" x14ac:dyDescent="0.25">
      <c r="A1338" s="275" t="str">
        <f>IF(ISBLANK(INDEX('Policy Characteristics'!A:A,MATCH($C1338,'Policy Characteristics'!$C:$C,0))),"",INDEX('Policy Characteristics'!A:A,MATCH($C1338,'Policy Characteristics'!$C:$C,0)))</f>
        <v>Cross-Sector</v>
      </c>
      <c r="B1338" s="284" t="str">
        <f>IF(ISBLANK(INDEX('Policy Characteristics'!B:B,MATCH($C1338,'Policy Characteristics'!$C:$C,0))),"",INDEX('Policy Characteristics'!B:B,MATCH($C1338,'Policy Characteristics'!$C:$C,0)))</f>
        <v>Fuel Price Deregulation</v>
      </c>
      <c r="C1338" s="275" t="str">
        <f t="shared" si="58"/>
        <v>Fuel Price Deregulation</v>
      </c>
      <c r="D1338" s="6" t="s">
        <v>2468</v>
      </c>
      <c r="E1338" s="47"/>
      <c r="F1338" s="6" t="s">
        <v>2472</v>
      </c>
      <c r="G1338" s="6"/>
      <c r="H1338" s="44">
        <v>735</v>
      </c>
      <c r="I1338" s="347" t="s">
        <v>44</v>
      </c>
      <c r="J1338" s="276" t="str">
        <f>IF(ISBLANK(INDEX('Policy Characteristics'!D:D,MATCH($C1338,'Policy Characteristics'!$C:$C,0))),"",INDEX('Policy Characteristics'!D:D,MATCH($C1338,'Policy Characteristics'!$C:$C,0)))</f>
        <v>Fuel Price Deregulation</v>
      </c>
      <c r="K1338" s="275" t="str">
        <f>IF(ISBLANK(INDEX('Policy Characteristics'!E:E,MATCH($C1338,'Policy Characteristics'!$C:$C,0))),"",INDEX('Policy Characteristics'!E:E,MATCH($C1338,'Policy Characteristics'!$C:$C,0)))</f>
        <v>cross fuel price deregulation</v>
      </c>
      <c r="L1338" s="283">
        <f>IF(ISBLANK(INDEX('Policy Characteristics'!F:F,MATCH($C1338,'Policy Characteristics'!$C:$C,0))),"",INDEX('Policy Characteristics'!F:F,MATCH($C1338,'Policy Characteristics'!$C:$C,0)))</f>
        <v>0</v>
      </c>
      <c r="M1338" s="283">
        <f>IF(ISBLANK(INDEX('Policy Characteristics'!G:G,MATCH($C1338,'Policy Characteristics'!$C:$C,0))),"",INDEX('Policy Characteristics'!G:G,MATCH($C1338,'Policy Characteristics'!$C:$C,0)))</f>
        <v>1</v>
      </c>
      <c r="N1338" s="283">
        <f>IF(ISBLANK(INDEX('Policy Characteristics'!H:H,MATCH($C1338,'Policy Characteristics'!$C:$C,0))),"",INDEX('Policy Characteristics'!H:H,MATCH($C1338,'Policy Characteristics'!$C:$C,0)))</f>
        <v>0.01</v>
      </c>
      <c r="O1338" s="275" t="str">
        <f>IF(ISBLANK(INDEX('Policy Characteristics'!I:I,MATCH($C1338,'Policy Characteristics'!$C:$C,0))),"",INDEX('Policy Characteristics'!I:I,MATCH($C1338,'Policy Characteristics'!$C:$C,0)))</f>
        <v>% of price deregulated</v>
      </c>
      <c r="P1338" s="275" t="str">
        <f>IF(ISBLANK(INDEX('Policy Characteristics'!J:J,MATCH($C1338,'Policy Characteristics'!$C:$C,0))),"",INDEX('Policy Characteristics'!J:J,MATCH($C1338,'Policy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8" s="275" t="str">
        <f>IF(ISBLANK(INDEX('Policy Characteristics'!K:K,MATCH($C1338,'Policy Characteristics'!$C:$C,0))),"",INDEX('Policy Characteristics'!K:K,MATCH($C1338,'Policy Characteristics'!$C:$C,0)))</f>
        <v>fuels.html#fuel-price-deregulation</v>
      </c>
      <c r="R1338" s="275" t="str">
        <f>IF(ISBLANK(INDEX('Policy Characteristics'!L:L,MATCH($C1338,'Policy Characteristics'!$C:$C,0))),"",INDEX('Policy Characteristics'!L:L,MATCH($C1338,'Policy Characteristics'!$C:$C,0)))</f>
        <v/>
      </c>
    </row>
    <row r="1339" spans="1:18" s="2" customFormat="1" x14ac:dyDescent="0.25">
      <c r="A1339" s="275" t="str">
        <f>IF(ISBLANK(INDEX('Policy Characteristics'!A:A,MATCH($C1339,'Policy Characteristics'!$C:$C,0))),"",INDEX('Policy Characteristics'!A:A,MATCH($C1339,'Policy Characteristics'!$C:$C,0)))</f>
        <v>Cross-Sector</v>
      </c>
      <c r="B1339" s="284" t="str">
        <f>IF(ISBLANK(INDEX('Policy Characteristics'!B:B,MATCH($C1339,'Policy Characteristics'!$C:$C,0))),"",INDEX('Policy Characteristics'!B:B,MATCH($C1339,'Policy Characteristics'!$C:$C,0)))</f>
        <v>Fuel Price Deregulation</v>
      </c>
      <c r="C1339" s="275" t="str">
        <f t="shared" si="58"/>
        <v>Fuel Price Deregulation</v>
      </c>
      <c r="D1339" s="6" t="s">
        <v>2469</v>
      </c>
      <c r="E1339" s="47"/>
      <c r="F1339" s="6" t="s">
        <v>2473</v>
      </c>
      <c r="G1339" s="6"/>
      <c r="H1339" s="44">
        <v>736</v>
      </c>
      <c r="I1339" s="347" t="s">
        <v>44</v>
      </c>
      <c r="J1339" s="276" t="str">
        <f>IF(ISBLANK(INDEX('Policy Characteristics'!D:D,MATCH($C1339,'Policy Characteristics'!$C:$C,0))),"",INDEX('Policy Characteristics'!D:D,MATCH($C1339,'Policy Characteristics'!$C:$C,0)))</f>
        <v>Fuel Price Deregulation</v>
      </c>
      <c r="K1339" s="275" t="str">
        <f>IF(ISBLANK(INDEX('Policy Characteristics'!E:E,MATCH($C1339,'Policy Characteristics'!$C:$C,0))),"",INDEX('Policy Characteristics'!E:E,MATCH($C1339,'Policy Characteristics'!$C:$C,0)))</f>
        <v>cross fuel price deregulation</v>
      </c>
      <c r="L1339" s="283">
        <f>IF(ISBLANK(INDEX('Policy Characteristics'!F:F,MATCH($C1339,'Policy Characteristics'!$C:$C,0))),"",INDEX('Policy Characteristics'!F:F,MATCH($C1339,'Policy Characteristics'!$C:$C,0)))</f>
        <v>0</v>
      </c>
      <c r="M1339" s="283">
        <f>IF(ISBLANK(INDEX('Policy Characteristics'!G:G,MATCH($C1339,'Policy Characteristics'!$C:$C,0))),"",INDEX('Policy Characteristics'!G:G,MATCH($C1339,'Policy Characteristics'!$C:$C,0)))</f>
        <v>1</v>
      </c>
      <c r="N1339" s="283">
        <f>IF(ISBLANK(INDEX('Policy Characteristics'!H:H,MATCH($C1339,'Policy Characteristics'!$C:$C,0))),"",INDEX('Policy Characteristics'!H:H,MATCH($C1339,'Policy Characteristics'!$C:$C,0)))</f>
        <v>0.01</v>
      </c>
      <c r="O1339" s="275" t="str">
        <f>IF(ISBLANK(INDEX('Policy Characteristics'!I:I,MATCH($C1339,'Policy Characteristics'!$C:$C,0))),"",INDEX('Policy Characteristics'!I:I,MATCH($C1339,'Policy Characteristics'!$C:$C,0)))</f>
        <v>% of price deregulated</v>
      </c>
      <c r="P1339" s="275" t="str">
        <f>IF(ISBLANK(INDEX('Policy Characteristics'!J:J,MATCH($C1339,'Policy Characteristics'!$C:$C,0))),"",INDEX('Policy Characteristics'!J:J,MATCH($C1339,'Policy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9" s="275" t="str">
        <f>IF(ISBLANK(INDEX('Policy Characteristics'!K:K,MATCH($C1339,'Policy Characteristics'!$C:$C,0))),"",INDEX('Policy Characteristics'!K:K,MATCH($C1339,'Policy Characteristics'!$C:$C,0)))</f>
        <v>fuels.html#fuel-price-deregulation</v>
      </c>
      <c r="R1339" s="275" t="str">
        <f>IF(ISBLANK(INDEX('Policy Characteristics'!L:L,MATCH($C1339,'Policy Characteristics'!$C:$C,0))),"",INDEX('Policy Characteristics'!L:L,MATCH($C1339,'Policy Characteristics'!$C:$C,0)))</f>
        <v/>
      </c>
    </row>
    <row r="1340" spans="1:18" s="2" customFormat="1" x14ac:dyDescent="0.25">
      <c r="A1340" s="275" t="str">
        <f>IF(ISBLANK(INDEX('Policy Characteristics'!A:A,MATCH($C1340,'Policy Characteristics'!$C:$C,0))),"",INDEX('Policy Characteristics'!A:A,MATCH($C1340,'Policy Characteristics'!$C:$C,0)))</f>
        <v>Cross-Sector</v>
      </c>
      <c r="B1340" s="284" t="str">
        <f>IF(ISBLANK(INDEX('Policy Characteristics'!B:B,MATCH($C1340,'Policy Characteristics'!$C:$C,0))),"",INDEX('Policy Characteristics'!B:B,MATCH($C1340,'Policy Characteristics'!$C:$C,0)))</f>
        <v>Fuel Price Deregulation</v>
      </c>
      <c r="C1340" s="275" t="str">
        <f t="shared" si="58"/>
        <v>Fuel Price Deregulation</v>
      </c>
      <c r="D1340" s="6" t="s">
        <v>2470</v>
      </c>
      <c r="E1340" s="47"/>
      <c r="F1340" s="6" t="s">
        <v>2474</v>
      </c>
      <c r="G1340" s="6"/>
      <c r="H1340" s="44">
        <v>737</v>
      </c>
      <c r="I1340" s="347" t="s">
        <v>44</v>
      </c>
      <c r="J1340" s="276" t="str">
        <f>IF(ISBLANK(INDEX('Policy Characteristics'!D:D,MATCH($C1340,'Policy Characteristics'!$C:$C,0))),"",INDEX('Policy Characteristics'!D:D,MATCH($C1340,'Policy Characteristics'!$C:$C,0)))</f>
        <v>Fuel Price Deregulation</v>
      </c>
      <c r="K1340" s="275" t="str">
        <f>IF(ISBLANK(INDEX('Policy Characteristics'!E:E,MATCH($C1340,'Policy Characteristics'!$C:$C,0))),"",INDEX('Policy Characteristics'!E:E,MATCH($C1340,'Policy Characteristics'!$C:$C,0)))</f>
        <v>cross fuel price deregulation</v>
      </c>
      <c r="L1340" s="283">
        <f>IF(ISBLANK(INDEX('Policy Characteristics'!F:F,MATCH($C1340,'Policy Characteristics'!$C:$C,0))),"",INDEX('Policy Characteristics'!F:F,MATCH($C1340,'Policy Characteristics'!$C:$C,0)))</f>
        <v>0</v>
      </c>
      <c r="M1340" s="283">
        <f>IF(ISBLANK(INDEX('Policy Characteristics'!G:G,MATCH($C1340,'Policy Characteristics'!$C:$C,0))),"",INDEX('Policy Characteristics'!G:G,MATCH($C1340,'Policy Characteristics'!$C:$C,0)))</f>
        <v>1</v>
      </c>
      <c r="N1340" s="283">
        <f>IF(ISBLANK(INDEX('Policy Characteristics'!H:H,MATCH($C1340,'Policy Characteristics'!$C:$C,0))),"",INDEX('Policy Characteristics'!H:H,MATCH($C1340,'Policy Characteristics'!$C:$C,0)))</f>
        <v>0.01</v>
      </c>
      <c r="O1340" s="275" t="str">
        <f>IF(ISBLANK(INDEX('Policy Characteristics'!I:I,MATCH($C1340,'Policy Characteristics'!$C:$C,0))),"",INDEX('Policy Characteristics'!I:I,MATCH($C1340,'Policy Characteristics'!$C:$C,0)))</f>
        <v>% of price deregulated</v>
      </c>
      <c r="P1340" s="275" t="str">
        <f>IF(ISBLANK(INDEX('Policy Characteristics'!J:J,MATCH($C1340,'Policy Characteristics'!$C:$C,0))),"",INDEX('Policy Characteristics'!J:J,MATCH($C1340,'Policy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40" s="275" t="str">
        <f>IF(ISBLANK(INDEX('Policy Characteristics'!K:K,MATCH($C1340,'Policy Characteristics'!$C:$C,0))),"",INDEX('Policy Characteristics'!K:K,MATCH($C1340,'Policy Characteristics'!$C:$C,0)))</f>
        <v>fuels.html#fuel-price-deregulation</v>
      </c>
      <c r="R1340" s="275" t="str">
        <f>IF(ISBLANK(INDEX('Policy Characteristics'!L:L,MATCH($C1340,'Policy Characteristics'!$C:$C,0))),"",INDEX('Policy Characteristics'!L:L,MATCH($C1340,'Policy Characteristics'!$C:$C,0)))</f>
        <v/>
      </c>
    </row>
    <row r="1341" spans="1:18" s="4" customFormat="1" x14ac:dyDescent="0.25">
      <c r="A1341" s="275" t="str">
        <f>IF(ISBLANK(INDEX('Policy Characteristics'!A:A,MATCH($C1341,'Policy Characteristics'!$C:$C,0))),"",INDEX('Policy Characteristics'!A:A,MATCH($C1341,'Policy Characteristics'!$C:$C,0)))</f>
        <v>Cross-Sector</v>
      </c>
      <c r="B1341" s="284" t="str">
        <f>IF(ISBLANK(INDEX('Policy Characteristics'!B:B,MATCH($C1341,'Policy Characteristics'!$C:$C,0))),"",INDEX('Policy Characteristics'!B:B,MATCH($C1341,'Policy Characteristics'!$C:$C,0)))</f>
        <v>Fuel Taxes or Subsidies</v>
      </c>
      <c r="C1341" t="s">
        <v>3290</v>
      </c>
      <c r="D1341" s="47" t="s">
        <v>52</v>
      </c>
      <c r="E1341" s="47"/>
      <c r="F1341" s="47" t="s">
        <v>93</v>
      </c>
      <c r="G1341" s="47"/>
      <c r="H1341" s="44">
        <v>78</v>
      </c>
      <c r="I1341" s="346" t="s">
        <v>43</v>
      </c>
      <c r="J1341" s="276" t="str">
        <f>IF(ISBLANK(INDEX('Policy Characteristics'!D:D,MATCH($C1341,'Policy Characteristics'!$C:$C,0))),"",INDEX('Policy Characteristics'!D:D,MATCH($C1341,'Policy Characteristics'!$C:$C,0)))</f>
        <v>Fuel Taxes or Subsidies</v>
      </c>
      <c r="K1341" s="275" t="str">
        <f>IF(ISBLANK(INDEX('Policy Characteristics'!E:E,MATCH($C1341,'Policy Characteristics'!$C:$C,0))),"",INDEX('Policy Characteristics'!E:E,MATCH($C1341,'Policy Characteristics'!$C:$C,0)))</f>
        <v>cross fuel tax</v>
      </c>
      <c r="L1341" s="283">
        <f>IF(ISBLANK(INDEX('Policy Characteristics'!F:F,MATCH($C1341,'Policy Characteristics'!$C:$C,0))),"",INDEX('Policy Characteristics'!F:F,MATCH($C1341,'Policy Characteristics'!$C:$C,0)))</f>
        <v>-0.5</v>
      </c>
      <c r="M1341" s="283">
        <f>IF(ISBLANK(INDEX('Policy Characteristics'!G:G,MATCH($C1341,'Policy Characteristics'!$C:$C,0))),"",INDEX('Policy Characteristics'!G:G,MATCH($C1341,'Policy Characteristics'!$C:$C,0)))</f>
        <v>0.5</v>
      </c>
      <c r="N1341" s="283">
        <f>IF(ISBLANK(INDEX('Policy Characteristics'!H:H,MATCH($C1341,'Policy Characteristics'!$C:$C,0))),"",INDEX('Policy Characteristics'!H:H,MATCH($C1341,'Policy Characteristics'!$C:$C,0)))</f>
        <v>0.01</v>
      </c>
      <c r="O1341" s="275" t="str">
        <f>IF(ISBLANK(INDEX('Policy Characteristics'!I:I,MATCH($C1341,'Policy Characteristics'!$C:$C,0))),"",INDEX('Policy Characteristics'!I:I,MATCH($C1341,'Policy Characteristics'!$C:$C,0)))</f>
        <v>% of BAU price</v>
      </c>
      <c r="P1341" s="275" t="str">
        <f>IF(ISBLANK(INDEX('Policy Characteristics'!J:J,MATCH($C1341,'Policy Characteristics'!$C:$C,0))),"",INDEX('Policy Characteristics'!J:J,MATCH($C1341,'Policy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1" s="275" t="str">
        <f>IF(ISBLANK(INDEX('Policy Characteristics'!K:K,MATCH($C1341,'Policy Characteristics'!$C:$C,0))),"",INDEX('Policy Characteristics'!K:K,MATCH($C1341,'Policy Characteristics'!$C:$C,0)))</f>
        <v>fuels.html#fuel-taxes</v>
      </c>
      <c r="R1341" s="275" t="str">
        <f>IF(ISBLANK(INDEX('Policy Characteristics'!L:L,MATCH($C1341,'Policy Characteristics'!$C:$C,0))),"",INDEX('Policy Characteristics'!L:L,MATCH($C1341,'Policy Characteristics'!$C:$C,0)))</f>
        <v>fuel-taxes.html</v>
      </c>
    </row>
    <row r="1342" spans="1:18" s="4" customFormat="1" x14ac:dyDescent="0.25">
      <c r="A1342" s="275" t="str">
        <f>IF(ISBLANK(INDEX('Policy Characteristics'!A:A,MATCH($C1342,'Policy Characteristics'!$C:$C,0))),"",INDEX('Policy Characteristics'!A:A,MATCH($C1342,'Policy Characteristics'!$C:$C,0)))</f>
        <v>Cross-Sector</v>
      </c>
      <c r="B1342" s="284" t="str">
        <f>IF(ISBLANK(INDEX('Policy Characteristics'!B:B,MATCH($C1342,'Policy Characteristics'!$C:$C,0))),"",INDEX('Policy Characteristics'!B:B,MATCH($C1342,'Policy Characteristics'!$C:$C,0)))</f>
        <v>Fuel Taxes or Subsidies</v>
      </c>
      <c r="C1342" s="342" t="str">
        <f t="shared" ref="C1342:C1354" si="59">C$1341</f>
        <v>Additional Fuel Tax or Subsidy Rate by Fuel</v>
      </c>
      <c r="D1342" s="6" t="s">
        <v>450</v>
      </c>
      <c r="E1342" s="6"/>
      <c r="F1342" s="6" t="s">
        <v>447</v>
      </c>
      <c r="G1342" s="48"/>
      <c r="H1342" s="44">
        <v>79</v>
      </c>
      <c r="I1342" s="347" t="s">
        <v>43</v>
      </c>
      <c r="J1342" s="276" t="str">
        <f>IF(ISBLANK(INDEX('Policy Characteristics'!D:D,MATCH($C1342,'Policy Characteristics'!$C:$C,0))),"",INDEX('Policy Characteristics'!D:D,MATCH($C1342,'Policy Characteristics'!$C:$C,0)))</f>
        <v>Fuel Taxes or Subsidies</v>
      </c>
      <c r="K1342" s="275" t="str">
        <f>IF(ISBLANK(INDEX('Policy Characteristics'!E:E,MATCH($C1342,'Policy Characteristics'!$C:$C,0))),"",INDEX('Policy Characteristics'!E:E,MATCH($C1342,'Policy Characteristics'!$C:$C,0)))</f>
        <v>cross fuel tax</v>
      </c>
      <c r="L1342" s="283">
        <f>IF(ISBLANK(INDEX('Policy Characteristics'!F:F,MATCH($C1342,'Policy Characteristics'!$C:$C,0))),"",INDEX('Policy Characteristics'!F:F,MATCH($C1342,'Policy Characteristics'!$C:$C,0)))</f>
        <v>-0.5</v>
      </c>
      <c r="M1342" s="283">
        <f>IF(ISBLANK(INDEX('Policy Characteristics'!G:G,MATCH($C1342,'Policy Characteristics'!$C:$C,0))),"",INDEX('Policy Characteristics'!G:G,MATCH($C1342,'Policy Characteristics'!$C:$C,0)))</f>
        <v>0.5</v>
      </c>
      <c r="N1342" s="283">
        <f>IF(ISBLANK(INDEX('Policy Characteristics'!H:H,MATCH($C1342,'Policy Characteristics'!$C:$C,0))),"",INDEX('Policy Characteristics'!H:H,MATCH($C1342,'Policy Characteristics'!$C:$C,0)))</f>
        <v>0.01</v>
      </c>
      <c r="O1342" s="275" t="str">
        <f>IF(ISBLANK(INDEX('Policy Characteristics'!I:I,MATCH($C1342,'Policy Characteristics'!$C:$C,0))),"",INDEX('Policy Characteristics'!I:I,MATCH($C1342,'Policy Characteristics'!$C:$C,0)))</f>
        <v>% of BAU price</v>
      </c>
      <c r="P1342" s="275" t="str">
        <f>IF(ISBLANK(INDEX('Policy Characteristics'!J:J,MATCH($C1342,'Policy Characteristics'!$C:$C,0))),"",INDEX('Policy Characteristics'!J:J,MATCH($C1342,'Policy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2" s="275" t="str">
        <f>IF(ISBLANK(INDEX('Policy Characteristics'!K:K,MATCH($C1342,'Policy Characteristics'!$C:$C,0))),"",INDEX('Policy Characteristics'!K:K,MATCH($C1342,'Policy Characteristics'!$C:$C,0)))</f>
        <v>fuels.html#fuel-taxes</v>
      </c>
      <c r="R1342" s="275" t="str">
        <f>IF(ISBLANK(INDEX('Policy Characteristics'!L:L,MATCH($C1342,'Policy Characteristics'!$C:$C,0))),"",INDEX('Policy Characteristics'!L:L,MATCH($C1342,'Policy Characteristics'!$C:$C,0)))</f>
        <v>fuel-taxes.html</v>
      </c>
    </row>
    <row r="1343" spans="1:18" s="4" customFormat="1" x14ac:dyDescent="0.25">
      <c r="A1343" s="275" t="str">
        <f>IF(ISBLANK(INDEX('Policy Characteristics'!A:A,MATCH($C1343,'Policy Characteristics'!$C:$C,0))),"",INDEX('Policy Characteristics'!A:A,MATCH($C1343,'Policy Characteristics'!$C:$C,0)))</f>
        <v>Cross-Sector</v>
      </c>
      <c r="B1343" s="284" t="str">
        <f>IF(ISBLANK(INDEX('Policy Characteristics'!B:B,MATCH($C1343,'Policy Characteristics'!$C:$C,0))),"",INDEX('Policy Characteristics'!B:B,MATCH($C1343,'Policy Characteristics'!$C:$C,0)))</f>
        <v>Fuel Taxes or Subsidies</v>
      </c>
      <c r="C1343" s="342" t="str">
        <f t="shared" si="59"/>
        <v>Additional Fuel Tax or Subsidy Rate by Fuel</v>
      </c>
      <c r="D1343" s="6" t="s">
        <v>46</v>
      </c>
      <c r="E1343" s="6"/>
      <c r="F1343" s="6" t="s">
        <v>87</v>
      </c>
      <c r="G1343" s="48"/>
      <c r="H1343" s="44">
        <v>80</v>
      </c>
      <c r="I1343" s="347" t="s">
        <v>43</v>
      </c>
      <c r="J1343" s="276" t="str">
        <f>IF(ISBLANK(INDEX('Policy Characteristics'!D:D,MATCH($C1343,'Policy Characteristics'!$C:$C,0))),"",INDEX('Policy Characteristics'!D:D,MATCH($C1343,'Policy Characteristics'!$C:$C,0)))</f>
        <v>Fuel Taxes or Subsidies</v>
      </c>
      <c r="K1343" s="275" t="str">
        <f>IF(ISBLANK(INDEX('Policy Characteristics'!E:E,MATCH($C1343,'Policy Characteristics'!$C:$C,0))),"",INDEX('Policy Characteristics'!E:E,MATCH($C1343,'Policy Characteristics'!$C:$C,0)))</f>
        <v>cross fuel tax</v>
      </c>
      <c r="L1343" s="283">
        <f>IF(ISBLANK(INDEX('Policy Characteristics'!F:F,MATCH($C1343,'Policy Characteristics'!$C:$C,0))),"",INDEX('Policy Characteristics'!F:F,MATCH($C1343,'Policy Characteristics'!$C:$C,0)))</f>
        <v>-0.5</v>
      </c>
      <c r="M1343" s="283">
        <f>IF(ISBLANK(INDEX('Policy Characteristics'!G:G,MATCH($C1343,'Policy Characteristics'!$C:$C,0))),"",INDEX('Policy Characteristics'!G:G,MATCH($C1343,'Policy Characteristics'!$C:$C,0)))</f>
        <v>0.5</v>
      </c>
      <c r="N1343" s="283">
        <f>IF(ISBLANK(INDEX('Policy Characteristics'!H:H,MATCH($C1343,'Policy Characteristics'!$C:$C,0))),"",INDEX('Policy Characteristics'!H:H,MATCH($C1343,'Policy Characteristics'!$C:$C,0)))</f>
        <v>0.01</v>
      </c>
      <c r="O1343" s="275" t="str">
        <f>IF(ISBLANK(INDEX('Policy Characteristics'!I:I,MATCH($C1343,'Policy Characteristics'!$C:$C,0))),"",INDEX('Policy Characteristics'!I:I,MATCH($C1343,'Policy Characteristics'!$C:$C,0)))</f>
        <v>% of BAU price</v>
      </c>
      <c r="P1343" s="275" t="str">
        <f>IF(ISBLANK(INDEX('Policy Characteristics'!J:J,MATCH($C1343,'Policy Characteristics'!$C:$C,0))),"",INDEX('Policy Characteristics'!J:J,MATCH($C1343,'Policy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3" s="275" t="str">
        <f>IF(ISBLANK(INDEX('Policy Characteristics'!K:K,MATCH($C1343,'Policy Characteristics'!$C:$C,0))),"",INDEX('Policy Characteristics'!K:K,MATCH($C1343,'Policy Characteristics'!$C:$C,0)))</f>
        <v>fuels.html#fuel-taxes</v>
      </c>
      <c r="R1343" s="275" t="str">
        <f>IF(ISBLANK(INDEX('Policy Characteristics'!L:L,MATCH($C1343,'Policy Characteristics'!$C:$C,0))),"",INDEX('Policy Characteristics'!L:L,MATCH($C1343,'Policy Characteristics'!$C:$C,0)))</f>
        <v>fuel-taxes.html</v>
      </c>
    </row>
    <row r="1344" spans="1:18" s="4" customFormat="1" x14ac:dyDescent="0.25">
      <c r="A1344" s="275" t="str">
        <f>IF(ISBLANK(INDEX('Policy Characteristics'!A:A,MATCH($C1344,'Policy Characteristics'!$C:$C,0))),"",INDEX('Policy Characteristics'!A:A,MATCH($C1344,'Policy Characteristics'!$C:$C,0)))</f>
        <v>Cross-Sector</v>
      </c>
      <c r="B1344" s="284" t="str">
        <f>IF(ISBLANK(INDEX('Policy Characteristics'!B:B,MATCH($C1344,'Policy Characteristics'!$C:$C,0))),"",INDEX('Policy Characteristics'!B:B,MATCH($C1344,'Policy Characteristics'!$C:$C,0)))</f>
        <v>Fuel Taxes or Subsidies</v>
      </c>
      <c r="C1344" s="342" t="str">
        <f t="shared" si="59"/>
        <v>Additional Fuel Tax or Subsidy Rate by Fuel</v>
      </c>
      <c r="D1344" s="6" t="s">
        <v>47</v>
      </c>
      <c r="E1344" s="6"/>
      <c r="F1344" s="6" t="s">
        <v>88</v>
      </c>
      <c r="G1344" s="48"/>
      <c r="H1344" s="44">
        <v>738</v>
      </c>
      <c r="I1344" s="347" t="s">
        <v>44</v>
      </c>
      <c r="J1344" s="276" t="str">
        <f>IF(ISBLANK(INDEX('Policy Characteristics'!D:D,MATCH($C1344,'Policy Characteristics'!$C:$C,0))),"",INDEX('Policy Characteristics'!D:D,MATCH($C1344,'Policy Characteristics'!$C:$C,0)))</f>
        <v>Fuel Taxes or Subsidies</v>
      </c>
      <c r="K1344" s="275" t="str">
        <f>IF(ISBLANK(INDEX('Policy Characteristics'!E:E,MATCH($C1344,'Policy Characteristics'!$C:$C,0))),"",INDEX('Policy Characteristics'!E:E,MATCH($C1344,'Policy Characteristics'!$C:$C,0)))</f>
        <v>cross fuel tax</v>
      </c>
      <c r="L1344" s="283">
        <f>IF(ISBLANK(INDEX('Policy Characteristics'!F:F,MATCH($C1344,'Policy Characteristics'!$C:$C,0))),"",INDEX('Policy Characteristics'!F:F,MATCH($C1344,'Policy Characteristics'!$C:$C,0)))</f>
        <v>-0.5</v>
      </c>
      <c r="M1344" s="283">
        <f>IF(ISBLANK(INDEX('Policy Characteristics'!G:G,MATCH($C1344,'Policy Characteristics'!$C:$C,0))),"",INDEX('Policy Characteristics'!G:G,MATCH($C1344,'Policy Characteristics'!$C:$C,0)))</f>
        <v>0.5</v>
      </c>
      <c r="N1344" s="283">
        <f>IF(ISBLANK(INDEX('Policy Characteristics'!H:H,MATCH($C1344,'Policy Characteristics'!$C:$C,0))),"",INDEX('Policy Characteristics'!H:H,MATCH($C1344,'Policy Characteristics'!$C:$C,0)))</f>
        <v>0.01</v>
      </c>
      <c r="O1344" s="275" t="str">
        <f>IF(ISBLANK(INDEX('Policy Characteristics'!I:I,MATCH($C1344,'Policy Characteristics'!$C:$C,0))),"",INDEX('Policy Characteristics'!I:I,MATCH($C1344,'Policy Characteristics'!$C:$C,0)))</f>
        <v>% of BAU price</v>
      </c>
      <c r="P1344" s="275" t="str">
        <f>IF(ISBLANK(INDEX('Policy Characteristics'!J:J,MATCH($C1344,'Policy Characteristics'!$C:$C,0))),"",INDEX('Policy Characteristics'!J:J,MATCH($C1344,'Policy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4" s="275" t="str">
        <f>IF(ISBLANK(INDEX('Policy Characteristics'!K:K,MATCH($C1344,'Policy Characteristics'!$C:$C,0))),"",INDEX('Policy Characteristics'!K:K,MATCH($C1344,'Policy Characteristics'!$C:$C,0)))</f>
        <v>fuels.html#fuel-taxes</v>
      </c>
      <c r="R1344" s="275" t="str">
        <f>IF(ISBLANK(INDEX('Policy Characteristics'!L:L,MATCH($C1344,'Policy Characteristics'!$C:$C,0))),"",INDEX('Policy Characteristics'!L:L,MATCH($C1344,'Policy Characteristics'!$C:$C,0)))</f>
        <v>fuel-taxes.html</v>
      </c>
    </row>
    <row r="1345" spans="1:18" s="4" customFormat="1" x14ac:dyDescent="0.25">
      <c r="A1345" s="275" t="str">
        <f>IF(ISBLANK(INDEX('Policy Characteristics'!A:A,MATCH($C1345,'Policy Characteristics'!$C:$C,0))),"",INDEX('Policy Characteristics'!A:A,MATCH($C1345,'Policy Characteristics'!$C:$C,0)))</f>
        <v>Cross-Sector</v>
      </c>
      <c r="B1345" s="284" t="str">
        <f>IF(ISBLANK(INDEX('Policy Characteristics'!B:B,MATCH($C1345,'Policy Characteristics'!$C:$C,0))),"",INDEX('Policy Characteristics'!B:B,MATCH($C1345,'Policy Characteristics'!$C:$C,0)))</f>
        <v>Fuel Taxes or Subsidies</v>
      </c>
      <c r="C1345" s="342" t="str">
        <f t="shared" si="59"/>
        <v>Additional Fuel Tax or Subsidy Rate by Fuel</v>
      </c>
      <c r="D1345" s="6" t="s">
        <v>51</v>
      </c>
      <c r="E1345" s="6"/>
      <c r="F1345" s="6" t="s">
        <v>92</v>
      </c>
      <c r="G1345" s="48"/>
      <c r="H1345" s="44">
        <v>739</v>
      </c>
      <c r="I1345" s="347" t="s">
        <v>44</v>
      </c>
      <c r="J1345" s="276" t="str">
        <f>IF(ISBLANK(INDEX('Policy Characteristics'!D:D,MATCH($C1345,'Policy Characteristics'!$C:$C,0))),"",INDEX('Policy Characteristics'!D:D,MATCH($C1345,'Policy Characteristics'!$C:$C,0)))</f>
        <v>Fuel Taxes or Subsidies</v>
      </c>
      <c r="K1345" s="275" t="str">
        <f>IF(ISBLANK(INDEX('Policy Characteristics'!E:E,MATCH($C1345,'Policy Characteristics'!$C:$C,0))),"",INDEX('Policy Characteristics'!E:E,MATCH($C1345,'Policy Characteristics'!$C:$C,0)))</f>
        <v>cross fuel tax</v>
      </c>
      <c r="L1345" s="283">
        <f>IF(ISBLANK(INDEX('Policy Characteristics'!F:F,MATCH($C1345,'Policy Characteristics'!$C:$C,0))),"",INDEX('Policy Characteristics'!F:F,MATCH($C1345,'Policy Characteristics'!$C:$C,0)))</f>
        <v>-0.5</v>
      </c>
      <c r="M1345" s="283">
        <f>IF(ISBLANK(INDEX('Policy Characteristics'!G:G,MATCH($C1345,'Policy Characteristics'!$C:$C,0))),"",INDEX('Policy Characteristics'!G:G,MATCH($C1345,'Policy Characteristics'!$C:$C,0)))</f>
        <v>0.5</v>
      </c>
      <c r="N1345" s="283">
        <f>IF(ISBLANK(INDEX('Policy Characteristics'!H:H,MATCH($C1345,'Policy Characteristics'!$C:$C,0))),"",INDEX('Policy Characteristics'!H:H,MATCH($C1345,'Policy Characteristics'!$C:$C,0)))</f>
        <v>0.01</v>
      </c>
      <c r="O1345" s="275" t="str">
        <f>IF(ISBLANK(INDEX('Policy Characteristics'!I:I,MATCH($C1345,'Policy Characteristics'!$C:$C,0))),"",INDEX('Policy Characteristics'!I:I,MATCH($C1345,'Policy Characteristics'!$C:$C,0)))</f>
        <v>% of BAU price</v>
      </c>
      <c r="P1345" s="275" t="str">
        <f>IF(ISBLANK(INDEX('Policy Characteristics'!J:J,MATCH($C1345,'Policy Characteristics'!$C:$C,0))),"",INDEX('Policy Characteristics'!J:J,MATCH($C1345,'Policy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5" s="275" t="str">
        <f>IF(ISBLANK(INDEX('Policy Characteristics'!K:K,MATCH($C1345,'Policy Characteristics'!$C:$C,0))),"",INDEX('Policy Characteristics'!K:K,MATCH($C1345,'Policy Characteristics'!$C:$C,0)))</f>
        <v>fuels.html#fuel-taxes</v>
      </c>
      <c r="R1345" s="275" t="str">
        <f>IF(ISBLANK(INDEX('Policy Characteristics'!L:L,MATCH($C1345,'Policy Characteristics'!$C:$C,0))),"",INDEX('Policy Characteristics'!L:L,MATCH($C1345,'Policy Characteristics'!$C:$C,0)))</f>
        <v>fuel-taxes.html</v>
      </c>
    </row>
    <row r="1346" spans="1:18" s="4" customFormat="1" x14ac:dyDescent="0.25">
      <c r="A1346" s="275" t="str">
        <f>IF(ISBLANK(INDEX('Policy Characteristics'!A:A,MATCH($C1346,'Policy Characteristics'!$C:$C,0))),"",INDEX('Policy Characteristics'!A:A,MATCH($C1346,'Policy Characteristics'!$C:$C,0)))</f>
        <v>Cross-Sector</v>
      </c>
      <c r="B1346" s="284" t="str">
        <f>IF(ISBLANK(INDEX('Policy Characteristics'!B:B,MATCH($C1346,'Policy Characteristics'!$C:$C,0))),"",INDEX('Policy Characteristics'!B:B,MATCH($C1346,'Policy Characteristics'!$C:$C,0)))</f>
        <v>Fuel Taxes or Subsidies</v>
      </c>
      <c r="C1346" s="342" t="str">
        <f t="shared" si="59"/>
        <v>Additional Fuel Tax or Subsidy Rate by Fuel</v>
      </c>
      <c r="D1346" s="6" t="s">
        <v>53</v>
      </c>
      <c r="E1346" s="6"/>
      <c r="F1346" s="6" t="s">
        <v>95</v>
      </c>
      <c r="G1346" s="48"/>
      <c r="H1346" s="44">
        <v>81</v>
      </c>
      <c r="I1346" s="347" t="s">
        <v>43</v>
      </c>
      <c r="J1346" s="276" t="str">
        <f>IF(ISBLANK(INDEX('Policy Characteristics'!D:D,MATCH($C1346,'Policy Characteristics'!$C:$C,0))),"",INDEX('Policy Characteristics'!D:D,MATCH($C1346,'Policy Characteristics'!$C:$C,0)))</f>
        <v>Fuel Taxes or Subsidies</v>
      </c>
      <c r="K1346" s="275" t="str">
        <f>IF(ISBLANK(INDEX('Policy Characteristics'!E:E,MATCH($C1346,'Policy Characteristics'!$C:$C,0))),"",INDEX('Policy Characteristics'!E:E,MATCH($C1346,'Policy Characteristics'!$C:$C,0)))</f>
        <v>cross fuel tax</v>
      </c>
      <c r="L1346" s="283">
        <f>IF(ISBLANK(INDEX('Policy Characteristics'!F:F,MATCH($C1346,'Policy Characteristics'!$C:$C,0))),"",INDEX('Policy Characteristics'!F:F,MATCH($C1346,'Policy Characteristics'!$C:$C,0)))</f>
        <v>-0.5</v>
      </c>
      <c r="M1346" s="283">
        <f>IF(ISBLANK(INDEX('Policy Characteristics'!G:G,MATCH($C1346,'Policy Characteristics'!$C:$C,0))),"",INDEX('Policy Characteristics'!G:G,MATCH($C1346,'Policy Characteristics'!$C:$C,0)))</f>
        <v>0.5</v>
      </c>
      <c r="N1346" s="283">
        <f>IF(ISBLANK(INDEX('Policy Characteristics'!H:H,MATCH($C1346,'Policy Characteristics'!$C:$C,0))),"",INDEX('Policy Characteristics'!H:H,MATCH($C1346,'Policy Characteristics'!$C:$C,0)))</f>
        <v>0.01</v>
      </c>
      <c r="O1346" s="275" t="str">
        <f>IF(ISBLANK(INDEX('Policy Characteristics'!I:I,MATCH($C1346,'Policy Characteristics'!$C:$C,0))),"",INDEX('Policy Characteristics'!I:I,MATCH($C1346,'Policy Characteristics'!$C:$C,0)))</f>
        <v>% of BAU price</v>
      </c>
      <c r="P1346" s="275" t="str">
        <f>IF(ISBLANK(INDEX('Policy Characteristics'!J:J,MATCH($C1346,'Policy Characteristics'!$C:$C,0))),"",INDEX('Policy Characteristics'!J:J,MATCH($C1346,'Policy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6" s="275" t="str">
        <f>IF(ISBLANK(INDEX('Policy Characteristics'!K:K,MATCH($C1346,'Policy Characteristics'!$C:$C,0))),"",INDEX('Policy Characteristics'!K:K,MATCH($C1346,'Policy Characteristics'!$C:$C,0)))</f>
        <v>fuels.html#fuel-taxes</v>
      </c>
      <c r="R1346" s="275" t="str">
        <f>IF(ISBLANK(INDEX('Policy Characteristics'!L:L,MATCH($C1346,'Policy Characteristics'!$C:$C,0))),"",INDEX('Policy Characteristics'!L:L,MATCH($C1346,'Policy Characteristics'!$C:$C,0)))</f>
        <v>fuel-taxes.html</v>
      </c>
    </row>
    <row r="1347" spans="1:18" s="4" customFormat="1" x14ac:dyDescent="0.25">
      <c r="A1347" s="275" t="str">
        <f>IF(ISBLANK(INDEX('Policy Characteristics'!A:A,MATCH($C1347,'Policy Characteristics'!$C:$C,0))),"",INDEX('Policy Characteristics'!A:A,MATCH($C1347,'Policy Characteristics'!$C:$C,0)))</f>
        <v>Cross-Sector</v>
      </c>
      <c r="B1347" s="284" t="str">
        <f>IF(ISBLANK(INDEX('Policy Characteristics'!B:B,MATCH($C1347,'Policy Characteristics'!$C:$C,0))),"",INDEX('Policy Characteristics'!B:B,MATCH($C1347,'Policy Characteristics'!$C:$C,0)))</f>
        <v>Fuel Taxes or Subsidies</v>
      </c>
      <c r="C1347" s="342" t="str">
        <f t="shared" si="59"/>
        <v>Additional Fuel Tax or Subsidy Rate by Fuel</v>
      </c>
      <c r="D1347" s="6" t="s">
        <v>54</v>
      </c>
      <c r="E1347" s="6"/>
      <c r="F1347" s="6" t="s">
        <v>96</v>
      </c>
      <c r="G1347" s="48"/>
      <c r="H1347" s="44">
        <v>82</v>
      </c>
      <c r="I1347" s="347" t="s">
        <v>43</v>
      </c>
      <c r="J1347" s="276" t="str">
        <f>IF(ISBLANK(INDEX('Policy Characteristics'!D:D,MATCH($C1347,'Policy Characteristics'!$C:$C,0))),"",INDEX('Policy Characteristics'!D:D,MATCH($C1347,'Policy Characteristics'!$C:$C,0)))</f>
        <v>Fuel Taxes or Subsidies</v>
      </c>
      <c r="K1347" s="275" t="str">
        <f>IF(ISBLANK(INDEX('Policy Characteristics'!E:E,MATCH($C1347,'Policy Characteristics'!$C:$C,0))),"",INDEX('Policy Characteristics'!E:E,MATCH($C1347,'Policy Characteristics'!$C:$C,0)))</f>
        <v>cross fuel tax</v>
      </c>
      <c r="L1347" s="283">
        <f>IF(ISBLANK(INDEX('Policy Characteristics'!F:F,MATCH($C1347,'Policy Characteristics'!$C:$C,0))),"",INDEX('Policy Characteristics'!F:F,MATCH($C1347,'Policy Characteristics'!$C:$C,0)))</f>
        <v>-0.5</v>
      </c>
      <c r="M1347" s="283">
        <f>IF(ISBLANK(INDEX('Policy Characteristics'!G:G,MATCH($C1347,'Policy Characteristics'!$C:$C,0))),"",INDEX('Policy Characteristics'!G:G,MATCH($C1347,'Policy Characteristics'!$C:$C,0)))</f>
        <v>0.5</v>
      </c>
      <c r="N1347" s="283">
        <f>IF(ISBLANK(INDEX('Policy Characteristics'!H:H,MATCH($C1347,'Policy Characteristics'!$C:$C,0))),"",INDEX('Policy Characteristics'!H:H,MATCH($C1347,'Policy Characteristics'!$C:$C,0)))</f>
        <v>0.01</v>
      </c>
      <c r="O1347" s="275" t="str">
        <f>IF(ISBLANK(INDEX('Policy Characteristics'!I:I,MATCH($C1347,'Policy Characteristics'!$C:$C,0))),"",INDEX('Policy Characteristics'!I:I,MATCH($C1347,'Policy Characteristics'!$C:$C,0)))</f>
        <v>% of BAU price</v>
      </c>
      <c r="P1347" s="275" t="str">
        <f>IF(ISBLANK(INDEX('Policy Characteristics'!J:J,MATCH($C1347,'Policy Characteristics'!$C:$C,0))),"",INDEX('Policy Characteristics'!J:J,MATCH($C1347,'Policy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7" s="275" t="str">
        <f>IF(ISBLANK(INDEX('Policy Characteristics'!K:K,MATCH($C1347,'Policy Characteristics'!$C:$C,0))),"",INDEX('Policy Characteristics'!K:K,MATCH($C1347,'Policy Characteristics'!$C:$C,0)))</f>
        <v>fuels.html#fuel-taxes</v>
      </c>
      <c r="R1347" s="275" t="str">
        <f>IF(ISBLANK(INDEX('Policy Characteristics'!L:L,MATCH($C1347,'Policy Characteristics'!$C:$C,0))),"",INDEX('Policy Characteristics'!L:L,MATCH($C1347,'Policy Characteristics'!$C:$C,0)))</f>
        <v>fuel-taxes.html</v>
      </c>
    </row>
    <row r="1348" spans="1:18" s="4" customFormat="1" x14ac:dyDescent="0.25">
      <c r="A1348" s="275" t="str">
        <f>IF(ISBLANK(INDEX('Policy Characteristics'!A:A,MATCH($C1348,'Policy Characteristics'!$C:$C,0))),"",INDEX('Policy Characteristics'!A:A,MATCH($C1348,'Policy Characteristics'!$C:$C,0)))</f>
        <v>Cross-Sector</v>
      </c>
      <c r="B1348" s="284" t="str">
        <f>IF(ISBLANK(INDEX('Policy Characteristics'!B:B,MATCH($C1348,'Policy Characteristics'!$C:$C,0))),"",INDEX('Policy Characteristics'!B:B,MATCH($C1348,'Policy Characteristics'!$C:$C,0)))</f>
        <v>Fuel Taxes or Subsidies</v>
      </c>
      <c r="C1348" s="342" t="str">
        <f t="shared" si="59"/>
        <v>Additional Fuel Tax or Subsidy Rate by Fuel</v>
      </c>
      <c r="D1348" s="6" t="s">
        <v>55</v>
      </c>
      <c r="E1348" s="6"/>
      <c r="F1348" s="6" t="s">
        <v>97</v>
      </c>
      <c r="G1348" s="48"/>
      <c r="H1348" s="44">
        <v>740</v>
      </c>
      <c r="I1348" s="347" t="s">
        <v>44</v>
      </c>
      <c r="J1348" s="276" t="str">
        <f>IF(ISBLANK(INDEX('Policy Characteristics'!D:D,MATCH($C1348,'Policy Characteristics'!$C:$C,0))),"",INDEX('Policy Characteristics'!D:D,MATCH($C1348,'Policy Characteristics'!$C:$C,0)))</f>
        <v>Fuel Taxes or Subsidies</v>
      </c>
      <c r="K1348" s="275" t="str">
        <f>IF(ISBLANK(INDEX('Policy Characteristics'!E:E,MATCH($C1348,'Policy Characteristics'!$C:$C,0))),"",INDEX('Policy Characteristics'!E:E,MATCH($C1348,'Policy Characteristics'!$C:$C,0)))</f>
        <v>cross fuel tax</v>
      </c>
      <c r="L1348" s="283">
        <f>IF(ISBLANK(INDEX('Policy Characteristics'!F:F,MATCH($C1348,'Policy Characteristics'!$C:$C,0))),"",INDEX('Policy Characteristics'!F:F,MATCH($C1348,'Policy Characteristics'!$C:$C,0)))</f>
        <v>-0.5</v>
      </c>
      <c r="M1348" s="283">
        <f>IF(ISBLANK(INDEX('Policy Characteristics'!G:G,MATCH($C1348,'Policy Characteristics'!$C:$C,0))),"",INDEX('Policy Characteristics'!G:G,MATCH($C1348,'Policy Characteristics'!$C:$C,0)))</f>
        <v>0.5</v>
      </c>
      <c r="N1348" s="283">
        <f>IF(ISBLANK(INDEX('Policy Characteristics'!H:H,MATCH($C1348,'Policy Characteristics'!$C:$C,0))),"",INDEX('Policy Characteristics'!H:H,MATCH($C1348,'Policy Characteristics'!$C:$C,0)))</f>
        <v>0.01</v>
      </c>
      <c r="O1348" s="275" t="str">
        <f>IF(ISBLANK(INDEX('Policy Characteristics'!I:I,MATCH($C1348,'Policy Characteristics'!$C:$C,0))),"",INDEX('Policy Characteristics'!I:I,MATCH($C1348,'Policy Characteristics'!$C:$C,0)))</f>
        <v>% of BAU price</v>
      </c>
      <c r="P1348" s="275" t="str">
        <f>IF(ISBLANK(INDEX('Policy Characteristics'!J:J,MATCH($C1348,'Policy Characteristics'!$C:$C,0))),"",INDEX('Policy Characteristics'!J:J,MATCH($C1348,'Policy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8" s="275" t="str">
        <f>IF(ISBLANK(INDEX('Policy Characteristics'!K:K,MATCH($C1348,'Policy Characteristics'!$C:$C,0))),"",INDEX('Policy Characteristics'!K:K,MATCH($C1348,'Policy Characteristics'!$C:$C,0)))</f>
        <v>fuels.html#fuel-taxes</v>
      </c>
      <c r="R1348" s="275" t="str">
        <f>IF(ISBLANK(INDEX('Policy Characteristics'!L:L,MATCH($C1348,'Policy Characteristics'!$C:$C,0))),"",INDEX('Policy Characteristics'!L:L,MATCH($C1348,'Policy Characteristics'!$C:$C,0)))</f>
        <v>fuel-taxes.html</v>
      </c>
    </row>
    <row r="1349" spans="1:18" s="4" customFormat="1" x14ac:dyDescent="0.25">
      <c r="A1349" s="275" t="str">
        <f>IF(ISBLANK(INDEX('Policy Characteristics'!A:A,MATCH($C1349,'Policy Characteristics'!$C:$C,0))),"",INDEX('Policy Characteristics'!A:A,MATCH($C1349,'Policy Characteristics'!$C:$C,0)))</f>
        <v>Cross-Sector</v>
      </c>
      <c r="B1349" s="284" t="str">
        <f>IF(ISBLANK(INDEX('Policy Characteristics'!B:B,MATCH($C1349,'Policy Characteristics'!$C:$C,0))),"",INDEX('Policy Characteristics'!B:B,MATCH($C1349,'Policy Characteristics'!$C:$C,0)))</f>
        <v>Fuel Taxes or Subsidies</v>
      </c>
      <c r="C1349" s="342" t="str">
        <f t="shared" si="59"/>
        <v>Additional Fuel Tax or Subsidy Rate by Fuel</v>
      </c>
      <c r="D1349" s="6" t="s">
        <v>56</v>
      </c>
      <c r="E1349" s="6"/>
      <c r="F1349" s="6" t="s">
        <v>98</v>
      </c>
      <c r="G1349" s="48"/>
      <c r="H1349" s="44">
        <v>741</v>
      </c>
      <c r="I1349" s="347" t="s">
        <v>44</v>
      </c>
      <c r="J1349" s="276" t="str">
        <f>IF(ISBLANK(INDEX('Policy Characteristics'!D:D,MATCH($C1349,'Policy Characteristics'!$C:$C,0))),"",INDEX('Policy Characteristics'!D:D,MATCH($C1349,'Policy Characteristics'!$C:$C,0)))</f>
        <v>Fuel Taxes or Subsidies</v>
      </c>
      <c r="K1349" s="275" t="str">
        <f>IF(ISBLANK(INDEX('Policy Characteristics'!E:E,MATCH($C1349,'Policy Characteristics'!$C:$C,0))),"",INDEX('Policy Characteristics'!E:E,MATCH($C1349,'Policy Characteristics'!$C:$C,0)))</f>
        <v>cross fuel tax</v>
      </c>
      <c r="L1349" s="283">
        <f>IF(ISBLANK(INDEX('Policy Characteristics'!F:F,MATCH($C1349,'Policy Characteristics'!$C:$C,0))),"",INDEX('Policy Characteristics'!F:F,MATCH($C1349,'Policy Characteristics'!$C:$C,0)))</f>
        <v>-0.5</v>
      </c>
      <c r="M1349" s="283">
        <f>IF(ISBLANK(INDEX('Policy Characteristics'!G:G,MATCH($C1349,'Policy Characteristics'!$C:$C,0))),"",INDEX('Policy Characteristics'!G:G,MATCH($C1349,'Policy Characteristics'!$C:$C,0)))</f>
        <v>0.5</v>
      </c>
      <c r="N1349" s="283">
        <f>IF(ISBLANK(INDEX('Policy Characteristics'!H:H,MATCH($C1349,'Policy Characteristics'!$C:$C,0))),"",INDEX('Policy Characteristics'!H:H,MATCH($C1349,'Policy Characteristics'!$C:$C,0)))</f>
        <v>0.01</v>
      </c>
      <c r="O1349" s="275" t="str">
        <f>IF(ISBLANK(INDEX('Policy Characteristics'!I:I,MATCH($C1349,'Policy Characteristics'!$C:$C,0))),"",INDEX('Policy Characteristics'!I:I,MATCH($C1349,'Policy Characteristics'!$C:$C,0)))</f>
        <v>% of BAU price</v>
      </c>
      <c r="P1349" s="275" t="str">
        <f>IF(ISBLANK(INDEX('Policy Characteristics'!J:J,MATCH($C1349,'Policy Characteristics'!$C:$C,0))),"",INDEX('Policy Characteristics'!J:J,MATCH($C1349,'Policy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9" s="275" t="str">
        <f>IF(ISBLANK(INDEX('Policy Characteristics'!K:K,MATCH($C1349,'Policy Characteristics'!$C:$C,0))),"",INDEX('Policy Characteristics'!K:K,MATCH($C1349,'Policy Characteristics'!$C:$C,0)))</f>
        <v>fuels.html#fuel-taxes</v>
      </c>
      <c r="R1349" s="275" t="str">
        <f>IF(ISBLANK(INDEX('Policy Characteristics'!L:L,MATCH($C1349,'Policy Characteristics'!$C:$C,0))),"",INDEX('Policy Characteristics'!L:L,MATCH($C1349,'Policy Characteristics'!$C:$C,0)))</f>
        <v>fuel-taxes.html</v>
      </c>
    </row>
    <row r="1350" spans="1:18" x14ac:dyDescent="0.25">
      <c r="A1350" s="275" t="str">
        <f>IF(ISBLANK(INDEX('Policy Characteristics'!A:A,MATCH($C1350,'Policy Characteristics'!$C:$C,0))),"",INDEX('Policy Characteristics'!A:A,MATCH($C1350,'Policy Characteristics'!$C:$C,0)))</f>
        <v>Cross-Sector</v>
      </c>
      <c r="B1350" s="284" t="str">
        <f>IF(ISBLANK(INDEX('Policy Characteristics'!B:B,MATCH($C1350,'Policy Characteristics'!$C:$C,0))),"",INDEX('Policy Characteristics'!B:B,MATCH($C1350,'Policy Characteristics'!$C:$C,0)))</f>
        <v>Fuel Taxes or Subsidies</v>
      </c>
      <c r="C1350" s="342" t="str">
        <f t="shared" si="59"/>
        <v>Additional Fuel Tax or Subsidy Rate by Fuel</v>
      </c>
      <c r="D1350" s="6" t="s">
        <v>2475</v>
      </c>
      <c r="E1350" s="6"/>
      <c r="F1350" s="6" t="s">
        <v>2476</v>
      </c>
      <c r="G1350" s="48"/>
      <c r="H1350" s="44">
        <v>742</v>
      </c>
      <c r="I1350" s="347" t="s">
        <v>44</v>
      </c>
      <c r="J1350" s="276" t="str">
        <f>IF(ISBLANK(INDEX('Policy Characteristics'!D:D,MATCH($C1350,'Policy Characteristics'!$C:$C,0))),"",INDEX('Policy Characteristics'!D:D,MATCH($C1350,'Policy Characteristics'!$C:$C,0)))</f>
        <v>Fuel Taxes or Subsidies</v>
      </c>
      <c r="K1350" s="275" t="str">
        <f>IF(ISBLANK(INDEX('Policy Characteristics'!E:E,MATCH($C1350,'Policy Characteristics'!$C:$C,0))),"",INDEX('Policy Characteristics'!E:E,MATCH($C1350,'Policy Characteristics'!$C:$C,0)))</f>
        <v>cross fuel tax</v>
      </c>
      <c r="L1350" s="283">
        <f>IF(ISBLANK(INDEX('Policy Characteristics'!F:F,MATCH($C1350,'Policy Characteristics'!$C:$C,0))),"",INDEX('Policy Characteristics'!F:F,MATCH($C1350,'Policy Characteristics'!$C:$C,0)))</f>
        <v>-0.5</v>
      </c>
      <c r="M1350" s="283">
        <f>IF(ISBLANK(INDEX('Policy Characteristics'!G:G,MATCH($C1350,'Policy Characteristics'!$C:$C,0))),"",INDEX('Policy Characteristics'!G:G,MATCH($C1350,'Policy Characteristics'!$C:$C,0)))</f>
        <v>0.5</v>
      </c>
      <c r="N1350" s="283">
        <f>IF(ISBLANK(INDEX('Policy Characteristics'!H:H,MATCH($C1350,'Policy Characteristics'!$C:$C,0))),"",INDEX('Policy Characteristics'!H:H,MATCH($C1350,'Policy Characteristics'!$C:$C,0)))</f>
        <v>0.01</v>
      </c>
      <c r="O1350" s="275" t="str">
        <f>IF(ISBLANK(INDEX('Policy Characteristics'!I:I,MATCH($C1350,'Policy Characteristics'!$C:$C,0))),"",INDEX('Policy Characteristics'!I:I,MATCH($C1350,'Policy Characteristics'!$C:$C,0)))</f>
        <v>% of BAU price</v>
      </c>
      <c r="P1350" s="275" t="str">
        <f>IF(ISBLANK(INDEX('Policy Characteristics'!J:J,MATCH($C1350,'Policy Characteristics'!$C:$C,0))),"",INDEX('Policy Characteristics'!J:J,MATCH($C1350,'Policy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0" s="275" t="str">
        <f>IF(ISBLANK(INDEX('Policy Characteristics'!K:K,MATCH($C1350,'Policy Characteristics'!$C:$C,0))),"",INDEX('Policy Characteristics'!K:K,MATCH($C1350,'Policy Characteristics'!$C:$C,0)))</f>
        <v>fuels.html#fuel-taxes</v>
      </c>
      <c r="R1350" s="275" t="str">
        <f>IF(ISBLANK(INDEX('Policy Characteristics'!L:L,MATCH($C1350,'Policy Characteristics'!$C:$C,0))),"",INDEX('Policy Characteristics'!L:L,MATCH($C1350,'Policy Characteristics'!$C:$C,0)))</f>
        <v>fuel-taxes.html</v>
      </c>
    </row>
    <row r="1351" spans="1:18" x14ac:dyDescent="0.25">
      <c r="A1351" s="275" t="str">
        <f>IF(ISBLANK(INDEX('Policy Characteristics'!A:A,MATCH($C1351,'Policy Characteristics'!$C:$C,0))),"",INDEX('Policy Characteristics'!A:A,MATCH($C1351,'Policy Characteristics'!$C:$C,0)))</f>
        <v>Cross-Sector</v>
      </c>
      <c r="B1351" s="284" t="str">
        <f>IF(ISBLANK(INDEX('Policy Characteristics'!B:B,MATCH($C1351,'Policy Characteristics'!$C:$C,0))),"",INDEX('Policy Characteristics'!B:B,MATCH($C1351,'Policy Characteristics'!$C:$C,0)))</f>
        <v>Fuel Taxes or Subsidies</v>
      </c>
      <c r="C1351" s="342" t="str">
        <f t="shared" si="59"/>
        <v>Additional Fuel Tax or Subsidy Rate by Fuel</v>
      </c>
      <c r="D1351" s="6" t="s">
        <v>75</v>
      </c>
      <c r="E1351" s="6"/>
      <c r="F1351" s="6" t="s">
        <v>99</v>
      </c>
      <c r="G1351" s="48"/>
      <c r="H1351" s="44">
        <v>743</v>
      </c>
      <c r="I1351" s="347" t="s">
        <v>44</v>
      </c>
      <c r="J1351" s="276" t="str">
        <f>IF(ISBLANK(INDEX('Policy Characteristics'!D:D,MATCH($C1351,'Policy Characteristics'!$C:$C,0))),"",INDEX('Policy Characteristics'!D:D,MATCH($C1351,'Policy Characteristics'!$C:$C,0)))</f>
        <v>Fuel Taxes or Subsidies</v>
      </c>
      <c r="K1351" s="275" t="str">
        <f>IF(ISBLANK(INDEX('Policy Characteristics'!E:E,MATCH($C1351,'Policy Characteristics'!$C:$C,0))),"",INDEX('Policy Characteristics'!E:E,MATCH($C1351,'Policy Characteristics'!$C:$C,0)))</f>
        <v>cross fuel tax</v>
      </c>
      <c r="L1351" s="283">
        <f>IF(ISBLANK(INDEX('Policy Characteristics'!F:F,MATCH($C1351,'Policy Characteristics'!$C:$C,0))),"",INDEX('Policy Characteristics'!F:F,MATCH($C1351,'Policy Characteristics'!$C:$C,0)))</f>
        <v>-0.5</v>
      </c>
      <c r="M1351" s="283">
        <f>IF(ISBLANK(INDEX('Policy Characteristics'!G:G,MATCH($C1351,'Policy Characteristics'!$C:$C,0))),"",INDEX('Policy Characteristics'!G:G,MATCH($C1351,'Policy Characteristics'!$C:$C,0)))</f>
        <v>0.5</v>
      </c>
      <c r="N1351" s="283">
        <f>IF(ISBLANK(INDEX('Policy Characteristics'!H:H,MATCH($C1351,'Policy Characteristics'!$C:$C,0))),"",INDEX('Policy Characteristics'!H:H,MATCH($C1351,'Policy Characteristics'!$C:$C,0)))</f>
        <v>0.01</v>
      </c>
      <c r="O1351" s="275" t="str">
        <f>IF(ISBLANK(INDEX('Policy Characteristics'!I:I,MATCH($C1351,'Policy Characteristics'!$C:$C,0))),"",INDEX('Policy Characteristics'!I:I,MATCH($C1351,'Policy Characteristics'!$C:$C,0)))</f>
        <v>% of BAU price</v>
      </c>
      <c r="P1351" s="275" t="str">
        <f>IF(ISBLANK(INDEX('Policy Characteristics'!J:J,MATCH($C1351,'Policy Characteristics'!$C:$C,0))),"",INDEX('Policy Characteristics'!J:J,MATCH($C1351,'Policy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1" s="275" t="str">
        <f>IF(ISBLANK(INDEX('Policy Characteristics'!K:K,MATCH($C1351,'Policy Characteristics'!$C:$C,0))),"",INDEX('Policy Characteristics'!K:K,MATCH($C1351,'Policy Characteristics'!$C:$C,0)))</f>
        <v>fuels.html#fuel-taxes</v>
      </c>
      <c r="R1351" s="275" t="str">
        <f>IF(ISBLANK(INDEX('Policy Characteristics'!L:L,MATCH($C1351,'Policy Characteristics'!$C:$C,0))),"",INDEX('Policy Characteristics'!L:L,MATCH($C1351,'Policy Characteristics'!$C:$C,0)))</f>
        <v>fuel-taxes.html</v>
      </c>
    </row>
    <row r="1352" spans="1:18" x14ac:dyDescent="0.25">
      <c r="A1352" s="275" t="str">
        <f>IF(ISBLANK(INDEX('Policy Characteristics'!A:A,MATCH($C1352,'Policy Characteristics'!$C:$C,0))),"",INDEX('Policy Characteristics'!A:A,MATCH($C1352,'Policy Characteristics'!$C:$C,0)))</f>
        <v>Cross-Sector</v>
      </c>
      <c r="B1352" s="284" t="str">
        <f>IF(ISBLANK(INDEX('Policy Characteristics'!B:B,MATCH($C1352,'Policy Characteristics'!$C:$C,0))),"",INDEX('Policy Characteristics'!B:B,MATCH($C1352,'Policy Characteristics'!$C:$C,0)))</f>
        <v>Fuel Taxes or Subsidies</v>
      </c>
      <c r="C1352" s="342" t="str">
        <f t="shared" si="59"/>
        <v>Additional Fuel Tax or Subsidy Rate by Fuel</v>
      </c>
      <c r="D1352" s="6" t="s">
        <v>443</v>
      </c>
      <c r="E1352" s="6"/>
      <c r="F1352" s="6" t="s">
        <v>444</v>
      </c>
      <c r="G1352" s="48"/>
      <c r="H1352" s="44">
        <v>744</v>
      </c>
      <c r="I1352" s="347" t="s">
        <v>44</v>
      </c>
      <c r="J1352" s="276" t="str">
        <f>IF(ISBLANK(INDEX('Policy Characteristics'!D:D,MATCH($C1352,'Policy Characteristics'!$C:$C,0))),"",INDEX('Policy Characteristics'!D:D,MATCH($C1352,'Policy Characteristics'!$C:$C,0)))</f>
        <v>Fuel Taxes or Subsidies</v>
      </c>
      <c r="K1352" s="275" t="str">
        <f>IF(ISBLANK(INDEX('Policy Characteristics'!E:E,MATCH($C1352,'Policy Characteristics'!$C:$C,0))),"",INDEX('Policy Characteristics'!E:E,MATCH($C1352,'Policy Characteristics'!$C:$C,0)))</f>
        <v>cross fuel tax</v>
      </c>
      <c r="L1352" s="283">
        <f>IF(ISBLANK(INDEX('Policy Characteristics'!F:F,MATCH($C1352,'Policy Characteristics'!$C:$C,0))),"",INDEX('Policy Characteristics'!F:F,MATCH($C1352,'Policy Characteristics'!$C:$C,0)))</f>
        <v>-0.5</v>
      </c>
      <c r="M1352" s="283">
        <f>IF(ISBLANK(INDEX('Policy Characteristics'!G:G,MATCH($C1352,'Policy Characteristics'!$C:$C,0))),"",INDEX('Policy Characteristics'!G:G,MATCH($C1352,'Policy Characteristics'!$C:$C,0)))</f>
        <v>0.5</v>
      </c>
      <c r="N1352" s="283">
        <f>IF(ISBLANK(INDEX('Policy Characteristics'!H:H,MATCH($C1352,'Policy Characteristics'!$C:$C,0))),"",INDEX('Policy Characteristics'!H:H,MATCH($C1352,'Policy Characteristics'!$C:$C,0)))</f>
        <v>0.01</v>
      </c>
      <c r="O1352" s="275" t="str">
        <f>IF(ISBLANK(INDEX('Policy Characteristics'!I:I,MATCH($C1352,'Policy Characteristics'!$C:$C,0))),"",INDEX('Policy Characteristics'!I:I,MATCH($C1352,'Policy Characteristics'!$C:$C,0)))</f>
        <v>% of BAU price</v>
      </c>
      <c r="P1352" s="275" t="str">
        <f>IF(ISBLANK(INDEX('Policy Characteristics'!J:J,MATCH($C1352,'Policy Characteristics'!$C:$C,0))),"",INDEX('Policy Characteristics'!J:J,MATCH($C1352,'Policy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2" s="275" t="str">
        <f>IF(ISBLANK(INDEX('Policy Characteristics'!K:K,MATCH($C1352,'Policy Characteristics'!$C:$C,0))),"",INDEX('Policy Characteristics'!K:K,MATCH($C1352,'Policy Characteristics'!$C:$C,0)))</f>
        <v>fuels.html#fuel-taxes</v>
      </c>
      <c r="R1352" s="275" t="str">
        <f>IF(ISBLANK(INDEX('Policy Characteristics'!L:L,MATCH($C1352,'Policy Characteristics'!$C:$C,0))),"",INDEX('Policy Characteristics'!L:L,MATCH($C1352,'Policy Characteristics'!$C:$C,0)))</f>
        <v>fuel-taxes.html</v>
      </c>
    </row>
    <row r="1353" spans="1:18" x14ac:dyDescent="0.25">
      <c r="A1353" s="275" t="str">
        <f>IF(ISBLANK(INDEX('Policy Characteristics'!A:A,MATCH($C1353,'Policy Characteristics'!$C:$C,0))),"",INDEX('Policy Characteristics'!A:A,MATCH($C1353,'Policy Characteristics'!$C:$C,0)))</f>
        <v>Cross-Sector</v>
      </c>
      <c r="B1353" s="284" t="str">
        <f>IF(ISBLANK(INDEX('Policy Characteristics'!B:B,MATCH($C1353,'Policy Characteristics'!$C:$C,0))),"",INDEX('Policy Characteristics'!B:B,MATCH($C1353,'Policy Characteristics'!$C:$C,0)))</f>
        <v>Fuel Taxes or Subsidies</v>
      </c>
      <c r="C1353" s="342" t="str">
        <f t="shared" si="59"/>
        <v>Additional Fuel Tax or Subsidy Rate by Fuel</v>
      </c>
      <c r="D1353" s="6" t="s">
        <v>2467</v>
      </c>
      <c r="E1353" s="6"/>
      <c r="F1353" s="6" t="s">
        <v>2471</v>
      </c>
      <c r="G1353" s="48"/>
      <c r="H1353" s="44">
        <v>745</v>
      </c>
      <c r="I1353" s="347" t="s">
        <v>44</v>
      </c>
      <c r="J1353" s="276" t="str">
        <f>IF(ISBLANK(INDEX('Policy Characteristics'!D:D,MATCH($C1353,'Policy Characteristics'!$C:$C,0))),"",INDEX('Policy Characteristics'!D:D,MATCH($C1353,'Policy Characteristics'!$C:$C,0)))</f>
        <v>Fuel Taxes or Subsidies</v>
      </c>
      <c r="K1353" s="275" t="str">
        <f>IF(ISBLANK(INDEX('Policy Characteristics'!E:E,MATCH($C1353,'Policy Characteristics'!$C:$C,0))),"",INDEX('Policy Characteristics'!E:E,MATCH($C1353,'Policy Characteristics'!$C:$C,0)))</f>
        <v>cross fuel tax</v>
      </c>
      <c r="L1353" s="283">
        <f>IF(ISBLANK(INDEX('Policy Characteristics'!F:F,MATCH($C1353,'Policy Characteristics'!$C:$C,0))),"",INDEX('Policy Characteristics'!F:F,MATCH($C1353,'Policy Characteristics'!$C:$C,0)))</f>
        <v>-0.5</v>
      </c>
      <c r="M1353" s="283">
        <f>IF(ISBLANK(INDEX('Policy Characteristics'!G:G,MATCH($C1353,'Policy Characteristics'!$C:$C,0))),"",INDEX('Policy Characteristics'!G:G,MATCH($C1353,'Policy Characteristics'!$C:$C,0)))</f>
        <v>0.5</v>
      </c>
      <c r="N1353" s="283">
        <f>IF(ISBLANK(INDEX('Policy Characteristics'!H:H,MATCH($C1353,'Policy Characteristics'!$C:$C,0))),"",INDEX('Policy Characteristics'!H:H,MATCH($C1353,'Policy Characteristics'!$C:$C,0)))</f>
        <v>0.01</v>
      </c>
      <c r="O1353" s="275" t="str">
        <f>IF(ISBLANK(INDEX('Policy Characteristics'!I:I,MATCH($C1353,'Policy Characteristics'!$C:$C,0))),"",INDEX('Policy Characteristics'!I:I,MATCH($C1353,'Policy Characteristics'!$C:$C,0)))</f>
        <v>% of BAU price</v>
      </c>
      <c r="P1353" s="275" t="str">
        <f>IF(ISBLANK(INDEX('Policy Characteristics'!J:J,MATCH($C1353,'Policy Characteristics'!$C:$C,0))),"",INDEX('Policy Characteristics'!J:J,MATCH($C1353,'Policy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3" s="275" t="str">
        <f>IF(ISBLANK(INDEX('Policy Characteristics'!K:K,MATCH($C1353,'Policy Characteristics'!$C:$C,0))),"",INDEX('Policy Characteristics'!K:K,MATCH($C1353,'Policy Characteristics'!$C:$C,0)))</f>
        <v>fuels.html#fuel-taxes</v>
      </c>
      <c r="R1353" s="275" t="str">
        <f>IF(ISBLANK(INDEX('Policy Characteristics'!L:L,MATCH($C1353,'Policy Characteristics'!$C:$C,0))),"",INDEX('Policy Characteristics'!L:L,MATCH($C1353,'Policy Characteristics'!$C:$C,0)))</f>
        <v>fuel-taxes.html</v>
      </c>
    </row>
    <row r="1354" spans="1:18" x14ac:dyDescent="0.25">
      <c r="A1354" s="275" t="str">
        <f>IF(ISBLANK(INDEX('Policy Characteristics'!A:A,MATCH($C1354,'Policy Characteristics'!$C:$C,0))),"",INDEX('Policy Characteristics'!A:A,MATCH($C1354,'Policy Characteristics'!$C:$C,0)))</f>
        <v>Cross-Sector</v>
      </c>
      <c r="B1354" s="284" t="str">
        <f>IF(ISBLANK(INDEX('Policy Characteristics'!B:B,MATCH($C1354,'Policy Characteristics'!$C:$C,0))),"",INDEX('Policy Characteristics'!B:B,MATCH($C1354,'Policy Characteristics'!$C:$C,0)))</f>
        <v>Fuel Taxes or Subsidies</v>
      </c>
      <c r="C1354" s="342" t="str">
        <f t="shared" si="59"/>
        <v>Additional Fuel Tax or Subsidy Rate by Fuel</v>
      </c>
      <c r="D1354" s="6" t="s">
        <v>2477</v>
      </c>
      <c r="E1354" s="6"/>
      <c r="F1354" s="6" t="s">
        <v>2478</v>
      </c>
      <c r="G1354" s="48"/>
      <c r="H1354" s="44">
        <v>746</v>
      </c>
      <c r="I1354" s="347" t="s">
        <v>44</v>
      </c>
      <c r="J1354" s="276" t="str">
        <f>IF(ISBLANK(INDEX('Policy Characteristics'!D:D,MATCH($C1354,'Policy Characteristics'!$C:$C,0))),"",INDEX('Policy Characteristics'!D:D,MATCH($C1354,'Policy Characteristics'!$C:$C,0)))</f>
        <v>Fuel Taxes or Subsidies</v>
      </c>
      <c r="K1354" s="275" t="str">
        <f>IF(ISBLANK(INDEX('Policy Characteristics'!E:E,MATCH($C1354,'Policy Characteristics'!$C:$C,0))),"",INDEX('Policy Characteristics'!E:E,MATCH($C1354,'Policy Characteristics'!$C:$C,0)))</f>
        <v>cross fuel tax</v>
      </c>
      <c r="L1354" s="283">
        <f>IF(ISBLANK(INDEX('Policy Characteristics'!F:F,MATCH($C1354,'Policy Characteristics'!$C:$C,0))),"",INDEX('Policy Characteristics'!F:F,MATCH($C1354,'Policy Characteristics'!$C:$C,0)))</f>
        <v>-0.5</v>
      </c>
      <c r="M1354" s="283">
        <f>IF(ISBLANK(INDEX('Policy Characteristics'!G:G,MATCH($C1354,'Policy Characteristics'!$C:$C,0))),"",INDEX('Policy Characteristics'!G:G,MATCH($C1354,'Policy Characteristics'!$C:$C,0)))</f>
        <v>0.5</v>
      </c>
      <c r="N1354" s="283">
        <f>IF(ISBLANK(INDEX('Policy Characteristics'!H:H,MATCH($C1354,'Policy Characteristics'!$C:$C,0))),"",INDEX('Policy Characteristics'!H:H,MATCH($C1354,'Policy Characteristics'!$C:$C,0)))</f>
        <v>0.01</v>
      </c>
      <c r="O1354" s="275" t="str">
        <f>IF(ISBLANK(INDEX('Policy Characteristics'!I:I,MATCH($C1354,'Policy Characteristics'!$C:$C,0))),"",INDEX('Policy Characteristics'!I:I,MATCH($C1354,'Policy Characteristics'!$C:$C,0)))</f>
        <v>% of BAU price</v>
      </c>
      <c r="P1354" s="275" t="str">
        <f>IF(ISBLANK(INDEX('Policy Characteristics'!J:J,MATCH($C1354,'Policy Characteristics'!$C:$C,0))),"",INDEX('Policy Characteristics'!J:J,MATCH($C1354,'Policy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4" s="275" t="str">
        <f>IF(ISBLANK(INDEX('Policy Characteristics'!K:K,MATCH($C1354,'Policy Characteristics'!$C:$C,0))),"",INDEX('Policy Characteristics'!K:K,MATCH($C1354,'Policy Characteristics'!$C:$C,0)))</f>
        <v>fuels.html#fuel-taxes</v>
      </c>
      <c r="R1354" s="275" t="str">
        <f>IF(ISBLANK(INDEX('Policy Characteristics'!L:L,MATCH($C1354,'Policy Characteristics'!$C:$C,0))),"",INDEX('Policy Characteristics'!L:L,MATCH($C1354,'Policy Characteristics'!$C:$C,0)))</f>
        <v>fuel-taxes.html</v>
      </c>
    </row>
    <row r="1355" spans="1:18" x14ac:dyDescent="0.25">
      <c r="A1355" s="275" t="str">
        <f>IF(ISBLANK(INDEX('Policy Characteristics'!A:A,MATCH($C1355,'Policy Characteristics'!$C:$C,0))),"",INDEX('Policy Characteristics'!A:A,MATCH($C1355,'Policy Characteristics'!$C:$C,0)))</f>
        <v>Cross-Sector</v>
      </c>
      <c r="B1355" s="284" t="str">
        <f>IF(ISBLANK(INDEX('Policy Characteristics'!B:B,MATCH($C1355,'Policy Characteristics'!$C:$C,0))),"",INDEX('Policy Characteristics'!B:B,MATCH($C1355,'Policy Characteristics'!$C:$C,0)))</f>
        <v>Fuel Taxes or Subsidies</v>
      </c>
      <c r="C1355" s="342" t="str">
        <f t="shared" ref="C1355:C1357" si="60">C$1341</f>
        <v>Additional Fuel Tax or Subsidy Rate by Fuel</v>
      </c>
      <c r="D1355" s="6" t="s">
        <v>2468</v>
      </c>
      <c r="E1355" s="6"/>
      <c r="F1355" s="6" t="s">
        <v>2472</v>
      </c>
      <c r="G1355" s="48"/>
      <c r="H1355" s="44">
        <v>747</v>
      </c>
      <c r="I1355" s="347" t="s">
        <v>44</v>
      </c>
      <c r="J1355" s="276" t="str">
        <f>IF(ISBLANK(INDEX('Policy Characteristics'!D:D,MATCH($C1355,'Policy Characteristics'!$C:$C,0))),"",INDEX('Policy Characteristics'!D:D,MATCH($C1355,'Policy Characteristics'!$C:$C,0)))</f>
        <v>Fuel Taxes or Subsidies</v>
      </c>
      <c r="K1355" s="275" t="str">
        <f>IF(ISBLANK(INDEX('Policy Characteristics'!E:E,MATCH($C1355,'Policy Characteristics'!$C:$C,0))),"",INDEX('Policy Characteristics'!E:E,MATCH($C1355,'Policy Characteristics'!$C:$C,0)))</f>
        <v>cross fuel tax</v>
      </c>
      <c r="L1355" s="283">
        <f>IF(ISBLANK(INDEX('Policy Characteristics'!F:F,MATCH($C1355,'Policy Characteristics'!$C:$C,0))),"",INDEX('Policy Characteristics'!F:F,MATCH($C1355,'Policy Characteristics'!$C:$C,0)))</f>
        <v>-0.5</v>
      </c>
      <c r="M1355" s="283">
        <f>IF(ISBLANK(INDEX('Policy Characteristics'!G:G,MATCH($C1355,'Policy Characteristics'!$C:$C,0))),"",INDEX('Policy Characteristics'!G:G,MATCH($C1355,'Policy Characteristics'!$C:$C,0)))</f>
        <v>0.5</v>
      </c>
      <c r="N1355" s="283">
        <f>IF(ISBLANK(INDEX('Policy Characteristics'!H:H,MATCH($C1355,'Policy Characteristics'!$C:$C,0))),"",INDEX('Policy Characteristics'!H:H,MATCH($C1355,'Policy Characteristics'!$C:$C,0)))</f>
        <v>0.01</v>
      </c>
      <c r="O1355" s="275" t="str">
        <f>IF(ISBLANK(INDEX('Policy Characteristics'!I:I,MATCH($C1355,'Policy Characteristics'!$C:$C,0))),"",INDEX('Policy Characteristics'!I:I,MATCH($C1355,'Policy Characteristics'!$C:$C,0)))</f>
        <v>% of BAU price</v>
      </c>
      <c r="P1355" s="275" t="str">
        <f>IF(ISBLANK(INDEX('Policy Characteristics'!J:J,MATCH($C1355,'Policy Characteristics'!$C:$C,0))),"",INDEX('Policy Characteristics'!J:J,MATCH($C1355,'Policy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5" s="275" t="str">
        <f>IF(ISBLANK(INDEX('Policy Characteristics'!K:K,MATCH($C1355,'Policy Characteristics'!$C:$C,0))),"",INDEX('Policy Characteristics'!K:K,MATCH($C1355,'Policy Characteristics'!$C:$C,0)))</f>
        <v>fuels.html#fuel-taxes</v>
      </c>
      <c r="R1355" s="275" t="str">
        <f>IF(ISBLANK(INDEX('Policy Characteristics'!L:L,MATCH($C1355,'Policy Characteristics'!$C:$C,0))),"",INDEX('Policy Characteristics'!L:L,MATCH($C1355,'Policy Characteristics'!$C:$C,0)))</f>
        <v>fuel-taxes.html</v>
      </c>
    </row>
    <row r="1356" spans="1:18" x14ac:dyDescent="0.25">
      <c r="A1356" s="275" t="str">
        <f>IF(ISBLANK(INDEX('Policy Characteristics'!A:A,MATCH($C1356,'Policy Characteristics'!$C:$C,0))),"",INDEX('Policy Characteristics'!A:A,MATCH($C1356,'Policy Characteristics'!$C:$C,0)))</f>
        <v>Cross-Sector</v>
      </c>
      <c r="B1356" s="284" t="str">
        <f>IF(ISBLANK(INDEX('Policy Characteristics'!B:B,MATCH($C1356,'Policy Characteristics'!$C:$C,0))),"",INDEX('Policy Characteristics'!B:B,MATCH($C1356,'Policy Characteristics'!$C:$C,0)))</f>
        <v>Fuel Taxes or Subsidies</v>
      </c>
      <c r="C1356" s="342" t="str">
        <f t="shared" si="60"/>
        <v>Additional Fuel Tax or Subsidy Rate by Fuel</v>
      </c>
      <c r="D1356" s="6" t="s">
        <v>2469</v>
      </c>
      <c r="E1356" s="6"/>
      <c r="F1356" s="6" t="s">
        <v>2473</v>
      </c>
      <c r="G1356" s="48"/>
      <c r="H1356" s="44">
        <v>748</v>
      </c>
      <c r="I1356" s="347" t="s">
        <v>44</v>
      </c>
      <c r="J1356" s="276" t="str">
        <f>IF(ISBLANK(INDEX('Policy Characteristics'!D:D,MATCH($C1356,'Policy Characteristics'!$C:$C,0))),"",INDEX('Policy Characteristics'!D:D,MATCH($C1356,'Policy Characteristics'!$C:$C,0)))</f>
        <v>Fuel Taxes or Subsidies</v>
      </c>
      <c r="K1356" s="275" t="str">
        <f>IF(ISBLANK(INDEX('Policy Characteristics'!E:E,MATCH($C1356,'Policy Characteristics'!$C:$C,0))),"",INDEX('Policy Characteristics'!E:E,MATCH($C1356,'Policy Characteristics'!$C:$C,0)))</f>
        <v>cross fuel tax</v>
      </c>
      <c r="L1356" s="283">
        <f>IF(ISBLANK(INDEX('Policy Characteristics'!F:F,MATCH($C1356,'Policy Characteristics'!$C:$C,0))),"",INDEX('Policy Characteristics'!F:F,MATCH($C1356,'Policy Characteristics'!$C:$C,0)))</f>
        <v>-0.5</v>
      </c>
      <c r="M1356" s="283">
        <f>IF(ISBLANK(INDEX('Policy Characteristics'!G:G,MATCH($C1356,'Policy Characteristics'!$C:$C,0))),"",INDEX('Policy Characteristics'!G:G,MATCH($C1356,'Policy Characteristics'!$C:$C,0)))</f>
        <v>0.5</v>
      </c>
      <c r="N1356" s="283">
        <f>IF(ISBLANK(INDEX('Policy Characteristics'!H:H,MATCH($C1356,'Policy Characteristics'!$C:$C,0))),"",INDEX('Policy Characteristics'!H:H,MATCH($C1356,'Policy Characteristics'!$C:$C,0)))</f>
        <v>0.01</v>
      </c>
      <c r="O1356" s="275" t="str">
        <f>IF(ISBLANK(INDEX('Policy Characteristics'!I:I,MATCH($C1356,'Policy Characteristics'!$C:$C,0))),"",INDEX('Policy Characteristics'!I:I,MATCH($C1356,'Policy Characteristics'!$C:$C,0)))</f>
        <v>% of BAU price</v>
      </c>
      <c r="P1356" s="275" t="str">
        <f>IF(ISBLANK(INDEX('Policy Characteristics'!J:J,MATCH($C1356,'Policy Characteristics'!$C:$C,0))),"",INDEX('Policy Characteristics'!J:J,MATCH($C1356,'Policy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6" s="275" t="str">
        <f>IF(ISBLANK(INDEX('Policy Characteristics'!K:K,MATCH($C1356,'Policy Characteristics'!$C:$C,0))),"",INDEX('Policy Characteristics'!K:K,MATCH($C1356,'Policy Characteristics'!$C:$C,0)))</f>
        <v>fuels.html#fuel-taxes</v>
      </c>
      <c r="R1356" s="275" t="str">
        <f>IF(ISBLANK(INDEX('Policy Characteristics'!L:L,MATCH($C1356,'Policy Characteristics'!$C:$C,0))),"",INDEX('Policy Characteristics'!L:L,MATCH($C1356,'Policy Characteristics'!$C:$C,0)))</f>
        <v>fuel-taxes.html</v>
      </c>
    </row>
    <row r="1357" spans="1:18" x14ac:dyDescent="0.25">
      <c r="A1357" s="275" t="str">
        <f>IF(ISBLANK(INDEX('Policy Characteristics'!A:A,MATCH($C1357,'Policy Characteristics'!$C:$C,0))),"",INDEX('Policy Characteristics'!A:A,MATCH($C1357,'Policy Characteristics'!$C:$C,0)))</f>
        <v>Cross-Sector</v>
      </c>
      <c r="B1357" s="284" t="str">
        <f>IF(ISBLANK(INDEX('Policy Characteristics'!B:B,MATCH($C1357,'Policy Characteristics'!$C:$C,0))),"",INDEX('Policy Characteristics'!B:B,MATCH($C1357,'Policy Characteristics'!$C:$C,0)))</f>
        <v>Fuel Taxes or Subsidies</v>
      </c>
      <c r="C1357" s="342" t="str">
        <f t="shared" si="60"/>
        <v>Additional Fuel Tax or Subsidy Rate by Fuel</v>
      </c>
      <c r="D1357" s="6" t="s">
        <v>2470</v>
      </c>
      <c r="E1357" s="6"/>
      <c r="F1357" s="6" t="s">
        <v>2474</v>
      </c>
      <c r="G1357" s="48"/>
      <c r="H1357" s="44">
        <v>749</v>
      </c>
      <c r="I1357" s="347" t="s">
        <v>44</v>
      </c>
      <c r="J1357" s="276" t="str">
        <f>IF(ISBLANK(INDEX('Policy Characteristics'!D:D,MATCH($C1357,'Policy Characteristics'!$C:$C,0))),"",INDEX('Policy Characteristics'!D:D,MATCH($C1357,'Policy Characteristics'!$C:$C,0)))</f>
        <v>Fuel Taxes or Subsidies</v>
      </c>
      <c r="K1357" s="275" t="str">
        <f>IF(ISBLANK(INDEX('Policy Characteristics'!E:E,MATCH($C1357,'Policy Characteristics'!$C:$C,0))),"",INDEX('Policy Characteristics'!E:E,MATCH($C1357,'Policy Characteristics'!$C:$C,0)))</f>
        <v>cross fuel tax</v>
      </c>
      <c r="L1357" s="283">
        <f>IF(ISBLANK(INDEX('Policy Characteristics'!F:F,MATCH($C1357,'Policy Characteristics'!$C:$C,0))),"",INDEX('Policy Characteristics'!F:F,MATCH($C1357,'Policy Characteristics'!$C:$C,0)))</f>
        <v>-0.5</v>
      </c>
      <c r="M1357" s="283">
        <f>IF(ISBLANK(INDEX('Policy Characteristics'!G:G,MATCH($C1357,'Policy Characteristics'!$C:$C,0))),"",INDEX('Policy Characteristics'!G:G,MATCH($C1357,'Policy Characteristics'!$C:$C,0)))</f>
        <v>0.5</v>
      </c>
      <c r="N1357" s="283">
        <f>IF(ISBLANK(INDEX('Policy Characteristics'!H:H,MATCH($C1357,'Policy Characteristics'!$C:$C,0))),"",INDEX('Policy Characteristics'!H:H,MATCH($C1357,'Policy Characteristics'!$C:$C,0)))</f>
        <v>0.01</v>
      </c>
      <c r="O1357" s="275" t="str">
        <f>IF(ISBLANK(INDEX('Policy Characteristics'!I:I,MATCH($C1357,'Policy Characteristics'!$C:$C,0))),"",INDEX('Policy Characteristics'!I:I,MATCH($C1357,'Policy Characteristics'!$C:$C,0)))</f>
        <v>% of BAU price</v>
      </c>
      <c r="P1357" s="275" t="str">
        <f>IF(ISBLANK(INDEX('Policy Characteristics'!J:J,MATCH($C1357,'Policy Characteristics'!$C:$C,0))),"",INDEX('Policy Characteristics'!J:J,MATCH($C1357,'Policy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7" s="275" t="str">
        <f>IF(ISBLANK(INDEX('Policy Characteristics'!K:K,MATCH($C1357,'Policy Characteristics'!$C:$C,0))),"",INDEX('Policy Characteristics'!K:K,MATCH($C1357,'Policy Characteristics'!$C:$C,0)))</f>
        <v>fuels.html#fuel-taxes</v>
      </c>
      <c r="R1357" s="275" t="str">
        <f>IF(ISBLANK(INDEX('Policy Characteristics'!L:L,MATCH($C1357,'Policy Characteristics'!$C:$C,0))),"",INDEX('Policy Characteristics'!L:L,MATCH($C1357,'Policy Characteristics'!$C:$C,0)))</f>
        <v>fuel-taxes.html</v>
      </c>
    </row>
    <row r="1358" spans="1:18" x14ac:dyDescent="0.25">
      <c r="A1358" s="275" t="str">
        <f>IF(ISBLANK(INDEX('Policy Characteristics'!A:A,MATCH($C1358,'Policy Characteristics'!$C:$C,0))),"",INDEX('Policy Characteristics'!A:A,MATCH($C1358,'Policy Characteristics'!$C:$C,0)))</f>
        <v>Research and Development</v>
      </c>
      <c r="B1358" s="284" t="str">
        <f>IF(ISBLANK(INDEX('Policy Characteristics'!B:B,MATCH($C1358,'Policy Characteristics'!$C:$C,0))),"",INDEX('Policy Characteristics'!B:B,MATCH($C1358,'Policy Characteristics'!$C:$C,0)))</f>
        <v>Capital Cost Reduction</v>
      </c>
      <c r="C1358" t="s">
        <v>289</v>
      </c>
      <c r="D1358" s="47" t="s">
        <v>115</v>
      </c>
      <c r="E1358" s="47"/>
      <c r="F1358" s="47" t="s">
        <v>316</v>
      </c>
      <c r="G1358" s="47"/>
      <c r="H1358" s="44">
        <v>85</v>
      </c>
      <c r="I1358" s="346" t="s">
        <v>43</v>
      </c>
      <c r="J1358" s="276" t="str">
        <f>IF(ISBLANK(INDEX('Policy Characteristics'!D:D,MATCH($C1358,'Policy Characteristics'!$C:$C,0))),"",INDEX('Policy Characteristics'!D:D,MATCH($C1358,'Policy Characteristics'!$C:$C,0)))</f>
        <v>R&amp;D Capital Cost Reductions</v>
      </c>
      <c r="K1358" s="275" t="str">
        <f>IF(ISBLANK(INDEX('Policy Characteristics'!E:E,MATCH($C1358,'Policy Characteristics'!$C:$C,0))),"",INDEX('Policy Characteristics'!E:E,MATCH($C1358,'Policy Characteristics'!$C:$C,0)))</f>
        <v>RnD building capital cost reduction</v>
      </c>
      <c r="L1358" s="283">
        <f>IF(ISBLANK(INDEX('Policy Characteristics'!F:F,MATCH($C1358,'Policy Characteristics'!$C:$C,0))),"",INDEX('Policy Characteristics'!F:F,MATCH($C1358,'Policy Characteristics'!$C:$C,0)))</f>
        <v>0</v>
      </c>
      <c r="M1358" s="283">
        <f>IF(ISBLANK(INDEX('Policy Characteristics'!G:G,MATCH($C1358,'Policy Characteristics'!$C:$C,0))),"",INDEX('Policy Characteristics'!G:G,MATCH($C1358,'Policy Characteristics'!$C:$C,0)))</f>
        <v>0.4</v>
      </c>
      <c r="N1358" s="283">
        <f>IF(ISBLANK(INDEX('Policy Characteristics'!H:H,MATCH($C1358,'Policy Characteristics'!$C:$C,0))),"",INDEX('Policy Characteristics'!H:H,MATCH($C1358,'Policy Characteristics'!$C:$C,0)))</f>
        <v>0.01</v>
      </c>
      <c r="O1358" s="275" t="str">
        <f>IF(ISBLANK(INDEX('Policy Characteristics'!I:I,MATCH($C1358,'Policy Characteristics'!$C:$C,0))),"",INDEX('Policy Characteristics'!I:I,MATCH($C1358,'Policy Characteristics'!$C:$C,0)))</f>
        <v>% reduction in cost</v>
      </c>
      <c r="P1358" s="275" t="str">
        <f>IF(ISBLANK(INDEX('Policy Characteristics'!J:J,MATCH($C1358,'Policy Characteristics'!$C:$C,0))),"",INDEX('Policy Characteristics'!J:J,MATCH($C1358,'Policy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58" s="275" t="str">
        <f>IF(ISBLANK(INDEX('Policy Characteristics'!K:K,MATCH($C1358,'Policy Characteristics'!$C:$C,0))),"",INDEX('Policy Characteristics'!K:K,MATCH($C1358,'Policy Characteristics'!$C:$C,0)))</f>
        <v>architectural-design.html#rnd</v>
      </c>
      <c r="R1358" s="275" t="str">
        <f>IF(ISBLANK(INDEX('Policy Characteristics'!L:L,MATCH($C1358,'Policy Characteristics'!$C:$C,0))),"",INDEX('Policy Characteristics'!L:L,MATCH($C1358,'Policy Characteristics'!$C:$C,0)))</f>
        <v>research-and-development.html</v>
      </c>
    </row>
    <row r="1359" spans="1:18" x14ac:dyDescent="0.25">
      <c r="A1359" s="275" t="str">
        <f>IF(ISBLANK(INDEX('Policy Characteristics'!A:A,MATCH($C1359,'Policy Characteristics'!$C:$C,0))),"",INDEX('Policy Characteristics'!A:A,MATCH($C1359,'Policy Characteristics'!$C:$C,0)))</f>
        <v>Research and Development</v>
      </c>
      <c r="B1359" s="284" t="str">
        <f>IF(ISBLANK(INDEX('Policy Characteristics'!B:B,MATCH($C1359,'Policy Characteristics'!$C:$C,0))),"",INDEX('Policy Characteristics'!B:B,MATCH($C1359,'Policy Characteristics'!$C:$C,0)))</f>
        <v>Capital Cost Reduction</v>
      </c>
      <c r="C1359" s="275" t="str">
        <f t="shared" ref="C1359:C1363" si="61">C$1358</f>
        <v>RnD Building Capital Cost Perc Reduction</v>
      </c>
      <c r="D1359" s="47" t="s">
        <v>116</v>
      </c>
      <c r="E1359" s="47"/>
      <c r="F1359" s="47" t="s">
        <v>317</v>
      </c>
      <c r="G1359" s="47"/>
      <c r="H1359" s="44">
        <v>86</v>
      </c>
      <c r="I1359" s="346" t="s">
        <v>43</v>
      </c>
      <c r="J1359" s="276" t="str">
        <f>IF(ISBLANK(INDEX('Policy Characteristics'!D:D,MATCH($C1359,'Policy Characteristics'!$C:$C,0))),"",INDEX('Policy Characteristics'!D:D,MATCH($C1359,'Policy Characteristics'!$C:$C,0)))</f>
        <v>R&amp;D Capital Cost Reductions</v>
      </c>
      <c r="K1359" s="275" t="str">
        <f>IF(ISBLANK(INDEX('Policy Characteristics'!E:E,MATCH($C1359,'Policy Characteristics'!$C:$C,0))),"",INDEX('Policy Characteristics'!E:E,MATCH($C1359,'Policy Characteristics'!$C:$C,0)))</f>
        <v>RnD building capital cost reduction</v>
      </c>
      <c r="L1359" s="283">
        <f>IF(ISBLANK(INDEX('Policy Characteristics'!F:F,MATCH($C1359,'Policy Characteristics'!$C:$C,0))),"",INDEX('Policy Characteristics'!F:F,MATCH($C1359,'Policy Characteristics'!$C:$C,0)))</f>
        <v>0</v>
      </c>
      <c r="M1359" s="283">
        <f>IF(ISBLANK(INDEX('Policy Characteristics'!G:G,MATCH($C1359,'Policy Characteristics'!$C:$C,0))),"",INDEX('Policy Characteristics'!G:G,MATCH($C1359,'Policy Characteristics'!$C:$C,0)))</f>
        <v>0.4</v>
      </c>
      <c r="N1359" s="283">
        <f>IF(ISBLANK(INDEX('Policy Characteristics'!H:H,MATCH($C1359,'Policy Characteristics'!$C:$C,0))),"",INDEX('Policy Characteristics'!H:H,MATCH($C1359,'Policy Characteristics'!$C:$C,0)))</f>
        <v>0.01</v>
      </c>
      <c r="O1359" s="275" t="str">
        <f>IF(ISBLANK(INDEX('Policy Characteristics'!I:I,MATCH($C1359,'Policy Characteristics'!$C:$C,0))),"",INDEX('Policy Characteristics'!I:I,MATCH($C1359,'Policy Characteristics'!$C:$C,0)))</f>
        <v>% reduction in cost</v>
      </c>
      <c r="P1359" s="275" t="str">
        <f>IF(ISBLANK(INDEX('Policy Characteristics'!J:J,MATCH($C1359,'Policy Characteristics'!$C:$C,0))),"",INDEX('Policy Characteristics'!J:J,MATCH($C1359,'Policy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59" s="275" t="str">
        <f>IF(ISBLANK(INDEX('Policy Characteristics'!K:K,MATCH($C1359,'Policy Characteristics'!$C:$C,0))),"",INDEX('Policy Characteristics'!K:K,MATCH($C1359,'Policy Characteristics'!$C:$C,0)))</f>
        <v>architectural-design.html#rnd</v>
      </c>
      <c r="R1359" s="275" t="str">
        <f>IF(ISBLANK(INDEX('Policy Characteristics'!L:L,MATCH($C1359,'Policy Characteristics'!$C:$C,0))),"",INDEX('Policy Characteristics'!L:L,MATCH($C1359,'Policy Characteristics'!$C:$C,0)))</f>
        <v>research-and-development.html</v>
      </c>
    </row>
    <row r="1360" spans="1:18" x14ac:dyDescent="0.25">
      <c r="A1360" s="275" t="str">
        <f>IF(ISBLANK(INDEX('Policy Characteristics'!A:A,MATCH($C1360,'Policy Characteristics'!$C:$C,0))),"",INDEX('Policy Characteristics'!A:A,MATCH($C1360,'Policy Characteristics'!$C:$C,0)))</f>
        <v>Research and Development</v>
      </c>
      <c r="B1360" s="284" t="str">
        <f>IF(ISBLANK(INDEX('Policy Characteristics'!B:B,MATCH($C1360,'Policy Characteristics'!$C:$C,0))),"",INDEX('Policy Characteristics'!B:B,MATCH($C1360,'Policy Characteristics'!$C:$C,0)))</f>
        <v>Capital Cost Reduction</v>
      </c>
      <c r="C1360" s="275" t="str">
        <f t="shared" si="61"/>
        <v>RnD Building Capital Cost Perc Reduction</v>
      </c>
      <c r="D1360" s="47" t="s">
        <v>117</v>
      </c>
      <c r="E1360" s="47"/>
      <c r="F1360" s="47" t="s">
        <v>318</v>
      </c>
      <c r="G1360" s="47"/>
      <c r="H1360" s="44">
        <v>87</v>
      </c>
      <c r="I1360" s="346" t="s">
        <v>43</v>
      </c>
      <c r="J1360" s="276" t="str">
        <f>IF(ISBLANK(INDEX('Policy Characteristics'!D:D,MATCH($C1360,'Policy Characteristics'!$C:$C,0))),"",INDEX('Policy Characteristics'!D:D,MATCH($C1360,'Policy Characteristics'!$C:$C,0)))</f>
        <v>R&amp;D Capital Cost Reductions</v>
      </c>
      <c r="K1360" s="275" t="str">
        <f>IF(ISBLANK(INDEX('Policy Characteristics'!E:E,MATCH($C1360,'Policy Characteristics'!$C:$C,0))),"",INDEX('Policy Characteristics'!E:E,MATCH($C1360,'Policy Characteristics'!$C:$C,0)))</f>
        <v>RnD building capital cost reduction</v>
      </c>
      <c r="L1360" s="283">
        <f>IF(ISBLANK(INDEX('Policy Characteristics'!F:F,MATCH($C1360,'Policy Characteristics'!$C:$C,0))),"",INDEX('Policy Characteristics'!F:F,MATCH($C1360,'Policy Characteristics'!$C:$C,0)))</f>
        <v>0</v>
      </c>
      <c r="M1360" s="283">
        <f>IF(ISBLANK(INDEX('Policy Characteristics'!G:G,MATCH($C1360,'Policy Characteristics'!$C:$C,0))),"",INDEX('Policy Characteristics'!G:G,MATCH($C1360,'Policy Characteristics'!$C:$C,0)))</f>
        <v>0.4</v>
      </c>
      <c r="N1360" s="283">
        <f>IF(ISBLANK(INDEX('Policy Characteristics'!H:H,MATCH($C1360,'Policy Characteristics'!$C:$C,0))),"",INDEX('Policy Characteristics'!H:H,MATCH($C1360,'Policy Characteristics'!$C:$C,0)))</f>
        <v>0.01</v>
      </c>
      <c r="O1360" s="275" t="str">
        <f>IF(ISBLANK(INDEX('Policy Characteristics'!I:I,MATCH($C1360,'Policy Characteristics'!$C:$C,0))),"",INDEX('Policy Characteristics'!I:I,MATCH($C1360,'Policy Characteristics'!$C:$C,0)))</f>
        <v>% reduction in cost</v>
      </c>
      <c r="P1360" s="275" t="str">
        <f>IF(ISBLANK(INDEX('Policy Characteristics'!J:J,MATCH($C1360,'Policy Characteristics'!$C:$C,0))),"",INDEX('Policy Characteristics'!J:J,MATCH($C1360,'Policy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0" s="275" t="str">
        <f>IF(ISBLANK(INDEX('Policy Characteristics'!K:K,MATCH($C1360,'Policy Characteristics'!$C:$C,0))),"",INDEX('Policy Characteristics'!K:K,MATCH($C1360,'Policy Characteristics'!$C:$C,0)))</f>
        <v>architectural-design.html#rnd</v>
      </c>
      <c r="R1360" s="275" t="str">
        <f>IF(ISBLANK(INDEX('Policy Characteristics'!L:L,MATCH($C1360,'Policy Characteristics'!$C:$C,0))),"",INDEX('Policy Characteristics'!L:L,MATCH($C1360,'Policy Characteristics'!$C:$C,0)))</f>
        <v>research-and-development.html</v>
      </c>
    </row>
    <row r="1361" spans="1:18" x14ac:dyDescent="0.25">
      <c r="A1361" s="275" t="str">
        <f>IF(ISBLANK(INDEX('Policy Characteristics'!A:A,MATCH($C1361,'Policy Characteristics'!$C:$C,0))),"",INDEX('Policy Characteristics'!A:A,MATCH($C1361,'Policy Characteristics'!$C:$C,0)))</f>
        <v>Research and Development</v>
      </c>
      <c r="B1361" s="284" t="str">
        <f>IF(ISBLANK(INDEX('Policy Characteristics'!B:B,MATCH($C1361,'Policy Characteristics'!$C:$C,0))),"",INDEX('Policy Characteristics'!B:B,MATCH($C1361,'Policy Characteristics'!$C:$C,0)))</f>
        <v>Capital Cost Reduction</v>
      </c>
      <c r="C1361" s="275" t="str">
        <f t="shared" si="61"/>
        <v>RnD Building Capital Cost Perc Reduction</v>
      </c>
      <c r="D1361" s="47" t="s">
        <v>118</v>
      </c>
      <c r="E1361" s="47"/>
      <c r="F1361" s="47" t="s">
        <v>319</v>
      </c>
      <c r="G1361" s="47"/>
      <c r="H1361" s="44">
        <v>88</v>
      </c>
      <c r="I1361" s="346" t="s">
        <v>43</v>
      </c>
      <c r="J1361" s="276" t="str">
        <f>IF(ISBLANK(INDEX('Policy Characteristics'!D:D,MATCH($C1361,'Policy Characteristics'!$C:$C,0))),"",INDEX('Policy Characteristics'!D:D,MATCH($C1361,'Policy Characteristics'!$C:$C,0)))</f>
        <v>R&amp;D Capital Cost Reductions</v>
      </c>
      <c r="K1361" s="275" t="str">
        <f>IF(ISBLANK(INDEX('Policy Characteristics'!E:E,MATCH($C1361,'Policy Characteristics'!$C:$C,0))),"",INDEX('Policy Characteristics'!E:E,MATCH($C1361,'Policy Characteristics'!$C:$C,0)))</f>
        <v>RnD building capital cost reduction</v>
      </c>
      <c r="L1361" s="283">
        <f>IF(ISBLANK(INDEX('Policy Characteristics'!F:F,MATCH($C1361,'Policy Characteristics'!$C:$C,0))),"",INDEX('Policy Characteristics'!F:F,MATCH($C1361,'Policy Characteristics'!$C:$C,0)))</f>
        <v>0</v>
      </c>
      <c r="M1361" s="283">
        <f>IF(ISBLANK(INDEX('Policy Characteristics'!G:G,MATCH($C1361,'Policy Characteristics'!$C:$C,0))),"",INDEX('Policy Characteristics'!G:G,MATCH($C1361,'Policy Characteristics'!$C:$C,0)))</f>
        <v>0.4</v>
      </c>
      <c r="N1361" s="283">
        <f>IF(ISBLANK(INDEX('Policy Characteristics'!H:H,MATCH($C1361,'Policy Characteristics'!$C:$C,0))),"",INDEX('Policy Characteristics'!H:H,MATCH($C1361,'Policy Characteristics'!$C:$C,0)))</f>
        <v>0.01</v>
      </c>
      <c r="O1361" s="275" t="str">
        <f>IF(ISBLANK(INDEX('Policy Characteristics'!I:I,MATCH($C1361,'Policy Characteristics'!$C:$C,0))),"",INDEX('Policy Characteristics'!I:I,MATCH($C1361,'Policy Characteristics'!$C:$C,0)))</f>
        <v>% reduction in cost</v>
      </c>
      <c r="P1361" s="275" t="str">
        <f>IF(ISBLANK(INDEX('Policy Characteristics'!J:J,MATCH($C1361,'Policy Characteristics'!$C:$C,0))),"",INDEX('Policy Characteristics'!J:J,MATCH($C1361,'Policy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1" s="275" t="str">
        <f>IF(ISBLANK(INDEX('Policy Characteristics'!K:K,MATCH($C1361,'Policy Characteristics'!$C:$C,0))),"",INDEX('Policy Characteristics'!K:K,MATCH($C1361,'Policy Characteristics'!$C:$C,0)))</f>
        <v>architectural-design.html#rnd</v>
      </c>
      <c r="R1361" s="275" t="str">
        <f>IF(ISBLANK(INDEX('Policy Characteristics'!L:L,MATCH($C1361,'Policy Characteristics'!$C:$C,0))),"",INDEX('Policy Characteristics'!L:L,MATCH($C1361,'Policy Characteristics'!$C:$C,0)))</f>
        <v>research-and-development.html</v>
      </c>
    </row>
    <row r="1362" spans="1:18" x14ac:dyDescent="0.25">
      <c r="A1362" s="275" t="str">
        <f>IF(ISBLANK(INDEX('Policy Characteristics'!A:A,MATCH($C1362,'Policy Characteristics'!$C:$C,0))),"",INDEX('Policy Characteristics'!A:A,MATCH($C1362,'Policy Characteristics'!$C:$C,0)))</f>
        <v>Research and Development</v>
      </c>
      <c r="B1362" s="284" t="str">
        <f>IF(ISBLANK(INDEX('Policy Characteristics'!B:B,MATCH($C1362,'Policy Characteristics'!$C:$C,0))),"",INDEX('Policy Characteristics'!B:B,MATCH($C1362,'Policy Characteristics'!$C:$C,0)))</f>
        <v>Capital Cost Reduction</v>
      </c>
      <c r="C1362" s="275" t="str">
        <f t="shared" si="61"/>
        <v>RnD Building Capital Cost Perc Reduction</v>
      </c>
      <c r="D1362" s="47" t="s">
        <v>119</v>
      </c>
      <c r="E1362" s="47"/>
      <c r="F1362" s="47" t="s">
        <v>320</v>
      </c>
      <c r="G1362" s="47"/>
      <c r="H1362" s="44">
        <v>89</v>
      </c>
      <c r="I1362" s="346" t="s">
        <v>43</v>
      </c>
      <c r="J1362" s="276" t="str">
        <f>IF(ISBLANK(INDEX('Policy Characteristics'!D:D,MATCH($C1362,'Policy Characteristics'!$C:$C,0))),"",INDEX('Policy Characteristics'!D:D,MATCH($C1362,'Policy Characteristics'!$C:$C,0)))</f>
        <v>R&amp;D Capital Cost Reductions</v>
      </c>
      <c r="K1362" s="275" t="str">
        <f>IF(ISBLANK(INDEX('Policy Characteristics'!E:E,MATCH($C1362,'Policy Characteristics'!$C:$C,0))),"",INDEX('Policy Characteristics'!E:E,MATCH($C1362,'Policy Characteristics'!$C:$C,0)))</f>
        <v>RnD building capital cost reduction</v>
      </c>
      <c r="L1362" s="283">
        <f>IF(ISBLANK(INDEX('Policy Characteristics'!F:F,MATCH($C1362,'Policy Characteristics'!$C:$C,0))),"",INDEX('Policy Characteristics'!F:F,MATCH($C1362,'Policy Characteristics'!$C:$C,0)))</f>
        <v>0</v>
      </c>
      <c r="M1362" s="283">
        <f>IF(ISBLANK(INDEX('Policy Characteristics'!G:G,MATCH($C1362,'Policy Characteristics'!$C:$C,0))),"",INDEX('Policy Characteristics'!G:G,MATCH($C1362,'Policy Characteristics'!$C:$C,0)))</f>
        <v>0.4</v>
      </c>
      <c r="N1362" s="283">
        <f>IF(ISBLANK(INDEX('Policy Characteristics'!H:H,MATCH($C1362,'Policy Characteristics'!$C:$C,0))),"",INDEX('Policy Characteristics'!H:H,MATCH($C1362,'Policy Characteristics'!$C:$C,0)))</f>
        <v>0.01</v>
      </c>
      <c r="O1362" s="275" t="str">
        <f>IF(ISBLANK(INDEX('Policy Characteristics'!I:I,MATCH($C1362,'Policy Characteristics'!$C:$C,0))),"",INDEX('Policy Characteristics'!I:I,MATCH($C1362,'Policy Characteristics'!$C:$C,0)))</f>
        <v>% reduction in cost</v>
      </c>
      <c r="P1362" s="275" t="str">
        <f>IF(ISBLANK(INDEX('Policy Characteristics'!J:J,MATCH($C1362,'Policy Characteristics'!$C:$C,0))),"",INDEX('Policy Characteristics'!J:J,MATCH($C1362,'Policy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2" s="275" t="str">
        <f>IF(ISBLANK(INDEX('Policy Characteristics'!K:K,MATCH($C1362,'Policy Characteristics'!$C:$C,0))),"",INDEX('Policy Characteristics'!K:K,MATCH($C1362,'Policy Characteristics'!$C:$C,0)))</f>
        <v>architectural-design.html#rnd</v>
      </c>
      <c r="R1362" s="275" t="str">
        <f>IF(ISBLANK(INDEX('Policy Characteristics'!L:L,MATCH($C1362,'Policy Characteristics'!$C:$C,0))),"",INDEX('Policy Characteristics'!L:L,MATCH($C1362,'Policy Characteristics'!$C:$C,0)))</f>
        <v>research-and-development.html</v>
      </c>
    </row>
    <row r="1363" spans="1:18" x14ac:dyDescent="0.25">
      <c r="A1363" s="275" t="str">
        <f>IF(ISBLANK(INDEX('Policy Characteristics'!A:A,MATCH($C1363,'Policy Characteristics'!$C:$C,0))),"",INDEX('Policy Characteristics'!A:A,MATCH($C1363,'Policy Characteristics'!$C:$C,0)))</f>
        <v>Research and Development</v>
      </c>
      <c r="B1363" s="284" t="str">
        <f>IF(ISBLANK(INDEX('Policy Characteristics'!B:B,MATCH($C1363,'Policy Characteristics'!$C:$C,0))),"",INDEX('Policy Characteristics'!B:B,MATCH($C1363,'Policy Characteristics'!$C:$C,0)))</f>
        <v>Capital Cost Reduction</v>
      </c>
      <c r="C1363" s="275" t="str">
        <f t="shared" si="61"/>
        <v>RnD Building Capital Cost Perc Reduction</v>
      </c>
      <c r="D1363" s="47" t="s">
        <v>120</v>
      </c>
      <c r="E1363" s="47"/>
      <c r="F1363" s="47" t="s">
        <v>321</v>
      </c>
      <c r="G1363" s="47"/>
      <c r="H1363" s="44">
        <v>90</v>
      </c>
      <c r="I1363" s="346" t="s">
        <v>43</v>
      </c>
      <c r="J1363" s="276" t="str">
        <f>IF(ISBLANK(INDEX('Policy Characteristics'!D:D,MATCH($C1363,'Policy Characteristics'!$C:$C,0))),"",INDEX('Policy Characteristics'!D:D,MATCH($C1363,'Policy Characteristics'!$C:$C,0)))</f>
        <v>R&amp;D Capital Cost Reductions</v>
      </c>
      <c r="K1363" s="275" t="str">
        <f>IF(ISBLANK(INDEX('Policy Characteristics'!E:E,MATCH($C1363,'Policy Characteristics'!$C:$C,0))),"",INDEX('Policy Characteristics'!E:E,MATCH($C1363,'Policy Characteristics'!$C:$C,0)))</f>
        <v>RnD building capital cost reduction</v>
      </c>
      <c r="L1363" s="283">
        <f>IF(ISBLANK(INDEX('Policy Characteristics'!F:F,MATCH($C1363,'Policy Characteristics'!$C:$C,0))),"",INDEX('Policy Characteristics'!F:F,MATCH($C1363,'Policy Characteristics'!$C:$C,0)))</f>
        <v>0</v>
      </c>
      <c r="M1363" s="283">
        <f>IF(ISBLANK(INDEX('Policy Characteristics'!G:G,MATCH($C1363,'Policy Characteristics'!$C:$C,0))),"",INDEX('Policy Characteristics'!G:G,MATCH($C1363,'Policy Characteristics'!$C:$C,0)))</f>
        <v>0.4</v>
      </c>
      <c r="N1363" s="283">
        <f>IF(ISBLANK(INDEX('Policy Characteristics'!H:H,MATCH($C1363,'Policy Characteristics'!$C:$C,0))),"",INDEX('Policy Characteristics'!H:H,MATCH($C1363,'Policy Characteristics'!$C:$C,0)))</f>
        <v>0.01</v>
      </c>
      <c r="O1363" s="275" t="str">
        <f>IF(ISBLANK(INDEX('Policy Characteristics'!I:I,MATCH($C1363,'Policy Characteristics'!$C:$C,0))),"",INDEX('Policy Characteristics'!I:I,MATCH($C1363,'Policy Characteristics'!$C:$C,0)))</f>
        <v>% reduction in cost</v>
      </c>
      <c r="P1363" s="275" t="str">
        <f>IF(ISBLANK(INDEX('Policy Characteristics'!J:J,MATCH($C1363,'Policy Characteristics'!$C:$C,0))),"",INDEX('Policy Characteristics'!J:J,MATCH($C1363,'Policy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3" s="275" t="str">
        <f>IF(ISBLANK(INDEX('Policy Characteristics'!K:K,MATCH($C1363,'Policy Characteristics'!$C:$C,0))),"",INDEX('Policy Characteristics'!K:K,MATCH($C1363,'Policy Characteristics'!$C:$C,0)))</f>
        <v>architectural-design.html#rnd</v>
      </c>
      <c r="R1363" s="275" t="str">
        <f>IF(ISBLANK(INDEX('Policy Characteristics'!L:L,MATCH($C1363,'Policy Characteristics'!$C:$C,0))),"",INDEX('Policy Characteristics'!L:L,MATCH($C1363,'Policy Characteristics'!$C:$C,0)))</f>
        <v>research-and-development.html</v>
      </c>
    </row>
    <row r="1364" spans="1:18" x14ac:dyDescent="0.25">
      <c r="A1364" s="275" t="str">
        <f>IF(ISBLANK(INDEX('Policy Characteristics'!A:A,MATCH($C1364,'Policy Characteristics'!$C:$C,0))),"",INDEX('Policy Characteristics'!A:A,MATCH($C1364,'Policy Characteristics'!$C:$C,0)))</f>
        <v>Research and Development</v>
      </c>
      <c r="B1364" s="284" t="str">
        <f>IF(ISBLANK(INDEX('Policy Characteristics'!B:B,MATCH($C1364,'Policy Characteristics'!$C:$C,0))),"",INDEX('Policy Characteristics'!B:B,MATCH($C1364,'Policy Characteristics'!$C:$C,0)))</f>
        <v>Capital Cost Reduction</v>
      </c>
      <c r="C1364" t="s">
        <v>290</v>
      </c>
      <c r="D1364" s="47"/>
      <c r="E1364" s="47"/>
      <c r="F1364" s="47" t="s">
        <v>26</v>
      </c>
      <c r="G1364" s="47"/>
      <c r="H1364" s="44">
        <v>91</v>
      </c>
      <c r="I1364" s="346" t="s">
        <v>43</v>
      </c>
      <c r="J1364" s="276" t="str">
        <f>IF(ISBLANK(INDEX('Policy Characteristics'!D:D,MATCH($C1364,'Policy Characteristics'!$C:$C,0))),"",INDEX('Policy Characteristics'!D:D,MATCH($C1364,'Policy Characteristics'!$C:$C,0)))</f>
        <v>R&amp;D Capital Cost Reductions</v>
      </c>
      <c r="K1364" s="275" t="str">
        <f>IF(ISBLANK(INDEX('Policy Characteristics'!E:E,MATCH($C1364,'Policy Characteristics'!$C:$C,0))),"",INDEX('Policy Characteristics'!E:E,MATCH($C1364,'Policy Characteristics'!$C:$C,0)))</f>
        <v>RnD CCS capital cost reduction</v>
      </c>
      <c r="L1364" s="283">
        <f>IF(ISBLANK(INDEX('Policy Characteristics'!F:F,MATCH($C1364,'Policy Characteristics'!$C:$C,0))),"",INDEX('Policy Characteristics'!F:F,MATCH($C1364,'Policy Characteristics'!$C:$C,0)))</f>
        <v>0</v>
      </c>
      <c r="M1364" s="283">
        <f>IF(ISBLANK(INDEX('Policy Characteristics'!G:G,MATCH($C1364,'Policy Characteristics'!$C:$C,0))),"",INDEX('Policy Characteristics'!G:G,MATCH($C1364,'Policy Characteristics'!$C:$C,0)))</f>
        <v>0.4</v>
      </c>
      <c r="N1364" s="283">
        <f>IF(ISBLANK(INDEX('Policy Characteristics'!H:H,MATCH($C1364,'Policy Characteristics'!$C:$C,0))),"",INDEX('Policy Characteristics'!H:H,MATCH($C1364,'Policy Characteristics'!$C:$C,0)))</f>
        <v>0.01</v>
      </c>
      <c r="O1364" s="275" t="str">
        <f>IF(ISBLANK(INDEX('Policy Characteristics'!I:I,MATCH($C1364,'Policy Characteristics'!$C:$C,0))),"",INDEX('Policy Characteristics'!I:I,MATCH($C1364,'Policy Characteristics'!$C:$C,0)))</f>
        <v>% reduction in cost</v>
      </c>
      <c r="P1364" s="275" t="str">
        <f>IF(ISBLANK(INDEX('Policy Characteristics'!J:J,MATCH($C1364,'Policy Characteristics'!$C:$C,0))),"",INDEX('Policy Characteristics'!J:J,MATCH($C1364,'Policy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4" s="275" t="str">
        <f>IF(ISBLANK(INDEX('Policy Characteristics'!K:K,MATCH($C1364,'Policy Characteristics'!$C:$C,0))),"",INDEX('Policy Characteristics'!K:K,MATCH($C1364,'Policy Characteristics'!$C:$C,0)))</f>
        <v>architectural-design.html#rnd</v>
      </c>
      <c r="R1364" s="275" t="str">
        <f>IF(ISBLANK(INDEX('Policy Characteristics'!L:L,MATCH($C1364,'Policy Characteristics'!$C:$C,0))),"",INDEX('Policy Characteristics'!L:L,MATCH($C1364,'Policy Characteristics'!$C:$C,0)))</f>
        <v>research-and-development.html</v>
      </c>
    </row>
    <row r="1365" spans="1:18" x14ac:dyDescent="0.25">
      <c r="A1365" s="275" t="str">
        <f>IF(ISBLANK(INDEX('Policy Characteristics'!A:A,MATCH($C1365,'Policy Characteristics'!$C:$C,0))),"",INDEX('Policy Characteristics'!A:A,MATCH($C1365,'Policy Characteristics'!$C:$C,0)))</f>
        <v>Research and Development</v>
      </c>
      <c r="B1365" s="284" t="str">
        <f>IF(ISBLANK(INDEX('Policy Characteristics'!B:B,MATCH($C1365,'Policy Characteristics'!$C:$C,0))),"",INDEX('Policy Characteristics'!B:B,MATCH($C1365,'Policy Characteristics'!$C:$C,0)))</f>
        <v>Capital Cost Reduction</v>
      </c>
      <c r="C1365" t="s">
        <v>291</v>
      </c>
      <c r="D1365" s="47" t="s">
        <v>448</v>
      </c>
      <c r="E1365" s="47"/>
      <c r="F1365" s="47" t="s">
        <v>451</v>
      </c>
      <c r="G1365" s="47"/>
      <c r="H1365" s="44">
        <v>92</v>
      </c>
      <c r="I1365" s="346" t="s">
        <v>43</v>
      </c>
      <c r="J1365" s="276" t="str">
        <f>IF(ISBLANK(INDEX('Policy Characteristics'!D:D,MATCH($C1365,'Policy Characteristics'!$C:$C,0))),"",INDEX('Policy Characteristics'!D:D,MATCH($C1365,'Policy Characteristics'!$C:$C,0)))</f>
        <v>R&amp;D Capital Cost Reductions</v>
      </c>
      <c r="K1365" s="275" t="str">
        <f>IF(ISBLANK(INDEX('Policy Characteristics'!E:E,MATCH($C1365,'Policy Characteristics'!$C:$C,0))),"",INDEX('Policy Characteristics'!E:E,MATCH($C1365,'Policy Characteristics'!$C:$C,0)))</f>
        <v>RnD electricity capital cost reduction</v>
      </c>
      <c r="L1365" s="283">
        <f>IF(ISBLANK(INDEX('Policy Characteristics'!F:F,MATCH($C1365,'Policy Characteristics'!$C:$C,0))),"",INDEX('Policy Characteristics'!F:F,MATCH($C1365,'Policy Characteristics'!$C:$C,0)))</f>
        <v>0</v>
      </c>
      <c r="M1365" s="283">
        <f>IF(ISBLANK(INDEX('Policy Characteristics'!G:G,MATCH($C1365,'Policy Characteristics'!$C:$C,0))),"",INDEX('Policy Characteristics'!G:G,MATCH($C1365,'Policy Characteristics'!$C:$C,0)))</f>
        <v>0.4</v>
      </c>
      <c r="N1365" s="283">
        <f>IF(ISBLANK(INDEX('Policy Characteristics'!H:H,MATCH($C1365,'Policy Characteristics'!$C:$C,0))),"",INDEX('Policy Characteristics'!H:H,MATCH($C1365,'Policy Characteristics'!$C:$C,0)))</f>
        <v>0.01</v>
      </c>
      <c r="O1365" s="275" t="str">
        <f>IF(ISBLANK(INDEX('Policy Characteristics'!I:I,MATCH($C1365,'Policy Characteristics'!$C:$C,0))),"",INDEX('Policy Characteristics'!I:I,MATCH($C1365,'Policy Characteristics'!$C:$C,0)))</f>
        <v>% reduction in cost</v>
      </c>
      <c r="P1365" s="275" t="str">
        <f>IF(ISBLANK(INDEX('Policy Characteristics'!J:J,MATCH($C1365,'Policy Characteristics'!$C:$C,0))),"",INDEX('Policy Characteristics'!J:J,MATCH($C1365,'Policy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5" s="275" t="str">
        <f>IF(ISBLANK(INDEX('Policy Characteristics'!K:K,MATCH($C1365,'Policy Characteristics'!$C:$C,0))),"",INDEX('Policy Characteristics'!K:K,MATCH($C1365,'Policy Characteristics'!$C:$C,0)))</f>
        <v>architectural-design.html#rnd</v>
      </c>
      <c r="R1365" s="275" t="str">
        <f>IF(ISBLANK(INDEX('Policy Characteristics'!L:L,MATCH($C1365,'Policy Characteristics'!$C:$C,0))),"",INDEX('Policy Characteristics'!L:L,MATCH($C1365,'Policy Characteristics'!$C:$C,0)))</f>
        <v>research-and-development.html</v>
      </c>
    </row>
    <row r="1366" spans="1:18" x14ac:dyDescent="0.25">
      <c r="A1366" s="275" t="str">
        <f>IF(ISBLANK(INDEX('Policy Characteristics'!A:A,MATCH($C1366,'Policy Characteristics'!$C:$C,0))),"",INDEX('Policy Characteristics'!A:A,MATCH($C1366,'Policy Characteristics'!$C:$C,0)))</f>
        <v>Research and Development</v>
      </c>
      <c r="B1366" s="284" t="str">
        <f>IF(ISBLANK(INDEX('Policy Characteristics'!B:B,MATCH($C1366,'Policy Characteristics'!$C:$C,0))),"",INDEX('Policy Characteristics'!B:B,MATCH($C1366,'Policy Characteristics'!$C:$C,0)))</f>
        <v>Capital Cost Reduction</v>
      </c>
      <c r="C1366" s="275" t="str">
        <f t="shared" ref="C1366:C1388" si="62">C$1365</f>
        <v>RnD Electricity Capital Cost Perc Reduction</v>
      </c>
      <c r="D1366" s="6" t="s">
        <v>3520</v>
      </c>
      <c r="E1366" s="47"/>
      <c r="F1366" s="6" t="s">
        <v>3533</v>
      </c>
      <c r="G1366" s="47"/>
      <c r="H1366" s="44">
        <v>93</v>
      </c>
      <c r="I1366" s="346" t="s">
        <v>43</v>
      </c>
      <c r="J1366" s="276" t="str">
        <f>IF(ISBLANK(INDEX('Policy Characteristics'!D:D,MATCH($C1366,'Policy Characteristics'!$C:$C,0))),"",INDEX('Policy Characteristics'!D:D,MATCH($C1366,'Policy Characteristics'!$C:$C,0)))</f>
        <v>R&amp;D Capital Cost Reductions</v>
      </c>
      <c r="K1366" s="275" t="str">
        <f>IF(ISBLANK(INDEX('Policy Characteristics'!E:E,MATCH($C1366,'Policy Characteristics'!$C:$C,0))),"",INDEX('Policy Characteristics'!E:E,MATCH($C1366,'Policy Characteristics'!$C:$C,0)))</f>
        <v>RnD electricity capital cost reduction</v>
      </c>
      <c r="L1366" s="283">
        <f>IF(ISBLANK(INDEX('Policy Characteristics'!F:F,MATCH($C1366,'Policy Characteristics'!$C:$C,0))),"",INDEX('Policy Characteristics'!F:F,MATCH($C1366,'Policy Characteristics'!$C:$C,0)))</f>
        <v>0</v>
      </c>
      <c r="M1366" s="283">
        <f>IF(ISBLANK(INDEX('Policy Characteristics'!G:G,MATCH($C1366,'Policy Characteristics'!$C:$C,0))),"",INDEX('Policy Characteristics'!G:G,MATCH($C1366,'Policy Characteristics'!$C:$C,0)))</f>
        <v>0.4</v>
      </c>
      <c r="N1366" s="283">
        <f>IF(ISBLANK(INDEX('Policy Characteristics'!H:H,MATCH($C1366,'Policy Characteristics'!$C:$C,0))),"",INDEX('Policy Characteristics'!H:H,MATCH($C1366,'Policy Characteristics'!$C:$C,0)))</f>
        <v>0.01</v>
      </c>
      <c r="O1366" s="275" t="str">
        <f>IF(ISBLANK(INDEX('Policy Characteristics'!I:I,MATCH($C1366,'Policy Characteristics'!$C:$C,0))),"",INDEX('Policy Characteristics'!I:I,MATCH($C1366,'Policy Characteristics'!$C:$C,0)))</f>
        <v>% reduction in cost</v>
      </c>
      <c r="P1366" s="275" t="str">
        <f>IF(ISBLANK(INDEX('Policy Characteristics'!J:J,MATCH($C1366,'Policy Characteristics'!$C:$C,0))),"",INDEX('Policy Characteristics'!J:J,MATCH($C1366,'Policy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6" s="275" t="str">
        <f>IF(ISBLANK(INDEX('Policy Characteristics'!K:K,MATCH($C1366,'Policy Characteristics'!$C:$C,0))),"",INDEX('Policy Characteristics'!K:K,MATCH($C1366,'Policy Characteristics'!$C:$C,0)))</f>
        <v>architectural-design.html#rnd</v>
      </c>
      <c r="R1366" s="275" t="str">
        <f>IF(ISBLANK(INDEX('Policy Characteristics'!L:L,MATCH($C1366,'Policy Characteristics'!$C:$C,0))),"",INDEX('Policy Characteristics'!L:L,MATCH($C1366,'Policy Characteristics'!$C:$C,0)))</f>
        <v>research-and-development.html</v>
      </c>
    </row>
    <row r="1367" spans="1:18" x14ac:dyDescent="0.25">
      <c r="A1367" s="275" t="str">
        <f>IF(ISBLANK(INDEX('Policy Characteristics'!A:A,MATCH($C1367,'Policy Characteristics'!$C:$C,0))),"",INDEX('Policy Characteristics'!A:A,MATCH($C1367,'Policy Characteristics'!$C:$C,0)))</f>
        <v>Research and Development</v>
      </c>
      <c r="B1367" s="284" t="str">
        <f>IF(ISBLANK(INDEX('Policy Characteristics'!B:B,MATCH($C1367,'Policy Characteristics'!$C:$C,0))),"",INDEX('Policy Characteristics'!B:B,MATCH($C1367,'Policy Characteristics'!$C:$C,0)))</f>
        <v>Capital Cost Reduction</v>
      </c>
      <c r="C1367" s="275" t="str">
        <f t="shared" si="62"/>
        <v>RnD Electricity Capital Cost Perc Reduction</v>
      </c>
      <c r="D1367" s="6" t="s">
        <v>3521</v>
      </c>
      <c r="E1367" s="47"/>
      <c r="F1367" s="6" t="s">
        <v>3534</v>
      </c>
      <c r="G1367" s="47"/>
      <c r="H1367" s="44">
        <v>1810</v>
      </c>
      <c r="I1367" s="346" t="s">
        <v>43</v>
      </c>
      <c r="J1367" s="276" t="str">
        <f>IF(ISBLANK(INDEX('Policy Characteristics'!D:D,MATCH($C1367,'Policy Characteristics'!$C:$C,0))),"",INDEX('Policy Characteristics'!D:D,MATCH($C1367,'Policy Characteristics'!$C:$C,0)))</f>
        <v>R&amp;D Capital Cost Reductions</v>
      </c>
      <c r="K1367" s="275" t="str">
        <f>IF(ISBLANK(INDEX('Policy Characteristics'!E:E,MATCH($C1367,'Policy Characteristics'!$C:$C,0))),"",INDEX('Policy Characteristics'!E:E,MATCH($C1367,'Policy Characteristics'!$C:$C,0)))</f>
        <v>RnD electricity capital cost reduction</v>
      </c>
      <c r="L1367" s="283">
        <f>IF(ISBLANK(INDEX('Policy Characteristics'!F:F,MATCH($C1367,'Policy Characteristics'!$C:$C,0))),"",INDEX('Policy Characteristics'!F:F,MATCH($C1367,'Policy Characteristics'!$C:$C,0)))</f>
        <v>0</v>
      </c>
      <c r="M1367" s="283">
        <f>IF(ISBLANK(INDEX('Policy Characteristics'!G:G,MATCH($C1367,'Policy Characteristics'!$C:$C,0))),"",INDEX('Policy Characteristics'!G:G,MATCH($C1367,'Policy Characteristics'!$C:$C,0)))</f>
        <v>0.4</v>
      </c>
      <c r="N1367" s="283">
        <f>IF(ISBLANK(INDEX('Policy Characteristics'!H:H,MATCH($C1367,'Policy Characteristics'!$C:$C,0))),"",INDEX('Policy Characteristics'!H:H,MATCH($C1367,'Policy Characteristics'!$C:$C,0)))</f>
        <v>0.01</v>
      </c>
      <c r="O1367" s="275" t="str">
        <f>IF(ISBLANK(INDEX('Policy Characteristics'!I:I,MATCH($C1367,'Policy Characteristics'!$C:$C,0))),"",INDEX('Policy Characteristics'!I:I,MATCH($C1367,'Policy Characteristics'!$C:$C,0)))</f>
        <v>% reduction in cost</v>
      </c>
      <c r="P1367" s="275" t="str">
        <f>IF(ISBLANK(INDEX('Policy Characteristics'!J:J,MATCH($C1367,'Policy Characteristics'!$C:$C,0))),"",INDEX('Policy Characteristics'!J:J,MATCH($C1367,'Policy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7" s="275" t="str">
        <f>IF(ISBLANK(INDEX('Policy Characteristics'!K:K,MATCH($C1367,'Policy Characteristics'!$C:$C,0))),"",INDEX('Policy Characteristics'!K:K,MATCH($C1367,'Policy Characteristics'!$C:$C,0)))</f>
        <v>architectural-design.html#rnd</v>
      </c>
      <c r="R1367" s="275" t="str">
        <f>IF(ISBLANK(INDEX('Policy Characteristics'!L:L,MATCH($C1367,'Policy Characteristics'!$C:$C,0))),"",INDEX('Policy Characteristics'!L:L,MATCH($C1367,'Policy Characteristics'!$C:$C,0)))</f>
        <v>research-and-development.html</v>
      </c>
    </row>
    <row r="1368" spans="1:18" x14ac:dyDescent="0.25">
      <c r="A1368" s="275" t="str">
        <f>IF(ISBLANK(INDEX('Policy Characteristics'!A:A,MATCH($C1368,'Policy Characteristics'!$C:$C,0))),"",INDEX('Policy Characteristics'!A:A,MATCH($C1368,'Policy Characteristics'!$C:$C,0)))</f>
        <v>Research and Development</v>
      </c>
      <c r="B1368" s="284" t="str">
        <f>IF(ISBLANK(INDEX('Policy Characteristics'!B:B,MATCH($C1368,'Policy Characteristics'!$C:$C,0))),"",INDEX('Policy Characteristics'!B:B,MATCH($C1368,'Policy Characteristics'!$C:$C,0)))</f>
        <v>Capital Cost Reduction</v>
      </c>
      <c r="C1368" s="275" t="str">
        <f t="shared" si="62"/>
        <v>RnD Electricity Capital Cost Perc Reduction</v>
      </c>
      <c r="D1368" s="6" t="s">
        <v>76</v>
      </c>
      <c r="E1368" s="47"/>
      <c r="F1368" s="6" t="s">
        <v>3535</v>
      </c>
      <c r="G1368" s="47"/>
      <c r="H1368" s="44">
        <v>94</v>
      </c>
      <c r="I1368" s="346" t="s">
        <v>43</v>
      </c>
      <c r="J1368" s="276" t="str">
        <f>IF(ISBLANK(INDEX('Policy Characteristics'!D:D,MATCH($C1368,'Policy Characteristics'!$C:$C,0))),"",INDEX('Policy Characteristics'!D:D,MATCH($C1368,'Policy Characteristics'!$C:$C,0)))</f>
        <v>R&amp;D Capital Cost Reductions</v>
      </c>
      <c r="K1368" s="275" t="str">
        <f>IF(ISBLANK(INDEX('Policy Characteristics'!E:E,MATCH($C1368,'Policy Characteristics'!$C:$C,0))),"",INDEX('Policy Characteristics'!E:E,MATCH($C1368,'Policy Characteristics'!$C:$C,0)))</f>
        <v>RnD electricity capital cost reduction</v>
      </c>
      <c r="L1368" s="283">
        <f>IF(ISBLANK(INDEX('Policy Characteristics'!F:F,MATCH($C1368,'Policy Characteristics'!$C:$C,0))),"",INDEX('Policy Characteristics'!F:F,MATCH($C1368,'Policy Characteristics'!$C:$C,0)))</f>
        <v>0</v>
      </c>
      <c r="M1368" s="283">
        <f>IF(ISBLANK(INDEX('Policy Characteristics'!G:G,MATCH($C1368,'Policy Characteristics'!$C:$C,0))),"",INDEX('Policy Characteristics'!G:G,MATCH($C1368,'Policy Characteristics'!$C:$C,0)))</f>
        <v>0.4</v>
      </c>
      <c r="N1368" s="283">
        <f>IF(ISBLANK(INDEX('Policy Characteristics'!H:H,MATCH($C1368,'Policy Characteristics'!$C:$C,0))),"",INDEX('Policy Characteristics'!H:H,MATCH($C1368,'Policy Characteristics'!$C:$C,0)))</f>
        <v>0.01</v>
      </c>
      <c r="O1368" s="275" t="str">
        <f>IF(ISBLANK(INDEX('Policy Characteristics'!I:I,MATCH($C1368,'Policy Characteristics'!$C:$C,0))),"",INDEX('Policy Characteristics'!I:I,MATCH($C1368,'Policy Characteristics'!$C:$C,0)))</f>
        <v>% reduction in cost</v>
      </c>
      <c r="P1368" s="275" t="str">
        <f>IF(ISBLANK(INDEX('Policy Characteristics'!J:J,MATCH($C1368,'Policy Characteristics'!$C:$C,0))),"",INDEX('Policy Characteristics'!J:J,MATCH($C1368,'Policy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8" s="275" t="str">
        <f>IF(ISBLANK(INDEX('Policy Characteristics'!K:K,MATCH($C1368,'Policy Characteristics'!$C:$C,0))),"",INDEX('Policy Characteristics'!K:K,MATCH($C1368,'Policy Characteristics'!$C:$C,0)))</f>
        <v>architectural-design.html#rnd</v>
      </c>
      <c r="R1368" s="275" t="str">
        <f>IF(ISBLANK(INDEX('Policy Characteristics'!L:L,MATCH($C1368,'Policy Characteristics'!$C:$C,0))),"",INDEX('Policy Characteristics'!L:L,MATCH($C1368,'Policy Characteristics'!$C:$C,0)))</f>
        <v>research-and-development.html</v>
      </c>
    </row>
    <row r="1369" spans="1:18" x14ac:dyDescent="0.25">
      <c r="A1369" s="275" t="str">
        <f>IF(ISBLANK(INDEX('Policy Characteristics'!A:A,MATCH($C1369,'Policy Characteristics'!$C:$C,0))),"",INDEX('Policy Characteristics'!A:A,MATCH($C1369,'Policy Characteristics'!$C:$C,0)))</f>
        <v>Research and Development</v>
      </c>
      <c r="B1369" s="284" t="str">
        <f>IF(ISBLANK(INDEX('Policy Characteristics'!B:B,MATCH($C1369,'Policy Characteristics'!$C:$C,0))),"",INDEX('Policy Characteristics'!B:B,MATCH($C1369,'Policy Characteristics'!$C:$C,0)))</f>
        <v>Capital Cost Reduction</v>
      </c>
      <c r="C1369" s="275" t="str">
        <f t="shared" si="62"/>
        <v>RnD Electricity Capital Cost Perc Reduction</v>
      </c>
      <c r="D1369" s="6" t="s">
        <v>77</v>
      </c>
      <c r="E1369" s="47"/>
      <c r="F1369" s="6" t="s">
        <v>322</v>
      </c>
      <c r="G1369" s="47"/>
      <c r="H1369" s="44">
        <v>95</v>
      </c>
      <c r="I1369" s="346" t="s">
        <v>43</v>
      </c>
      <c r="J1369" s="276" t="str">
        <f>IF(ISBLANK(INDEX('Policy Characteristics'!D:D,MATCH($C1369,'Policy Characteristics'!$C:$C,0))),"",INDEX('Policy Characteristics'!D:D,MATCH($C1369,'Policy Characteristics'!$C:$C,0)))</f>
        <v>R&amp;D Capital Cost Reductions</v>
      </c>
      <c r="K1369" s="275" t="str">
        <f>IF(ISBLANK(INDEX('Policy Characteristics'!E:E,MATCH($C1369,'Policy Characteristics'!$C:$C,0))),"",INDEX('Policy Characteristics'!E:E,MATCH($C1369,'Policy Characteristics'!$C:$C,0)))</f>
        <v>RnD electricity capital cost reduction</v>
      </c>
      <c r="L1369" s="283">
        <f>IF(ISBLANK(INDEX('Policy Characteristics'!F:F,MATCH($C1369,'Policy Characteristics'!$C:$C,0))),"",INDEX('Policy Characteristics'!F:F,MATCH($C1369,'Policy Characteristics'!$C:$C,0)))</f>
        <v>0</v>
      </c>
      <c r="M1369" s="283">
        <f>IF(ISBLANK(INDEX('Policy Characteristics'!G:G,MATCH($C1369,'Policy Characteristics'!$C:$C,0))),"",INDEX('Policy Characteristics'!G:G,MATCH($C1369,'Policy Characteristics'!$C:$C,0)))</f>
        <v>0.4</v>
      </c>
      <c r="N1369" s="283">
        <f>IF(ISBLANK(INDEX('Policy Characteristics'!H:H,MATCH($C1369,'Policy Characteristics'!$C:$C,0))),"",INDEX('Policy Characteristics'!H:H,MATCH($C1369,'Policy Characteristics'!$C:$C,0)))</f>
        <v>0.01</v>
      </c>
      <c r="O1369" s="275" t="str">
        <f>IF(ISBLANK(INDEX('Policy Characteristics'!I:I,MATCH($C1369,'Policy Characteristics'!$C:$C,0))),"",INDEX('Policy Characteristics'!I:I,MATCH($C1369,'Policy Characteristics'!$C:$C,0)))</f>
        <v>% reduction in cost</v>
      </c>
      <c r="P1369" s="275" t="str">
        <f>IF(ISBLANK(INDEX('Policy Characteristics'!J:J,MATCH($C1369,'Policy Characteristics'!$C:$C,0))),"",INDEX('Policy Characteristics'!J:J,MATCH($C1369,'Policy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9" s="275" t="str">
        <f>IF(ISBLANK(INDEX('Policy Characteristics'!K:K,MATCH($C1369,'Policy Characteristics'!$C:$C,0))),"",INDEX('Policy Characteristics'!K:K,MATCH($C1369,'Policy Characteristics'!$C:$C,0)))</f>
        <v>architectural-design.html#rnd</v>
      </c>
      <c r="R1369" s="275" t="str">
        <f>IF(ISBLANK(INDEX('Policy Characteristics'!L:L,MATCH($C1369,'Policy Characteristics'!$C:$C,0))),"",INDEX('Policy Characteristics'!L:L,MATCH($C1369,'Policy Characteristics'!$C:$C,0)))</f>
        <v>research-and-development.html</v>
      </c>
    </row>
    <row r="1370" spans="1:18" x14ac:dyDescent="0.25">
      <c r="A1370" s="275" t="str">
        <f>IF(ISBLANK(INDEX('Policy Characteristics'!A:A,MATCH($C1370,'Policy Characteristics'!$C:$C,0))),"",INDEX('Policy Characteristics'!A:A,MATCH($C1370,'Policy Characteristics'!$C:$C,0)))</f>
        <v>Research and Development</v>
      </c>
      <c r="B1370" s="284" t="str">
        <f>IF(ISBLANK(INDEX('Policy Characteristics'!B:B,MATCH($C1370,'Policy Characteristics'!$C:$C,0))),"",INDEX('Policy Characteristics'!B:B,MATCH($C1370,'Policy Characteristics'!$C:$C,0)))</f>
        <v>Capital Cost Reduction</v>
      </c>
      <c r="C1370" s="275" t="str">
        <f t="shared" si="62"/>
        <v>RnD Electricity Capital Cost Perc Reduction</v>
      </c>
      <c r="D1370" s="6" t="s">
        <v>449</v>
      </c>
      <c r="E1370" s="47"/>
      <c r="F1370" s="6" t="s">
        <v>453</v>
      </c>
      <c r="G1370" s="47"/>
      <c r="H1370" s="44">
        <v>96</v>
      </c>
      <c r="I1370" s="346" t="s">
        <v>43</v>
      </c>
      <c r="J1370" s="276" t="str">
        <f>IF(ISBLANK(INDEX('Policy Characteristics'!D:D,MATCH($C1370,'Policy Characteristics'!$C:$C,0))),"",INDEX('Policy Characteristics'!D:D,MATCH($C1370,'Policy Characteristics'!$C:$C,0)))</f>
        <v>R&amp;D Capital Cost Reductions</v>
      </c>
      <c r="K1370" s="275" t="str">
        <f>IF(ISBLANK(INDEX('Policy Characteristics'!E:E,MATCH($C1370,'Policy Characteristics'!$C:$C,0))),"",INDEX('Policy Characteristics'!E:E,MATCH($C1370,'Policy Characteristics'!$C:$C,0)))</f>
        <v>RnD electricity capital cost reduction</v>
      </c>
      <c r="L1370" s="283">
        <f>IF(ISBLANK(INDEX('Policy Characteristics'!F:F,MATCH($C1370,'Policy Characteristics'!$C:$C,0))),"",INDEX('Policy Characteristics'!F:F,MATCH($C1370,'Policy Characteristics'!$C:$C,0)))</f>
        <v>0</v>
      </c>
      <c r="M1370" s="283">
        <f>IF(ISBLANK(INDEX('Policy Characteristics'!G:G,MATCH($C1370,'Policy Characteristics'!$C:$C,0))),"",INDEX('Policy Characteristics'!G:G,MATCH($C1370,'Policy Characteristics'!$C:$C,0)))</f>
        <v>0.4</v>
      </c>
      <c r="N1370" s="283">
        <f>IF(ISBLANK(INDEX('Policy Characteristics'!H:H,MATCH($C1370,'Policy Characteristics'!$C:$C,0))),"",INDEX('Policy Characteristics'!H:H,MATCH($C1370,'Policy Characteristics'!$C:$C,0)))</f>
        <v>0.01</v>
      </c>
      <c r="O1370" s="275" t="str">
        <f>IF(ISBLANK(INDEX('Policy Characteristics'!I:I,MATCH($C1370,'Policy Characteristics'!$C:$C,0))),"",INDEX('Policy Characteristics'!I:I,MATCH($C1370,'Policy Characteristics'!$C:$C,0)))</f>
        <v>% reduction in cost</v>
      </c>
      <c r="P1370" s="275" t="str">
        <f>IF(ISBLANK(INDEX('Policy Characteristics'!J:J,MATCH($C1370,'Policy Characteristics'!$C:$C,0))),"",INDEX('Policy Characteristics'!J:J,MATCH($C1370,'Policy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0" s="275" t="str">
        <f>IF(ISBLANK(INDEX('Policy Characteristics'!K:K,MATCH($C1370,'Policy Characteristics'!$C:$C,0))),"",INDEX('Policy Characteristics'!K:K,MATCH($C1370,'Policy Characteristics'!$C:$C,0)))</f>
        <v>architectural-design.html#rnd</v>
      </c>
      <c r="R1370" s="275" t="str">
        <f>IF(ISBLANK(INDEX('Policy Characteristics'!L:L,MATCH($C1370,'Policy Characteristics'!$C:$C,0))),"",INDEX('Policy Characteristics'!L:L,MATCH($C1370,'Policy Characteristics'!$C:$C,0)))</f>
        <v>research-and-development.html</v>
      </c>
    </row>
    <row r="1371" spans="1:18" x14ac:dyDescent="0.25">
      <c r="A1371" s="275" t="str">
        <f>IF(ISBLANK(INDEX('Policy Characteristics'!A:A,MATCH($C1371,'Policy Characteristics'!$C:$C,0))),"",INDEX('Policy Characteristics'!A:A,MATCH($C1371,'Policy Characteristics'!$C:$C,0)))</f>
        <v>Research and Development</v>
      </c>
      <c r="B1371" s="284" t="str">
        <f>IF(ISBLANK(INDEX('Policy Characteristics'!B:B,MATCH($C1371,'Policy Characteristics'!$C:$C,0))),"",INDEX('Policy Characteristics'!B:B,MATCH($C1371,'Policy Characteristics'!$C:$C,0)))</f>
        <v>Capital Cost Reduction</v>
      </c>
      <c r="C1371" s="275" t="str">
        <f t="shared" si="62"/>
        <v>RnD Electricity Capital Cost Perc Reduction</v>
      </c>
      <c r="D1371" s="6" t="s">
        <v>78</v>
      </c>
      <c r="E1371" s="47"/>
      <c r="F1371" s="6" t="s">
        <v>323</v>
      </c>
      <c r="G1371" s="47"/>
      <c r="H1371" s="44">
        <v>97</v>
      </c>
      <c r="I1371" s="346" t="s">
        <v>43</v>
      </c>
      <c r="J1371" s="276" t="str">
        <f>IF(ISBLANK(INDEX('Policy Characteristics'!D:D,MATCH($C1371,'Policy Characteristics'!$C:$C,0))),"",INDEX('Policy Characteristics'!D:D,MATCH($C1371,'Policy Characteristics'!$C:$C,0)))</f>
        <v>R&amp;D Capital Cost Reductions</v>
      </c>
      <c r="K1371" s="275" t="str">
        <f>IF(ISBLANK(INDEX('Policy Characteristics'!E:E,MATCH($C1371,'Policy Characteristics'!$C:$C,0))),"",INDEX('Policy Characteristics'!E:E,MATCH($C1371,'Policy Characteristics'!$C:$C,0)))</f>
        <v>RnD electricity capital cost reduction</v>
      </c>
      <c r="L1371" s="283">
        <f>IF(ISBLANK(INDEX('Policy Characteristics'!F:F,MATCH($C1371,'Policy Characteristics'!$C:$C,0))),"",INDEX('Policy Characteristics'!F:F,MATCH($C1371,'Policy Characteristics'!$C:$C,0)))</f>
        <v>0</v>
      </c>
      <c r="M1371" s="283">
        <f>IF(ISBLANK(INDEX('Policy Characteristics'!G:G,MATCH($C1371,'Policy Characteristics'!$C:$C,0))),"",INDEX('Policy Characteristics'!G:G,MATCH($C1371,'Policy Characteristics'!$C:$C,0)))</f>
        <v>0.4</v>
      </c>
      <c r="N1371" s="283">
        <f>IF(ISBLANK(INDEX('Policy Characteristics'!H:H,MATCH($C1371,'Policy Characteristics'!$C:$C,0))),"",INDEX('Policy Characteristics'!H:H,MATCH($C1371,'Policy Characteristics'!$C:$C,0)))</f>
        <v>0.01</v>
      </c>
      <c r="O1371" s="275" t="str">
        <f>IF(ISBLANK(INDEX('Policy Characteristics'!I:I,MATCH($C1371,'Policy Characteristics'!$C:$C,0))),"",INDEX('Policy Characteristics'!I:I,MATCH($C1371,'Policy Characteristics'!$C:$C,0)))</f>
        <v>% reduction in cost</v>
      </c>
      <c r="P1371" s="275" t="str">
        <f>IF(ISBLANK(INDEX('Policy Characteristics'!J:J,MATCH($C1371,'Policy Characteristics'!$C:$C,0))),"",INDEX('Policy Characteristics'!J:J,MATCH($C1371,'Policy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1" s="275" t="str">
        <f>IF(ISBLANK(INDEX('Policy Characteristics'!K:K,MATCH($C1371,'Policy Characteristics'!$C:$C,0))),"",INDEX('Policy Characteristics'!K:K,MATCH($C1371,'Policy Characteristics'!$C:$C,0)))</f>
        <v>architectural-design.html#rnd</v>
      </c>
      <c r="R1371" s="275" t="str">
        <f>IF(ISBLANK(INDEX('Policy Characteristics'!L:L,MATCH($C1371,'Policy Characteristics'!$C:$C,0))),"",INDEX('Policy Characteristics'!L:L,MATCH($C1371,'Policy Characteristics'!$C:$C,0)))</f>
        <v>research-and-development.html</v>
      </c>
    </row>
    <row r="1372" spans="1:18" x14ac:dyDescent="0.25">
      <c r="A1372" s="275" t="str">
        <f>IF(ISBLANK(INDEX('Policy Characteristics'!A:A,MATCH($C1372,'Policy Characteristics'!$C:$C,0))),"",INDEX('Policy Characteristics'!A:A,MATCH($C1372,'Policy Characteristics'!$C:$C,0)))</f>
        <v>Research and Development</v>
      </c>
      <c r="B1372" s="284" t="str">
        <f>IF(ISBLANK(INDEX('Policy Characteristics'!B:B,MATCH($C1372,'Policy Characteristics'!$C:$C,0))),"",INDEX('Policy Characteristics'!B:B,MATCH($C1372,'Policy Characteristics'!$C:$C,0)))</f>
        <v>Capital Cost Reduction</v>
      </c>
      <c r="C1372" s="275" t="str">
        <f t="shared" si="62"/>
        <v>RnD Electricity Capital Cost Perc Reduction</v>
      </c>
      <c r="D1372" s="6" t="s">
        <v>79</v>
      </c>
      <c r="E1372" s="47"/>
      <c r="F1372" s="6" t="s">
        <v>324</v>
      </c>
      <c r="G1372" s="47"/>
      <c r="H1372" s="44">
        <v>98</v>
      </c>
      <c r="I1372" s="346" t="s">
        <v>43</v>
      </c>
      <c r="J1372" s="276" t="str">
        <f>IF(ISBLANK(INDEX('Policy Characteristics'!D:D,MATCH($C1372,'Policy Characteristics'!$C:$C,0))),"",INDEX('Policy Characteristics'!D:D,MATCH($C1372,'Policy Characteristics'!$C:$C,0)))</f>
        <v>R&amp;D Capital Cost Reductions</v>
      </c>
      <c r="K1372" s="275" t="str">
        <f>IF(ISBLANK(INDEX('Policy Characteristics'!E:E,MATCH($C1372,'Policy Characteristics'!$C:$C,0))),"",INDEX('Policy Characteristics'!E:E,MATCH($C1372,'Policy Characteristics'!$C:$C,0)))</f>
        <v>RnD electricity capital cost reduction</v>
      </c>
      <c r="L1372" s="283">
        <f>IF(ISBLANK(INDEX('Policy Characteristics'!F:F,MATCH($C1372,'Policy Characteristics'!$C:$C,0))),"",INDEX('Policy Characteristics'!F:F,MATCH($C1372,'Policy Characteristics'!$C:$C,0)))</f>
        <v>0</v>
      </c>
      <c r="M1372" s="283">
        <f>IF(ISBLANK(INDEX('Policy Characteristics'!G:G,MATCH($C1372,'Policy Characteristics'!$C:$C,0))),"",INDEX('Policy Characteristics'!G:G,MATCH($C1372,'Policy Characteristics'!$C:$C,0)))</f>
        <v>0.4</v>
      </c>
      <c r="N1372" s="283">
        <f>IF(ISBLANK(INDEX('Policy Characteristics'!H:H,MATCH($C1372,'Policy Characteristics'!$C:$C,0))),"",INDEX('Policy Characteristics'!H:H,MATCH($C1372,'Policy Characteristics'!$C:$C,0)))</f>
        <v>0.01</v>
      </c>
      <c r="O1372" s="275" t="str">
        <f>IF(ISBLANK(INDEX('Policy Characteristics'!I:I,MATCH($C1372,'Policy Characteristics'!$C:$C,0))),"",INDEX('Policy Characteristics'!I:I,MATCH($C1372,'Policy Characteristics'!$C:$C,0)))</f>
        <v>% reduction in cost</v>
      </c>
      <c r="P1372" s="275" t="str">
        <f>IF(ISBLANK(INDEX('Policy Characteristics'!J:J,MATCH($C1372,'Policy Characteristics'!$C:$C,0))),"",INDEX('Policy Characteristics'!J:J,MATCH($C1372,'Policy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2" s="275" t="str">
        <f>IF(ISBLANK(INDEX('Policy Characteristics'!K:K,MATCH($C1372,'Policy Characteristics'!$C:$C,0))),"",INDEX('Policy Characteristics'!K:K,MATCH($C1372,'Policy Characteristics'!$C:$C,0)))</f>
        <v>architectural-design.html#rnd</v>
      </c>
      <c r="R1372" s="275" t="str">
        <f>IF(ISBLANK(INDEX('Policy Characteristics'!L:L,MATCH($C1372,'Policy Characteristics'!$C:$C,0))),"",INDEX('Policy Characteristics'!L:L,MATCH($C1372,'Policy Characteristics'!$C:$C,0)))</f>
        <v>research-and-development.html</v>
      </c>
    </row>
    <row r="1373" spans="1:18" x14ac:dyDescent="0.25">
      <c r="A1373" s="275" t="str">
        <f>IF(ISBLANK(INDEX('Policy Characteristics'!A:A,MATCH($C1373,'Policy Characteristics'!$C:$C,0))),"",INDEX('Policy Characteristics'!A:A,MATCH($C1373,'Policy Characteristics'!$C:$C,0)))</f>
        <v>Research and Development</v>
      </c>
      <c r="B1373" s="284" t="str">
        <f>IF(ISBLANK(INDEX('Policy Characteristics'!B:B,MATCH($C1373,'Policy Characteristics'!$C:$C,0))),"",INDEX('Policy Characteristics'!B:B,MATCH($C1373,'Policy Characteristics'!$C:$C,0)))</f>
        <v>Capital Cost Reduction</v>
      </c>
      <c r="C1373" s="275" t="str">
        <f t="shared" si="62"/>
        <v>RnD Electricity Capital Cost Perc Reduction</v>
      </c>
      <c r="D1373" s="6" t="s">
        <v>80</v>
      </c>
      <c r="E1373" s="47"/>
      <c r="F1373" s="6" t="s">
        <v>325</v>
      </c>
      <c r="G1373" s="47"/>
      <c r="H1373" s="44">
        <v>99</v>
      </c>
      <c r="I1373" s="346" t="s">
        <v>43</v>
      </c>
      <c r="J1373" s="276" t="str">
        <f>IF(ISBLANK(INDEX('Policy Characteristics'!D:D,MATCH($C1373,'Policy Characteristics'!$C:$C,0))),"",INDEX('Policy Characteristics'!D:D,MATCH($C1373,'Policy Characteristics'!$C:$C,0)))</f>
        <v>R&amp;D Capital Cost Reductions</v>
      </c>
      <c r="K1373" s="275" t="str">
        <f>IF(ISBLANK(INDEX('Policy Characteristics'!E:E,MATCH($C1373,'Policy Characteristics'!$C:$C,0))),"",INDEX('Policy Characteristics'!E:E,MATCH($C1373,'Policy Characteristics'!$C:$C,0)))</f>
        <v>RnD electricity capital cost reduction</v>
      </c>
      <c r="L1373" s="283">
        <f>IF(ISBLANK(INDEX('Policy Characteristics'!F:F,MATCH($C1373,'Policy Characteristics'!$C:$C,0))),"",INDEX('Policy Characteristics'!F:F,MATCH($C1373,'Policy Characteristics'!$C:$C,0)))</f>
        <v>0</v>
      </c>
      <c r="M1373" s="283">
        <f>IF(ISBLANK(INDEX('Policy Characteristics'!G:G,MATCH($C1373,'Policy Characteristics'!$C:$C,0))),"",INDEX('Policy Characteristics'!G:G,MATCH($C1373,'Policy Characteristics'!$C:$C,0)))</f>
        <v>0.4</v>
      </c>
      <c r="N1373" s="283">
        <f>IF(ISBLANK(INDEX('Policy Characteristics'!H:H,MATCH($C1373,'Policy Characteristics'!$C:$C,0))),"",INDEX('Policy Characteristics'!H:H,MATCH($C1373,'Policy Characteristics'!$C:$C,0)))</f>
        <v>0.01</v>
      </c>
      <c r="O1373" s="275" t="str">
        <f>IF(ISBLANK(INDEX('Policy Characteristics'!I:I,MATCH($C1373,'Policy Characteristics'!$C:$C,0))),"",INDEX('Policy Characteristics'!I:I,MATCH($C1373,'Policy Characteristics'!$C:$C,0)))</f>
        <v>% reduction in cost</v>
      </c>
      <c r="P1373" s="275" t="str">
        <f>IF(ISBLANK(INDEX('Policy Characteristics'!J:J,MATCH($C1373,'Policy Characteristics'!$C:$C,0))),"",INDEX('Policy Characteristics'!J:J,MATCH($C1373,'Policy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3" s="275" t="str">
        <f>IF(ISBLANK(INDEX('Policy Characteristics'!K:K,MATCH($C1373,'Policy Characteristics'!$C:$C,0))),"",INDEX('Policy Characteristics'!K:K,MATCH($C1373,'Policy Characteristics'!$C:$C,0)))</f>
        <v>architectural-design.html#rnd</v>
      </c>
      <c r="R1373" s="275" t="str">
        <f>IF(ISBLANK(INDEX('Policy Characteristics'!L:L,MATCH($C1373,'Policy Characteristics'!$C:$C,0))),"",INDEX('Policy Characteristics'!L:L,MATCH($C1373,'Policy Characteristics'!$C:$C,0)))</f>
        <v>research-and-development.html</v>
      </c>
    </row>
    <row r="1374" spans="1:18" x14ac:dyDescent="0.25">
      <c r="A1374" s="275" t="str">
        <f>IF(ISBLANK(INDEX('Policy Characteristics'!A:A,MATCH($C1374,'Policy Characteristics'!$C:$C,0))),"",INDEX('Policy Characteristics'!A:A,MATCH($C1374,'Policy Characteristics'!$C:$C,0)))</f>
        <v>Research and Development</v>
      </c>
      <c r="B1374" s="284" t="str">
        <f>IF(ISBLANK(INDEX('Policy Characteristics'!B:B,MATCH($C1374,'Policy Characteristics'!$C:$C,0))),"",INDEX('Policy Characteristics'!B:B,MATCH($C1374,'Policy Characteristics'!$C:$C,0)))</f>
        <v>Capital Cost Reduction</v>
      </c>
      <c r="C1374" s="275" t="str">
        <f t="shared" si="62"/>
        <v>RnD Electricity Capital Cost Perc Reduction</v>
      </c>
      <c r="D1374" s="6" t="s">
        <v>2427</v>
      </c>
      <c r="E1374" s="47"/>
      <c r="F1374" s="6" t="s">
        <v>3536</v>
      </c>
      <c r="G1374" s="47"/>
      <c r="H1374" s="44">
        <v>192</v>
      </c>
      <c r="I1374" s="346" t="s">
        <v>43</v>
      </c>
      <c r="J1374" s="276" t="str">
        <f>IF(ISBLANK(INDEX('Policy Characteristics'!D:D,MATCH($C1374,'Policy Characteristics'!$C:$C,0))),"",INDEX('Policy Characteristics'!D:D,MATCH($C1374,'Policy Characteristics'!$C:$C,0)))</f>
        <v>R&amp;D Capital Cost Reductions</v>
      </c>
      <c r="K1374" s="275" t="str">
        <f>IF(ISBLANK(INDEX('Policy Characteristics'!E:E,MATCH($C1374,'Policy Characteristics'!$C:$C,0))),"",INDEX('Policy Characteristics'!E:E,MATCH($C1374,'Policy Characteristics'!$C:$C,0)))</f>
        <v>RnD electricity capital cost reduction</v>
      </c>
      <c r="L1374" s="283">
        <f>IF(ISBLANK(INDEX('Policy Characteristics'!F:F,MATCH($C1374,'Policy Characteristics'!$C:$C,0))),"",INDEX('Policy Characteristics'!F:F,MATCH($C1374,'Policy Characteristics'!$C:$C,0)))</f>
        <v>0</v>
      </c>
      <c r="M1374" s="283">
        <f>IF(ISBLANK(INDEX('Policy Characteristics'!G:G,MATCH($C1374,'Policy Characteristics'!$C:$C,0))),"",INDEX('Policy Characteristics'!G:G,MATCH($C1374,'Policy Characteristics'!$C:$C,0)))</f>
        <v>0.4</v>
      </c>
      <c r="N1374" s="283">
        <f>IF(ISBLANK(INDEX('Policy Characteristics'!H:H,MATCH($C1374,'Policy Characteristics'!$C:$C,0))),"",INDEX('Policy Characteristics'!H:H,MATCH($C1374,'Policy Characteristics'!$C:$C,0)))</f>
        <v>0.01</v>
      </c>
      <c r="O1374" s="275" t="str">
        <f>IF(ISBLANK(INDEX('Policy Characteristics'!I:I,MATCH($C1374,'Policy Characteristics'!$C:$C,0))),"",INDEX('Policy Characteristics'!I:I,MATCH($C1374,'Policy Characteristics'!$C:$C,0)))</f>
        <v>% reduction in cost</v>
      </c>
      <c r="P1374" s="275" t="str">
        <f>IF(ISBLANK(INDEX('Policy Characteristics'!J:J,MATCH($C1374,'Policy Characteristics'!$C:$C,0))),"",INDEX('Policy Characteristics'!J:J,MATCH($C1374,'Policy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4" s="275" t="str">
        <f>IF(ISBLANK(INDEX('Policy Characteristics'!K:K,MATCH($C1374,'Policy Characteristics'!$C:$C,0))),"",INDEX('Policy Characteristics'!K:K,MATCH($C1374,'Policy Characteristics'!$C:$C,0)))</f>
        <v>architectural-design.html#rnd</v>
      </c>
      <c r="R1374" s="275" t="str">
        <f>IF(ISBLANK(INDEX('Policy Characteristics'!L:L,MATCH($C1374,'Policy Characteristics'!$C:$C,0))),"",INDEX('Policy Characteristics'!L:L,MATCH($C1374,'Policy Characteristics'!$C:$C,0)))</f>
        <v>research-and-development.html</v>
      </c>
    </row>
    <row r="1375" spans="1:18" x14ac:dyDescent="0.25">
      <c r="A1375" s="275" t="str">
        <f>IF(ISBLANK(INDEX('Policy Characteristics'!A:A,MATCH($C1375,'Policy Characteristics'!$C:$C,0))),"",INDEX('Policy Characteristics'!A:A,MATCH($C1375,'Policy Characteristics'!$C:$C,0)))</f>
        <v>Research and Development</v>
      </c>
      <c r="B1375" s="284" t="str">
        <f>IF(ISBLANK(INDEX('Policy Characteristics'!B:B,MATCH($C1375,'Policy Characteristics'!$C:$C,0))),"",INDEX('Policy Characteristics'!B:B,MATCH($C1375,'Policy Characteristics'!$C:$C,0)))</f>
        <v>Capital Cost Reduction</v>
      </c>
      <c r="C1375" s="275" t="str">
        <f t="shared" si="62"/>
        <v>RnD Electricity Capital Cost Perc Reduction</v>
      </c>
      <c r="D1375" s="6" t="s">
        <v>309</v>
      </c>
      <c r="E1375" s="47"/>
      <c r="F1375" s="6" t="s">
        <v>3537</v>
      </c>
      <c r="G1375" s="47"/>
      <c r="H1375" s="44">
        <v>180</v>
      </c>
      <c r="I1375" s="346" t="s">
        <v>43</v>
      </c>
      <c r="J1375" s="276" t="str">
        <f>IF(ISBLANK(INDEX('Policy Characteristics'!D:D,MATCH($C1375,'Policy Characteristics'!$C:$C,0))),"",INDEX('Policy Characteristics'!D:D,MATCH($C1375,'Policy Characteristics'!$C:$C,0)))</f>
        <v>R&amp;D Capital Cost Reductions</v>
      </c>
      <c r="K1375" s="275" t="str">
        <f>IF(ISBLANK(INDEX('Policy Characteristics'!E:E,MATCH($C1375,'Policy Characteristics'!$C:$C,0))),"",INDEX('Policy Characteristics'!E:E,MATCH($C1375,'Policy Characteristics'!$C:$C,0)))</f>
        <v>RnD electricity capital cost reduction</v>
      </c>
      <c r="L1375" s="283">
        <f>IF(ISBLANK(INDEX('Policy Characteristics'!F:F,MATCH($C1375,'Policy Characteristics'!$C:$C,0))),"",INDEX('Policy Characteristics'!F:F,MATCH($C1375,'Policy Characteristics'!$C:$C,0)))</f>
        <v>0</v>
      </c>
      <c r="M1375" s="283">
        <f>IF(ISBLANK(INDEX('Policy Characteristics'!G:G,MATCH($C1375,'Policy Characteristics'!$C:$C,0))),"",INDEX('Policy Characteristics'!G:G,MATCH($C1375,'Policy Characteristics'!$C:$C,0)))</f>
        <v>0.4</v>
      </c>
      <c r="N1375" s="283">
        <f>IF(ISBLANK(INDEX('Policy Characteristics'!H:H,MATCH($C1375,'Policy Characteristics'!$C:$C,0))),"",INDEX('Policy Characteristics'!H:H,MATCH($C1375,'Policy Characteristics'!$C:$C,0)))</f>
        <v>0.01</v>
      </c>
      <c r="O1375" s="275" t="str">
        <f>IF(ISBLANK(INDEX('Policy Characteristics'!I:I,MATCH($C1375,'Policy Characteristics'!$C:$C,0))),"",INDEX('Policy Characteristics'!I:I,MATCH($C1375,'Policy Characteristics'!$C:$C,0)))</f>
        <v>% reduction in cost</v>
      </c>
      <c r="P1375" s="275" t="str">
        <f>IF(ISBLANK(INDEX('Policy Characteristics'!J:J,MATCH($C1375,'Policy Characteristics'!$C:$C,0))),"",INDEX('Policy Characteristics'!J:J,MATCH($C1375,'Policy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5" s="275" t="str">
        <f>IF(ISBLANK(INDEX('Policy Characteristics'!K:K,MATCH($C1375,'Policy Characteristics'!$C:$C,0))),"",INDEX('Policy Characteristics'!K:K,MATCH($C1375,'Policy Characteristics'!$C:$C,0)))</f>
        <v>architectural-design.html#rnd</v>
      </c>
      <c r="R1375" s="275" t="str">
        <f>IF(ISBLANK(INDEX('Policy Characteristics'!L:L,MATCH($C1375,'Policy Characteristics'!$C:$C,0))),"",INDEX('Policy Characteristics'!L:L,MATCH($C1375,'Policy Characteristics'!$C:$C,0)))</f>
        <v>research-and-development.html</v>
      </c>
    </row>
    <row r="1376" spans="1:18" x14ac:dyDescent="0.25">
      <c r="A1376" s="275" t="str">
        <f>IF(ISBLANK(INDEX('Policy Characteristics'!A:A,MATCH($C1376,'Policy Characteristics'!$C:$C,0))),"",INDEX('Policy Characteristics'!A:A,MATCH($C1376,'Policy Characteristics'!$C:$C,0)))</f>
        <v>Research and Development</v>
      </c>
      <c r="B1376" s="284" t="str">
        <f>IF(ISBLANK(INDEX('Policy Characteristics'!B:B,MATCH($C1376,'Policy Characteristics'!$C:$C,0))),"",INDEX('Policy Characteristics'!B:B,MATCH($C1376,'Policy Characteristics'!$C:$C,0)))</f>
        <v>Capital Cost Reduction</v>
      </c>
      <c r="C1376" s="275" t="str">
        <f t="shared" si="62"/>
        <v>RnD Electricity Capital Cost Perc Reduction</v>
      </c>
      <c r="D1376" s="6" t="s">
        <v>310</v>
      </c>
      <c r="E1376" s="47"/>
      <c r="F1376" s="6" t="s">
        <v>2258</v>
      </c>
      <c r="G1376" s="47"/>
      <c r="H1376" s="44">
        <v>183</v>
      </c>
      <c r="I1376" s="346" t="s">
        <v>43</v>
      </c>
      <c r="J1376" s="276" t="str">
        <f>IF(ISBLANK(INDEX('Policy Characteristics'!D:D,MATCH($C1376,'Policy Characteristics'!$C:$C,0))),"",INDEX('Policy Characteristics'!D:D,MATCH($C1376,'Policy Characteristics'!$C:$C,0)))</f>
        <v>R&amp;D Capital Cost Reductions</v>
      </c>
      <c r="K1376" s="275" t="str">
        <f>IF(ISBLANK(INDEX('Policy Characteristics'!E:E,MATCH($C1376,'Policy Characteristics'!$C:$C,0))),"",INDEX('Policy Characteristics'!E:E,MATCH($C1376,'Policy Characteristics'!$C:$C,0)))</f>
        <v>RnD electricity capital cost reduction</v>
      </c>
      <c r="L1376" s="283">
        <f>IF(ISBLANK(INDEX('Policy Characteristics'!F:F,MATCH($C1376,'Policy Characteristics'!$C:$C,0))),"",INDEX('Policy Characteristics'!F:F,MATCH($C1376,'Policy Characteristics'!$C:$C,0)))</f>
        <v>0</v>
      </c>
      <c r="M1376" s="283">
        <f>IF(ISBLANK(INDEX('Policy Characteristics'!G:G,MATCH($C1376,'Policy Characteristics'!$C:$C,0))),"",INDEX('Policy Characteristics'!G:G,MATCH($C1376,'Policy Characteristics'!$C:$C,0)))</f>
        <v>0.4</v>
      </c>
      <c r="N1376" s="283">
        <f>IF(ISBLANK(INDEX('Policy Characteristics'!H:H,MATCH($C1376,'Policy Characteristics'!$C:$C,0))),"",INDEX('Policy Characteristics'!H:H,MATCH($C1376,'Policy Characteristics'!$C:$C,0)))</f>
        <v>0.01</v>
      </c>
      <c r="O1376" s="275" t="str">
        <f>IF(ISBLANK(INDEX('Policy Characteristics'!I:I,MATCH($C1376,'Policy Characteristics'!$C:$C,0))),"",INDEX('Policy Characteristics'!I:I,MATCH($C1376,'Policy Characteristics'!$C:$C,0)))</f>
        <v>% reduction in cost</v>
      </c>
      <c r="P1376" s="275" t="str">
        <f>IF(ISBLANK(INDEX('Policy Characteristics'!J:J,MATCH($C1376,'Policy Characteristics'!$C:$C,0))),"",INDEX('Policy Characteristics'!J:J,MATCH($C1376,'Policy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6" s="275" t="str">
        <f>IF(ISBLANK(INDEX('Policy Characteristics'!K:K,MATCH($C1376,'Policy Characteristics'!$C:$C,0))),"",INDEX('Policy Characteristics'!K:K,MATCH($C1376,'Policy Characteristics'!$C:$C,0)))</f>
        <v>architectural-design.html#rnd</v>
      </c>
      <c r="R1376" s="275" t="str">
        <f>IF(ISBLANK(INDEX('Policy Characteristics'!L:L,MATCH($C1376,'Policy Characteristics'!$C:$C,0))),"",INDEX('Policy Characteristics'!L:L,MATCH($C1376,'Policy Characteristics'!$C:$C,0)))</f>
        <v>research-and-development.html</v>
      </c>
    </row>
    <row r="1377" spans="1:18" x14ac:dyDescent="0.25">
      <c r="A1377" s="275" t="str">
        <f>IF(ISBLANK(INDEX('Policy Characteristics'!A:A,MATCH($C1377,'Policy Characteristics'!$C:$C,0))),"",INDEX('Policy Characteristics'!A:A,MATCH($C1377,'Policy Characteristics'!$C:$C,0)))</f>
        <v>Research and Development</v>
      </c>
      <c r="B1377" s="284" t="str">
        <f>IF(ISBLANK(INDEX('Policy Characteristics'!B:B,MATCH($C1377,'Policy Characteristics'!$C:$C,0))),"",INDEX('Policy Characteristics'!B:B,MATCH($C1377,'Policy Characteristics'!$C:$C,0)))</f>
        <v>Capital Cost Reduction</v>
      </c>
      <c r="C1377" s="275" t="str">
        <f t="shared" si="62"/>
        <v>RnD Electricity Capital Cost Perc Reduction</v>
      </c>
      <c r="D1377" s="6" t="s">
        <v>445</v>
      </c>
      <c r="E1377" s="47"/>
      <c r="F1377" s="6" t="s">
        <v>446</v>
      </c>
      <c r="G1377" s="47"/>
      <c r="H1377" s="44">
        <v>1811</v>
      </c>
      <c r="I1377" s="346" t="s">
        <v>43</v>
      </c>
      <c r="J1377" s="276" t="str">
        <f>IF(ISBLANK(INDEX('Policy Characteristics'!D:D,MATCH($C1377,'Policy Characteristics'!$C:$C,0))),"",INDEX('Policy Characteristics'!D:D,MATCH($C1377,'Policy Characteristics'!$C:$C,0)))</f>
        <v>R&amp;D Capital Cost Reductions</v>
      </c>
      <c r="K1377" s="275" t="str">
        <f>IF(ISBLANK(INDEX('Policy Characteristics'!E:E,MATCH($C1377,'Policy Characteristics'!$C:$C,0))),"",INDEX('Policy Characteristics'!E:E,MATCH($C1377,'Policy Characteristics'!$C:$C,0)))</f>
        <v>RnD electricity capital cost reduction</v>
      </c>
      <c r="L1377" s="283">
        <f>IF(ISBLANK(INDEX('Policy Characteristics'!F:F,MATCH($C1377,'Policy Characteristics'!$C:$C,0))),"",INDEX('Policy Characteristics'!F:F,MATCH($C1377,'Policy Characteristics'!$C:$C,0)))</f>
        <v>0</v>
      </c>
      <c r="M1377" s="283">
        <f>IF(ISBLANK(INDEX('Policy Characteristics'!G:G,MATCH($C1377,'Policy Characteristics'!$C:$C,0))),"",INDEX('Policy Characteristics'!G:G,MATCH($C1377,'Policy Characteristics'!$C:$C,0)))</f>
        <v>0.4</v>
      </c>
      <c r="N1377" s="283">
        <f>IF(ISBLANK(INDEX('Policy Characteristics'!H:H,MATCH($C1377,'Policy Characteristics'!$C:$C,0))),"",INDEX('Policy Characteristics'!H:H,MATCH($C1377,'Policy Characteristics'!$C:$C,0)))</f>
        <v>0.01</v>
      </c>
      <c r="O1377" s="275" t="str">
        <f>IF(ISBLANK(INDEX('Policy Characteristics'!I:I,MATCH($C1377,'Policy Characteristics'!$C:$C,0))),"",INDEX('Policy Characteristics'!I:I,MATCH($C1377,'Policy Characteristics'!$C:$C,0)))</f>
        <v>% reduction in cost</v>
      </c>
      <c r="P1377" s="275" t="str">
        <f>IF(ISBLANK(INDEX('Policy Characteristics'!J:J,MATCH($C1377,'Policy Characteristics'!$C:$C,0))),"",INDEX('Policy Characteristics'!J:J,MATCH($C1377,'Policy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7" s="275" t="str">
        <f>IF(ISBLANK(INDEX('Policy Characteristics'!K:K,MATCH($C1377,'Policy Characteristics'!$C:$C,0))),"",INDEX('Policy Characteristics'!K:K,MATCH($C1377,'Policy Characteristics'!$C:$C,0)))</f>
        <v>architectural-design.html#rnd</v>
      </c>
      <c r="R1377" s="275" t="str">
        <f>IF(ISBLANK(INDEX('Policy Characteristics'!L:L,MATCH($C1377,'Policy Characteristics'!$C:$C,0))),"",INDEX('Policy Characteristics'!L:L,MATCH($C1377,'Policy Characteristics'!$C:$C,0)))</f>
        <v>research-and-development.html</v>
      </c>
    </row>
    <row r="1378" spans="1:18" x14ac:dyDescent="0.25">
      <c r="A1378" s="275" t="str">
        <f>IF(ISBLANK(INDEX('Policy Characteristics'!A:A,MATCH($C1378,'Policy Characteristics'!$C:$C,0))),"",INDEX('Policy Characteristics'!A:A,MATCH($C1378,'Policy Characteristics'!$C:$C,0)))</f>
        <v>Research and Development</v>
      </c>
      <c r="B1378" s="284" t="str">
        <f>IF(ISBLANK(INDEX('Policy Characteristics'!B:B,MATCH($C1378,'Policy Characteristics'!$C:$C,0))),"",INDEX('Policy Characteristics'!B:B,MATCH($C1378,'Policy Characteristics'!$C:$C,0)))</f>
        <v>Capital Cost Reduction</v>
      </c>
      <c r="C1378" s="275" t="str">
        <f t="shared" si="62"/>
        <v>RnD Electricity Capital Cost Perc Reduction</v>
      </c>
      <c r="D1378" s="6" t="s">
        <v>454</v>
      </c>
      <c r="E1378" s="47"/>
      <c r="F1378" s="6" t="s">
        <v>456</v>
      </c>
      <c r="G1378" s="47"/>
      <c r="H1378" s="44">
        <v>1812</v>
      </c>
      <c r="I1378" s="346" t="s">
        <v>43</v>
      </c>
      <c r="J1378" s="276" t="str">
        <f>IF(ISBLANK(INDEX('Policy Characteristics'!D:D,MATCH($C1378,'Policy Characteristics'!$C:$C,0))),"",INDEX('Policy Characteristics'!D:D,MATCH($C1378,'Policy Characteristics'!$C:$C,0)))</f>
        <v>R&amp;D Capital Cost Reductions</v>
      </c>
      <c r="K1378" s="275" t="str">
        <f>IF(ISBLANK(INDEX('Policy Characteristics'!E:E,MATCH($C1378,'Policy Characteristics'!$C:$C,0))),"",INDEX('Policy Characteristics'!E:E,MATCH($C1378,'Policy Characteristics'!$C:$C,0)))</f>
        <v>RnD electricity capital cost reduction</v>
      </c>
      <c r="L1378" s="283">
        <f>IF(ISBLANK(INDEX('Policy Characteristics'!F:F,MATCH($C1378,'Policy Characteristics'!$C:$C,0))),"",INDEX('Policy Characteristics'!F:F,MATCH($C1378,'Policy Characteristics'!$C:$C,0)))</f>
        <v>0</v>
      </c>
      <c r="M1378" s="283">
        <f>IF(ISBLANK(INDEX('Policy Characteristics'!G:G,MATCH($C1378,'Policy Characteristics'!$C:$C,0))),"",INDEX('Policy Characteristics'!G:G,MATCH($C1378,'Policy Characteristics'!$C:$C,0)))</f>
        <v>0.4</v>
      </c>
      <c r="N1378" s="283">
        <f>IF(ISBLANK(INDEX('Policy Characteristics'!H:H,MATCH($C1378,'Policy Characteristics'!$C:$C,0))),"",INDEX('Policy Characteristics'!H:H,MATCH($C1378,'Policy Characteristics'!$C:$C,0)))</f>
        <v>0.01</v>
      </c>
      <c r="O1378" s="275" t="str">
        <f>IF(ISBLANK(INDEX('Policy Characteristics'!I:I,MATCH($C1378,'Policy Characteristics'!$C:$C,0))),"",INDEX('Policy Characteristics'!I:I,MATCH($C1378,'Policy Characteristics'!$C:$C,0)))</f>
        <v>% reduction in cost</v>
      </c>
      <c r="P1378" s="275" t="str">
        <f>IF(ISBLANK(INDEX('Policy Characteristics'!J:J,MATCH($C1378,'Policy Characteristics'!$C:$C,0))),"",INDEX('Policy Characteristics'!J:J,MATCH($C1378,'Policy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8" s="275" t="str">
        <f>IF(ISBLANK(INDEX('Policy Characteristics'!K:K,MATCH($C1378,'Policy Characteristics'!$C:$C,0))),"",INDEX('Policy Characteristics'!K:K,MATCH($C1378,'Policy Characteristics'!$C:$C,0)))</f>
        <v>architectural-design.html#rnd</v>
      </c>
      <c r="R1378" s="275" t="str">
        <f>IF(ISBLANK(INDEX('Policy Characteristics'!L:L,MATCH($C1378,'Policy Characteristics'!$C:$C,0))),"",INDEX('Policy Characteristics'!L:L,MATCH($C1378,'Policy Characteristics'!$C:$C,0)))</f>
        <v>research-and-development.html</v>
      </c>
    </row>
    <row r="1379" spans="1:18" x14ac:dyDescent="0.25">
      <c r="A1379" s="275" t="str">
        <f>IF(ISBLANK(INDEX('Policy Characteristics'!A:A,MATCH($C1379,'Policy Characteristics'!$C:$C,0))),"",INDEX('Policy Characteristics'!A:A,MATCH($C1379,'Policy Characteristics'!$C:$C,0)))</f>
        <v>Research and Development</v>
      </c>
      <c r="B1379" s="284" t="str">
        <f>IF(ISBLANK(INDEX('Policy Characteristics'!B:B,MATCH($C1379,'Policy Characteristics'!$C:$C,0))),"",INDEX('Policy Characteristics'!B:B,MATCH($C1379,'Policy Characteristics'!$C:$C,0)))</f>
        <v>Capital Cost Reduction</v>
      </c>
      <c r="C1379" s="275" t="str">
        <f t="shared" si="62"/>
        <v>RnD Electricity Capital Cost Perc Reduction</v>
      </c>
      <c r="D1379" s="6" t="s">
        <v>2752</v>
      </c>
      <c r="E1379" s="47"/>
      <c r="F1379" s="6" t="s">
        <v>3538</v>
      </c>
      <c r="G1379" s="47"/>
      <c r="H1379" s="44">
        <v>1813</v>
      </c>
      <c r="I1379" s="346" t="s">
        <v>44</v>
      </c>
      <c r="J1379" s="276" t="str">
        <f>IF(ISBLANK(INDEX('Policy Characteristics'!D:D,MATCH($C1379,'Policy Characteristics'!$C:$C,0))),"",INDEX('Policy Characteristics'!D:D,MATCH($C1379,'Policy Characteristics'!$C:$C,0)))</f>
        <v>R&amp;D Capital Cost Reductions</v>
      </c>
      <c r="K1379" s="275" t="str">
        <f>IF(ISBLANK(INDEX('Policy Characteristics'!E:E,MATCH($C1379,'Policy Characteristics'!$C:$C,0))),"",INDEX('Policy Characteristics'!E:E,MATCH($C1379,'Policy Characteristics'!$C:$C,0)))</f>
        <v>RnD electricity capital cost reduction</v>
      </c>
      <c r="L1379" s="283">
        <f>IF(ISBLANK(INDEX('Policy Characteristics'!F:F,MATCH($C1379,'Policy Characteristics'!$C:$C,0))),"",INDEX('Policy Characteristics'!F:F,MATCH($C1379,'Policy Characteristics'!$C:$C,0)))</f>
        <v>0</v>
      </c>
      <c r="M1379" s="283">
        <f>IF(ISBLANK(INDEX('Policy Characteristics'!G:G,MATCH($C1379,'Policy Characteristics'!$C:$C,0))),"",INDEX('Policy Characteristics'!G:G,MATCH($C1379,'Policy Characteristics'!$C:$C,0)))</f>
        <v>0.4</v>
      </c>
      <c r="N1379" s="283">
        <f>IF(ISBLANK(INDEX('Policy Characteristics'!H:H,MATCH($C1379,'Policy Characteristics'!$C:$C,0))),"",INDEX('Policy Characteristics'!H:H,MATCH($C1379,'Policy Characteristics'!$C:$C,0)))</f>
        <v>0.01</v>
      </c>
      <c r="O1379" s="275" t="str">
        <f>IF(ISBLANK(INDEX('Policy Characteristics'!I:I,MATCH($C1379,'Policy Characteristics'!$C:$C,0))),"",INDEX('Policy Characteristics'!I:I,MATCH($C1379,'Policy Characteristics'!$C:$C,0)))</f>
        <v>% reduction in cost</v>
      </c>
      <c r="P1379" s="275" t="str">
        <f>IF(ISBLANK(INDEX('Policy Characteristics'!J:J,MATCH($C1379,'Policy Characteristics'!$C:$C,0))),"",INDEX('Policy Characteristics'!J:J,MATCH($C1379,'Policy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9" s="275" t="str">
        <f>IF(ISBLANK(INDEX('Policy Characteristics'!K:K,MATCH($C1379,'Policy Characteristics'!$C:$C,0))),"",INDEX('Policy Characteristics'!K:K,MATCH($C1379,'Policy Characteristics'!$C:$C,0)))</f>
        <v>architectural-design.html#rnd</v>
      </c>
      <c r="R1379" s="275" t="str">
        <f>IF(ISBLANK(INDEX('Policy Characteristics'!L:L,MATCH($C1379,'Policy Characteristics'!$C:$C,0))),"",INDEX('Policy Characteristics'!L:L,MATCH($C1379,'Policy Characteristics'!$C:$C,0)))</f>
        <v>research-and-development.html</v>
      </c>
    </row>
    <row r="1380" spans="1:18" x14ac:dyDescent="0.25">
      <c r="A1380" s="275" t="str">
        <f>IF(ISBLANK(INDEX('Policy Characteristics'!A:A,MATCH($C1380,'Policy Characteristics'!$C:$C,0))),"",INDEX('Policy Characteristics'!A:A,MATCH($C1380,'Policy Characteristics'!$C:$C,0)))</f>
        <v>Research and Development</v>
      </c>
      <c r="B1380" s="284" t="str">
        <f>IF(ISBLANK(INDEX('Policy Characteristics'!B:B,MATCH($C1380,'Policy Characteristics'!$C:$C,0))),"",INDEX('Policy Characteristics'!B:B,MATCH($C1380,'Policy Characteristics'!$C:$C,0)))</f>
        <v>Capital Cost Reduction</v>
      </c>
      <c r="C1380" s="275" t="str">
        <f t="shared" si="62"/>
        <v>RnD Electricity Capital Cost Perc Reduction</v>
      </c>
      <c r="D1380" s="6" t="s">
        <v>2753</v>
      </c>
      <c r="E1380" s="47"/>
      <c r="F1380" s="6" t="s">
        <v>3539</v>
      </c>
      <c r="G1380" s="47"/>
      <c r="H1380" s="44">
        <v>1814</v>
      </c>
      <c r="I1380" s="346" t="s">
        <v>44</v>
      </c>
      <c r="J1380" s="276" t="str">
        <f>IF(ISBLANK(INDEX('Policy Characteristics'!D:D,MATCH($C1380,'Policy Characteristics'!$C:$C,0))),"",INDEX('Policy Characteristics'!D:D,MATCH($C1380,'Policy Characteristics'!$C:$C,0)))</f>
        <v>R&amp;D Capital Cost Reductions</v>
      </c>
      <c r="K1380" s="275" t="str">
        <f>IF(ISBLANK(INDEX('Policy Characteristics'!E:E,MATCH($C1380,'Policy Characteristics'!$C:$C,0))),"",INDEX('Policy Characteristics'!E:E,MATCH($C1380,'Policy Characteristics'!$C:$C,0)))</f>
        <v>RnD electricity capital cost reduction</v>
      </c>
      <c r="L1380" s="283">
        <f>IF(ISBLANK(INDEX('Policy Characteristics'!F:F,MATCH($C1380,'Policy Characteristics'!$C:$C,0))),"",INDEX('Policy Characteristics'!F:F,MATCH($C1380,'Policy Characteristics'!$C:$C,0)))</f>
        <v>0</v>
      </c>
      <c r="M1380" s="283">
        <f>IF(ISBLANK(INDEX('Policy Characteristics'!G:G,MATCH($C1380,'Policy Characteristics'!$C:$C,0))),"",INDEX('Policy Characteristics'!G:G,MATCH($C1380,'Policy Characteristics'!$C:$C,0)))</f>
        <v>0.4</v>
      </c>
      <c r="N1380" s="283">
        <f>IF(ISBLANK(INDEX('Policy Characteristics'!H:H,MATCH($C1380,'Policy Characteristics'!$C:$C,0))),"",INDEX('Policy Characteristics'!H:H,MATCH($C1380,'Policy Characteristics'!$C:$C,0)))</f>
        <v>0.01</v>
      </c>
      <c r="O1380" s="275" t="str">
        <f>IF(ISBLANK(INDEX('Policy Characteristics'!I:I,MATCH($C1380,'Policy Characteristics'!$C:$C,0))),"",INDEX('Policy Characteristics'!I:I,MATCH($C1380,'Policy Characteristics'!$C:$C,0)))</f>
        <v>% reduction in cost</v>
      </c>
      <c r="P1380" s="275" t="str">
        <f>IF(ISBLANK(INDEX('Policy Characteristics'!J:J,MATCH($C1380,'Policy Characteristics'!$C:$C,0))),"",INDEX('Policy Characteristics'!J:J,MATCH($C1380,'Policy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0" s="275" t="str">
        <f>IF(ISBLANK(INDEX('Policy Characteristics'!K:K,MATCH($C1380,'Policy Characteristics'!$C:$C,0))),"",INDEX('Policy Characteristics'!K:K,MATCH($C1380,'Policy Characteristics'!$C:$C,0)))</f>
        <v>architectural-design.html#rnd</v>
      </c>
      <c r="R1380" s="275" t="str">
        <f>IF(ISBLANK(INDEX('Policy Characteristics'!L:L,MATCH($C1380,'Policy Characteristics'!$C:$C,0))),"",INDEX('Policy Characteristics'!L:L,MATCH($C1380,'Policy Characteristics'!$C:$C,0)))</f>
        <v>research-and-development.html</v>
      </c>
    </row>
    <row r="1381" spans="1:18" x14ac:dyDescent="0.25">
      <c r="A1381" s="275" t="str">
        <f>IF(ISBLANK(INDEX('Policy Characteristics'!A:A,MATCH($C1381,'Policy Characteristics'!$C:$C,0))),"",INDEX('Policy Characteristics'!A:A,MATCH($C1381,'Policy Characteristics'!$C:$C,0)))</f>
        <v>Research and Development</v>
      </c>
      <c r="B1381" s="284" t="str">
        <f>IF(ISBLANK(INDEX('Policy Characteristics'!B:B,MATCH($C1381,'Policy Characteristics'!$C:$C,0))),"",INDEX('Policy Characteristics'!B:B,MATCH($C1381,'Policy Characteristics'!$C:$C,0)))</f>
        <v>Capital Cost Reduction</v>
      </c>
      <c r="C1381" s="275" t="str">
        <f t="shared" si="62"/>
        <v>RnD Electricity Capital Cost Perc Reduction</v>
      </c>
      <c r="D1381" s="6" t="s">
        <v>2754</v>
      </c>
      <c r="E1381" s="47"/>
      <c r="F1381" s="6" t="s">
        <v>3540</v>
      </c>
      <c r="G1381" s="47"/>
      <c r="H1381" s="44">
        <v>1815</v>
      </c>
      <c r="I1381" s="346" t="s">
        <v>43</v>
      </c>
      <c r="J1381" s="276" t="str">
        <f>IF(ISBLANK(INDEX('Policy Characteristics'!D:D,MATCH($C1381,'Policy Characteristics'!$C:$C,0))),"",INDEX('Policy Characteristics'!D:D,MATCH($C1381,'Policy Characteristics'!$C:$C,0)))</f>
        <v>R&amp;D Capital Cost Reductions</v>
      </c>
      <c r="K1381" s="275" t="str">
        <f>IF(ISBLANK(INDEX('Policy Characteristics'!E:E,MATCH($C1381,'Policy Characteristics'!$C:$C,0))),"",INDEX('Policy Characteristics'!E:E,MATCH($C1381,'Policy Characteristics'!$C:$C,0)))</f>
        <v>RnD electricity capital cost reduction</v>
      </c>
      <c r="L1381" s="283">
        <f>IF(ISBLANK(INDEX('Policy Characteristics'!F:F,MATCH($C1381,'Policy Characteristics'!$C:$C,0))),"",INDEX('Policy Characteristics'!F:F,MATCH($C1381,'Policy Characteristics'!$C:$C,0)))</f>
        <v>0</v>
      </c>
      <c r="M1381" s="283">
        <f>IF(ISBLANK(INDEX('Policy Characteristics'!G:G,MATCH($C1381,'Policy Characteristics'!$C:$C,0))),"",INDEX('Policy Characteristics'!G:G,MATCH($C1381,'Policy Characteristics'!$C:$C,0)))</f>
        <v>0.4</v>
      </c>
      <c r="N1381" s="283">
        <f>IF(ISBLANK(INDEX('Policy Characteristics'!H:H,MATCH($C1381,'Policy Characteristics'!$C:$C,0))),"",INDEX('Policy Characteristics'!H:H,MATCH($C1381,'Policy Characteristics'!$C:$C,0)))</f>
        <v>0.01</v>
      </c>
      <c r="O1381" s="275" t="str">
        <f>IF(ISBLANK(INDEX('Policy Characteristics'!I:I,MATCH($C1381,'Policy Characteristics'!$C:$C,0))),"",INDEX('Policy Characteristics'!I:I,MATCH($C1381,'Policy Characteristics'!$C:$C,0)))</f>
        <v>% reduction in cost</v>
      </c>
      <c r="P1381" s="275" t="str">
        <f>IF(ISBLANK(INDEX('Policy Characteristics'!J:J,MATCH($C1381,'Policy Characteristics'!$C:$C,0))),"",INDEX('Policy Characteristics'!J:J,MATCH($C1381,'Policy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1" s="275" t="str">
        <f>IF(ISBLANK(INDEX('Policy Characteristics'!K:K,MATCH($C1381,'Policy Characteristics'!$C:$C,0))),"",INDEX('Policy Characteristics'!K:K,MATCH($C1381,'Policy Characteristics'!$C:$C,0)))</f>
        <v>architectural-design.html#rnd</v>
      </c>
      <c r="R1381" s="275" t="str">
        <f>IF(ISBLANK(INDEX('Policy Characteristics'!L:L,MATCH($C1381,'Policy Characteristics'!$C:$C,0))),"",INDEX('Policy Characteristics'!L:L,MATCH($C1381,'Policy Characteristics'!$C:$C,0)))</f>
        <v>research-and-development.html</v>
      </c>
    </row>
    <row r="1382" spans="1:18" x14ac:dyDescent="0.25">
      <c r="A1382" s="275" t="str">
        <f>IF(ISBLANK(INDEX('Policy Characteristics'!A:A,MATCH($C1382,'Policy Characteristics'!$C:$C,0))),"",INDEX('Policy Characteristics'!A:A,MATCH($C1382,'Policy Characteristics'!$C:$C,0)))</f>
        <v>Research and Development</v>
      </c>
      <c r="B1382" s="284" t="str">
        <f>IF(ISBLANK(INDEX('Policy Characteristics'!B:B,MATCH($C1382,'Policy Characteristics'!$C:$C,0))),"",INDEX('Policy Characteristics'!B:B,MATCH($C1382,'Policy Characteristics'!$C:$C,0)))</f>
        <v>Capital Cost Reduction</v>
      </c>
      <c r="C1382" s="275" t="str">
        <f t="shared" si="62"/>
        <v>RnD Electricity Capital Cost Perc Reduction</v>
      </c>
      <c r="D1382" s="6" t="s">
        <v>3519</v>
      </c>
      <c r="E1382" s="47"/>
      <c r="F1382" s="6" t="s">
        <v>3541</v>
      </c>
      <c r="G1382" s="47"/>
      <c r="H1382" s="44">
        <v>1816</v>
      </c>
      <c r="I1382" s="346" t="s">
        <v>43</v>
      </c>
      <c r="J1382" s="276" t="str">
        <f>IF(ISBLANK(INDEX('Policy Characteristics'!D:D,MATCH($C1382,'Policy Characteristics'!$C:$C,0))),"",INDEX('Policy Characteristics'!D:D,MATCH($C1382,'Policy Characteristics'!$C:$C,0)))</f>
        <v>R&amp;D Capital Cost Reductions</v>
      </c>
      <c r="K1382" s="275" t="str">
        <f>IF(ISBLANK(INDEX('Policy Characteristics'!E:E,MATCH($C1382,'Policy Characteristics'!$C:$C,0))),"",INDEX('Policy Characteristics'!E:E,MATCH($C1382,'Policy Characteristics'!$C:$C,0)))</f>
        <v>RnD electricity capital cost reduction</v>
      </c>
      <c r="L1382" s="283">
        <f>IF(ISBLANK(INDEX('Policy Characteristics'!F:F,MATCH($C1382,'Policy Characteristics'!$C:$C,0))),"",INDEX('Policy Characteristics'!F:F,MATCH($C1382,'Policy Characteristics'!$C:$C,0)))</f>
        <v>0</v>
      </c>
      <c r="M1382" s="283">
        <f>IF(ISBLANK(INDEX('Policy Characteristics'!G:G,MATCH($C1382,'Policy Characteristics'!$C:$C,0))),"",INDEX('Policy Characteristics'!G:G,MATCH($C1382,'Policy Characteristics'!$C:$C,0)))</f>
        <v>0.4</v>
      </c>
      <c r="N1382" s="283">
        <f>IF(ISBLANK(INDEX('Policy Characteristics'!H:H,MATCH($C1382,'Policy Characteristics'!$C:$C,0))),"",INDEX('Policy Characteristics'!H:H,MATCH($C1382,'Policy Characteristics'!$C:$C,0)))</f>
        <v>0.01</v>
      </c>
      <c r="O1382" s="275" t="str">
        <f>IF(ISBLANK(INDEX('Policy Characteristics'!I:I,MATCH($C1382,'Policy Characteristics'!$C:$C,0))),"",INDEX('Policy Characteristics'!I:I,MATCH($C1382,'Policy Characteristics'!$C:$C,0)))</f>
        <v>% reduction in cost</v>
      </c>
      <c r="P1382" s="275" t="str">
        <f>IF(ISBLANK(INDEX('Policy Characteristics'!J:J,MATCH($C1382,'Policy Characteristics'!$C:$C,0))),"",INDEX('Policy Characteristics'!J:J,MATCH($C1382,'Policy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2" s="275" t="str">
        <f>IF(ISBLANK(INDEX('Policy Characteristics'!K:K,MATCH($C1382,'Policy Characteristics'!$C:$C,0))),"",INDEX('Policy Characteristics'!K:K,MATCH($C1382,'Policy Characteristics'!$C:$C,0)))</f>
        <v>architectural-design.html#rnd</v>
      </c>
      <c r="R1382" s="275" t="str">
        <f>IF(ISBLANK(INDEX('Policy Characteristics'!L:L,MATCH($C1382,'Policy Characteristics'!$C:$C,0))),"",INDEX('Policy Characteristics'!L:L,MATCH($C1382,'Policy Characteristics'!$C:$C,0)))</f>
        <v>research-and-development.html</v>
      </c>
    </row>
    <row r="1383" spans="1:18" x14ac:dyDescent="0.25">
      <c r="A1383" s="275" t="str">
        <f>IF(ISBLANK(INDEX('Policy Characteristics'!A:A,MATCH($C1383,'Policy Characteristics'!$C:$C,0))),"",INDEX('Policy Characteristics'!A:A,MATCH($C1383,'Policy Characteristics'!$C:$C,0)))</f>
        <v>Research and Development</v>
      </c>
      <c r="B1383" s="284" t="str">
        <f>IF(ISBLANK(INDEX('Policy Characteristics'!B:B,MATCH($C1383,'Policy Characteristics'!$C:$C,0))),"",INDEX('Policy Characteristics'!B:B,MATCH($C1383,'Policy Characteristics'!$C:$C,0)))</f>
        <v>Capital Cost Reduction</v>
      </c>
      <c r="C1383" s="275" t="str">
        <f t="shared" si="62"/>
        <v>RnD Electricity Capital Cost Perc Reduction</v>
      </c>
      <c r="D1383" s="6" t="s">
        <v>3522</v>
      </c>
      <c r="E1383" s="47"/>
      <c r="F1383" s="6" t="s">
        <v>3542</v>
      </c>
      <c r="G1383" s="47"/>
      <c r="H1383" s="44">
        <v>1817</v>
      </c>
      <c r="I1383" s="346" t="s">
        <v>43</v>
      </c>
      <c r="J1383" s="276" t="str">
        <f>IF(ISBLANK(INDEX('Policy Characteristics'!D:D,MATCH($C1383,'Policy Characteristics'!$C:$C,0))),"",INDEX('Policy Characteristics'!D:D,MATCH($C1383,'Policy Characteristics'!$C:$C,0)))</f>
        <v>R&amp;D Capital Cost Reductions</v>
      </c>
      <c r="K1383" s="275" t="str">
        <f>IF(ISBLANK(INDEX('Policy Characteristics'!E:E,MATCH($C1383,'Policy Characteristics'!$C:$C,0))),"",INDEX('Policy Characteristics'!E:E,MATCH($C1383,'Policy Characteristics'!$C:$C,0)))</f>
        <v>RnD electricity capital cost reduction</v>
      </c>
      <c r="L1383" s="283">
        <f>IF(ISBLANK(INDEX('Policy Characteristics'!F:F,MATCH($C1383,'Policy Characteristics'!$C:$C,0))),"",INDEX('Policy Characteristics'!F:F,MATCH($C1383,'Policy Characteristics'!$C:$C,0)))</f>
        <v>0</v>
      </c>
      <c r="M1383" s="283">
        <f>IF(ISBLANK(INDEX('Policy Characteristics'!G:G,MATCH($C1383,'Policy Characteristics'!$C:$C,0))),"",INDEX('Policy Characteristics'!G:G,MATCH($C1383,'Policy Characteristics'!$C:$C,0)))</f>
        <v>0.4</v>
      </c>
      <c r="N1383" s="283">
        <f>IF(ISBLANK(INDEX('Policy Characteristics'!H:H,MATCH($C1383,'Policy Characteristics'!$C:$C,0))),"",INDEX('Policy Characteristics'!H:H,MATCH($C1383,'Policy Characteristics'!$C:$C,0)))</f>
        <v>0.01</v>
      </c>
      <c r="O1383" s="275" t="str">
        <f>IF(ISBLANK(INDEX('Policy Characteristics'!I:I,MATCH($C1383,'Policy Characteristics'!$C:$C,0))),"",INDEX('Policy Characteristics'!I:I,MATCH($C1383,'Policy Characteristics'!$C:$C,0)))</f>
        <v>% reduction in cost</v>
      </c>
      <c r="P1383" s="275" t="str">
        <f>IF(ISBLANK(INDEX('Policy Characteristics'!J:J,MATCH($C1383,'Policy Characteristics'!$C:$C,0))),"",INDEX('Policy Characteristics'!J:J,MATCH($C1383,'Policy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3" s="275" t="str">
        <f>IF(ISBLANK(INDEX('Policy Characteristics'!K:K,MATCH($C1383,'Policy Characteristics'!$C:$C,0))),"",INDEX('Policy Characteristics'!K:K,MATCH($C1383,'Policy Characteristics'!$C:$C,0)))</f>
        <v>architectural-design.html#rnd</v>
      </c>
      <c r="R1383" s="275" t="str">
        <f>IF(ISBLANK(INDEX('Policy Characteristics'!L:L,MATCH($C1383,'Policy Characteristics'!$C:$C,0))),"",INDEX('Policy Characteristics'!L:L,MATCH($C1383,'Policy Characteristics'!$C:$C,0)))</f>
        <v>research-and-development.html</v>
      </c>
    </row>
    <row r="1384" spans="1:18" x14ac:dyDescent="0.25">
      <c r="A1384" s="275" t="str">
        <f>IF(ISBLANK(INDEX('Policy Characteristics'!A:A,MATCH($C1384,'Policy Characteristics'!$C:$C,0))),"",INDEX('Policy Characteristics'!A:A,MATCH($C1384,'Policy Characteristics'!$C:$C,0)))</f>
        <v>Research and Development</v>
      </c>
      <c r="B1384" s="284" t="str">
        <f>IF(ISBLANK(INDEX('Policy Characteristics'!B:B,MATCH($C1384,'Policy Characteristics'!$C:$C,0))),"",INDEX('Policy Characteristics'!B:B,MATCH($C1384,'Policy Characteristics'!$C:$C,0)))</f>
        <v>Capital Cost Reduction</v>
      </c>
      <c r="C1384" s="275" t="str">
        <f t="shared" si="62"/>
        <v>RnD Electricity Capital Cost Perc Reduction</v>
      </c>
      <c r="D1384" s="6" t="s">
        <v>3523</v>
      </c>
      <c r="E1384" s="47"/>
      <c r="F1384" s="6" t="s">
        <v>3543</v>
      </c>
      <c r="G1384" s="47"/>
      <c r="H1384" s="44">
        <v>1818</v>
      </c>
      <c r="I1384" s="346" t="s">
        <v>43</v>
      </c>
      <c r="J1384" s="276" t="str">
        <f>IF(ISBLANK(INDEX('Policy Characteristics'!D:D,MATCH($C1384,'Policy Characteristics'!$C:$C,0))),"",INDEX('Policy Characteristics'!D:D,MATCH($C1384,'Policy Characteristics'!$C:$C,0)))</f>
        <v>R&amp;D Capital Cost Reductions</v>
      </c>
      <c r="K1384" s="275" t="str">
        <f>IF(ISBLANK(INDEX('Policy Characteristics'!E:E,MATCH($C1384,'Policy Characteristics'!$C:$C,0))),"",INDEX('Policy Characteristics'!E:E,MATCH($C1384,'Policy Characteristics'!$C:$C,0)))</f>
        <v>RnD electricity capital cost reduction</v>
      </c>
      <c r="L1384" s="283">
        <f>IF(ISBLANK(INDEX('Policy Characteristics'!F:F,MATCH($C1384,'Policy Characteristics'!$C:$C,0))),"",INDEX('Policy Characteristics'!F:F,MATCH($C1384,'Policy Characteristics'!$C:$C,0)))</f>
        <v>0</v>
      </c>
      <c r="M1384" s="283">
        <f>IF(ISBLANK(INDEX('Policy Characteristics'!G:G,MATCH($C1384,'Policy Characteristics'!$C:$C,0))),"",INDEX('Policy Characteristics'!G:G,MATCH($C1384,'Policy Characteristics'!$C:$C,0)))</f>
        <v>0.4</v>
      </c>
      <c r="N1384" s="283">
        <f>IF(ISBLANK(INDEX('Policy Characteristics'!H:H,MATCH($C1384,'Policy Characteristics'!$C:$C,0))),"",INDEX('Policy Characteristics'!H:H,MATCH($C1384,'Policy Characteristics'!$C:$C,0)))</f>
        <v>0.01</v>
      </c>
      <c r="O1384" s="275" t="str">
        <f>IF(ISBLANK(INDEX('Policy Characteristics'!I:I,MATCH($C1384,'Policy Characteristics'!$C:$C,0))),"",INDEX('Policy Characteristics'!I:I,MATCH($C1384,'Policy Characteristics'!$C:$C,0)))</f>
        <v>% reduction in cost</v>
      </c>
      <c r="P1384" s="275" t="str">
        <f>IF(ISBLANK(INDEX('Policy Characteristics'!J:J,MATCH($C1384,'Policy Characteristics'!$C:$C,0))),"",INDEX('Policy Characteristics'!J:J,MATCH($C1384,'Policy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4" s="275" t="str">
        <f>IF(ISBLANK(INDEX('Policy Characteristics'!K:K,MATCH($C1384,'Policy Characteristics'!$C:$C,0))),"",INDEX('Policy Characteristics'!K:K,MATCH($C1384,'Policy Characteristics'!$C:$C,0)))</f>
        <v>architectural-design.html#rnd</v>
      </c>
      <c r="R1384" s="275" t="str">
        <f>IF(ISBLANK(INDEX('Policy Characteristics'!L:L,MATCH($C1384,'Policy Characteristics'!$C:$C,0))),"",INDEX('Policy Characteristics'!L:L,MATCH($C1384,'Policy Characteristics'!$C:$C,0)))</f>
        <v>research-and-development.html</v>
      </c>
    </row>
    <row r="1385" spans="1:18" x14ac:dyDescent="0.25">
      <c r="A1385" s="275" t="str">
        <f>IF(ISBLANK(INDEX('Policy Characteristics'!A:A,MATCH($C1385,'Policy Characteristics'!$C:$C,0))),"",INDEX('Policy Characteristics'!A:A,MATCH($C1385,'Policy Characteristics'!$C:$C,0)))</f>
        <v>Research and Development</v>
      </c>
      <c r="B1385" s="284" t="str">
        <f>IF(ISBLANK(INDEX('Policy Characteristics'!B:B,MATCH($C1385,'Policy Characteristics'!$C:$C,0))),"",INDEX('Policy Characteristics'!B:B,MATCH($C1385,'Policy Characteristics'!$C:$C,0)))</f>
        <v>Capital Cost Reduction</v>
      </c>
      <c r="C1385" s="275" t="str">
        <f t="shared" si="62"/>
        <v>RnD Electricity Capital Cost Perc Reduction</v>
      </c>
      <c r="D1385" s="6" t="s">
        <v>3524</v>
      </c>
      <c r="E1385" s="47"/>
      <c r="F1385" s="6" t="s">
        <v>3544</v>
      </c>
      <c r="G1385" s="47"/>
      <c r="H1385" s="44">
        <v>1819</v>
      </c>
      <c r="I1385" s="346" t="s">
        <v>43</v>
      </c>
      <c r="J1385" s="276" t="str">
        <f>IF(ISBLANK(INDEX('Policy Characteristics'!D:D,MATCH($C1385,'Policy Characteristics'!$C:$C,0))),"",INDEX('Policy Characteristics'!D:D,MATCH($C1385,'Policy Characteristics'!$C:$C,0)))</f>
        <v>R&amp;D Capital Cost Reductions</v>
      </c>
      <c r="K1385" s="275" t="str">
        <f>IF(ISBLANK(INDEX('Policy Characteristics'!E:E,MATCH($C1385,'Policy Characteristics'!$C:$C,0))),"",INDEX('Policy Characteristics'!E:E,MATCH($C1385,'Policy Characteristics'!$C:$C,0)))</f>
        <v>RnD electricity capital cost reduction</v>
      </c>
      <c r="L1385" s="283">
        <f>IF(ISBLANK(INDEX('Policy Characteristics'!F:F,MATCH($C1385,'Policy Characteristics'!$C:$C,0))),"",INDEX('Policy Characteristics'!F:F,MATCH($C1385,'Policy Characteristics'!$C:$C,0)))</f>
        <v>0</v>
      </c>
      <c r="M1385" s="283">
        <f>IF(ISBLANK(INDEX('Policy Characteristics'!G:G,MATCH($C1385,'Policy Characteristics'!$C:$C,0))),"",INDEX('Policy Characteristics'!G:G,MATCH($C1385,'Policy Characteristics'!$C:$C,0)))</f>
        <v>0.4</v>
      </c>
      <c r="N1385" s="283">
        <f>IF(ISBLANK(INDEX('Policy Characteristics'!H:H,MATCH($C1385,'Policy Characteristics'!$C:$C,0))),"",INDEX('Policy Characteristics'!H:H,MATCH($C1385,'Policy Characteristics'!$C:$C,0)))</f>
        <v>0.01</v>
      </c>
      <c r="O1385" s="275" t="str">
        <f>IF(ISBLANK(INDEX('Policy Characteristics'!I:I,MATCH($C1385,'Policy Characteristics'!$C:$C,0))),"",INDEX('Policy Characteristics'!I:I,MATCH($C1385,'Policy Characteristics'!$C:$C,0)))</f>
        <v>% reduction in cost</v>
      </c>
      <c r="P1385" s="275" t="str">
        <f>IF(ISBLANK(INDEX('Policy Characteristics'!J:J,MATCH($C1385,'Policy Characteristics'!$C:$C,0))),"",INDEX('Policy Characteristics'!J:J,MATCH($C1385,'Policy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5" s="275" t="str">
        <f>IF(ISBLANK(INDEX('Policy Characteristics'!K:K,MATCH($C1385,'Policy Characteristics'!$C:$C,0))),"",INDEX('Policy Characteristics'!K:K,MATCH($C1385,'Policy Characteristics'!$C:$C,0)))</f>
        <v>architectural-design.html#rnd</v>
      </c>
      <c r="R1385" s="275" t="str">
        <f>IF(ISBLANK(INDEX('Policy Characteristics'!L:L,MATCH($C1385,'Policy Characteristics'!$C:$C,0))),"",INDEX('Policy Characteristics'!L:L,MATCH($C1385,'Policy Characteristics'!$C:$C,0)))</f>
        <v>research-and-development.html</v>
      </c>
    </row>
    <row r="1386" spans="1:18" x14ac:dyDescent="0.25">
      <c r="A1386" s="275" t="str">
        <f>IF(ISBLANK(INDEX('Policy Characteristics'!A:A,MATCH($C1386,'Policy Characteristics'!$C:$C,0))),"",INDEX('Policy Characteristics'!A:A,MATCH($C1386,'Policy Characteristics'!$C:$C,0)))</f>
        <v>Research and Development</v>
      </c>
      <c r="B1386" s="284" t="str">
        <f>IF(ISBLANK(INDEX('Policy Characteristics'!B:B,MATCH($C1386,'Policy Characteristics'!$C:$C,0))),"",INDEX('Policy Characteristics'!B:B,MATCH($C1386,'Policy Characteristics'!$C:$C,0)))</f>
        <v>Capital Cost Reduction</v>
      </c>
      <c r="C1386" s="275" t="str">
        <f t="shared" si="62"/>
        <v>RnD Electricity Capital Cost Perc Reduction</v>
      </c>
      <c r="D1386" s="6" t="s">
        <v>3525</v>
      </c>
      <c r="E1386" s="47"/>
      <c r="F1386" s="6" t="s">
        <v>3545</v>
      </c>
      <c r="G1386" s="47"/>
      <c r="H1386" s="44">
        <v>1820</v>
      </c>
      <c r="I1386" s="346" t="s">
        <v>43</v>
      </c>
      <c r="J1386" s="276" t="str">
        <f>IF(ISBLANK(INDEX('Policy Characteristics'!D:D,MATCH($C1386,'Policy Characteristics'!$C:$C,0))),"",INDEX('Policy Characteristics'!D:D,MATCH($C1386,'Policy Characteristics'!$C:$C,0)))</f>
        <v>R&amp;D Capital Cost Reductions</v>
      </c>
      <c r="K1386" s="275" t="str">
        <f>IF(ISBLANK(INDEX('Policy Characteristics'!E:E,MATCH($C1386,'Policy Characteristics'!$C:$C,0))),"",INDEX('Policy Characteristics'!E:E,MATCH($C1386,'Policy Characteristics'!$C:$C,0)))</f>
        <v>RnD electricity capital cost reduction</v>
      </c>
      <c r="L1386" s="283">
        <f>IF(ISBLANK(INDEX('Policy Characteristics'!F:F,MATCH($C1386,'Policy Characteristics'!$C:$C,0))),"",INDEX('Policy Characteristics'!F:F,MATCH($C1386,'Policy Characteristics'!$C:$C,0)))</f>
        <v>0</v>
      </c>
      <c r="M1386" s="283">
        <f>IF(ISBLANK(INDEX('Policy Characteristics'!G:G,MATCH($C1386,'Policy Characteristics'!$C:$C,0))),"",INDEX('Policy Characteristics'!G:G,MATCH($C1386,'Policy Characteristics'!$C:$C,0)))</f>
        <v>0.4</v>
      </c>
      <c r="N1386" s="283">
        <f>IF(ISBLANK(INDEX('Policy Characteristics'!H:H,MATCH($C1386,'Policy Characteristics'!$C:$C,0))),"",INDEX('Policy Characteristics'!H:H,MATCH($C1386,'Policy Characteristics'!$C:$C,0)))</f>
        <v>0.01</v>
      </c>
      <c r="O1386" s="275" t="str">
        <f>IF(ISBLANK(INDEX('Policy Characteristics'!I:I,MATCH($C1386,'Policy Characteristics'!$C:$C,0))),"",INDEX('Policy Characteristics'!I:I,MATCH($C1386,'Policy Characteristics'!$C:$C,0)))</f>
        <v>% reduction in cost</v>
      </c>
      <c r="P1386" s="275" t="str">
        <f>IF(ISBLANK(INDEX('Policy Characteristics'!J:J,MATCH($C1386,'Policy Characteristics'!$C:$C,0))),"",INDEX('Policy Characteristics'!J:J,MATCH($C1386,'Policy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6" s="275" t="str">
        <f>IF(ISBLANK(INDEX('Policy Characteristics'!K:K,MATCH($C1386,'Policy Characteristics'!$C:$C,0))),"",INDEX('Policy Characteristics'!K:K,MATCH($C1386,'Policy Characteristics'!$C:$C,0)))</f>
        <v>architectural-design.html#rnd</v>
      </c>
      <c r="R1386" s="275" t="str">
        <f>IF(ISBLANK(INDEX('Policy Characteristics'!L:L,MATCH($C1386,'Policy Characteristics'!$C:$C,0))),"",INDEX('Policy Characteristics'!L:L,MATCH($C1386,'Policy Characteristics'!$C:$C,0)))</f>
        <v>research-and-development.html</v>
      </c>
    </row>
    <row r="1387" spans="1:18" x14ac:dyDescent="0.25">
      <c r="A1387" s="275" t="str">
        <f>IF(ISBLANK(INDEX('Policy Characteristics'!A:A,MATCH($C1387,'Policy Characteristics'!$C:$C,0))),"",INDEX('Policy Characteristics'!A:A,MATCH($C1387,'Policy Characteristics'!$C:$C,0)))</f>
        <v>Research and Development</v>
      </c>
      <c r="B1387" s="284" t="str">
        <f>IF(ISBLANK(INDEX('Policy Characteristics'!B:B,MATCH($C1387,'Policy Characteristics'!$C:$C,0))),"",INDEX('Policy Characteristics'!B:B,MATCH($C1387,'Policy Characteristics'!$C:$C,0)))</f>
        <v>Capital Cost Reduction</v>
      </c>
      <c r="C1387" s="275" t="str">
        <f t="shared" si="62"/>
        <v>RnD Electricity Capital Cost Perc Reduction</v>
      </c>
      <c r="D1387" s="6" t="s">
        <v>3616</v>
      </c>
      <c r="E1387" s="47"/>
      <c r="F1387" s="6" t="s">
        <v>3618</v>
      </c>
      <c r="G1387" s="47"/>
      <c r="H1387" s="44">
        <v>1821</v>
      </c>
      <c r="I1387" s="346" t="s">
        <v>43</v>
      </c>
      <c r="J1387" s="276" t="str">
        <f>IF(ISBLANK(INDEX('Policy Characteristics'!D:D,MATCH($C1387,'Policy Characteristics'!$C:$C,0))),"",INDEX('Policy Characteristics'!D:D,MATCH($C1387,'Policy Characteristics'!$C:$C,0)))</f>
        <v>R&amp;D Capital Cost Reductions</v>
      </c>
      <c r="K1387" s="275" t="str">
        <f>IF(ISBLANK(INDEX('Policy Characteristics'!E:E,MATCH($C1387,'Policy Characteristics'!$C:$C,0))),"",INDEX('Policy Characteristics'!E:E,MATCH($C1387,'Policy Characteristics'!$C:$C,0)))</f>
        <v>RnD electricity capital cost reduction</v>
      </c>
      <c r="L1387" s="283">
        <f>IF(ISBLANK(INDEX('Policy Characteristics'!F:F,MATCH($C1387,'Policy Characteristics'!$C:$C,0))),"",INDEX('Policy Characteristics'!F:F,MATCH($C1387,'Policy Characteristics'!$C:$C,0)))</f>
        <v>0</v>
      </c>
      <c r="M1387" s="283">
        <f>IF(ISBLANK(INDEX('Policy Characteristics'!G:G,MATCH($C1387,'Policy Characteristics'!$C:$C,0))),"",INDEX('Policy Characteristics'!G:G,MATCH($C1387,'Policy Characteristics'!$C:$C,0)))</f>
        <v>0.4</v>
      </c>
      <c r="N1387" s="283">
        <f>IF(ISBLANK(INDEX('Policy Characteristics'!H:H,MATCH($C1387,'Policy Characteristics'!$C:$C,0))),"",INDEX('Policy Characteristics'!H:H,MATCH($C1387,'Policy Characteristics'!$C:$C,0)))</f>
        <v>0.01</v>
      </c>
      <c r="O1387" s="275" t="str">
        <f>IF(ISBLANK(INDEX('Policy Characteristics'!I:I,MATCH($C1387,'Policy Characteristics'!$C:$C,0))),"",INDEX('Policy Characteristics'!I:I,MATCH($C1387,'Policy Characteristics'!$C:$C,0)))</f>
        <v>% reduction in cost</v>
      </c>
      <c r="P1387" s="275" t="str">
        <f>IF(ISBLANK(INDEX('Policy Characteristics'!J:J,MATCH($C1387,'Policy Characteristics'!$C:$C,0))),"",INDEX('Policy Characteristics'!J:J,MATCH($C1387,'Policy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7" s="275" t="str">
        <f>IF(ISBLANK(INDEX('Policy Characteristics'!K:K,MATCH($C1387,'Policy Characteristics'!$C:$C,0))),"",INDEX('Policy Characteristics'!K:K,MATCH($C1387,'Policy Characteristics'!$C:$C,0)))</f>
        <v>architectural-design.html#rnd</v>
      </c>
      <c r="R1387" s="275" t="str">
        <f>IF(ISBLANK(INDEX('Policy Characteristics'!L:L,MATCH($C1387,'Policy Characteristics'!$C:$C,0))),"",INDEX('Policy Characteristics'!L:L,MATCH($C1387,'Policy Characteristics'!$C:$C,0)))</f>
        <v>research-and-development.html</v>
      </c>
    </row>
    <row r="1388" spans="1:18" x14ac:dyDescent="0.25">
      <c r="A1388" s="275" t="str">
        <f>IF(ISBLANK(INDEX('Policy Characteristics'!A:A,MATCH($C1388,'Policy Characteristics'!$C:$C,0))),"",INDEX('Policy Characteristics'!A:A,MATCH($C1388,'Policy Characteristics'!$C:$C,0)))</f>
        <v>Research and Development</v>
      </c>
      <c r="B1388" s="284" t="str">
        <f>IF(ISBLANK(INDEX('Policy Characteristics'!B:B,MATCH($C1388,'Policy Characteristics'!$C:$C,0))),"",INDEX('Policy Characteristics'!B:B,MATCH($C1388,'Policy Characteristics'!$C:$C,0)))</f>
        <v>Capital Cost Reduction</v>
      </c>
      <c r="C1388" s="275" t="str">
        <f t="shared" si="62"/>
        <v>RnD Electricity Capital Cost Perc Reduction</v>
      </c>
      <c r="D1388" s="6" t="s">
        <v>3617</v>
      </c>
      <c r="E1388" s="47"/>
      <c r="F1388" s="6" t="s">
        <v>3619</v>
      </c>
      <c r="G1388" s="47"/>
      <c r="H1388" s="44">
        <v>2245</v>
      </c>
      <c r="I1388" s="346" t="s">
        <v>43</v>
      </c>
      <c r="J1388" s="276" t="str">
        <f>IF(ISBLANK(INDEX('Policy Characteristics'!D:D,MATCH($C1388,'Policy Characteristics'!$C:$C,0))),"",INDEX('Policy Characteristics'!D:D,MATCH($C1388,'Policy Characteristics'!$C:$C,0)))</f>
        <v>R&amp;D Capital Cost Reductions</v>
      </c>
      <c r="K1388" s="275" t="str">
        <f>IF(ISBLANK(INDEX('Policy Characteristics'!E:E,MATCH($C1388,'Policy Characteristics'!$C:$C,0))),"",INDEX('Policy Characteristics'!E:E,MATCH($C1388,'Policy Characteristics'!$C:$C,0)))</f>
        <v>RnD electricity capital cost reduction</v>
      </c>
      <c r="L1388" s="283">
        <f>IF(ISBLANK(INDEX('Policy Characteristics'!F:F,MATCH($C1388,'Policy Characteristics'!$C:$C,0))),"",INDEX('Policy Characteristics'!F:F,MATCH($C1388,'Policy Characteristics'!$C:$C,0)))</f>
        <v>0</v>
      </c>
      <c r="M1388" s="283">
        <f>IF(ISBLANK(INDEX('Policy Characteristics'!G:G,MATCH($C1388,'Policy Characteristics'!$C:$C,0))),"",INDEX('Policy Characteristics'!G:G,MATCH($C1388,'Policy Characteristics'!$C:$C,0)))</f>
        <v>0.4</v>
      </c>
      <c r="N1388" s="283">
        <f>IF(ISBLANK(INDEX('Policy Characteristics'!H:H,MATCH($C1388,'Policy Characteristics'!$C:$C,0))),"",INDEX('Policy Characteristics'!H:H,MATCH($C1388,'Policy Characteristics'!$C:$C,0)))</f>
        <v>0.01</v>
      </c>
      <c r="O1388" s="275" t="str">
        <f>IF(ISBLANK(INDEX('Policy Characteristics'!I:I,MATCH($C1388,'Policy Characteristics'!$C:$C,0))),"",INDEX('Policy Characteristics'!I:I,MATCH($C1388,'Policy Characteristics'!$C:$C,0)))</f>
        <v>% reduction in cost</v>
      </c>
      <c r="P1388" s="275" t="str">
        <f>IF(ISBLANK(INDEX('Policy Characteristics'!J:J,MATCH($C1388,'Policy Characteristics'!$C:$C,0))),"",INDEX('Policy Characteristics'!J:J,MATCH($C1388,'Policy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8" s="275" t="str">
        <f>IF(ISBLANK(INDEX('Policy Characteristics'!K:K,MATCH($C1388,'Policy Characteristics'!$C:$C,0))),"",INDEX('Policy Characteristics'!K:K,MATCH($C1388,'Policy Characteristics'!$C:$C,0)))</f>
        <v>architectural-design.html#rnd</v>
      </c>
      <c r="R1388" s="275" t="str">
        <f>IF(ISBLANK(INDEX('Policy Characteristics'!L:L,MATCH($C1388,'Policy Characteristics'!$C:$C,0))),"",INDEX('Policy Characteristics'!L:L,MATCH($C1388,'Policy Characteristics'!$C:$C,0)))</f>
        <v>research-and-development.html</v>
      </c>
    </row>
    <row r="1389" spans="1:18" x14ac:dyDescent="0.25">
      <c r="A1389" s="275" t="str">
        <f>IF(ISBLANK(INDEX('Policy Characteristics'!A:A,MATCH($C1389,'Policy Characteristics'!$C:$C,0))),"",INDEX('Policy Characteristics'!A:A,MATCH($C1389,'Policy Characteristics'!$C:$C,0)))</f>
        <v>Research and Development</v>
      </c>
      <c r="B1389" s="284" t="str">
        <f>IF(ISBLANK(INDEX('Policy Characteristics'!B:B,MATCH($C1389,'Policy Characteristics'!$C:$C,0))),"",INDEX('Policy Characteristics'!B:B,MATCH($C1389,'Policy Characteristics'!$C:$C,0)))</f>
        <v>Capital Cost Reduction</v>
      </c>
      <c r="C1389" t="s">
        <v>292</v>
      </c>
      <c r="D1389" t="s">
        <v>3070</v>
      </c>
      <c r="E1389" s="47"/>
      <c r="F1389" s="6" t="s">
        <v>3097</v>
      </c>
      <c r="G1389" s="47"/>
      <c r="H1389" s="44">
        <v>1462</v>
      </c>
      <c r="I1389" s="346" t="s">
        <v>43</v>
      </c>
      <c r="J1389" s="276" t="str">
        <f>IF(ISBLANK(INDEX('Policy Characteristics'!D:D,MATCH($C1389,'Policy Characteristics'!$C:$C,0))),"",INDEX('Policy Characteristics'!D:D,MATCH($C1389,'Policy Characteristics'!$C:$C,0)))</f>
        <v>R&amp;D Capital Cost Reductions</v>
      </c>
      <c r="K1389" s="275" t="str">
        <f>IF(ISBLANK(INDEX('Policy Characteristics'!E:E,MATCH($C1389,'Policy Characteristics'!$C:$C,0))),"",INDEX('Policy Characteristics'!E:E,MATCH($C1389,'Policy Characteristics'!$C:$C,0)))</f>
        <v>RnD industry capital cost reduction</v>
      </c>
      <c r="L1389" s="283">
        <f>IF(ISBLANK(INDEX('Policy Characteristics'!F:F,MATCH($C1389,'Policy Characteristics'!$C:$C,0))),"",INDEX('Policy Characteristics'!F:F,MATCH($C1389,'Policy Characteristics'!$C:$C,0)))</f>
        <v>0</v>
      </c>
      <c r="M1389" s="283">
        <f>IF(ISBLANK(INDEX('Policy Characteristics'!G:G,MATCH($C1389,'Policy Characteristics'!$C:$C,0))),"",INDEX('Policy Characteristics'!G:G,MATCH($C1389,'Policy Characteristics'!$C:$C,0)))</f>
        <v>0.4</v>
      </c>
      <c r="N1389" s="283">
        <f>IF(ISBLANK(INDEX('Policy Characteristics'!H:H,MATCH($C1389,'Policy Characteristics'!$C:$C,0))),"",INDEX('Policy Characteristics'!H:H,MATCH($C1389,'Policy Characteristics'!$C:$C,0)))</f>
        <v>0.01</v>
      </c>
      <c r="O1389" s="275" t="str">
        <f>IF(ISBLANK(INDEX('Policy Characteristics'!I:I,MATCH($C1389,'Policy Characteristics'!$C:$C,0))),"",INDEX('Policy Characteristics'!I:I,MATCH($C1389,'Policy Characteristics'!$C:$C,0)))</f>
        <v>% reduction in cost</v>
      </c>
      <c r="P1389" s="275" t="str">
        <f>IF(ISBLANK(INDEX('Policy Characteristics'!J:J,MATCH($C1389,'Policy Characteristics'!$C:$C,0))),"",INDEX('Policy Characteristics'!J:J,MATCH($C1389,'Policy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9" s="275" t="str">
        <f>IF(ISBLANK(INDEX('Policy Characteristics'!K:K,MATCH($C1389,'Policy Characteristics'!$C:$C,0))),"",INDEX('Policy Characteristics'!K:K,MATCH($C1389,'Policy Characteristics'!$C:$C,0)))</f>
        <v>architectural-design.html#rnd</v>
      </c>
      <c r="R1389" s="275" t="str">
        <f>IF(ISBLANK(INDEX('Policy Characteristics'!L:L,MATCH($C1389,'Policy Characteristics'!$C:$C,0))),"",INDEX('Policy Characteristics'!L:L,MATCH($C1389,'Policy Characteristics'!$C:$C,0)))</f>
        <v>research-and-development.html</v>
      </c>
    </row>
    <row r="1390" spans="1:18" x14ac:dyDescent="0.25">
      <c r="A1390" s="275" t="str">
        <f>IF(ISBLANK(INDEX('Policy Characteristics'!A:A,MATCH($C1390,'Policy Characteristics'!$C:$C,0))),"",INDEX('Policy Characteristics'!A:A,MATCH($C1390,'Policy Characteristics'!$C:$C,0)))</f>
        <v>Research and Development</v>
      </c>
      <c r="B1390" s="284" t="str">
        <f>IF(ISBLANK(INDEX('Policy Characteristics'!B:B,MATCH($C1390,'Policy Characteristics'!$C:$C,0))),"",INDEX('Policy Characteristics'!B:B,MATCH($C1390,'Policy Characteristics'!$C:$C,0)))</f>
        <v>Capital Cost Reduction</v>
      </c>
      <c r="C1390" s="275" t="str">
        <f t="shared" ref="C1390:C1413" si="63">C$1389</f>
        <v>RnD Industry Capital Cost Perc Reduction</v>
      </c>
      <c r="D1390" t="s">
        <v>3071</v>
      </c>
      <c r="E1390" s="47"/>
      <c r="F1390" s="6" t="s">
        <v>3098</v>
      </c>
      <c r="G1390" s="47"/>
      <c r="H1390" s="44">
        <v>1463</v>
      </c>
      <c r="I1390" s="346" t="s">
        <v>43</v>
      </c>
      <c r="J1390" s="276" t="str">
        <f>IF(ISBLANK(INDEX('Policy Characteristics'!D:D,MATCH($C1390,'Policy Characteristics'!$C:$C,0))),"",INDEX('Policy Characteristics'!D:D,MATCH($C1390,'Policy Characteristics'!$C:$C,0)))</f>
        <v>R&amp;D Capital Cost Reductions</v>
      </c>
      <c r="K1390" s="275" t="str">
        <f>IF(ISBLANK(INDEX('Policy Characteristics'!E:E,MATCH($C1390,'Policy Characteristics'!$C:$C,0))),"",INDEX('Policy Characteristics'!E:E,MATCH($C1390,'Policy Characteristics'!$C:$C,0)))</f>
        <v>RnD industry capital cost reduction</v>
      </c>
      <c r="L1390" s="283">
        <f>IF(ISBLANK(INDEX('Policy Characteristics'!F:F,MATCH($C1390,'Policy Characteristics'!$C:$C,0))),"",INDEX('Policy Characteristics'!F:F,MATCH($C1390,'Policy Characteristics'!$C:$C,0)))</f>
        <v>0</v>
      </c>
      <c r="M1390" s="283">
        <f>IF(ISBLANK(INDEX('Policy Characteristics'!G:G,MATCH($C1390,'Policy Characteristics'!$C:$C,0))),"",INDEX('Policy Characteristics'!G:G,MATCH($C1390,'Policy Characteristics'!$C:$C,0)))</f>
        <v>0.4</v>
      </c>
      <c r="N1390" s="283">
        <f>IF(ISBLANK(INDEX('Policy Characteristics'!H:H,MATCH($C1390,'Policy Characteristics'!$C:$C,0))),"",INDEX('Policy Characteristics'!H:H,MATCH($C1390,'Policy Characteristics'!$C:$C,0)))</f>
        <v>0.01</v>
      </c>
      <c r="O1390" s="275" t="str">
        <f>IF(ISBLANK(INDEX('Policy Characteristics'!I:I,MATCH($C1390,'Policy Characteristics'!$C:$C,0))),"",INDEX('Policy Characteristics'!I:I,MATCH($C1390,'Policy Characteristics'!$C:$C,0)))</f>
        <v>% reduction in cost</v>
      </c>
      <c r="P1390" s="275" t="str">
        <f>IF(ISBLANK(INDEX('Policy Characteristics'!J:J,MATCH($C1390,'Policy Characteristics'!$C:$C,0))),"",INDEX('Policy Characteristics'!J:J,MATCH($C1390,'Policy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0" s="275" t="str">
        <f>IF(ISBLANK(INDEX('Policy Characteristics'!K:K,MATCH($C1390,'Policy Characteristics'!$C:$C,0))),"",INDEX('Policy Characteristics'!K:K,MATCH($C1390,'Policy Characteristics'!$C:$C,0)))</f>
        <v>architectural-design.html#rnd</v>
      </c>
      <c r="R1390" s="275" t="str">
        <f>IF(ISBLANK(INDEX('Policy Characteristics'!L:L,MATCH($C1390,'Policy Characteristics'!$C:$C,0))),"",INDEX('Policy Characteristics'!L:L,MATCH($C1390,'Policy Characteristics'!$C:$C,0)))</f>
        <v>research-and-development.html</v>
      </c>
    </row>
    <row r="1391" spans="1:18" x14ac:dyDescent="0.25">
      <c r="A1391" s="275" t="str">
        <f>IF(ISBLANK(INDEX('Policy Characteristics'!A:A,MATCH($C1391,'Policy Characteristics'!$C:$C,0))),"",INDEX('Policy Characteristics'!A:A,MATCH($C1391,'Policy Characteristics'!$C:$C,0)))</f>
        <v>Research and Development</v>
      </c>
      <c r="B1391" s="284" t="str">
        <f>IF(ISBLANK(INDEX('Policy Characteristics'!B:B,MATCH($C1391,'Policy Characteristics'!$C:$C,0))),"",INDEX('Policy Characteristics'!B:B,MATCH($C1391,'Policy Characteristics'!$C:$C,0)))</f>
        <v>Capital Cost Reduction</v>
      </c>
      <c r="C1391" s="275" t="str">
        <f t="shared" si="63"/>
        <v>RnD Industry Capital Cost Perc Reduction</v>
      </c>
      <c r="D1391" t="s">
        <v>3072</v>
      </c>
      <c r="E1391" s="47"/>
      <c r="F1391" s="6" t="s">
        <v>3099</v>
      </c>
      <c r="G1391" s="47"/>
      <c r="H1391" s="44">
        <v>1464</v>
      </c>
      <c r="I1391" s="346" t="s">
        <v>43</v>
      </c>
      <c r="J1391" s="276" t="str">
        <f>IF(ISBLANK(INDEX('Policy Characteristics'!D:D,MATCH($C1391,'Policy Characteristics'!$C:$C,0))),"",INDEX('Policy Characteristics'!D:D,MATCH($C1391,'Policy Characteristics'!$C:$C,0)))</f>
        <v>R&amp;D Capital Cost Reductions</v>
      </c>
      <c r="K1391" s="275" t="str">
        <f>IF(ISBLANK(INDEX('Policy Characteristics'!E:E,MATCH($C1391,'Policy Characteristics'!$C:$C,0))),"",INDEX('Policy Characteristics'!E:E,MATCH($C1391,'Policy Characteristics'!$C:$C,0)))</f>
        <v>RnD industry capital cost reduction</v>
      </c>
      <c r="L1391" s="283">
        <f>IF(ISBLANK(INDEX('Policy Characteristics'!F:F,MATCH($C1391,'Policy Characteristics'!$C:$C,0))),"",INDEX('Policy Characteristics'!F:F,MATCH($C1391,'Policy Characteristics'!$C:$C,0)))</f>
        <v>0</v>
      </c>
      <c r="M1391" s="283">
        <f>IF(ISBLANK(INDEX('Policy Characteristics'!G:G,MATCH($C1391,'Policy Characteristics'!$C:$C,0))),"",INDEX('Policy Characteristics'!G:G,MATCH($C1391,'Policy Characteristics'!$C:$C,0)))</f>
        <v>0.4</v>
      </c>
      <c r="N1391" s="283">
        <f>IF(ISBLANK(INDEX('Policy Characteristics'!H:H,MATCH($C1391,'Policy Characteristics'!$C:$C,0))),"",INDEX('Policy Characteristics'!H:H,MATCH($C1391,'Policy Characteristics'!$C:$C,0)))</f>
        <v>0.01</v>
      </c>
      <c r="O1391" s="275" t="str">
        <f>IF(ISBLANK(INDEX('Policy Characteristics'!I:I,MATCH($C1391,'Policy Characteristics'!$C:$C,0))),"",INDEX('Policy Characteristics'!I:I,MATCH($C1391,'Policy Characteristics'!$C:$C,0)))</f>
        <v>% reduction in cost</v>
      </c>
      <c r="P1391" s="275" t="str">
        <f>IF(ISBLANK(INDEX('Policy Characteristics'!J:J,MATCH($C1391,'Policy Characteristics'!$C:$C,0))),"",INDEX('Policy Characteristics'!J:J,MATCH($C1391,'Policy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1" s="275" t="str">
        <f>IF(ISBLANK(INDEX('Policy Characteristics'!K:K,MATCH($C1391,'Policy Characteristics'!$C:$C,0))),"",INDEX('Policy Characteristics'!K:K,MATCH($C1391,'Policy Characteristics'!$C:$C,0)))</f>
        <v>architectural-design.html#rnd</v>
      </c>
      <c r="R1391" s="275" t="str">
        <f>IF(ISBLANK(INDEX('Policy Characteristics'!L:L,MATCH($C1391,'Policy Characteristics'!$C:$C,0))),"",INDEX('Policy Characteristics'!L:L,MATCH($C1391,'Policy Characteristics'!$C:$C,0)))</f>
        <v>research-and-development.html</v>
      </c>
    </row>
    <row r="1392" spans="1:18" x14ac:dyDescent="0.25">
      <c r="A1392" s="275" t="str">
        <f>IF(ISBLANK(INDEX('Policy Characteristics'!A:A,MATCH($C1392,'Policy Characteristics'!$C:$C,0))),"",INDEX('Policy Characteristics'!A:A,MATCH($C1392,'Policy Characteristics'!$C:$C,0)))</f>
        <v>Research and Development</v>
      </c>
      <c r="B1392" s="284" t="str">
        <f>IF(ISBLANK(INDEX('Policy Characteristics'!B:B,MATCH($C1392,'Policy Characteristics'!$C:$C,0))),"",INDEX('Policy Characteristics'!B:B,MATCH($C1392,'Policy Characteristics'!$C:$C,0)))</f>
        <v>Capital Cost Reduction</v>
      </c>
      <c r="C1392" s="275" t="str">
        <f t="shared" si="63"/>
        <v>RnD Industry Capital Cost Perc Reduction</v>
      </c>
      <c r="D1392" t="s">
        <v>3073</v>
      </c>
      <c r="E1392" s="47"/>
      <c r="F1392" s="6" t="s">
        <v>3100</v>
      </c>
      <c r="G1392" s="47"/>
      <c r="H1392" s="44">
        <v>1465</v>
      </c>
      <c r="I1392" s="346" t="s">
        <v>43</v>
      </c>
      <c r="J1392" s="276" t="str">
        <f>IF(ISBLANK(INDEX('Policy Characteristics'!D:D,MATCH($C1392,'Policy Characteristics'!$C:$C,0))),"",INDEX('Policy Characteristics'!D:D,MATCH($C1392,'Policy Characteristics'!$C:$C,0)))</f>
        <v>R&amp;D Capital Cost Reductions</v>
      </c>
      <c r="K1392" s="275" t="str">
        <f>IF(ISBLANK(INDEX('Policy Characteristics'!E:E,MATCH($C1392,'Policy Characteristics'!$C:$C,0))),"",INDEX('Policy Characteristics'!E:E,MATCH($C1392,'Policy Characteristics'!$C:$C,0)))</f>
        <v>RnD industry capital cost reduction</v>
      </c>
      <c r="L1392" s="283">
        <f>IF(ISBLANK(INDEX('Policy Characteristics'!F:F,MATCH($C1392,'Policy Characteristics'!$C:$C,0))),"",INDEX('Policy Characteristics'!F:F,MATCH($C1392,'Policy Characteristics'!$C:$C,0)))</f>
        <v>0</v>
      </c>
      <c r="M1392" s="283">
        <f>IF(ISBLANK(INDEX('Policy Characteristics'!G:G,MATCH($C1392,'Policy Characteristics'!$C:$C,0))),"",INDEX('Policy Characteristics'!G:G,MATCH($C1392,'Policy Characteristics'!$C:$C,0)))</f>
        <v>0.4</v>
      </c>
      <c r="N1392" s="283">
        <f>IF(ISBLANK(INDEX('Policy Characteristics'!H:H,MATCH($C1392,'Policy Characteristics'!$C:$C,0))),"",INDEX('Policy Characteristics'!H:H,MATCH($C1392,'Policy Characteristics'!$C:$C,0)))</f>
        <v>0.01</v>
      </c>
      <c r="O1392" s="275" t="str">
        <f>IF(ISBLANK(INDEX('Policy Characteristics'!I:I,MATCH($C1392,'Policy Characteristics'!$C:$C,0))),"",INDEX('Policy Characteristics'!I:I,MATCH($C1392,'Policy Characteristics'!$C:$C,0)))</f>
        <v>% reduction in cost</v>
      </c>
      <c r="P1392" s="275" t="str">
        <f>IF(ISBLANK(INDEX('Policy Characteristics'!J:J,MATCH($C1392,'Policy Characteristics'!$C:$C,0))),"",INDEX('Policy Characteristics'!J:J,MATCH($C1392,'Policy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2" s="275" t="str">
        <f>IF(ISBLANK(INDEX('Policy Characteristics'!K:K,MATCH($C1392,'Policy Characteristics'!$C:$C,0))),"",INDEX('Policy Characteristics'!K:K,MATCH($C1392,'Policy Characteristics'!$C:$C,0)))</f>
        <v>architectural-design.html#rnd</v>
      </c>
      <c r="R1392" s="275" t="str">
        <f>IF(ISBLANK(INDEX('Policy Characteristics'!L:L,MATCH($C1392,'Policy Characteristics'!$C:$C,0))),"",INDEX('Policy Characteristics'!L:L,MATCH($C1392,'Policy Characteristics'!$C:$C,0)))</f>
        <v>research-and-development.html</v>
      </c>
    </row>
    <row r="1393" spans="1:18" x14ac:dyDescent="0.25">
      <c r="A1393" s="275" t="str">
        <f>IF(ISBLANK(INDEX('Policy Characteristics'!A:A,MATCH($C1393,'Policy Characteristics'!$C:$C,0))),"",INDEX('Policy Characteristics'!A:A,MATCH($C1393,'Policy Characteristics'!$C:$C,0)))</f>
        <v>Research and Development</v>
      </c>
      <c r="B1393" s="284" t="str">
        <f>IF(ISBLANK(INDEX('Policy Characteristics'!B:B,MATCH($C1393,'Policy Characteristics'!$C:$C,0))),"",INDEX('Policy Characteristics'!B:B,MATCH($C1393,'Policy Characteristics'!$C:$C,0)))</f>
        <v>Capital Cost Reduction</v>
      </c>
      <c r="C1393" s="275" t="str">
        <f t="shared" si="63"/>
        <v>RnD Industry Capital Cost Perc Reduction</v>
      </c>
      <c r="D1393" t="s">
        <v>3074</v>
      </c>
      <c r="E1393" s="47"/>
      <c r="F1393" s="6" t="s">
        <v>3101</v>
      </c>
      <c r="G1393" s="47"/>
      <c r="H1393" s="44">
        <v>1466</v>
      </c>
      <c r="I1393" s="346" t="s">
        <v>43</v>
      </c>
      <c r="J1393" s="276" t="str">
        <f>IF(ISBLANK(INDEX('Policy Characteristics'!D:D,MATCH($C1393,'Policy Characteristics'!$C:$C,0))),"",INDEX('Policy Characteristics'!D:D,MATCH($C1393,'Policy Characteristics'!$C:$C,0)))</f>
        <v>R&amp;D Capital Cost Reductions</v>
      </c>
      <c r="K1393" s="275" t="str">
        <f>IF(ISBLANK(INDEX('Policy Characteristics'!E:E,MATCH($C1393,'Policy Characteristics'!$C:$C,0))),"",INDEX('Policy Characteristics'!E:E,MATCH($C1393,'Policy Characteristics'!$C:$C,0)))</f>
        <v>RnD industry capital cost reduction</v>
      </c>
      <c r="L1393" s="283">
        <f>IF(ISBLANK(INDEX('Policy Characteristics'!F:F,MATCH($C1393,'Policy Characteristics'!$C:$C,0))),"",INDEX('Policy Characteristics'!F:F,MATCH($C1393,'Policy Characteristics'!$C:$C,0)))</f>
        <v>0</v>
      </c>
      <c r="M1393" s="283">
        <f>IF(ISBLANK(INDEX('Policy Characteristics'!G:G,MATCH($C1393,'Policy Characteristics'!$C:$C,0))),"",INDEX('Policy Characteristics'!G:G,MATCH($C1393,'Policy Characteristics'!$C:$C,0)))</f>
        <v>0.4</v>
      </c>
      <c r="N1393" s="283">
        <f>IF(ISBLANK(INDEX('Policy Characteristics'!H:H,MATCH($C1393,'Policy Characteristics'!$C:$C,0))),"",INDEX('Policy Characteristics'!H:H,MATCH($C1393,'Policy Characteristics'!$C:$C,0)))</f>
        <v>0.01</v>
      </c>
      <c r="O1393" s="275" t="str">
        <f>IF(ISBLANK(INDEX('Policy Characteristics'!I:I,MATCH($C1393,'Policy Characteristics'!$C:$C,0))),"",INDEX('Policy Characteristics'!I:I,MATCH($C1393,'Policy Characteristics'!$C:$C,0)))</f>
        <v>% reduction in cost</v>
      </c>
      <c r="P1393" s="275" t="str">
        <f>IF(ISBLANK(INDEX('Policy Characteristics'!J:J,MATCH($C1393,'Policy Characteristics'!$C:$C,0))),"",INDEX('Policy Characteristics'!J:J,MATCH($C1393,'Policy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3" s="275" t="str">
        <f>IF(ISBLANK(INDEX('Policy Characteristics'!K:K,MATCH($C1393,'Policy Characteristics'!$C:$C,0))),"",INDEX('Policy Characteristics'!K:K,MATCH($C1393,'Policy Characteristics'!$C:$C,0)))</f>
        <v>architectural-design.html#rnd</v>
      </c>
      <c r="R1393" s="275" t="str">
        <f>IF(ISBLANK(INDEX('Policy Characteristics'!L:L,MATCH($C1393,'Policy Characteristics'!$C:$C,0))),"",INDEX('Policy Characteristics'!L:L,MATCH($C1393,'Policy Characteristics'!$C:$C,0)))</f>
        <v>research-and-development.html</v>
      </c>
    </row>
    <row r="1394" spans="1:18" x14ac:dyDescent="0.25">
      <c r="A1394" s="275" t="str">
        <f>IF(ISBLANK(INDEX('Policy Characteristics'!A:A,MATCH($C1394,'Policy Characteristics'!$C:$C,0))),"",INDEX('Policy Characteristics'!A:A,MATCH($C1394,'Policy Characteristics'!$C:$C,0)))</f>
        <v>Research and Development</v>
      </c>
      <c r="B1394" s="284" t="str">
        <f>IF(ISBLANK(INDEX('Policy Characteristics'!B:B,MATCH($C1394,'Policy Characteristics'!$C:$C,0))),"",INDEX('Policy Characteristics'!B:B,MATCH($C1394,'Policy Characteristics'!$C:$C,0)))</f>
        <v>Capital Cost Reduction</v>
      </c>
      <c r="C1394" s="275" t="str">
        <f t="shared" si="63"/>
        <v>RnD Industry Capital Cost Perc Reduction</v>
      </c>
      <c r="D1394" t="s">
        <v>3075</v>
      </c>
      <c r="E1394" s="47"/>
      <c r="F1394" s="6" t="s">
        <v>3102</v>
      </c>
      <c r="G1394" s="47"/>
      <c r="H1394" s="44">
        <v>1467</v>
      </c>
      <c r="I1394" s="346" t="s">
        <v>43</v>
      </c>
      <c r="J1394" s="276" t="str">
        <f>IF(ISBLANK(INDEX('Policy Characteristics'!D:D,MATCH($C1394,'Policy Characteristics'!$C:$C,0))),"",INDEX('Policy Characteristics'!D:D,MATCH($C1394,'Policy Characteristics'!$C:$C,0)))</f>
        <v>R&amp;D Capital Cost Reductions</v>
      </c>
      <c r="K1394" s="275" t="str">
        <f>IF(ISBLANK(INDEX('Policy Characteristics'!E:E,MATCH($C1394,'Policy Characteristics'!$C:$C,0))),"",INDEX('Policy Characteristics'!E:E,MATCH($C1394,'Policy Characteristics'!$C:$C,0)))</f>
        <v>RnD industry capital cost reduction</v>
      </c>
      <c r="L1394" s="283">
        <f>IF(ISBLANK(INDEX('Policy Characteristics'!F:F,MATCH($C1394,'Policy Characteristics'!$C:$C,0))),"",INDEX('Policy Characteristics'!F:F,MATCH($C1394,'Policy Characteristics'!$C:$C,0)))</f>
        <v>0</v>
      </c>
      <c r="M1394" s="283">
        <f>IF(ISBLANK(INDEX('Policy Characteristics'!G:G,MATCH($C1394,'Policy Characteristics'!$C:$C,0))),"",INDEX('Policy Characteristics'!G:G,MATCH($C1394,'Policy Characteristics'!$C:$C,0)))</f>
        <v>0.4</v>
      </c>
      <c r="N1394" s="283">
        <f>IF(ISBLANK(INDEX('Policy Characteristics'!H:H,MATCH($C1394,'Policy Characteristics'!$C:$C,0))),"",INDEX('Policy Characteristics'!H:H,MATCH($C1394,'Policy Characteristics'!$C:$C,0)))</f>
        <v>0.01</v>
      </c>
      <c r="O1394" s="275" t="str">
        <f>IF(ISBLANK(INDEX('Policy Characteristics'!I:I,MATCH($C1394,'Policy Characteristics'!$C:$C,0))),"",INDEX('Policy Characteristics'!I:I,MATCH($C1394,'Policy Characteristics'!$C:$C,0)))</f>
        <v>% reduction in cost</v>
      </c>
      <c r="P1394" s="275" t="str">
        <f>IF(ISBLANK(INDEX('Policy Characteristics'!J:J,MATCH($C1394,'Policy Characteristics'!$C:$C,0))),"",INDEX('Policy Characteristics'!J:J,MATCH($C1394,'Policy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4" s="275" t="str">
        <f>IF(ISBLANK(INDEX('Policy Characteristics'!K:K,MATCH($C1394,'Policy Characteristics'!$C:$C,0))),"",INDEX('Policy Characteristics'!K:K,MATCH($C1394,'Policy Characteristics'!$C:$C,0)))</f>
        <v>architectural-design.html#rnd</v>
      </c>
      <c r="R1394" s="275" t="str">
        <f>IF(ISBLANK(INDEX('Policy Characteristics'!L:L,MATCH($C1394,'Policy Characteristics'!$C:$C,0))),"",INDEX('Policy Characteristics'!L:L,MATCH($C1394,'Policy Characteristics'!$C:$C,0)))</f>
        <v>research-and-development.html</v>
      </c>
    </row>
    <row r="1395" spans="1:18" x14ac:dyDescent="0.25">
      <c r="A1395" s="275" t="str">
        <f>IF(ISBLANK(INDEX('Policy Characteristics'!A:A,MATCH($C1395,'Policy Characteristics'!$C:$C,0))),"",INDEX('Policy Characteristics'!A:A,MATCH($C1395,'Policy Characteristics'!$C:$C,0)))</f>
        <v>Research and Development</v>
      </c>
      <c r="B1395" s="284" t="str">
        <f>IF(ISBLANK(INDEX('Policy Characteristics'!B:B,MATCH($C1395,'Policy Characteristics'!$C:$C,0))),"",INDEX('Policy Characteristics'!B:B,MATCH($C1395,'Policy Characteristics'!$C:$C,0)))</f>
        <v>Capital Cost Reduction</v>
      </c>
      <c r="C1395" s="275" t="str">
        <f t="shared" si="63"/>
        <v>RnD Industry Capital Cost Perc Reduction</v>
      </c>
      <c r="D1395" t="s">
        <v>3076</v>
      </c>
      <c r="E1395" s="47"/>
      <c r="F1395" s="6" t="s">
        <v>3103</v>
      </c>
      <c r="G1395" s="47"/>
      <c r="H1395" s="44">
        <v>1468</v>
      </c>
      <c r="I1395" s="346" t="s">
        <v>43</v>
      </c>
      <c r="J1395" s="276" t="str">
        <f>IF(ISBLANK(INDEX('Policy Characteristics'!D:D,MATCH($C1395,'Policy Characteristics'!$C:$C,0))),"",INDEX('Policy Characteristics'!D:D,MATCH($C1395,'Policy Characteristics'!$C:$C,0)))</f>
        <v>R&amp;D Capital Cost Reductions</v>
      </c>
      <c r="K1395" s="275" t="str">
        <f>IF(ISBLANK(INDEX('Policy Characteristics'!E:E,MATCH($C1395,'Policy Characteristics'!$C:$C,0))),"",INDEX('Policy Characteristics'!E:E,MATCH($C1395,'Policy Characteristics'!$C:$C,0)))</f>
        <v>RnD industry capital cost reduction</v>
      </c>
      <c r="L1395" s="283">
        <f>IF(ISBLANK(INDEX('Policy Characteristics'!F:F,MATCH($C1395,'Policy Characteristics'!$C:$C,0))),"",INDEX('Policy Characteristics'!F:F,MATCH($C1395,'Policy Characteristics'!$C:$C,0)))</f>
        <v>0</v>
      </c>
      <c r="M1395" s="283">
        <f>IF(ISBLANK(INDEX('Policy Characteristics'!G:G,MATCH($C1395,'Policy Characteristics'!$C:$C,0))),"",INDEX('Policy Characteristics'!G:G,MATCH($C1395,'Policy Characteristics'!$C:$C,0)))</f>
        <v>0.4</v>
      </c>
      <c r="N1395" s="283">
        <f>IF(ISBLANK(INDEX('Policy Characteristics'!H:H,MATCH($C1395,'Policy Characteristics'!$C:$C,0))),"",INDEX('Policy Characteristics'!H:H,MATCH($C1395,'Policy Characteristics'!$C:$C,0)))</f>
        <v>0.01</v>
      </c>
      <c r="O1395" s="275" t="str">
        <f>IF(ISBLANK(INDEX('Policy Characteristics'!I:I,MATCH($C1395,'Policy Characteristics'!$C:$C,0))),"",INDEX('Policy Characteristics'!I:I,MATCH($C1395,'Policy Characteristics'!$C:$C,0)))</f>
        <v>% reduction in cost</v>
      </c>
      <c r="P1395" s="275" t="str">
        <f>IF(ISBLANK(INDEX('Policy Characteristics'!J:J,MATCH($C1395,'Policy Characteristics'!$C:$C,0))),"",INDEX('Policy Characteristics'!J:J,MATCH($C1395,'Policy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5" s="275" t="str">
        <f>IF(ISBLANK(INDEX('Policy Characteristics'!K:K,MATCH($C1395,'Policy Characteristics'!$C:$C,0))),"",INDEX('Policy Characteristics'!K:K,MATCH($C1395,'Policy Characteristics'!$C:$C,0)))</f>
        <v>architectural-design.html#rnd</v>
      </c>
      <c r="R1395" s="275" t="str">
        <f>IF(ISBLANK(INDEX('Policy Characteristics'!L:L,MATCH($C1395,'Policy Characteristics'!$C:$C,0))),"",INDEX('Policy Characteristics'!L:L,MATCH($C1395,'Policy Characteristics'!$C:$C,0)))</f>
        <v>research-and-development.html</v>
      </c>
    </row>
    <row r="1396" spans="1:18" x14ac:dyDescent="0.25">
      <c r="A1396" s="275" t="str">
        <f>IF(ISBLANK(INDEX('Policy Characteristics'!A:A,MATCH($C1396,'Policy Characteristics'!$C:$C,0))),"",INDEX('Policy Characteristics'!A:A,MATCH($C1396,'Policy Characteristics'!$C:$C,0)))</f>
        <v>Research and Development</v>
      </c>
      <c r="B1396" s="284" t="str">
        <f>IF(ISBLANK(INDEX('Policy Characteristics'!B:B,MATCH($C1396,'Policy Characteristics'!$C:$C,0))),"",INDEX('Policy Characteristics'!B:B,MATCH($C1396,'Policy Characteristics'!$C:$C,0)))</f>
        <v>Capital Cost Reduction</v>
      </c>
      <c r="C1396" s="275" t="str">
        <f t="shared" si="63"/>
        <v>RnD Industry Capital Cost Perc Reduction</v>
      </c>
      <c r="D1396" t="s">
        <v>3077</v>
      </c>
      <c r="E1396" s="47"/>
      <c r="F1396" s="6" t="s">
        <v>3104</v>
      </c>
      <c r="G1396" s="47"/>
      <c r="H1396" s="44">
        <v>1469</v>
      </c>
      <c r="I1396" s="346" t="s">
        <v>43</v>
      </c>
      <c r="J1396" s="276" t="str">
        <f>IF(ISBLANK(INDEX('Policy Characteristics'!D:D,MATCH($C1396,'Policy Characteristics'!$C:$C,0))),"",INDEX('Policy Characteristics'!D:D,MATCH($C1396,'Policy Characteristics'!$C:$C,0)))</f>
        <v>R&amp;D Capital Cost Reductions</v>
      </c>
      <c r="K1396" s="275" t="str">
        <f>IF(ISBLANK(INDEX('Policy Characteristics'!E:E,MATCH($C1396,'Policy Characteristics'!$C:$C,0))),"",INDEX('Policy Characteristics'!E:E,MATCH($C1396,'Policy Characteristics'!$C:$C,0)))</f>
        <v>RnD industry capital cost reduction</v>
      </c>
      <c r="L1396" s="283">
        <f>IF(ISBLANK(INDEX('Policy Characteristics'!F:F,MATCH($C1396,'Policy Characteristics'!$C:$C,0))),"",INDEX('Policy Characteristics'!F:F,MATCH($C1396,'Policy Characteristics'!$C:$C,0)))</f>
        <v>0</v>
      </c>
      <c r="M1396" s="283">
        <f>IF(ISBLANK(INDEX('Policy Characteristics'!G:G,MATCH($C1396,'Policy Characteristics'!$C:$C,0))),"",INDEX('Policy Characteristics'!G:G,MATCH($C1396,'Policy Characteristics'!$C:$C,0)))</f>
        <v>0.4</v>
      </c>
      <c r="N1396" s="283">
        <f>IF(ISBLANK(INDEX('Policy Characteristics'!H:H,MATCH($C1396,'Policy Characteristics'!$C:$C,0))),"",INDEX('Policy Characteristics'!H:H,MATCH($C1396,'Policy Characteristics'!$C:$C,0)))</f>
        <v>0.01</v>
      </c>
      <c r="O1396" s="275" t="str">
        <f>IF(ISBLANK(INDEX('Policy Characteristics'!I:I,MATCH($C1396,'Policy Characteristics'!$C:$C,0))),"",INDEX('Policy Characteristics'!I:I,MATCH($C1396,'Policy Characteristics'!$C:$C,0)))</f>
        <v>% reduction in cost</v>
      </c>
      <c r="P1396" s="275" t="str">
        <f>IF(ISBLANK(INDEX('Policy Characteristics'!J:J,MATCH($C1396,'Policy Characteristics'!$C:$C,0))),"",INDEX('Policy Characteristics'!J:J,MATCH($C1396,'Policy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6" s="275" t="str">
        <f>IF(ISBLANK(INDEX('Policy Characteristics'!K:K,MATCH($C1396,'Policy Characteristics'!$C:$C,0))),"",INDEX('Policy Characteristics'!K:K,MATCH($C1396,'Policy Characteristics'!$C:$C,0)))</f>
        <v>architectural-design.html#rnd</v>
      </c>
      <c r="R1396" s="275" t="str">
        <f>IF(ISBLANK(INDEX('Policy Characteristics'!L:L,MATCH($C1396,'Policy Characteristics'!$C:$C,0))),"",INDEX('Policy Characteristics'!L:L,MATCH($C1396,'Policy Characteristics'!$C:$C,0)))</f>
        <v>research-and-development.html</v>
      </c>
    </row>
    <row r="1397" spans="1:18" x14ac:dyDescent="0.25">
      <c r="A1397" s="275" t="str">
        <f>IF(ISBLANK(INDEX('Policy Characteristics'!A:A,MATCH($C1397,'Policy Characteristics'!$C:$C,0))),"",INDEX('Policy Characteristics'!A:A,MATCH($C1397,'Policy Characteristics'!$C:$C,0)))</f>
        <v>Research and Development</v>
      </c>
      <c r="B1397" s="284" t="str">
        <f>IF(ISBLANK(INDEX('Policy Characteristics'!B:B,MATCH($C1397,'Policy Characteristics'!$C:$C,0))),"",INDEX('Policy Characteristics'!B:B,MATCH($C1397,'Policy Characteristics'!$C:$C,0)))</f>
        <v>Capital Cost Reduction</v>
      </c>
      <c r="C1397" s="275" t="str">
        <f t="shared" si="63"/>
        <v>RnD Industry Capital Cost Perc Reduction</v>
      </c>
      <c r="D1397" t="s">
        <v>3078</v>
      </c>
      <c r="E1397" s="47"/>
      <c r="F1397" s="6" t="s">
        <v>3105</v>
      </c>
      <c r="G1397" s="47"/>
      <c r="H1397" s="44">
        <v>1470</v>
      </c>
      <c r="I1397" s="346" t="s">
        <v>43</v>
      </c>
      <c r="J1397" s="276" t="str">
        <f>IF(ISBLANK(INDEX('Policy Characteristics'!D:D,MATCH($C1397,'Policy Characteristics'!$C:$C,0))),"",INDEX('Policy Characteristics'!D:D,MATCH($C1397,'Policy Characteristics'!$C:$C,0)))</f>
        <v>R&amp;D Capital Cost Reductions</v>
      </c>
      <c r="K1397" s="275" t="str">
        <f>IF(ISBLANK(INDEX('Policy Characteristics'!E:E,MATCH($C1397,'Policy Characteristics'!$C:$C,0))),"",INDEX('Policy Characteristics'!E:E,MATCH($C1397,'Policy Characteristics'!$C:$C,0)))</f>
        <v>RnD industry capital cost reduction</v>
      </c>
      <c r="L1397" s="283">
        <f>IF(ISBLANK(INDEX('Policy Characteristics'!F:F,MATCH($C1397,'Policy Characteristics'!$C:$C,0))),"",INDEX('Policy Characteristics'!F:F,MATCH($C1397,'Policy Characteristics'!$C:$C,0)))</f>
        <v>0</v>
      </c>
      <c r="M1397" s="283">
        <f>IF(ISBLANK(INDEX('Policy Characteristics'!G:G,MATCH($C1397,'Policy Characteristics'!$C:$C,0))),"",INDEX('Policy Characteristics'!G:G,MATCH($C1397,'Policy Characteristics'!$C:$C,0)))</f>
        <v>0.4</v>
      </c>
      <c r="N1397" s="283">
        <f>IF(ISBLANK(INDEX('Policy Characteristics'!H:H,MATCH($C1397,'Policy Characteristics'!$C:$C,0))),"",INDEX('Policy Characteristics'!H:H,MATCH($C1397,'Policy Characteristics'!$C:$C,0)))</f>
        <v>0.01</v>
      </c>
      <c r="O1397" s="275" t="str">
        <f>IF(ISBLANK(INDEX('Policy Characteristics'!I:I,MATCH($C1397,'Policy Characteristics'!$C:$C,0))),"",INDEX('Policy Characteristics'!I:I,MATCH($C1397,'Policy Characteristics'!$C:$C,0)))</f>
        <v>% reduction in cost</v>
      </c>
      <c r="P1397" s="275" t="str">
        <f>IF(ISBLANK(INDEX('Policy Characteristics'!J:J,MATCH($C1397,'Policy Characteristics'!$C:$C,0))),"",INDEX('Policy Characteristics'!J:J,MATCH($C1397,'Policy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7" s="275" t="str">
        <f>IF(ISBLANK(INDEX('Policy Characteristics'!K:K,MATCH($C1397,'Policy Characteristics'!$C:$C,0))),"",INDEX('Policy Characteristics'!K:K,MATCH($C1397,'Policy Characteristics'!$C:$C,0)))</f>
        <v>architectural-design.html#rnd</v>
      </c>
      <c r="R1397" s="275" t="str">
        <f>IF(ISBLANK(INDEX('Policy Characteristics'!L:L,MATCH($C1397,'Policy Characteristics'!$C:$C,0))),"",INDEX('Policy Characteristics'!L:L,MATCH($C1397,'Policy Characteristics'!$C:$C,0)))</f>
        <v>research-and-development.html</v>
      </c>
    </row>
    <row r="1398" spans="1:18" x14ac:dyDescent="0.25">
      <c r="A1398" s="275" t="str">
        <f>IF(ISBLANK(INDEX('Policy Characteristics'!A:A,MATCH($C1398,'Policy Characteristics'!$C:$C,0))),"",INDEX('Policy Characteristics'!A:A,MATCH($C1398,'Policy Characteristics'!$C:$C,0)))</f>
        <v>Research and Development</v>
      </c>
      <c r="B1398" s="284" t="str">
        <f>IF(ISBLANK(INDEX('Policy Characteristics'!B:B,MATCH($C1398,'Policy Characteristics'!$C:$C,0))),"",INDEX('Policy Characteristics'!B:B,MATCH($C1398,'Policy Characteristics'!$C:$C,0)))</f>
        <v>Capital Cost Reduction</v>
      </c>
      <c r="C1398" s="275" t="str">
        <f t="shared" si="63"/>
        <v>RnD Industry Capital Cost Perc Reduction</v>
      </c>
      <c r="D1398" t="s">
        <v>3079</v>
      </c>
      <c r="E1398" s="47"/>
      <c r="F1398" s="6" t="s">
        <v>327</v>
      </c>
      <c r="G1398" s="47"/>
      <c r="H1398" s="44">
        <v>1471</v>
      </c>
      <c r="I1398" s="346" t="s">
        <v>43</v>
      </c>
      <c r="J1398" s="276" t="str">
        <f>IF(ISBLANK(INDEX('Policy Characteristics'!D:D,MATCH($C1398,'Policy Characteristics'!$C:$C,0))),"",INDEX('Policy Characteristics'!D:D,MATCH($C1398,'Policy Characteristics'!$C:$C,0)))</f>
        <v>R&amp;D Capital Cost Reductions</v>
      </c>
      <c r="K1398" s="275" t="str">
        <f>IF(ISBLANK(INDEX('Policy Characteristics'!E:E,MATCH($C1398,'Policy Characteristics'!$C:$C,0))),"",INDEX('Policy Characteristics'!E:E,MATCH($C1398,'Policy Characteristics'!$C:$C,0)))</f>
        <v>RnD industry capital cost reduction</v>
      </c>
      <c r="L1398" s="283">
        <f>IF(ISBLANK(INDEX('Policy Characteristics'!F:F,MATCH($C1398,'Policy Characteristics'!$C:$C,0))),"",INDEX('Policy Characteristics'!F:F,MATCH($C1398,'Policy Characteristics'!$C:$C,0)))</f>
        <v>0</v>
      </c>
      <c r="M1398" s="283">
        <f>IF(ISBLANK(INDEX('Policy Characteristics'!G:G,MATCH($C1398,'Policy Characteristics'!$C:$C,0))),"",INDEX('Policy Characteristics'!G:G,MATCH($C1398,'Policy Characteristics'!$C:$C,0)))</f>
        <v>0.4</v>
      </c>
      <c r="N1398" s="283">
        <f>IF(ISBLANK(INDEX('Policy Characteristics'!H:H,MATCH($C1398,'Policy Characteristics'!$C:$C,0))),"",INDEX('Policy Characteristics'!H:H,MATCH($C1398,'Policy Characteristics'!$C:$C,0)))</f>
        <v>0.01</v>
      </c>
      <c r="O1398" s="275" t="str">
        <f>IF(ISBLANK(INDEX('Policy Characteristics'!I:I,MATCH($C1398,'Policy Characteristics'!$C:$C,0))),"",INDEX('Policy Characteristics'!I:I,MATCH($C1398,'Policy Characteristics'!$C:$C,0)))</f>
        <v>% reduction in cost</v>
      </c>
      <c r="P1398" s="275" t="str">
        <f>IF(ISBLANK(INDEX('Policy Characteristics'!J:J,MATCH($C1398,'Policy Characteristics'!$C:$C,0))),"",INDEX('Policy Characteristics'!J:J,MATCH($C1398,'Policy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8" s="275" t="str">
        <f>IF(ISBLANK(INDEX('Policy Characteristics'!K:K,MATCH($C1398,'Policy Characteristics'!$C:$C,0))),"",INDEX('Policy Characteristics'!K:K,MATCH($C1398,'Policy Characteristics'!$C:$C,0)))</f>
        <v>architectural-design.html#rnd</v>
      </c>
      <c r="R1398" s="275" t="str">
        <f>IF(ISBLANK(INDEX('Policy Characteristics'!L:L,MATCH($C1398,'Policy Characteristics'!$C:$C,0))),"",INDEX('Policy Characteristics'!L:L,MATCH($C1398,'Policy Characteristics'!$C:$C,0)))</f>
        <v>research-and-development.html</v>
      </c>
    </row>
    <row r="1399" spans="1:18" x14ac:dyDescent="0.25">
      <c r="A1399" s="275" t="str">
        <f>IF(ISBLANK(INDEX('Policy Characteristics'!A:A,MATCH($C1399,'Policy Characteristics'!$C:$C,0))),"",INDEX('Policy Characteristics'!A:A,MATCH($C1399,'Policy Characteristics'!$C:$C,0)))</f>
        <v>Research and Development</v>
      </c>
      <c r="B1399" s="284" t="str">
        <f>IF(ISBLANK(INDEX('Policy Characteristics'!B:B,MATCH($C1399,'Policy Characteristics'!$C:$C,0))),"",INDEX('Policy Characteristics'!B:B,MATCH($C1399,'Policy Characteristics'!$C:$C,0)))</f>
        <v>Capital Cost Reduction</v>
      </c>
      <c r="C1399" s="275" t="str">
        <f t="shared" si="63"/>
        <v>RnD Industry Capital Cost Perc Reduction</v>
      </c>
      <c r="D1399" t="s">
        <v>3080</v>
      </c>
      <c r="E1399" s="47"/>
      <c r="F1399" s="6" t="s">
        <v>3106</v>
      </c>
      <c r="G1399" s="47"/>
      <c r="H1399" s="44">
        <v>1472</v>
      </c>
      <c r="I1399" s="346" t="s">
        <v>43</v>
      </c>
      <c r="J1399" s="276" t="str">
        <f>IF(ISBLANK(INDEX('Policy Characteristics'!D:D,MATCH($C1399,'Policy Characteristics'!$C:$C,0))),"",INDEX('Policy Characteristics'!D:D,MATCH($C1399,'Policy Characteristics'!$C:$C,0)))</f>
        <v>R&amp;D Capital Cost Reductions</v>
      </c>
      <c r="K1399" s="275" t="str">
        <f>IF(ISBLANK(INDEX('Policy Characteristics'!E:E,MATCH($C1399,'Policy Characteristics'!$C:$C,0))),"",INDEX('Policy Characteristics'!E:E,MATCH($C1399,'Policy Characteristics'!$C:$C,0)))</f>
        <v>RnD industry capital cost reduction</v>
      </c>
      <c r="L1399" s="283">
        <f>IF(ISBLANK(INDEX('Policy Characteristics'!F:F,MATCH($C1399,'Policy Characteristics'!$C:$C,0))),"",INDEX('Policy Characteristics'!F:F,MATCH($C1399,'Policy Characteristics'!$C:$C,0)))</f>
        <v>0</v>
      </c>
      <c r="M1399" s="283">
        <f>IF(ISBLANK(INDEX('Policy Characteristics'!G:G,MATCH($C1399,'Policy Characteristics'!$C:$C,0))),"",INDEX('Policy Characteristics'!G:G,MATCH($C1399,'Policy Characteristics'!$C:$C,0)))</f>
        <v>0.4</v>
      </c>
      <c r="N1399" s="283">
        <f>IF(ISBLANK(INDEX('Policy Characteristics'!H:H,MATCH($C1399,'Policy Characteristics'!$C:$C,0))),"",INDEX('Policy Characteristics'!H:H,MATCH($C1399,'Policy Characteristics'!$C:$C,0)))</f>
        <v>0.01</v>
      </c>
      <c r="O1399" s="275" t="str">
        <f>IF(ISBLANK(INDEX('Policy Characteristics'!I:I,MATCH($C1399,'Policy Characteristics'!$C:$C,0))),"",INDEX('Policy Characteristics'!I:I,MATCH($C1399,'Policy Characteristics'!$C:$C,0)))</f>
        <v>% reduction in cost</v>
      </c>
      <c r="P1399" s="275" t="str">
        <f>IF(ISBLANK(INDEX('Policy Characteristics'!J:J,MATCH($C1399,'Policy Characteristics'!$C:$C,0))),"",INDEX('Policy Characteristics'!J:J,MATCH($C1399,'Policy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9" s="275" t="str">
        <f>IF(ISBLANK(INDEX('Policy Characteristics'!K:K,MATCH($C1399,'Policy Characteristics'!$C:$C,0))),"",INDEX('Policy Characteristics'!K:K,MATCH($C1399,'Policy Characteristics'!$C:$C,0)))</f>
        <v>architectural-design.html#rnd</v>
      </c>
      <c r="R1399" s="275" t="str">
        <f>IF(ISBLANK(INDEX('Policy Characteristics'!L:L,MATCH($C1399,'Policy Characteristics'!$C:$C,0))),"",INDEX('Policy Characteristics'!L:L,MATCH($C1399,'Policy Characteristics'!$C:$C,0)))</f>
        <v>research-and-development.html</v>
      </c>
    </row>
    <row r="1400" spans="1:18" x14ac:dyDescent="0.25">
      <c r="A1400" s="275" t="str">
        <f>IF(ISBLANK(INDEX('Policy Characteristics'!A:A,MATCH($C1400,'Policy Characteristics'!$C:$C,0))),"",INDEX('Policy Characteristics'!A:A,MATCH($C1400,'Policy Characteristics'!$C:$C,0)))</f>
        <v>Research and Development</v>
      </c>
      <c r="B1400" s="284" t="str">
        <f>IF(ISBLANK(INDEX('Policy Characteristics'!B:B,MATCH($C1400,'Policy Characteristics'!$C:$C,0))),"",INDEX('Policy Characteristics'!B:B,MATCH($C1400,'Policy Characteristics'!$C:$C,0)))</f>
        <v>Capital Cost Reduction</v>
      </c>
      <c r="C1400" s="275" t="str">
        <f t="shared" si="63"/>
        <v>RnD Industry Capital Cost Perc Reduction</v>
      </c>
      <c r="D1400" t="s">
        <v>3081</v>
      </c>
      <c r="E1400" s="47"/>
      <c r="F1400" s="6" t="s">
        <v>3107</v>
      </c>
      <c r="G1400" s="47"/>
      <c r="H1400" s="44">
        <v>1473</v>
      </c>
      <c r="I1400" s="346" t="s">
        <v>43</v>
      </c>
      <c r="J1400" s="276" t="str">
        <f>IF(ISBLANK(INDEX('Policy Characteristics'!D:D,MATCH($C1400,'Policy Characteristics'!$C:$C,0))),"",INDEX('Policy Characteristics'!D:D,MATCH($C1400,'Policy Characteristics'!$C:$C,0)))</f>
        <v>R&amp;D Capital Cost Reductions</v>
      </c>
      <c r="K1400" s="275" t="str">
        <f>IF(ISBLANK(INDEX('Policy Characteristics'!E:E,MATCH($C1400,'Policy Characteristics'!$C:$C,0))),"",INDEX('Policy Characteristics'!E:E,MATCH($C1400,'Policy Characteristics'!$C:$C,0)))</f>
        <v>RnD industry capital cost reduction</v>
      </c>
      <c r="L1400" s="283">
        <f>IF(ISBLANK(INDEX('Policy Characteristics'!F:F,MATCH($C1400,'Policy Characteristics'!$C:$C,0))),"",INDEX('Policy Characteristics'!F:F,MATCH($C1400,'Policy Characteristics'!$C:$C,0)))</f>
        <v>0</v>
      </c>
      <c r="M1400" s="283">
        <f>IF(ISBLANK(INDEX('Policy Characteristics'!G:G,MATCH($C1400,'Policy Characteristics'!$C:$C,0))),"",INDEX('Policy Characteristics'!G:G,MATCH($C1400,'Policy Characteristics'!$C:$C,0)))</f>
        <v>0.4</v>
      </c>
      <c r="N1400" s="283">
        <f>IF(ISBLANK(INDEX('Policy Characteristics'!H:H,MATCH($C1400,'Policy Characteristics'!$C:$C,0))),"",INDEX('Policy Characteristics'!H:H,MATCH($C1400,'Policy Characteristics'!$C:$C,0)))</f>
        <v>0.01</v>
      </c>
      <c r="O1400" s="275" t="str">
        <f>IF(ISBLANK(INDEX('Policy Characteristics'!I:I,MATCH($C1400,'Policy Characteristics'!$C:$C,0))),"",INDEX('Policy Characteristics'!I:I,MATCH($C1400,'Policy Characteristics'!$C:$C,0)))</f>
        <v>% reduction in cost</v>
      </c>
      <c r="P1400" s="275" t="str">
        <f>IF(ISBLANK(INDEX('Policy Characteristics'!J:J,MATCH($C1400,'Policy Characteristics'!$C:$C,0))),"",INDEX('Policy Characteristics'!J:J,MATCH($C1400,'Policy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0" s="275" t="str">
        <f>IF(ISBLANK(INDEX('Policy Characteristics'!K:K,MATCH($C1400,'Policy Characteristics'!$C:$C,0))),"",INDEX('Policy Characteristics'!K:K,MATCH($C1400,'Policy Characteristics'!$C:$C,0)))</f>
        <v>architectural-design.html#rnd</v>
      </c>
      <c r="R1400" s="275" t="str">
        <f>IF(ISBLANK(INDEX('Policy Characteristics'!L:L,MATCH($C1400,'Policy Characteristics'!$C:$C,0))),"",INDEX('Policy Characteristics'!L:L,MATCH($C1400,'Policy Characteristics'!$C:$C,0)))</f>
        <v>research-and-development.html</v>
      </c>
    </row>
    <row r="1401" spans="1:18" x14ac:dyDescent="0.25">
      <c r="A1401" s="275" t="str">
        <f>IF(ISBLANK(INDEX('Policy Characteristics'!A:A,MATCH($C1401,'Policy Characteristics'!$C:$C,0))),"",INDEX('Policy Characteristics'!A:A,MATCH($C1401,'Policy Characteristics'!$C:$C,0)))</f>
        <v>Research and Development</v>
      </c>
      <c r="B1401" s="284" t="str">
        <f>IF(ISBLANK(INDEX('Policy Characteristics'!B:B,MATCH($C1401,'Policy Characteristics'!$C:$C,0))),"",INDEX('Policy Characteristics'!B:B,MATCH($C1401,'Policy Characteristics'!$C:$C,0)))</f>
        <v>Capital Cost Reduction</v>
      </c>
      <c r="C1401" s="275" t="str">
        <f t="shared" si="63"/>
        <v>RnD Industry Capital Cost Perc Reduction</v>
      </c>
      <c r="D1401" t="s">
        <v>3082</v>
      </c>
      <c r="E1401" s="47"/>
      <c r="F1401" s="6" t="s">
        <v>3108</v>
      </c>
      <c r="G1401" s="47"/>
      <c r="H1401" s="44">
        <v>1474</v>
      </c>
      <c r="I1401" s="346" t="s">
        <v>43</v>
      </c>
      <c r="J1401" s="276" t="str">
        <f>IF(ISBLANK(INDEX('Policy Characteristics'!D:D,MATCH($C1401,'Policy Characteristics'!$C:$C,0))),"",INDEX('Policy Characteristics'!D:D,MATCH($C1401,'Policy Characteristics'!$C:$C,0)))</f>
        <v>R&amp;D Capital Cost Reductions</v>
      </c>
      <c r="K1401" s="275" t="str">
        <f>IF(ISBLANK(INDEX('Policy Characteristics'!E:E,MATCH($C1401,'Policy Characteristics'!$C:$C,0))),"",INDEX('Policy Characteristics'!E:E,MATCH($C1401,'Policy Characteristics'!$C:$C,0)))</f>
        <v>RnD industry capital cost reduction</v>
      </c>
      <c r="L1401" s="283">
        <f>IF(ISBLANK(INDEX('Policy Characteristics'!F:F,MATCH($C1401,'Policy Characteristics'!$C:$C,0))),"",INDEX('Policy Characteristics'!F:F,MATCH($C1401,'Policy Characteristics'!$C:$C,0)))</f>
        <v>0</v>
      </c>
      <c r="M1401" s="283">
        <f>IF(ISBLANK(INDEX('Policy Characteristics'!G:G,MATCH($C1401,'Policy Characteristics'!$C:$C,0))),"",INDEX('Policy Characteristics'!G:G,MATCH($C1401,'Policy Characteristics'!$C:$C,0)))</f>
        <v>0.4</v>
      </c>
      <c r="N1401" s="283">
        <f>IF(ISBLANK(INDEX('Policy Characteristics'!H:H,MATCH($C1401,'Policy Characteristics'!$C:$C,0))),"",INDEX('Policy Characteristics'!H:H,MATCH($C1401,'Policy Characteristics'!$C:$C,0)))</f>
        <v>0.01</v>
      </c>
      <c r="O1401" s="275" t="str">
        <f>IF(ISBLANK(INDEX('Policy Characteristics'!I:I,MATCH($C1401,'Policy Characteristics'!$C:$C,0))),"",INDEX('Policy Characteristics'!I:I,MATCH($C1401,'Policy Characteristics'!$C:$C,0)))</f>
        <v>% reduction in cost</v>
      </c>
      <c r="P1401" s="275" t="str">
        <f>IF(ISBLANK(INDEX('Policy Characteristics'!J:J,MATCH($C1401,'Policy Characteristics'!$C:$C,0))),"",INDEX('Policy Characteristics'!J:J,MATCH($C1401,'Policy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1" s="275" t="str">
        <f>IF(ISBLANK(INDEX('Policy Characteristics'!K:K,MATCH($C1401,'Policy Characteristics'!$C:$C,0))),"",INDEX('Policy Characteristics'!K:K,MATCH($C1401,'Policy Characteristics'!$C:$C,0)))</f>
        <v>architectural-design.html#rnd</v>
      </c>
      <c r="R1401" s="275" t="str">
        <f>IF(ISBLANK(INDEX('Policy Characteristics'!L:L,MATCH($C1401,'Policy Characteristics'!$C:$C,0))),"",INDEX('Policy Characteristics'!L:L,MATCH($C1401,'Policy Characteristics'!$C:$C,0)))</f>
        <v>research-and-development.html</v>
      </c>
    </row>
    <row r="1402" spans="1:18" x14ac:dyDescent="0.25">
      <c r="A1402" s="275" t="str">
        <f>IF(ISBLANK(INDEX('Policy Characteristics'!A:A,MATCH($C1402,'Policy Characteristics'!$C:$C,0))),"",INDEX('Policy Characteristics'!A:A,MATCH($C1402,'Policy Characteristics'!$C:$C,0)))</f>
        <v>Research and Development</v>
      </c>
      <c r="B1402" s="284" t="str">
        <f>IF(ISBLANK(INDEX('Policy Characteristics'!B:B,MATCH($C1402,'Policy Characteristics'!$C:$C,0))),"",INDEX('Policy Characteristics'!B:B,MATCH($C1402,'Policy Characteristics'!$C:$C,0)))</f>
        <v>Capital Cost Reduction</v>
      </c>
      <c r="C1402" s="275" t="str">
        <f t="shared" si="63"/>
        <v>RnD Industry Capital Cost Perc Reduction</v>
      </c>
      <c r="D1402" t="s">
        <v>3083</v>
      </c>
      <c r="E1402" s="47"/>
      <c r="F1402" s="6" t="s">
        <v>326</v>
      </c>
      <c r="G1402" s="47"/>
      <c r="H1402" s="44">
        <v>1475</v>
      </c>
      <c r="I1402" s="346" t="s">
        <v>43</v>
      </c>
      <c r="J1402" s="276" t="str">
        <f>IF(ISBLANK(INDEX('Policy Characteristics'!D:D,MATCH($C1402,'Policy Characteristics'!$C:$C,0))),"",INDEX('Policy Characteristics'!D:D,MATCH($C1402,'Policy Characteristics'!$C:$C,0)))</f>
        <v>R&amp;D Capital Cost Reductions</v>
      </c>
      <c r="K1402" s="275" t="str">
        <f>IF(ISBLANK(INDEX('Policy Characteristics'!E:E,MATCH($C1402,'Policy Characteristics'!$C:$C,0))),"",INDEX('Policy Characteristics'!E:E,MATCH($C1402,'Policy Characteristics'!$C:$C,0)))</f>
        <v>RnD industry capital cost reduction</v>
      </c>
      <c r="L1402" s="283">
        <f>IF(ISBLANK(INDEX('Policy Characteristics'!F:F,MATCH($C1402,'Policy Characteristics'!$C:$C,0))),"",INDEX('Policy Characteristics'!F:F,MATCH($C1402,'Policy Characteristics'!$C:$C,0)))</f>
        <v>0</v>
      </c>
      <c r="M1402" s="283">
        <f>IF(ISBLANK(INDEX('Policy Characteristics'!G:G,MATCH($C1402,'Policy Characteristics'!$C:$C,0))),"",INDEX('Policy Characteristics'!G:G,MATCH($C1402,'Policy Characteristics'!$C:$C,0)))</f>
        <v>0.4</v>
      </c>
      <c r="N1402" s="283">
        <f>IF(ISBLANK(INDEX('Policy Characteristics'!H:H,MATCH($C1402,'Policy Characteristics'!$C:$C,0))),"",INDEX('Policy Characteristics'!H:H,MATCH($C1402,'Policy Characteristics'!$C:$C,0)))</f>
        <v>0.01</v>
      </c>
      <c r="O1402" s="275" t="str">
        <f>IF(ISBLANK(INDEX('Policy Characteristics'!I:I,MATCH($C1402,'Policy Characteristics'!$C:$C,0))),"",INDEX('Policy Characteristics'!I:I,MATCH($C1402,'Policy Characteristics'!$C:$C,0)))</f>
        <v>% reduction in cost</v>
      </c>
      <c r="P1402" s="275" t="str">
        <f>IF(ISBLANK(INDEX('Policy Characteristics'!J:J,MATCH($C1402,'Policy Characteristics'!$C:$C,0))),"",INDEX('Policy Characteristics'!J:J,MATCH($C1402,'Policy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2" s="275" t="str">
        <f>IF(ISBLANK(INDEX('Policy Characteristics'!K:K,MATCH($C1402,'Policy Characteristics'!$C:$C,0))),"",INDEX('Policy Characteristics'!K:K,MATCH($C1402,'Policy Characteristics'!$C:$C,0)))</f>
        <v>architectural-design.html#rnd</v>
      </c>
      <c r="R1402" s="275" t="str">
        <f>IF(ISBLANK(INDEX('Policy Characteristics'!L:L,MATCH($C1402,'Policy Characteristics'!$C:$C,0))),"",INDEX('Policy Characteristics'!L:L,MATCH($C1402,'Policy Characteristics'!$C:$C,0)))</f>
        <v>research-and-development.html</v>
      </c>
    </row>
    <row r="1403" spans="1:18" x14ac:dyDescent="0.25">
      <c r="A1403" s="275" t="str">
        <f>IF(ISBLANK(INDEX('Policy Characteristics'!A:A,MATCH($C1403,'Policy Characteristics'!$C:$C,0))),"",INDEX('Policy Characteristics'!A:A,MATCH($C1403,'Policy Characteristics'!$C:$C,0)))</f>
        <v>Research and Development</v>
      </c>
      <c r="B1403" s="284" t="str">
        <f>IF(ISBLANK(INDEX('Policy Characteristics'!B:B,MATCH($C1403,'Policy Characteristics'!$C:$C,0))),"",INDEX('Policy Characteristics'!B:B,MATCH($C1403,'Policy Characteristics'!$C:$C,0)))</f>
        <v>Capital Cost Reduction</v>
      </c>
      <c r="C1403" s="275" t="str">
        <f t="shared" si="63"/>
        <v>RnD Industry Capital Cost Perc Reduction</v>
      </c>
      <c r="D1403" t="s">
        <v>3084</v>
      </c>
      <c r="E1403" s="47"/>
      <c r="F1403" s="6" t="s">
        <v>3109</v>
      </c>
      <c r="G1403" s="47"/>
      <c r="H1403" s="44">
        <v>1476</v>
      </c>
      <c r="I1403" s="346" t="s">
        <v>43</v>
      </c>
      <c r="J1403" s="276" t="str">
        <f>IF(ISBLANK(INDEX('Policy Characteristics'!D:D,MATCH($C1403,'Policy Characteristics'!$C:$C,0))),"",INDEX('Policy Characteristics'!D:D,MATCH($C1403,'Policy Characteristics'!$C:$C,0)))</f>
        <v>R&amp;D Capital Cost Reductions</v>
      </c>
      <c r="K1403" s="275" t="str">
        <f>IF(ISBLANK(INDEX('Policy Characteristics'!E:E,MATCH($C1403,'Policy Characteristics'!$C:$C,0))),"",INDEX('Policy Characteristics'!E:E,MATCH($C1403,'Policy Characteristics'!$C:$C,0)))</f>
        <v>RnD industry capital cost reduction</v>
      </c>
      <c r="L1403" s="283">
        <f>IF(ISBLANK(INDEX('Policy Characteristics'!F:F,MATCH($C1403,'Policy Characteristics'!$C:$C,0))),"",INDEX('Policy Characteristics'!F:F,MATCH($C1403,'Policy Characteristics'!$C:$C,0)))</f>
        <v>0</v>
      </c>
      <c r="M1403" s="283">
        <f>IF(ISBLANK(INDEX('Policy Characteristics'!G:G,MATCH($C1403,'Policy Characteristics'!$C:$C,0))),"",INDEX('Policy Characteristics'!G:G,MATCH($C1403,'Policy Characteristics'!$C:$C,0)))</f>
        <v>0.4</v>
      </c>
      <c r="N1403" s="283">
        <f>IF(ISBLANK(INDEX('Policy Characteristics'!H:H,MATCH($C1403,'Policy Characteristics'!$C:$C,0))),"",INDEX('Policy Characteristics'!H:H,MATCH($C1403,'Policy Characteristics'!$C:$C,0)))</f>
        <v>0.01</v>
      </c>
      <c r="O1403" s="275" t="str">
        <f>IF(ISBLANK(INDEX('Policy Characteristics'!I:I,MATCH($C1403,'Policy Characteristics'!$C:$C,0))),"",INDEX('Policy Characteristics'!I:I,MATCH($C1403,'Policy Characteristics'!$C:$C,0)))</f>
        <v>% reduction in cost</v>
      </c>
      <c r="P1403" s="275" t="str">
        <f>IF(ISBLANK(INDEX('Policy Characteristics'!J:J,MATCH($C1403,'Policy Characteristics'!$C:$C,0))),"",INDEX('Policy Characteristics'!J:J,MATCH($C1403,'Policy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3" s="275" t="str">
        <f>IF(ISBLANK(INDEX('Policy Characteristics'!K:K,MATCH($C1403,'Policy Characteristics'!$C:$C,0))),"",INDEX('Policy Characteristics'!K:K,MATCH($C1403,'Policy Characteristics'!$C:$C,0)))</f>
        <v>architectural-design.html#rnd</v>
      </c>
      <c r="R1403" s="275" t="str">
        <f>IF(ISBLANK(INDEX('Policy Characteristics'!L:L,MATCH($C1403,'Policy Characteristics'!$C:$C,0))),"",INDEX('Policy Characteristics'!L:L,MATCH($C1403,'Policy Characteristics'!$C:$C,0)))</f>
        <v>research-and-development.html</v>
      </c>
    </row>
    <row r="1404" spans="1:18" ht="30" x14ac:dyDescent="0.25">
      <c r="A1404" s="275" t="str">
        <f>IF(ISBLANK(INDEX('Policy Characteristics'!A:A,MATCH($C1404,'Policy Characteristics'!$C:$C,0))),"",INDEX('Policy Characteristics'!A:A,MATCH($C1404,'Policy Characteristics'!$C:$C,0)))</f>
        <v>Research and Development</v>
      </c>
      <c r="B1404" s="284" t="str">
        <f>IF(ISBLANK(INDEX('Policy Characteristics'!B:B,MATCH($C1404,'Policy Characteristics'!$C:$C,0))),"",INDEX('Policy Characteristics'!B:B,MATCH($C1404,'Policy Characteristics'!$C:$C,0)))</f>
        <v>Capital Cost Reduction</v>
      </c>
      <c r="C1404" s="275" t="str">
        <f t="shared" si="63"/>
        <v>RnD Industry Capital Cost Perc Reduction</v>
      </c>
      <c r="D1404" t="s">
        <v>3085</v>
      </c>
      <c r="E1404" s="47"/>
      <c r="F1404" s="6" t="s">
        <v>3110</v>
      </c>
      <c r="G1404" s="47"/>
      <c r="H1404" s="44">
        <v>1477</v>
      </c>
      <c r="I1404" s="346" t="s">
        <v>43</v>
      </c>
      <c r="J1404" s="276" t="str">
        <f>IF(ISBLANK(INDEX('Policy Characteristics'!D:D,MATCH($C1404,'Policy Characteristics'!$C:$C,0))),"",INDEX('Policy Characteristics'!D:D,MATCH($C1404,'Policy Characteristics'!$C:$C,0)))</f>
        <v>R&amp;D Capital Cost Reductions</v>
      </c>
      <c r="K1404" s="275" t="str">
        <f>IF(ISBLANK(INDEX('Policy Characteristics'!E:E,MATCH($C1404,'Policy Characteristics'!$C:$C,0))),"",INDEX('Policy Characteristics'!E:E,MATCH($C1404,'Policy Characteristics'!$C:$C,0)))</f>
        <v>RnD industry capital cost reduction</v>
      </c>
      <c r="L1404" s="283">
        <f>IF(ISBLANK(INDEX('Policy Characteristics'!F:F,MATCH($C1404,'Policy Characteristics'!$C:$C,0))),"",INDEX('Policy Characteristics'!F:F,MATCH($C1404,'Policy Characteristics'!$C:$C,0)))</f>
        <v>0</v>
      </c>
      <c r="M1404" s="283">
        <f>IF(ISBLANK(INDEX('Policy Characteristics'!G:G,MATCH($C1404,'Policy Characteristics'!$C:$C,0))),"",INDEX('Policy Characteristics'!G:G,MATCH($C1404,'Policy Characteristics'!$C:$C,0)))</f>
        <v>0.4</v>
      </c>
      <c r="N1404" s="283">
        <f>IF(ISBLANK(INDEX('Policy Characteristics'!H:H,MATCH($C1404,'Policy Characteristics'!$C:$C,0))),"",INDEX('Policy Characteristics'!H:H,MATCH($C1404,'Policy Characteristics'!$C:$C,0)))</f>
        <v>0.01</v>
      </c>
      <c r="O1404" s="275" t="str">
        <f>IF(ISBLANK(INDEX('Policy Characteristics'!I:I,MATCH($C1404,'Policy Characteristics'!$C:$C,0))),"",INDEX('Policy Characteristics'!I:I,MATCH($C1404,'Policy Characteristics'!$C:$C,0)))</f>
        <v>% reduction in cost</v>
      </c>
      <c r="P1404" s="275" t="str">
        <f>IF(ISBLANK(INDEX('Policy Characteristics'!J:J,MATCH($C1404,'Policy Characteristics'!$C:$C,0))),"",INDEX('Policy Characteristics'!J:J,MATCH($C1404,'Policy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4" s="275" t="str">
        <f>IF(ISBLANK(INDEX('Policy Characteristics'!K:K,MATCH($C1404,'Policy Characteristics'!$C:$C,0))),"",INDEX('Policy Characteristics'!K:K,MATCH($C1404,'Policy Characteristics'!$C:$C,0)))</f>
        <v>architectural-design.html#rnd</v>
      </c>
      <c r="R1404" s="275" t="str">
        <f>IF(ISBLANK(INDEX('Policy Characteristics'!L:L,MATCH($C1404,'Policy Characteristics'!$C:$C,0))),"",INDEX('Policy Characteristics'!L:L,MATCH($C1404,'Policy Characteristics'!$C:$C,0)))</f>
        <v>research-and-development.html</v>
      </c>
    </row>
    <row r="1405" spans="1:18" x14ac:dyDescent="0.25">
      <c r="A1405" s="275" t="str">
        <f>IF(ISBLANK(INDEX('Policy Characteristics'!A:A,MATCH($C1405,'Policy Characteristics'!$C:$C,0))),"",INDEX('Policy Characteristics'!A:A,MATCH($C1405,'Policy Characteristics'!$C:$C,0)))</f>
        <v>Research and Development</v>
      </c>
      <c r="B1405" s="284" t="str">
        <f>IF(ISBLANK(INDEX('Policy Characteristics'!B:B,MATCH($C1405,'Policy Characteristics'!$C:$C,0))),"",INDEX('Policy Characteristics'!B:B,MATCH($C1405,'Policy Characteristics'!$C:$C,0)))</f>
        <v>Capital Cost Reduction</v>
      </c>
      <c r="C1405" s="275" t="str">
        <f t="shared" si="63"/>
        <v>RnD Industry Capital Cost Perc Reduction</v>
      </c>
      <c r="D1405" t="s">
        <v>3086</v>
      </c>
      <c r="E1405" s="47"/>
      <c r="F1405" s="6" t="s">
        <v>3111</v>
      </c>
      <c r="G1405" s="47"/>
      <c r="H1405" s="44">
        <v>1478</v>
      </c>
      <c r="I1405" s="346" t="s">
        <v>43</v>
      </c>
      <c r="J1405" s="276" t="str">
        <f>IF(ISBLANK(INDEX('Policy Characteristics'!D:D,MATCH($C1405,'Policy Characteristics'!$C:$C,0))),"",INDEX('Policy Characteristics'!D:D,MATCH($C1405,'Policy Characteristics'!$C:$C,0)))</f>
        <v>R&amp;D Capital Cost Reductions</v>
      </c>
      <c r="K1405" s="275" t="str">
        <f>IF(ISBLANK(INDEX('Policy Characteristics'!E:E,MATCH($C1405,'Policy Characteristics'!$C:$C,0))),"",INDEX('Policy Characteristics'!E:E,MATCH($C1405,'Policy Characteristics'!$C:$C,0)))</f>
        <v>RnD industry capital cost reduction</v>
      </c>
      <c r="L1405" s="283">
        <f>IF(ISBLANK(INDEX('Policy Characteristics'!F:F,MATCH($C1405,'Policy Characteristics'!$C:$C,0))),"",INDEX('Policy Characteristics'!F:F,MATCH($C1405,'Policy Characteristics'!$C:$C,0)))</f>
        <v>0</v>
      </c>
      <c r="M1405" s="283">
        <f>IF(ISBLANK(INDEX('Policy Characteristics'!G:G,MATCH($C1405,'Policy Characteristics'!$C:$C,0))),"",INDEX('Policy Characteristics'!G:G,MATCH($C1405,'Policy Characteristics'!$C:$C,0)))</f>
        <v>0.4</v>
      </c>
      <c r="N1405" s="283">
        <f>IF(ISBLANK(INDEX('Policy Characteristics'!H:H,MATCH($C1405,'Policy Characteristics'!$C:$C,0))),"",INDEX('Policy Characteristics'!H:H,MATCH($C1405,'Policy Characteristics'!$C:$C,0)))</f>
        <v>0.01</v>
      </c>
      <c r="O1405" s="275" t="str">
        <f>IF(ISBLANK(INDEX('Policy Characteristics'!I:I,MATCH($C1405,'Policy Characteristics'!$C:$C,0))),"",INDEX('Policy Characteristics'!I:I,MATCH($C1405,'Policy Characteristics'!$C:$C,0)))</f>
        <v>% reduction in cost</v>
      </c>
      <c r="P1405" s="275" t="str">
        <f>IF(ISBLANK(INDEX('Policy Characteristics'!J:J,MATCH($C1405,'Policy Characteristics'!$C:$C,0))),"",INDEX('Policy Characteristics'!J:J,MATCH($C1405,'Policy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5" s="275" t="str">
        <f>IF(ISBLANK(INDEX('Policy Characteristics'!K:K,MATCH($C1405,'Policy Characteristics'!$C:$C,0))),"",INDEX('Policy Characteristics'!K:K,MATCH($C1405,'Policy Characteristics'!$C:$C,0)))</f>
        <v>architectural-design.html#rnd</v>
      </c>
      <c r="R1405" s="275" t="str">
        <f>IF(ISBLANK(INDEX('Policy Characteristics'!L:L,MATCH($C1405,'Policy Characteristics'!$C:$C,0))),"",INDEX('Policy Characteristics'!L:L,MATCH($C1405,'Policy Characteristics'!$C:$C,0)))</f>
        <v>research-and-development.html</v>
      </c>
    </row>
    <row r="1406" spans="1:18" x14ac:dyDescent="0.25">
      <c r="A1406" s="275" t="str">
        <f>IF(ISBLANK(INDEX('Policy Characteristics'!A:A,MATCH($C1406,'Policy Characteristics'!$C:$C,0))),"",INDEX('Policy Characteristics'!A:A,MATCH($C1406,'Policy Characteristics'!$C:$C,0)))</f>
        <v>Research and Development</v>
      </c>
      <c r="B1406" s="284" t="str">
        <f>IF(ISBLANK(INDEX('Policy Characteristics'!B:B,MATCH($C1406,'Policy Characteristics'!$C:$C,0))),"",INDEX('Policy Characteristics'!B:B,MATCH($C1406,'Policy Characteristics'!$C:$C,0)))</f>
        <v>Capital Cost Reduction</v>
      </c>
      <c r="C1406" s="275" t="str">
        <f t="shared" si="63"/>
        <v>RnD Industry Capital Cost Perc Reduction</v>
      </c>
      <c r="D1406" t="s">
        <v>3087</v>
      </c>
      <c r="E1406" s="47"/>
      <c r="F1406" s="6" t="s">
        <v>3112</v>
      </c>
      <c r="G1406" s="47"/>
      <c r="H1406" s="44">
        <v>1479</v>
      </c>
      <c r="I1406" s="346" t="s">
        <v>43</v>
      </c>
      <c r="J1406" s="276" t="str">
        <f>IF(ISBLANK(INDEX('Policy Characteristics'!D:D,MATCH($C1406,'Policy Characteristics'!$C:$C,0))),"",INDEX('Policy Characteristics'!D:D,MATCH($C1406,'Policy Characteristics'!$C:$C,0)))</f>
        <v>R&amp;D Capital Cost Reductions</v>
      </c>
      <c r="K1406" s="275" t="str">
        <f>IF(ISBLANK(INDEX('Policy Characteristics'!E:E,MATCH($C1406,'Policy Characteristics'!$C:$C,0))),"",INDEX('Policy Characteristics'!E:E,MATCH($C1406,'Policy Characteristics'!$C:$C,0)))</f>
        <v>RnD industry capital cost reduction</v>
      </c>
      <c r="L1406" s="283">
        <f>IF(ISBLANK(INDEX('Policy Characteristics'!F:F,MATCH($C1406,'Policy Characteristics'!$C:$C,0))),"",INDEX('Policy Characteristics'!F:F,MATCH($C1406,'Policy Characteristics'!$C:$C,0)))</f>
        <v>0</v>
      </c>
      <c r="M1406" s="283">
        <f>IF(ISBLANK(INDEX('Policy Characteristics'!G:G,MATCH($C1406,'Policy Characteristics'!$C:$C,0))),"",INDEX('Policy Characteristics'!G:G,MATCH($C1406,'Policy Characteristics'!$C:$C,0)))</f>
        <v>0.4</v>
      </c>
      <c r="N1406" s="283">
        <f>IF(ISBLANK(INDEX('Policy Characteristics'!H:H,MATCH($C1406,'Policy Characteristics'!$C:$C,0))),"",INDEX('Policy Characteristics'!H:H,MATCH($C1406,'Policy Characteristics'!$C:$C,0)))</f>
        <v>0.01</v>
      </c>
      <c r="O1406" s="275" t="str">
        <f>IF(ISBLANK(INDEX('Policy Characteristics'!I:I,MATCH($C1406,'Policy Characteristics'!$C:$C,0))),"",INDEX('Policy Characteristics'!I:I,MATCH($C1406,'Policy Characteristics'!$C:$C,0)))</f>
        <v>% reduction in cost</v>
      </c>
      <c r="P1406" s="275" t="str">
        <f>IF(ISBLANK(INDEX('Policy Characteristics'!J:J,MATCH($C1406,'Policy Characteristics'!$C:$C,0))),"",INDEX('Policy Characteristics'!J:J,MATCH($C1406,'Policy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6" s="275" t="str">
        <f>IF(ISBLANK(INDEX('Policy Characteristics'!K:K,MATCH($C1406,'Policy Characteristics'!$C:$C,0))),"",INDEX('Policy Characteristics'!K:K,MATCH($C1406,'Policy Characteristics'!$C:$C,0)))</f>
        <v>architectural-design.html#rnd</v>
      </c>
      <c r="R1406" s="275" t="str">
        <f>IF(ISBLANK(INDEX('Policy Characteristics'!L:L,MATCH($C1406,'Policy Characteristics'!$C:$C,0))),"",INDEX('Policy Characteristics'!L:L,MATCH($C1406,'Policy Characteristics'!$C:$C,0)))</f>
        <v>research-and-development.html</v>
      </c>
    </row>
    <row r="1407" spans="1:18" x14ac:dyDescent="0.25">
      <c r="A1407" s="275" t="str">
        <f>IF(ISBLANK(INDEX('Policy Characteristics'!A:A,MATCH($C1407,'Policy Characteristics'!$C:$C,0))),"",INDEX('Policy Characteristics'!A:A,MATCH($C1407,'Policy Characteristics'!$C:$C,0)))</f>
        <v>Research and Development</v>
      </c>
      <c r="B1407" s="284" t="str">
        <f>IF(ISBLANK(INDEX('Policy Characteristics'!B:B,MATCH($C1407,'Policy Characteristics'!$C:$C,0))),"",INDEX('Policy Characteristics'!B:B,MATCH($C1407,'Policy Characteristics'!$C:$C,0)))</f>
        <v>Capital Cost Reduction</v>
      </c>
      <c r="C1407" s="275" t="str">
        <f t="shared" si="63"/>
        <v>RnD Industry Capital Cost Perc Reduction</v>
      </c>
      <c r="D1407" t="s">
        <v>3088</v>
      </c>
      <c r="E1407" s="47"/>
      <c r="F1407" s="6" t="s">
        <v>3113</v>
      </c>
      <c r="G1407" s="47"/>
      <c r="H1407" s="44">
        <v>1480</v>
      </c>
      <c r="I1407" s="346" t="s">
        <v>43</v>
      </c>
      <c r="J1407" s="276" t="str">
        <f>IF(ISBLANK(INDEX('Policy Characteristics'!D:D,MATCH($C1407,'Policy Characteristics'!$C:$C,0))),"",INDEX('Policy Characteristics'!D:D,MATCH($C1407,'Policy Characteristics'!$C:$C,0)))</f>
        <v>R&amp;D Capital Cost Reductions</v>
      </c>
      <c r="K1407" s="275" t="str">
        <f>IF(ISBLANK(INDEX('Policy Characteristics'!E:E,MATCH($C1407,'Policy Characteristics'!$C:$C,0))),"",INDEX('Policy Characteristics'!E:E,MATCH($C1407,'Policy Characteristics'!$C:$C,0)))</f>
        <v>RnD industry capital cost reduction</v>
      </c>
      <c r="L1407" s="283">
        <f>IF(ISBLANK(INDEX('Policy Characteristics'!F:F,MATCH($C1407,'Policy Characteristics'!$C:$C,0))),"",INDEX('Policy Characteristics'!F:F,MATCH($C1407,'Policy Characteristics'!$C:$C,0)))</f>
        <v>0</v>
      </c>
      <c r="M1407" s="283">
        <f>IF(ISBLANK(INDEX('Policy Characteristics'!G:G,MATCH($C1407,'Policy Characteristics'!$C:$C,0))),"",INDEX('Policy Characteristics'!G:G,MATCH($C1407,'Policy Characteristics'!$C:$C,0)))</f>
        <v>0.4</v>
      </c>
      <c r="N1407" s="283">
        <f>IF(ISBLANK(INDEX('Policy Characteristics'!H:H,MATCH($C1407,'Policy Characteristics'!$C:$C,0))),"",INDEX('Policy Characteristics'!H:H,MATCH($C1407,'Policy Characteristics'!$C:$C,0)))</f>
        <v>0.01</v>
      </c>
      <c r="O1407" s="275" t="str">
        <f>IF(ISBLANK(INDEX('Policy Characteristics'!I:I,MATCH($C1407,'Policy Characteristics'!$C:$C,0))),"",INDEX('Policy Characteristics'!I:I,MATCH($C1407,'Policy Characteristics'!$C:$C,0)))</f>
        <v>% reduction in cost</v>
      </c>
      <c r="P1407" s="275" t="str">
        <f>IF(ISBLANK(INDEX('Policy Characteristics'!J:J,MATCH($C1407,'Policy Characteristics'!$C:$C,0))),"",INDEX('Policy Characteristics'!J:J,MATCH($C1407,'Policy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7" s="275" t="str">
        <f>IF(ISBLANK(INDEX('Policy Characteristics'!K:K,MATCH($C1407,'Policy Characteristics'!$C:$C,0))),"",INDEX('Policy Characteristics'!K:K,MATCH($C1407,'Policy Characteristics'!$C:$C,0)))</f>
        <v>architectural-design.html#rnd</v>
      </c>
      <c r="R1407" s="275" t="str">
        <f>IF(ISBLANK(INDEX('Policy Characteristics'!L:L,MATCH($C1407,'Policy Characteristics'!$C:$C,0))),"",INDEX('Policy Characteristics'!L:L,MATCH($C1407,'Policy Characteristics'!$C:$C,0)))</f>
        <v>research-and-development.html</v>
      </c>
    </row>
    <row r="1408" spans="1:18" x14ac:dyDescent="0.25">
      <c r="A1408" s="275" t="str">
        <f>IF(ISBLANK(INDEX('Policy Characteristics'!A:A,MATCH($C1408,'Policy Characteristics'!$C:$C,0))),"",INDEX('Policy Characteristics'!A:A,MATCH($C1408,'Policy Characteristics'!$C:$C,0)))</f>
        <v>Research and Development</v>
      </c>
      <c r="B1408" s="284" t="str">
        <f>IF(ISBLANK(INDEX('Policy Characteristics'!B:B,MATCH($C1408,'Policy Characteristics'!$C:$C,0))),"",INDEX('Policy Characteristics'!B:B,MATCH($C1408,'Policy Characteristics'!$C:$C,0)))</f>
        <v>Capital Cost Reduction</v>
      </c>
      <c r="C1408" s="275" t="str">
        <f t="shared" si="63"/>
        <v>RnD Industry Capital Cost Perc Reduction</v>
      </c>
      <c r="D1408" t="s">
        <v>3089</v>
      </c>
      <c r="E1408" s="47"/>
      <c r="F1408" s="6" t="s">
        <v>3114</v>
      </c>
      <c r="G1408" s="47"/>
      <c r="H1408" s="44">
        <v>1481</v>
      </c>
      <c r="I1408" s="346" t="s">
        <v>43</v>
      </c>
      <c r="J1408" s="276" t="str">
        <f>IF(ISBLANK(INDEX('Policy Characteristics'!D:D,MATCH($C1408,'Policy Characteristics'!$C:$C,0))),"",INDEX('Policy Characteristics'!D:D,MATCH($C1408,'Policy Characteristics'!$C:$C,0)))</f>
        <v>R&amp;D Capital Cost Reductions</v>
      </c>
      <c r="K1408" s="275" t="str">
        <f>IF(ISBLANK(INDEX('Policy Characteristics'!E:E,MATCH($C1408,'Policy Characteristics'!$C:$C,0))),"",INDEX('Policy Characteristics'!E:E,MATCH($C1408,'Policy Characteristics'!$C:$C,0)))</f>
        <v>RnD industry capital cost reduction</v>
      </c>
      <c r="L1408" s="283">
        <f>IF(ISBLANK(INDEX('Policy Characteristics'!F:F,MATCH($C1408,'Policy Characteristics'!$C:$C,0))),"",INDEX('Policy Characteristics'!F:F,MATCH($C1408,'Policy Characteristics'!$C:$C,0)))</f>
        <v>0</v>
      </c>
      <c r="M1408" s="283">
        <f>IF(ISBLANK(INDEX('Policy Characteristics'!G:G,MATCH($C1408,'Policy Characteristics'!$C:$C,0))),"",INDEX('Policy Characteristics'!G:G,MATCH($C1408,'Policy Characteristics'!$C:$C,0)))</f>
        <v>0.4</v>
      </c>
      <c r="N1408" s="283">
        <f>IF(ISBLANK(INDEX('Policy Characteristics'!H:H,MATCH($C1408,'Policy Characteristics'!$C:$C,0))),"",INDEX('Policy Characteristics'!H:H,MATCH($C1408,'Policy Characteristics'!$C:$C,0)))</f>
        <v>0.01</v>
      </c>
      <c r="O1408" s="275" t="str">
        <f>IF(ISBLANK(INDEX('Policy Characteristics'!I:I,MATCH($C1408,'Policy Characteristics'!$C:$C,0))),"",INDEX('Policy Characteristics'!I:I,MATCH($C1408,'Policy Characteristics'!$C:$C,0)))</f>
        <v>% reduction in cost</v>
      </c>
      <c r="P1408" s="275" t="str">
        <f>IF(ISBLANK(INDEX('Policy Characteristics'!J:J,MATCH($C1408,'Policy Characteristics'!$C:$C,0))),"",INDEX('Policy Characteristics'!J:J,MATCH($C1408,'Policy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8" s="275" t="str">
        <f>IF(ISBLANK(INDEX('Policy Characteristics'!K:K,MATCH($C1408,'Policy Characteristics'!$C:$C,0))),"",INDEX('Policy Characteristics'!K:K,MATCH($C1408,'Policy Characteristics'!$C:$C,0)))</f>
        <v>architectural-design.html#rnd</v>
      </c>
      <c r="R1408" s="275" t="str">
        <f>IF(ISBLANK(INDEX('Policy Characteristics'!L:L,MATCH($C1408,'Policy Characteristics'!$C:$C,0))),"",INDEX('Policy Characteristics'!L:L,MATCH($C1408,'Policy Characteristics'!$C:$C,0)))</f>
        <v>research-and-development.html</v>
      </c>
    </row>
    <row r="1409" spans="1:18" x14ac:dyDescent="0.25">
      <c r="A1409" s="275" t="str">
        <f>IF(ISBLANK(INDEX('Policy Characteristics'!A:A,MATCH($C1409,'Policy Characteristics'!$C:$C,0))),"",INDEX('Policy Characteristics'!A:A,MATCH($C1409,'Policy Characteristics'!$C:$C,0)))</f>
        <v>Research and Development</v>
      </c>
      <c r="B1409" s="284" t="str">
        <f>IF(ISBLANK(INDEX('Policy Characteristics'!B:B,MATCH($C1409,'Policy Characteristics'!$C:$C,0))),"",INDEX('Policy Characteristics'!B:B,MATCH($C1409,'Policy Characteristics'!$C:$C,0)))</f>
        <v>Capital Cost Reduction</v>
      </c>
      <c r="C1409" s="275" t="str">
        <f t="shared" si="63"/>
        <v>RnD Industry Capital Cost Perc Reduction</v>
      </c>
      <c r="D1409" t="s">
        <v>3090</v>
      </c>
      <c r="E1409" s="47"/>
      <c r="F1409" s="6" t="s">
        <v>3115</v>
      </c>
      <c r="G1409" s="47"/>
      <c r="H1409" s="44">
        <v>1482</v>
      </c>
      <c r="I1409" s="346" t="s">
        <v>43</v>
      </c>
      <c r="J1409" s="276" t="str">
        <f>IF(ISBLANK(INDEX('Policy Characteristics'!D:D,MATCH($C1409,'Policy Characteristics'!$C:$C,0))),"",INDEX('Policy Characteristics'!D:D,MATCH($C1409,'Policy Characteristics'!$C:$C,0)))</f>
        <v>R&amp;D Capital Cost Reductions</v>
      </c>
      <c r="K1409" s="275" t="str">
        <f>IF(ISBLANK(INDEX('Policy Characteristics'!E:E,MATCH($C1409,'Policy Characteristics'!$C:$C,0))),"",INDEX('Policy Characteristics'!E:E,MATCH($C1409,'Policy Characteristics'!$C:$C,0)))</f>
        <v>RnD industry capital cost reduction</v>
      </c>
      <c r="L1409" s="283">
        <f>IF(ISBLANK(INDEX('Policy Characteristics'!F:F,MATCH($C1409,'Policy Characteristics'!$C:$C,0))),"",INDEX('Policy Characteristics'!F:F,MATCH($C1409,'Policy Characteristics'!$C:$C,0)))</f>
        <v>0</v>
      </c>
      <c r="M1409" s="283">
        <f>IF(ISBLANK(INDEX('Policy Characteristics'!G:G,MATCH($C1409,'Policy Characteristics'!$C:$C,0))),"",INDEX('Policy Characteristics'!G:G,MATCH($C1409,'Policy Characteristics'!$C:$C,0)))</f>
        <v>0.4</v>
      </c>
      <c r="N1409" s="283">
        <f>IF(ISBLANK(INDEX('Policy Characteristics'!H:H,MATCH($C1409,'Policy Characteristics'!$C:$C,0))),"",INDEX('Policy Characteristics'!H:H,MATCH($C1409,'Policy Characteristics'!$C:$C,0)))</f>
        <v>0.01</v>
      </c>
      <c r="O1409" s="275" t="str">
        <f>IF(ISBLANK(INDEX('Policy Characteristics'!I:I,MATCH($C1409,'Policy Characteristics'!$C:$C,0))),"",INDEX('Policy Characteristics'!I:I,MATCH($C1409,'Policy Characteristics'!$C:$C,0)))</f>
        <v>% reduction in cost</v>
      </c>
      <c r="P1409" s="275" t="str">
        <f>IF(ISBLANK(INDEX('Policy Characteristics'!J:J,MATCH($C1409,'Policy Characteristics'!$C:$C,0))),"",INDEX('Policy Characteristics'!J:J,MATCH($C1409,'Policy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9" s="275" t="str">
        <f>IF(ISBLANK(INDEX('Policy Characteristics'!K:K,MATCH($C1409,'Policy Characteristics'!$C:$C,0))),"",INDEX('Policy Characteristics'!K:K,MATCH($C1409,'Policy Characteristics'!$C:$C,0)))</f>
        <v>architectural-design.html#rnd</v>
      </c>
      <c r="R1409" s="275" t="str">
        <f>IF(ISBLANK(INDEX('Policy Characteristics'!L:L,MATCH($C1409,'Policy Characteristics'!$C:$C,0))),"",INDEX('Policy Characteristics'!L:L,MATCH($C1409,'Policy Characteristics'!$C:$C,0)))</f>
        <v>research-and-development.html</v>
      </c>
    </row>
    <row r="1410" spans="1:18" x14ac:dyDescent="0.25">
      <c r="A1410" s="275" t="str">
        <f>IF(ISBLANK(INDEX('Policy Characteristics'!A:A,MATCH($C1410,'Policy Characteristics'!$C:$C,0))),"",INDEX('Policy Characteristics'!A:A,MATCH($C1410,'Policy Characteristics'!$C:$C,0)))</f>
        <v>Research and Development</v>
      </c>
      <c r="B1410" s="284" t="str">
        <f>IF(ISBLANK(INDEX('Policy Characteristics'!B:B,MATCH($C1410,'Policy Characteristics'!$C:$C,0))),"",INDEX('Policy Characteristics'!B:B,MATCH($C1410,'Policy Characteristics'!$C:$C,0)))</f>
        <v>Capital Cost Reduction</v>
      </c>
      <c r="C1410" s="275" t="str">
        <f t="shared" si="63"/>
        <v>RnD Industry Capital Cost Perc Reduction</v>
      </c>
      <c r="D1410" t="s">
        <v>3091</v>
      </c>
      <c r="E1410" s="47"/>
      <c r="F1410" s="6" t="s">
        <v>3116</v>
      </c>
      <c r="G1410" s="47"/>
      <c r="H1410" s="44">
        <v>1483</v>
      </c>
      <c r="I1410" s="346" t="s">
        <v>43</v>
      </c>
      <c r="J1410" s="276" t="str">
        <f>IF(ISBLANK(INDEX('Policy Characteristics'!D:D,MATCH($C1410,'Policy Characteristics'!$C:$C,0))),"",INDEX('Policy Characteristics'!D:D,MATCH($C1410,'Policy Characteristics'!$C:$C,0)))</f>
        <v>R&amp;D Capital Cost Reductions</v>
      </c>
      <c r="K1410" s="275" t="str">
        <f>IF(ISBLANK(INDEX('Policy Characteristics'!E:E,MATCH($C1410,'Policy Characteristics'!$C:$C,0))),"",INDEX('Policy Characteristics'!E:E,MATCH($C1410,'Policy Characteristics'!$C:$C,0)))</f>
        <v>RnD industry capital cost reduction</v>
      </c>
      <c r="L1410" s="283">
        <f>IF(ISBLANK(INDEX('Policy Characteristics'!F:F,MATCH($C1410,'Policy Characteristics'!$C:$C,0))),"",INDEX('Policy Characteristics'!F:F,MATCH($C1410,'Policy Characteristics'!$C:$C,0)))</f>
        <v>0</v>
      </c>
      <c r="M1410" s="283">
        <f>IF(ISBLANK(INDEX('Policy Characteristics'!G:G,MATCH($C1410,'Policy Characteristics'!$C:$C,0))),"",INDEX('Policy Characteristics'!G:G,MATCH($C1410,'Policy Characteristics'!$C:$C,0)))</f>
        <v>0.4</v>
      </c>
      <c r="N1410" s="283">
        <f>IF(ISBLANK(INDEX('Policy Characteristics'!H:H,MATCH($C1410,'Policy Characteristics'!$C:$C,0))),"",INDEX('Policy Characteristics'!H:H,MATCH($C1410,'Policy Characteristics'!$C:$C,0)))</f>
        <v>0.01</v>
      </c>
      <c r="O1410" s="275" t="str">
        <f>IF(ISBLANK(INDEX('Policy Characteristics'!I:I,MATCH($C1410,'Policy Characteristics'!$C:$C,0))),"",INDEX('Policy Characteristics'!I:I,MATCH($C1410,'Policy Characteristics'!$C:$C,0)))</f>
        <v>% reduction in cost</v>
      </c>
      <c r="P1410" s="275" t="str">
        <f>IF(ISBLANK(INDEX('Policy Characteristics'!J:J,MATCH($C1410,'Policy Characteristics'!$C:$C,0))),"",INDEX('Policy Characteristics'!J:J,MATCH($C1410,'Policy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0" s="275" t="str">
        <f>IF(ISBLANK(INDEX('Policy Characteristics'!K:K,MATCH($C1410,'Policy Characteristics'!$C:$C,0))),"",INDEX('Policy Characteristics'!K:K,MATCH($C1410,'Policy Characteristics'!$C:$C,0)))</f>
        <v>architectural-design.html#rnd</v>
      </c>
      <c r="R1410" s="275" t="str">
        <f>IF(ISBLANK(INDEX('Policy Characteristics'!L:L,MATCH($C1410,'Policy Characteristics'!$C:$C,0))),"",INDEX('Policy Characteristics'!L:L,MATCH($C1410,'Policy Characteristics'!$C:$C,0)))</f>
        <v>research-and-development.html</v>
      </c>
    </row>
    <row r="1411" spans="1:18" x14ac:dyDescent="0.25">
      <c r="A1411" s="275" t="str">
        <f>IF(ISBLANK(INDEX('Policy Characteristics'!A:A,MATCH($C1411,'Policy Characteristics'!$C:$C,0))),"",INDEX('Policy Characteristics'!A:A,MATCH($C1411,'Policy Characteristics'!$C:$C,0)))</f>
        <v>Research and Development</v>
      </c>
      <c r="B1411" s="284" t="str">
        <f>IF(ISBLANK(INDEX('Policy Characteristics'!B:B,MATCH($C1411,'Policy Characteristics'!$C:$C,0))),"",INDEX('Policy Characteristics'!B:B,MATCH($C1411,'Policy Characteristics'!$C:$C,0)))</f>
        <v>Capital Cost Reduction</v>
      </c>
      <c r="C1411" s="275" t="str">
        <f t="shared" si="63"/>
        <v>RnD Industry Capital Cost Perc Reduction</v>
      </c>
      <c r="D1411" t="s">
        <v>3092</v>
      </c>
      <c r="E1411" s="47"/>
      <c r="F1411" s="6" t="s">
        <v>3117</v>
      </c>
      <c r="G1411" s="47"/>
      <c r="H1411" s="44">
        <v>1484</v>
      </c>
      <c r="I1411" s="346" t="s">
        <v>43</v>
      </c>
      <c r="J1411" s="276" t="str">
        <f>IF(ISBLANK(INDEX('Policy Characteristics'!D:D,MATCH($C1411,'Policy Characteristics'!$C:$C,0))),"",INDEX('Policy Characteristics'!D:D,MATCH($C1411,'Policy Characteristics'!$C:$C,0)))</f>
        <v>R&amp;D Capital Cost Reductions</v>
      </c>
      <c r="K1411" s="275" t="str">
        <f>IF(ISBLANK(INDEX('Policy Characteristics'!E:E,MATCH($C1411,'Policy Characteristics'!$C:$C,0))),"",INDEX('Policy Characteristics'!E:E,MATCH($C1411,'Policy Characteristics'!$C:$C,0)))</f>
        <v>RnD industry capital cost reduction</v>
      </c>
      <c r="L1411" s="283">
        <f>IF(ISBLANK(INDEX('Policy Characteristics'!F:F,MATCH($C1411,'Policy Characteristics'!$C:$C,0))),"",INDEX('Policy Characteristics'!F:F,MATCH($C1411,'Policy Characteristics'!$C:$C,0)))</f>
        <v>0</v>
      </c>
      <c r="M1411" s="283">
        <f>IF(ISBLANK(INDEX('Policy Characteristics'!G:G,MATCH($C1411,'Policy Characteristics'!$C:$C,0))),"",INDEX('Policy Characteristics'!G:G,MATCH($C1411,'Policy Characteristics'!$C:$C,0)))</f>
        <v>0.4</v>
      </c>
      <c r="N1411" s="283">
        <f>IF(ISBLANK(INDEX('Policy Characteristics'!H:H,MATCH($C1411,'Policy Characteristics'!$C:$C,0))),"",INDEX('Policy Characteristics'!H:H,MATCH($C1411,'Policy Characteristics'!$C:$C,0)))</f>
        <v>0.01</v>
      </c>
      <c r="O1411" s="275" t="str">
        <f>IF(ISBLANK(INDEX('Policy Characteristics'!I:I,MATCH($C1411,'Policy Characteristics'!$C:$C,0))),"",INDEX('Policy Characteristics'!I:I,MATCH($C1411,'Policy Characteristics'!$C:$C,0)))</f>
        <v>% reduction in cost</v>
      </c>
      <c r="P1411" s="275" t="str">
        <f>IF(ISBLANK(INDEX('Policy Characteristics'!J:J,MATCH($C1411,'Policy Characteristics'!$C:$C,0))),"",INDEX('Policy Characteristics'!J:J,MATCH($C1411,'Policy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1" s="275" t="str">
        <f>IF(ISBLANK(INDEX('Policy Characteristics'!K:K,MATCH($C1411,'Policy Characteristics'!$C:$C,0))),"",INDEX('Policy Characteristics'!K:K,MATCH($C1411,'Policy Characteristics'!$C:$C,0)))</f>
        <v>architectural-design.html#rnd</v>
      </c>
      <c r="R1411" s="275" t="str">
        <f>IF(ISBLANK(INDEX('Policy Characteristics'!L:L,MATCH($C1411,'Policy Characteristics'!$C:$C,0))),"",INDEX('Policy Characteristics'!L:L,MATCH($C1411,'Policy Characteristics'!$C:$C,0)))</f>
        <v>research-and-development.html</v>
      </c>
    </row>
    <row r="1412" spans="1:18" x14ac:dyDescent="0.25">
      <c r="A1412" s="275" t="str">
        <f>IF(ISBLANK(INDEX('Policy Characteristics'!A:A,MATCH($C1412,'Policy Characteristics'!$C:$C,0))),"",INDEX('Policy Characteristics'!A:A,MATCH($C1412,'Policy Characteristics'!$C:$C,0)))</f>
        <v>Research and Development</v>
      </c>
      <c r="B1412" s="284" t="str">
        <f>IF(ISBLANK(INDEX('Policy Characteristics'!B:B,MATCH($C1412,'Policy Characteristics'!$C:$C,0))),"",INDEX('Policy Characteristics'!B:B,MATCH($C1412,'Policy Characteristics'!$C:$C,0)))</f>
        <v>Capital Cost Reduction</v>
      </c>
      <c r="C1412" s="275" t="str">
        <f t="shared" si="63"/>
        <v>RnD Industry Capital Cost Perc Reduction</v>
      </c>
      <c r="D1412" t="s">
        <v>3093</v>
      </c>
      <c r="E1412" s="47"/>
      <c r="F1412" s="6" t="s">
        <v>3118</v>
      </c>
      <c r="G1412" s="47"/>
      <c r="H1412" s="44">
        <v>1485</v>
      </c>
      <c r="I1412" s="346" t="s">
        <v>43</v>
      </c>
      <c r="J1412" s="276" t="str">
        <f>IF(ISBLANK(INDEX('Policy Characteristics'!D:D,MATCH($C1412,'Policy Characteristics'!$C:$C,0))),"",INDEX('Policy Characteristics'!D:D,MATCH($C1412,'Policy Characteristics'!$C:$C,0)))</f>
        <v>R&amp;D Capital Cost Reductions</v>
      </c>
      <c r="K1412" s="275" t="str">
        <f>IF(ISBLANK(INDEX('Policy Characteristics'!E:E,MATCH($C1412,'Policy Characteristics'!$C:$C,0))),"",INDEX('Policy Characteristics'!E:E,MATCH($C1412,'Policy Characteristics'!$C:$C,0)))</f>
        <v>RnD industry capital cost reduction</v>
      </c>
      <c r="L1412" s="283">
        <f>IF(ISBLANK(INDEX('Policy Characteristics'!F:F,MATCH($C1412,'Policy Characteristics'!$C:$C,0))),"",INDEX('Policy Characteristics'!F:F,MATCH($C1412,'Policy Characteristics'!$C:$C,0)))</f>
        <v>0</v>
      </c>
      <c r="M1412" s="283">
        <f>IF(ISBLANK(INDEX('Policy Characteristics'!G:G,MATCH($C1412,'Policy Characteristics'!$C:$C,0))),"",INDEX('Policy Characteristics'!G:G,MATCH($C1412,'Policy Characteristics'!$C:$C,0)))</f>
        <v>0.4</v>
      </c>
      <c r="N1412" s="283">
        <f>IF(ISBLANK(INDEX('Policy Characteristics'!H:H,MATCH($C1412,'Policy Characteristics'!$C:$C,0))),"",INDEX('Policy Characteristics'!H:H,MATCH($C1412,'Policy Characteristics'!$C:$C,0)))</f>
        <v>0.01</v>
      </c>
      <c r="O1412" s="275" t="str">
        <f>IF(ISBLANK(INDEX('Policy Characteristics'!I:I,MATCH($C1412,'Policy Characteristics'!$C:$C,0))),"",INDEX('Policy Characteristics'!I:I,MATCH($C1412,'Policy Characteristics'!$C:$C,0)))</f>
        <v>% reduction in cost</v>
      </c>
      <c r="P1412" s="275" t="str">
        <f>IF(ISBLANK(INDEX('Policy Characteristics'!J:J,MATCH($C1412,'Policy Characteristics'!$C:$C,0))),"",INDEX('Policy Characteristics'!J:J,MATCH($C1412,'Policy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2" s="275" t="str">
        <f>IF(ISBLANK(INDEX('Policy Characteristics'!K:K,MATCH($C1412,'Policy Characteristics'!$C:$C,0))),"",INDEX('Policy Characteristics'!K:K,MATCH($C1412,'Policy Characteristics'!$C:$C,0)))</f>
        <v>architectural-design.html#rnd</v>
      </c>
      <c r="R1412" s="275" t="str">
        <f>IF(ISBLANK(INDEX('Policy Characteristics'!L:L,MATCH($C1412,'Policy Characteristics'!$C:$C,0))),"",INDEX('Policy Characteristics'!L:L,MATCH($C1412,'Policy Characteristics'!$C:$C,0)))</f>
        <v>research-and-development.html</v>
      </c>
    </row>
    <row r="1413" spans="1:18" x14ac:dyDescent="0.25">
      <c r="A1413" s="275" t="str">
        <f>IF(ISBLANK(INDEX('Policy Characteristics'!A:A,MATCH($C1413,'Policy Characteristics'!$C:$C,0))),"",INDEX('Policy Characteristics'!A:A,MATCH($C1413,'Policy Characteristics'!$C:$C,0)))</f>
        <v>Research and Development</v>
      </c>
      <c r="B1413" s="284" t="str">
        <f>IF(ISBLANK(INDEX('Policy Characteristics'!B:B,MATCH($C1413,'Policy Characteristics'!$C:$C,0))),"",INDEX('Policy Characteristics'!B:B,MATCH($C1413,'Policy Characteristics'!$C:$C,0)))</f>
        <v>Capital Cost Reduction</v>
      </c>
      <c r="C1413" s="275" t="str">
        <f t="shared" si="63"/>
        <v>RnD Industry Capital Cost Perc Reduction</v>
      </c>
      <c r="D1413" t="s">
        <v>3094</v>
      </c>
      <c r="E1413" s="47"/>
      <c r="F1413" s="6" t="s">
        <v>3119</v>
      </c>
      <c r="G1413" s="47"/>
      <c r="H1413" s="44">
        <v>1486</v>
      </c>
      <c r="I1413" s="346" t="s">
        <v>43</v>
      </c>
      <c r="J1413" s="276" t="str">
        <f>IF(ISBLANK(INDEX('Policy Characteristics'!D:D,MATCH($C1413,'Policy Characteristics'!$C:$C,0))),"",INDEX('Policy Characteristics'!D:D,MATCH($C1413,'Policy Characteristics'!$C:$C,0)))</f>
        <v>R&amp;D Capital Cost Reductions</v>
      </c>
      <c r="K1413" s="275" t="str">
        <f>IF(ISBLANK(INDEX('Policy Characteristics'!E:E,MATCH($C1413,'Policy Characteristics'!$C:$C,0))),"",INDEX('Policy Characteristics'!E:E,MATCH($C1413,'Policy Characteristics'!$C:$C,0)))</f>
        <v>RnD industry capital cost reduction</v>
      </c>
      <c r="L1413" s="283">
        <f>IF(ISBLANK(INDEX('Policy Characteristics'!F:F,MATCH($C1413,'Policy Characteristics'!$C:$C,0))),"",INDEX('Policy Characteristics'!F:F,MATCH($C1413,'Policy Characteristics'!$C:$C,0)))</f>
        <v>0</v>
      </c>
      <c r="M1413" s="283">
        <f>IF(ISBLANK(INDEX('Policy Characteristics'!G:G,MATCH($C1413,'Policy Characteristics'!$C:$C,0))),"",INDEX('Policy Characteristics'!G:G,MATCH($C1413,'Policy Characteristics'!$C:$C,0)))</f>
        <v>0.4</v>
      </c>
      <c r="N1413" s="283">
        <f>IF(ISBLANK(INDEX('Policy Characteristics'!H:H,MATCH($C1413,'Policy Characteristics'!$C:$C,0))),"",INDEX('Policy Characteristics'!H:H,MATCH($C1413,'Policy Characteristics'!$C:$C,0)))</f>
        <v>0.01</v>
      </c>
      <c r="O1413" s="275" t="str">
        <f>IF(ISBLANK(INDEX('Policy Characteristics'!I:I,MATCH($C1413,'Policy Characteristics'!$C:$C,0))),"",INDEX('Policy Characteristics'!I:I,MATCH($C1413,'Policy Characteristics'!$C:$C,0)))</f>
        <v>% reduction in cost</v>
      </c>
      <c r="P1413" s="275" t="str">
        <f>IF(ISBLANK(INDEX('Policy Characteristics'!J:J,MATCH($C1413,'Policy Characteristics'!$C:$C,0))),"",INDEX('Policy Characteristics'!J:J,MATCH($C1413,'Policy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3" s="275" t="str">
        <f>IF(ISBLANK(INDEX('Policy Characteristics'!K:K,MATCH($C1413,'Policy Characteristics'!$C:$C,0))),"",INDEX('Policy Characteristics'!K:K,MATCH($C1413,'Policy Characteristics'!$C:$C,0)))</f>
        <v>architectural-design.html#rnd</v>
      </c>
      <c r="R1413" s="275" t="str">
        <f>IF(ISBLANK(INDEX('Policy Characteristics'!L:L,MATCH($C1413,'Policy Characteristics'!$C:$C,0))),"",INDEX('Policy Characteristics'!L:L,MATCH($C1413,'Policy Characteristics'!$C:$C,0)))</f>
        <v>research-and-development.html</v>
      </c>
    </row>
    <row r="1414" spans="1:18" x14ac:dyDescent="0.25">
      <c r="A1414" s="275" t="str">
        <f>IF(ISBLANK(INDEX('Policy Characteristics'!A:A,MATCH($C1414,'Policy Characteristics'!$C:$C,0))),"",INDEX('Policy Characteristics'!A:A,MATCH($C1414,'Policy Characteristics'!$C:$C,0)))</f>
        <v>Research and Development</v>
      </c>
      <c r="B1414" s="284" t="str">
        <f>IF(ISBLANK(INDEX('Policy Characteristics'!B:B,MATCH($C1414,'Policy Characteristics'!$C:$C,0))),"",INDEX('Policy Characteristics'!B:B,MATCH($C1414,'Policy Characteristics'!$C:$C,0)))</f>
        <v>Capital Cost Reduction</v>
      </c>
      <c r="C1414" s="339" t="s">
        <v>293</v>
      </c>
      <c r="D1414" s="47" t="s">
        <v>2246</v>
      </c>
      <c r="E1414" s="47"/>
      <c r="F1414" s="47" t="s">
        <v>471</v>
      </c>
      <c r="G1414" s="47"/>
      <c r="H1414" s="44">
        <v>108</v>
      </c>
      <c r="I1414" s="346" t="s">
        <v>43</v>
      </c>
      <c r="J1414" s="276" t="str">
        <f>IF(ISBLANK(INDEX('Policy Characteristics'!D:D,MATCH($C1414,'Policy Characteristics'!$C:$C,0))),"",INDEX('Policy Characteristics'!D:D,MATCH($C1414,'Policy Characteristics'!$C:$C,0)))</f>
        <v>R&amp;D Capital Cost Reductions</v>
      </c>
      <c r="K1414" s="275" t="str">
        <f>IF(ISBLANK(INDEX('Policy Characteristics'!E:E,MATCH($C1414,'Policy Characteristics'!$C:$C,0))),"",INDEX('Policy Characteristics'!E:E,MATCH($C1414,'Policy Characteristics'!$C:$C,0)))</f>
        <v>RnD transportation capital cost reduction</v>
      </c>
      <c r="L1414" s="283">
        <f>IF(ISBLANK(INDEX('Policy Characteristics'!F:F,MATCH($C1414,'Policy Characteristics'!$C:$C,0))),"",INDEX('Policy Characteristics'!F:F,MATCH($C1414,'Policy Characteristics'!$C:$C,0)))</f>
        <v>0</v>
      </c>
      <c r="M1414" s="283">
        <f>IF(ISBLANK(INDEX('Policy Characteristics'!G:G,MATCH($C1414,'Policy Characteristics'!$C:$C,0))),"",INDEX('Policy Characteristics'!G:G,MATCH($C1414,'Policy Characteristics'!$C:$C,0)))</f>
        <v>0.4</v>
      </c>
      <c r="N1414" s="283">
        <f>IF(ISBLANK(INDEX('Policy Characteristics'!H:H,MATCH($C1414,'Policy Characteristics'!$C:$C,0))),"",INDEX('Policy Characteristics'!H:H,MATCH($C1414,'Policy Characteristics'!$C:$C,0)))</f>
        <v>0.01</v>
      </c>
      <c r="O1414" s="275" t="str">
        <f>IF(ISBLANK(INDEX('Policy Characteristics'!I:I,MATCH($C1414,'Policy Characteristics'!$C:$C,0))),"",INDEX('Policy Characteristics'!I:I,MATCH($C1414,'Policy Characteristics'!$C:$C,0)))</f>
        <v>% reduction in cost</v>
      </c>
      <c r="P1414" s="275" t="str">
        <f>IF(ISBLANK(INDEX('Policy Characteristics'!J:J,MATCH($C1414,'Policy Characteristics'!$C:$C,0))),"",INDEX('Policy Characteristics'!J:J,MATCH($C1414,'Policy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4" s="275" t="str">
        <f>IF(ISBLANK(INDEX('Policy Characteristics'!K:K,MATCH($C1414,'Policy Characteristics'!$C:$C,0))),"",INDEX('Policy Characteristics'!K:K,MATCH($C1414,'Policy Characteristics'!$C:$C,0)))</f>
        <v>architectural-design.html#rnd</v>
      </c>
      <c r="R1414" s="275" t="str">
        <f>IF(ISBLANK(INDEX('Policy Characteristics'!L:L,MATCH($C1414,'Policy Characteristics'!$C:$C,0))),"",INDEX('Policy Characteristics'!L:L,MATCH($C1414,'Policy Characteristics'!$C:$C,0)))</f>
        <v>research-and-development.html</v>
      </c>
    </row>
    <row r="1415" spans="1:18" x14ac:dyDescent="0.25">
      <c r="A1415" s="275" t="str">
        <f>IF(ISBLANK(INDEX('Policy Characteristics'!A:A,MATCH($C1415,'Policy Characteristics'!$C:$C,0))),"",INDEX('Policy Characteristics'!A:A,MATCH($C1415,'Policy Characteristics'!$C:$C,0)))</f>
        <v>Research and Development</v>
      </c>
      <c r="B1415" s="284" t="str">
        <f>IF(ISBLANK(INDEX('Policy Characteristics'!B:B,MATCH($C1415,'Policy Characteristics'!$C:$C,0))),"",INDEX('Policy Characteristics'!B:B,MATCH($C1415,'Policy Characteristics'!$C:$C,0)))</f>
        <v>Capital Cost Reduction</v>
      </c>
      <c r="C1415" s="275" t="str">
        <f t="shared" ref="C1415:C1420" si="64">C$1414</f>
        <v>RnD Transportation Capital Cost Perc Reduction</v>
      </c>
      <c r="D1415" s="47" t="s">
        <v>2247</v>
      </c>
      <c r="E1415" s="47"/>
      <c r="F1415" s="47" t="s">
        <v>472</v>
      </c>
      <c r="G1415" s="47"/>
      <c r="H1415" s="44">
        <v>109</v>
      </c>
      <c r="I1415" s="346" t="s">
        <v>43</v>
      </c>
      <c r="J1415" s="276" t="str">
        <f>IF(ISBLANK(INDEX('Policy Characteristics'!D:D,MATCH($C1415,'Policy Characteristics'!$C:$C,0))),"",INDEX('Policy Characteristics'!D:D,MATCH($C1415,'Policy Characteristics'!$C:$C,0)))</f>
        <v>R&amp;D Capital Cost Reductions</v>
      </c>
      <c r="K1415" s="275" t="str">
        <f>IF(ISBLANK(INDEX('Policy Characteristics'!E:E,MATCH($C1415,'Policy Characteristics'!$C:$C,0))),"",INDEX('Policy Characteristics'!E:E,MATCH($C1415,'Policy Characteristics'!$C:$C,0)))</f>
        <v>RnD transportation capital cost reduction</v>
      </c>
      <c r="L1415" s="283">
        <f>IF(ISBLANK(INDEX('Policy Characteristics'!F:F,MATCH($C1415,'Policy Characteristics'!$C:$C,0))),"",INDEX('Policy Characteristics'!F:F,MATCH($C1415,'Policy Characteristics'!$C:$C,0)))</f>
        <v>0</v>
      </c>
      <c r="M1415" s="283">
        <f>IF(ISBLANK(INDEX('Policy Characteristics'!G:G,MATCH($C1415,'Policy Characteristics'!$C:$C,0))),"",INDEX('Policy Characteristics'!G:G,MATCH($C1415,'Policy Characteristics'!$C:$C,0)))</f>
        <v>0.4</v>
      </c>
      <c r="N1415" s="283">
        <f>IF(ISBLANK(INDEX('Policy Characteristics'!H:H,MATCH($C1415,'Policy Characteristics'!$C:$C,0))),"",INDEX('Policy Characteristics'!H:H,MATCH($C1415,'Policy Characteristics'!$C:$C,0)))</f>
        <v>0.01</v>
      </c>
      <c r="O1415" s="275" t="str">
        <f>IF(ISBLANK(INDEX('Policy Characteristics'!I:I,MATCH($C1415,'Policy Characteristics'!$C:$C,0))),"",INDEX('Policy Characteristics'!I:I,MATCH($C1415,'Policy Characteristics'!$C:$C,0)))</f>
        <v>% reduction in cost</v>
      </c>
      <c r="P1415" s="275" t="str">
        <f>IF(ISBLANK(INDEX('Policy Characteristics'!J:J,MATCH($C1415,'Policy Characteristics'!$C:$C,0))),"",INDEX('Policy Characteristics'!J:J,MATCH($C1415,'Policy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5" s="275" t="str">
        <f>IF(ISBLANK(INDEX('Policy Characteristics'!K:K,MATCH($C1415,'Policy Characteristics'!$C:$C,0))),"",INDEX('Policy Characteristics'!K:K,MATCH($C1415,'Policy Characteristics'!$C:$C,0)))</f>
        <v>architectural-design.html#rnd</v>
      </c>
      <c r="R1415" s="275" t="str">
        <f>IF(ISBLANK(INDEX('Policy Characteristics'!L:L,MATCH($C1415,'Policy Characteristics'!$C:$C,0))),"",INDEX('Policy Characteristics'!L:L,MATCH($C1415,'Policy Characteristics'!$C:$C,0)))</f>
        <v>research-and-development.html</v>
      </c>
    </row>
    <row r="1416" spans="1:18" x14ac:dyDescent="0.25">
      <c r="A1416" s="275" t="str">
        <f>IF(ISBLANK(INDEX('Policy Characteristics'!A:A,MATCH($C1416,'Policy Characteristics'!$C:$C,0))),"",INDEX('Policy Characteristics'!A:A,MATCH($C1416,'Policy Characteristics'!$C:$C,0)))</f>
        <v>Research and Development</v>
      </c>
      <c r="B1416" s="284" t="str">
        <f>IF(ISBLANK(INDEX('Policy Characteristics'!B:B,MATCH($C1416,'Policy Characteristics'!$C:$C,0))),"",INDEX('Policy Characteristics'!B:B,MATCH($C1416,'Policy Characteristics'!$C:$C,0)))</f>
        <v>Capital Cost Reduction</v>
      </c>
      <c r="C1416" s="275" t="str">
        <f t="shared" si="64"/>
        <v>RnD Transportation Capital Cost Perc Reduction</v>
      </c>
      <c r="D1416" s="47" t="s">
        <v>2248</v>
      </c>
      <c r="E1416" s="47"/>
      <c r="F1416" s="47" t="s">
        <v>473</v>
      </c>
      <c r="G1416" s="47"/>
      <c r="H1416" s="44">
        <v>110</v>
      </c>
      <c r="I1416" s="346" t="s">
        <v>43</v>
      </c>
      <c r="J1416" s="276" t="str">
        <f>IF(ISBLANK(INDEX('Policy Characteristics'!D:D,MATCH($C1416,'Policy Characteristics'!$C:$C,0))),"",INDEX('Policy Characteristics'!D:D,MATCH($C1416,'Policy Characteristics'!$C:$C,0)))</f>
        <v>R&amp;D Capital Cost Reductions</v>
      </c>
      <c r="K1416" s="275" t="str">
        <f>IF(ISBLANK(INDEX('Policy Characteristics'!E:E,MATCH($C1416,'Policy Characteristics'!$C:$C,0))),"",INDEX('Policy Characteristics'!E:E,MATCH($C1416,'Policy Characteristics'!$C:$C,0)))</f>
        <v>RnD transportation capital cost reduction</v>
      </c>
      <c r="L1416" s="283">
        <f>IF(ISBLANK(INDEX('Policy Characteristics'!F:F,MATCH($C1416,'Policy Characteristics'!$C:$C,0))),"",INDEX('Policy Characteristics'!F:F,MATCH($C1416,'Policy Characteristics'!$C:$C,0)))</f>
        <v>0</v>
      </c>
      <c r="M1416" s="283">
        <f>IF(ISBLANK(INDEX('Policy Characteristics'!G:G,MATCH($C1416,'Policy Characteristics'!$C:$C,0))),"",INDEX('Policy Characteristics'!G:G,MATCH($C1416,'Policy Characteristics'!$C:$C,0)))</f>
        <v>0.4</v>
      </c>
      <c r="N1416" s="283">
        <f>IF(ISBLANK(INDEX('Policy Characteristics'!H:H,MATCH($C1416,'Policy Characteristics'!$C:$C,0))),"",INDEX('Policy Characteristics'!H:H,MATCH($C1416,'Policy Characteristics'!$C:$C,0)))</f>
        <v>0.01</v>
      </c>
      <c r="O1416" s="275" t="str">
        <f>IF(ISBLANK(INDEX('Policy Characteristics'!I:I,MATCH($C1416,'Policy Characteristics'!$C:$C,0))),"",INDEX('Policy Characteristics'!I:I,MATCH($C1416,'Policy Characteristics'!$C:$C,0)))</f>
        <v>% reduction in cost</v>
      </c>
      <c r="P1416" s="275" t="str">
        <f>IF(ISBLANK(INDEX('Policy Characteristics'!J:J,MATCH($C1416,'Policy Characteristics'!$C:$C,0))),"",INDEX('Policy Characteristics'!J:J,MATCH($C1416,'Policy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6" s="275" t="str">
        <f>IF(ISBLANK(INDEX('Policy Characteristics'!K:K,MATCH($C1416,'Policy Characteristics'!$C:$C,0))),"",INDEX('Policy Characteristics'!K:K,MATCH($C1416,'Policy Characteristics'!$C:$C,0)))</f>
        <v>architectural-design.html#rnd</v>
      </c>
      <c r="R1416" s="275" t="str">
        <f>IF(ISBLANK(INDEX('Policy Characteristics'!L:L,MATCH($C1416,'Policy Characteristics'!$C:$C,0))),"",INDEX('Policy Characteristics'!L:L,MATCH($C1416,'Policy Characteristics'!$C:$C,0)))</f>
        <v>research-and-development.html</v>
      </c>
    </row>
    <row r="1417" spans="1:18" x14ac:dyDescent="0.25">
      <c r="A1417" s="275" t="str">
        <f>IF(ISBLANK(INDEX('Policy Characteristics'!A:A,MATCH($C1417,'Policy Characteristics'!$C:$C,0))),"",INDEX('Policy Characteristics'!A:A,MATCH($C1417,'Policy Characteristics'!$C:$C,0)))</f>
        <v>Research and Development</v>
      </c>
      <c r="B1417" s="284" t="str">
        <f>IF(ISBLANK(INDEX('Policy Characteristics'!B:B,MATCH($C1417,'Policy Characteristics'!$C:$C,0))),"",INDEX('Policy Characteristics'!B:B,MATCH($C1417,'Policy Characteristics'!$C:$C,0)))</f>
        <v>Capital Cost Reduction</v>
      </c>
      <c r="C1417" s="275" t="str">
        <f t="shared" si="64"/>
        <v>RnD Transportation Capital Cost Perc Reduction</v>
      </c>
      <c r="D1417" s="47" t="s">
        <v>2249</v>
      </c>
      <c r="E1417" s="47"/>
      <c r="F1417" s="47" t="s">
        <v>474</v>
      </c>
      <c r="G1417" s="47"/>
      <c r="H1417" s="44">
        <v>111</v>
      </c>
      <c r="I1417" s="346" t="s">
        <v>43</v>
      </c>
      <c r="J1417" s="276" t="str">
        <f>IF(ISBLANK(INDEX('Policy Characteristics'!D:D,MATCH($C1417,'Policy Characteristics'!$C:$C,0))),"",INDEX('Policy Characteristics'!D:D,MATCH($C1417,'Policy Characteristics'!$C:$C,0)))</f>
        <v>R&amp;D Capital Cost Reductions</v>
      </c>
      <c r="K1417" s="275" t="str">
        <f>IF(ISBLANK(INDEX('Policy Characteristics'!E:E,MATCH($C1417,'Policy Characteristics'!$C:$C,0))),"",INDEX('Policy Characteristics'!E:E,MATCH($C1417,'Policy Characteristics'!$C:$C,0)))</f>
        <v>RnD transportation capital cost reduction</v>
      </c>
      <c r="L1417" s="283">
        <f>IF(ISBLANK(INDEX('Policy Characteristics'!F:F,MATCH($C1417,'Policy Characteristics'!$C:$C,0))),"",INDEX('Policy Characteristics'!F:F,MATCH($C1417,'Policy Characteristics'!$C:$C,0)))</f>
        <v>0</v>
      </c>
      <c r="M1417" s="283">
        <f>IF(ISBLANK(INDEX('Policy Characteristics'!G:G,MATCH($C1417,'Policy Characteristics'!$C:$C,0))),"",INDEX('Policy Characteristics'!G:G,MATCH($C1417,'Policy Characteristics'!$C:$C,0)))</f>
        <v>0.4</v>
      </c>
      <c r="N1417" s="283">
        <f>IF(ISBLANK(INDEX('Policy Characteristics'!H:H,MATCH($C1417,'Policy Characteristics'!$C:$C,0))),"",INDEX('Policy Characteristics'!H:H,MATCH($C1417,'Policy Characteristics'!$C:$C,0)))</f>
        <v>0.01</v>
      </c>
      <c r="O1417" s="275" t="str">
        <f>IF(ISBLANK(INDEX('Policy Characteristics'!I:I,MATCH($C1417,'Policy Characteristics'!$C:$C,0))),"",INDEX('Policy Characteristics'!I:I,MATCH($C1417,'Policy Characteristics'!$C:$C,0)))</f>
        <v>% reduction in cost</v>
      </c>
      <c r="P1417" s="275" t="str">
        <f>IF(ISBLANK(INDEX('Policy Characteristics'!J:J,MATCH($C1417,'Policy Characteristics'!$C:$C,0))),"",INDEX('Policy Characteristics'!J:J,MATCH($C1417,'Policy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7" s="275" t="str">
        <f>IF(ISBLANK(INDEX('Policy Characteristics'!K:K,MATCH($C1417,'Policy Characteristics'!$C:$C,0))),"",INDEX('Policy Characteristics'!K:K,MATCH($C1417,'Policy Characteristics'!$C:$C,0)))</f>
        <v>architectural-design.html#rnd</v>
      </c>
      <c r="R1417" s="275" t="str">
        <f>IF(ISBLANK(INDEX('Policy Characteristics'!L:L,MATCH($C1417,'Policy Characteristics'!$C:$C,0))),"",INDEX('Policy Characteristics'!L:L,MATCH($C1417,'Policy Characteristics'!$C:$C,0)))</f>
        <v>research-and-development.html</v>
      </c>
    </row>
    <row r="1418" spans="1:18" x14ac:dyDescent="0.25">
      <c r="A1418" s="275" t="str">
        <f>IF(ISBLANK(INDEX('Policy Characteristics'!A:A,MATCH($C1418,'Policy Characteristics'!$C:$C,0))),"",INDEX('Policy Characteristics'!A:A,MATCH($C1418,'Policy Characteristics'!$C:$C,0)))</f>
        <v>Research and Development</v>
      </c>
      <c r="B1418" s="284" t="str">
        <f>IF(ISBLANK(INDEX('Policy Characteristics'!B:B,MATCH($C1418,'Policy Characteristics'!$C:$C,0))),"",INDEX('Policy Characteristics'!B:B,MATCH($C1418,'Policy Characteristics'!$C:$C,0)))</f>
        <v>Capital Cost Reduction</v>
      </c>
      <c r="C1418" s="275" t="str">
        <f t="shared" si="64"/>
        <v>RnD Transportation Capital Cost Perc Reduction</v>
      </c>
      <c r="D1418" s="47" t="s">
        <v>2250</v>
      </c>
      <c r="E1418" s="47"/>
      <c r="F1418" s="47" t="s">
        <v>475</v>
      </c>
      <c r="G1418" s="47"/>
      <c r="H1418" s="44">
        <v>112</v>
      </c>
      <c r="I1418" s="346" t="s">
        <v>43</v>
      </c>
      <c r="J1418" s="276" t="str">
        <f>IF(ISBLANK(INDEX('Policy Characteristics'!D:D,MATCH($C1418,'Policy Characteristics'!$C:$C,0))),"",INDEX('Policy Characteristics'!D:D,MATCH($C1418,'Policy Characteristics'!$C:$C,0)))</f>
        <v>R&amp;D Capital Cost Reductions</v>
      </c>
      <c r="K1418" s="275" t="str">
        <f>IF(ISBLANK(INDEX('Policy Characteristics'!E:E,MATCH($C1418,'Policy Characteristics'!$C:$C,0))),"",INDEX('Policy Characteristics'!E:E,MATCH($C1418,'Policy Characteristics'!$C:$C,0)))</f>
        <v>RnD transportation capital cost reduction</v>
      </c>
      <c r="L1418" s="283">
        <f>IF(ISBLANK(INDEX('Policy Characteristics'!F:F,MATCH($C1418,'Policy Characteristics'!$C:$C,0))),"",INDEX('Policy Characteristics'!F:F,MATCH($C1418,'Policy Characteristics'!$C:$C,0)))</f>
        <v>0</v>
      </c>
      <c r="M1418" s="283">
        <f>IF(ISBLANK(INDEX('Policy Characteristics'!G:G,MATCH($C1418,'Policy Characteristics'!$C:$C,0))),"",INDEX('Policy Characteristics'!G:G,MATCH($C1418,'Policy Characteristics'!$C:$C,0)))</f>
        <v>0.4</v>
      </c>
      <c r="N1418" s="283">
        <f>IF(ISBLANK(INDEX('Policy Characteristics'!H:H,MATCH($C1418,'Policy Characteristics'!$C:$C,0))),"",INDEX('Policy Characteristics'!H:H,MATCH($C1418,'Policy Characteristics'!$C:$C,0)))</f>
        <v>0.01</v>
      </c>
      <c r="O1418" s="275" t="str">
        <f>IF(ISBLANK(INDEX('Policy Characteristics'!I:I,MATCH($C1418,'Policy Characteristics'!$C:$C,0))),"",INDEX('Policy Characteristics'!I:I,MATCH($C1418,'Policy Characteristics'!$C:$C,0)))</f>
        <v>% reduction in cost</v>
      </c>
      <c r="P1418" s="275" t="str">
        <f>IF(ISBLANK(INDEX('Policy Characteristics'!J:J,MATCH($C1418,'Policy Characteristics'!$C:$C,0))),"",INDEX('Policy Characteristics'!J:J,MATCH($C1418,'Policy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8" s="275" t="str">
        <f>IF(ISBLANK(INDEX('Policy Characteristics'!K:K,MATCH($C1418,'Policy Characteristics'!$C:$C,0))),"",INDEX('Policy Characteristics'!K:K,MATCH($C1418,'Policy Characteristics'!$C:$C,0)))</f>
        <v>architectural-design.html#rnd</v>
      </c>
      <c r="R1418" s="275" t="str">
        <f>IF(ISBLANK(INDEX('Policy Characteristics'!L:L,MATCH($C1418,'Policy Characteristics'!$C:$C,0))),"",INDEX('Policy Characteristics'!L:L,MATCH($C1418,'Policy Characteristics'!$C:$C,0)))</f>
        <v>research-and-development.html</v>
      </c>
    </row>
    <row r="1419" spans="1:18" x14ac:dyDescent="0.25">
      <c r="A1419" s="275" t="str">
        <f>IF(ISBLANK(INDEX('Policy Characteristics'!A:A,MATCH($C1419,'Policy Characteristics'!$C:$C,0))),"",INDEX('Policy Characteristics'!A:A,MATCH($C1419,'Policy Characteristics'!$C:$C,0)))</f>
        <v>Research and Development</v>
      </c>
      <c r="B1419" s="284" t="str">
        <f>IF(ISBLANK(INDEX('Policy Characteristics'!B:B,MATCH($C1419,'Policy Characteristics'!$C:$C,0))),"",INDEX('Policy Characteristics'!B:B,MATCH($C1419,'Policy Characteristics'!$C:$C,0)))</f>
        <v>Capital Cost Reduction</v>
      </c>
      <c r="C1419" s="275" t="str">
        <f t="shared" si="64"/>
        <v>RnD Transportation Capital Cost Perc Reduction</v>
      </c>
      <c r="D1419" s="47" t="s">
        <v>2512</v>
      </c>
      <c r="E1419" s="47"/>
      <c r="F1419" s="47" t="s">
        <v>2796</v>
      </c>
      <c r="G1419" s="47"/>
      <c r="H1419" s="44">
        <v>113</v>
      </c>
      <c r="I1419" s="346" t="s">
        <v>43</v>
      </c>
      <c r="J1419" s="276" t="str">
        <f>IF(ISBLANK(INDEX('Policy Characteristics'!D:D,MATCH($C1419,'Policy Characteristics'!$C:$C,0))),"",INDEX('Policy Characteristics'!D:D,MATCH($C1419,'Policy Characteristics'!$C:$C,0)))</f>
        <v>R&amp;D Capital Cost Reductions</v>
      </c>
      <c r="K1419" s="275" t="str">
        <f>IF(ISBLANK(INDEX('Policy Characteristics'!E:E,MATCH($C1419,'Policy Characteristics'!$C:$C,0))),"",INDEX('Policy Characteristics'!E:E,MATCH($C1419,'Policy Characteristics'!$C:$C,0)))</f>
        <v>RnD transportation capital cost reduction</v>
      </c>
      <c r="L1419" s="283">
        <f>IF(ISBLANK(INDEX('Policy Characteristics'!F:F,MATCH($C1419,'Policy Characteristics'!$C:$C,0))),"",INDEX('Policy Characteristics'!F:F,MATCH($C1419,'Policy Characteristics'!$C:$C,0)))</f>
        <v>0</v>
      </c>
      <c r="M1419" s="283">
        <f>IF(ISBLANK(INDEX('Policy Characteristics'!G:G,MATCH($C1419,'Policy Characteristics'!$C:$C,0))),"",INDEX('Policy Characteristics'!G:G,MATCH($C1419,'Policy Characteristics'!$C:$C,0)))</f>
        <v>0.4</v>
      </c>
      <c r="N1419" s="283">
        <f>IF(ISBLANK(INDEX('Policy Characteristics'!H:H,MATCH($C1419,'Policy Characteristics'!$C:$C,0))),"",INDEX('Policy Characteristics'!H:H,MATCH($C1419,'Policy Characteristics'!$C:$C,0)))</f>
        <v>0.01</v>
      </c>
      <c r="O1419" s="275" t="str">
        <f>IF(ISBLANK(INDEX('Policy Characteristics'!I:I,MATCH($C1419,'Policy Characteristics'!$C:$C,0))),"",INDEX('Policy Characteristics'!I:I,MATCH($C1419,'Policy Characteristics'!$C:$C,0)))</f>
        <v>% reduction in cost</v>
      </c>
      <c r="P1419" s="275" t="str">
        <f>IF(ISBLANK(INDEX('Policy Characteristics'!J:J,MATCH($C1419,'Policy Characteristics'!$C:$C,0))),"",INDEX('Policy Characteristics'!J:J,MATCH($C1419,'Policy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9" s="275" t="str">
        <f>IF(ISBLANK(INDEX('Policy Characteristics'!K:K,MATCH($C1419,'Policy Characteristics'!$C:$C,0))),"",INDEX('Policy Characteristics'!K:K,MATCH($C1419,'Policy Characteristics'!$C:$C,0)))</f>
        <v>architectural-design.html#rnd</v>
      </c>
      <c r="R1419" s="275" t="str">
        <f>IF(ISBLANK(INDEX('Policy Characteristics'!L:L,MATCH($C1419,'Policy Characteristics'!$C:$C,0))),"",INDEX('Policy Characteristics'!L:L,MATCH($C1419,'Policy Characteristics'!$C:$C,0)))</f>
        <v>research-and-development.html</v>
      </c>
    </row>
    <row r="1420" spans="1:18" x14ac:dyDescent="0.25">
      <c r="A1420" s="275" t="str">
        <f>IF(ISBLANK(INDEX('Policy Characteristics'!A:A,MATCH($C1420,'Policy Characteristics'!$C:$C,0))),"",INDEX('Policy Characteristics'!A:A,MATCH($C1420,'Policy Characteristics'!$C:$C,0)))</f>
        <v>Research and Development</v>
      </c>
      <c r="B1420" s="284" t="str">
        <f>IF(ISBLANK(INDEX('Policy Characteristics'!B:B,MATCH($C1420,'Policy Characteristics'!$C:$C,0))),"",INDEX('Policy Characteristics'!B:B,MATCH($C1420,'Policy Characteristics'!$C:$C,0)))</f>
        <v>Capital Cost Reduction</v>
      </c>
      <c r="C1420" s="275" t="str">
        <f t="shared" si="64"/>
        <v>RnD Transportation Capital Cost Perc Reduction</v>
      </c>
      <c r="D1420" s="47" t="s">
        <v>2511</v>
      </c>
      <c r="E1420" s="47"/>
      <c r="F1420" s="47" t="s">
        <v>2797</v>
      </c>
      <c r="G1420" s="47"/>
      <c r="H1420" s="44">
        <v>523</v>
      </c>
      <c r="I1420" s="346" t="s">
        <v>43</v>
      </c>
      <c r="J1420" s="276" t="str">
        <f>IF(ISBLANK(INDEX('Policy Characteristics'!D:D,MATCH($C1420,'Policy Characteristics'!$C:$C,0))),"",INDEX('Policy Characteristics'!D:D,MATCH($C1420,'Policy Characteristics'!$C:$C,0)))</f>
        <v>R&amp;D Capital Cost Reductions</v>
      </c>
      <c r="K1420" s="275" t="str">
        <f>IF(ISBLANK(INDEX('Policy Characteristics'!E:E,MATCH($C1420,'Policy Characteristics'!$C:$C,0))),"",INDEX('Policy Characteristics'!E:E,MATCH($C1420,'Policy Characteristics'!$C:$C,0)))</f>
        <v>RnD transportation capital cost reduction</v>
      </c>
      <c r="L1420" s="283">
        <f>IF(ISBLANK(INDEX('Policy Characteristics'!F:F,MATCH($C1420,'Policy Characteristics'!$C:$C,0))),"",INDEX('Policy Characteristics'!F:F,MATCH($C1420,'Policy Characteristics'!$C:$C,0)))</f>
        <v>0</v>
      </c>
      <c r="M1420" s="283">
        <f>IF(ISBLANK(INDEX('Policy Characteristics'!G:G,MATCH($C1420,'Policy Characteristics'!$C:$C,0))),"",INDEX('Policy Characteristics'!G:G,MATCH($C1420,'Policy Characteristics'!$C:$C,0)))</f>
        <v>0.4</v>
      </c>
      <c r="N1420" s="283">
        <f>IF(ISBLANK(INDEX('Policy Characteristics'!H:H,MATCH($C1420,'Policy Characteristics'!$C:$C,0))),"",INDEX('Policy Characteristics'!H:H,MATCH($C1420,'Policy Characteristics'!$C:$C,0)))</f>
        <v>0.01</v>
      </c>
      <c r="O1420" s="275" t="str">
        <f>IF(ISBLANK(INDEX('Policy Characteristics'!I:I,MATCH($C1420,'Policy Characteristics'!$C:$C,0))),"",INDEX('Policy Characteristics'!I:I,MATCH($C1420,'Policy Characteristics'!$C:$C,0)))</f>
        <v>% reduction in cost</v>
      </c>
      <c r="P1420" s="275" t="str">
        <f>IF(ISBLANK(INDEX('Policy Characteristics'!J:J,MATCH($C1420,'Policy Characteristics'!$C:$C,0))),"",INDEX('Policy Characteristics'!J:J,MATCH($C1420,'Policy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0" s="275" t="str">
        <f>IF(ISBLANK(INDEX('Policy Characteristics'!K:K,MATCH($C1420,'Policy Characteristics'!$C:$C,0))),"",INDEX('Policy Characteristics'!K:K,MATCH($C1420,'Policy Characteristics'!$C:$C,0)))</f>
        <v>architectural-design.html#rnd</v>
      </c>
      <c r="R1420" s="275" t="str">
        <f>IF(ISBLANK(INDEX('Policy Characteristics'!L:L,MATCH($C1420,'Policy Characteristics'!$C:$C,0))),"",INDEX('Policy Characteristics'!L:L,MATCH($C1420,'Policy Characteristics'!$C:$C,0)))</f>
        <v>research-and-development.html</v>
      </c>
    </row>
    <row r="1421" spans="1:18" s="2" customFormat="1" x14ac:dyDescent="0.25">
      <c r="A1421" s="275" t="str">
        <f>IF(ISBLANK(INDEX('Policy Characteristics'!A:A,MATCH($C1421,'Policy Characteristics'!$C:$C,0))),"",INDEX('Policy Characteristics'!A:A,MATCH($C1421,'Policy Characteristics'!$C:$C,0)))</f>
        <v>Research and Development</v>
      </c>
      <c r="B1421" s="284" t="str">
        <f>IF(ISBLANK(INDEX('Policy Characteristics'!B:B,MATCH($C1421,'Policy Characteristics'!$C:$C,0))),"",INDEX('Policy Characteristics'!B:B,MATCH($C1421,'Policy Characteristics'!$C:$C,0)))</f>
        <v>Direct Air Capture</v>
      </c>
      <c r="C1421" s="339" t="s">
        <v>2807</v>
      </c>
      <c r="D1421" s="6"/>
      <c r="E1421" s="6"/>
      <c r="F1421" s="6"/>
      <c r="G1421" s="6"/>
      <c r="H1421" s="49">
        <v>525</v>
      </c>
      <c r="I1421" s="347" t="s">
        <v>43</v>
      </c>
      <c r="J1421" s="276" t="str">
        <f>IF(ISBLANK(INDEX('Policy Characteristics'!D:D,MATCH($C1421,'Policy Characteristics'!$C:$C,0))),"",INDEX('Policy Characteristics'!D:D,MATCH($C1421,'Policy Characteristics'!$C:$C,0)))</f>
        <v>Direct Air Capture</v>
      </c>
      <c r="K1421" s="275" t="str">
        <f>IF(ISBLANK(INDEX('Policy Characteristics'!E:E,MATCH($C1421,'Policy Characteristics'!$C:$C,0))),"",INDEX('Policy Characteristics'!E:E,MATCH($C1421,'Policy Characteristics'!$C:$C,0)))</f>
        <v>geoeng direct air capture</v>
      </c>
      <c r="L1421" s="283">
        <f>IF(ISBLANK(INDEX('Policy Characteristics'!F:F,MATCH($C1421,'Policy Characteristics'!$C:$C,0))),"",INDEX('Policy Characteristics'!F:F,MATCH($C1421,'Policy Characteristics'!$C:$C,0)))</f>
        <v>0</v>
      </c>
      <c r="M1421" s="283">
        <f>IF(ISBLANK(INDEX('Policy Characteristics'!G:G,MATCH($C1421,'Policy Characteristics'!$C:$C,0))),"",INDEX('Policy Characteristics'!G:G,MATCH($C1421,'Policy Characteristics'!$C:$C,0)))</f>
        <v>1</v>
      </c>
      <c r="N1421" s="283">
        <f>IF(ISBLANK(INDEX('Policy Characteristics'!H:H,MATCH($C1421,'Policy Characteristics'!$C:$C,0))),"",INDEX('Policy Characteristics'!H:H,MATCH($C1421,'Policy Characteristics'!$C:$C,0)))</f>
        <v>0.01</v>
      </c>
      <c r="O1421" s="275" t="str">
        <f>IF(ISBLANK(INDEX('Policy Characteristics'!I:I,MATCH($C1421,'Policy Characteristics'!$C:$C,0))),"",INDEX('Policy Characteristics'!I:I,MATCH($C1421,'Policy Characteristics'!$C:$C,0)))</f>
        <v>% of potential achieved</v>
      </c>
      <c r="P1421" s="275" t="str">
        <f>IF(ISBLANK(INDEX('Policy Characteristics'!J:J,MATCH($C1421,'Policy Characteristics'!$C:$C,0))),"",INDEX('Policy Characteristics'!J:J,MATCH($C1421,'Policy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421" s="275" t="str">
        <f>IF(ISBLANK(INDEX('Policy Characteristics'!K:K,MATCH($C1421,'Policy Characteristics'!$C:$C,0))),"",INDEX('Policy Characteristics'!K:K,MATCH($C1421,'Policy Characteristics'!$C:$C,0)))</f>
        <v>direct-air-capture.html#dac</v>
      </c>
      <c r="R1421" s="275" t="str">
        <f>IF(ISBLANK(INDEX('Policy Characteristics'!L:L,MATCH($C1421,'Policy Characteristics'!$C:$C,0))),"",INDEX('Policy Characteristics'!L:L,MATCH($C1421,'Policy Characteristics'!$C:$C,0)))</f>
        <v>direct-air-capture.html</v>
      </c>
    </row>
    <row r="1422" spans="1:18" x14ac:dyDescent="0.25">
      <c r="A1422" s="275" t="str">
        <f>IF(ISBLANK(INDEX('Policy Characteristics'!A:A,MATCH($C1422,'Policy Characteristics'!$C:$C,0))),"",INDEX('Policy Characteristics'!A:A,MATCH($C1422,'Policy Characteristics'!$C:$C,0)))</f>
        <v>Research and Development</v>
      </c>
      <c r="B1422" s="284" t="str">
        <f>IF(ISBLANK(INDEX('Policy Characteristics'!B:B,MATCH($C1422,'Policy Characteristics'!$C:$C,0))),"",INDEX('Policy Characteristics'!B:B,MATCH($C1422,'Policy Characteristics'!$C:$C,0)))</f>
        <v>Fuel Use Reduction</v>
      </c>
      <c r="C1422" t="s">
        <v>294</v>
      </c>
      <c r="D1422" s="47" t="s">
        <v>115</v>
      </c>
      <c r="E1422" s="47"/>
      <c r="F1422" s="47" t="s">
        <v>316</v>
      </c>
      <c r="G1422" s="47"/>
      <c r="H1422" s="44">
        <v>114</v>
      </c>
      <c r="I1422" s="346" t="s">
        <v>43</v>
      </c>
      <c r="J1422" s="276" t="str">
        <f>IF(ISBLANK(INDEX('Policy Characteristics'!D:D,MATCH($C1422,'Policy Characteristics'!$C:$C,0))),"",INDEX('Policy Characteristics'!D:D,MATCH($C1422,'Policy Characteristics'!$C:$C,0)))</f>
        <v>R&amp;D Fuel Use Reductions</v>
      </c>
      <c r="K1422" s="275" t="str">
        <f>IF(ISBLANK(INDEX('Policy Characteristics'!E:E,MATCH($C1422,'Policy Characteristics'!$C:$C,0))),"",INDEX('Policy Characteristics'!E:E,MATCH($C1422,'Policy Characteristics'!$C:$C,0)))</f>
        <v>RnD building fuel use reduction</v>
      </c>
      <c r="L1422" s="283">
        <f>IF(ISBLANK(INDEX('Policy Characteristics'!F:F,MATCH($C1422,'Policy Characteristics'!$C:$C,0))),"",INDEX('Policy Characteristics'!F:F,MATCH($C1422,'Policy Characteristics'!$C:$C,0)))</f>
        <v>0</v>
      </c>
      <c r="M1422" s="283">
        <f>IF(ISBLANK(INDEX('Policy Characteristics'!G:G,MATCH($C1422,'Policy Characteristics'!$C:$C,0))),"",INDEX('Policy Characteristics'!G:G,MATCH($C1422,'Policy Characteristics'!$C:$C,0)))</f>
        <v>0.4</v>
      </c>
      <c r="N1422" s="283">
        <f>IF(ISBLANK(INDEX('Policy Characteristics'!H:H,MATCH($C1422,'Policy Characteristics'!$C:$C,0))),"",INDEX('Policy Characteristics'!H:H,MATCH($C1422,'Policy Characteristics'!$C:$C,0)))</f>
        <v>0.01</v>
      </c>
      <c r="O1422" s="275" t="str">
        <f>IF(ISBLANK(INDEX('Policy Characteristics'!I:I,MATCH($C1422,'Policy Characteristics'!$C:$C,0))),"",INDEX('Policy Characteristics'!I:I,MATCH($C1422,'Policy Characteristics'!$C:$C,0)))</f>
        <v>% reduction in fuel use</v>
      </c>
      <c r="P1422" s="275" t="str">
        <f>IF(ISBLANK(INDEX('Policy Characteristics'!J:J,MATCH($C1422,'Policy Characteristics'!$C:$C,0))),"",INDEX('Policy Characteristics'!J:J,MATCH($C1422,'Policy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2" s="275" t="str">
        <f>IF(ISBLANK(INDEX('Policy Characteristics'!K:K,MATCH($C1422,'Policy Characteristics'!$C:$C,0))),"",INDEX('Policy Characteristics'!K:K,MATCH($C1422,'Policy Characteristics'!$C:$C,0)))</f>
        <v>architectural-design.html#rnd</v>
      </c>
      <c r="R1422" s="275" t="str">
        <f>IF(ISBLANK(INDEX('Policy Characteristics'!L:L,MATCH($C1422,'Policy Characteristics'!$C:$C,0))),"",INDEX('Policy Characteristics'!L:L,MATCH($C1422,'Policy Characteristics'!$C:$C,0)))</f>
        <v>research-and-development.html</v>
      </c>
    </row>
    <row r="1423" spans="1:18" x14ac:dyDescent="0.25">
      <c r="A1423" s="275" t="str">
        <f>IF(ISBLANK(INDEX('Policy Characteristics'!A:A,MATCH($C1423,'Policy Characteristics'!$C:$C,0))),"",INDEX('Policy Characteristics'!A:A,MATCH($C1423,'Policy Characteristics'!$C:$C,0)))</f>
        <v>Research and Development</v>
      </c>
      <c r="B1423" s="284" t="str">
        <f>IF(ISBLANK(INDEX('Policy Characteristics'!B:B,MATCH($C1423,'Policy Characteristics'!$C:$C,0))),"",INDEX('Policy Characteristics'!B:B,MATCH($C1423,'Policy Characteristics'!$C:$C,0)))</f>
        <v>Fuel Use Reduction</v>
      </c>
      <c r="C1423" s="275" t="str">
        <f t="shared" ref="C1423:C1427" si="65">C$1422</f>
        <v>RnD Building Fuel Use Perc Reduction</v>
      </c>
      <c r="D1423" s="47" t="s">
        <v>116</v>
      </c>
      <c r="E1423" s="47"/>
      <c r="F1423" s="47" t="s">
        <v>317</v>
      </c>
      <c r="G1423" s="47"/>
      <c r="H1423" s="44">
        <v>115</v>
      </c>
      <c r="I1423" s="346" t="s">
        <v>43</v>
      </c>
      <c r="J1423" s="276" t="str">
        <f>IF(ISBLANK(INDEX('Policy Characteristics'!D:D,MATCH($C1423,'Policy Characteristics'!$C:$C,0))),"",INDEX('Policy Characteristics'!D:D,MATCH($C1423,'Policy Characteristics'!$C:$C,0)))</f>
        <v>R&amp;D Fuel Use Reductions</v>
      </c>
      <c r="K1423" s="275" t="str">
        <f>IF(ISBLANK(INDEX('Policy Characteristics'!E:E,MATCH($C1423,'Policy Characteristics'!$C:$C,0))),"",INDEX('Policy Characteristics'!E:E,MATCH($C1423,'Policy Characteristics'!$C:$C,0)))</f>
        <v>RnD building fuel use reduction</v>
      </c>
      <c r="L1423" s="283">
        <f>IF(ISBLANK(INDEX('Policy Characteristics'!F:F,MATCH($C1423,'Policy Characteristics'!$C:$C,0))),"",INDEX('Policy Characteristics'!F:F,MATCH($C1423,'Policy Characteristics'!$C:$C,0)))</f>
        <v>0</v>
      </c>
      <c r="M1423" s="283">
        <f>IF(ISBLANK(INDEX('Policy Characteristics'!G:G,MATCH($C1423,'Policy Characteristics'!$C:$C,0))),"",INDEX('Policy Characteristics'!G:G,MATCH($C1423,'Policy Characteristics'!$C:$C,0)))</f>
        <v>0.4</v>
      </c>
      <c r="N1423" s="283">
        <f>IF(ISBLANK(INDEX('Policy Characteristics'!H:H,MATCH($C1423,'Policy Characteristics'!$C:$C,0))),"",INDEX('Policy Characteristics'!H:H,MATCH($C1423,'Policy Characteristics'!$C:$C,0)))</f>
        <v>0.01</v>
      </c>
      <c r="O1423" s="275" t="str">
        <f>IF(ISBLANK(INDEX('Policy Characteristics'!I:I,MATCH($C1423,'Policy Characteristics'!$C:$C,0))),"",INDEX('Policy Characteristics'!I:I,MATCH($C1423,'Policy Characteristics'!$C:$C,0)))</f>
        <v>% reduction in fuel use</v>
      </c>
      <c r="P1423" s="275" t="str">
        <f>IF(ISBLANK(INDEX('Policy Characteristics'!J:J,MATCH($C1423,'Policy Characteristics'!$C:$C,0))),"",INDEX('Policy Characteristics'!J:J,MATCH($C1423,'Policy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3" s="275" t="str">
        <f>IF(ISBLANK(INDEX('Policy Characteristics'!K:K,MATCH($C1423,'Policy Characteristics'!$C:$C,0))),"",INDEX('Policy Characteristics'!K:K,MATCH($C1423,'Policy Characteristics'!$C:$C,0)))</f>
        <v>architectural-design.html#rnd</v>
      </c>
      <c r="R1423" s="275" t="str">
        <f>IF(ISBLANK(INDEX('Policy Characteristics'!L:L,MATCH($C1423,'Policy Characteristics'!$C:$C,0))),"",INDEX('Policy Characteristics'!L:L,MATCH($C1423,'Policy Characteristics'!$C:$C,0)))</f>
        <v>research-and-development.html</v>
      </c>
    </row>
    <row r="1424" spans="1:18" x14ac:dyDescent="0.25">
      <c r="A1424" s="275" t="str">
        <f>IF(ISBLANK(INDEX('Policy Characteristics'!A:A,MATCH($C1424,'Policy Characteristics'!$C:$C,0))),"",INDEX('Policy Characteristics'!A:A,MATCH($C1424,'Policy Characteristics'!$C:$C,0)))</f>
        <v>Research and Development</v>
      </c>
      <c r="B1424" s="284" t="str">
        <f>IF(ISBLANK(INDEX('Policy Characteristics'!B:B,MATCH($C1424,'Policy Characteristics'!$C:$C,0))),"",INDEX('Policy Characteristics'!B:B,MATCH($C1424,'Policy Characteristics'!$C:$C,0)))</f>
        <v>Fuel Use Reduction</v>
      </c>
      <c r="C1424" s="275" t="str">
        <f t="shared" si="65"/>
        <v>RnD Building Fuel Use Perc Reduction</v>
      </c>
      <c r="D1424" s="47" t="s">
        <v>117</v>
      </c>
      <c r="E1424" s="47"/>
      <c r="F1424" s="47" t="s">
        <v>318</v>
      </c>
      <c r="G1424" s="47"/>
      <c r="H1424" s="44">
        <v>750</v>
      </c>
      <c r="I1424" s="346" t="s">
        <v>44</v>
      </c>
      <c r="J1424" s="276" t="str">
        <f>IF(ISBLANK(INDEX('Policy Characteristics'!D:D,MATCH($C1424,'Policy Characteristics'!$C:$C,0))),"",INDEX('Policy Characteristics'!D:D,MATCH($C1424,'Policy Characteristics'!$C:$C,0)))</f>
        <v>R&amp;D Fuel Use Reductions</v>
      </c>
      <c r="K1424" s="275" t="str">
        <f>IF(ISBLANK(INDEX('Policy Characteristics'!E:E,MATCH($C1424,'Policy Characteristics'!$C:$C,0))),"",INDEX('Policy Characteristics'!E:E,MATCH($C1424,'Policy Characteristics'!$C:$C,0)))</f>
        <v>RnD building fuel use reduction</v>
      </c>
      <c r="L1424" s="283">
        <f>IF(ISBLANK(INDEX('Policy Characteristics'!F:F,MATCH($C1424,'Policy Characteristics'!$C:$C,0))),"",INDEX('Policy Characteristics'!F:F,MATCH($C1424,'Policy Characteristics'!$C:$C,0)))</f>
        <v>0</v>
      </c>
      <c r="M1424" s="283">
        <f>IF(ISBLANK(INDEX('Policy Characteristics'!G:G,MATCH($C1424,'Policy Characteristics'!$C:$C,0))),"",INDEX('Policy Characteristics'!G:G,MATCH($C1424,'Policy Characteristics'!$C:$C,0)))</f>
        <v>0.4</v>
      </c>
      <c r="N1424" s="283">
        <f>IF(ISBLANK(INDEX('Policy Characteristics'!H:H,MATCH($C1424,'Policy Characteristics'!$C:$C,0))),"",INDEX('Policy Characteristics'!H:H,MATCH($C1424,'Policy Characteristics'!$C:$C,0)))</f>
        <v>0.01</v>
      </c>
      <c r="O1424" s="275" t="str">
        <f>IF(ISBLANK(INDEX('Policy Characteristics'!I:I,MATCH($C1424,'Policy Characteristics'!$C:$C,0))),"",INDEX('Policy Characteristics'!I:I,MATCH($C1424,'Policy Characteristics'!$C:$C,0)))</f>
        <v>% reduction in fuel use</v>
      </c>
      <c r="P1424" s="275" t="str">
        <f>IF(ISBLANK(INDEX('Policy Characteristics'!J:J,MATCH($C1424,'Policy Characteristics'!$C:$C,0))),"",INDEX('Policy Characteristics'!J:J,MATCH($C1424,'Policy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4" s="275" t="str">
        <f>IF(ISBLANK(INDEX('Policy Characteristics'!K:K,MATCH($C1424,'Policy Characteristics'!$C:$C,0))),"",INDEX('Policy Characteristics'!K:K,MATCH($C1424,'Policy Characteristics'!$C:$C,0)))</f>
        <v>architectural-design.html#rnd</v>
      </c>
      <c r="R1424" s="275" t="str">
        <f>IF(ISBLANK(INDEX('Policy Characteristics'!L:L,MATCH($C1424,'Policy Characteristics'!$C:$C,0))),"",INDEX('Policy Characteristics'!L:L,MATCH($C1424,'Policy Characteristics'!$C:$C,0)))</f>
        <v>research-and-development.html</v>
      </c>
    </row>
    <row r="1425" spans="1:18" x14ac:dyDescent="0.25">
      <c r="A1425" s="275" t="str">
        <f>IF(ISBLANK(INDEX('Policy Characteristics'!A:A,MATCH($C1425,'Policy Characteristics'!$C:$C,0))),"",INDEX('Policy Characteristics'!A:A,MATCH($C1425,'Policy Characteristics'!$C:$C,0)))</f>
        <v>Research and Development</v>
      </c>
      <c r="B1425" s="284" t="str">
        <f>IF(ISBLANK(INDEX('Policy Characteristics'!B:B,MATCH($C1425,'Policy Characteristics'!$C:$C,0))),"",INDEX('Policy Characteristics'!B:B,MATCH($C1425,'Policy Characteristics'!$C:$C,0)))</f>
        <v>Fuel Use Reduction</v>
      </c>
      <c r="C1425" s="275" t="str">
        <f t="shared" si="65"/>
        <v>RnD Building Fuel Use Perc Reduction</v>
      </c>
      <c r="D1425" s="47" t="s">
        <v>118</v>
      </c>
      <c r="E1425" s="47"/>
      <c r="F1425" s="47" t="s">
        <v>319</v>
      </c>
      <c r="G1425" s="47"/>
      <c r="H1425" s="44">
        <v>117</v>
      </c>
      <c r="I1425" s="346" t="s">
        <v>43</v>
      </c>
      <c r="J1425" s="276" t="str">
        <f>IF(ISBLANK(INDEX('Policy Characteristics'!D:D,MATCH($C1425,'Policy Characteristics'!$C:$C,0))),"",INDEX('Policy Characteristics'!D:D,MATCH($C1425,'Policy Characteristics'!$C:$C,0)))</f>
        <v>R&amp;D Fuel Use Reductions</v>
      </c>
      <c r="K1425" s="275" t="str">
        <f>IF(ISBLANK(INDEX('Policy Characteristics'!E:E,MATCH($C1425,'Policy Characteristics'!$C:$C,0))),"",INDEX('Policy Characteristics'!E:E,MATCH($C1425,'Policy Characteristics'!$C:$C,0)))</f>
        <v>RnD building fuel use reduction</v>
      </c>
      <c r="L1425" s="283">
        <f>IF(ISBLANK(INDEX('Policy Characteristics'!F:F,MATCH($C1425,'Policy Characteristics'!$C:$C,0))),"",INDEX('Policy Characteristics'!F:F,MATCH($C1425,'Policy Characteristics'!$C:$C,0)))</f>
        <v>0</v>
      </c>
      <c r="M1425" s="283">
        <f>IF(ISBLANK(INDEX('Policy Characteristics'!G:G,MATCH($C1425,'Policy Characteristics'!$C:$C,0))),"",INDEX('Policy Characteristics'!G:G,MATCH($C1425,'Policy Characteristics'!$C:$C,0)))</f>
        <v>0.4</v>
      </c>
      <c r="N1425" s="283">
        <f>IF(ISBLANK(INDEX('Policy Characteristics'!H:H,MATCH($C1425,'Policy Characteristics'!$C:$C,0))),"",INDEX('Policy Characteristics'!H:H,MATCH($C1425,'Policy Characteristics'!$C:$C,0)))</f>
        <v>0.01</v>
      </c>
      <c r="O1425" s="275" t="str">
        <f>IF(ISBLANK(INDEX('Policy Characteristics'!I:I,MATCH($C1425,'Policy Characteristics'!$C:$C,0))),"",INDEX('Policy Characteristics'!I:I,MATCH($C1425,'Policy Characteristics'!$C:$C,0)))</f>
        <v>% reduction in fuel use</v>
      </c>
      <c r="P1425" s="275" t="str">
        <f>IF(ISBLANK(INDEX('Policy Characteristics'!J:J,MATCH($C1425,'Policy Characteristics'!$C:$C,0))),"",INDEX('Policy Characteristics'!J:J,MATCH($C1425,'Policy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5" s="275" t="str">
        <f>IF(ISBLANK(INDEX('Policy Characteristics'!K:K,MATCH($C1425,'Policy Characteristics'!$C:$C,0))),"",INDEX('Policy Characteristics'!K:K,MATCH($C1425,'Policy Characteristics'!$C:$C,0)))</f>
        <v>architectural-design.html#rnd</v>
      </c>
      <c r="R1425" s="275" t="str">
        <f>IF(ISBLANK(INDEX('Policy Characteristics'!L:L,MATCH($C1425,'Policy Characteristics'!$C:$C,0))),"",INDEX('Policy Characteristics'!L:L,MATCH($C1425,'Policy Characteristics'!$C:$C,0)))</f>
        <v>research-and-development.html</v>
      </c>
    </row>
    <row r="1426" spans="1:18" x14ac:dyDescent="0.25">
      <c r="A1426" s="275" t="str">
        <f>IF(ISBLANK(INDEX('Policy Characteristics'!A:A,MATCH($C1426,'Policy Characteristics'!$C:$C,0))),"",INDEX('Policy Characteristics'!A:A,MATCH($C1426,'Policy Characteristics'!$C:$C,0)))</f>
        <v>Research and Development</v>
      </c>
      <c r="B1426" s="284" t="str">
        <f>IF(ISBLANK(INDEX('Policy Characteristics'!B:B,MATCH($C1426,'Policy Characteristics'!$C:$C,0))),"",INDEX('Policy Characteristics'!B:B,MATCH($C1426,'Policy Characteristics'!$C:$C,0)))</f>
        <v>Fuel Use Reduction</v>
      </c>
      <c r="C1426" s="275" t="str">
        <f t="shared" si="65"/>
        <v>RnD Building Fuel Use Perc Reduction</v>
      </c>
      <c r="D1426" s="47" t="s">
        <v>119</v>
      </c>
      <c r="E1426" s="47"/>
      <c r="F1426" s="47" t="s">
        <v>320</v>
      </c>
      <c r="G1426" s="47"/>
      <c r="H1426" s="44">
        <v>118</v>
      </c>
      <c r="I1426" s="346" t="s">
        <v>43</v>
      </c>
      <c r="J1426" s="276" t="str">
        <f>IF(ISBLANK(INDEX('Policy Characteristics'!D:D,MATCH($C1426,'Policy Characteristics'!$C:$C,0))),"",INDEX('Policy Characteristics'!D:D,MATCH($C1426,'Policy Characteristics'!$C:$C,0)))</f>
        <v>R&amp;D Fuel Use Reductions</v>
      </c>
      <c r="K1426" s="275" t="str">
        <f>IF(ISBLANK(INDEX('Policy Characteristics'!E:E,MATCH($C1426,'Policy Characteristics'!$C:$C,0))),"",INDEX('Policy Characteristics'!E:E,MATCH($C1426,'Policy Characteristics'!$C:$C,0)))</f>
        <v>RnD building fuel use reduction</v>
      </c>
      <c r="L1426" s="283">
        <f>IF(ISBLANK(INDEX('Policy Characteristics'!F:F,MATCH($C1426,'Policy Characteristics'!$C:$C,0))),"",INDEX('Policy Characteristics'!F:F,MATCH($C1426,'Policy Characteristics'!$C:$C,0)))</f>
        <v>0</v>
      </c>
      <c r="M1426" s="283">
        <f>IF(ISBLANK(INDEX('Policy Characteristics'!G:G,MATCH($C1426,'Policy Characteristics'!$C:$C,0))),"",INDEX('Policy Characteristics'!G:G,MATCH($C1426,'Policy Characteristics'!$C:$C,0)))</f>
        <v>0.4</v>
      </c>
      <c r="N1426" s="283">
        <f>IF(ISBLANK(INDEX('Policy Characteristics'!H:H,MATCH($C1426,'Policy Characteristics'!$C:$C,0))),"",INDEX('Policy Characteristics'!H:H,MATCH($C1426,'Policy Characteristics'!$C:$C,0)))</f>
        <v>0.01</v>
      </c>
      <c r="O1426" s="275" t="str">
        <f>IF(ISBLANK(INDEX('Policy Characteristics'!I:I,MATCH($C1426,'Policy Characteristics'!$C:$C,0))),"",INDEX('Policy Characteristics'!I:I,MATCH($C1426,'Policy Characteristics'!$C:$C,0)))</f>
        <v>% reduction in fuel use</v>
      </c>
      <c r="P1426" s="275" t="str">
        <f>IF(ISBLANK(INDEX('Policy Characteristics'!J:J,MATCH($C1426,'Policy Characteristics'!$C:$C,0))),"",INDEX('Policy Characteristics'!J:J,MATCH($C1426,'Policy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6" s="275" t="str">
        <f>IF(ISBLANK(INDEX('Policy Characteristics'!K:K,MATCH($C1426,'Policy Characteristics'!$C:$C,0))),"",INDEX('Policy Characteristics'!K:K,MATCH($C1426,'Policy Characteristics'!$C:$C,0)))</f>
        <v>architectural-design.html#rnd</v>
      </c>
      <c r="R1426" s="275" t="str">
        <f>IF(ISBLANK(INDEX('Policy Characteristics'!L:L,MATCH($C1426,'Policy Characteristics'!$C:$C,0))),"",INDEX('Policy Characteristics'!L:L,MATCH($C1426,'Policy Characteristics'!$C:$C,0)))</f>
        <v>research-and-development.html</v>
      </c>
    </row>
    <row r="1427" spans="1:18" x14ac:dyDescent="0.25">
      <c r="A1427" s="275" t="str">
        <f>IF(ISBLANK(INDEX('Policy Characteristics'!A:A,MATCH($C1427,'Policy Characteristics'!$C:$C,0))),"",INDEX('Policy Characteristics'!A:A,MATCH($C1427,'Policy Characteristics'!$C:$C,0)))</f>
        <v>Research and Development</v>
      </c>
      <c r="B1427" s="284" t="str">
        <f>IF(ISBLANK(INDEX('Policy Characteristics'!B:B,MATCH($C1427,'Policy Characteristics'!$C:$C,0))),"",INDEX('Policy Characteristics'!B:B,MATCH($C1427,'Policy Characteristics'!$C:$C,0)))</f>
        <v>Fuel Use Reduction</v>
      </c>
      <c r="C1427" s="275" t="str">
        <f t="shared" si="65"/>
        <v>RnD Building Fuel Use Perc Reduction</v>
      </c>
      <c r="D1427" s="47" t="s">
        <v>120</v>
      </c>
      <c r="E1427" s="47"/>
      <c r="F1427" s="47" t="s">
        <v>321</v>
      </c>
      <c r="G1427" s="47"/>
      <c r="H1427" s="44">
        <v>119</v>
      </c>
      <c r="I1427" s="346" t="s">
        <v>43</v>
      </c>
      <c r="J1427" s="276" t="str">
        <f>IF(ISBLANK(INDEX('Policy Characteristics'!D:D,MATCH($C1427,'Policy Characteristics'!$C:$C,0))),"",INDEX('Policy Characteristics'!D:D,MATCH($C1427,'Policy Characteristics'!$C:$C,0)))</f>
        <v>R&amp;D Fuel Use Reductions</v>
      </c>
      <c r="K1427" s="275" t="str">
        <f>IF(ISBLANK(INDEX('Policy Characteristics'!E:E,MATCH($C1427,'Policy Characteristics'!$C:$C,0))),"",INDEX('Policy Characteristics'!E:E,MATCH($C1427,'Policy Characteristics'!$C:$C,0)))</f>
        <v>RnD building fuel use reduction</v>
      </c>
      <c r="L1427" s="283">
        <f>IF(ISBLANK(INDEX('Policy Characteristics'!F:F,MATCH($C1427,'Policy Characteristics'!$C:$C,0))),"",INDEX('Policy Characteristics'!F:F,MATCH($C1427,'Policy Characteristics'!$C:$C,0)))</f>
        <v>0</v>
      </c>
      <c r="M1427" s="283">
        <f>IF(ISBLANK(INDEX('Policy Characteristics'!G:G,MATCH($C1427,'Policy Characteristics'!$C:$C,0))),"",INDEX('Policy Characteristics'!G:G,MATCH($C1427,'Policy Characteristics'!$C:$C,0)))</f>
        <v>0.4</v>
      </c>
      <c r="N1427" s="283">
        <f>IF(ISBLANK(INDEX('Policy Characteristics'!H:H,MATCH($C1427,'Policy Characteristics'!$C:$C,0))),"",INDEX('Policy Characteristics'!H:H,MATCH($C1427,'Policy Characteristics'!$C:$C,0)))</f>
        <v>0.01</v>
      </c>
      <c r="O1427" s="275" t="str">
        <f>IF(ISBLANK(INDEX('Policy Characteristics'!I:I,MATCH($C1427,'Policy Characteristics'!$C:$C,0))),"",INDEX('Policy Characteristics'!I:I,MATCH($C1427,'Policy Characteristics'!$C:$C,0)))</f>
        <v>% reduction in fuel use</v>
      </c>
      <c r="P1427" s="275" t="str">
        <f>IF(ISBLANK(INDEX('Policy Characteristics'!J:J,MATCH($C1427,'Policy Characteristics'!$C:$C,0))),"",INDEX('Policy Characteristics'!J:J,MATCH($C1427,'Policy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7" s="275" t="str">
        <f>IF(ISBLANK(INDEX('Policy Characteristics'!K:K,MATCH($C1427,'Policy Characteristics'!$C:$C,0))),"",INDEX('Policy Characteristics'!K:K,MATCH($C1427,'Policy Characteristics'!$C:$C,0)))</f>
        <v>architectural-design.html#rnd</v>
      </c>
      <c r="R1427" s="275" t="str">
        <f>IF(ISBLANK(INDEX('Policy Characteristics'!L:L,MATCH($C1427,'Policy Characteristics'!$C:$C,0))),"",INDEX('Policy Characteristics'!L:L,MATCH($C1427,'Policy Characteristics'!$C:$C,0)))</f>
        <v>research-and-development.html</v>
      </c>
    </row>
    <row r="1428" spans="1:18" x14ac:dyDescent="0.25">
      <c r="A1428" s="275" t="str">
        <f>IF(ISBLANK(INDEX('Policy Characteristics'!A:A,MATCH($C1428,'Policy Characteristics'!$C:$C,0))),"",INDEX('Policy Characteristics'!A:A,MATCH($C1428,'Policy Characteristics'!$C:$C,0)))</f>
        <v>Research and Development</v>
      </c>
      <c r="B1428" s="284" t="str">
        <f>IF(ISBLANK(INDEX('Policy Characteristics'!B:B,MATCH($C1428,'Policy Characteristics'!$C:$C,0))),"",INDEX('Policy Characteristics'!B:B,MATCH($C1428,'Policy Characteristics'!$C:$C,0)))</f>
        <v>Fuel Use Reduction</v>
      </c>
      <c r="C1428" t="s">
        <v>295</v>
      </c>
      <c r="D1428" s="47"/>
      <c r="E1428" s="47"/>
      <c r="F1428" s="47" t="s">
        <v>26</v>
      </c>
      <c r="G1428" s="47"/>
      <c r="H1428" s="44">
        <v>120</v>
      </c>
      <c r="I1428" s="346" t="s">
        <v>43</v>
      </c>
      <c r="J1428" s="276" t="str">
        <f>IF(ISBLANK(INDEX('Policy Characteristics'!D:D,MATCH($C1428,'Policy Characteristics'!$C:$C,0))),"",INDEX('Policy Characteristics'!D:D,MATCH($C1428,'Policy Characteristics'!$C:$C,0)))</f>
        <v>R&amp;D Fuel Use Reductions</v>
      </c>
      <c r="K1428" s="275" t="str">
        <f>IF(ISBLANK(INDEX('Policy Characteristics'!E:E,MATCH($C1428,'Policy Characteristics'!$C:$C,0))),"",INDEX('Policy Characteristics'!E:E,MATCH($C1428,'Policy Characteristics'!$C:$C,0)))</f>
        <v>RnD CCS fuel use reduction</v>
      </c>
      <c r="L1428" s="283">
        <f>IF(ISBLANK(INDEX('Policy Characteristics'!F:F,MATCH($C1428,'Policy Characteristics'!$C:$C,0))),"",INDEX('Policy Characteristics'!F:F,MATCH($C1428,'Policy Characteristics'!$C:$C,0)))</f>
        <v>0</v>
      </c>
      <c r="M1428" s="283">
        <f>IF(ISBLANK(INDEX('Policy Characteristics'!G:G,MATCH($C1428,'Policy Characteristics'!$C:$C,0))),"",INDEX('Policy Characteristics'!G:G,MATCH($C1428,'Policy Characteristics'!$C:$C,0)))</f>
        <v>0.4</v>
      </c>
      <c r="N1428" s="283">
        <f>IF(ISBLANK(INDEX('Policy Characteristics'!H:H,MATCH($C1428,'Policy Characteristics'!$C:$C,0))),"",INDEX('Policy Characteristics'!H:H,MATCH($C1428,'Policy Characteristics'!$C:$C,0)))</f>
        <v>0.01</v>
      </c>
      <c r="O1428" s="275" t="str">
        <f>IF(ISBLANK(INDEX('Policy Characteristics'!I:I,MATCH($C1428,'Policy Characteristics'!$C:$C,0))),"",INDEX('Policy Characteristics'!I:I,MATCH($C1428,'Policy Characteristics'!$C:$C,0)))</f>
        <v>% reduction in fuel use</v>
      </c>
      <c r="P1428" s="275" t="str">
        <f>IF(ISBLANK(INDEX('Policy Characteristics'!J:J,MATCH($C1428,'Policy Characteristics'!$C:$C,0))),"",INDEX('Policy Characteristics'!J:J,MATCH($C1428,'Policy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8" s="275" t="str">
        <f>IF(ISBLANK(INDEX('Policy Characteristics'!K:K,MATCH($C1428,'Policy Characteristics'!$C:$C,0))),"",INDEX('Policy Characteristics'!K:K,MATCH($C1428,'Policy Characteristics'!$C:$C,0)))</f>
        <v>architectural-design.html#rnd</v>
      </c>
      <c r="R1428" s="275" t="str">
        <f>IF(ISBLANK(INDEX('Policy Characteristics'!L:L,MATCH($C1428,'Policy Characteristics'!$C:$C,0))),"",INDEX('Policy Characteristics'!L:L,MATCH($C1428,'Policy Characteristics'!$C:$C,0)))</f>
        <v>research-and-development.html</v>
      </c>
    </row>
    <row r="1429" spans="1:18" x14ac:dyDescent="0.25">
      <c r="A1429" s="275" t="str">
        <f>IF(ISBLANK(INDEX('Policy Characteristics'!A:A,MATCH($C1429,'Policy Characteristics'!$C:$C,0))),"",INDEX('Policy Characteristics'!A:A,MATCH($C1429,'Policy Characteristics'!$C:$C,0)))</f>
        <v>Research and Development</v>
      </c>
      <c r="B1429" s="284" t="str">
        <f>IF(ISBLANK(INDEX('Policy Characteristics'!B:B,MATCH($C1429,'Policy Characteristics'!$C:$C,0))),"",INDEX('Policy Characteristics'!B:B,MATCH($C1429,'Policy Characteristics'!$C:$C,0)))</f>
        <v>Fuel Use Reduction</v>
      </c>
      <c r="C1429" t="s">
        <v>296</v>
      </c>
      <c r="D1429" s="47" t="s">
        <v>448</v>
      </c>
      <c r="E1429" s="47"/>
      <c r="F1429" s="47" t="s">
        <v>451</v>
      </c>
      <c r="G1429" s="47"/>
      <c r="H1429" s="44">
        <v>121</v>
      </c>
      <c r="I1429" s="346" t="s">
        <v>43</v>
      </c>
      <c r="J1429" s="276" t="str">
        <f>IF(ISBLANK(INDEX('Policy Characteristics'!D:D,MATCH($C1429,'Policy Characteristics'!$C:$C,0))),"",INDEX('Policy Characteristics'!D:D,MATCH($C1429,'Policy Characteristics'!$C:$C,0)))</f>
        <v>R&amp;D Fuel Use Reductions</v>
      </c>
      <c r="K1429" s="275" t="str">
        <f>IF(ISBLANK(INDEX('Policy Characteristics'!E:E,MATCH($C1429,'Policy Characteristics'!$C:$C,0))),"",INDEX('Policy Characteristics'!E:E,MATCH($C1429,'Policy Characteristics'!$C:$C,0)))</f>
        <v>RnD electricity fuel use reduction</v>
      </c>
      <c r="L1429" s="283">
        <f>IF(ISBLANK(INDEX('Policy Characteristics'!F:F,MATCH($C1429,'Policy Characteristics'!$C:$C,0))),"",INDEX('Policy Characteristics'!F:F,MATCH($C1429,'Policy Characteristics'!$C:$C,0)))</f>
        <v>0</v>
      </c>
      <c r="M1429" s="283">
        <f>IF(ISBLANK(INDEX('Policy Characteristics'!G:G,MATCH($C1429,'Policy Characteristics'!$C:$C,0))),"",INDEX('Policy Characteristics'!G:G,MATCH($C1429,'Policy Characteristics'!$C:$C,0)))</f>
        <v>0.4</v>
      </c>
      <c r="N1429" s="283">
        <f>IF(ISBLANK(INDEX('Policy Characteristics'!H:H,MATCH($C1429,'Policy Characteristics'!$C:$C,0))),"",INDEX('Policy Characteristics'!H:H,MATCH($C1429,'Policy Characteristics'!$C:$C,0)))</f>
        <v>0.01</v>
      </c>
      <c r="O1429" s="275" t="str">
        <f>IF(ISBLANK(INDEX('Policy Characteristics'!I:I,MATCH($C1429,'Policy Characteristics'!$C:$C,0))),"",INDEX('Policy Characteristics'!I:I,MATCH($C1429,'Policy Characteristics'!$C:$C,0)))</f>
        <v>% reduction in fuel use</v>
      </c>
      <c r="P1429" s="275" t="str">
        <f>IF(ISBLANK(INDEX('Policy Characteristics'!J:J,MATCH($C1429,'Policy Characteristics'!$C:$C,0))),"",INDEX('Policy Characteristics'!J:J,MATCH($C1429,'Policy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9" s="275" t="str">
        <f>IF(ISBLANK(INDEX('Policy Characteristics'!K:K,MATCH($C1429,'Policy Characteristics'!$C:$C,0))),"",INDEX('Policy Characteristics'!K:K,MATCH($C1429,'Policy Characteristics'!$C:$C,0)))</f>
        <v>architectural-design.html#rnd</v>
      </c>
      <c r="R1429" s="275" t="str">
        <f>IF(ISBLANK(INDEX('Policy Characteristics'!L:L,MATCH($C1429,'Policy Characteristics'!$C:$C,0))),"",INDEX('Policy Characteristics'!L:L,MATCH($C1429,'Policy Characteristics'!$C:$C,0)))</f>
        <v>research-and-development.html</v>
      </c>
    </row>
    <row r="1430" spans="1:18" x14ac:dyDescent="0.25">
      <c r="A1430" s="275" t="str">
        <f>IF(ISBLANK(INDEX('Policy Characteristics'!A:A,MATCH($C1430,'Policy Characteristics'!$C:$C,0))),"",INDEX('Policy Characteristics'!A:A,MATCH($C1430,'Policy Characteristics'!$C:$C,0)))</f>
        <v>Research and Development</v>
      </c>
      <c r="B1430" s="284" t="str">
        <f>IF(ISBLANK(INDEX('Policy Characteristics'!B:B,MATCH($C1430,'Policy Characteristics'!$C:$C,0))),"",INDEX('Policy Characteristics'!B:B,MATCH($C1430,'Policy Characteristics'!$C:$C,0)))</f>
        <v>Fuel Use Reduction</v>
      </c>
      <c r="C1430" s="275" t="str">
        <f t="shared" ref="C1430:C1437" si="66">C$1429</f>
        <v>RnD Electricity Fuel Use Perc Reduction</v>
      </c>
      <c r="D1430" s="6" t="s">
        <v>3520</v>
      </c>
      <c r="E1430" s="47"/>
      <c r="F1430" s="6" t="s">
        <v>3533</v>
      </c>
      <c r="G1430" s="47"/>
      <c r="H1430" s="44">
        <v>122</v>
      </c>
      <c r="I1430" s="346" t="s">
        <v>43</v>
      </c>
      <c r="J1430" s="276" t="str">
        <f>IF(ISBLANK(INDEX('Policy Characteristics'!D:D,MATCH($C1430,'Policy Characteristics'!$C:$C,0))),"",INDEX('Policy Characteristics'!D:D,MATCH($C1430,'Policy Characteristics'!$C:$C,0)))</f>
        <v>R&amp;D Fuel Use Reductions</v>
      </c>
      <c r="K1430" s="275" t="str">
        <f>IF(ISBLANK(INDEX('Policy Characteristics'!E:E,MATCH($C1430,'Policy Characteristics'!$C:$C,0))),"",INDEX('Policy Characteristics'!E:E,MATCH($C1430,'Policy Characteristics'!$C:$C,0)))</f>
        <v>RnD electricity fuel use reduction</v>
      </c>
      <c r="L1430" s="283">
        <f>IF(ISBLANK(INDEX('Policy Characteristics'!F:F,MATCH($C1430,'Policy Characteristics'!$C:$C,0))),"",INDEX('Policy Characteristics'!F:F,MATCH($C1430,'Policy Characteristics'!$C:$C,0)))</f>
        <v>0</v>
      </c>
      <c r="M1430" s="283">
        <f>IF(ISBLANK(INDEX('Policy Characteristics'!G:G,MATCH($C1430,'Policy Characteristics'!$C:$C,0))),"",INDEX('Policy Characteristics'!G:G,MATCH($C1430,'Policy Characteristics'!$C:$C,0)))</f>
        <v>0.4</v>
      </c>
      <c r="N1430" s="283">
        <f>IF(ISBLANK(INDEX('Policy Characteristics'!H:H,MATCH($C1430,'Policy Characteristics'!$C:$C,0))),"",INDEX('Policy Characteristics'!H:H,MATCH($C1430,'Policy Characteristics'!$C:$C,0)))</f>
        <v>0.01</v>
      </c>
      <c r="O1430" s="275" t="str">
        <f>IF(ISBLANK(INDEX('Policy Characteristics'!I:I,MATCH($C1430,'Policy Characteristics'!$C:$C,0))),"",INDEX('Policy Characteristics'!I:I,MATCH($C1430,'Policy Characteristics'!$C:$C,0)))</f>
        <v>% reduction in fuel use</v>
      </c>
      <c r="P1430" s="275" t="str">
        <f>IF(ISBLANK(INDEX('Policy Characteristics'!J:J,MATCH($C1430,'Policy Characteristics'!$C:$C,0))),"",INDEX('Policy Characteristics'!J:J,MATCH($C1430,'Policy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0" s="275" t="str">
        <f>IF(ISBLANK(INDEX('Policy Characteristics'!K:K,MATCH($C1430,'Policy Characteristics'!$C:$C,0))),"",INDEX('Policy Characteristics'!K:K,MATCH($C1430,'Policy Characteristics'!$C:$C,0)))</f>
        <v>architectural-design.html#rnd</v>
      </c>
      <c r="R1430" s="275" t="str">
        <f>IF(ISBLANK(INDEX('Policy Characteristics'!L:L,MATCH($C1430,'Policy Characteristics'!$C:$C,0))),"",INDEX('Policy Characteristics'!L:L,MATCH($C1430,'Policy Characteristics'!$C:$C,0)))</f>
        <v>research-and-development.html</v>
      </c>
    </row>
    <row r="1431" spans="1:18" x14ac:dyDescent="0.25">
      <c r="A1431" s="275" t="str">
        <f>IF(ISBLANK(INDEX('Policy Characteristics'!A:A,MATCH($C1431,'Policy Characteristics'!$C:$C,0))),"",INDEX('Policy Characteristics'!A:A,MATCH($C1431,'Policy Characteristics'!$C:$C,0)))</f>
        <v>Research and Development</v>
      </c>
      <c r="B1431" s="284" t="str">
        <f>IF(ISBLANK(INDEX('Policy Characteristics'!B:B,MATCH($C1431,'Policy Characteristics'!$C:$C,0))),"",INDEX('Policy Characteristics'!B:B,MATCH($C1431,'Policy Characteristics'!$C:$C,0)))</f>
        <v>Fuel Use Reduction</v>
      </c>
      <c r="C1431" s="275" t="str">
        <f t="shared" si="66"/>
        <v>RnD Electricity Fuel Use Perc Reduction</v>
      </c>
      <c r="D1431" s="6" t="s">
        <v>3521</v>
      </c>
      <c r="E1431" s="47"/>
      <c r="F1431" s="6" t="s">
        <v>3534</v>
      </c>
      <c r="G1431" s="47"/>
      <c r="H1431" s="44">
        <v>123</v>
      </c>
      <c r="I1431" s="346" t="s">
        <v>43</v>
      </c>
      <c r="J1431" s="276" t="str">
        <f>IF(ISBLANK(INDEX('Policy Characteristics'!D:D,MATCH($C1431,'Policy Characteristics'!$C:$C,0))),"",INDEX('Policy Characteristics'!D:D,MATCH($C1431,'Policy Characteristics'!$C:$C,0)))</f>
        <v>R&amp;D Fuel Use Reductions</v>
      </c>
      <c r="K1431" s="275" t="str">
        <f>IF(ISBLANK(INDEX('Policy Characteristics'!E:E,MATCH($C1431,'Policy Characteristics'!$C:$C,0))),"",INDEX('Policy Characteristics'!E:E,MATCH($C1431,'Policy Characteristics'!$C:$C,0)))</f>
        <v>RnD electricity fuel use reduction</v>
      </c>
      <c r="L1431" s="283">
        <f>IF(ISBLANK(INDEX('Policy Characteristics'!F:F,MATCH($C1431,'Policy Characteristics'!$C:$C,0))),"",INDEX('Policy Characteristics'!F:F,MATCH($C1431,'Policy Characteristics'!$C:$C,0)))</f>
        <v>0</v>
      </c>
      <c r="M1431" s="283">
        <f>IF(ISBLANK(INDEX('Policy Characteristics'!G:G,MATCH($C1431,'Policy Characteristics'!$C:$C,0))),"",INDEX('Policy Characteristics'!G:G,MATCH($C1431,'Policy Characteristics'!$C:$C,0)))</f>
        <v>0.4</v>
      </c>
      <c r="N1431" s="283">
        <f>IF(ISBLANK(INDEX('Policy Characteristics'!H:H,MATCH($C1431,'Policy Characteristics'!$C:$C,0))),"",INDEX('Policy Characteristics'!H:H,MATCH($C1431,'Policy Characteristics'!$C:$C,0)))</f>
        <v>0.01</v>
      </c>
      <c r="O1431" s="275" t="str">
        <f>IF(ISBLANK(INDEX('Policy Characteristics'!I:I,MATCH($C1431,'Policy Characteristics'!$C:$C,0))),"",INDEX('Policy Characteristics'!I:I,MATCH($C1431,'Policy Characteristics'!$C:$C,0)))</f>
        <v>% reduction in fuel use</v>
      </c>
      <c r="P1431" s="275" t="str">
        <f>IF(ISBLANK(INDEX('Policy Characteristics'!J:J,MATCH($C1431,'Policy Characteristics'!$C:$C,0))),"",INDEX('Policy Characteristics'!J:J,MATCH($C1431,'Policy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1" s="275" t="str">
        <f>IF(ISBLANK(INDEX('Policy Characteristics'!K:K,MATCH($C1431,'Policy Characteristics'!$C:$C,0))),"",INDEX('Policy Characteristics'!K:K,MATCH($C1431,'Policy Characteristics'!$C:$C,0)))</f>
        <v>architectural-design.html#rnd</v>
      </c>
      <c r="R1431" s="275" t="str">
        <f>IF(ISBLANK(INDEX('Policy Characteristics'!L:L,MATCH($C1431,'Policy Characteristics'!$C:$C,0))),"",INDEX('Policy Characteristics'!L:L,MATCH($C1431,'Policy Characteristics'!$C:$C,0)))</f>
        <v>research-and-development.html</v>
      </c>
    </row>
    <row r="1432" spans="1:18" x14ac:dyDescent="0.25">
      <c r="A1432" s="275" t="str">
        <f>IF(ISBLANK(INDEX('Policy Characteristics'!A:A,MATCH($C1432,'Policy Characteristics'!$C:$C,0))),"",INDEX('Policy Characteristics'!A:A,MATCH($C1432,'Policy Characteristics'!$C:$C,0)))</f>
        <v>Research and Development</v>
      </c>
      <c r="B1432" s="284" t="str">
        <f>IF(ISBLANK(INDEX('Policy Characteristics'!B:B,MATCH($C1432,'Policy Characteristics'!$C:$C,0))),"",INDEX('Policy Characteristics'!B:B,MATCH($C1432,'Policy Characteristics'!$C:$C,0)))</f>
        <v>Fuel Use Reduction</v>
      </c>
      <c r="C1432" s="275" t="str">
        <f t="shared" si="66"/>
        <v>RnD Electricity Fuel Use Perc Reduction</v>
      </c>
      <c r="D1432" s="6" t="s">
        <v>76</v>
      </c>
      <c r="E1432" s="47"/>
      <c r="F1432" s="6" t="s">
        <v>3535</v>
      </c>
      <c r="G1432" s="47"/>
      <c r="H1432" s="44">
        <v>751</v>
      </c>
      <c r="I1432" s="346" t="s">
        <v>44</v>
      </c>
      <c r="J1432" s="276" t="str">
        <f>IF(ISBLANK(INDEX('Policy Characteristics'!D:D,MATCH($C1432,'Policy Characteristics'!$C:$C,0))),"",INDEX('Policy Characteristics'!D:D,MATCH($C1432,'Policy Characteristics'!$C:$C,0)))</f>
        <v>R&amp;D Fuel Use Reductions</v>
      </c>
      <c r="K1432" s="275" t="str">
        <f>IF(ISBLANK(INDEX('Policy Characteristics'!E:E,MATCH($C1432,'Policy Characteristics'!$C:$C,0))),"",INDEX('Policy Characteristics'!E:E,MATCH($C1432,'Policy Characteristics'!$C:$C,0)))</f>
        <v>RnD electricity fuel use reduction</v>
      </c>
      <c r="L1432" s="283">
        <f>IF(ISBLANK(INDEX('Policy Characteristics'!F:F,MATCH($C1432,'Policy Characteristics'!$C:$C,0))),"",INDEX('Policy Characteristics'!F:F,MATCH($C1432,'Policy Characteristics'!$C:$C,0)))</f>
        <v>0</v>
      </c>
      <c r="M1432" s="283">
        <f>IF(ISBLANK(INDEX('Policy Characteristics'!G:G,MATCH($C1432,'Policy Characteristics'!$C:$C,0))),"",INDEX('Policy Characteristics'!G:G,MATCH($C1432,'Policy Characteristics'!$C:$C,0)))</f>
        <v>0.4</v>
      </c>
      <c r="N1432" s="283">
        <f>IF(ISBLANK(INDEX('Policy Characteristics'!H:H,MATCH($C1432,'Policy Characteristics'!$C:$C,0))),"",INDEX('Policy Characteristics'!H:H,MATCH($C1432,'Policy Characteristics'!$C:$C,0)))</f>
        <v>0.01</v>
      </c>
      <c r="O1432" s="275" t="str">
        <f>IF(ISBLANK(INDEX('Policy Characteristics'!I:I,MATCH($C1432,'Policy Characteristics'!$C:$C,0))),"",INDEX('Policy Characteristics'!I:I,MATCH($C1432,'Policy Characteristics'!$C:$C,0)))</f>
        <v>% reduction in fuel use</v>
      </c>
      <c r="P1432" s="275" t="str">
        <f>IF(ISBLANK(INDEX('Policy Characteristics'!J:J,MATCH($C1432,'Policy Characteristics'!$C:$C,0))),"",INDEX('Policy Characteristics'!J:J,MATCH($C1432,'Policy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2" s="275" t="str">
        <f>IF(ISBLANK(INDEX('Policy Characteristics'!K:K,MATCH($C1432,'Policy Characteristics'!$C:$C,0))),"",INDEX('Policy Characteristics'!K:K,MATCH($C1432,'Policy Characteristics'!$C:$C,0)))</f>
        <v>architectural-design.html#rnd</v>
      </c>
      <c r="R1432" s="275" t="str">
        <f>IF(ISBLANK(INDEX('Policy Characteristics'!L:L,MATCH($C1432,'Policy Characteristics'!$C:$C,0))),"",INDEX('Policy Characteristics'!L:L,MATCH($C1432,'Policy Characteristics'!$C:$C,0)))</f>
        <v>research-and-development.html</v>
      </c>
    </row>
    <row r="1433" spans="1:18" x14ac:dyDescent="0.25">
      <c r="A1433" s="275" t="str">
        <f>IF(ISBLANK(INDEX('Policy Characteristics'!A:A,MATCH($C1433,'Policy Characteristics'!$C:$C,0))),"",INDEX('Policy Characteristics'!A:A,MATCH($C1433,'Policy Characteristics'!$C:$C,0)))</f>
        <v>Research and Development</v>
      </c>
      <c r="B1433" s="284" t="str">
        <f>IF(ISBLANK(INDEX('Policy Characteristics'!B:B,MATCH($C1433,'Policy Characteristics'!$C:$C,0))),"",INDEX('Policy Characteristics'!B:B,MATCH($C1433,'Policy Characteristics'!$C:$C,0)))</f>
        <v>Fuel Use Reduction</v>
      </c>
      <c r="C1433" s="275" t="str">
        <f t="shared" si="66"/>
        <v>RnD Electricity Fuel Use Perc Reduction</v>
      </c>
      <c r="D1433" s="6" t="s">
        <v>77</v>
      </c>
      <c r="E1433" s="47"/>
      <c r="F1433" s="6" t="s">
        <v>322</v>
      </c>
      <c r="G1433" s="47"/>
      <c r="H1433" s="44">
        <v>752</v>
      </c>
      <c r="I1433" s="346" t="s">
        <v>44</v>
      </c>
      <c r="J1433" s="276" t="str">
        <f>IF(ISBLANK(INDEX('Policy Characteristics'!D:D,MATCH($C1433,'Policy Characteristics'!$C:$C,0))),"",INDEX('Policy Characteristics'!D:D,MATCH($C1433,'Policy Characteristics'!$C:$C,0)))</f>
        <v>R&amp;D Fuel Use Reductions</v>
      </c>
      <c r="K1433" s="275" t="str">
        <f>IF(ISBLANK(INDEX('Policy Characteristics'!E:E,MATCH($C1433,'Policy Characteristics'!$C:$C,0))),"",INDEX('Policy Characteristics'!E:E,MATCH($C1433,'Policy Characteristics'!$C:$C,0)))</f>
        <v>RnD electricity fuel use reduction</v>
      </c>
      <c r="L1433" s="283">
        <f>IF(ISBLANK(INDEX('Policy Characteristics'!F:F,MATCH($C1433,'Policy Characteristics'!$C:$C,0))),"",INDEX('Policy Characteristics'!F:F,MATCH($C1433,'Policy Characteristics'!$C:$C,0)))</f>
        <v>0</v>
      </c>
      <c r="M1433" s="283">
        <f>IF(ISBLANK(INDEX('Policy Characteristics'!G:G,MATCH($C1433,'Policy Characteristics'!$C:$C,0))),"",INDEX('Policy Characteristics'!G:G,MATCH($C1433,'Policy Characteristics'!$C:$C,0)))</f>
        <v>0.4</v>
      </c>
      <c r="N1433" s="283">
        <f>IF(ISBLANK(INDEX('Policy Characteristics'!H:H,MATCH($C1433,'Policy Characteristics'!$C:$C,0))),"",INDEX('Policy Characteristics'!H:H,MATCH($C1433,'Policy Characteristics'!$C:$C,0)))</f>
        <v>0.01</v>
      </c>
      <c r="O1433" s="275" t="str">
        <f>IF(ISBLANK(INDEX('Policy Characteristics'!I:I,MATCH($C1433,'Policy Characteristics'!$C:$C,0))),"",INDEX('Policy Characteristics'!I:I,MATCH($C1433,'Policy Characteristics'!$C:$C,0)))</f>
        <v>% reduction in fuel use</v>
      </c>
      <c r="P1433" s="275" t="str">
        <f>IF(ISBLANK(INDEX('Policy Characteristics'!J:J,MATCH($C1433,'Policy Characteristics'!$C:$C,0))),"",INDEX('Policy Characteristics'!J:J,MATCH($C1433,'Policy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3" s="275" t="str">
        <f>IF(ISBLANK(INDEX('Policy Characteristics'!K:K,MATCH($C1433,'Policy Characteristics'!$C:$C,0))),"",INDEX('Policy Characteristics'!K:K,MATCH($C1433,'Policy Characteristics'!$C:$C,0)))</f>
        <v>architectural-design.html#rnd</v>
      </c>
      <c r="R1433" s="275" t="str">
        <f>IF(ISBLANK(INDEX('Policy Characteristics'!L:L,MATCH($C1433,'Policy Characteristics'!$C:$C,0))),"",INDEX('Policy Characteristics'!L:L,MATCH($C1433,'Policy Characteristics'!$C:$C,0)))</f>
        <v>research-and-development.html</v>
      </c>
    </row>
    <row r="1434" spans="1:18" x14ac:dyDescent="0.25">
      <c r="A1434" s="275" t="str">
        <f>IF(ISBLANK(INDEX('Policy Characteristics'!A:A,MATCH($C1434,'Policy Characteristics'!$C:$C,0))),"",INDEX('Policy Characteristics'!A:A,MATCH($C1434,'Policy Characteristics'!$C:$C,0)))</f>
        <v>Research and Development</v>
      </c>
      <c r="B1434" s="284" t="str">
        <f>IF(ISBLANK(INDEX('Policy Characteristics'!B:B,MATCH($C1434,'Policy Characteristics'!$C:$C,0))),"",INDEX('Policy Characteristics'!B:B,MATCH($C1434,'Policy Characteristics'!$C:$C,0)))</f>
        <v>Fuel Use Reduction</v>
      </c>
      <c r="C1434" s="275" t="str">
        <f t="shared" si="66"/>
        <v>RnD Electricity Fuel Use Perc Reduction</v>
      </c>
      <c r="D1434" s="6" t="s">
        <v>449</v>
      </c>
      <c r="E1434" s="47"/>
      <c r="F1434" s="6" t="s">
        <v>453</v>
      </c>
      <c r="G1434" s="47"/>
      <c r="H1434" s="44">
        <v>753</v>
      </c>
      <c r="I1434" s="346" t="s">
        <v>44</v>
      </c>
      <c r="J1434" s="276" t="str">
        <f>IF(ISBLANK(INDEX('Policy Characteristics'!D:D,MATCH($C1434,'Policy Characteristics'!$C:$C,0))),"",INDEX('Policy Characteristics'!D:D,MATCH($C1434,'Policy Characteristics'!$C:$C,0)))</f>
        <v>R&amp;D Fuel Use Reductions</v>
      </c>
      <c r="K1434" s="275" t="str">
        <f>IF(ISBLANK(INDEX('Policy Characteristics'!E:E,MATCH($C1434,'Policy Characteristics'!$C:$C,0))),"",INDEX('Policy Characteristics'!E:E,MATCH($C1434,'Policy Characteristics'!$C:$C,0)))</f>
        <v>RnD electricity fuel use reduction</v>
      </c>
      <c r="L1434" s="283">
        <f>IF(ISBLANK(INDEX('Policy Characteristics'!F:F,MATCH($C1434,'Policy Characteristics'!$C:$C,0))),"",INDEX('Policy Characteristics'!F:F,MATCH($C1434,'Policy Characteristics'!$C:$C,0)))</f>
        <v>0</v>
      </c>
      <c r="M1434" s="283">
        <f>IF(ISBLANK(INDEX('Policy Characteristics'!G:G,MATCH($C1434,'Policy Characteristics'!$C:$C,0))),"",INDEX('Policy Characteristics'!G:G,MATCH($C1434,'Policy Characteristics'!$C:$C,0)))</f>
        <v>0.4</v>
      </c>
      <c r="N1434" s="283">
        <f>IF(ISBLANK(INDEX('Policy Characteristics'!H:H,MATCH($C1434,'Policy Characteristics'!$C:$C,0))),"",INDEX('Policy Characteristics'!H:H,MATCH($C1434,'Policy Characteristics'!$C:$C,0)))</f>
        <v>0.01</v>
      </c>
      <c r="O1434" s="275" t="str">
        <f>IF(ISBLANK(INDEX('Policy Characteristics'!I:I,MATCH($C1434,'Policy Characteristics'!$C:$C,0))),"",INDEX('Policy Characteristics'!I:I,MATCH($C1434,'Policy Characteristics'!$C:$C,0)))</f>
        <v>% reduction in fuel use</v>
      </c>
      <c r="P1434" s="275" t="str">
        <f>IF(ISBLANK(INDEX('Policy Characteristics'!J:J,MATCH($C1434,'Policy Characteristics'!$C:$C,0))),"",INDEX('Policy Characteristics'!J:J,MATCH($C1434,'Policy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4" s="275" t="str">
        <f>IF(ISBLANK(INDEX('Policy Characteristics'!K:K,MATCH($C1434,'Policy Characteristics'!$C:$C,0))),"",INDEX('Policy Characteristics'!K:K,MATCH($C1434,'Policy Characteristics'!$C:$C,0)))</f>
        <v>architectural-design.html#rnd</v>
      </c>
      <c r="R1434" s="275" t="str">
        <f>IF(ISBLANK(INDEX('Policy Characteristics'!L:L,MATCH($C1434,'Policy Characteristics'!$C:$C,0))),"",INDEX('Policy Characteristics'!L:L,MATCH($C1434,'Policy Characteristics'!$C:$C,0)))</f>
        <v>research-and-development.html</v>
      </c>
    </row>
    <row r="1435" spans="1:18" x14ac:dyDescent="0.25">
      <c r="A1435" s="275" t="str">
        <f>IF(ISBLANK(INDEX('Policy Characteristics'!A:A,MATCH($C1435,'Policy Characteristics'!$C:$C,0))),"",INDEX('Policy Characteristics'!A:A,MATCH($C1435,'Policy Characteristics'!$C:$C,0)))</f>
        <v>Research and Development</v>
      </c>
      <c r="B1435" s="284" t="str">
        <f>IF(ISBLANK(INDEX('Policy Characteristics'!B:B,MATCH($C1435,'Policy Characteristics'!$C:$C,0))),"",INDEX('Policy Characteristics'!B:B,MATCH($C1435,'Policy Characteristics'!$C:$C,0)))</f>
        <v>Fuel Use Reduction</v>
      </c>
      <c r="C1435" s="275" t="str">
        <f t="shared" si="66"/>
        <v>RnD Electricity Fuel Use Perc Reduction</v>
      </c>
      <c r="D1435" s="6" t="s">
        <v>78</v>
      </c>
      <c r="E1435" s="47"/>
      <c r="F1435" s="6" t="s">
        <v>323</v>
      </c>
      <c r="G1435" s="47"/>
      <c r="H1435" s="44">
        <v>754</v>
      </c>
      <c r="I1435" s="346" t="s">
        <v>44</v>
      </c>
      <c r="J1435" s="276" t="str">
        <f>IF(ISBLANK(INDEX('Policy Characteristics'!D:D,MATCH($C1435,'Policy Characteristics'!$C:$C,0))),"",INDEX('Policy Characteristics'!D:D,MATCH($C1435,'Policy Characteristics'!$C:$C,0)))</f>
        <v>R&amp;D Fuel Use Reductions</v>
      </c>
      <c r="K1435" s="275" t="str">
        <f>IF(ISBLANK(INDEX('Policy Characteristics'!E:E,MATCH($C1435,'Policy Characteristics'!$C:$C,0))),"",INDEX('Policy Characteristics'!E:E,MATCH($C1435,'Policy Characteristics'!$C:$C,0)))</f>
        <v>RnD electricity fuel use reduction</v>
      </c>
      <c r="L1435" s="283">
        <f>IF(ISBLANK(INDEX('Policy Characteristics'!F:F,MATCH($C1435,'Policy Characteristics'!$C:$C,0))),"",INDEX('Policy Characteristics'!F:F,MATCH($C1435,'Policy Characteristics'!$C:$C,0)))</f>
        <v>0</v>
      </c>
      <c r="M1435" s="283">
        <f>IF(ISBLANK(INDEX('Policy Characteristics'!G:G,MATCH($C1435,'Policy Characteristics'!$C:$C,0))),"",INDEX('Policy Characteristics'!G:G,MATCH($C1435,'Policy Characteristics'!$C:$C,0)))</f>
        <v>0.4</v>
      </c>
      <c r="N1435" s="283">
        <f>IF(ISBLANK(INDEX('Policy Characteristics'!H:H,MATCH($C1435,'Policy Characteristics'!$C:$C,0))),"",INDEX('Policy Characteristics'!H:H,MATCH($C1435,'Policy Characteristics'!$C:$C,0)))</f>
        <v>0.01</v>
      </c>
      <c r="O1435" s="275" t="str">
        <f>IF(ISBLANK(INDEX('Policy Characteristics'!I:I,MATCH($C1435,'Policy Characteristics'!$C:$C,0))),"",INDEX('Policy Characteristics'!I:I,MATCH($C1435,'Policy Characteristics'!$C:$C,0)))</f>
        <v>% reduction in fuel use</v>
      </c>
      <c r="P1435" s="275" t="str">
        <f>IF(ISBLANK(INDEX('Policy Characteristics'!J:J,MATCH($C1435,'Policy Characteristics'!$C:$C,0))),"",INDEX('Policy Characteristics'!J:J,MATCH($C1435,'Policy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5" s="275" t="str">
        <f>IF(ISBLANK(INDEX('Policy Characteristics'!K:K,MATCH($C1435,'Policy Characteristics'!$C:$C,0))),"",INDEX('Policy Characteristics'!K:K,MATCH($C1435,'Policy Characteristics'!$C:$C,0)))</f>
        <v>architectural-design.html#rnd</v>
      </c>
      <c r="R1435" s="275" t="str">
        <f>IF(ISBLANK(INDEX('Policy Characteristics'!L:L,MATCH($C1435,'Policy Characteristics'!$C:$C,0))),"",INDEX('Policy Characteristics'!L:L,MATCH($C1435,'Policy Characteristics'!$C:$C,0)))</f>
        <v>research-and-development.html</v>
      </c>
    </row>
    <row r="1436" spans="1:18" x14ac:dyDescent="0.25">
      <c r="A1436" s="275" t="str">
        <f>IF(ISBLANK(INDEX('Policy Characteristics'!A:A,MATCH($C1436,'Policy Characteristics'!$C:$C,0))),"",INDEX('Policy Characteristics'!A:A,MATCH($C1436,'Policy Characteristics'!$C:$C,0)))</f>
        <v>Research and Development</v>
      </c>
      <c r="B1436" s="284" t="str">
        <f>IF(ISBLANK(INDEX('Policy Characteristics'!B:B,MATCH($C1436,'Policy Characteristics'!$C:$C,0))),"",INDEX('Policy Characteristics'!B:B,MATCH($C1436,'Policy Characteristics'!$C:$C,0)))</f>
        <v>Fuel Use Reduction</v>
      </c>
      <c r="C1436" s="275" t="str">
        <f t="shared" si="66"/>
        <v>RnD Electricity Fuel Use Perc Reduction</v>
      </c>
      <c r="D1436" s="6" t="s">
        <v>79</v>
      </c>
      <c r="E1436" s="47"/>
      <c r="F1436" s="6" t="s">
        <v>324</v>
      </c>
      <c r="G1436" s="47"/>
      <c r="H1436" s="44">
        <v>124</v>
      </c>
      <c r="I1436" s="346" t="s">
        <v>44</v>
      </c>
      <c r="J1436" s="276" t="str">
        <f>IF(ISBLANK(INDEX('Policy Characteristics'!D:D,MATCH($C1436,'Policy Characteristics'!$C:$C,0))),"",INDEX('Policy Characteristics'!D:D,MATCH($C1436,'Policy Characteristics'!$C:$C,0)))</f>
        <v>R&amp;D Fuel Use Reductions</v>
      </c>
      <c r="K1436" s="275" t="str">
        <f>IF(ISBLANK(INDEX('Policy Characteristics'!E:E,MATCH($C1436,'Policy Characteristics'!$C:$C,0))),"",INDEX('Policy Characteristics'!E:E,MATCH($C1436,'Policy Characteristics'!$C:$C,0)))</f>
        <v>RnD electricity fuel use reduction</v>
      </c>
      <c r="L1436" s="283">
        <f>IF(ISBLANK(INDEX('Policy Characteristics'!F:F,MATCH($C1436,'Policy Characteristics'!$C:$C,0))),"",INDEX('Policy Characteristics'!F:F,MATCH($C1436,'Policy Characteristics'!$C:$C,0)))</f>
        <v>0</v>
      </c>
      <c r="M1436" s="283">
        <f>IF(ISBLANK(INDEX('Policy Characteristics'!G:G,MATCH($C1436,'Policy Characteristics'!$C:$C,0))),"",INDEX('Policy Characteristics'!G:G,MATCH($C1436,'Policy Characteristics'!$C:$C,0)))</f>
        <v>0.4</v>
      </c>
      <c r="N1436" s="283">
        <f>IF(ISBLANK(INDEX('Policy Characteristics'!H:H,MATCH($C1436,'Policy Characteristics'!$C:$C,0))),"",INDEX('Policy Characteristics'!H:H,MATCH($C1436,'Policy Characteristics'!$C:$C,0)))</f>
        <v>0.01</v>
      </c>
      <c r="O1436" s="275" t="str">
        <f>IF(ISBLANK(INDEX('Policy Characteristics'!I:I,MATCH($C1436,'Policy Characteristics'!$C:$C,0))),"",INDEX('Policy Characteristics'!I:I,MATCH($C1436,'Policy Characteristics'!$C:$C,0)))</f>
        <v>% reduction in fuel use</v>
      </c>
      <c r="P1436" s="275" t="str">
        <f>IF(ISBLANK(INDEX('Policy Characteristics'!J:J,MATCH($C1436,'Policy Characteristics'!$C:$C,0))),"",INDEX('Policy Characteristics'!J:J,MATCH($C1436,'Policy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6" s="275" t="str">
        <f>IF(ISBLANK(INDEX('Policy Characteristics'!K:K,MATCH($C1436,'Policy Characteristics'!$C:$C,0))),"",INDEX('Policy Characteristics'!K:K,MATCH($C1436,'Policy Characteristics'!$C:$C,0)))</f>
        <v>architectural-design.html#rnd</v>
      </c>
      <c r="R1436" s="275" t="str">
        <f>IF(ISBLANK(INDEX('Policy Characteristics'!L:L,MATCH($C1436,'Policy Characteristics'!$C:$C,0))),"",INDEX('Policy Characteristics'!L:L,MATCH($C1436,'Policy Characteristics'!$C:$C,0)))</f>
        <v>research-and-development.html</v>
      </c>
    </row>
    <row r="1437" spans="1:18" x14ac:dyDescent="0.25">
      <c r="A1437" s="275" t="str">
        <f>IF(ISBLANK(INDEX('Policy Characteristics'!A:A,MATCH($C1437,'Policy Characteristics'!$C:$C,0))),"",INDEX('Policy Characteristics'!A:A,MATCH($C1437,'Policy Characteristics'!$C:$C,0)))</f>
        <v>Research and Development</v>
      </c>
      <c r="B1437" s="284" t="str">
        <f>IF(ISBLANK(INDEX('Policy Characteristics'!B:B,MATCH($C1437,'Policy Characteristics'!$C:$C,0))),"",INDEX('Policy Characteristics'!B:B,MATCH($C1437,'Policy Characteristics'!$C:$C,0)))</f>
        <v>Fuel Use Reduction</v>
      </c>
      <c r="C1437" s="275" t="str">
        <f t="shared" si="66"/>
        <v>RnD Electricity Fuel Use Perc Reduction</v>
      </c>
      <c r="D1437" s="6" t="s">
        <v>80</v>
      </c>
      <c r="E1437" s="47"/>
      <c r="F1437" s="6" t="s">
        <v>325</v>
      </c>
      <c r="G1437" s="47"/>
      <c r="H1437" s="44">
        <v>193</v>
      </c>
      <c r="I1437" s="346" t="s">
        <v>43</v>
      </c>
      <c r="J1437" s="276" t="str">
        <f>IF(ISBLANK(INDEX('Policy Characteristics'!D:D,MATCH($C1437,'Policy Characteristics'!$C:$C,0))),"",INDEX('Policy Characteristics'!D:D,MATCH($C1437,'Policy Characteristics'!$C:$C,0)))</f>
        <v>R&amp;D Fuel Use Reductions</v>
      </c>
      <c r="K1437" s="275" t="str">
        <f>IF(ISBLANK(INDEX('Policy Characteristics'!E:E,MATCH($C1437,'Policy Characteristics'!$C:$C,0))),"",INDEX('Policy Characteristics'!E:E,MATCH($C1437,'Policy Characteristics'!$C:$C,0)))</f>
        <v>RnD electricity fuel use reduction</v>
      </c>
      <c r="L1437" s="283">
        <f>IF(ISBLANK(INDEX('Policy Characteristics'!F:F,MATCH($C1437,'Policy Characteristics'!$C:$C,0))),"",INDEX('Policy Characteristics'!F:F,MATCH($C1437,'Policy Characteristics'!$C:$C,0)))</f>
        <v>0</v>
      </c>
      <c r="M1437" s="283">
        <f>IF(ISBLANK(INDEX('Policy Characteristics'!G:G,MATCH($C1437,'Policy Characteristics'!$C:$C,0))),"",INDEX('Policy Characteristics'!G:G,MATCH($C1437,'Policy Characteristics'!$C:$C,0)))</f>
        <v>0.4</v>
      </c>
      <c r="N1437" s="283">
        <f>IF(ISBLANK(INDEX('Policy Characteristics'!H:H,MATCH($C1437,'Policy Characteristics'!$C:$C,0))),"",INDEX('Policy Characteristics'!H:H,MATCH($C1437,'Policy Characteristics'!$C:$C,0)))</f>
        <v>0.01</v>
      </c>
      <c r="O1437" s="275" t="str">
        <f>IF(ISBLANK(INDEX('Policy Characteristics'!I:I,MATCH($C1437,'Policy Characteristics'!$C:$C,0))),"",INDEX('Policy Characteristics'!I:I,MATCH($C1437,'Policy Characteristics'!$C:$C,0)))</f>
        <v>% reduction in fuel use</v>
      </c>
      <c r="P1437" s="275" t="str">
        <f>IF(ISBLANK(INDEX('Policy Characteristics'!J:J,MATCH($C1437,'Policy Characteristics'!$C:$C,0))),"",INDEX('Policy Characteristics'!J:J,MATCH($C1437,'Policy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7" s="275" t="str">
        <f>IF(ISBLANK(INDEX('Policy Characteristics'!K:K,MATCH($C1437,'Policy Characteristics'!$C:$C,0))),"",INDEX('Policy Characteristics'!K:K,MATCH($C1437,'Policy Characteristics'!$C:$C,0)))</f>
        <v>architectural-design.html#rnd</v>
      </c>
      <c r="R1437" s="275" t="str">
        <f>IF(ISBLANK(INDEX('Policy Characteristics'!L:L,MATCH($C1437,'Policy Characteristics'!$C:$C,0))),"",INDEX('Policy Characteristics'!L:L,MATCH($C1437,'Policy Characteristics'!$C:$C,0)))</f>
        <v>research-and-development.html</v>
      </c>
    </row>
    <row r="1438" spans="1:18" x14ac:dyDescent="0.25">
      <c r="A1438" s="275" t="str">
        <f>IF(ISBLANK(INDEX('Policy Characteristics'!A:A,MATCH($C1438,'Policy Characteristics'!$C:$C,0))),"",INDEX('Policy Characteristics'!A:A,MATCH($C1438,'Policy Characteristics'!$C:$C,0)))</f>
        <v>Research and Development</v>
      </c>
      <c r="B1438" s="284" t="str">
        <f>IF(ISBLANK(INDEX('Policy Characteristics'!B:B,MATCH($C1438,'Policy Characteristics'!$C:$C,0))),"",INDEX('Policy Characteristics'!B:B,MATCH($C1438,'Policy Characteristics'!$C:$C,0)))</f>
        <v>Fuel Use Reduction</v>
      </c>
      <c r="C1438" s="275" t="str">
        <f t="shared" ref="C1438:C1452" si="67">C$1429</f>
        <v>RnD Electricity Fuel Use Perc Reduction</v>
      </c>
      <c r="D1438" s="6" t="s">
        <v>2427</v>
      </c>
      <c r="E1438" s="47"/>
      <c r="F1438" s="6" t="s">
        <v>3536</v>
      </c>
      <c r="G1438" s="47"/>
      <c r="H1438" s="44">
        <v>181</v>
      </c>
      <c r="I1438" s="346" t="s">
        <v>44</v>
      </c>
      <c r="J1438" s="276" t="str">
        <f>IF(ISBLANK(INDEX('Policy Characteristics'!D:D,MATCH($C1438,'Policy Characteristics'!$C:$C,0))),"",INDEX('Policy Characteristics'!D:D,MATCH($C1438,'Policy Characteristics'!$C:$C,0)))</f>
        <v>R&amp;D Fuel Use Reductions</v>
      </c>
      <c r="K1438" s="275" t="str">
        <f>IF(ISBLANK(INDEX('Policy Characteristics'!E:E,MATCH($C1438,'Policy Characteristics'!$C:$C,0))),"",INDEX('Policy Characteristics'!E:E,MATCH($C1438,'Policy Characteristics'!$C:$C,0)))</f>
        <v>RnD electricity fuel use reduction</v>
      </c>
      <c r="L1438" s="283">
        <f>IF(ISBLANK(INDEX('Policy Characteristics'!F:F,MATCH($C1438,'Policy Characteristics'!$C:$C,0))),"",INDEX('Policy Characteristics'!F:F,MATCH($C1438,'Policy Characteristics'!$C:$C,0)))</f>
        <v>0</v>
      </c>
      <c r="M1438" s="283">
        <f>IF(ISBLANK(INDEX('Policy Characteristics'!G:G,MATCH($C1438,'Policy Characteristics'!$C:$C,0))),"",INDEX('Policy Characteristics'!G:G,MATCH($C1438,'Policy Characteristics'!$C:$C,0)))</f>
        <v>0.4</v>
      </c>
      <c r="N1438" s="283">
        <f>IF(ISBLANK(INDEX('Policy Characteristics'!H:H,MATCH($C1438,'Policy Characteristics'!$C:$C,0))),"",INDEX('Policy Characteristics'!H:H,MATCH($C1438,'Policy Characteristics'!$C:$C,0)))</f>
        <v>0.01</v>
      </c>
      <c r="O1438" s="275" t="str">
        <f>IF(ISBLANK(INDEX('Policy Characteristics'!I:I,MATCH($C1438,'Policy Characteristics'!$C:$C,0))),"",INDEX('Policy Characteristics'!I:I,MATCH($C1438,'Policy Characteristics'!$C:$C,0)))</f>
        <v>% reduction in fuel use</v>
      </c>
      <c r="P1438" s="275" t="str">
        <f>IF(ISBLANK(INDEX('Policy Characteristics'!J:J,MATCH($C1438,'Policy Characteristics'!$C:$C,0))),"",INDEX('Policy Characteristics'!J:J,MATCH($C1438,'Policy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8" s="275" t="str">
        <f>IF(ISBLANK(INDEX('Policy Characteristics'!K:K,MATCH($C1438,'Policy Characteristics'!$C:$C,0))),"",INDEX('Policy Characteristics'!K:K,MATCH($C1438,'Policy Characteristics'!$C:$C,0)))</f>
        <v>architectural-design.html#rnd</v>
      </c>
      <c r="R1438" s="275" t="str">
        <f>IF(ISBLANK(INDEX('Policy Characteristics'!L:L,MATCH($C1438,'Policy Characteristics'!$C:$C,0))),"",INDEX('Policy Characteristics'!L:L,MATCH($C1438,'Policy Characteristics'!$C:$C,0)))</f>
        <v>research-and-development.html</v>
      </c>
    </row>
    <row r="1439" spans="1:18" x14ac:dyDescent="0.25">
      <c r="A1439" s="275" t="str">
        <f>IF(ISBLANK(INDEX('Policy Characteristics'!A:A,MATCH($C1439,'Policy Characteristics'!$C:$C,0))),"",INDEX('Policy Characteristics'!A:A,MATCH($C1439,'Policy Characteristics'!$C:$C,0)))</f>
        <v>Research and Development</v>
      </c>
      <c r="B1439" s="284" t="str">
        <f>IF(ISBLANK(INDEX('Policy Characteristics'!B:B,MATCH($C1439,'Policy Characteristics'!$C:$C,0))),"",INDEX('Policy Characteristics'!B:B,MATCH($C1439,'Policy Characteristics'!$C:$C,0)))</f>
        <v>Fuel Use Reduction</v>
      </c>
      <c r="C1439" s="275" t="str">
        <f t="shared" si="67"/>
        <v>RnD Electricity Fuel Use Perc Reduction</v>
      </c>
      <c r="D1439" s="6" t="s">
        <v>309</v>
      </c>
      <c r="E1439" s="47"/>
      <c r="F1439" s="6" t="s">
        <v>3537</v>
      </c>
      <c r="G1439" s="47"/>
      <c r="H1439" s="44">
        <v>755</v>
      </c>
      <c r="I1439" s="346" t="s">
        <v>43</v>
      </c>
      <c r="J1439" s="276" t="str">
        <f>IF(ISBLANK(INDEX('Policy Characteristics'!D:D,MATCH($C1439,'Policy Characteristics'!$C:$C,0))),"",INDEX('Policy Characteristics'!D:D,MATCH($C1439,'Policy Characteristics'!$C:$C,0)))</f>
        <v>R&amp;D Fuel Use Reductions</v>
      </c>
      <c r="K1439" s="275" t="str">
        <f>IF(ISBLANK(INDEX('Policy Characteristics'!E:E,MATCH($C1439,'Policy Characteristics'!$C:$C,0))),"",INDEX('Policy Characteristics'!E:E,MATCH($C1439,'Policy Characteristics'!$C:$C,0)))</f>
        <v>RnD electricity fuel use reduction</v>
      </c>
      <c r="L1439" s="283">
        <f>IF(ISBLANK(INDEX('Policy Characteristics'!F:F,MATCH($C1439,'Policy Characteristics'!$C:$C,0))),"",INDEX('Policy Characteristics'!F:F,MATCH($C1439,'Policy Characteristics'!$C:$C,0)))</f>
        <v>0</v>
      </c>
      <c r="M1439" s="283">
        <f>IF(ISBLANK(INDEX('Policy Characteristics'!G:G,MATCH($C1439,'Policy Characteristics'!$C:$C,0))),"",INDEX('Policy Characteristics'!G:G,MATCH($C1439,'Policy Characteristics'!$C:$C,0)))</f>
        <v>0.4</v>
      </c>
      <c r="N1439" s="283">
        <f>IF(ISBLANK(INDEX('Policy Characteristics'!H:H,MATCH($C1439,'Policy Characteristics'!$C:$C,0))),"",INDEX('Policy Characteristics'!H:H,MATCH($C1439,'Policy Characteristics'!$C:$C,0)))</f>
        <v>0.01</v>
      </c>
      <c r="O1439" s="275" t="str">
        <f>IF(ISBLANK(INDEX('Policy Characteristics'!I:I,MATCH($C1439,'Policy Characteristics'!$C:$C,0))),"",INDEX('Policy Characteristics'!I:I,MATCH($C1439,'Policy Characteristics'!$C:$C,0)))</f>
        <v>% reduction in fuel use</v>
      </c>
      <c r="P1439" s="275" t="str">
        <f>IF(ISBLANK(INDEX('Policy Characteristics'!J:J,MATCH($C1439,'Policy Characteristics'!$C:$C,0))),"",INDEX('Policy Characteristics'!J:J,MATCH($C1439,'Policy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9" s="275" t="str">
        <f>IF(ISBLANK(INDEX('Policy Characteristics'!K:K,MATCH($C1439,'Policy Characteristics'!$C:$C,0))),"",INDEX('Policy Characteristics'!K:K,MATCH($C1439,'Policy Characteristics'!$C:$C,0)))</f>
        <v>architectural-design.html#rnd</v>
      </c>
      <c r="R1439" s="275" t="str">
        <f>IF(ISBLANK(INDEX('Policy Characteristics'!L:L,MATCH($C1439,'Policy Characteristics'!$C:$C,0))),"",INDEX('Policy Characteristics'!L:L,MATCH($C1439,'Policy Characteristics'!$C:$C,0)))</f>
        <v>research-and-development.html</v>
      </c>
    </row>
    <row r="1440" spans="1:18" x14ac:dyDescent="0.25">
      <c r="A1440" s="275" t="str">
        <f>IF(ISBLANK(INDEX('Policy Characteristics'!A:A,MATCH($C1440,'Policy Characteristics'!$C:$C,0))),"",INDEX('Policy Characteristics'!A:A,MATCH($C1440,'Policy Characteristics'!$C:$C,0)))</f>
        <v>Research and Development</v>
      </c>
      <c r="B1440" s="284" t="str">
        <f>IF(ISBLANK(INDEX('Policy Characteristics'!B:B,MATCH($C1440,'Policy Characteristics'!$C:$C,0))),"",INDEX('Policy Characteristics'!B:B,MATCH($C1440,'Policy Characteristics'!$C:$C,0)))</f>
        <v>Fuel Use Reduction</v>
      </c>
      <c r="C1440" s="275" t="str">
        <f t="shared" si="67"/>
        <v>RnD Electricity Fuel Use Perc Reduction</v>
      </c>
      <c r="D1440" s="6" t="s">
        <v>310</v>
      </c>
      <c r="E1440" s="47"/>
      <c r="F1440" s="6" t="s">
        <v>2258</v>
      </c>
      <c r="G1440" s="47"/>
      <c r="H1440" s="44">
        <v>1822</v>
      </c>
      <c r="I1440" s="346" t="s">
        <v>43</v>
      </c>
      <c r="J1440" s="276" t="str">
        <f>IF(ISBLANK(INDEX('Policy Characteristics'!D:D,MATCH($C1440,'Policy Characteristics'!$C:$C,0))),"",INDEX('Policy Characteristics'!D:D,MATCH($C1440,'Policy Characteristics'!$C:$C,0)))</f>
        <v>R&amp;D Fuel Use Reductions</v>
      </c>
      <c r="K1440" s="275" t="str">
        <f>IF(ISBLANK(INDEX('Policy Characteristics'!E:E,MATCH($C1440,'Policy Characteristics'!$C:$C,0))),"",INDEX('Policy Characteristics'!E:E,MATCH($C1440,'Policy Characteristics'!$C:$C,0)))</f>
        <v>RnD electricity fuel use reduction</v>
      </c>
      <c r="L1440" s="283">
        <f>IF(ISBLANK(INDEX('Policy Characteristics'!F:F,MATCH($C1440,'Policy Characteristics'!$C:$C,0))),"",INDEX('Policy Characteristics'!F:F,MATCH($C1440,'Policy Characteristics'!$C:$C,0)))</f>
        <v>0</v>
      </c>
      <c r="M1440" s="283">
        <f>IF(ISBLANK(INDEX('Policy Characteristics'!G:G,MATCH($C1440,'Policy Characteristics'!$C:$C,0))),"",INDEX('Policy Characteristics'!G:G,MATCH($C1440,'Policy Characteristics'!$C:$C,0)))</f>
        <v>0.4</v>
      </c>
      <c r="N1440" s="283">
        <f>IF(ISBLANK(INDEX('Policy Characteristics'!H:H,MATCH($C1440,'Policy Characteristics'!$C:$C,0))),"",INDEX('Policy Characteristics'!H:H,MATCH($C1440,'Policy Characteristics'!$C:$C,0)))</f>
        <v>0.01</v>
      </c>
      <c r="O1440" s="275" t="str">
        <f>IF(ISBLANK(INDEX('Policy Characteristics'!I:I,MATCH($C1440,'Policy Characteristics'!$C:$C,0))),"",INDEX('Policy Characteristics'!I:I,MATCH($C1440,'Policy Characteristics'!$C:$C,0)))</f>
        <v>% reduction in fuel use</v>
      </c>
      <c r="P1440" s="275" t="str">
        <f>IF(ISBLANK(INDEX('Policy Characteristics'!J:J,MATCH($C1440,'Policy Characteristics'!$C:$C,0))),"",INDEX('Policy Characteristics'!J:J,MATCH($C1440,'Policy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0" s="275" t="str">
        <f>IF(ISBLANK(INDEX('Policy Characteristics'!K:K,MATCH($C1440,'Policy Characteristics'!$C:$C,0))),"",INDEX('Policy Characteristics'!K:K,MATCH($C1440,'Policy Characteristics'!$C:$C,0)))</f>
        <v>architectural-design.html#rnd</v>
      </c>
      <c r="R1440" s="275" t="str">
        <f>IF(ISBLANK(INDEX('Policy Characteristics'!L:L,MATCH($C1440,'Policy Characteristics'!$C:$C,0))),"",INDEX('Policy Characteristics'!L:L,MATCH($C1440,'Policy Characteristics'!$C:$C,0)))</f>
        <v>research-and-development.html</v>
      </c>
    </row>
    <row r="1441" spans="1:18" x14ac:dyDescent="0.25">
      <c r="A1441" s="275" t="str">
        <f>IF(ISBLANK(INDEX('Policy Characteristics'!A:A,MATCH($C1441,'Policy Characteristics'!$C:$C,0))),"",INDEX('Policy Characteristics'!A:A,MATCH($C1441,'Policy Characteristics'!$C:$C,0)))</f>
        <v>Research and Development</v>
      </c>
      <c r="B1441" s="284" t="str">
        <f>IF(ISBLANK(INDEX('Policy Characteristics'!B:B,MATCH($C1441,'Policy Characteristics'!$C:$C,0))),"",INDEX('Policy Characteristics'!B:B,MATCH($C1441,'Policy Characteristics'!$C:$C,0)))</f>
        <v>Fuel Use Reduction</v>
      </c>
      <c r="C1441" s="275" t="str">
        <f t="shared" si="67"/>
        <v>RnD Electricity Fuel Use Perc Reduction</v>
      </c>
      <c r="D1441" s="6" t="s">
        <v>445</v>
      </c>
      <c r="E1441" s="47"/>
      <c r="F1441" s="6" t="s">
        <v>446</v>
      </c>
      <c r="G1441" s="47"/>
      <c r="H1441" s="44">
        <v>1823</v>
      </c>
      <c r="I1441" s="346" t="s">
        <v>43</v>
      </c>
      <c r="J1441" s="276" t="str">
        <f>IF(ISBLANK(INDEX('Policy Characteristics'!D:D,MATCH($C1441,'Policy Characteristics'!$C:$C,0))),"",INDEX('Policy Characteristics'!D:D,MATCH($C1441,'Policy Characteristics'!$C:$C,0)))</f>
        <v>R&amp;D Fuel Use Reductions</v>
      </c>
      <c r="K1441" s="275" t="str">
        <f>IF(ISBLANK(INDEX('Policy Characteristics'!E:E,MATCH($C1441,'Policy Characteristics'!$C:$C,0))),"",INDEX('Policy Characteristics'!E:E,MATCH($C1441,'Policy Characteristics'!$C:$C,0)))</f>
        <v>RnD electricity fuel use reduction</v>
      </c>
      <c r="L1441" s="283">
        <f>IF(ISBLANK(INDEX('Policy Characteristics'!F:F,MATCH($C1441,'Policy Characteristics'!$C:$C,0))),"",INDEX('Policy Characteristics'!F:F,MATCH($C1441,'Policy Characteristics'!$C:$C,0)))</f>
        <v>0</v>
      </c>
      <c r="M1441" s="283">
        <f>IF(ISBLANK(INDEX('Policy Characteristics'!G:G,MATCH($C1441,'Policy Characteristics'!$C:$C,0))),"",INDEX('Policy Characteristics'!G:G,MATCH($C1441,'Policy Characteristics'!$C:$C,0)))</f>
        <v>0.4</v>
      </c>
      <c r="N1441" s="283">
        <f>IF(ISBLANK(INDEX('Policy Characteristics'!H:H,MATCH($C1441,'Policy Characteristics'!$C:$C,0))),"",INDEX('Policy Characteristics'!H:H,MATCH($C1441,'Policy Characteristics'!$C:$C,0)))</f>
        <v>0.01</v>
      </c>
      <c r="O1441" s="275" t="str">
        <f>IF(ISBLANK(INDEX('Policy Characteristics'!I:I,MATCH($C1441,'Policy Characteristics'!$C:$C,0))),"",INDEX('Policy Characteristics'!I:I,MATCH($C1441,'Policy Characteristics'!$C:$C,0)))</f>
        <v>% reduction in fuel use</v>
      </c>
      <c r="P1441" s="275" t="str">
        <f>IF(ISBLANK(INDEX('Policy Characteristics'!J:J,MATCH($C1441,'Policy Characteristics'!$C:$C,0))),"",INDEX('Policy Characteristics'!J:J,MATCH($C1441,'Policy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1" s="275" t="str">
        <f>IF(ISBLANK(INDEX('Policy Characteristics'!K:K,MATCH($C1441,'Policy Characteristics'!$C:$C,0))),"",INDEX('Policy Characteristics'!K:K,MATCH($C1441,'Policy Characteristics'!$C:$C,0)))</f>
        <v>architectural-design.html#rnd</v>
      </c>
      <c r="R1441" s="275" t="str">
        <f>IF(ISBLANK(INDEX('Policy Characteristics'!L:L,MATCH($C1441,'Policy Characteristics'!$C:$C,0))),"",INDEX('Policy Characteristics'!L:L,MATCH($C1441,'Policy Characteristics'!$C:$C,0)))</f>
        <v>research-and-development.html</v>
      </c>
    </row>
    <row r="1442" spans="1:18" x14ac:dyDescent="0.25">
      <c r="A1442" s="275" t="str">
        <f>IF(ISBLANK(INDEX('Policy Characteristics'!A:A,MATCH($C1442,'Policy Characteristics'!$C:$C,0))),"",INDEX('Policy Characteristics'!A:A,MATCH($C1442,'Policy Characteristics'!$C:$C,0)))</f>
        <v>Research and Development</v>
      </c>
      <c r="B1442" s="284" t="str">
        <f>IF(ISBLANK(INDEX('Policy Characteristics'!B:B,MATCH($C1442,'Policy Characteristics'!$C:$C,0))),"",INDEX('Policy Characteristics'!B:B,MATCH($C1442,'Policy Characteristics'!$C:$C,0)))</f>
        <v>Fuel Use Reduction</v>
      </c>
      <c r="C1442" s="275" t="str">
        <f t="shared" si="67"/>
        <v>RnD Electricity Fuel Use Perc Reduction</v>
      </c>
      <c r="D1442" s="6" t="s">
        <v>454</v>
      </c>
      <c r="E1442" s="47"/>
      <c r="F1442" s="6" t="s">
        <v>456</v>
      </c>
      <c r="G1442" s="47"/>
      <c r="H1442" s="44">
        <v>1824</v>
      </c>
      <c r="I1442" s="346" t="s">
        <v>44</v>
      </c>
      <c r="J1442" s="276" t="str">
        <f>IF(ISBLANK(INDEX('Policy Characteristics'!D:D,MATCH($C1442,'Policy Characteristics'!$C:$C,0))),"",INDEX('Policy Characteristics'!D:D,MATCH($C1442,'Policy Characteristics'!$C:$C,0)))</f>
        <v>R&amp;D Fuel Use Reductions</v>
      </c>
      <c r="K1442" s="275" t="str">
        <f>IF(ISBLANK(INDEX('Policy Characteristics'!E:E,MATCH($C1442,'Policy Characteristics'!$C:$C,0))),"",INDEX('Policy Characteristics'!E:E,MATCH($C1442,'Policy Characteristics'!$C:$C,0)))</f>
        <v>RnD electricity fuel use reduction</v>
      </c>
      <c r="L1442" s="283">
        <f>IF(ISBLANK(INDEX('Policy Characteristics'!F:F,MATCH($C1442,'Policy Characteristics'!$C:$C,0))),"",INDEX('Policy Characteristics'!F:F,MATCH($C1442,'Policy Characteristics'!$C:$C,0)))</f>
        <v>0</v>
      </c>
      <c r="M1442" s="283">
        <f>IF(ISBLANK(INDEX('Policy Characteristics'!G:G,MATCH($C1442,'Policy Characteristics'!$C:$C,0))),"",INDEX('Policy Characteristics'!G:G,MATCH($C1442,'Policy Characteristics'!$C:$C,0)))</f>
        <v>0.4</v>
      </c>
      <c r="N1442" s="283">
        <f>IF(ISBLANK(INDEX('Policy Characteristics'!H:H,MATCH($C1442,'Policy Characteristics'!$C:$C,0))),"",INDEX('Policy Characteristics'!H:H,MATCH($C1442,'Policy Characteristics'!$C:$C,0)))</f>
        <v>0.01</v>
      </c>
      <c r="O1442" s="275" t="str">
        <f>IF(ISBLANK(INDEX('Policy Characteristics'!I:I,MATCH($C1442,'Policy Characteristics'!$C:$C,0))),"",INDEX('Policy Characteristics'!I:I,MATCH($C1442,'Policy Characteristics'!$C:$C,0)))</f>
        <v>% reduction in fuel use</v>
      </c>
      <c r="P1442" s="275" t="str">
        <f>IF(ISBLANK(INDEX('Policy Characteristics'!J:J,MATCH($C1442,'Policy Characteristics'!$C:$C,0))),"",INDEX('Policy Characteristics'!J:J,MATCH($C1442,'Policy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2" s="275" t="str">
        <f>IF(ISBLANK(INDEX('Policy Characteristics'!K:K,MATCH($C1442,'Policy Characteristics'!$C:$C,0))),"",INDEX('Policy Characteristics'!K:K,MATCH($C1442,'Policy Characteristics'!$C:$C,0)))</f>
        <v>architectural-design.html#rnd</v>
      </c>
      <c r="R1442" s="275" t="str">
        <f>IF(ISBLANK(INDEX('Policy Characteristics'!L:L,MATCH($C1442,'Policy Characteristics'!$C:$C,0))),"",INDEX('Policy Characteristics'!L:L,MATCH($C1442,'Policy Characteristics'!$C:$C,0)))</f>
        <v>research-and-development.html</v>
      </c>
    </row>
    <row r="1443" spans="1:18" x14ac:dyDescent="0.25">
      <c r="A1443" s="275" t="str">
        <f>IF(ISBLANK(INDEX('Policy Characteristics'!A:A,MATCH($C1443,'Policy Characteristics'!$C:$C,0))),"",INDEX('Policy Characteristics'!A:A,MATCH($C1443,'Policy Characteristics'!$C:$C,0)))</f>
        <v>Research and Development</v>
      </c>
      <c r="B1443" s="284" t="str">
        <f>IF(ISBLANK(INDEX('Policy Characteristics'!B:B,MATCH($C1443,'Policy Characteristics'!$C:$C,0))),"",INDEX('Policy Characteristics'!B:B,MATCH($C1443,'Policy Characteristics'!$C:$C,0)))</f>
        <v>Fuel Use Reduction</v>
      </c>
      <c r="C1443" s="275" t="str">
        <f t="shared" si="67"/>
        <v>RnD Electricity Fuel Use Perc Reduction</v>
      </c>
      <c r="D1443" s="6" t="s">
        <v>2752</v>
      </c>
      <c r="E1443" s="47"/>
      <c r="F1443" s="6" t="s">
        <v>3538</v>
      </c>
      <c r="G1443" s="47"/>
      <c r="H1443" s="44">
        <v>1825</v>
      </c>
      <c r="I1443" s="346" t="s">
        <v>44</v>
      </c>
      <c r="J1443" s="276" t="str">
        <f>IF(ISBLANK(INDEX('Policy Characteristics'!D:D,MATCH($C1443,'Policy Characteristics'!$C:$C,0))),"",INDEX('Policy Characteristics'!D:D,MATCH($C1443,'Policy Characteristics'!$C:$C,0)))</f>
        <v>R&amp;D Fuel Use Reductions</v>
      </c>
      <c r="K1443" s="275" t="str">
        <f>IF(ISBLANK(INDEX('Policy Characteristics'!E:E,MATCH($C1443,'Policy Characteristics'!$C:$C,0))),"",INDEX('Policy Characteristics'!E:E,MATCH($C1443,'Policy Characteristics'!$C:$C,0)))</f>
        <v>RnD electricity fuel use reduction</v>
      </c>
      <c r="L1443" s="283">
        <f>IF(ISBLANK(INDEX('Policy Characteristics'!F:F,MATCH($C1443,'Policy Characteristics'!$C:$C,0))),"",INDEX('Policy Characteristics'!F:F,MATCH($C1443,'Policy Characteristics'!$C:$C,0)))</f>
        <v>0</v>
      </c>
      <c r="M1443" s="283">
        <f>IF(ISBLANK(INDEX('Policy Characteristics'!G:G,MATCH($C1443,'Policy Characteristics'!$C:$C,0))),"",INDEX('Policy Characteristics'!G:G,MATCH($C1443,'Policy Characteristics'!$C:$C,0)))</f>
        <v>0.4</v>
      </c>
      <c r="N1443" s="283">
        <f>IF(ISBLANK(INDEX('Policy Characteristics'!H:H,MATCH($C1443,'Policy Characteristics'!$C:$C,0))),"",INDEX('Policy Characteristics'!H:H,MATCH($C1443,'Policy Characteristics'!$C:$C,0)))</f>
        <v>0.01</v>
      </c>
      <c r="O1443" s="275" t="str">
        <f>IF(ISBLANK(INDEX('Policy Characteristics'!I:I,MATCH($C1443,'Policy Characteristics'!$C:$C,0))),"",INDEX('Policy Characteristics'!I:I,MATCH($C1443,'Policy Characteristics'!$C:$C,0)))</f>
        <v>% reduction in fuel use</v>
      </c>
      <c r="P1443" s="275" t="str">
        <f>IF(ISBLANK(INDEX('Policy Characteristics'!J:J,MATCH($C1443,'Policy Characteristics'!$C:$C,0))),"",INDEX('Policy Characteristics'!J:J,MATCH($C1443,'Policy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3" s="275" t="str">
        <f>IF(ISBLANK(INDEX('Policy Characteristics'!K:K,MATCH($C1443,'Policy Characteristics'!$C:$C,0))),"",INDEX('Policy Characteristics'!K:K,MATCH($C1443,'Policy Characteristics'!$C:$C,0)))</f>
        <v>architectural-design.html#rnd</v>
      </c>
      <c r="R1443" s="275" t="str">
        <f>IF(ISBLANK(INDEX('Policy Characteristics'!L:L,MATCH($C1443,'Policy Characteristics'!$C:$C,0))),"",INDEX('Policy Characteristics'!L:L,MATCH($C1443,'Policy Characteristics'!$C:$C,0)))</f>
        <v>research-and-development.html</v>
      </c>
    </row>
    <row r="1444" spans="1:18" x14ac:dyDescent="0.25">
      <c r="A1444" s="275" t="str">
        <f>IF(ISBLANK(INDEX('Policy Characteristics'!A:A,MATCH($C1444,'Policy Characteristics'!$C:$C,0))),"",INDEX('Policy Characteristics'!A:A,MATCH($C1444,'Policy Characteristics'!$C:$C,0)))</f>
        <v>Research and Development</v>
      </c>
      <c r="B1444" s="284" t="str">
        <f>IF(ISBLANK(INDEX('Policy Characteristics'!B:B,MATCH($C1444,'Policy Characteristics'!$C:$C,0))),"",INDEX('Policy Characteristics'!B:B,MATCH($C1444,'Policy Characteristics'!$C:$C,0)))</f>
        <v>Fuel Use Reduction</v>
      </c>
      <c r="C1444" s="275" t="str">
        <f t="shared" si="67"/>
        <v>RnD Electricity Fuel Use Perc Reduction</v>
      </c>
      <c r="D1444" s="6" t="s">
        <v>2753</v>
      </c>
      <c r="E1444" s="47"/>
      <c r="F1444" s="6" t="s">
        <v>3539</v>
      </c>
      <c r="G1444" s="47"/>
      <c r="H1444" s="44">
        <v>1826</v>
      </c>
      <c r="I1444" s="346" t="s">
        <v>44</v>
      </c>
      <c r="J1444" s="276" t="str">
        <f>IF(ISBLANK(INDEX('Policy Characteristics'!D:D,MATCH($C1444,'Policy Characteristics'!$C:$C,0))),"",INDEX('Policy Characteristics'!D:D,MATCH($C1444,'Policy Characteristics'!$C:$C,0)))</f>
        <v>R&amp;D Fuel Use Reductions</v>
      </c>
      <c r="K1444" s="275" t="str">
        <f>IF(ISBLANK(INDEX('Policy Characteristics'!E:E,MATCH($C1444,'Policy Characteristics'!$C:$C,0))),"",INDEX('Policy Characteristics'!E:E,MATCH($C1444,'Policy Characteristics'!$C:$C,0)))</f>
        <v>RnD electricity fuel use reduction</v>
      </c>
      <c r="L1444" s="283">
        <f>IF(ISBLANK(INDEX('Policy Characteristics'!F:F,MATCH($C1444,'Policy Characteristics'!$C:$C,0))),"",INDEX('Policy Characteristics'!F:F,MATCH($C1444,'Policy Characteristics'!$C:$C,0)))</f>
        <v>0</v>
      </c>
      <c r="M1444" s="283">
        <f>IF(ISBLANK(INDEX('Policy Characteristics'!G:G,MATCH($C1444,'Policy Characteristics'!$C:$C,0))),"",INDEX('Policy Characteristics'!G:G,MATCH($C1444,'Policy Characteristics'!$C:$C,0)))</f>
        <v>0.4</v>
      </c>
      <c r="N1444" s="283">
        <f>IF(ISBLANK(INDEX('Policy Characteristics'!H:H,MATCH($C1444,'Policy Characteristics'!$C:$C,0))),"",INDEX('Policy Characteristics'!H:H,MATCH($C1444,'Policy Characteristics'!$C:$C,0)))</f>
        <v>0.01</v>
      </c>
      <c r="O1444" s="275" t="str">
        <f>IF(ISBLANK(INDEX('Policy Characteristics'!I:I,MATCH($C1444,'Policy Characteristics'!$C:$C,0))),"",INDEX('Policy Characteristics'!I:I,MATCH($C1444,'Policy Characteristics'!$C:$C,0)))</f>
        <v>% reduction in fuel use</v>
      </c>
      <c r="P1444" s="275" t="str">
        <f>IF(ISBLANK(INDEX('Policy Characteristics'!J:J,MATCH($C1444,'Policy Characteristics'!$C:$C,0))),"",INDEX('Policy Characteristics'!J:J,MATCH($C1444,'Policy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4" s="275" t="str">
        <f>IF(ISBLANK(INDEX('Policy Characteristics'!K:K,MATCH($C1444,'Policy Characteristics'!$C:$C,0))),"",INDEX('Policy Characteristics'!K:K,MATCH($C1444,'Policy Characteristics'!$C:$C,0)))</f>
        <v>architectural-design.html#rnd</v>
      </c>
      <c r="R1444" s="275" t="str">
        <f>IF(ISBLANK(INDEX('Policy Characteristics'!L:L,MATCH($C1444,'Policy Characteristics'!$C:$C,0))),"",INDEX('Policy Characteristics'!L:L,MATCH($C1444,'Policy Characteristics'!$C:$C,0)))</f>
        <v>research-and-development.html</v>
      </c>
    </row>
    <row r="1445" spans="1:18" x14ac:dyDescent="0.25">
      <c r="A1445" s="275" t="str">
        <f>IF(ISBLANK(INDEX('Policy Characteristics'!A:A,MATCH($C1445,'Policy Characteristics'!$C:$C,0))),"",INDEX('Policy Characteristics'!A:A,MATCH($C1445,'Policy Characteristics'!$C:$C,0)))</f>
        <v>Research and Development</v>
      </c>
      <c r="B1445" s="284" t="str">
        <f>IF(ISBLANK(INDEX('Policy Characteristics'!B:B,MATCH($C1445,'Policy Characteristics'!$C:$C,0))),"",INDEX('Policy Characteristics'!B:B,MATCH($C1445,'Policy Characteristics'!$C:$C,0)))</f>
        <v>Fuel Use Reduction</v>
      </c>
      <c r="C1445" s="275" t="str">
        <f t="shared" si="67"/>
        <v>RnD Electricity Fuel Use Perc Reduction</v>
      </c>
      <c r="D1445" s="6" t="s">
        <v>2754</v>
      </c>
      <c r="E1445" s="47"/>
      <c r="F1445" s="6" t="s">
        <v>3540</v>
      </c>
      <c r="G1445" s="47"/>
      <c r="H1445" s="44">
        <v>1827</v>
      </c>
      <c r="I1445" s="346" t="s">
        <v>43</v>
      </c>
      <c r="J1445" s="276" t="str">
        <f>IF(ISBLANK(INDEX('Policy Characteristics'!D:D,MATCH($C1445,'Policy Characteristics'!$C:$C,0))),"",INDEX('Policy Characteristics'!D:D,MATCH($C1445,'Policy Characteristics'!$C:$C,0)))</f>
        <v>R&amp;D Fuel Use Reductions</v>
      </c>
      <c r="K1445" s="275" t="str">
        <f>IF(ISBLANK(INDEX('Policy Characteristics'!E:E,MATCH($C1445,'Policy Characteristics'!$C:$C,0))),"",INDEX('Policy Characteristics'!E:E,MATCH($C1445,'Policy Characteristics'!$C:$C,0)))</f>
        <v>RnD electricity fuel use reduction</v>
      </c>
      <c r="L1445" s="283">
        <f>IF(ISBLANK(INDEX('Policy Characteristics'!F:F,MATCH($C1445,'Policy Characteristics'!$C:$C,0))),"",INDEX('Policy Characteristics'!F:F,MATCH($C1445,'Policy Characteristics'!$C:$C,0)))</f>
        <v>0</v>
      </c>
      <c r="M1445" s="283">
        <f>IF(ISBLANK(INDEX('Policy Characteristics'!G:G,MATCH($C1445,'Policy Characteristics'!$C:$C,0))),"",INDEX('Policy Characteristics'!G:G,MATCH($C1445,'Policy Characteristics'!$C:$C,0)))</f>
        <v>0.4</v>
      </c>
      <c r="N1445" s="283">
        <f>IF(ISBLANK(INDEX('Policy Characteristics'!H:H,MATCH($C1445,'Policy Characteristics'!$C:$C,0))),"",INDEX('Policy Characteristics'!H:H,MATCH($C1445,'Policy Characteristics'!$C:$C,0)))</f>
        <v>0.01</v>
      </c>
      <c r="O1445" s="275" t="str">
        <f>IF(ISBLANK(INDEX('Policy Characteristics'!I:I,MATCH($C1445,'Policy Characteristics'!$C:$C,0))),"",INDEX('Policy Characteristics'!I:I,MATCH($C1445,'Policy Characteristics'!$C:$C,0)))</f>
        <v>% reduction in fuel use</v>
      </c>
      <c r="P1445" s="275" t="str">
        <f>IF(ISBLANK(INDEX('Policy Characteristics'!J:J,MATCH($C1445,'Policy Characteristics'!$C:$C,0))),"",INDEX('Policy Characteristics'!J:J,MATCH($C1445,'Policy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5" s="275" t="str">
        <f>IF(ISBLANK(INDEX('Policy Characteristics'!K:K,MATCH($C1445,'Policy Characteristics'!$C:$C,0))),"",INDEX('Policy Characteristics'!K:K,MATCH($C1445,'Policy Characteristics'!$C:$C,0)))</f>
        <v>architectural-design.html#rnd</v>
      </c>
      <c r="R1445" s="275" t="str">
        <f>IF(ISBLANK(INDEX('Policy Characteristics'!L:L,MATCH($C1445,'Policy Characteristics'!$C:$C,0))),"",INDEX('Policy Characteristics'!L:L,MATCH($C1445,'Policy Characteristics'!$C:$C,0)))</f>
        <v>research-and-development.html</v>
      </c>
    </row>
    <row r="1446" spans="1:18" x14ac:dyDescent="0.25">
      <c r="A1446" s="275" t="str">
        <f>IF(ISBLANK(INDEX('Policy Characteristics'!A:A,MATCH($C1446,'Policy Characteristics'!$C:$C,0))),"",INDEX('Policy Characteristics'!A:A,MATCH($C1446,'Policy Characteristics'!$C:$C,0)))</f>
        <v>Research and Development</v>
      </c>
      <c r="B1446" s="284" t="str">
        <f>IF(ISBLANK(INDEX('Policy Characteristics'!B:B,MATCH($C1446,'Policy Characteristics'!$C:$C,0))),"",INDEX('Policy Characteristics'!B:B,MATCH($C1446,'Policy Characteristics'!$C:$C,0)))</f>
        <v>Fuel Use Reduction</v>
      </c>
      <c r="C1446" s="275" t="str">
        <f t="shared" si="67"/>
        <v>RnD Electricity Fuel Use Perc Reduction</v>
      </c>
      <c r="D1446" s="6" t="s">
        <v>3519</v>
      </c>
      <c r="E1446" s="47"/>
      <c r="F1446" s="6" t="s">
        <v>3541</v>
      </c>
      <c r="G1446" s="47"/>
      <c r="H1446" s="44">
        <v>1828</v>
      </c>
      <c r="I1446" s="346" t="s">
        <v>43</v>
      </c>
      <c r="J1446" s="276" t="str">
        <f>IF(ISBLANK(INDEX('Policy Characteristics'!D:D,MATCH($C1446,'Policy Characteristics'!$C:$C,0))),"",INDEX('Policy Characteristics'!D:D,MATCH($C1446,'Policy Characteristics'!$C:$C,0)))</f>
        <v>R&amp;D Fuel Use Reductions</v>
      </c>
      <c r="K1446" s="275" t="str">
        <f>IF(ISBLANK(INDEX('Policy Characteristics'!E:E,MATCH($C1446,'Policy Characteristics'!$C:$C,0))),"",INDEX('Policy Characteristics'!E:E,MATCH($C1446,'Policy Characteristics'!$C:$C,0)))</f>
        <v>RnD electricity fuel use reduction</v>
      </c>
      <c r="L1446" s="283">
        <f>IF(ISBLANK(INDEX('Policy Characteristics'!F:F,MATCH($C1446,'Policy Characteristics'!$C:$C,0))),"",INDEX('Policy Characteristics'!F:F,MATCH($C1446,'Policy Characteristics'!$C:$C,0)))</f>
        <v>0</v>
      </c>
      <c r="M1446" s="283">
        <f>IF(ISBLANK(INDEX('Policy Characteristics'!G:G,MATCH($C1446,'Policy Characteristics'!$C:$C,0))),"",INDEX('Policy Characteristics'!G:G,MATCH($C1446,'Policy Characteristics'!$C:$C,0)))</f>
        <v>0.4</v>
      </c>
      <c r="N1446" s="283">
        <f>IF(ISBLANK(INDEX('Policy Characteristics'!H:H,MATCH($C1446,'Policy Characteristics'!$C:$C,0))),"",INDEX('Policy Characteristics'!H:H,MATCH($C1446,'Policy Characteristics'!$C:$C,0)))</f>
        <v>0.01</v>
      </c>
      <c r="O1446" s="275" t="str">
        <f>IF(ISBLANK(INDEX('Policy Characteristics'!I:I,MATCH($C1446,'Policy Characteristics'!$C:$C,0))),"",INDEX('Policy Characteristics'!I:I,MATCH($C1446,'Policy Characteristics'!$C:$C,0)))</f>
        <v>% reduction in fuel use</v>
      </c>
      <c r="P1446" s="275" t="str">
        <f>IF(ISBLANK(INDEX('Policy Characteristics'!J:J,MATCH($C1446,'Policy Characteristics'!$C:$C,0))),"",INDEX('Policy Characteristics'!J:J,MATCH($C1446,'Policy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6" s="275" t="str">
        <f>IF(ISBLANK(INDEX('Policy Characteristics'!K:K,MATCH($C1446,'Policy Characteristics'!$C:$C,0))),"",INDEX('Policy Characteristics'!K:K,MATCH($C1446,'Policy Characteristics'!$C:$C,0)))</f>
        <v>architectural-design.html#rnd</v>
      </c>
      <c r="R1446" s="275" t="str">
        <f>IF(ISBLANK(INDEX('Policy Characteristics'!L:L,MATCH($C1446,'Policy Characteristics'!$C:$C,0))),"",INDEX('Policy Characteristics'!L:L,MATCH($C1446,'Policy Characteristics'!$C:$C,0)))</f>
        <v>research-and-development.html</v>
      </c>
    </row>
    <row r="1447" spans="1:18" x14ac:dyDescent="0.25">
      <c r="A1447" s="275" t="str">
        <f>IF(ISBLANK(INDEX('Policy Characteristics'!A:A,MATCH($C1447,'Policy Characteristics'!$C:$C,0))),"",INDEX('Policy Characteristics'!A:A,MATCH($C1447,'Policy Characteristics'!$C:$C,0)))</f>
        <v>Research and Development</v>
      </c>
      <c r="B1447" s="284" t="str">
        <f>IF(ISBLANK(INDEX('Policy Characteristics'!B:B,MATCH($C1447,'Policy Characteristics'!$C:$C,0))),"",INDEX('Policy Characteristics'!B:B,MATCH($C1447,'Policy Characteristics'!$C:$C,0)))</f>
        <v>Fuel Use Reduction</v>
      </c>
      <c r="C1447" s="275" t="str">
        <f t="shared" si="67"/>
        <v>RnD Electricity Fuel Use Perc Reduction</v>
      </c>
      <c r="D1447" s="6" t="s">
        <v>3522</v>
      </c>
      <c r="E1447" s="47"/>
      <c r="F1447" s="6" t="s">
        <v>3542</v>
      </c>
      <c r="G1447" s="47"/>
      <c r="H1447" s="44">
        <v>1829</v>
      </c>
      <c r="I1447" s="346" t="s">
        <v>43</v>
      </c>
      <c r="J1447" s="276" t="str">
        <f>IF(ISBLANK(INDEX('Policy Characteristics'!D:D,MATCH($C1447,'Policy Characteristics'!$C:$C,0))),"",INDEX('Policy Characteristics'!D:D,MATCH($C1447,'Policy Characteristics'!$C:$C,0)))</f>
        <v>R&amp;D Fuel Use Reductions</v>
      </c>
      <c r="K1447" s="275" t="str">
        <f>IF(ISBLANK(INDEX('Policy Characteristics'!E:E,MATCH($C1447,'Policy Characteristics'!$C:$C,0))),"",INDEX('Policy Characteristics'!E:E,MATCH($C1447,'Policy Characteristics'!$C:$C,0)))</f>
        <v>RnD electricity fuel use reduction</v>
      </c>
      <c r="L1447" s="283">
        <f>IF(ISBLANK(INDEX('Policy Characteristics'!F:F,MATCH($C1447,'Policy Characteristics'!$C:$C,0))),"",INDEX('Policy Characteristics'!F:F,MATCH($C1447,'Policy Characteristics'!$C:$C,0)))</f>
        <v>0</v>
      </c>
      <c r="M1447" s="283">
        <f>IF(ISBLANK(INDEX('Policy Characteristics'!G:G,MATCH($C1447,'Policy Characteristics'!$C:$C,0))),"",INDEX('Policy Characteristics'!G:G,MATCH($C1447,'Policy Characteristics'!$C:$C,0)))</f>
        <v>0.4</v>
      </c>
      <c r="N1447" s="283">
        <f>IF(ISBLANK(INDEX('Policy Characteristics'!H:H,MATCH($C1447,'Policy Characteristics'!$C:$C,0))),"",INDEX('Policy Characteristics'!H:H,MATCH($C1447,'Policy Characteristics'!$C:$C,0)))</f>
        <v>0.01</v>
      </c>
      <c r="O1447" s="275" t="str">
        <f>IF(ISBLANK(INDEX('Policy Characteristics'!I:I,MATCH($C1447,'Policy Characteristics'!$C:$C,0))),"",INDEX('Policy Characteristics'!I:I,MATCH($C1447,'Policy Characteristics'!$C:$C,0)))</f>
        <v>% reduction in fuel use</v>
      </c>
      <c r="P1447" s="275" t="str">
        <f>IF(ISBLANK(INDEX('Policy Characteristics'!J:J,MATCH($C1447,'Policy Characteristics'!$C:$C,0))),"",INDEX('Policy Characteristics'!J:J,MATCH($C1447,'Policy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7" s="275" t="str">
        <f>IF(ISBLANK(INDEX('Policy Characteristics'!K:K,MATCH($C1447,'Policy Characteristics'!$C:$C,0))),"",INDEX('Policy Characteristics'!K:K,MATCH($C1447,'Policy Characteristics'!$C:$C,0)))</f>
        <v>architectural-design.html#rnd</v>
      </c>
      <c r="R1447" s="275" t="str">
        <f>IF(ISBLANK(INDEX('Policy Characteristics'!L:L,MATCH($C1447,'Policy Characteristics'!$C:$C,0))),"",INDEX('Policy Characteristics'!L:L,MATCH($C1447,'Policy Characteristics'!$C:$C,0)))</f>
        <v>research-and-development.html</v>
      </c>
    </row>
    <row r="1448" spans="1:18" x14ac:dyDescent="0.25">
      <c r="A1448" s="275" t="str">
        <f>IF(ISBLANK(INDEX('Policy Characteristics'!A:A,MATCH($C1448,'Policy Characteristics'!$C:$C,0))),"",INDEX('Policy Characteristics'!A:A,MATCH($C1448,'Policy Characteristics'!$C:$C,0)))</f>
        <v>Research and Development</v>
      </c>
      <c r="B1448" s="284" t="str">
        <f>IF(ISBLANK(INDEX('Policy Characteristics'!B:B,MATCH($C1448,'Policy Characteristics'!$C:$C,0))),"",INDEX('Policy Characteristics'!B:B,MATCH($C1448,'Policy Characteristics'!$C:$C,0)))</f>
        <v>Fuel Use Reduction</v>
      </c>
      <c r="C1448" s="275" t="str">
        <f t="shared" si="67"/>
        <v>RnD Electricity Fuel Use Perc Reduction</v>
      </c>
      <c r="D1448" s="6" t="s">
        <v>3523</v>
      </c>
      <c r="E1448" s="47"/>
      <c r="F1448" s="6" t="s">
        <v>3543</v>
      </c>
      <c r="G1448" s="47"/>
      <c r="H1448" s="44">
        <v>1830</v>
      </c>
      <c r="I1448" s="346" t="s">
        <v>43</v>
      </c>
      <c r="J1448" s="276" t="str">
        <f>IF(ISBLANK(INDEX('Policy Characteristics'!D:D,MATCH($C1448,'Policy Characteristics'!$C:$C,0))),"",INDEX('Policy Characteristics'!D:D,MATCH($C1448,'Policy Characteristics'!$C:$C,0)))</f>
        <v>R&amp;D Fuel Use Reductions</v>
      </c>
      <c r="K1448" s="275" t="str">
        <f>IF(ISBLANK(INDEX('Policy Characteristics'!E:E,MATCH($C1448,'Policy Characteristics'!$C:$C,0))),"",INDEX('Policy Characteristics'!E:E,MATCH($C1448,'Policy Characteristics'!$C:$C,0)))</f>
        <v>RnD electricity fuel use reduction</v>
      </c>
      <c r="L1448" s="283">
        <f>IF(ISBLANK(INDEX('Policy Characteristics'!F:F,MATCH($C1448,'Policy Characteristics'!$C:$C,0))),"",INDEX('Policy Characteristics'!F:F,MATCH($C1448,'Policy Characteristics'!$C:$C,0)))</f>
        <v>0</v>
      </c>
      <c r="M1448" s="283">
        <f>IF(ISBLANK(INDEX('Policy Characteristics'!G:G,MATCH($C1448,'Policy Characteristics'!$C:$C,0))),"",INDEX('Policy Characteristics'!G:G,MATCH($C1448,'Policy Characteristics'!$C:$C,0)))</f>
        <v>0.4</v>
      </c>
      <c r="N1448" s="283">
        <f>IF(ISBLANK(INDEX('Policy Characteristics'!H:H,MATCH($C1448,'Policy Characteristics'!$C:$C,0))),"",INDEX('Policy Characteristics'!H:H,MATCH($C1448,'Policy Characteristics'!$C:$C,0)))</f>
        <v>0.01</v>
      </c>
      <c r="O1448" s="275" t="str">
        <f>IF(ISBLANK(INDEX('Policy Characteristics'!I:I,MATCH($C1448,'Policy Characteristics'!$C:$C,0))),"",INDEX('Policy Characteristics'!I:I,MATCH($C1448,'Policy Characteristics'!$C:$C,0)))</f>
        <v>% reduction in fuel use</v>
      </c>
      <c r="P1448" s="275" t="str">
        <f>IF(ISBLANK(INDEX('Policy Characteristics'!J:J,MATCH($C1448,'Policy Characteristics'!$C:$C,0))),"",INDEX('Policy Characteristics'!J:J,MATCH($C1448,'Policy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8" s="275" t="str">
        <f>IF(ISBLANK(INDEX('Policy Characteristics'!K:K,MATCH($C1448,'Policy Characteristics'!$C:$C,0))),"",INDEX('Policy Characteristics'!K:K,MATCH($C1448,'Policy Characteristics'!$C:$C,0)))</f>
        <v>architectural-design.html#rnd</v>
      </c>
      <c r="R1448" s="275" t="str">
        <f>IF(ISBLANK(INDEX('Policy Characteristics'!L:L,MATCH($C1448,'Policy Characteristics'!$C:$C,0))),"",INDEX('Policy Characteristics'!L:L,MATCH($C1448,'Policy Characteristics'!$C:$C,0)))</f>
        <v>research-and-development.html</v>
      </c>
    </row>
    <row r="1449" spans="1:18" x14ac:dyDescent="0.25">
      <c r="A1449" s="275" t="str">
        <f>IF(ISBLANK(INDEX('Policy Characteristics'!A:A,MATCH($C1449,'Policy Characteristics'!$C:$C,0))),"",INDEX('Policy Characteristics'!A:A,MATCH($C1449,'Policy Characteristics'!$C:$C,0)))</f>
        <v>Research and Development</v>
      </c>
      <c r="B1449" s="284" t="str">
        <f>IF(ISBLANK(INDEX('Policy Characteristics'!B:B,MATCH($C1449,'Policy Characteristics'!$C:$C,0))),"",INDEX('Policy Characteristics'!B:B,MATCH($C1449,'Policy Characteristics'!$C:$C,0)))</f>
        <v>Fuel Use Reduction</v>
      </c>
      <c r="C1449" s="275" t="str">
        <f t="shared" si="67"/>
        <v>RnD Electricity Fuel Use Perc Reduction</v>
      </c>
      <c r="D1449" s="6" t="s">
        <v>3524</v>
      </c>
      <c r="E1449" s="47"/>
      <c r="F1449" s="6" t="s">
        <v>3544</v>
      </c>
      <c r="G1449" s="47"/>
      <c r="H1449" s="44">
        <v>1831</v>
      </c>
      <c r="I1449" s="346" t="s">
        <v>43</v>
      </c>
      <c r="J1449" s="276" t="str">
        <f>IF(ISBLANK(INDEX('Policy Characteristics'!D:D,MATCH($C1449,'Policy Characteristics'!$C:$C,0))),"",INDEX('Policy Characteristics'!D:D,MATCH($C1449,'Policy Characteristics'!$C:$C,0)))</f>
        <v>R&amp;D Fuel Use Reductions</v>
      </c>
      <c r="K1449" s="275" t="str">
        <f>IF(ISBLANK(INDEX('Policy Characteristics'!E:E,MATCH($C1449,'Policy Characteristics'!$C:$C,0))),"",INDEX('Policy Characteristics'!E:E,MATCH($C1449,'Policy Characteristics'!$C:$C,0)))</f>
        <v>RnD electricity fuel use reduction</v>
      </c>
      <c r="L1449" s="283">
        <f>IF(ISBLANK(INDEX('Policy Characteristics'!F:F,MATCH($C1449,'Policy Characteristics'!$C:$C,0))),"",INDEX('Policy Characteristics'!F:F,MATCH($C1449,'Policy Characteristics'!$C:$C,0)))</f>
        <v>0</v>
      </c>
      <c r="M1449" s="283">
        <f>IF(ISBLANK(INDEX('Policy Characteristics'!G:G,MATCH($C1449,'Policy Characteristics'!$C:$C,0))),"",INDEX('Policy Characteristics'!G:G,MATCH($C1449,'Policy Characteristics'!$C:$C,0)))</f>
        <v>0.4</v>
      </c>
      <c r="N1449" s="283">
        <f>IF(ISBLANK(INDEX('Policy Characteristics'!H:H,MATCH($C1449,'Policy Characteristics'!$C:$C,0))),"",INDEX('Policy Characteristics'!H:H,MATCH($C1449,'Policy Characteristics'!$C:$C,0)))</f>
        <v>0.01</v>
      </c>
      <c r="O1449" s="275" t="str">
        <f>IF(ISBLANK(INDEX('Policy Characteristics'!I:I,MATCH($C1449,'Policy Characteristics'!$C:$C,0))),"",INDEX('Policy Characteristics'!I:I,MATCH($C1449,'Policy Characteristics'!$C:$C,0)))</f>
        <v>% reduction in fuel use</v>
      </c>
      <c r="P1449" s="275" t="str">
        <f>IF(ISBLANK(INDEX('Policy Characteristics'!J:J,MATCH($C1449,'Policy Characteristics'!$C:$C,0))),"",INDEX('Policy Characteristics'!J:J,MATCH($C1449,'Policy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9" s="275" t="str">
        <f>IF(ISBLANK(INDEX('Policy Characteristics'!K:K,MATCH($C1449,'Policy Characteristics'!$C:$C,0))),"",INDEX('Policy Characteristics'!K:K,MATCH($C1449,'Policy Characteristics'!$C:$C,0)))</f>
        <v>architectural-design.html#rnd</v>
      </c>
      <c r="R1449" s="275" t="str">
        <f>IF(ISBLANK(INDEX('Policy Characteristics'!L:L,MATCH($C1449,'Policy Characteristics'!$C:$C,0))),"",INDEX('Policy Characteristics'!L:L,MATCH($C1449,'Policy Characteristics'!$C:$C,0)))</f>
        <v>research-and-development.html</v>
      </c>
    </row>
    <row r="1450" spans="1:18" x14ac:dyDescent="0.25">
      <c r="A1450" s="275" t="str">
        <f>IF(ISBLANK(INDEX('Policy Characteristics'!A:A,MATCH($C1450,'Policy Characteristics'!$C:$C,0))),"",INDEX('Policy Characteristics'!A:A,MATCH($C1450,'Policy Characteristics'!$C:$C,0)))</f>
        <v>Research and Development</v>
      </c>
      <c r="B1450" s="284" t="str">
        <f>IF(ISBLANK(INDEX('Policy Characteristics'!B:B,MATCH($C1450,'Policy Characteristics'!$C:$C,0))),"",INDEX('Policy Characteristics'!B:B,MATCH($C1450,'Policy Characteristics'!$C:$C,0)))</f>
        <v>Fuel Use Reduction</v>
      </c>
      <c r="C1450" s="275" t="str">
        <f t="shared" si="67"/>
        <v>RnD Electricity Fuel Use Perc Reduction</v>
      </c>
      <c r="D1450" s="6" t="s">
        <v>3525</v>
      </c>
      <c r="E1450" s="47"/>
      <c r="F1450" s="6" t="s">
        <v>3545</v>
      </c>
      <c r="G1450" s="47"/>
      <c r="H1450" s="44">
        <v>1832</v>
      </c>
      <c r="I1450" s="346" t="s">
        <v>43</v>
      </c>
      <c r="J1450" s="276" t="str">
        <f>IF(ISBLANK(INDEX('Policy Characteristics'!D:D,MATCH($C1450,'Policy Characteristics'!$C:$C,0))),"",INDEX('Policy Characteristics'!D:D,MATCH($C1450,'Policy Characteristics'!$C:$C,0)))</f>
        <v>R&amp;D Fuel Use Reductions</v>
      </c>
      <c r="K1450" s="275" t="str">
        <f>IF(ISBLANK(INDEX('Policy Characteristics'!E:E,MATCH($C1450,'Policy Characteristics'!$C:$C,0))),"",INDEX('Policy Characteristics'!E:E,MATCH($C1450,'Policy Characteristics'!$C:$C,0)))</f>
        <v>RnD electricity fuel use reduction</v>
      </c>
      <c r="L1450" s="283">
        <f>IF(ISBLANK(INDEX('Policy Characteristics'!F:F,MATCH($C1450,'Policy Characteristics'!$C:$C,0))),"",INDEX('Policy Characteristics'!F:F,MATCH($C1450,'Policy Characteristics'!$C:$C,0)))</f>
        <v>0</v>
      </c>
      <c r="M1450" s="283">
        <f>IF(ISBLANK(INDEX('Policy Characteristics'!G:G,MATCH($C1450,'Policy Characteristics'!$C:$C,0))),"",INDEX('Policy Characteristics'!G:G,MATCH($C1450,'Policy Characteristics'!$C:$C,0)))</f>
        <v>0.4</v>
      </c>
      <c r="N1450" s="283">
        <f>IF(ISBLANK(INDEX('Policy Characteristics'!H:H,MATCH($C1450,'Policy Characteristics'!$C:$C,0))),"",INDEX('Policy Characteristics'!H:H,MATCH($C1450,'Policy Characteristics'!$C:$C,0)))</f>
        <v>0.01</v>
      </c>
      <c r="O1450" s="275" t="str">
        <f>IF(ISBLANK(INDEX('Policy Characteristics'!I:I,MATCH($C1450,'Policy Characteristics'!$C:$C,0))),"",INDEX('Policy Characteristics'!I:I,MATCH($C1450,'Policy Characteristics'!$C:$C,0)))</f>
        <v>% reduction in fuel use</v>
      </c>
      <c r="P1450" s="275" t="str">
        <f>IF(ISBLANK(INDEX('Policy Characteristics'!J:J,MATCH($C1450,'Policy Characteristics'!$C:$C,0))),"",INDEX('Policy Characteristics'!J:J,MATCH($C1450,'Policy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0" s="275" t="str">
        <f>IF(ISBLANK(INDEX('Policy Characteristics'!K:K,MATCH($C1450,'Policy Characteristics'!$C:$C,0))),"",INDEX('Policy Characteristics'!K:K,MATCH($C1450,'Policy Characteristics'!$C:$C,0)))</f>
        <v>architectural-design.html#rnd</v>
      </c>
      <c r="R1450" s="275" t="str">
        <f>IF(ISBLANK(INDEX('Policy Characteristics'!L:L,MATCH($C1450,'Policy Characteristics'!$C:$C,0))),"",INDEX('Policy Characteristics'!L:L,MATCH($C1450,'Policy Characteristics'!$C:$C,0)))</f>
        <v>research-and-development.html</v>
      </c>
    </row>
    <row r="1451" spans="1:18" x14ac:dyDescent="0.25">
      <c r="A1451" s="275" t="str">
        <f>IF(ISBLANK(INDEX('Policy Characteristics'!A:A,MATCH($C1451,'Policy Characteristics'!$C:$C,0))),"",INDEX('Policy Characteristics'!A:A,MATCH($C1451,'Policy Characteristics'!$C:$C,0)))</f>
        <v>Research and Development</v>
      </c>
      <c r="B1451" s="284" t="str">
        <f>IF(ISBLANK(INDEX('Policy Characteristics'!B:B,MATCH($C1451,'Policy Characteristics'!$C:$C,0))),"",INDEX('Policy Characteristics'!B:B,MATCH($C1451,'Policy Characteristics'!$C:$C,0)))</f>
        <v>Fuel Use Reduction</v>
      </c>
      <c r="C1451" s="275" t="str">
        <f t="shared" si="67"/>
        <v>RnD Electricity Fuel Use Perc Reduction</v>
      </c>
      <c r="D1451" s="6" t="s">
        <v>3616</v>
      </c>
      <c r="E1451" s="47"/>
      <c r="F1451" s="6" t="s">
        <v>3618</v>
      </c>
      <c r="G1451" s="47"/>
      <c r="H1451" s="44">
        <v>1833</v>
      </c>
      <c r="I1451" s="346" t="s">
        <v>43</v>
      </c>
      <c r="J1451" s="276" t="str">
        <f>IF(ISBLANK(INDEX('Policy Characteristics'!D:D,MATCH($C1451,'Policy Characteristics'!$C:$C,0))),"",INDEX('Policy Characteristics'!D:D,MATCH($C1451,'Policy Characteristics'!$C:$C,0)))</f>
        <v>R&amp;D Fuel Use Reductions</v>
      </c>
      <c r="K1451" s="275" t="str">
        <f>IF(ISBLANK(INDEX('Policy Characteristics'!E:E,MATCH($C1451,'Policy Characteristics'!$C:$C,0))),"",INDEX('Policy Characteristics'!E:E,MATCH($C1451,'Policy Characteristics'!$C:$C,0)))</f>
        <v>RnD electricity fuel use reduction</v>
      </c>
      <c r="L1451" s="283">
        <f>IF(ISBLANK(INDEX('Policy Characteristics'!F:F,MATCH($C1451,'Policy Characteristics'!$C:$C,0))),"",INDEX('Policy Characteristics'!F:F,MATCH($C1451,'Policy Characteristics'!$C:$C,0)))</f>
        <v>0</v>
      </c>
      <c r="M1451" s="283">
        <f>IF(ISBLANK(INDEX('Policy Characteristics'!G:G,MATCH($C1451,'Policy Characteristics'!$C:$C,0))),"",INDEX('Policy Characteristics'!G:G,MATCH($C1451,'Policy Characteristics'!$C:$C,0)))</f>
        <v>0.4</v>
      </c>
      <c r="N1451" s="283">
        <f>IF(ISBLANK(INDEX('Policy Characteristics'!H:H,MATCH($C1451,'Policy Characteristics'!$C:$C,0))),"",INDEX('Policy Characteristics'!H:H,MATCH($C1451,'Policy Characteristics'!$C:$C,0)))</f>
        <v>0.01</v>
      </c>
      <c r="O1451" s="275" t="str">
        <f>IF(ISBLANK(INDEX('Policy Characteristics'!I:I,MATCH($C1451,'Policy Characteristics'!$C:$C,0))),"",INDEX('Policy Characteristics'!I:I,MATCH($C1451,'Policy Characteristics'!$C:$C,0)))</f>
        <v>% reduction in fuel use</v>
      </c>
      <c r="P1451" s="275" t="str">
        <f>IF(ISBLANK(INDEX('Policy Characteristics'!J:J,MATCH($C1451,'Policy Characteristics'!$C:$C,0))),"",INDEX('Policy Characteristics'!J:J,MATCH($C1451,'Policy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1" s="275" t="str">
        <f>IF(ISBLANK(INDEX('Policy Characteristics'!K:K,MATCH($C1451,'Policy Characteristics'!$C:$C,0))),"",INDEX('Policy Characteristics'!K:K,MATCH($C1451,'Policy Characteristics'!$C:$C,0)))</f>
        <v>architectural-design.html#rnd</v>
      </c>
      <c r="R1451" s="275" t="str">
        <f>IF(ISBLANK(INDEX('Policy Characteristics'!L:L,MATCH($C1451,'Policy Characteristics'!$C:$C,0))),"",INDEX('Policy Characteristics'!L:L,MATCH($C1451,'Policy Characteristics'!$C:$C,0)))</f>
        <v>research-and-development.html</v>
      </c>
    </row>
    <row r="1452" spans="1:18" x14ac:dyDescent="0.25">
      <c r="A1452" s="275" t="str">
        <f>IF(ISBLANK(INDEX('Policy Characteristics'!A:A,MATCH($C1452,'Policy Characteristics'!$C:$C,0))),"",INDEX('Policy Characteristics'!A:A,MATCH($C1452,'Policy Characteristics'!$C:$C,0)))</f>
        <v>Research and Development</v>
      </c>
      <c r="B1452" s="284" t="str">
        <f>IF(ISBLANK(INDEX('Policy Characteristics'!B:B,MATCH($C1452,'Policy Characteristics'!$C:$C,0))),"",INDEX('Policy Characteristics'!B:B,MATCH($C1452,'Policy Characteristics'!$C:$C,0)))</f>
        <v>Fuel Use Reduction</v>
      </c>
      <c r="C1452" s="275" t="str">
        <f t="shared" si="67"/>
        <v>RnD Electricity Fuel Use Perc Reduction</v>
      </c>
      <c r="D1452" s="6" t="s">
        <v>3617</v>
      </c>
      <c r="E1452" s="47"/>
      <c r="F1452" s="6" t="s">
        <v>3619</v>
      </c>
      <c r="G1452" s="47"/>
      <c r="H1452" s="44">
        <v>2246</v>
      </c>
      <c r="I1452" s="346" t="s">
        <v>43</v>
      </c>
      <c r="J1452" s="276" t="str">
        <f>IF(ISBLANK(INDEX('Policy Characteristics'!D:D,MATCH($C1452,'Policy Characteristics'!$C:$C,0))),"",INDEX('Policy Characteristics'!D:D,MATCH($C1452,'Policy Characteristics'!$C:$C,0)))</f>
        <v>R&amp;D Fuel Use Reductions</v>
      </c>
      <c r="K1452" s="275" t="str">
        <f>IF(ISBLANK(INDEX('Policy Characteristics'!E:E,MATCH($C1452,'Policy Characteristics'!$C:$C,0))),"",INDEX('Policy Characteristics'!E:E,MATCH($C1452,'Policy Characteristics'!$C:$C,0)))</f>
        <v>RnD electricity fuel use reduction</v>
      </c>
      <c r="L1452" s="283">
        <f>IF(ISBLANK(INDEX('Policy Characteristics'!F:F,MATCH($C1452,'Policy Characteristics'!$C:$C,0))),"",INDEX('Policy Characteristics'!F:F,MATCH($C1452,'Policy Characteristics'!$C:$C,0)))</f>
        <v>0</v>
      </c>
      <c r="M1452" s="283">
        <f>IF(ISBLANK(INDEX('Policy Characteristics'!G:G,MATCH($C1452,'Policy Characteristics'!$C:$C,0))),"",INDEX('Policy Characteristics'!G:G,MATCH($C1452,'Policy Characteristics'!$C:$C,0)))</f>
        <v>0.4</v>
      </c>
      <c r="N1452" s="283">
        <f>IF(ISBLANK(INDEX('Policy Characteristics'!H:H,MATCH($C1452,'Policy Characteristics'!$C:$C,0))),"",INDEX('Policy Characteristics'!H:H,MATCH($C1452,'Policy Characteristics'!$C:$C,0)))</f>
        <v>0.01</v>
      </c>
      <c r="O1452" s="275" t="str">
        <f>IF(ISBLANK(INDEX('Policy Characteristics'!I:I,MATCH($C1452,'Policy Characteristics'!$C:$C,0))),"",INDEX('Policy Characteristics'!I:I,MATCH($C1452,'Policy Characteristics'!$C:$C,0)))</f>
        <v>% reduction in fuel use</v>
      </c>
      <c r="P1452" s="275" t="str">
        <f>IF(ISBLANK(INDEX('Policy Characteristics'!J:J,MATCH($C1452,'Policy Characteristics'!$C:$C,0))),"",INDEX('Policy Characteristics'!J:J,MATCH($C1452,'Policy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2" s="275" t="str">
        <f>IF(ISBLANK(INDEX('Policy Characteristics'!K:K,MATCH($C1452,'Policy Characteristics'!$C:$C,0))),"",INDEX('Policy Characteristics'!K:K,MATCH($C1452,'Policy Characteristics'!$C:$C,0)))</f>
        <v>architectural-design.html#rnd</v>
      </c>
      <c r="R1452" s="275" t="str">
        <f>IF(ISBLANK(INDEX('Policy Characteristics'!L:L,MATCH($C1452,'Policy Characteristics'!$C:$C,0))),"",INDEX('Policy Characteristics'!L:L,MATCH($C1452,'Policy Characteristics'!$C:$C,0)))</f>
        <v>research-and-development.html</v>
      </c>
    </row>
    <row r="1453" spans="1:18" x14ac:dyDescent="0.25">
      <c r="A1453" s="275" t="str">
        <f>IF(ISBLANK(INDEX('Policy Characteristics'!A:A,MATCH($C1453,'Policy Characteristics'!$C:$C,0))),"",INDEX('Policy Characteristics'!A:A,MATCH($C1453,'Policy Characteristics'!$C:$C,0)))</f>
        <v>Research and Development</v>
      </c>
      <c r="B1453" s="284" t="str">
        <f>IF(ISBLANK(INDEX('Policy Characteristics'!B:B,MATCH($C1453,'Policy Characteristics'!$C:$C,0))),"",INDEX('Policy Characteristics'!B:B,MATCH($C1453,'Policy Characteristics'!$C:$C,0)))</f>
        <v>Fuel Use Reduction</v>
      </c>
      <c r="C1453" t="s">
        <v>297</v>
      </c>
      <c r="D1453" t="s">
        <v>3070</v>
      </c>
      <c r="E1453" s="47"/>
      <c r="F1453" s="6" t="s">
        <v>3097</v>
      </c>
      <c r="G1453" s="47"/>
      <c r="H1453" s="44">
        <v>1487</v>
      </c>
      <c r="I1453" s="346" t="s">
        <v>43</v>
      </c>
      <c r="J1453" s="276" t="str">
        <f>IF(ISBLANK(INDEX('Policy Characteristics'!D:D,MATCH($C1453,'Policy Characteristics'!$C:$C,0))),"",INDEX('Policy Characteristics'!D:D,MATCH($C1453,'Policy Characteristics'!$C:$C,0)))</f>
        <v>R&amp;D Fuel Use Reductions</v>
      </c>
      <c r="K1453" s="275" t="str">
        <f>IF(ISBLANK(INDEX('Policy Characteristics'!E:E,MATCH($C1453,'Policy Characteristics'!$C:$C,0))),"",INDEX('Policy Characteristics'!E:E,MATCH($C1453,'Policy Characteristics'!$C:$C,0)))</f>
        <v>RnD industry fuel use reduction</v>
      </c>
      <c r="L1453" s="283">
        <f>IF(ISBLANK(INDEX('Policy Characteristics'!F:F,MATCH($C1453,'Policy Characteristics'!$C:$C,0))),"",INDEX('Policy Characteristics'!F:F,MATCH($C1453,'Policy Characteristics'!$C:$C,0)))</f>
        <v>0</v>
      </c>
      <c r="M1453" s="283">
        <f>IF(ISBLANK(INDEX('Policy Characteristics'!G:G,MATCH($C1453,'Policy Characteristics'!$C:$C,0))),"",INDEX('Policy Characteristics'!G:G,MATCH($C1453,'Policy Characteristics'!$C:$C,0)))</f>
        <v>0.4</v>
      </c>
      <c r="N1453" s="283">
        <f>IF(ISBLANK(INDEX('Policy Characteristics'!H:H,MATCH($C1453,'Policy Characteristics'!$C:$C,0))),"",INDEX('Policy Characteristics'!H:H,MATCH($C1453,'Policy Characteristics'!$C:$C,0)))</f>
        <v>0.01</v>
      </c>
      <c r="O1453" s="275" t="str">
        <f>IF(ISBLANK(INDEX('Policy Characteristics'!I:I,MATCH($C1453,'Policy Characteristics'!$C:$C,0))),"",INDEX('Policy Characteristics'!I:I,MATCH($C1453,'Policy Characteristics'!$C:$C,0)))</f>
        <v>% reduction in fuel use</v>
      </c>
      <c r="P1453" s="275" t="str">
        <f>IF(ISBLANK(INDEX('Policy Characteristics'!J:J,MATCH($C1453,'Policy Characteristics'!$C:$C,0))),"",INDEX('Policy Characteristics'!J:J,MATCH($C1453,'Policy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3" s="275" t="str">
        <f>IF(ISBLANK(INDEX('Policy Characteristics'!K:K,MATCH($C1453,'Policy Characteristics'!$C:$C,0))),"",INDEX('Policy Characteristics'!K:K,MATCH($C1453,'Policy Characteristics'!$C:$C,0)))</f>
        <v>architectural-design.html#rnd</v>
      </c>
      <c r="R1453" s="275" t="str">
        <f>IF(ISBLANK(INDEX('Policy Characteristics'!L:L,MATCH($C1453,'Policy Characteristics'!$C:$C,0))),"",INDEX('Policy Characteristics'!L:L,MATCH($C1453,'Policy Characteristics'!$C:$C,0)))</f>
        <v>research-and-development.html</v>
      </c>
    </row>
    <row r="1454" spans="1:18" x14ac:dyDescent="0.25">
      <c r="A1454" s="275" t="str">
        <f>IF(ISBLANK(INDEX('Policy Characteristics'!A:A,MATCH($C1454,'Policy Characteristics'!$C:$C,0))),"",INDEX('Policy Characteristics'!A:A,MATCH($C1454,'Policy Characteristics'!$C:$C,0)))</f>
        <v>Research and Development</v>
      </c>
      <c r="B1454" s="284" t="str">
        <f>IF(ISBLANK(INDEX('Policy Characteristics'!B:B,MATCH($C1454,'Policy Characteristics'!$C:$C,0))),"",INDEX('Policy Characteristics'!B:B,MATCH($C1454,'Policy Characteristics'!$C:$C,0)))</f>
        <v>Fuel Use Reduction</v>
      </c>
      <c r="C1454" s="275" t="str">
        <f t="shared" ref="C1454:C1477" si="68">C$1453</f>
        <v>RnD Industry Fuel Use Perc Reduction</v>
      </c>
      <c r="D1454" t="s">
        <v>3071</v>
      </c>
      <c r="E1454" s="47"/>
      <c r="F1454" s="6" t="s">
        <v>3098</v>
      </c>
      <c r="G1454" s="47"/>
      <c r="H1454" s="44">
        <v>1488</v>
      </c>
      <c r="I1454" s="346" t="s">
        <v>43</v>
      </c>
      <c r="J1454" s="276" t="str">
        <f>IF(ISBLANK(INDEX('Policy Characteristics'!D:D,MATCH($C1454,'Policy Characteristics'!$C:$C,0))),"",INDEX('Policy Characteristics'!D:D,MATCH($C1454,'Policy Characteristics'!$C:$C,0)))</f>
        <v>R&amp;D Fuel Use Reductions</v>
      </c>
      <c r="K1454" s="275" t="str">
        <f>IF(ISBLANK(INDEX('Policy Characteristics'!E:E,MATCH($C1454,'Policy Characteristics'!$C:$C,0))),"",INDEX('Policy Characteristics'!E:E,MATCH($C1454,'Policy Characteristics'!$C:$C,0)))</f>
        <v>RnD industry fuel use reduction</v>
      </c>
      <c r="L1454" s="283">
        <f>IF(ISBLANK(INDEX('Policy Characteristics'!F:F,MATCH($C1454,'Policy Characteristics'!$C:$C,0))),"",INDEX('Policy Characteristics'!F:F,MATCH($C1454,'Policy Characteristics'!$C:$C,0)))</f>
        <v>0</v>
      </c>
      <c r="M1454" s="283">
        <f>IF(ISBLANK(INDEX('Policy Characteristics'!G:G,MATCH($C1454,'Policy Characteristics'!$C:$C,0))),"",INDEX('Policy Characteristics'!G:G,MATCH($C1454,'Policy Characteristics'!$C:$C,0)))</f>
        <v>0.4</v>
      </c>
      <c r="N1454" s="283">
        <f>IF(ISBLANK(INDEX('Policy Characteristics'!H:H,MATCH($C1454,'Policy Characteristics'!$C:$C,0))),"",INDEX('Policy Characteristics'!H:H,MATCH($C1454,'Policy Characteristics'!$C:$C,0)))</f>
        <v>0.01</v>
      </c>
      <c r="O1454" s="275" t="str">
        <f>IF(ISBLANK(INDEX('Policy Characteristics'!I:I,MATCH($C1454,'Policy Characteristics'!$C:$C,0))),"",INDEX('Policy Characteristics'!I:I,MATCH($C1454,'Policy Characteristics'!$C:$C,0)))</f>
        <v>% reduction in fuel use</v>
      </c>
      <c r="P1454" s="275" t="str">
        <f>IF(ISBLANK(INDEX('Policy Characteristics'!J:J,MATCH($C1454,'Policy Characteristics'!$C:$C,0))),"",INDEX('Policy Characteristics'!J:J,MATCH($C1454,'Policy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4" s="275" t="str">
        <f>IF(ISBLANK(INDEX('Policy Characteristics'!K:K,MATCH($C1454,'Policy Characteristics'!$C:$C,0))),"",INDEX('Policy Characteristics'!K:K,MATCH($C1454,'Policy Characteristics'!$C:$C,0)))</f>
        <v>architectural-design.html#rnd</v>
      </c>
      <c r="R1454" s="275" t="str">
        <f>IF(ISBLANK(INDEX('Policy Characteristics'!L:L,MATCH($C1454,'Policy Characteristics'!$C:$C,0))),"",INDEX('Policy Characteristics'!L:L,MATCH($C1454,'Policy Characteristics'!$C:$C,0)))</f>
        <v>research-and-development.html</v>
      </c>
    </row>
    <row r="1455" spans="1:18" x14ac:dyDescent="0.25">
      <c r="A1455" s="275" t="str">
        <f>IF(ISBLANK(INDEX('Policy Characteristics'!A:A,MATCH($C1455,'Policy Characteristics'!$C:$C,0))),"",INDEX('Policy Characteristics'!A:A,MATCH($C1455,'Policy Characteristics'!$C:$C,0)))</f>
        <v>Research and Development</v>
      </c>
      <c r="B1455" s="284" t="str">
        <f>IF(ISBLANK(INDEX('Policy Characteristics'!B:B,MATCH($C1455,'Policy Characteristics'!$C:$C,0))),"",INDEX('Policy Characteristics'!B:B,MATCH($C1455,'Policy Characteristics'!$C:$C,0)))</f>
        <v>Fuel Use Reduction</v>
      </c>
      <c r="C1455" s="275" t="str">
        <f t="shared" si="68"/>
        <v>RnD Industry Fuel Use Perc Reduction</v>
      </c>
      <c r="D1455" t="s">
        <v>3072</v>
      </c>
      <c r="E1455" s="47"/>
      <c r="F1455" s="6" t="s">
        <v>3099</v>
      </c>
      <c r="G1455" s="47"/>
      <c r="H1455" s="44">
        <v>1489</v>
      </c>
      <c r="I1455" s="346" t="s">
        <v>43</v>
      </c>
      <c r="J1455" s="276" t="str">
        <f>IF(ISBLANK(INDEX('Policy Characteristics'!D:D,MATCH($C1455,'Policy Characteristics'!$C:$C,0))),"",INDEX('Policy Characteristics'!D:D,MATCH($C1455,'Policy Characteristics'!$C:$C,0)))</f>
        <v>R&amp;D Fuel Use Reductions</v>
      </c>
      <c r="K1455" s="275" t="str">
        <f>IF(ISBLANK(INDEX('Policy Characteristics'!E:E,MATCH($C1455,'Policy Characteristics'!$C:$C,0))),"",INDEX('Policy Characteristics'!E:E,MATCH($C1455,'Policy Characteristics'!$C:$C,0)))</f>
        <v>RnD industry fuel use reduction</v>
      </c>
      <c r="L1455" s="283">
        <f>IF(ISBLANK(INDEX('Policy Characteristics'!F:F,MATCH($C1455,'Policy Characteristics'!$C:$C,0))),"",INDEX('Policy Characteristics'!F:F,MATCH($C1455,'Policy Characteristics'!$C:$C,0)))</f>
        <v>0</v>
      </c>
      <c r="M1455" s="283">
        <f>IF(ISBLANK(INDEX('Policy Characteristics'!G:G,MATCH($C1455,'Policy Characteristics'!$C:$C,0))),"",INDEX('Policy Characteristics'!G:G,MATCH($C1455,'Policy Characteristics'!$C:$C,0)))</f>
        <v>0.4</v>
      </c>
      <c r="N1455" s="283">
        <f>IF(ISBLANK(INDEX('Policy Characteristics'!H:H,MATCH($C1455,'Policy Characteristics'!$C:$C,0))),"",INDEX('Policy Characteristics'!H:H,MATCH($C1455,'Policy Characteristics'!$C:$C,0)))</f>
        <v>0.01</v>
      </c>
      <c r="O1455" s="275" t="str">
        <f>IF(ISBLANK(INDEX('Policy Characteristics'!I:I,MATCH($C1455,'Policy Characteristics'!$C:$C,0))),"",INDEX('Policy Characteristics'!I:I,MATCH($C1455,'Policy Characteristics'!$C:$C,0)))</f>
        <v>% reduction in fuel use</v>
      </c>
      <c r="P1455" s="275" t="str">
        <f>IF(ISBLANK(INDEX('Policy Characteristics'!J:J,MATCH($C1455,'Policy Characteristics'!$C:$C,0))),"",INDEX('Policy Characteristics'!J:J,MATCH($C1455,'Policy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5" s="275" t="str">
        <f>IF(ISBLANK(INDEX('Policy Characteristics'!K:K,MATCH($C1455,'Policy Characteristics'!$C:$C,0))),"",INDEX('Policy Characteristics'!K:K,MATCH($C1455,'Policy Characteristics'!$C:$C,0)))</f>
        <v>architectural-design.html#rnd</v>
      </c>
      <c r="R1455" s="275" t="str">
        <f>IF(ISBLANK(INDEX('Policy Characteristics'!L:L,MATCH($C1455,'Policy Characteristics'!$C:$C,0))),"",INDEX('Policy Characteristics'!L:L,MATCH($C1455,'Policy Characteristics'!$C:$C,0)))</f>
        <v>research-and-development.html</v>
      </c>
    </row>
    <row r="1456" spans="1:18" x14ac:dyDescent="0.25">
      <c r="A1456" s="275" t="str">
        <f>IF(ISBLANK(INDEX('Policy Characteristics'!A:A,MATCH($C1456,'Policy Characteristics'!$C:$C,0))),"",INDEX('Policy Characteristics'!A:A,MATCH($C1456,'Policy Characteristics'!$C:$C,0)))</f>
        <v>Research and Development</v>
      </c>
      <c r="B1456" s="284" t="str">
        <f>IF(ISBLANK(INDEX('Policy Characteristics'!B:B,MATCH($C1456,'Policy Characteristics'!$C:$C,0))),"",INDEX('Policy Characteristics'!B:B,MATCH($C1456,'Policy Characteristics'!$C:$C,0)))</f>
        <v>Fuel Use Reduction</v>
      </c>
      <c r="C1456" s="275" t="str">
        <f t="shared" si="68"/>
        <v>RnD Industry Fuel Use Perc Reduction</v>
      </c>
      <c r="D1456" t="s">
        <v>3073</v>
      </c>
      <c r="E1456" s="47"/>
      <c r="F1456" s="6" t="s">
        <v>3100</v>
      </c>
      <c r="G1456" s="47"/>
      <c r="H1456" s="44">
        <v>1490</v>
      </c>
      <c r="I1456" s="346" t="s">
        <v>43</v>
      </c>
      <c r="J1456" s="276" t="str">
        <f>IF(ISBLANK(INDEX('Policy Characteristics'!D:D,MATCH($C1456,'Policy Characteristics'!$C:$C,0))),"",INDEX('Policy Characteristics'!D:D,MATCH($C1456,'Policy Characteristics'!$C:$C,0)))</f>
        <v>R&amp;D Fuel Use Reductions</v>
      </c>
      <c r="K1456" s="275" t="str">
        <f>IF(ISBLANK(INDEX('Policy Characteristics'!E:E,MATCH($C1456,'Policy Characteristics'!$C:$C,0))),"",INDEX('Policy Characteristics'!E:E,MATCH($C1456,'Policy Characteristics'!$C:$C,0)))</f>
        <v>RnD industry fuel use reduction</v>
      </c>
      <c r="L1456" s="283">
        <f>IF(ISBLANK(INDEX('Policy Characteristics'!F:F,MATCH($C1456,'Policy Characteristics'!$C:$C,0))),"",INDEX('Policy Characteristics'!F:F,MATCH($C1456,'Policy Characteristics'!$C:$C,0)))</f>
        <v>0</v>
      </c>
      <c r="M1456" s="283">
        <f>IF(ISBLANK(INDEX('Policy Characteristics'!G:G,MATCH($C1456,'Policy Characteristics'!$C:$C,0))),"",INDEX('Policy Characteristics'!G:G,MATCH($C1456,'Policy Characteristics'!$C:$C,0)))</f>
        <v>0.4</v>
      </c>
      <c r="N1456" s="283">
        <f>IF(ISBLANK(INDEX('Policy Characteristics'!H:H,MATCH($C1456,'Policy Characteristics'!$C:$C,0))),"",INDEX('Policy Characteristics'!H:H,MATCH($C1456,'Policy Characteristics'!$C:$C,0)))</f>
        <v>0.01</v>
      </c>
      <c r="O1456" s="275" t="str">
        <f>IF(ISBLANK(INDEX('Policy Characteristics'!I:I,MATCH($C1456,'Policy Characteristics'!$C:$C,0))),"",INDEX('Policy Characteristics'!I:I,MATCH($C1456,'Policy Characteristics'!$C:$C,0)))</f>
        <v>% reduction in fuel use</v>
      </c>
      <c r="P1456" s="275" t="str">
        <f>IF(ISBLANK(INDEX('Policy Characteristics'!J:J,MATCH($C1456,'Policy Characteristics'!$C:$C,0))),"",INDEX('Policy Characteristics'!J:J,MATCH($C1456,'Policy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6" s="275" t="str">
        <f>IF(ISBLANK(INDEX('Policy Characteristics'!K:K,MATCH($C1456,'Policy Characteristics'!$C:$C,0))),"",INDEX('Policy Characteristics'!K:K,MATCH($C1456,'Policy Characteristics'!$C:$C,0)))</f>
        <v>architectural-design.html#rnd</v>
      </c>
      <c r="R1456" s="275" t="str">
        <f>IF(ISBLANK(INDEX('Policy Characteristics'!L:L,MATCH($C1456,'Policy Characteristics'!$C:$C,0))),"",INDEX('Policy Characteristics'!L:L,MATCH($C1456,'Policy Characteristics'!$C:$C,0)))</f>
        <v>research-and-development.html</v>
      </c>
    </row>
    <row r="1457" spans="1:18" x14ac:dyDescent="0.25">
      <c r="A1457" s="275" t="str">
        <f>IF(ISBLANK(INDEX('Policy Characteristics'!A:A,MATCH($C1457,'Policy Characteristics'!$C:$C,0))),"",INDEX('Policy Characteristics'!A:A,MATCH($C1457,'Policy Characteristics'!$C:$C,0)))</f>
        <v>Research and Development</v>
      </c>
      <c r="B1457" s="284" t="str">
        <f>IF(ISBLANK(INDEX('Policy Characteristics'!B:B,MATCH($C1457,'Policy Characteristics'!$C:$C,0))),"",INDEX('Policy Characteristics'!B:B,MATCH($C1457,'Policy Characteristics'!$C:$C,0)))</f>
        <v>Fuel Use Reduction</v>
      </c>
      <c r="C1457" s="275" t="str">
        <f t="shared" si="68"/>
        <v>RnD Industry Fuel Use Perc Reduction</v>
      </c>
      <c r="D1457" t="s">
        <v>3074</v>
      </c>
      <c r="E1457" s="47"/>
      <c r="F1457" s="6" t="s">
        <v>3101</v>
      </c>
      <c r="G1457" s="47"/>
      <c r="H1457" s="44">
        <v>1491</v>
      </c>
      <c r="I1457" s="346" t="s">
        <v>43</v>
      </c>
      <c r="J1457" s="276" t="str">
        <f>IF(ISBLANK(INDEX('Policy Characteristics'!D:D,MATCH($C1457,'Policy Characteristics'!$C:$C,0))),"",INDEX('Policy Characteristics'!D:D,MATCH($C1457,'Policy Characteristics'!$C:$C,0)))</f>
        <v>R&amp;D Fuel Use Reductions</v>
      </c>
      <c r="K1457" s="275" t="str">
        <f>IF(ISBLANK(INDEX('Policy Characteristics'!E:E,MATCH($C1457,'Policy Characteristics'!$C:$C,0))),"",INDEX('Policy Characteristics'!E:E,MATCH($C1457,'Policy Characteristics'!$C:$C,0)))</f>
        <v>RnD industry fuel use reduction</v>
      </c>
      <c r="L1457" s="283">
        <f>IF(ISBLANK(INDEX('Policy Characteristics'!F:F,MATCH($C1457,'Policy Characteristics'!$C:$C,0))),"",INDEX('Policy Characteristics'!F:F,MATCH($C1457,'Policy Characteristics'!$C:$C,0)))</f>
        <v>0</v>
      </c>
      <c r="M1457" s="283">
        <f>IF(ISBLANK(INDEX('Policy Characteristics'!G:G,MATCH($C1457,'Policy Characteristics'!$C:$C,0))),"",INDEX('Policy Characteristics'!G:G,MATCH($C1457,'Policy Characteristics'!$C:$C,0)))</f>
        <v>0.4</v>
      </c>
      <c r="N1457" s="283">
        <f>IF(ISBLANK(INDEX('Policy Characteristics'!H:H,MATCH($C1457,'Policy Characteristics'!$C:$C,0))),"",INDEX('Policy Characteristics'!H:H,MATCH($C1457,'Policy Characteristics'!$C:$C,0)))</f>
        <v>0.01</v>
      </c>
      <c r="O1457" s="275" t="str">
        <f>IF(ISBLANK(INDEX('Policy Characteristics'!I:I,MATCH($C1457,'Policy Characteristics'!$C:$C,0))),"",INDEX('Policy Characteristics'!I:I,MATCH($C1457,'Policy Characteristics'!$C:$C,0)))</f>
        <v>% reduction in fuel use</v>
      </c>
      <c r="P1457" s="275" t="str">
        <f>IF(ISBLANK(INDEX('Policy Characteristics'!J:J,MATCH($C1457,'Policy Characteristics'!$C:$C,0))),"",INDEX('Policy Characteristics'!J:J,MATCH($C1457,'Policy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7" s="275" t="str">
        <f>IF(ISBLANK(INDEX('Policy Characteristics'!K:K,MATCH($C1457,'Policy Characteristics'!$C:$C,0))),"",INDEX('Policy Characteristics'!K:K,MATCH($C1457,'Policy Characteristics'!$C:$C,0)))</f>
        <v>architectural-design.html#rnd</v>
      </c>
      <c r="R1457" s="275" t="str">
        <f>IF(ISBLANK(INDEX('Policy Characteristics'!L:L,MATCH($C1457,'Policy Characteristics'!$C:$C,0))),"",INDEX('Policy Characteristics'!L:L,MATCH($C1457,'Policy Characteristics'!$C:$C,0)))</f>
        <v>research-and-development.html</v>
      </c>
    </row>
    <row r="1458" spans="1:18" x14ac:dyDescent="0.25">
      <c r="A1458" s="275" t="str">
        <f>IF(ISBLANK(INDEX('Policy Characteristics'!A:A,MATCH($C1458,'Policy Characteristics'!$C:$C,0))),"",INDEX('Policy Characteristics'!A:A,MATCH($C1458,'Policy Characteristics'!$C:$C,0)))</f>
        <v>Research and Development</v>
      </c>
      <c r="B1458" s="284" t="str">
        <f>IF(ISBLANK(INDEX('Policy Characteristics'!B:B,MATCH($C1458,'Policy Characteristics'!$C:$C,0))),"",INDEX('Policy Characteristics'!B:B,MATCH($C1458,'Policy Characteristics'!$C:$C,0)))</f>
        <v>Fuel Use Reduction</v>
      </c>
      <c r="C1458" s="275" t="str">
        <f t="shared" si="68"/>
        <v>RnD Industry Fuel Use Perc Reduction</v>
      </c>
      <c r="D1458" t="s">
        <v>3075</v>
      </c>
      <c r="E1458" s="47"/>
      <c r="F1458" s="6" t="s">
        <v>3102</v>
      </c>
      <c r="G1458" s="47"/>
      <c r="H1458" s="44">
        <v>1492</v>
      </c>
      <c r="I1458" s="346" t="s">
        <v>43</v>
      </c>
      <c r="J1458" s="276" t="str">
        <f>IF(ISBLANK(INDEX('Policy Characteristics'!D:D,MATCH($C1458,'Policy Characteristics'!$C:$C,0))),"",INDEX('Policy Characteristics'!D:D,MATCH($C1458,'Policy Characteristics'!$C:$C,0)))</f>
        <v>R&amp;D Fuel Use Reductions</v>
      </c>
      <c r="K1458" s="275" t="str">
        <f>IF(ISBLANK(INDEX('Policy Characteristics'!E:E,MATCH($C1458,'Policy Characteristics'!$C:$C,0))),"",INDEX('Policy Characteristics'!E:E,MATCH($C1458,'Policy Characteristics'!$C:$C,0)))</f>
        <v>RnD industry fuel use reduction</v>
      </c>
      <c r="L1458" s="283">
        <f>IF(ISBLANK(INDEX('Policy Characteristics'!F:F,MATCH($C1458,'Policy Characteristics'!$C:$C,0))),"",INDEX('Policy Characteristics'!F:F,MATCH($C1458,'Policy Characteristics'!$C:$C,0)))</f>
        <v>0</v>
      </c>
      <c r="M1458" s="283">
        <f>IF(ISBLANK(INDEX('Policy Characteristics'!G:G,MATCH($C1458,'Policy Characteristics'!$C:$C,0))),"",INDEX('Policy Characteristics'!G:G,MATCH($C1458,'Policy Characteristics'!$C:$C,0)))</f>
        <v>0.4</v>
      </c>
      <c r="N1458" s="283">
        <f>IF(ISBLANK(INDEX('Policy Characteristics'!H:H,MATCH($C1458,'Policy Characteristics'!$C:$C,0))),"",INDEX('Policy Characteristics'!H:H,MATCH($C1458,'Policy Characteristics'!$C:$C,0)))</f>
        <v>0.01</v>
      </c>
      <c r="O1458" s="275" t="str">
        <f>IF(ISBLANK(INDEX('Policy Characteristics'!I:I,MATCH($C1458,'Policy Characteristics'!$C:$C,0))),"",INDEX('Policy Characteristics'!I:I,MATCH($C1458,'Policy Characteristics'!$C:$C,0)))</f>
        <v>% reduction in fuel use</v>
      </c>
      <c r="P1458" s="275" t="str">
        <f>IF(ISBLANK(INDEX('Policy Characteristics'!J:J,MATCH($C1458,'Policy Characteristics'!$C:$C,0))),"",INDEX('Policy Characteristics'!J:J,MATCH($C1458,'Policy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8" s="275" t="str">
        <f>IF(ISBLANK(INDEX('Policy Characteristics'!K:K,MATCH($C1458,'Policy Characteristics'!$C:$C,0))),"",INDEX('Policy Characteristics'!K:K,MATCH($C1458,'Policy Characteristics'!$C:$C,0)))</f>
        <v>architectural-design.html#rnd</v>
      </c>
      <c r="R1458" s="275" t="str">
        <f>IF(ISBLANK(INDEX('Policy Characteristics'!L:L,MATCH($C1458,'Policy Characteristics'!$C:$C,0))),"",INDEX('Policy Characteristics'!L:L,MATCH($C1458,'Policy Characteristics'!$C:$C,0)))</f>
        <v>research-and-development.html</v>
      </c>
    </row>
    <row r="1459" spans="1:18" x14ac:dyDescent="0.25">
      <c r="A1459" s="275" t="str">
        <f>IF(ISBLANK(INDEX('Policy Characteristics'!A:A,MATCH($C1459,'Policy Characteristics'!$C:$C,0))),"",INDEX('Policy Characteristics'!A:A,MATCH($C1459,'Policy Characteristics'!$C:$C,0)))</f>
        <v>Research and Development</v>
      </c>
      <c r="B1459" s="284" t="str">
        <f>IF(ISBLANK(INDEX('Policy Characteristics'!B:B,MATCH($C1459,'Policy Characteristics'!$C:$C,0))),"",INDEX('Policy Characteristics'!B:B,MATCH($C1459,'Policy Characteristics'!$C:$C,0)))</f>
        <v>Fuel Use Reduction</v>
      </c>
      <c r="C1459" s="275" t="str">
        <f t="shared" si="68"/>
        <v>RnD Industry Fuel Use Perc Reduction</v>
      </c>
      <c r="D1459" t="s">
        <v>3076</v>
      </c>
      <c r="E1459" s="47"/>
      <c r="F1459" s="6" t="s">
        <v>3103</v>
      </c>
      <c r="G1459" s="47"/>
      <c r="H1459" s="44">
        <v>1493</v>
      </c>
      <c r="I1459" s="346" t="s">
        <v>43</v>
      </c>
      <c r="J1459" s="276" t="str">
        <f>IF(ISBLANK(INDEX('Policy Characteristics'!D:D,MATCH($C1459,'Policy Characteristics'!$C:$C,0))),"",INDEX('Policy Characteristics'!D:D,MATCH($C1459,'Policy Characteristics'!$C:$C,0)))</f>
        <v>R&amp;D Fuel Use Reductions</v>
      </c>
      <c r="K1459" s="275" t="str">
        <f>IF(ISBLANK(INDEX('Policy Characteristics'!E:E,MATCH($C1459,'Policy Characteristics'!$C:$C,0))),"",INDEX('Policy Characteristics'!E:E,MATCH($C1459,'Policy Characteristics'!$C:$C,0)))</f>
        <v>RnD industry fuel use reduction</v>
      </c>
      <c r="L1459" s="283">
        <f>IF(ISBLANK(INDEX('Policy Characteristics'!F:F,MATCH($C1459,'Policy Characteristics'!$C:$C,0))),"",INDEX('Policy Characteristics'!F:F,MATCH($C1459,'Policy Characteristics'!$C:$C,0)))</f>
        <v>0</v>
      </c>
      <c r="M1459" s="283">
        <f>IF(ISBLANK(INDEX('Policy Characteristics'!G:G,MATCH($C1459,'Policy Characteristics'!$C:$C,0))),"",INDEX('Policy Characteristics'!G:G,MATCH($C1459,'Policy Characteristics'!$C:$C,0)))</f>
        <v>0.4</v>
      </c>
      <c r="N1459" s="283">
        <f>IF(ISBLANK(INDEX('Policy Characteristics'!H:H,MATCH($C1459,'Policy Characteristics'!$C:$C,0))),"",INDEX('Policy Characteristics'!H:H,MATCH($C1459,'Policy Characteristics'!$C:$C,0)))</f>
        <v>0.01</v>
      </c>
      <c r="O1459" s="275" t="str">
        <f>IF(ISBLANK(INDEX('Policy Characteristics'!I:I,MATCH($C1459,'Policy Characteristics'!$C:$C,0))),"",INDEX('Policy Characteristics'!I:I,MATCH($C1459,'Policy Characteristics'!$C:$C,0)))</f>
        <v>% reduction in fuel use</v>
      </c>
      <c r="P1459" s="275" t="str">
        <f>IF(ISBLANK(INDEX('Policy Characteristics'!J:J,MATCH($C1459,'Policy Characteristics'!$C:$C,0))),"",INDEX('Policy Characteristics'!J:J,MATCH($C1459,'Policy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9" s="275" t="str">
        <f>IF(ISBLANK(INDEX('Policy Characteristics'!K:K,MATCH($C1459,'Policy Characteristics'!$C:$C,0))),"",INDEX('Policy Characteristics'!K:K,MATCH($C1459,'Policy Characteristics'!$C:$C,0)))</f>
        <v>architectural-design.html#rnd</v>
      </c>
      <c r="R1459" s="275" t="str">
        <f>IF(ISBLANK(INDEX('Policy Characteristics'!L:L,MATCH($C1459,'Policy Characteristics'!$C:$C,0))),"",INDEX('Policy Characteristics'!L:L,MATCH($C1459,'Policy Characteristics'!$C:$C,0)))</f>
        <v>research-and-development.html</v>
      </c>
    </row>
    <row r="1460" spans="1:18" x14ac:dyDescent="0.25">
      <c r="A1460" s="275" t="str">
        <f>IF(ISBLANK(INDEX('Policy Characteristics'!A:A,MATCH($C1460,'Policy Characteristics'!$C:$C,0))),"",INDEX('Policy Characteristics'!A:A,MATCH($C1460,'Policy Characteristics'!$C:$C,0)))</f>
        <v>Research and Development</v>
      </c>
      <c r="B1460" s="284" t="str">
        <f>IF(ISBLANK(INDEX('Policy Characteristics'!B:B,MATCH($C1460,'Policy Characteristics'!$C:$C,0))),"",INDEX('Policy Characteristics'!B:B,MATCH($C1460,'Policy Characteristics'!$C:$C,0)))</f>
        <v>Fuel Use Reduction</v>
      </c>
      <c r="C1460" s="275" t="str">
        <f t="shared" si="68"/>
        <v>RnD Industry Fuel Use Perc Reduction</v>
      </c>
      <c r="D1460" t="s">
        <v>3077</v>
      </c>
      <c r="E1460" s="47"/>
      <c r="F1460" s="6" t="s">
        <v>3104</v>
      </c>
      <c r="G1460" s="47"/>
      <c r="H1460" s="44">
        <v>1494</v>
      </c>
      <c r="I1460" s="346" t="s">
        <v>43</v>
      </c>
      <c r="J1460" s="276" t="str">
        <f>IF(ISBLANK(INDEX('Policy Characteristics'!D:D,MATCH($C1460,'Policy Characteristics'!$C:$C,0))),"",INDEX('Policy Characteristics'!D:D,MATCH($C1460,'Policy Characteristics'!$C:$C,0)))</f>
        <v>R&amp;D Fuel Use Reductions</v>
      </c>
      <c r="K1460" s="275" t="str">
        <f>IF(ISBLANK(INDEX('Policy Characteristics'!E:E,MATCH($C1460,'Policy Characteristics'!$C:$C,0))),"",INDEX('Policy Characteristics'!E:E,MATCH($C1460,'Policy Characteristics'!$C:$C,0)))</f>
        <v>RnD industry fuel use reduction</v>
      </c>
      <c r="L1460" s="283">
        <f>IF(ISBLANK(INDEX('Policy Characteristics'!F:F,MATCH($C1460,'Policy Characteristics'!$C:$C,0))),"",INDEX('Policy Characteristics'!F:F,MATCH($C1460,'Policy Characteristics'!$C:$C,0)))</f>
        <v>0</v>
      </c>
      <c r="M1460" s="283">
        <f>IF(ISBLANK(INDEX('Policy Characteristics'!G:G,MATCH($C1460,'Policy Characteristics'!$C:$C,0))),"",INDEX('Policy Characteristics'!G:G,MATCH($C1460,'Policy Characteristics'!$C:$C,0)))</f>
        <v>0.4</v>
      </c>
      <c r="N1460" s="283">
        <f>IF(ISBLANK(INDEX('Policy Characteristics'!H:H,MATCH($C1460,'Policy Characteristics'!$C:$C,0))),"",INDEX('Policy Characteristics'!H:H,MATCH($C1460,'Policy Characteristics'!$C:$C,0)))</f>
        <v>0.01</v>
      </c>
      <c r="O1460" s="275" t="str">
        <f>IF(ISBLANK(INDEX('Policy Characteristics'!I:I,MATCH($C1460,'Policy Characteristics'!$C:$C,0))),"",INDEX('Policy Characteristics'!I:I,MATCH($C1460,'Policy Characteristics'!$C:$C,0)))</f>
        <v>% reduction in fuel use</v>
      </c>
      <c r="P1460" s="275" t="str">
        <f>IF(ISBLANK(INDEX('Policy Characteristics'!J:J,MATCH($C1460,'Policy Characteristics'!$C:$C,0))),"",INDEX('Policy Characteristics'!J:J,MATCH($C1460,'Policy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0" s="275" t="str">
        <f>IF(ISBLANK(INDEX('Policy Characteristics'!K:K,MATCH($C1460,'Policy Characteristics'!$C:$C,0))),"",INDEX('Policy Characteristics'!K:K,MATCH($C1460,'Policy Characteristics'!$C:$C,0)))</f>
        <v>architectural-design.html#rnd</v>
      </c>
      <c r="R1460" s="275" t="str">
        <f>IF(ISBLANK(INDEX('Policy Characteristics'!L:L,MATCH($C1460,'Policy Characteristics'!$C:$C,0))),"",INDEX('Policy Characteristics'!L:L,MATCH($C1460,'Policy Characteristics'!$C:$C,0)))</f>
        <v>research-and-development.html</v>
      </c>
    </row>
    <row r="1461" spans="1:18" x14ac:dyDescent="0.25">
      <c r="A1461" s="275" t="str">
        <f>IF(ISBLANK(INDEX('Policy Characteristics'!A:A,MATCH($C1461,'Policy Characteristics'!$C:$C,0))),"",INDEX('Policy Characteristics'!A:A,MATCH($C1461,'Policy Characteristics'!$C:$C,0)))</f>
        <v>Research and Development</v>
      </c>
      <c r="B1461" s="284" t="str">
        <f>IF(ISBLANK(INDEX('Policy Characteristics'!B:B,MATCH($C1461,'Policy Characteristics'!$C:$C,0))),"",INDEX('Policy Characteristics'!B:B,MATCH($C1461,'Policy Characteristics'!$C:$C,0)))</f>
        <v>Fuel Use Reduction</v>
      </c>
      <c r="C1461" s="275" t="str">
        <f t="shared" si="68"/>
        <v>RnD Industry Fuel Use Perc Reduction</v>
      </c>
      <c r="D1461" t="s">
        <v>3078</v>
      </c>
      <c r="E1461" s="47"/>
      <c r="F1461" s="6" t="s">
        <v>3105</v>
      </c>
      <c r="G1461" s="47"/>
      <c r="H1461" s="44">
        <v>1495</v>
      </c>
      <c r="I1461" s="346" t="s">
        <v>43</v>
      </c>
      <c r="J1461" s="276" t="str">
        <f>IF(ISBLANK(INDEX('Policy Characteristics'!D:D,MATCH($C1461,'Policy Characteristics'!$C:$C,0))),"",INDEX('Policy Characteristics'!D:D,MATCH($C1461,'Policy Characteristics'!$C:$C,0)))</f>
        <v>R&amp;D Fuel Use Reductions</v>
      </c>
      <c r="K1461" s="275" t="str">
        <f>IF(ISBLANK(INDEX('Policy Characteristics'!E:E,MATCH($C1461,'Policy Characteristics'!$C:$C,0))),"",INDEX('Policy Characteristics'!E:E,MATCH($C1461,'Policy Characteristics'!$C:$C,0)))</f>
        <v>RnD industry fuel use reduction</v>
      </c>
      <c r="L1461" s="283">
        <f>IF(ISBLANK(INDEX('Policy Characteristics'!F:F,MATCH($C1461,'Policy Characteristics'!$C:$C,0))),"",INDEX('Policy Characteristics'!F:F,MATCH($C1461,'Policy Characteristics'!$C:$C,0)))</f>
        <v>0</v>
      </c>
      <c r="M1461" s="283">
        <f>IF(ISBLANK(INDEX('Policy Characteristics'!G:G,MATCH($C1461,'Policy Characteristics'!$C:$C,0))),"",INDEX('Policy Characteristics'!G:G,MATCH($C1461,'Policy Characteristics'!$C:$C,0)))</f>
        <v>0.4</v>
      </c>
      <c r="N1461" s="283">
        <f>IF(ISBLANK(INDEX('Policy Characteristics'!H:H,MATCH($C1461,'Policy Characteristics'!$C:$C,0))),"",INDEX('Policy Characteristics'!H:H,MATCH($C1461,'Policy Characteristics'!$C:$C,0)))</f>
        <v>0.01</v>
      </c>
      <c r="O1461" s="275" t="str">
        <f>IF(ISBLANK(INDEX('Policy Characteristics'!I:I,MATCH($C1461,'Policy Characteristics'!$C:$C,0))),"",INDEX('Policy Characteristics'!I:I,MATCH($C1461,'Policy Characteristics'!$C:$C,0)))</f>
        <v>% reduction in fuel use</v>
      </c>
      <c r="P1461" s="275" t="str">
        <f>IF(ISBLANK(INDEX('Policy Characteristics'!J:J,MATCH($C1461,'Policy Characteristics'!$C:$C,0))),"",INDEX('Policy Characteristics'!J:J,MATCH($C1461,'Policy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1" s="275" t="str">
        <f>IF(ISBLANK(INDEX('Policy Characteristics'!K:K,MATCH($C1461,'Policy Characteristics'!$C:$C,0))),"",INDEX('Policy Characteristics'!K:K,MATCH($C1461,'Policy Characteristics'!$C:$C,0)))</f>
        <v>architectural-design.html#rnd</v>
      </c>
      <c r="R1461" s="275" t="str">
        <f>IF(ISBLANK(INDEX('Policy Characteristics'!L:L,MATCH($C1461,'Policy Characteristics'!$C:$C,0))),"",INDEX('Policy Characteristics'!L:L,MATCH($C1461,'Policy Characteristics'!$C:$C,0)))</f>
        <v>research-and-development.html</v>
      </c>
    </row>
    <row r="1462" spans="1:18" x14ac:dyDescent="0.25">
      <c r="A1462" s="275" t="str">
        <f>IF(ISBLANK(INDEX('Policy Characteristics'!A:A,MATCH($C1462,'Policy Characteristics'!$C:$C,0))),"",INDEX('Policy Characteristics'!A:A,MATCH($C1462,'Policy Characteristics'!$C:$C,0)))</f>
        <v>Research and Development</v>
      </c>
      <c r="B1462" s="284" t="str">
        <f>IF(ISBLANK(INDEX('Policy Characteristics'!B:B,MATCH($C1462,'Policy Characteristics'!$C:$C,0))),"",INDEX('Policy Characteristics'!B:B,MATCH($C1462,'Policy Characteristics'!$C:$C,0)))</f>
        <v>Fuel Use Reduction</v>
      </c>
      <c r="C1462" s="275" t="str">
        <f t="shared" si="68"/>
        <v>RnD Industry Fuel Use Perc Reduction</v>
      </c>
      <c r="D1462" t="s">
        <v>3079</v>
      </c>
      <c r="E1462" s="47"/>
      <c r="F1462" s="6" t="s">
        <v>327</v>
      </c>
      <c r="G1462" s="47"/>
      <c r="H1462" s="44">
        <v>1496</v>
      </c>
      <c r="I1462" s="346" t="s">
        <v>43</v>
      </c>
      <c r="J1462" s="276" t="str">
        <f>IF(ISBLANK(INDEX('Policy Characteristics'!D:D,MATCH($C1462,'Policy Characteristics'!$C:$C,0))),"",INDEX('Policy Characteristics'!D:D,MATCH($C1462,'Policy Characteristics'!$C:$C,0)))</f>
        <v>R&amp;D Fuel Use Reductions</v>
      </c>
      <c r="K1462" s="275" t="str">
        <f>IF(ISBLANK(INDEX('Policy Characteristics'!E:E,MATCH($C1462,'Policy Characteristics'!$C:$C,0))),"",INDEX('Policy Characteristics'!E:E,MATCH($C1462,'Policy Characteristics'!$C:$C,0)))</f>
        <v>RnD industry fuel use reduction</v>
      </c>
      <c r="L1462" s="283">
        <f>IF(ISBLANK(INDEX('Policy Characteristics'!F:F,MATCH($C1462,'Policy Characteristics'!$C:$C,0))),"",INDEX('Policy Characteristics'!F:F,MATCH($C1462,'Policy Characteristics'!$C:$C,0)))</f>
        <v>0</v>
      </c>
      <c r="M1462" s="283">
        <f>IF(ISBLANK(INDEX('Policy Characteristics'!G:G,MATCH($C1462,'Policy Characteristics'!$C:$C,0))),"",INDEX('Policy Characteristics'!G:G,MATCH($C1462,'Policy Characteristics'!$C:$C,0)))</f>
        <v>0.4</v>
      </c>
      <c r="N1462" s="283">
        <f>IF(ISBLANK(INDEX('Policy Characteristics'!H:H,MATCH($C1462,'Policy Characteristics'!$C:$C,0))),"",INDEX('Policy Characteristics'!H:H,MATCH($C1462,'Policy Characteristics'!$C:$C,0)))</f>
        <v>0.01</v>
      </c>
      <c r="O1462" s="275" t="str">
        <f>IF(ISBLANK(INDEX('Policy Characteristics'!I:I,MATCH($C1462,'Policy Characteristics'!$C:$C,0))),"",INDEX('Policy Characteristics'!I:I,MATCH($C1462,'Policy Characteristics'!$C:$C,0)))</f>
        <v>% reduction in fuel use</v>
      </c>
      <c r="P1462" s="275" t="str">
        <f>IF(ISBLANK(INDEX('Policy Characteristics'!J:J,MATCH($C1462,'Policy Characteristics'!$C:$C,0))),"",INDEX('Policy Characteristics'!J:J,MATCH($C1462,'Policy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2" s="275" t="str">
        <f>IF(ISBLANK(INDEX('Policy Characteristics'!K:K,MATCH($C1462,'Policy Characteristics'!$C:$C,0))),"",INDEX('Policy Characteristics'!K:K,MATCH($C1462,'Policy Characteristics'!$C:$C,0)))</f>
        <v>architectural-design.html#rnd</v>
      </c>
      <c r="R1462" s="275" t="str">
        <f>IF(ISBLANK(INDEX('Policy Characteristics'!L:L,MATCH($C1462,'Policy Characteristics'!$C:$C,0))),"",INDEX('Policy Characteristics'!L:L,MATCH($C1462,'Policy Characteristics'!$C:$C,0)))</f>
        <v>research-and-development.html</v>
      </c>
    </row>
    <row r="1463" spans="1:18" x14ac:dyDescent="0.25">
      <c r="A1463" s="275" t="str">
        <f>IF(ISBLANK(INDEX('Policy Characteristics'!A:A,MATCH($C1463,'Policy Characteristics'!$C:$C,0))),"",INDEX('Policy Characteristics'!A:A,MATCH($C1463,'Policy Characteristics'!$C:$C,0)))</f>
        <v>Research and Development</v>
      </c>
      <c r="B1463" s="284" t="str">
        <f>IF(ISBLANK(INDEX('Policy Characteristics'!B:B,MATCH($C1463,'Policy Characteristics'!$C:$C,0))),"",INDEX('Policy Characteristics'!B:B,MATCH($C1463,'Policy Characteristics'!$C:$C,0)))</f>
        <v>Fuel Use Reduction</v>
      </c>
      <c r="C1463" s="275" t="str">
        <f t="shared" si="68"/>
        <v>RnD Industry Fuel Use Perc Reduction</v>
      </c>
      <c r="D1463" t="s">
        <v>3080</v>
      </c>
      <c r="E1463" s="47"/>
      <c r="F1463" s="6" t="s">
        <v>3106</v>
      </c>
      <c r="G1463" s="47"/>
      <c r="H1463" s="44">
        <v>1497</v>
      </c>
      <c r="I1463" s="346" t="s">
        <v>43</v>
      </c>
      <c r="J1463" s="276" t="str">
        <f>IF(ISBLANK(INDEX('Policy Characteristics'!D:D,MATCH($C1463,'Policy Characteristics'!$C:$C,0))),"",INDEX('Policy Characteristics'!D:D,MATCH($C1463,'Policy Characteristics'!$C:$C,0)))</f>
        <v>R&amp;D Fuel Use Reductions</v>
      </c>
      <c r="K1463" s="275" t="str">
        <f>IF(ISBLANK(INDEX('Policy Characteristics'!E:E,MATCH($C1463,'Policy Characteristics'!$C:$C,0))),"",INDEX('Policy Characteristics'!E:E,MATCH($C1463,'Policy Characteristics'!$C:$C,0)))</f>
        <v>RnD industry fuel use reduction</v>
      </c>
      <c r="L1463" s="283">
        <f>IF(ISBLANK(INDEX('Policy Characteristics'!F:F,MATCH($C1463,'Policy Characteristics'!$C:$C,0))),"",INDEX('Policy Characteristics'!F:F,MATCH($C1463,'Policy Characteristics'!$C:$C,0)))</f>
        <v>0</v>
      </c>
      <c r="M1463" s="283">
        <f>IF(ISBLANK(INDEX('Policy Characteristics'!G:G,MATCH($C1463,'Policy Characteristics'!$C:$C,0))),"",INDEX('Policy Characteristics'!G:G,MATCH($C1463,'Policy Characteristics'!$C:$C,0)))</f>
        <v>0.4</v>
      </c>
      <c r="N1463" s="283">
        <f>IF(ISBLANK(INDEX('Policy Characteristics'!H:H,MATCH($C1463,'Policy Characteristics'!$C:$C,0))),"",INDEX('Policy Characteristics'!H:H,MATCH($C1463,'Policy Characteristics'!$C:$C,0)))</f>
        <v>0.01</v>
      </c>
      <c r="O1463" s="275" t="str">
        <f>IF(ISBLANK(INDEX('Policy Characteristics'!I:I,MATCH($C1463,'Policy Characteristics'!$C:$C,0))),"",INDEX('Policy Characteristics'!I:I,MATCH($C1463,'Policy Characteristics'!$C:$C,0)))</f>
        <v>% reduction in fuel use</v>
      </c>
      <c r="P1463" s="275" t="str">
        <f>IF(ISBLANK(INDEX('Policy Characteristics'!J:J,MATCH($C1463,'Policy Characteristics'!$C:$C,0))),"",INDEX('Policy Characteristics'!J:J,MATCH($C1463,'Policy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3" s="275" t="str">
        <f>IF(ISBLANK(INDEX('Policy Characteristics'!K:K,MATCH($C1463,'Policy Characteristics'!$C:$C,0))),"",INDEX('Policy Characteristics'!K:K,MATCH($C1463,'Policy Characteristics'!$C:$C,0)))</f>
        <v>architectural-design.html#rnd</v>
      </c>
      <c r="R1463" s="275" t="str">
        <f>IF(ISBLANK(INDEX('Policy Characteristics'!L:L,MATCH($C1463,'Policy Characteristics'!$C:$C,0))),"",INDEX('Policy Characteristics'!L:L,MATCH($C1463,'Policy Characteristics'!$C:$C,0)))</f>
        <v>research-and-development.html</v>
      </c>
    </row>
    <row r="1464" spans="1:18" x14ac:dyDescent="0.25">
      <c r="A1464" s="275" t="str">
        <f>IF(ISBLANK(INDEX('Policy Characteristics'!A:A,MATCH($C1464,'Policy Characteristics'!$C:$C,0))),"",INDEX('Policy Characteristics'!A:A,MATCH($C1464,'Policy Characteristics'!$C:$C,0)))</f>
        <v>Research and Development</v>
      </c>
      <c r="B1464" s="284" t="str">
        <f>IF(ISBLANK(INDEX('Policy Characteristics'!B:B,MATCH($C1464,'Policy Characteristics'!$C:$C,0))),"",INDEX('Policy Characteristics'!B:B,MATCH($C1464,'Policy Characteristics'!$C:$C,0)))</f>
        <v>Fuel Use Reduction</v>
      </c>
      <c r="C1464" s="275" t="str">
        <f t="shared" si="68"/>
        <v>RnD Industry Fuel Use Perc Reduction</v>
      </c>
      <c r="D1464" t="s">
        <v>3081</v>
      </c>
      <c r="E1464" s="47"/>
      <c r="F1464" s="6" t="s">
        <v>3107</v>
      </c>
      <c r="G1464" s="47"/>
      <c r="H1464" s="44">
        <v>1498</v>
      </c>
      <c r="I1464" s="346" t="s">
        <v>43</v>
      </c>
      <c r="J1464" s="276" t="str">
        <f>IF(ISBLANK(INDEX('Policy Characteristics'!D:D,MATCH($C1464,'Policy Characteristics'!$C:$C,0))),"",INDEX('Policy Characteristics'!D:D,MATCH($C1464,'Policy Characteristics'!$C:$C,0)))</f>
        <v>R&amp;D Fuel Use Reductions</v>
      </c>
      <c r="K1464" s="275" t="str">
        <f>IF(ISBLANK(INDEX('Policy Characteristics'!E:E,MATCH($C1464,'Policy Characteristics'!$C:$C,0))),"",INDEX('Policy Characteristics'!E:E,MATCH($C1464,'Policy Characteristics'!$C:$C,0)))</f>
        <v>RnD industry fuel use reduction</v>
      </c>
      <c r="L1464" s="283">
        <f>IF(ISBLANK(INDEX('Policy Characteristics'!F:F,MATCH($C1464,'Policy Characteristics'!$C:$C,0))),"",INDEX('Policy Characteristics'!F:F,MATCH($C1464,'Policy Characteristics'!$C:$C,0)))</f>
        <v>0</v>
      </c>
      <c r="M1464" s="283">
        <f>IF(ISBLANK(INDEX('Policy Characteristics'!G:G,MATCH($C1464,'Policy Characteristics'!$C:$C,0))),"",INDEX('Policy Characteristics'!G:G,MATCH($C1464,'Policy Characteristics'!$C:$C,0)))</f>
        <v>0.4</v>
      </c>
      <c r="N1464" s="283">
        <f>IF(ISBLANK(INDEX('Policy Characteristics'!H:H,MATCH($C1464,'Policy Characteristics'!$C:$C,0))),"",INDEX('Policy Characteristics'!H:H,MATCH($C1464,'Policy Characteristics'!$C:$C,0)))</f>
        <v>0.01</v>
      </c>
      <c r="O1464" s="275" t="str">
        <f>IF(ISBLANK(INDEX('Policy Characteristics'!I:I,MATCH($C1464,'Policy Characteristics'!$C:$C,0))),"",INDEX('Policy Characteristics'!I:I,MATCH($C1464,'Policy Characteristics'!$C:$C,0)))</f>
        <v>% reduction in fuel use</v>
      </c>
      <c r="P1464" s="275" t="str">
        <f>IF(ISBLANK(INDEX('Policy Characteristics'!J:J,MATCH($C1464,'Policy Characteristics'!$C:$C,0))),"",INDEX('Policy Characteristics'!J:J,MATCH($C1464,'Policy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4" s="275" t="str">
        <f>IF(ISBLANK(INDEX('Policy Characteristics'!K:K,MATCH($C1464,'Policy Characteristics'!$C:$C,0))),"",INDEX('Policy Characteristics'!K:K,MATCH($C1464,'Policy Characteristics'!$C:$C,0)))</f>
        <v>architectural-design.html#rnd</v>
      </c>
      <c r="R1464" s="275" t="str">
        <f>IF(ISBLANK(INDEX('Policy Characteristics'!L:L,MATCH($C1464,'Policy Characteristics'!$C:$C,0))),"",INDEX('Policy Characteristics'!L:L,MATCH($C1464,'Policy Characteristics'!$C:$C,0)))</f>
        <v>research-and-development.html</v>
      </c>
    </row>
    <row r="1465" spans="1:18" x14ac:dyDescent="0.25">
      <c r="A1465" s="275" t="str">
        <f>IF(ISBLANK(INDEX('Policy Characteristics'!A:A,MATCH($C1465,'Policy Characteristics'!$C:$C,0))),"",INDEX('Policy Characteristics'!A:A,MATCH($C1465,'Policy Characteristics'!$C:$C,0)))</f>
        <v>Research and Development</v>
      </c>
      <c r="B1465" s="284" t="str">
        <f>IF(ISBLANK(INDEX('Policy Characteristics'!B:B,MATCH($C1465,'Policy Characteristics'!$C:$C,0))),"",INDEX('Policy Characteristics'!B:B,MATCH($C1465,'Policy Characteristics'!$C:$C,0)))</f>
        <v>Fuel Use Reduction</v>
      </c>
      <c r="C1465" s="275" t="str">
        <f t="shared" si="68"/>
        <v>RnD Industry Fuel Use Perc Reduction</v>
      </c>
      <c r="D1465" t="s">
        <v>3082</v>
      </c>
      <c r="E1465" s="47"/>
      <c r="F1465" s="6" t="s">
        <v>3108</v>
      </c>
      <c r="G1465" s="47"/>
      <c r="H1465" s="44">
        <v>1499</v>
      </c>
      <c r="I1465" s="346" t="s">
        <v>43</v>
      </c>
      <c r="J1465" s="276" t="str">
        <f>IF(ISBLANK(INDEX('Policy Characteristics'!D:D,MATCH($C1465,'Policy Characteristics'!$C:$C,0))),"",INDEX('Policy Characteristics'!D:D,MATCH($C1465,'Policy Characteristics'!$C:$C,0)))</f>
        <v>R&amp;D Fuel Use Reductions</v>
      </c>
      <c r="K1465" s="275" t="str">
        <f>IF(ISBLANK(INDEX('Policy Characteristics'!E:E,MATCH($C1465,'Policy Characteristics'!$C:$C,0))),"",INDEX('Policy Characteristics'!E:E,MATCH($C1465,'Policy Characteristics'!$C:$C,0)))</f>
        <v>RnD industry fuel use reduction</v>
      </c>
      <c r="L1465" s="283">
        <f>IF(ISBLANK(INDEX('Policy Characteristics'!F:F,MATCH($C1465,'Policy Characteristics'!$C:$C,0))),"",INDEX('Policy Characteristics'!F:F,MATCH($C1465,'Policy Characteristics'!$C:$C,0)))</f>
        <v>0</v>
      </c>
      <c r="M1465" s="283">
        <f>IF(ISBLANK(INDEX('Policy Characteristics'!G:G,MATCH($C1465,'Policy Characteristics'!$C:$C,0))),"",INDEX('Policy Characteristics'!G:G,MATCH($C1465,'Policy Characteristics'!$C:$C,0)))</f>
        <v>0.4</v>
      </c>
      <c r="N1465" s="283">
        <f>IF(ISBLANK(INDEX('Policy Characteristics'!H:H,MATCH($C1465,'Policy Characteristics'!$C:$C,0))),"",INDEX('Policy Characteristics'!H:H,MATCH($C1465,'Policy Characteristics'!$C:$C,0)))</f>
        <v>0.01</v>
      </c>
      <c r="O1465" s="275" t="str">
        <f>IF(ISBLANK(INDEX('Policy Characteristics'!I:I,MATCH($C1465,'Policy Characteristics'!$C:$C,0))),"",INDEX('Policy Characteristics'!I:I,MATCH($C1465,'Policy Characteristics'!$C:$C,0)))</f>
        <v>% reduction in fuel use</v>
      </c>
      <c r="P1465" s="275" t="str">
        <f>IF(ISBLANK(INDEX('Policy Characteristics'!J:J,MATCH($C1465,'Policy Characteristics'!$C:$C,0))),"",INDEX('Policy Characteristics'!J:J,MATCH($C1465,'Policy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5" s="275" t="str">
        <f>IF(ISBLANK(INDEX('Policy Characteristics'!K:K,MATCH($C1465,'Policy Characteristics'!$C:$C,0))),"",INDEX('Policy Characteristics'!K:K,MATCH($C1465,'Policy Characteristics'!$C:$C,0)))</f>
        <v>architectural-design.html#rnd</v>
      </c>
      <c r="R1465" s="275" t="str">
        <f>IF(ISBLANK(INDEX('Policy Characteristics'!L:L,MATCH($C1465,'Policy Characteristics'!$C:$C,0))),"",INDEX('Policy Characteristics'!L:L,MATCH($C1465,'Policy Characteristics'!$C:$C,0)))</f>
        <v>research-and-development.html</v>
      </c>
    </row>
    <row r="1466" spans="1:18" x14ac:dyDescent="0.25">
      <c r="A1466" s="275" t="str">
        <f>IF(ISBLANK(INDEX('Policy Characteristics'!A:A,MATCH($C1466,'Policy Characteristics'!$C:$C,0))),"",INDEX('Policy Characteristics'!A:A,MATCH($C1466,'Policy Characteristics'!$C:$C,0)))</f>
        <v>Research and Development</v>
      </c>
      <c r="B1466" s="284" t="str">
        <f>IF(ISBLANK(INDEX('Policy Characteristics'!B:B,MATCH($C1466,'Policy Characteristics'!$C:$C,0))),"",INDEX('Policy Characteristics'!B:B,MATCH($C1466,'Policy Characteristics'!$C:$C,0)))</f>
        <v>Fuel Use Reduction</v>
      </c>
      <c r="C1466" s="275" t="str">
        <f t="shared" si="68"/>
        <v>RnD Industry Fuel Use Perc Reduction</v>
      </c>
      <c r="D1466" t="s">
        <v>3083</v>
      </c>
      <c r="E1466" s="47"/>
      <c r="F1466" s="6" t="s">
        <v>326</v>
      </c>
      <c r="G1466" s="47"/>
      <c r="H1466" s="44">
        <v>1500</v>
      </c>
      <c r="I1466" s="346" t="s">
        <v>43</v>
      </c>
      <c r="J1466" s="276" t="str">
        <f>IF(ISBLANK(INDEX('Policy Characteristics'!D:D,MATCH($C1466,'Policy Characteristics'!$C:$C,0))),"",INDEX('Policy Characteristics'!D:D,MATCH($C1466,'Policy Characteristics'!$C:$C,0)))</f>
        <v>R&amp;D Fuel Use Reductions</v>
      </c>
      <c r="K1466" s="275" t="str">
        <f>IF(ISBLANK(INDEX('Policy Characteristics'!E:E,MATCH($C1466,'Policy Characteristics'!$C:$C,0))),"",INDEX('Policy Characteristics'!E:E,MATCH($C1466,'Policy Characteristics'!$C:$C,0)))</f>
        <v>RnD industry fuel use reduction</v>
      </c>
      <c r="L1466" s="283">
        <f>IF(ISBLANK(INDEX('Policy Characteristics'!F:F,MATCH($C1466,'Policy Characteristics'!$C:$C,0))),"",INDEX('Policy Characteristics'!F:F,MATCH($C1466,'Policy Characteristics'!$C:$C,0)))</f>
        <v>0</v>
      </c>
      <c r="M1466" s="283">
        <f>IF(ISBLANK(INDEX('Policy Characteristics'!G:G,MATCH($C1466,'Policy Characteristics'!$C:$C,0))),"",INDEX('Policy Characteristics'!G:G,MATCH($C1466,'Policy Characteristics'!$C:$C,0)))</f>
        <v>0.4</v>
      </c>
      <c r="N1466" s="283">
        <f>IF(ISBLANK(INDEX('Policy Characteristics'!H:H,MATCH($C1466,'Policy Characteristics'!$C:$C,0))),"",INDEX('Policy Characteristics'!H:H,MATCH($C1466,'Policy Characteristics'!$C:$C,0)))</f>
        <v>0.01</v>
      </c>
      <c r="O1466" s="275" t="str">
        <f>IF(ISBLANK(INDEX('Policy Characteristics'!I:I,MATCH($C1466,'Policy Characteristics'!$C:$C,0))),"",INDEX('Policy Characteristics'!I:I,MATCH($C1466,'Policy Characteristics'!$C:$C,0)))</f>
        <v>% reduction in fuel use</v>
      </c>
      <c r="P1466" s="275" t="str">
        <f>IF(ISBLANK(INDEX('Policy Characteristics'!J:J,MATCH($C1466,'Policy Characteristics'!$C:$C,0))),"",INDEX('Policy Characteristics'!J:J,MATCH($C1466,'Policy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6" s="275" t="str">
        <f>IF(ISBLANK(INDEX('Policy Characteristics'!K:K,MATCH($C1466,'Policy Characteristics'!$C:$C,0))),"",INDEX('Policy Characteristics'!K:K,MATCH($C1466,'Policy Characteristics'!$C:$C,0)))</f>
        <v>architectural-design.html#rnd</v>
      </c>
      <c r="R1466" s="275" t="str">
        <f>IF(ISBLANK(INDEX('Policy Characteristics'!L:L,MATCH($C1466,'Policy Characteristics'!$C:$C,0))),"",INDEX('Policy Characteristics'!L:L,MATCH($C1466,'Policy Characteristics'!$C:$C,0)))</f>
        <v>research-and-development.html</v>
      </c>
    </row>
    <row r="1467" spans="1:18" x14ac:dyDescent="0.25">
      <c r="A1467" s="275" t="str">
        <f>IF(ISBLANK(INDEX('Policy Characteristics'!A:A,MATCH($C1467,'Policy Characteristics'!$C:$C,0))),"",INDEX('Policy Characteristics'!A:A,MATCH($C1467,'Policy Characteristics'!$C:$C,0)))</f>
        <v>Research and Development</v>
      </c>
      <c r="B1467" s="284" t="str">
        <f>IF(ISBLANK(INDEX('Policy Characteristics'!B:B,MATCH($C1467,'Policy Characteristics'!$C:$C,0))),"",INDEX('Policy Characteristics'!B:B,MATCH($C1467,'Policy Characteristics'!$C:$C,0)))</f>
        <v>Fuel Use Reduction</v>
      </c>
      <c r="C1467" s="275" t="str">
        <f t="shared" si="68"/>
        <v>RnD Industry Fuel Use Perc Reduction</v>
      </c>
      <c r="D1467" t="s">
        <v>3084</v>
      </c>
      <c r="E1467" s="47"/>
      <c r="F1467" s="6" t="s">
        <v>3109</v>
      </c>
      <c r="G1467" s="47"/>
      <c r="H1467" s="44">
        <v>1501</v>
      </c>
      <c r="I1467" s="346" t="s">
        <v>43</v>
      </c>
      <c r="J1467" s="276" t="str">
        <f>IF(ISBLANK(INDEX('Policy Characteristics'!D:D,MATCH($C1467,'Policy Characteristics'!$C:$C,0))),"",INDEX('Policy Characteristics'!D:D,MATCH($C1467,'Policy Characteristics'!$C:$C,0)))</f>
        <v>R&amp;D Fuel Use Reductions</v>
      </c>
      <c r="K1467" s="275" t="str">
        <f>IF(ISBLANK(INDEX('Policy Characteristics'!E:E,MATCH($C1467,'Policy Characteristics'!$C:$C,0))),"",INDEX('Policy Characteristics'!E:E,MATCH($C1467,'Policy Characteristics'!$C:$C,0)))</f>
        <v>RnD industry fuel use reduction</v>
      </c>
      <c r="L1467" s="283">
        <f>IF(ISBLANK(INDEX('Policy Characteristics'!F:F,MATCH($C1467,'Policy Characteristics'!$C:$C,0))),"",INDEX('Policy Characteristics'!F:F,MATCH($C1467,'Policy Characteristics'!$C:$C,0)))</f>
        <v>0</v>
      </c>
      <c r="M1467" s="283">
        <f>IF(ISBLANK(INDEX('Policy Characteristics'!G:G,MATCH($C1467,'Policy Characteristics'!$C:$C,0))),"",INDEX('Policy Characteristics'!G:G,MATCH($C1467,'Policy Characteristics'!$C:$C,0)))</f>
        <v>0.4</v>
      </c>
      <c r="N1467" s="283">
        <f>IF(ISBLANK(INDEX('Policy Characteristics'!H:H,MATCH($C1467,'Policy Characteristics'!$C:$C,0))),"",INDEX('Policy Characteristics'!H:H,MATCH($C1467,'Policy Characteristics'!$C:$C,0)))</f>
        <v>0.01</v>
      </c>
      <c r="O1467" s="275" t="str">
        <f>IF(ISBLANK(INDEX('Policy Characteristics'!I:I,MATCH($C1467,'Policy Characteristics'!$C:$C,0))),"",INDEX('Policy Characteristics'!I:I,MATCH($C1467,'Policy Characteristics'!$C:$C,0)))</f>
        <v>% reduction in fuel use</v>
      </c>
      <c r="P1467" s="275" t="str">
        <f>IF(ISBLANK(INDEX('Policy Characteristics'!J:J,MATCH($C1467,'Policy Characteristics'!$C:$C,0))),"",INDEX('Policy Characteristics'!J:J,MATCH($C1467,'Policy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7" s="275" t="str">
        <f>IF(ISBLANK(INDEX('Policy Characteristics'!K:K,MATCH($C1467,'Policy Characteristics'!$C:$C,0))),"",INDEX('Policy Characteristics'!K:K,MATCH($C1467,'Policy Characteristics'!$C:$C,0)))</f>
        <v>architectural-design.html#rnd</v>
      </c>
      <c r="R1467" s="275" t="str">
        <f>IF(ISBLANK(INDEX('Policy Characteristics'!L:L,MATCH($C1467,'Policy Characteristics'!$C:$C,0))),"",INDEX('Policy Characteristics'!L:L,MATCH($C1467,'Policy Characteristics'!$C:$C,0)))</f>
        <v>research-and-development.html</v>
      </c>
    </row>
    <row r="1468" spans="1:18" ht="30" x14ac:dyDescent="0.25">
      <c r="A1468" s="275" t="str">
        <f>IF(ISBLANK(INDEX('Policy Characteristics'!A:A,MATCH($C1468,'Policy Characteristics'!$C:$C,0))),"",INDEX('Policy Characteristics'!A:A,MATCH($C1468,'Policy Characteristics'!$C:$C,0)))</f>
        <v>Research and Development</v>
      </c>
      <c r="B1468" s="284" t="str">
        <f>IF(ISBLANK(INDEX('Policy Characteristics'!B:B,MATCH($C1468,'Policy Characteristics'!$C:$C,0))),"",INDEX('Policy Characteristics'!B:B,MATCH($C1468,'Policy Characteristics'!$C:$C,0)))</f>
        <v>Fuel Use Reduction</v>
      </c>
      <c r="C1468" s="275" t="str">
        <f t="shared" si="68"/>
        <v>RnD Industry Fuel Use Perc Reduction</v>
      </c>
      <c r="D1468" t="s">
        <v>3085</v>
      </c>
      <c r="E1468" s="47"/>
      <c r="F1468" s="6" t="s">
        <v>3110</v>
      </c>
      <c r="G1468" s="47"/>
      <c r="H1468" s="44">
        <v>1502</v>
      </c>
      <c r="I1468" s="346" t="s">
        <v>43</v>
      </c>
      <c r="J1468" s="276" t="str">
        <f>IF(ISBLANK(INDEX('Policy Characteristics'!D:D,MATCH($C1468,'Policy Characteristics'!$C:$C,0))),"",INDEX('Policy Characteristics'!D:D,MATCH($C1468,'Policy Characteristics'!$C:$C,0)))</f>
        <v>R&amp;D Fuel Use Reductions</v>
      </c>
      <c r="K1468" s="275" t="str">
        <f>IF(ISBLANK(INDEX('Policy Characteristics'!E:E,MATCH($C1468,'Policy Characteristics'!$C:$C,0))),"",INDEX('Policy Characteristics'!E:E,MATCH($C1468,'Policy Characteristics'!$C:$C,0)))</f>
        <v>RnD industry fuel use reduction</v>
      </c>
      <c r="L1468" s="283">
        <f>IF(ISBLANK(INDEX('Policy Characteristics'!F:F,MATCH($C1468,'Policy Characteristics'!$C:$C,0))),"",INDEX('Policy Characteristics'!F:F,MATCH($C1468,'Policy Characteristics'!$C:$C,0)))</f>
        <v>0</v>
      </c>
      <c r="M1468" s="283">
        <f>IF(ISBLANK(INDEX('Policy Characteristics'!G:G,MATCH($C1468,'Policy Characteristics'!$C:$C,0))),"",INDEX('Policy Characteristics'!G:G,MATCH($C1468,'Policy Characteristics'!$C:$C,0)))</f>
        <v>0.4</v>
      </c>
      <c r="N1468" s="283">
        <f>IF(ISBLANK(INDEX('Policy Characteristics'!H:H,MATCH($C1468,'Policy Characteristics'!$C:$C,0))),"",INDEX('Policy Characteristics'!H:H,MATCH($C1468,'Policy Characteristics'!$C:$C,0)))</f>
        <v>0.01</v>
      </c>
      <c r="O1468" s="275" t="str">
        <f>IF(ISBLANK(INDEX('Policy Characteristics'!I:I,MATCH($C1468,'Policy Characteristics'!$C:$C,0))),"",INDEX('Policy Characteristics'!I:I,MATCH($C1468,'Policy Characteristics'!$C:$C,0)))</f>
        <v>% reduction in fuel use</v>
      </c>
      <c r="P1468" s="275" t="str">
        <f>IF(ISBLANK(INDEX('Policy Characteristics'!J:J,MATCH($C1468,'Policy Characteristics'!$C:$C,0))),"",INDEX('Policy Characteristics'!J:J,MATCH($C1468,'Policy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8" s="275" t="str">
        <f>IF(ISBLANK(INDEX('Policy Characteristics'!K:K,MATCH($C1468,'Policy Characteristics'!$C:$C,0))),"",INDEX('Policy Characteristics'!K:K,MATCH($C1468,'Policy Characteristics'!$C:$C,0)))</f>
        <v>architectural-design.html#rnd</v>
      </c>
      <c r="R1468" s="275" t="str">
        <f>IF(ISBLANK(INDEX('Policy Characteristics'!L:L,MATCH($C1468,'Policy Characteristics'!$C:$C,0))),"",INDEX('Policy Characteristics'!L:L,MATCH($C1468,'Policy Characteristics'!$C:$C,0)))</f>
        <v>research-and-development.html</v>
      </c>
    </row>
    <row r="1469" spans="1:18" x14ac:dyDescent="0.25">
      <c r="A1469" s="275" t="str">
        <f>IF(ISBLANK(INDEX('Policy Characteristics'!A:A,MATCH($C1469,'Policy Characteristics'!$C:$C,0))),"",INDEX('Policy Characteristics'!A:A,MATCH($C1469,'Policy Characteristics'!$C:$C,0)))</f>
        <v>Research and Development</v>
      </c>
      <c r="B1469" s="284" t="str">
        <f>IF(ISBLANK(INDEX('Policy Characteristics'!B:B,MATCH($C1469,'Policy Characteristics'!$C:$C,0))),"",INDEX('Policy Characteristics'!B:B,MATCH($C1469,'Policy Characteristics'!$C:$C,0)))</f>
        <v>Fuel Use Reduction</v>
      </c>
      <c r="C1469" s="275" t="str">
        <f t="shared" si="68"/>
        <v>RnD Industry Fuel Use Perc Reduction</v>
      </c>
      <c r="D1469" t="s">
        <v>3086</v>
      </c>
      <c r="E1469" s="47"/>
      <c r="F1469" s="6" t="s">
        <v>3111</v>
      </c>
      <c r="G1469" s="47"/>
      <c r="H1469" s="44">
        <v>1503</v>
      </c>
      <c r="I1469" s="346" t="s">
        <v>43</v>
      </c>
      <c r="J1469" s="276" t="str">
        <f>IF(ISBLANK(INDEX('Policy Characteristics'!D:D,MATCH($C1469,'Policy Characteristics'!$C:$C,0))),"",INDEX('Policy Characteristics'!D:D,MATCH($C1469,'Policy Characteristics'!$C:$C,0)))</f>
        <v>R&amp;D Fuel Use Reductions</v>
      </c>
      <c r="K1469" s="275" t="str">
        <f>IF(ISBLANK(INDEX('Policy Characteristics'!E:E,MATCH($C1469,'Policy Characteristics'!$C:$C,0))),"",INDEX('Policy Characteristics'!E:E,MATCH($C1469,'Policy Characteristics'!$C:$C,0)))</f>
        <v>RnD industry fuel use reduction</v>
      </c>
      <c r="L1469" s="283">
        <f>IF(ISBLANK(INDEX('Policy Characteristics'!F:F,MATCH($C1469,'Policy Characteristics'!$C:$C,0))),"",INDEX('Policy Characteristics'!F:F,MATCH($C1469,'Policy Characteristics'!$C:$C,0)))</f>
        <v>0</v>
      </c>
      <c r="M1469" s="283">
        <f>IF(ISBLANK(INDEX('Policy Characteristics'!G:G,MATCH($C1469,'Policy Characteristics'!$C:$C,0))),"",INDEX('Policy Characteristics'!G:G,MATCH($C1469,'Policy Characteristics'!$C:$C,0)))</f>
        <v>0.4</v>
      </c>
      <c r="N1469" s="283">
        <f>IF(ISBLANK(INDEX('Policy Characteristics'!H:H,MATCH($C1469,'Policy Characteristics'!$C:$C,0))),"",INDEX('Policy Characteristics'!H:H,MATCH($C1469,'Policy Characteristics'!$C:$C,0)))</f>
        <v>0.01</v>
      </c>
      <c r="O1469" s="275" t="str">
        <f>IF(ISBLANK(INDEX('Policy Characteristics'!I:I,MATCH($C1469,'Policy Characteristics'!$C:$C,0))),"",INDEX('Policy Characteristics'!I:I,MATCH($C1469,'Policy Characteristics'!$C:$C,0)))</f>
        <v>% reduction in fuel use</v>
      </c>
      <c r="P1469" s="275" t="str">
        <f>IF(ISBLANK(INDEX('Policy Characteristics'!J:J,MATCH($C1469,'Policy Characteristics'!$C:$C,0))),"",INDEX('Policy Characteristics'!J:J,MATCH($C1469,'Policy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9" s="275" t="str">
        <f>IF(ISBLANK(INDEX('Policy Characteristics'!K:K,MATCH($C1469,'Policy Characteristics'!$C:$C,0))),"",INDEX('Policy Characteristics'!K:K,MATCH($C1469,'Policy Characteristics'!$C:$C,0)))</f>
        <v>architectural-design.html#rnd</v>
      </c>
      <c r="R1469" s="275" t="str">
        <f>IF(ISBLANK(INDEX('Policy Characteristics'!L:L,MATCH($C1469,'Policy Characteristics'!$C:$C,0))),"",INDEX('Policy Characteristics'!L:L,MATCH($C1469,'Policy Characteristics'!$C:$C,0)))</f>
        <v>research-and-development.html</v>
      </c>
    </row>
    <row r="1470" spans="1:18" x14ac:dyDescent="0.25">
      <c r="A1470" s="275" t="str">
        <f>IF(ISBLANK(INDEX('Policy Characteristics'!A:A,MATCH($C1470,'Policy Characteristics'!$C:$C,0))),"",INDEX('Policy Characteristics'!A:A,MATCH($C1470,'Policy Characteristics'!$C:$C,0)))</f>
        <v>Research and Development</v>
      </c>
      <c r="B1470" s="284" t="str">
        <f>IF(ISBLANK(INDEX('Policy Characteristics'!B:B,MATCH($C1470,'Policy Characteristics'!$C:$C,0))),"",INDEX('Policy Characteristics'!B:B,MATCH($C1470,'Policy Characteristics'!$C:$C,0)))</f>
        <v>Fuel Use Reduction</v>
      </c>
      <c r="C1470" s="275" t="str">
        <f t="shared" si="68"/>
        <v>RnD Industry Fuel Use Perc Reduction</v>
      </c>
      <c r="D1470" t="s">
        <v>3087</v>
      </c>
      <c r="E1470" s="47"/>
      <c r="F1470" s="6" t="s">
        <v>3112</v>
      </c>
      <c r="G1470" s="47"/>
      <c r="H1470" s="44">
        <v>1504</v>
      </c>
      <c r="I1470" s="346" t="s">
        <v>43</v>
      </c>
      <c r="J1470" s="276" t="str">
        <f>IF(ISBLANK(INDEX('Policy Characteristics'!D:D,MATCH($C1470,'Policy Characteristics'!$C:$C,0))),"",INDEX('Policy Characteristics'!D:D,MATCH($C1470,'Policy Characteristics'!$C:$C,0)))</f>
        <v>R&amp;D Fuel Use Reductions</v>
      </c>
      <c r="K1470" s="275" t="str">
        <f>IF(ISBLANK(INDEX('Policy Characteristics'!E:E,MATCH($C1470,'Policy Characteristics'!$C:$C,0))),"",INDEX('Policy Characteristics'!E:E,MATCH($C1470,'Policy Characteristics'!$C:$C,0)))</f>
        <v>RnD industry fuel use reduction</v>
      </c>
      <c r="L1470" s="283">
        <f>IF(ISBLANK(INDEX('Policy Characteristics'!F:F,MATCH($C1470,'Policy Characteristics'!$C:$C,0))),"",INDEX('Policy Characteristics'!F:F,MATCH($C1470,'Policy Characteristics'!$C:$C,0)))</f>
        <v>0</v>
      </c>
      <c r="M1470" s="283">
        <f>IF(ISBLANK(INDEX('Policy Characteristics'!G:G,MATCH($C1470,'Policy Characteristics'!$C:$C,0))),"",INDEX('Policy Characteristics'!G:G,MATCH($C1470,'Policy Characteristics'!$C:$C,0)))</f>
        <v>0.4</v>
      </c>
      <c r="N1470" s="283">
        <f>IF(ISBLANK(INDEX('Policy Characteristics'!H:H,MATCH($C1470,'Policy Characteristics'!$C:$C,0))),"",INDEX('Policy Characteristics'!H:H,MATCH($C1470,'Policy Characteristics'!$C:$C,0)))</f>
        <v>0.01</v>
      </c>
      <c r="O1470" s="275" t="str">
        <f>IF(ISBLANK(INDEX('Policy Characteristics'!I:I,MATCH($C1470,'Policy Characteristics'!$C:$C,0))),"",INDEX('Policy Characteristics'!I:I,MATCH($C1470,'Policy Characteristics'!$C:$C,0)))</f>
        <v>% reduction in fuel use</v>
      </c>
      <c r="P1470" s="275" t="str">
        <f>IF(ISBLANK(INDEX('Policy Characteristics'!J:J,MATCH($C1470,'Policy Characteristics'!$C:$C,0))),"",INDEX('Policy Characteristics'!J:J,MATCH($C1470,'Policy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0" s="275" t="str">
        <f>IF(ISBLANK(INDEX('Policy Characteristics'!K:K,MATCH($C1470,'Policy Characteristics'!$C:$C,0))),"",INDEX('Policy Characteristics'!K:K,MATCH($C1470,'Policy Characteristics'!$C:$C,0)))</f>
        <v>architectural-design.html#rnd</v>
      </c>
      <c r="R1470" s="275" t="str">
        <f>IF(ISBLANK(INDEX('Policy Characteristics'!L:L,MATCH($C1470,'Policy Characteristics'!$C:$C,0))),"",INDEX('Policy Characteristics'!L:L,MATCH($C1470,'Policy Characteristics'!$C:$C,0)))</f>
        <v>research-and-development.html</v>
      </c>
    </row>
    <row r="1471" spans="1:18" x14ac:dyDescent="0.25">
      <c r="A1471" s="275" t="str">
        <f>IF(ISBLANK(INDEX('Policy Characteristics'!A:A,MATCH($C1471,'Policy Characteristics'!$C:$C,0))),"",INDEX('Policy Characteristics'!A:A,MATCH($C1471,'Policy Characteristics'!$C:$C,0)))</f>
        <v>Research and Development</v>
      </c>
      <c r="B1471" s="284" t="str">
        <f>IF(ISBLANK(INDEX('Policy Characteristics'!B:B,MATCH($C1471,'Policy Characteristics'!$C:$C,0))),"",INDEX('Policy Characteristics'!B:B,MATCH($C1471,'Policy Characteristics'!$C:$C,0)))</f>
        <v>Fuel Use Reduction</v>
      </c>
      <c r="C1471" s="275" t="str">
        <f t="shared" si="68"/>
        <v>RnD Industry Fuel Use Perc Reduction</v>
      </c>
      <c r="D1471" t="s">
        <v>3088</v>
      </c>
      <c r="E1471" s="47"/>
      <c r="F1471" s="6" t="s">
        <v>3113</v>
      </c>
      <c r="G1471" s="47"/>
      <c r="H1471" s="44">
        <v>1505</v>
      </c>
      <c r="I1471" s="346" t="s">
        <v>43</v>
      </c>
      <c r="J1471" s="276" t="str">
        <f>IF(ISBLANK(INDEX('Policy Characteristics'!D:D,MATCH($C1471,'Policy Characteristics'!$C:$C,0))),"",INDEX('Policy Characteristics'!D:D,MATCH($C1471,'Policy Characteristics'!$C:$C,0)))</f>
        <v>R&amp;D Fuel Use Reductions</v>
      </c>
      <c r="K1471" s="275" t="str">
        <f>IF(ISBLANK(INDEX('Policy Characteristics'!E:E,MATCH($C1471,'Policy Characteristics'!$C:$C,0))),"",INDEX('Policy Characteristics'!E:E,MATCH($C1471,'Policy Characteristics'!$C:$C,0)))</f>
        <v>RnD industry fuel use reduction</v>
      </c>
      <c r="L1471" s="283">
        <f>IF(ISBLANK(INDEX('Policy Characteristics'!F:F,MATCH($C1471,'Policy Characteristics'!$C:$C,0))),"",INDEX('Policy Characteristics'!F:F,MATCH($C1471,'Policy Characteristics'!$C:$C,0)))</f>
        <v>0</v>
      </c>
      <c r="M1471" s="283">
        <f>IF(ISBLANK(INDEX('Policy Characteristics'!G:G,MATCH($C1471,'Policy Characteristics'!$C:$C,0))),"",INDEX('Policy Characteristics'!G:G,MATCH($C1471,'Policy Characteristics'!$C:$C,0)))</f>
        <v>0.4</v>
      </c>
      <c r="N1471" s="283">
        <f>IF(ISBLANK(INDEX('Policy Characteristics'!H:H,MATCH($C1471,'Policy Characteristics'!$C:$C,0))),"",INDEX('Policy Characteristics'!H:H,MATCH($C1471,'Policy Characteristics'!$C:$C,0)))</f>
        <v>0.01</v>
      </c>
      <c r="O1471" s="275" t="str">
        <f>IF(ISBLANK(INDEX('Policy Characteristics'!I:I,MATCH($C1471,'Policy Characteristics'!$C:$C,0))),"",INDEX('Policy Characteristics'!I:I,MATCH($C1471,'Policy Characteristics'!$C:$C,0)))</f>
        <v>% reduction in fuel use</v>
      </c>
      <c r="P1471" s="275" t="str">
        <f>IF(ISBLANK(INDEX('Policy Characteristics'!J:J,MATCH($C1471,'Policy Characteristics'!$C:$C,0))),"",INDEX('Policy Characteristics'!J:J,MATCH($C1471,'Policy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1" s="275" t="str">
        <f>IF(ISBLANK(INDEX('Policy Characteristics'!K:K,MATCH($C1471,'Policy Characteristics'!$C:$C,0))),"",INDEX('Policy Characteristics'!K:K,MATCH($C1471,'Policy Characteristics'!$C:$C,0)))</f>
        <v>architectural-design.html#rnd</v>
      </c>
      <c r="R1471" s="275" t="str">
        <f>IF(ISBLANK(INDEX('Policy Characteristics'!L:L,MATCH($C1471,'Policy Characteristics'!$C:$C,0))),"",INDEX('Policy Characteristics'!L:L,MATCH($C1471,'Policy Characteristics'!$C:$C,0)))</f>
        <v>research-and-development.html</v>
      </c>
    </row>
    <row r="1472" spans="1:18" x14ac:dyDescent="0.25">
      <c r="A1472" s="275" t="str">
        <f>IF(ISBLANK(INDEX('Policy Characteristics'!A:A,MATCH($C1472,'Policy Characteristics'!$C:$C,0))),"",INDEX('Policy Characteristics'!A:A,MATCH($C1472,'Policy Characteristics'!$C:$C,0)))</f>
        <v>Research and Development</v>
      </c>
      <c r="B1472" s="284" t="str">
        <f>IF(ISBLANK(INDEX('Policy Characteristics'!B:B,MATCH($C1472,'Policy Characteristics'!$C:$C,0))),"",INDEX('Policy Characteristics'!B:B,MATCH($C1472,'Policy Characteristics'!$C:$C,0)))</f>
        <v>Fuel Use Reduction</v>
      </c>
      <c r="C1472" s="275" t="str">
        <f t="shared" si="68"/>
        <v>RnD Industry Fuel Use Perc Reduction</v>
      </c>
      <c r="D1472" t="s">
        <v>3089</v>
      </c>
      <c r="E1472" s="47"/>
      <c r="F1472" s="6" t="s">
        <v>3114</v>
      </c>
      <c r="G1472" s="47"/>
      <c r="H1472" s="44">
        <v>1506</v>
      </c>
      <c r="I1472" s="346" t="s">
        <v>43</v>
      </c>
      <c r="J1472" s="276" t="str">
        <f>IF(ISBLANK(INDEX('Policy Characteristics'!D:D,MATCH($C1472,'Policy Characteristics'!$C:$C,0))),"",INDEX('Policy Characteristics'!D:D,MATCH($C1472,'Policy Characteristics'!$C:$C,0)))</f>
        <v>R&amp;D Fuel Use Reductions</v>
      </c>
      <c r="K1472" s="275" t="str">
        <f>IF(ISBLANK(INDEX('Policy Characteristics'!E:E,MATCH($C1472,'Policy Characteristics'!$C:$C,0))),"",INDEX('Policy Characteristics'!E:E,MATCH($C1472,'Policy Characteristics'!$C:$C,0)))</f>
        <v>RnD industry fuel use reduction</v>
      </c>
      <c r="L1472" s="283">
        <f>IF(ISBLANK(INDEX('Policy Characteristics'!F:F,MATCH($C1472,'Policy Characteristics'!$C:$C,0))),"",INDEX('Policy Characteristics'!F:F,MATCH($C1472,'Policy Characteristics'!$C:$C,0)))</f>
        <v>0</v>
      </c>
      <c r="M1472" s="283">
        <f>IF(ISBLANK(INDEX('Policy Characteristics'!G:G,MATCH($C1472,'Policy Characteristics'!$C:$C,0))),"",INDEX('Policy Characteristics'!G:G,MATCH($C1472,'Policy Characteristics'!$C:$C,0)))</f>
        <v>0.4</v>
      </c>
      <c r="N1472" s="283">
        <f>IF(ISBLANK(INDEX('Policy Characteristics'!H:H,MATCH($C1472,'Policy Characteristics'!$C:$C,0))),"",INDEX('Policy Characteristics'!H:H,MATCH($C1472,'Policy Characteristics'!$C:$C,0)))</f>
        <v>0.01</v>
      </c>
      <c r="O1472" s="275" t="str">
        <f>IF(ISBLANK(INDEX('Policy Characteristics'!I:I,MATCH($C1472,'Policy Characteristics'!$C:$C,0))),"",INDEX('Policy Characteristics'!I:I,MATCH($C1472,'Policy Characteristics'!$C:$C,0)))</f>
        <v>% reduction in fuel use</v>
      </c>
      <c r="P1472" s="275" t="str">
        <f>IF(ISBLANK(INDEX('Policy Characteristics'!J:J,MATCH($C1472,'Policy Characteristics'!$C:$C,0))),"",INDEX('Policy Characteristics'!J:J,MATCH($C1472,'Policy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2" s="275" t="str">
        <f>IF(ISBLANK(INDEX('Policy Characteristics'!K:K,MATCH($C1472,'Policy Characteristics'!$C:$C,0))),"",INDEX('Policy Characteristics'!K:K,MATCH($C1472,'Policy Characteristics'!$C:$C,0)))</f>
        <v>architectural-design.html#rnd</v>
      </c>
      <c r="R1472" s="275" t="str">
        <f>IF(ISBLANK(INDEX('Policy Characteristics'!L:L,MATCH($C1472,'Policy Characteristics'!$C:$C,0))),"",INDEX('Policy Characteristics'!L:L,MATCH($C1472,'Policy Characteristics'!$C:$C,0)))</f>
        <v>research-and-development.html</v>
      </c>
    </row>
    <row r="1473" spans="1:18" x14ac:dyDescent="0.25">
      <c r="A1473" s="275" t="str">
        <f>IF(ISBLANK(INDEX('Policy Characteristics'!A:A,MATCH($C1473,'Policy Characteristics'!$C:$C,0))),"",INDEX('Policy Characteristics'!A:A,MATCH($C1473,'Policy Characteristics'!$C:$C,0)))</f>
        <v>Research and Development</v>
      </c>
      <c r="B1473" s="284" t="str">
        <f>IF(ISBLANK(INDEX('Policy Characteristics'!B:B,MATCH($C1473,'Policy Characteristics'!$C:$C,0))),"",INDEX('Policy Characteristics'!B:B,MATCH($C1473,'Policy Characteristics'!$C:$C,0)))</f>
        <v>Fuel Use Reduction</v>
      </c>
      <c r="C1473" s="275" t="str">
        <f t="shared" si="68"/>
        <v>RnD Industry Fuel Use Perc Reduction</v>
      </c>
      <c r="D1473" t="s">
        <v>3090</v>
      </c>
      <c r="E1473" s="47"/>
      <c r="F1473" s="6" t="s">
        <v>3115</v>
      </c>
      <c r="G1473" s="47"/>
      <c r="H1473" s="44">
        <v>1507</v>
      </c>
      <c r="I1473" s="346" t="s">
        <v>43</v>
      </c>
      <c r="J1473" s="276" t="str">
        <f>IF(ISBLANK(INDEX('Policy Characteristics'!D:D,MATCH($C1473,'Policy Characteristics'!$C:$C,0))),"",INDEX('Policy Characteristics'!D:D,MATCH($C1473,'Policy Characteristics'!$C:$C,0)))</f>
        <v>R&amp;D Fuel Use Reductions</v>
      </c>
      <c r="K1473" s="275" t="str">
        <f>IF(ISBLANK(INDEX('Policy Characteristics'!E:E,MATCH($C1473,'Policy Characteristics'!$C:$C,0))),"",INDEX('Policy Characteristics'!E:E,MATCH($C1473,'Policy Characteristics'!$C:$C,0)))</f>
        <v>RnD industry fuel use reduction</v>
      </c>
      <c r="L1473" s="283">
        <f>IF(ISBLANK(INDEX('Policy Characteristics'!F:F,MATCH($C1473,'Policy Characteristics'!$C:$C,0))),"",INDEX('Policy Characteristics'!F:F,MATCH($C1473,'Policy Characteristics'!$C:$C,0)))</f>
        <v>0</v>
      </c>
      <c r="M1473" s="283">
        <f>IF(ISBLANK(INDEX('Policy Characteristics'!G:G,MATCH($C1473,'Policy Characteristics'!$C:$C,0))),"",INDEX('Policy Characteristics'!G:G,MATCH($C1473,'Policy Characteristics'!$C:$C,0)))</f>
        <v>0.4</v>
      </c>
      <c r="N1473" s="283">
        <f>IF(ISBLANK(INDEX('Policy Characteristics'!H:H,MATCH($C1473,'Policy Characteristics'!$C:$C,0))),"",INDEX('Policy Characteristics'!H:H,MATCH($C1473,'Policy Characteristics'!$C:$C,0)))</f>
        <v>0.01</v>
      </c>
      <c r="O1473" s="275" t="str">
        <f>IF(ISBLANK(INDEX('Policy Characteristics'!I:I,MATCH($C1473,'Policy Characteristics'!$C:$C,0))),"",INDEX('Policy Characteristics'!I:I,MATCH($C1473,'Policy Characteristics'!$C:$C,0)))</f>
        <v>% reduction in fuel use</v>
      </c>
      <c r="P1473" s="275" t="str">
        <f>IF(ISBLANK(INDEX('Policy Characteristics'!J:J,MATCH($C1473,'Policy Characteristics'!$C:$C,0))),"",INDEX('Policy Characteristics'!J:J,MATCH($C1473,'Policy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3" s="275" t="str">
        <f>IF(ISBLANK(INDEX('Policy Characteristics'!K:K,MATCH($C1473,'Policy Characteristics'!$C:$C,0))),"",INDEX('Policy Characteristics'!K:K,MATCH($C1473,'Policy Characteristics'!$C:$C,0)))</f>
        <v>architectural-design.html#rnd</v>
      </c>
      <c r="R1473" s="275" t="str">
        <f>IF(ISBLANK(INDEX('Policy Characteristics'!L:L,MATCH($C1473,'Policy Characteristics'!$C:$C,0))),"",INDEX('Policy Characteristics'!L:L,MATCH($C1473,'Policy Characteristics'!$C:$C,0)))</f>
        <v>research-and-development.html</v>
      </c>
    </row>
    <row r="1474" spans="1:18" x14ac:dyDescent="0.25">
      <c r="A1474" s="275" t="str">
        <f>IF(ISBLANK(INDEX('Policy Characteristics'!A:A,MATCH($C1474,'Policy Characteristics'!$C:$C,0))),"",INDEX('Policy Characteristics'!A:A,MATCH($C1474,'Policy Characteristics'!$C:$C,0)))</f>
        <v>Research and Development</v>
      </c>
      <c r="B1474" s="284" t="str">
        <f>IF(ISBLANK(INDEX('Policy Characteristics'!B:B,MATCH($C1474,'Policy Characteristics'!$C:$C,0))),"",INDEX('Policy Characteristics'!B:B,MATCH($C1474,'Policy Characteristics'!$C:$C,0)))</f>
        <v>Fuel Use Reduction</v>
      </c>
      <c r="C1474" s="275" t="str">
        <f t="shared" si="68"/>
        <v>RnD Industry Fuel Use Perc Reduction</v>
      </c>
      <c r="D1474" t="s">
        <v>3091</v>
      </c>
      <c r="E1474" s="47"/>
      <c r="F1474" s="6" t="s">
        <v>3116</v>
      </c>
      <c r="G1474" s="47"/>
      <c r="H1474" s="44">
        <v>1508</v>
      </c>
      <c r="I1474" s="346" t="s">
        <v>43</v>
      </c>
      <c r="J1474" s="276" t="str">
        <f>IF(ISBLANK(INDEX('Policy Characteristics'!D:D,MATCH($C1474,'Policy Characteristics'!$C:$C,0))),"",INDEX('Policy Characteristics'!D:D,MATCH($C1474,'Policy Characteristics'!$C:$C,0)))</f>
        <v>R&amp;D Fuel Use Reductions</v>
      </c>
      <c r="K1474" s="275" t="str">
        <f>IF(ISBLANK(INDEX('Policy Characteristics'!E:E,MATCH($C1474,'Policy Characteristics'!$C:$C,0))),"",INDEX('Policy Characteristics'!E:E,MATCH($C1474,'Policy Characteristics'!$C:$C,0)))</f>
        <v>RnD industry fuel use reduction</v>
      </c>
      <c r="L1474" s="283">
        <f>IF(ISBLANK(INDEX('Policy Characteristics'!F:F,MATCH($C1474,'Policy Characteristics'!$C:$C,0))),"",INDEX('Policy Characteristics'!F:F,MATCH($C1474,'Policy Characteristics'!$C:$C,0)))</f>
        <v>0</v>
      </c>
      <c r="M1474" s="283">
        <f>IF(ISBLANK(INDEX('Policy Characteristics'!G:G,MATCH($C1474,'Policy Characteristics'!$C:$C,0))),"",INDEX('Policy Characteristics'!G:G,MATCH($C1474,'Policy Characteristics'!$C:$C,0)))</f>
        <v>0.4</v>
      </c>
      <c r="N1474" s="283">
        <f>IF(ISBLANK(INDEX('Policy Characteristics'!H:H,MATCH($C1474,'Policy Characteristics'!$C:$C,0))),"",INDEX('Policy Characteristics'!H:H,MATCH($C1474,'Policy Characteristics'!$C:$C,0)))</f>
        <v>0.01</v>
      </c>
      <c r="O1474" s="275" t="str">
        <f>IF(ISBLANK(INDEX('Policy Characteristics'!I:I,MATCH($C1474,'Policy Characteristics'!$C:$C,0))),"",INDEX('Policy Characteristics'!I:I,MATCH($C1474,'Policy Characteristics'!$C:$C,0)))</f>
        <v>% reduction in fuel use</v>
      </c>
      <c r="P1474" s="275" t="str">
        <f>IF(ISBLANK(INDEX('Policy Characteristics'!J:J,MATCH($C1474,'Policy Characteristics'!$C:$C,0))),"",INDEX('Policy Characteristics'!J:J,MATCH($C1474,'Policy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4" s="275" t="str">
        <f>IF(ISBLANK(INDEX('Policy Characteristics'!K:K,MATCH($C1474,'Policy Characteristics'!$C:$C,0))),"",INDEX('Policy Characteristics'!K:K,MATCH($C1474,'Policy Characteristics'!$C:$C,0)))</f>
        <v>architectural-design.html#rnd</v>
      </c>
      <c r="R1474" s="275" t="str">
        <f>IF(ISBLANK(INDEX('Policy Characteristics'!L:L,MATCH($C1474,'Policy Characteristics'!$C:$C,0))),"",INDEX('Policy Characteristics'!L:L,MATCH($C1474,'Policy Characteristics'!$C:$C,0)))</f>
        <v>research-and-development.html</v>
      </c>
    </row>
    <row r="1475" spans="1:18" x14ac:dyDescent="0.25">
      <c r="A1475" s="275" t="str">
        <f>IF(ISBLANK(INDEX('Policy Characteristics'!A:A,MATCH($C1475,'Policy Characteristics'!$C:$C,0))),"",INDEX('Policy Characteristics'!A:A,MATCH($C1475,'Policy Characteristics'!$C:$C,0)))</f>
        <v>Research and Development</v>
      </c>
      <c r="B1475" s="284" t="str">
        <f>IF(ISBLANK(INDEX('Policy Characteristics'!B:B,MATCH($C1475,'Policy Characteristics'!$C:$C,0))),"",INDEX('Policy Characteristics'!B:B,MATCH($C1475,'Policy Characteristics'!$C:$C,0)))</f>
        <v>Fuel Use Reduction</v>
      </c>
      <c r="C1475" s="275" t="str">
        <f t="shared" si="68"/>
        <v>RnD Industry Fuel Use Perc Reduction</v>
      </c>
      <c r="D1475" t="s">
        <v>3092</v>
      </c>
      <c r="E1475" s="47"/>
      <c r="F1475" s="6" t="s">
        <v>3117</v>
      </c>
      <c r="G1475" s="47"/>
      <c r="H1475" s="44">
        <v>1509</v>
      </c>
      <c r="I1475" s="346" t="s">
        <v>43</v>
      </c>
      <c r="J1475" s="276" t="str">
        <f>IF(ISBLANK(INDEX('Policy Characteristics'!D:D,MATCH($C1475,'Policy Characteristics'!$C:$C,0))),"",INDEX('Policy Characteristics'!D:D,MATCH($C1475,'Policy Characteristics'!$C:$C,0)))</f>
        <v>R&amp;D Fuel Use Reductions</v>
      </c>
      <c r="K1475" s="275" t="str">
        <f>IF(ISBLANK(INDEX('Policy Characteristics'!E:E,MATCH($C1475,'Policy Characteristics'!$C:$C,0))),"",INDEX('Policy Characteristics'!E:E,MATCH($C1475,'Policy Characteristics'!$C:$C,0)))</f>
        <v>RnD industry fuel use reduction</v>
      </c>
      <c r="L1475" s="283">
        <f>IF(ISBLANK(INDEX('Policy Characteristics'!F:F,MATCH($C1475,'Policy Characteristics'!$C:$C,0))),"",INDEX('Policy Characteristics'!F:F,MATCH($C1475,'Policy Characteristics'!$C:$C,0)))</f>
        <v>0</v>
      </c>
      <c r="M1475" s="283">
        <f>IF(ISBLANK(INDEX('Policy Characteristics'!G:G,MATCH($C1475,'Policy Characteristics'!$C:$C,0))),"",INDEX('Policy Characteristics'!G:G,MATCH($C1475,'Policy Characteristics'!$C:$C,0)))</f>
        <v>0.4</v>
      </c>
      <c r="N1475" s="283">
        <f>IF(ISBLANK(INDEX('Policy Characteristics'!H:H,MATCH($C1475,'Policy Characteristics'!$C:$C,0))),"",INDEX('Policy Characteristics'!H:H,MATCH($C1475,'Policy Characteristics'!$C:$C,0)))</f>
        <v>0.01</v>
      </c>
      <c r="O1475" s="275" t="str">
        <f>IF(ISBLANK(INDEX('Policy Characteristics'!I:I,MATCH($C1475,'Policy Characteristics'!$C:$C,0))),"",INDEX('Policy Characteristics'!I:I,MATCH($C1475,'Policy Characteristics'!$C:$C,0)))</f>
        <v>% reduction in fuel use</v>
      </c>
      <c r="P1475" s="275" t="str">
        <f>IF(ISBLANK(INDEX('Policy Characteristics'!J:J,MATCH($C1475,'Policy Characteristics'!$C:$C,0))),"",INDEX('Policy Characteristics'!J:J,MATCH($C1475,'Policy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5" s="275" t="str">
        <f>IF(ISBLANK(INDEX('Policy Characteristics'!K:K,MATCH($C1475,'Policy Characteristics'!$C:$C,0))),"",INDEX('Policy Characteristics'!K:K,MATCH($C1475,'Policy Characteristics'!$C:$C,0)))</f>
        <v>architectural-design.html#rnd</v>
      </c>
      <c r="R1475" s="275" t="str">
        <f>IF(ISBLANK(INDEX('Policy Characteristics'!L:L,MATCH($C1475,'Policy Characteristics'!$C:$C,0))),"",INDEX('Policy Characteristics'!L:L,MATCH($C1475,'Policy Characteristics'!$C:$C,0)))</f>
        <v>research-and-development.html</v>
      </c>
    </row>
    <row r="1476" spans="1:18" x14ac:dyDescent="0.25">
      <c r="A1476" s="275" t="str">
        <f>IF(ISBLANK(INDEX('Policy Characteristics'!A:A,MATCH($C1476,'Policy Characteristics'!$C:$C,0))),"",INDEX('Policy Characteristics'!A:A,MATCH($C1476,'Policy Characteristics'!$C:$C,0)))</f>
        <v>Research and Development</v>
      </c>
      <c r="B1476" s="284" t="str">
        <f>IF(ISBLANK(INDEX('Policy Characteristics'!B:B,MATCH($C1476,'Policy Characteristics'!$C:$C,0))),"",INDEX('Policy Characteristics'!B:B,MATCH($C1476,'Policy Characteristics'!$C:$C,0)))</f>
        <v>Fuel Use Reduction</v>
      </c>
      <c r="C1476" s="275" t="str">
        <f t="shared" si="68"/>
        <v>RnD Industry Fuel Use Perc Reduction</v>
      </c>
      <c r="D1476" t="s">
        <v>3093</v>
      </c>
      <c r="E1476" s="47"/>
      <c r="F1476" s="6" t="s">
        <v>3118</v>
      </c>
      <c r="G1476" s="47"/>
      <c r="H1476" s="44">
        <v>1510</v>
      </c>
      <c r="I1476" s="346" t="s">
        <v>43</v>
      </c>
      <c r="J1476" s="276" t="str">
        <f>IF(ISBLANK(INDEX('Policy Characteristics'!D:D,MATCH($C1476,'Policy Characteristics'!$C:$C,0))),"",INDEX('Policy Characteristics'!D:D,MATCH($C1476,'Policy Characteristics'!$C:$C,0)))</f>
        <v>R&amp;D Fuel Use Reductions</v>
      </c>
      <c r="K1476" s="275" t="str">
        <f>IF(ISBLANK(INDEX('Policy Characteristics'!E:E,MATCH($C1476,'Policy Characteristics'!$C:$C,0))),"",INDEX('Policy Characteristics'!E:E,MATCH($C1476,'Policy Characteristics'!$C:$C,0)))</f>
        <v>RnD industry fuel use reduction</v>
      </c>
      <c r="L1476" s="283">
        <f>IF(ISBLANK(INDEX('Policy Characteristics'!F:F,MATCH($C1476,'Policy Characteristics'!$C:$C,0))),"",INDEX('Policy Characteristics'!F:F,MATCH($C1476,'Policy Characteristics'!$C:$C,0)))</f>
        <v>0</v>
      </c>
      <c r="M1476" s="283">
        <f>IF(ISBLANK(INDEX('Policy Characteristics'!G:G,MATCH($C1476,'Policy Characteristics'!$C:$C,0))),"",INDEX('Policy Characteristics'!G:G,MATCH($C1476,'Policy Characteristics'!$C:$C,0)))</f>
        <v>0.4</v>
      </c>
      <c r="N1476" s="283">
        <f>IF(ISBLANK(INDEX('Policy Characteristics'!H:H,MATCH($C1476,'Policy Characteristics'!$C:$C,0))),"",INDEX('Policy Characteristics'!H:H,MATCH($C1476,'Policy Characteristics'!$C:$C,0)))</f>
        <v>0.01</v>
      </c>
      <c r="O1476" s="275" t="str">
        <f>IF(ISBLANK(INDEX('Policy Characteristics'!I:I,MATCH($C1476,'Policy Characteristics'!$C:$C,0))),"",INDEX('Policy Characteristics'!I:I,MATCH($C1476,'Policy Characteristics'!$C:$C,0)))</f>
        <v>% reduction in fuel use</v>
      </c>
      <c r="P1476" s="275" t="str">
        <f>IF(ISBLANK(INDEX('Policy Characteristics'!J:J,MATCH($C1476,'Policy Characteristics'!$C:$C,0))),"",INDEX('Policy Characteristics'!J:J,MATCH($C1476,'Policy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6" s="275" t="str">
        <f>IF(ISBLANK(INDEX('Policy Characteristics'!K:K,MATCH($C1476,'Policy Characteristics'!$C:$C,0))),"",INDEX('Policy Characteristics'!K:K,MATCH($C1476,'Policy Characteristics'!$C:$C,0)))</f>
        <v>architectural-design.html#rnd</v>
      </c>
      <c r="R1476" s="275" t="str">
        <f>IF(ISBLANK(INDEX('Policy Characteristics'!L:L,MATCH($C1476,'Policy Characteristics'!$C:$C,0))),"",INDEX('Policy Characteristics'!L:L,MATCH($C1476,'Policy Characteristics'!$C:$C,0)))</f>
        <v>research-and-development.html</v>
      </c>
    </row>
    <row r="1477" spans="1:18" x14ac:dyDescent="0.25">
      <c r="A1477" s="275" t="str">
        <f>IF(ISBLANK(INDEX('Policy Characteristics'!A:A,MATCH($C1477,'Policy Characteristics'!$C:$C,0))),"",INDEX('Policy Characteristics'!A:A,MATCH($C1477,'Policy Characteristics'!$C:$C,0)))</f>
        <v>Research and Development</v>
      </c>
      <c r="B1477" s="284" t="str">
        <f>IF(ISBLANK(INDEX('Policy Characteristics'!B:B,MATCH($C1477,'Policy Characteristics'!$C:$C,0))),"",INDEX('Policy Characteristics'!B:B,MATCH($C1477,'Policy Characteristics'!$C:$C,0)))</f>
        <v>Fuel Use Reduction</v>
      </c>
      <c r="C1477" s="275" t="str">
        <f t="shared" si="68"/>
        <v>RnD Industry Fuel Use Perc Reduction</v>
      </c>
      <c r="D1477" t="s">
        <v>3094</v>
      </c>
      <c r="E1477" s="47"/>
      <c r="F1477" s="6" t="s">
        <v>3119</v>
      </c>
      <c r="G1477" s="47"/>
      <c r="H1477" s="44">
        <v>1511</v>
      </c>
      <c r="I1477" s="346" t="s">
        <v>43</v>
      </c>
      <c r="J1477" s="276" t="str">
        <f>IF(ISBLANK(INDEX('Policy Characteristics'!D:D,MATCH($C1477,'Policy Characteristics'!$C:$C,0))),"",INDEX('Policy Characteristics'!D:D,MATCH($C1477,'Policy Characteristics'!$C:$C,0)))</f>
        <v>R&amp;D Fuel Use Reductions</v>
      </c>
      <c r="K1477" s="275" t="str">
        <f>IF(ISBLANK(INDEX('Policy Characteristics'!E:E,MATCH($C1477,'Policy Characteristics'!$C:$C,0))),"",INDEX('Policy Characteristics'!E:E,MATCH($C1477,'Policy Characteristics'!$C:$C,0)))</f>
        <v>RnD industry fuel use reduction</v>
      </c>
      <c r="L1477" s="283">
        <f>IF(ISBLANK(INDEX('Policy Characteristics'!F:F,MATCH($C1477,'Policy Characteristics'!$C:$C,0))),"",INDEX('Policy Characteristics'!F:F,MATCH($C1477,'Policy Characteristics'!$C:$C,0)))</f>
        <v>0</v>
      </c>
      <c r="M1477" s="283">
        <f>IF(ISBLANK(INDEX('Policy Characteristics'!G:G,MATCH($C1477,'Policy Characteristics'!$C:$C,0))),"",INDEX('Policy Characteristics'!G:G,MATCH($C1477,'Policy Characteristics'!$C:$C,0)))</f>
        <v>0.4</v>
      </c>
      <c r="N1477" s="283">
        <f>IF(ISBLANK(INDEX('Policy Characteristics'!H:H,MATCH($C1477,'Policy Characteristics'!$C:$C,0))),"",INDEX('Policy Characteristics'!H:H,MATCH($C1477,'Policy Characteristics'!$C:$C,0)))</f>
        <v>0.01</v>
      </c>
      <c r="O1477" s="275" t="str">
        <f>IF(ISBLANK(INDEX('Policy Characteristics'!I:I,MATCH($C1477,'Policy Characteristics'!$C:$C,0))),"",INDEX('Policy Characteristics'!I:I,MATCH($C1477,'Policy Characteristics'!$C:$C,0)))</f>
        <v>% reduction in fuel use</v>
      </c>
      <c r="P1477" s="275" t="str">
        <f>IF(ISBLANK(INDEX('Policy Characteristics'!J:J,MATCH($C1477,'Policy Characteristics'!$C:$C,0))),"",INDEX('Policy Characteristics'!J:J,MATCH($C1477,'Policy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7" s="275" t="str">
        <f>IF(ISBLANK(INDEX('Policy Characteristics'!K:K,MATCH($C1477,'Policy Characteristics'!$C:$C,0))),"",INDEX('Policy Characteristics'!K:K,MATCH($C1477,'Policy Characteristics'!$C:$C,0)))</f>
        <v>architectural-design.html#rnd</v>
      </c>
      <c r="R1477" s="275" t="str">
        <f>IF(ISBLANK(INDEX('Policy Characteristics'!L:L,MATCH($C1477,'Policy Characteristics'!$C:$C,0))),"",INDEX('Policy Characteristics'!L:L,MATCH($C1477,'Policy Characteristics'!$C:$C,0)))</f>
        <v>research-and-development.html</v>
      </c>
    </row>
    <row r="1478" spans="1:18" x14ac:dyDescent="0.25">
      <c r="A1478" s="275" t="str">
        <f>IF(ISBLANK(INDEX('Policy Characteristics'!A:A,MATCH($C1478,'Policy Characteristics'!$C:$C,0))),"",INDEX('Policy Characteristics'!A:A,MATCH($C1478,'Policy Characteristics'!$C:$C,0)))</f>
        <v>Research and Development</v>
      </c>
      <c r="B1478" s="284" t="str">
        <f>IF(ISBLANK(INDEX('Policy Characteristics'!B:B,MATCH($C1478,'Policy Characteristics'!$C:$C,0))),"",INDEX('Policy Characteristics'!B:B,MATCH($C1478,'Policy Characteristics'!$C:$C,0)))</f>
        <v>Fuel Use Reduction</v>
      </c>
      <c r="C1478" t="s">
        <v>298</v>
      </c>
      <c r="D1478" s="47" t="s">
        <v>2246</v>
      </c>
      <c r="E1478" s="47"/>
      <c r="F1478" s="47" t="s">
        <v>471</v>
      </c>
      <c r="G1478" s="47"/>
      <c r="H1478" s="44">
        <v>133</v>
      </c>
      <c r="I1478" s="346" t="s">
        <v>43</v>
      </c>
      <c r="J1478" s="276" t="str">
        <f>IF(ISBLANK(INDEX('Policy Characteristics'!D:D,MATCH($C1478,'Policy Characteristics'!$C:$C,0))),"",INDEX('Policy Characteristics'!D:D,MATCH($C1478,'Policy Characteristics'!$C:$C,0)))</f>
        <v>R&amp;D Fuel Use Reductions</v>
      </c>
      <c r="K1478" s="275" t="str">
        <f>IF(ISBLANK(INDEX('Policy Characteristics'!E:E,MATCH($C1478,'Policy Characteristics'!$C:$C,0))),"",INDEX('Policy Characteristics'!E:E,MATCH($C1478,'Policy Characteristics'!$C:$C,0)))</f>
        <v>RnD transportation fuel use reduction</v>
      </c>
      <c r="L1478" s="283">
        <f>IF(ISBLANK(INDEX('Policy Characteristics'!F:F,MATCH($C1478,'Policy Characteristics'!$C:$C,0))),"",INDEX('Policy Characteristics'!F:F,MATCH($C1478,'Policy Characteristics'!$C:$C,0)))</f>
        <v>0</v>
      </c>
      <c r="M1478" s="283">
        <f>IF(ISBLANK(INDEX('Policy Characteristics'!G:G,MATCH($C1478,'Policy Characteristics'!$C:$C,0))),"",INDEX('Policy Characteristics'!G:G,MATCH($C1478,'Policy Characteristics'!$C:$C,0)))</f>
        <v>0.4</v>
      </c>
      <c r="N1478" s="283">
        <f>IF(ISBLANK(INDEX('Policy Characteristics'!H:H,MATCH($C1478,'Policy Characteristics'!$C:$C,0))),"",INDEX('Policy Characteristics'!H:H,MATCH($C1478,'Policy Characteristics'!$C:$C,0)))</f>
        <v>0.01</v>
      </c>
      <c r="O1478" s="275" t="str">
        <f>IF(ISBLANK(INDEX('Policy Characteristics'!I:I,MATCH($C1478,'Policy Characteristics'!$C:$C,0))),"",INDEX('Policy Characteristics'!I:I,MATCH($C1478,'Policy Characteristics'!$C:$C,0)))</f>
        <v>% reduction in fuel use</v>
      </c>
      <c r="P1478" s="275" t="str">
        <f>IF(ISBLANK(INDEX('Policy Characteristics'!J:J,MATCH($C1478,'Policy Characteristics'!$C:$C,0))),"",INDEX('Policy Characteristics'!J:J,MATCH($C1478,'Policy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8" s="275" t="str">
        <f>IF(ISBLANK(INDEX('Policy Characteristics'!K:K,MATCH($C1478,'Policy Characteristics'!$C:$C,0))),"",INDEX('Policy Characteristics'!K:K,MATCH($C1478,'Policy Characteristics'!$C:$C,0)))</f>
        <v>architectural-design.html#rnd</v>
      </c>
      <c r="R1478" s="275" t="str">
        <f>IF(ISBLANK(INDEX('Policy Characteristics'!L:L,MATCH($C1478,'Policy Characteristics'!$C:$C,0))),"",INDEX('Policy Characteristics'!L:L,MATCH($C1478,'Policy Characteristics'!$C:$C,0)))</f>
        <v>research-and-development.html</v>
      </c>
    </row>
    <row r="1479" spans="1:18" x14ac:dyDescent="0.25">
      <c r="A1479" s="275" t="str">
        <f>IF(ISBLANK(INDEX('Policy Characteristics'!A:A,MATCH($C1479,'Policy Characteristics'!$C:$C,0))),"",INDEX('Policy Characteristics'!A:A,MATCH($C1479,'Policy Characteristics'!$C:$C,0)))</f>
        <v>Research and Development</v>
      </c>
      <c r="B1479" s="284" t="str">
        <f>IF(ISBLANK(INDEX('Policy Characteristics'!B:B,MATCH($C1479,'Policy Characteristics'!$C:$C,0))),"",INDEX('Policy Characteristics'!B:B,MATCH($C1479,'Policy Characteristics'!$C:$C,0)))</f>
        <v>Fuel Use Reduction</v>
      </c>
      <c r="C1479" s="275" t="str">
        <f t="shared" ref="C1479:C1484" si="69">C$1478</f>
        <v>RnD Transportation Fuel Use Perc Reduction</v>
      </c>
      <c r="D1479" s="47" t="s">
        <v>2247</v>
      </c>
      <c r="E1479" s="47"/>
      <c r="F1479" s="47" t="s">
        <v>472</v>
      </c>
      <c r="G1479" s="47"/>
      <c r="H1479" s="44">
        <v>134</v>
      </c>
      <c r="I1479" s="346" t="s">
        <v>43</v>
      </c>
      <c r="J1479" s="276" t="str">
        <f>IF(ISBLANK(INDEX('Policy Characteristics'!D:D,MATCH($C1479,'Policy Characteristics'!$C:$C,0))),"",INDEX('Policy Characteristics'!D:D,MATCH($C1479,'Policy Characteristics'!$C:$C,0)))</f>
        <v>R&amp;D Fuel Use Reductions</v>
      </c>
      <c r="K1479" s="275" t="str">
        <f>IF(ISBLANK(INDEX('Policy Characteristics'!E:E,MATCH($C1479,'Policy Characteristics'!$C:$C,0))),"",INDEX('Policy Characteristics'!E:E,MATCH($C1479,'Policy Characteristics'!$C:$C,0)))</f>
        <v>RnD transportation fuel use reduction</v>
      </c>
      <c r="L1479" s="283">
        <f>IF(ISBLANK(INDEX('Policy Characteristics'!F:F,MATCH($C1479,'Policy Characteristics'!$C:$C,0))),"",INDEX('Policy Characteristics'!F:F,MATCH($C1479,'Policy Characteristics'!$C:$C,0)))</f>
        <v>0</v>
      </c>
      <c r="M1479" s="283">
        <f>IF(ISBLANK(INDEX('Policy Characteristics'!G:G,MATCH($C1479,'Policy Characteristics'!$C:$C,0))),"",INDEX('Policy Characteristics'!G:G,MATCH($C1479,'Policy Characteristics'!$C:$C,0)))</f>
        <v>0.4</v>
      </c>
      <c r="N1479" s="283">
        <f>IF(ISBLANK(INDEX('Policy Characteristics'!H:H,MATCH($C1479,'Policy Characteristics'!$C:$C,0))),"",INDEX('Policy Characteristics'!H:H,MATCH($C1479,'Policy Characteristics'!$C:$C,0)))</f>
        <v>0.01</v>
      </c>
      <c r="O1479" s="275" t="str">
        <f>IF(ISBLANK(INDEX('Policy Characteristics'!I:I,MATCH($C1479,'Policy Characteristics'!$C:$C,0))),"",INDEX('Policy Characteristics'!I:I,MATCH($C1479,'Policy Characteristics'!$C:$C,0)))</f>
        <v>% reduction in fuel use</v>
      </c>
      <c r="P1479" s="275" t="str">
        <f>IF(ISBLANK(INDEX('Policy Characteristics'!J:J,MATCH($C1479,'Policy Characteristics'!$C:$C,0))),"",INDEX('Policy Characteristics'!J:J,MATCH($C1479,'Policy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9" s="275" t="str">
        <f>IF(ISBLANK(INDEX('Policy Characteristics'!K:K,MATCH($C1479,'Policy Characteristics'!$C:$C,0))),"",INDEX('Policy Characteristics'!K:K,MATCH($C1479,'Policy Characteristics'!$C:$C,0)))</f>
        <v>architectural-design.html#rnd</v>
      </c>
      <c r="R1479" s="275" t="str">
        <f>IF(ISBLANK(INDEX('Policy Characteristics'!L:L,MATCH($C1479,'Policy Characteristics'!$C:$C,0))),"",INDEX('Policy Characteristics'!L:L,MATCH($C1479,'Policy Characteristics'!$C:$C,0)))</f>
        <v>research-and-development.html</v>
      </c>
    </row>
    <row r="1480" spans="1:18" x14ac:dyDescent="0.25">
      <c r="A1480" s="275" t="str">
        <f>IF(ISBLANK(INDEX('Policy Characteristics'!A:A,MATCH($C1480,'Policy Characteristics'!$C:$C,0))),"",INDEX('Policy Characteristics'!A:A,MATCH($C1480,'Policy Characteristics'!$C:$C,0)))</f>
        <v>Research and Development</v>
      </c>
      <c r="B1480" s="284" t="str">
        <f>IF(ISBLANK(INDEX('Policy Characteristics'!B:B,MATCH($C1480,'Policy Characteristics'!$C:$C,0))),"",INDEX('Policy Characteristics'!B:B,MATCH($C1480,'Policy Characteristics'!$C:$C,0)))</f>
        <v>Fuel Use Reduction</v>
      </c>
      <c r="C1480" s="275" t="str">
        <f t="shared" si="69"/>
        <v>RnD Transportation Fuel Use Perc Reduction</v>
      </c>
      <c r="D1480" s="47" t="s">
        <v>2248</v>
      </c>
      <c r="E1480" s="47"/>
      <c r="F1480" s="47" t="s">
        <v>473</v>
      </c>
      <c r="G1480" s="47"/>
      <c r="H1480" s="44">
        <v>135</v>
      </c>
      <c r="I1480" s="346" t="s">
        <v>43</v>
      </c>
      <c r="J1480" s="276" t="str">
        <f>IF(ISBLANK(INDEX('Policy Characteristics'!D:D,MATCH($C1480,'Policy Characteristics'!$C:$C,0))),"",INDEX('Policy Characteristics'!D:D,MATCH($C1480,'Policy Characteristics'!$C:$C,0)))</f>
        <v>R&amp;D Fuel Use Reductions</v>
      </c>
      <c r="K1480" s="275" t="str">
        <f>IF(ISBLANK(INDEX('Policy Characteristics'!E:E,MATCH($C1480,'Policy Characteristics'!$C:$C,0))),"",INDEX('Policy Characteristics'!E:E,MATCH($C1480,'Policy Characteristics'!$C:$C,0)))</f>
        <v>RnD transportation fuel use reduction</v>
      </c>
      <c r="L1480" s="283">
        <f>IF(ISBLANK(INDEX('Policy Characteristics'!F:F,MATCH($C1480,'Policy Characteristics'!$C:$C,0))),"",INDEX('Policy Characteristics'!F:F,MATCH($C1480,'Policy Characteristics'!$C:$C,0)))</f>
        <v>0</v>
      </c>
      <c r="M1480" s="283">
        <f>IF(ISBLANK(INDEX('Policy Characteristics'!G:G,MATCH($C1480,'Policy Characteristics'!$C:$C,0))),"",INDEX('Policy Characteristics'!G:G,MATCH($C1480,'Policy Characteristics'!$C:$C,0)))</f>
        <v>0.4</v>
      </c>
      <c r="N1480" s="283">
        <f>IF(ISBLANK(INDEX('Policy Characteristics'!H:H,MATCH($C1480,'Policy Characteristics'!$C:$C,0))),"",INDEX('Policy Characteristics'!H:H,MATCH($C1480,'Policy Characteristics'!$C:$C,0)))</f>
        <v>0.01</v>
      </c>
      <c r="O1480" s="275" t="str">
        <f>IF(ISBLANK(INDEX('Policy Characteristics'!I:I,MATCH($C1480,'Policy Characteristics'!$C:$C,0))),"",INDEX('Policy Characteristics'!I:I,MATCH($C1480,'Policy Characteristics'!$C:$C,0)))</f>
        <v>% reduction in fuel use</v>
      </c>
      <c r="P1480" s="275" t="str">
        <f>IF(ISBLANK(INDEX('Policy Characteristics'!J:J,MATCH($C1480,'Policy Characteristics'!$C:$C,0))),"",INDEX('Policy Characteristics'!J:J,MATCH($C1480,'Policy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0" s="275" t="str">
        <f>IF(ISBLANK(INDEX('Policy Characteristics'!K:K,MATCH($C1480,'Policy Characteristics'!$C:$C,0))),"",INDEX('Policy Characteristics'!K:K,MATCH($C1480,'Policy Characteristics'!$C:$C,0)))</f>
        <v>architectural-design.html#rnd</v>
      </c>
      <c r="R1480" s="275" t="str">
        <f>IF(ISBLANK(INDEX('Policy Characteristics'!L:L,MATCH($C1480,'Policy Characteristics'!$C:$C,0))),"",INDEX('Policy Characteristics'!L:L,MATCH($C1480,'Policy Characteristics'!$C:$C,0)))</f>
        <v>research-and-development.html</v>
      </c>
    </row>
    <row r="1481" spans="1:18" x14ac:dyDescent="0.25">
      <c r="A1481" s="275" t="str">
        <f>IF(ISBLANK(INDEX('Policy Characteristics'!A:A,MATCH($C1481,'Policy Characteristics'!$C:$C,0))),"",INDEX('Policy Characteristics'!A:A,MATCH($C1481,'Policy Characteristics'!$C:$C,0)))</f>
        <v>Research and Development</v>
      </c>
      <c r="B1481" s="284" t="str">
        <f>IF(ISBLANK(INDEX('Policy Characteristics'!B:B,MATCH($C1481,'Policy Characteristics'!$C:$C,0))),"",INDEX('Policy Characteristics'!B:B,MATCH($C1481,'Policy Characteristics'!$C:$C,0)))</f>
        <v>Fuel Use Reduction</v>
      </c>
      <c r="C1481" s="275" t="str">
        <f t="shared" si="69"/>
        <v>RnD Transportation Fuel Use Perc Reduction</v>
      </c>
      <c r="D1481" s="47" t="s">
        <v>2249</v>
      </c>
      <c r="E1481" s="47"/>
      <c r="F1481" s="47" t="s">
        <v>474</v>
      </c>
      <c r="G1481" s="47"/>
      <c r="H1481" s="44">
        <v>136</v>
      </c>
      <c r="I1481" s="346" t="s">
        <v>43</v>
      </c>
      <c r="J1481" s="276" t="str">
        <f>IF(ISBLANK(INDEX('Policy Characteristics'!D:D,MATCH($C1481,'Policy Characteristics'!$C:$C,0))),"",INDEX('Policy Characteristics'!D:D,MATCH($C1481,'Policy Characteristics'!$C:$C,0)))</f>
        <v>R&amp;D Fuel Use Reductions</v>
      </c>
      <c r="K1481" s="275" t="str">
        <f>IF(ISBLANK(INDEX('Policy Characteristics'!E:E,MATCH($C1481,'Policy Characteristics'!$C:$C,0))),"",INDEX('Policy Characteristics'!E:E,MATCH($C1481,'Policy Characteristics'!$C:$C,0)))</f>
        <v>RnD transportation fuel use reduction</v>
      </c>
      <c r="L1481" s="283">
        <f>IF(ISBLANK(INDEX('Policy Characteristics'!F:F,MATCH($C1481,'Policy Characteristics'!$C:$C,0))),"",INDEX('Policy Characteristics'!F:F,MATCH($C1481,'Policy Characteristics'!$C:$C,0)))</f>
        <v>0</v>
      </c>
      <c r="M1481" s="283">
        <f>IF(ISBLANK(INDEX('Policy Characteristics'!G:G,MATCH($C1481,'Policy Characteristics'!$C:$C,0))),"",INDEX('Policy Characteristics'!G:G,MATCH($C1481,'Policy Characteristics'!$C:$C,0)))</f>
        <v>0.4</v>
      </c>
      <c r="N1481" s="283">
        <f>IF(ISBLANK(INDEX('Policy Characteristics'!H:H,MATCH($C1481,'Policy Characteristics'!$C:$C,0))),"",INDEX('Policy Characteristics'!H:H,MATCH($C1481,'Policy Characteristics'!$C:$C,0)))</f>
        <v>0.01</v>
      </c>
      <c r="O1481" s="275" t="str">
        <f>IF(ISBLANK(INDEX('Policy Characteristics'!I:I,MATCH($C1481,'Policy Characteristics'!$C:$C,0))),"",INDEX('Policy Characteristics'!I:I,MATCH($C1481,'Policy Characteristics'!$C:$C,0)))</f>
        <v>% reduction in fuel use</v>
      </c>
      <c r="P1481" s="275" t="str">
        <f>IF(ISBLANK(INDEX('Policy Characteristics'!J:J,MATCH($C1481,'Policy Characteristics'!$C:$C,0))),"",INDEX('Policy Characteristics'!J:J,MATCH($C1481,'Policy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1" s="275" t="str">
        <f>IF(ISBLANK(INDEX('Policy Characteristics'!K:K,MATCH($C1481,'Policy Characteristics'!$C:$C,0))),"",INDEX('Policy Characteristics'!K:K,MATCH($C1481,'Policy Characteristics'!$C:$C,0)))</f>
        <v>architectural-design.html#rnd</v>
      </c>
      <c r="R1481" s="275" t="str">
        <f>IF(ISBLANK(INDEX('Policy Characteristics'!L:L,MATCH($C1481,'Policy Characteristics'!$C:$C,0))),"",INDEX('Policy Characteristics'!L:L,MATCH($C1481,'Policy Characteristics'!$C:$C,0)))</f>
        <v>research-and-development.html</v>
      </c>
    </row>
    <row r="1482" spans="1:18" x14ac:dyDescent="0.25">
      <c r="A1482" s="275" t="str">
        <f>IF(ISBLANK(INDEX('Policy Characteristics'!A:A,MATCH($C1482,'Policy Characteristics'!$C:$C,0))),"",INDEX('Policy Characteristics'!A:A,MATCH($C1482,'Policy Characteristics'!$C:$C,0)))</f>
        <v>Research and Development</v>
      </c>
      <c r="B1482" s="284" t="str">
        <f>IF(ISBLANK(INDEX('Policy Characteristics'!B:B,MATCH($C1482,'Policy Characteristics'!$C:$C,0))),"",INDEX('Policy Characteristics'!B:B,MATCH($C1482,'Policy Characteristics'!$C:$C,0)))</f>
        <v>Fuel Use Reduction</v>
      </c>
      <c r="C1482" s="275" t="str">
        <f t="shared" si="69"/>
        <v>RnD Transportation Fuel Use Perc Reduction</v>
      </c>
      <c r="D1482" s="47" t="s">
        <v>2250</v>
      </c>
      <c r="E1482" s="47"/>
      <c r="F1482" s="47" t="s">
        <v>475</v>
      </c>
      <c r="G1482" s="47"/>
      <c r="H1482" s="44">
        <v>137</v>
      </c>
      <c r="I1482" s="346" t="s">
        <v>43</v>
      </c>
      <c r="J1482" s="276" t="str">
        <f>IF(ISBLANK(INDEX('Policy Characteristics'!D:D,MATCH($C1482,'Policy Characteristics'!$C:$C,0))),"",INDEX('Policy Characteristics'!D:D,MATCH($C1482,'Policy Characteristics'!$C:$C,0)))</f>
        <v>R&amp;D Fuel Use Reductions</v>
      </c>
      <c r="K1482" s="275" t="str">
        <f>IF(ISBLANK(INDEX('Policy Characteristics'!E:E,MATCH($C1482,'Policy Characteristics'!$C:$C,0))),"",INDEX('Policy Characteristics'!E:E,MATCH($C1482,'Policy Characteristics'!$C:$C,0)))</f>
        <v>RnD transportation fuel use reduction</v>
      </c>
      <c r="L1482" s="283">
        <f>IF(ISBLANK(INDEX('Policy Characteristics'!F:F,MATCH($C1482,'Policy Characteristics'!$C:$C,0))),"",INDEX('Policy Characteristics'!F:F,MATCH($C1482,'Policy Characteristics'!$C:$C,0)))</f>
        <v>0</v>
      </c>
      <c r="M1482" s="283">
        <f>IF(ISBLANK(INDEX('Policy Characteristics'!G:G,MATCH($C1482,'Policy Characteristics'!$C:$C,0))),"",INDEX('Policy Characteristics'!G:G,MATCH($C1482,'Policy Characteristics'!$C:$C,0)))</f>
        <v>0.4</v>
      </c>
      <c r="N1482" s="283">
        <f>IF(ISBLANK(INDEX('Policy Characteristics'!H:H,MATCH($C1482,'Policy Characteristics'!$C:$C,0))),"",INDEX('Policy Characteristics'!H:H,MATCH($C1482,'Policy Characteristics'!$C:$C,0)))</f>
        <v>0.01</v>
      </c>
      <c r="O1482" s="275" t="str">
        <f>IF(ISBLANK(INDEX('Policy Characteristics'!I:I,MATCH($C1482,'Policy Characteristics'!$C:$C,0))),"",INDEX('Policy Characteristics'!I:I,MATCH($C1482,'Policy Characteristics'!$C:$C,0)))</f>
        <v>% reduction in fuel use</v>
      </c>
      <c r="P1482" s="275" t="str">
        <f>IF(ISBLANK(INDEX('Policy Characteristics'!J:J,MATCH($C1482,'Policy Characteristics'!$C:$C,0))),"",INDEX('Policy Characteristics'!J:J,MATCH($C1482,'Policy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2" s="275" t="str">
        <f>IF(ISBLANK(INDEX('Policy Characteristics'!K:K,MATCH($C1482,'Policy Characteristics'!$C:$C,0))),"",INDEX('Policy Characteristics'!K:K,MATCH($C1482,'Policy Characteristics'!$C:$C,0)))</f>
        <v>architectural-design.html#rnd</v>
      </c>
      <c r="R1482" s="275" t="str">
        <f>IF(ISBLANK(INDEX('Policy Characteristics'!L:L,MATCH($C1482,'Policy Characteristics'!$C:$C,0))),"",INDEX('Policy Characteristics'!L:L,MATCH($C1482,'Policy Characteristics'!$C:$C,0)))</f>
        <v>research-and-development.html</v>
      </c>
    </row>
    <row r="1483" spans="1:18" x14ac:dyDescent="0.25">
      <c r="A1483" s="275" t="str">
        <f>IF(ISBLANK(INDEX('Policy Characteristics'!A:A,MATCH($C1483,'Policy Characteristics'!$C:$C,0))),"",INDEX('Policy Characteristics'!A:A,MATCH($C1483,'Policy Characteristics'!$C:$C,0)))</f>
        <v>Research and Development</v>
      </c>
      <c r="B1483" s="284" t="str">
        <f>IF(ISBLANK(INDEX('Policy Characteristics'!B:B,MATCH($C1483,'Policy Characteristics'!$C:$C,0))),"",INDEX('Policy Characteristics'!B:B,MATCH($C1483,'Policy Characteristics'!$C:$C,0)))</f>
        <v>Fuel Use Reduction</v>
      </c>
      <c r="C1483" s="275" t="str">
        <f t="shared" si="69"/>
        <v>RnD Transportation Fuel Use Perc Reduction</v>
      </c>
      <c r="D1483" s="47" t="s">
        <v>2512</v>
      </c>
      <c r="E1483" s="47"/>
      <c r="F1483" s="47" t="s">
        <v>2796</v>
      </c>
      <c r="G1483" s="47"/>
      <c r="H1483" s="44">
        <v>138</v>
      </c>
      <c r="I1483" s="346" t="s">
        <v>43</v>
      </c>
      <c r="J1483" s="276" t="str">
        <f>IF(ISBLANK(INDEX('Policy Characteristics'!D:D,MATCH($C1483,'Policy Characteristics'!$C:$C,0))),"",INDEX('Policy Characteristics'!D:D,MATCH($C1483,'Policy Characteristics'!$C:$C,0)))</f>
        <v>R&amp;D Fuel Use Reductions</v>
      </c>
      <c r="K1483" s="275" t="str">
        <f>IF(ISBLANK(INDEX('Policy Characteristics'!E:E,MATCH($C1483,'Policy Characteristics'!$C:$C,0))),"",INDEX('Policy Characteristics'!E:E,MATCH($C1483,'Policy Characteristics'!$C:$C,0)))</f>
        <v>RnD transportation fuel use reduction</v>
      </c>
      <c r="L1483" s="283">
        <f>IF(ISBLANK(INDEX('Policy Characteristics'!F:F,MATCH($C1483,'Policy Characteristics'!$C:$C,0))),"",INDEX('Policy Characteristics'!F:F,MATCH($C1483,'Policy Characteristics'!$C:$C,0)))</f>
        <v>0</v>
      </c>
      <c r="M1483" s="283">
        <f>IF(ISBLANK(INDEX('Policy Characteristics'!G:G,MATCH($C1483,'Policy Characteristics'!$C:$C,0))),"",INDEX('Policy Characteristics'!G:G,MATCH($C1483,'Policy Characteristics'!$C:$C,0)))</f>
        <v>0.4</v>
      </c>
      <c r="N1483" s="283">
        <f>IF(ISBLANK(INDEX('Policy Characteristics'!H:H,MATCH($C1483,'Policy Characteristics'!$C:$C,0))),"",INDEX('Policy Characteristics'!H:H,MATCH($C1483,'Policy Characteristics'!$C:$C,0)))</f>
        <v>0.01</v>
      </c>
      <c r="O1483" s="275" t="str">
        <f>IF(ISBLANK(INDEX('Policy Characteristics'!I:I,MATCH($C1483,'Policy Characteristics'!$C:$C,0))),"",INDEX('Policy Characteristics'!I:I,MATCH($C1483,'Policy Characteristics'!$C:$C,0)))</f>
        <v>% reduction in fuel use</v>
      </c>
      <c r="P1483" s="275" t="str">
        <f>IF(ISBLANK(INDEX('Policy Characteristics'!J:J,MATCH($C1483,'Policy Characteristics'!$C:$C,0))),"",INDEX('Policy Characteristics'!J:J,MATCH($C1483,'Policy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3" s="275" t="str">
        <f>IF(ISBLANK(INDEX('Policy Characteristics'!K:K,MATCH($C1483,'Policy Characteristics'!$C:$C,0))),"",INDEX('Policy Characteristics'!K:K,MATCH($C1483,'Policy Characteristics'!$C:$C,0)))</f>
        <v>architectural-design.html#rnd</v>
      </c>
      <c r="R1483" s="275" t="str">
        <f>IF(ISBLANK(INDEX('Policy Characteristics'!L:L,MATCH($C1483,'Policy Characteristics'!$C:$C,0))),"",INDEX('Policy Characteristics'!L:L,MATCH($C1483,'Policy Characteristics'!$C:$C,0)))</f>
        <v>research-and-development.html</v>
      </c>
    </row>
    <row r="1484" spans="1:18" x14ac:dyDescent="0.25">
      <c r="A1484" s="275" t="str">
        <f>IF(ISBLANK(INDEX('Policy Characteristics'!A:A,MATCH($C1484,'Policy Characteristics'!$C:$C,0))),"",INDEX('Policy Characteristics'!A:A,MATCH($C1484,'Policy Characteristics'!$C:$C,0)))</f>
        <v>Research and Development</v>
      </c>
      <c r="B1484" s="284" t="str">
        <f>IF(ISBLANK(INDEX('Policy Characteristics'!B:B,MATCH($C1484,'Policy Characteristics'!$C:$C,0))),"",INDEX('Policy Characteristics'!B:B,MATCH($C1484,'Policy Characteristics'!$C:$C,0)))</f>
        <v>Fuel Use Reduction</v>
      </c>
      <c r="C1484" s="275" t="str">
        <f t="shared" si="69"/>
        <v>RnD Transportation Fuel Use Perc Reduction</v>
      </c>
      <c r="D1484" s="47" t="s">
        <v>2511</v>
      </c>
      <c r="E1484" s="47"/>
      <c r="F1484" s="47" t="s">
        <v>2797</v>
      </c>
      <c r="G1484" s="47"/>
      <c r="H1484" s="44">
        <v>524</v>
      </c>
      <c r="I1484" s="346" t="s">
        <v>43</v>
      </c>
      <c r="J1484" s="276" t="str">
        <f>IF(ISBLANK(INDEX('Policy Characteristics'!D:D,MATCH($C1484,'Policy Characteristics'!$C:$C,0))),"",INDEX('Policy Characteristics'!D:D,MATCH($C1484,'Policy Characteristics'!$C:$C,0)))</f>
        <v>R&amp;D Fuel Use Reductions</v>
      </c>
      <c r="K1484" s="275" t="str">
        <f>IF(ISBLANK(INDEX('Policy Characteristics'!E:E,MATCH($C1484,'Policy Characteristics'!$C:$C,0))),"",INDEX('Policy Characteristics'!E:E,MATCH($C1484,'Policy Characteristics'!$C:$C,0)))</f>
        <v>RnD transportation fuel use reduction</v>
      </c>
      <c r="L1484" s="283">
        <f>IF(ISBLANK(INDEX('Policy Characteristics'!F:F,MATCH($C1484,'Policy Characteristics'!$C:$C,0))),"",INDEX('Policy Characteristics'!F:F,MATCH($C1484,'Policy Characteristics'!$C:$C,0)))</f>
        <v>0</v>
      </c>
      <c r="M1484" s="283">
        <f>IF(ISBLANK(INDEX('Policy Characteristics'!G:G,MATCH($C1484,'Policy Characteristics'!$C:$C,0))),"",INDEX('Policy Characteristics'!G:G,MATCH($C1484,'Policy Characteristics'!$C:$C,0)))</f>
        <v>0.4</v>
      </c>
      <c r="N1484" s="283">
        <f>IF(ISBLANK(INDEX('Policy Characteristics'!H:H,MATCH($C1484,'Policy Characteristics'!$C:$C,0))),"",INDEX('Policy Characteristics'!H:H,MATCH($C1484,'Policy Characteristics'!$C:$C,0)))</f>
        <v>0.01</v>
      </c>
      <c r="O1484" s="275" t="str">
        <f>IF(ISBLANK(INDEX('Policy Characteristics'!I:I,MATCH($C1484,'Policy Characteristics'!$C:$C,0))),"",INDEX('Policy Characteristics'!I:I,MATCH($C1484,'Policy Characteristics'!$C:$C,0)))</f>
        <v>% reduction in fuel use</v>
      </c>
      <c r="P1484" s="275" t="str">
        <f>IF(ISBLANK(INDEX('Policy Characteristics'!J:J,MATCH($C1484,'Policy Characteristics'!$C:$C,0))),"",INDEX('Policy Characteristics'!J:J,MATCH($C1484,'Policy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4" s="275" t="str">
        <f>IF(ISBLANK(INDEX('Policy Characteristics'!K:K,MATCH($C1484,'Policy Characteristics'!$C:$C,0))),"",INDEX('Policy Characteristics'!K:K,MATCH($C1484,'Policy Characteristics'!$C:$C,0)))</f>
        <v>architectural-design.html#rnd</v>
      </c>
      <c r="R1484" s="275" t="str">
        <f>IF(ISBLANK(INDEX('Policy Characteristics'!L:L,MATCH($C1484,'Policy Characteristics'!$C:$C,0))),"",INDEX('Policy Characteristics'!L:L,MATCH($C1484,'Policy Characteristics'!$C:$C,0)))</f>
        <v>research-and-development.html</v>
      </c>
    </row>
    <row r="1485" spans="1:18" x14ac:dyDescent="0.25">
      <c r="A1485" s="275" t="str">
        <f>IF(ISBLANK(INDEX('Policy Characteristics'!A:A,MATCH($C1485,'Policy Characteristics'!$C:$C,0))),"",INDEX('Policy Characteristics'!A:A,MATCH($C1485,'Policy Characteristics'!$C:$C,0)))</f>
        <v>Government Revenue Accounting</v>
      </c>
      <c r="B1485" s="284" t="str">
        <f>IF(ISBLANK(INDEX('Policy Characteristics'!B:B,MATCH($C1485,'Policy Characteristics'!$C:$C,0))),"",INDEX('Policy Characteristics'!B:B,MATCH($C1485,'Policy Characteristics'!$C:$C,0)))</f>
        <v>Carbon Tax Revenue</v>
      </c>
      <c r="C1485" t="s">
        <v>2959</v>
      </c>
      <c r="D1485" s="1" t="s">
        <v>2967</v>
      </c>
      <c r="F1485" s="1" t="s">
        <v>2972</v>
      </c>
      <c r="H1485" s="44">
        <v>545</v>
      </c>
      <c r="I1485" s="344" t="s">
        <v>43</v>
      </c>
      <c r="J1485" s="276" t="str">
        <f>IF(ISBLANK(INDEX('Policy Characteristics'!D:D,MATCH($C1485,'Policy Characteristics'!$C:$C,0))),"",INDEX('Policy Characteristics'!D:D,MATCH($C1485,'Policy Characteristics'!$C:$C,0)))</f>
        <v/>
      </c>
      <c r="K1485" s="275" t="str">
        <f>IF(ISBLANK(INDEX('Policy Characteristics'!E:E,MATCH($C1485,'Policy Characteristics'!$C:$C,0))),"",INDEX('Policy Characteristics'!E:E,MATCH($C1485,'Policy Characteristics'!$C:$C,0)))</f>
        <v>GRA carbon tax revenue</v>
      </c>
      <c r="L1485" s="275">
        <f>IF(ISBLANK(INDEX('Policy Characteristics'!F:F,MATCH($C1485,'Policy Characteristics'!$C:$C,0))),"",INDEX('Policy Characteristics'!F:F,MATCH($C1485,'Policy Characteristics'!$C:$C,0)))</f>
        <v>0</v>
      </c>
      <c r="M1485" s="275">
        <f>IF(ISBLANK(INDEX('Policy Characteristics'!G:G,MATCH($C1485,'Policy Characteristics'!$C:$C,0))),"",INDEX('Policy Characteristics'!G:G,MATCH($C1485,'Policy Characteristics'!$C:$C,0)))</f>
        <v>10</v>
      </c>
      <c r="N1485" s="275">
        <f>IF(ISBLANK(INDEX('Policy Characteristics'!H:H,MATCH($C1485,'Policy Characteristics'!$C:$C,0))),"",INDEX('Policy Characteristics'!H:H,MATCH($C1485,'Policy Characteristics'!$C:$C,0)))</f>
        <v>1</v>
      </c>
      <c r="O1485" s="275" t="str">
        <f>IF(ISBLANK(INDEX('Policy Characteristics'!I:I,MATCH($C1485,'Policy Characteristics'!$C:$C,0))),"",INDEX('Policy Characteristics'!I:I,MATCH($C1485,'Policy Characteristics'!$C:$C,0)))</f>
        <v>weight</v>
      </c>
      <c r="P1485" s="275" t="str">
        <f>IF(ISBLANK(INDEX('Policy Characteristics'!J:J,MATCH($C1485,'Policy Characteristics'!$C:$C,0))),"",INDEX('Policy Characteristics'!J:J,MATCH($C1485,'Policy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5" s="275" t="str">
        <f>IF(ISBLANK(INDEX('Policy Characteristics'!K:K,MATCH($C1485,'Policy Characteristics'!$C:$C,0))),"",INDEX('Policy Characteristics'!K:K,MATCH($C1485,'Policy Characteristics'!$C:$C,0)))</f>
        <v>io-model.html</v>
      </c>
      <c r="R1485" s="275" t="str">
        <f>IF(ISBLANK(INDEX('Policy Characteristics'!L:L,MATCH($C1485,'Policy Characteristics'!$C:$C,0))),"",INDEX('Policy Characteristics'!L:L,MATCH($C1485,'Policy Characteristics'!$C:$C,0)))</f>
        <v/>
      </c>
    </row>
    <row r="1486" spans="1:18" x14ac:dyDescent="0.25">
      <c r="A1486" s="275" t="str">
        <f>IF(ISBLANK(INDEX('Policy Characteristics'!A:A,MATCH($C1486,'Policy Characteristics'!$C:$C,0))),"",INDEX('Policy Characteristics'!A:A,MATCH($C1486,'Policy Characteristics'!$C:$C,0)))</f>
        <v>Government Revenue Accounting</v>
      </c>
      <c r="B1486" s="284" t="str">
        <f>IF(ISBLANK(INDEX('Policy Characteristics'!B:B,MATCH($C1486,'Policy Characteristics'!$C:$C,0))),"",INDEX('Policy Characteristics'!B:B,MATCH($C1486,'Policy Characteristics'!$C:$C,0)))</f>
        <v>Carbon Tax Revenue</v>
      </c>
      <c r="C1486" s="275" t="str">
        <f t="shared" ref="C1486" si="70">C$1485</f>
        <v>GRA for Carbon Tax Revenue</v>
      </c>
      <c r="D1486" s="1" t="s">
        <v>2968</v>
      </c>
      <c r="F1486" s="1" t="s">
        <v>2984</v>
      </c>
      <c r="H1486" s="44">
        <v>546</v>
      </c>
      <c r="I1486" s="348" t="str">
        <f t="shared" ref="I1486:I1489" si="71">I$1485</f>
        <v>Yes</v>
      </c>
      <c r="J1486" s="276" t="str">
        <f>IF(ISBLANK(INDEX('Policy Characteristics'!D:D,MATCH($C1486,'Policy Characteristics'!$C:$C,0))),"",INDEX('Policy Characteristics'!D:D,MATCH($C1486,'Policy Characteristics'!$C:$C,0)))</f>
        <v/>
      </c>
      <c r="K1486" s="275" t="str">
        <f>IF(ISBLANK(INDEX('Policy Characteristics'!E:E,MATCH($C1486,'Policy Characteristics'!$C:$C,0))),"",INDEX('Policy Characteristics'!E:E,MATCH($C1486,'Policy Characteristics'!$C:$C,0)))</f>
        <v>GRA carbon tax revenue</v>
      </c>
      <c r="L1486" s="275">
        <f>IF(ISBLANK(INDEX('Policy Characteristics'!F:F,MATCH($C1486,'Policy Characteristics'!$C:$C,0))),"",INDEX('Policy Characteristics'!F:F,MATCH($C1486,'Policy Characteristics'!$C:$C,0)))</f>
        <v>0</v>
      </c>
      <c r="M1486" s="275">
        <f>IF(ISBLANK(INDEX('Policy Characteristics'!G:G,MATCH($C1486,'Policy Characteristics'!$C:$C,0))),"",INDEX('Policy Characteristics'!G:G,MATCH($C1486,'Policy Characteristics'!$C:$C,0)))</f>
        <v>10</v>
      </c>
      <c r="N1486" s="275">
        <f>IF(ISBLANK(INDEX('Policy Characteristics'!H:H,MATCH($C1486,'Policy Characteristics'!$C:$C,0))),"",INDEX('Policy Characteristics'!H:H,MATCH($C1486,'Policy Characteristics'!$C:$C,0)))</f>
        <v>1</v>
      </c>
      <c r="O1486" s="275" t="str">
        <f>IF(ISBLANK(INDEX('Policy Characteristics'!I:I,MATCH($C1486,'Policy Characteristics'!$C:$C,0))),"",INDEX('Policy Characteristics'!I:I,MATCH($C1486,'Policy Characteristics'!$C:$C,0)))</f>
        <v>weight</v>
      </c>
      <c r="P1486" s="275" t="str">
        <f>IF(ISBLANK(INDEX('Policy Characteristics'!J:J,MATCH($C1486,'Policy Characteristics'!$C:$C,0))),"",INDEX('Policy Characteristics'!J:J,MATCH($C1486,'Policy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6" s="275" t="str">
        <f>IF(ISBLANK(INDEX('Policy Characteristics'!K:K,MATCH($C1486,'Policy Characteristics'!$C:$C,0))),"",INDEX('Policy Characteristics'!K:K,MATCH($C1486,'Policy Characteristics'!$C:$C,0)))</f>
        <v>io-model.html</v>
      </c>
      <c r="R1486" s="275" t="str">
        <f>IF(ISBLANK(INDEX('Policy Characteristics'!L:L,MATCH($C1486,'Policy Characteristics'!$C:$C,0))),"",INDEX('Policy Characteristics'!L:L,MATCH($C1486,'Policy Characteristics'!$C:$C,0)))</f>
        <v/>
      </c>
    </row>
    <row r="1487" spans="1:18" x14ac:dyDescent="0.25">
      <c r="A1487" s="275" t="str">
        <f>IF(ISBLANK(INDEX('Policy Characteristics'!A:A,MATCH($C1487,'Policy Characteristics'!$C:$C,0))),"",INDEX('Policy Characteristics'!A:A,MATCH($C1487,'Policy Characteristics'!$C:$C,0)))</f>
        <v>Government Revenue Accounting</v>
      </c>
      <c r="B1487" s="284" t="str">
        <f>IF(ISBLANK(INDEX('Policy Characteristics'!B:B,MATCH($C1487,'Policy Characteristics'!$C:$C,0))),"",INDEX('Policy Characteristics'!B:B,MATCH($C1487,'Policy Characteristics'!$C:$C,0)))</f>
        <v>Carbon Tax Revenue</v>
      </c>
      <c r="C1487" s="275" t="str">
        <f t="shared" ref="C1487:C1489" si="72">C$1485</f>
        <v>GRA for Carbon Tax Revenue</v>
      </c>
      <c r="D1487" s="1" t="s">
        <v>2969</v>
      </c>
      <c r="F1487" s="1" t="s">
        <v>2973</v>
      </c>
      <c r="H1487" s="44">
        <v>547</v>
      </c>
      <c r="I1487" s="348" t="str">
        <f t="shared" si="71"/>
        <v>Yes</v>
      </c>
      <c r="J1487" s="276" t="str">
        <f>IF(ISBLANK(INDEX('Policy Characteristics'!D:D,MATCH($C1487,'Policy Characteristics'!$C:$C,0))),"",INDEX('Policy Characteristics'!D:D,MATCH($C1487,'Policy Characteristics'!$C:$C,0)))</f>
        <v/>
      </c>
      <c r="K1487" s="275" t="str">
        <f>IF(ISBLANK(INDEX('Policy Characteristics'!E:E,MATCH($C1487,'Policy Characteristics'!$C:$C,0))),"",INDEX('Policy Characteristics'!E:E,MATCH($C1487,'Policy Characteristics'!$C:$C,0)))</f>
        <v>GRA carbon tax revenue</v>
      </c>
      <c r="L1487" s="275">
        <f>IF(ISBLANK(INDEX('Policy Characteristics'!F:F,MATCH($C1487,'Policy Characteristics'!$C:$C,0))),"",INDEX('Policy Characteristics'!F:F,MATCH($C1487,'Policy Characteristics'!$C:$C,0)))</f>
        <v>0</v>
      </c>
      <c r="M1487" s="275">
        <f>IF(ISBLANK(INDEX('Policy Characteristics'!G:G,MATCH($C1487,'Policy Characteristics'!$C:$C,0))),"",INDEX('Policy Characteristics'!G:G,MATCH($C1487,'Policy Characteristics'!$C:$C,0)))</f>
        <v>10</v>
      </c>
      <c r="N1487" s="275">
        <f>IF(ISBLANK(INDEX('Policy Characteristics'!H:H,MATCH($C1487,'Policy Characteristics'!$C:$C,0))),"",INDEX('Policy Characteristics'!H:H,MATCH($C1487,'Policy Characteristics'!$C:$C,0)))</f>
        <v>1</v>
      </c>
      <c r="O1487" s="275" t="str">
        <f>IF(ISBLANK(INDEX('Policy Characteristics'!I:I,MATCH($C1487,'Policy Characteristics'!$C:$C,0))),"",INDEX('Policy Characteristics'!I:I,MATCH($C1487,'Policy Characteristics'!$C:$C,0)))</f>
        <v>weight</v>
      </c>
      <c r="P1487" s="275" t="str">
        <f>IF(ISBLANK(INDEX('Policy Characteristics'!J:J,MATCH($C1487,'Policy Characteristics'!$C:$C,0))),"",INDEX('Policy Characteristics'!J:J,MATCH($C1487,'Policy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7" s="275" t="str">
        <f>IF(ISBLANK(INDEX('Policy Characteristics'!K:K,MATCH($C1487,'Policy Characteristics'!$C:$C,0))),"",INDEX('Policy Characteristics'!K:K,MATCH($C1487,'Policy Characteristics'!$C:$C,0)))</f>
        <v>io-model.html</v>
      </c>
      <c r="R1487" s="275" t="str">
        <f>IF(ISBLANK(INDEX('Policy Characteristics'!L:L,MATCH($C1487,'Policy Characteristics'!$C:$C,0))),"",INDEX('Policy Characteristics'!L:L,MATCH($C1487,'Policy Characteristics'!$C:$C,0)))</f>
        <v/>
      </c>
    </row>
    <row r="1488" spans="1:18" x14ac:dyDescent="0.25">
      <c r="A1488" s="275" t="str">
        <f>IF(ISBLANK(INDEX('Policy Characteristics'!A:A,MATCH($C1488,'Policy Characteristics'!$C:$C,0))),"",INDEX('Policy Characteristics'!A:A,MATCH($C1488,'Policy Characteristics'!$C:$C,0)))</f>
        <v>Government Revenue Accounting</v>
      </c>
      <c r="B1488" s="284" t="str">
        <f>IF(ISBLANK(INDEX('Policy Characteristics'!B:B,MATCH($C1488,'Policy Characteristics'!$C:$C,0))),"",INDEX('Policy Characteristics'!B:B,MATCH($C1488,'Policy Characteristics'!$C:$C,0)))</f>
        <v>Carbon Tax Revenue</v>
      </c>
      <c r="C1488" s="275" t="str">
        <f t="shared" si="72"/>
        <v>GRA for Carbon Tax Revenue</v>
      </c>
      <c r="D1488" s="1" t="s">
        <v>2970</v>
      </c>
      <c r="F1488" s="1" t="s">
        <v>2974</v>
      </c>
      <c r="H1488" s="44">
        <v>548</v>
      </c>
      <c r="I1488" s="348" t="str">
        <f t="shared" si="71"/>
        <v>Yes</v>
      </c>
      <c r="J1488" s="276" t="str">
        <f>IF(ISBLANK(INDEX('Policy Characteristics'!D:D,MATCH($C1488,'Policy Characteristics'!$C:$C,0))),"",INDEX('Policy Characteristics'!D:D,MATCH($C1488,'Policy Characteristics'!$C:$C,0)))</f>
        <v/>
      </c>
      <c r="K1488" s="275" t="str">
        <f>IF(ISBLANK(INDEX('Policy Characteristics'!E:E,MATCH($C1488,'Policy Characteristics'!$C:$C,0))),"",INDEX('Policy Characteristics'!E:E,MATCH($C1488,'Policy Characteristics'!$C:$C,0)))</f>
        <v>GRA carbon tax revenue</v>
      </c>
      <c r="L1488" s="275">
        <f>IF(ISBLANK(INDEX('Policy Characteristics'!F:F,MATCH($C1488,'Policy Characteristics'!$C:$C,0))),"",INDEX('Policy Characteristics'!F:F,MATCH($C1488,'Policy Characteristics'!$C:$C,0)))</f>
        <v>0</v>
      </c>
      <c r="M1488" s="275">
        <f>IF(ISBLANK(INDEX('Policy Characteristics'!G:G,MATCH($C1488,'Policy Characteristics'!$C:$C,0))),"",INDEX('Policy Characteristics'!G:G,MATCH($C1488,'Policy Characteristics'!$C:$C,0)))</f>
        <v>10</v>
      </c>
      <c r="N1488" s="275">
        <f>IF(ISBLANK(INDEX('Policy Characteristics'!H:H,MATCH($C1488,'Policy Characteristics'!$C:$C,0))),"",INDEX('Policy Characteristics'!H:H,MATCH($C1488,'Policy Characteristics'!$C:$C,0)))</f>
        <v>1</v>
      </c>
      <c r="O1488" s="275" t="str">
        <f>IF(ISBLANK(INDEX('Policy Characteristics'!I:I,MATCH($C1488,'Policy Characteristics'!$C:$C,0))),"",INDEX('Policy Characteristics'!I:I,MATCH($C1488,'Policy Characteristics'!$C:$C,0)))</f>
        <v>weight</v>
      </c>
      <c r="P1488" s="275" t="str">
        <f>IF(ISBLANK(INDEX('Policy Characteristics'!J:J,MATCH($C1488,'Policy Characteristics'!$C:$C,0))),"",INDEX('Policy Characteristics'!J:J,MATCH($C1488,'Policy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8" s="275" t="str">
        <f>IF(ISBLANK(INDEX('Policy Characteristics'!K:K,MATCH($C1488,'Policy Characteristics'!$C:$C,0))),"",INDEX('Policy Characteristics'!K:K,MATCH($C1488,'Policy Characteristics'!$C:$C,0)))</f>
        <v>io-model.html</v>
      </c>
      <c r="R1488" s="275" t="str">
        <f>IF(ISBLANK(INDEX('Policy Characteristics'!L:L,MATCH($C1488,'Policy Characteristics'!$C:$C,0))),"",INDEX('Policy Characteristics'!L:L,MATCH($C1488,'Policy Characteristics'!$C:$C,0)))</f>
        <v/>
      </c>
    </row>
    <row r="1489" spans="1:18" x14ac:dyDescent="0.25">
      <c r="A1489" s="275" t="str">
        <f>IF(ISBLANK(INDEX('Policy Characteristics'!A:A,MATCH($C1489,'Policy Characteristics'!$C:$C,0))),"",INDEX('Policy Characteristics'!A:A,MATCH($C1489,'Policy Characteristics'!$C:$C,0)))</f>
        <v>Government Revenue Accounting</v>
      </c>
      <c r="B1489" s="284" t="str">
        <f>IF(ISBLANK(INDEX('Policy Characteristics'!B:B,MATCH($C1489,'Policy Characteristics'!$C:$C,0))),"",INDEX('Policy Characteristics'!B:B,MATCH($C1489,'Policy Characteristics'!$C:$C,0)))</f>
        <v>Carbon Tax Revenue</v>
      </c>
      <c r="C1489" s="275" t="str">
        <f t="shared" si="72"/>
        <v>GRA for Carbon Tax Revenue</v>
      </c>
      <c r="D1489" s="1" t="s">
        <v>2971</v>
      </c>
      <c r="F1489" s="1" t="s">
        <v>2975</v>
      </c>
      <c r="H1489" s="44">
        <v>549</v>
      </c>
      <c r="I1489" s="348" t="str">
        <f t="shared" si="71"/>
        <v>Yes</v>
      </c>
      <c r="J1489" s="276" t="str">
        <f>IF(ISBLANK(INDEX('Policy Characteristics'!D:D,MATCH($C1489,'Policy Characteristics'!$C:$C,0))),"",INDEX('Policy Characteristics'!D:D,MATCH($C1489,'Policy Characteristics'!$C:$C,0)))</f>
        <v/>
      </c>
      <c r="K1489" s="275" t="str">
        <f>IF(ISBLANK(INDEX('Policy Characteristics'!E:E,MATCH($C1489,'Policy Characteristics'!$C:$C,0))),"",INDEX('Policy Characteristics'!E:E,MATCH($C1489,'Policy Characteristics'!$C:$C,0)))</f>
        <v>GRA carbon tax revenue</v>
      </c>
      <c r="L1489" s="275">
        <f>IF(ISBLANK(INDEX('Policy Characteristics'!F:F,MATCH($C1489,'Policy Characteristics'!$C:$C,0))),"",INDEX('Policy Characteristics'!F:F,MATCH($C1489,'Policy Characteristics'!$C:$C,0)))</f>
        <v>0</v>
      </c>
      <c r="M1489" s="275">
        <f>IF(ISBLANK(INDEX('Policy Characteristics'!G:G,MATCH($C1489,'Policy Characteristics'!$C:$C,0))),"",INDEX('Policy Characteristics'!G:G,MATCH($C1489,'Policy Characteristics'!$C:$C,0)))</f>
        <v>10</v>
      </c>
      <c r="N1489" s="275">
        <f>IF(ISBLANK(INDEX('Policy Characteristics'!H:H,MATCH($C1489,'Policy Characteristics'!$C:$C,0))),"",INDEX('Policy Characteristics'!H:H,MATCH($C1489,'Policy Characteristics'!$C:$C,0)))</f>
        <v>1</v>
      </c>
      <c r="O1489" s="275" t="str">
        <f>IF(ISBLANK(INDEX('Policy Characteristics'!I:I,MATCH($C1489,'Policy Characteristics'!$C:$C,0))),"",INDEX('Policy Characteristics'!I:I,MATCH($C1489,'Policy Characteristics'!$C:$C,0)))</f>
        <v>weight</v>
      </c>
      <c r="P1489" s="275" t="str">
        <f>IF(ISBLANK(INDEX('Policy Characteristics'!J:J,MATCH($C1489,'Policy Characteristics'!$C:$C,0))),"",INDEX('Policy Characteristics'!J:J,MATCH($C1489,'Policy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9" s="275" t="str">
        <f>IF(ISBLANK(INDEX('Policy Characteristics'!K:K,MATCH($C1489,'Policy Characteristics'!$C:$C,0))),"",INDEX('Policy Characteristics'!K:K,MATCH($C1489,'Policy Characteristics'!$C:$C,0)))</f>
        <v>io-model.html</v>
      </c>
      <c r="R1489" s="275" t="str">
        <f>IF(ISBLANK(INDEX('Policy Characteristics'!L:L,MATCH($C1489,'Policy Characteristics'!$C:$C,0))),"",INDEX('Policy Characteristics'!L:L,MATCH($C1489,'Policy Characteristics'!$C:$C,0)))</f>
        <v/>
      </c>
    </row>
    <row r="1490" spans="1:18" x14ac:dyDescent="0.25">
      <c r="A1490" s="275" t="str">
        <f>IF(ISBLANK(INDEX('Policy Characteristics'!A:A,MATCH($C1490,'Policy Characteristics'!$C:$C,0))),"",INDEX('Policy Characteristics'!A:A,MATCH($C1490,'Policy Characteristics'!$C:$C,0)))</f>
        <v>Government Revenue Accounting</v>
      </c>
      <c r="B1490" s="284" t="str">
        <f>IF(ISBLANK(INDEX('Policy Characteristics'!B:B,MATCH($C1490,'Policy Characteristics'!$C:$C,0))),"",INDEX('Policy Characteristics'!B:B,MATCH($C1490,'Policy Characteristics'!$C:$C,0)))</f>
        <v>Fuel Tax Revenue</v>
      </c>
      <c r="C1490" t="s">
        <v>2960</v>
      </c>
      <c r="D1490" s="1" t="s">
        <v>2967</v>
      </c>
      <c r="F1490" s="1" t="s">
        <v>2972</v>
      </c>
      <c r="H1490" s="44">
        <v>550</v>
      </c>
      <c r="I1490" s="344" t="s">
        <v>43</v>
      </c>
      <c r="J1490" s="276" t="str">
        <f>IF(ISBLANK(INDEX('Policy Characteristics'!D:D,MATCH($C1490,'Policy Characteristics'!$C:$C,0))),"",INDEX('Policy Characteristics'!D:D,MATCH($C1490,'Policy Characteristics'!$C:$C,0)))</f>
        <v/>
      </c>
      <c r="K1490" s="275" t="str">
        <f>IF(ISBLANK(INDEX('Policy Characteristics'!E:E,MATCH($C1490,'Policy Characteristics'!$C:$C,0))),"",INDEX('Policy Characteristics'!E:E,MATCH($C1490,'Policy Characteristics'!$C:$C,0)))</f>
        <v>GRA fuel tax revenue</v>
      </c>
      <c r="L1490" s="275">
        <f>IF(ISBLANK(INDEX('Policy Characteristics'!F:F,MATCH($C1490,'Policy Characteristics'!$C:$C,0))),"",INDEX('Policy Characteristics'!F:F,MATCH($C1490,'Policy Characteristics'!$C:$C,0)))</f>
        <v>0</v>
      </c>
      <c r="M1490" s="275">
        <f>IF(ISBLANK(INDEX('Policy Characteristics'!G:G,MATCH($C1490,'Policy Characteristics'!$C:$C,0))),"",INDEX('Policy Characteristics'!G:G,MATCH($C1490,'Policy Characteristics'!$C:$C,0)))</f>
        <v>10</v>
      </c>
      <c r="N1490" s="275">
        <f>IF(ISBLANK(INDEX('Policy Characteristics'!H:H,MATCH($C1490,'Policy Characteristics'!$C:$C,0))),"",INDEX('Policy Characteristics'!H:H,MATCH($C1490,'Policy Characteristics'!$C:$C,0)))</f>
        <v>1</v>
      </c>
      <c r="O1490" s="275" t="str">
        <f>IF(ISBLANK(INDEX('Policy Characteristics'!I:I,MATCH($C1490,'Policy Characteristics'!$C:$C,0))),"",INDEX('Policy Characteristics'!I:I,MATCH($C1490,'Policy Characteristics'!$C:$C,0)))</f>
        <v>weight</v>
      </c>
      <c r="P1490" s="275" t="str">
        <f>IF(ISBLANK(INDEX('Policy Characteristics'!J:J,MATCH($C1490,'Policy Characteristics'!$C:$C,0))),"",INDEX('Policy Characteristics'!J:J,MATCH($C1490,'Policy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0" s="275" t="str">
        <f>IF(ISBLANK(INDEX('Policy Characteristics'!K:K,MATCH($C1490,'Policy Characteristics'!$C:$C,0))),"",INDEX('Policy Characteristics'!K:K,MATCH($C1490,'Policy Characteristics'!$C:$C,0)))</f>
        <v>io-model.html</v>
      </c>
      <c r="R1490" s="275" t="str">
        <f>IF(ISBLANK(INDEX('Policy Characteristics'!L:L,MATCH($C1490,'Policy Characteristics'!$C:$C,0))),"",INDEX('Policy Characteristics'!L:L,MATCH($C1490,'Policy Characteristics'!$C:$C,0)))</f>
        <v/>
      </c>
    </row>
    <row r="1491" spans="1:18" x14ac:dyDescent="0.25">
      <c r="A1491" s="275" t="str">
        <f>IF(ISBLANK(INDEX('Policy Characteristics'!A:A,MATCH($C1491,'Policy Characteristics'!$C:$C,0))),"",INDEX('Policy Characteristics'!A:A,MATCH($C1491,'Policy Characteristics'!$C:$C,0)))</f>
        <v>Government Revenue Accounting</v>
      </c>
      <c r="B1491" s="284" t="str">
        <f>IF(ISBLANK(INDEX('Policy Characteristics'!B:B,MATCH($C1491,'Policy Characteristics'!$C:$C,0))),"",INDEX('Policy Characteristics'!B:B,MATCH($C1491,'Policy Characteristics'!$C:$C,0)))</f>
        <v>Fuel Tax Revenue</v>
      </c>
      <c r="C1491" s="275" t="str">
        <f t="shared" ref="C1491:C1494" si="73">C$1490</f>
        <v>GRA for Fuel Tax Revenue</v>
      </c>
      <c r="D1491" s="1" t="s">
        <v>2968</v>
      </c>
      <c r="F1491" s="1" t="s">
        <v>2984</v>
      </c>
      <c r="H1491" s="44">
        <v>551</v>
      </c>
      <c r="I1491" s="348" t="str">
        <f t="shared" ref="I1491:I1494" si="74">I$1490</f>
        <v>Yes</v>
      </c>
      <c r="J1491" s="276" t="str">
        <f>IF(ISBLANK(INDEX('Policy Characteristics'!D:D,MATCH($C1491,'Policy Characteristics'!$C:$C,0))),"",INDEX('Policy Characteristics'!D:D,MATCH($C1491,'Policy Characteristics'!$C:$C,0)))</f>
        <v/>
      </c>
      <c r="K1491" s="275" t="str">
        <f>IF(ISBLANK(INDEX('Policy Characteristics'!E:E,MATCH($C1491,'Policy Characteristics'!$C:$C,0))),"",INDEX('Policy Characteristics'!E:E,MATCH($C1491,'Policy Characteristics'!$C:$C,0)))</f>
        <v>GRA fuel tax revenue</v>
      </c>
      <c r="L1491" s="275">
        <f>IF(ISBLANK(INDEX('Policy Characteristics'!F:F,MATCH($C1491,'Policy Characteristics'!$C:$C,0))),"",INDEX('Policy Characteristics'!F:F,MATCH($C1491,'Policy Characteristics'!$C:$C,0)))</f>
        <v>0</v>
      </c>
      <c r="M1491" s="275">
        <f>IF(ISBLANK(INDEX('Policy Characteristics'!G:G,MATCH($C1491,'Policy Characteristics'!$C:$C,0))),"",INDEX('Policy Characteristics'!G:G,MATCH($C1491,'Policy Characteristics'!$C:$C,0)))</f>
        <v>10</v>
      </c>
      <c r="N1491" s="275">
        <f>IF(ISBLANK(INDEX('Policy Characteristics'!H:H,MATCH($C1491,'Policy Characteristics'!$C:$C,0))),"",INDEX('Policy Characteristics'!H:H,MATCH($C1491,'Policy Characteristics'!$C:$C,0)))</f>
        <v>1</v>
      </c>
      <c r="O1491" s="275" t="str">
        <f>IF(ISBLANK(INDEX('Policy Characteristics'!I:I,MATCH($C1491,'Policy Characteristics'!$C:$C,0))),"",INDEX('Policy Characteristics'!I:I,MATCH($C1491,'Policy Characteristics'!$C:$C,0)))</f>
        <v>weight</v>
      </c>
      <c r="P1491" s="275" t="str">
        <f>IF(ISBLANK(INDEX('Policy Characteristics'!J:J,MATCH($C1491,'Policy Characteristics'!$C:$C,0))),"",INDEX('Policy Characteristics'!J:J,MATCH($C1491,'Policy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1" s="275" t="str">
        <f>IF(ISBLANK(INDEX('Policy Characteristics'!K:K,MATCH($C1491,'Policy Characteristics'!$C:$C,0))),"",INDEX('Policy Characteristics'!K:K,MATCH($C1491,'Policy Characteristics'!$C:$C,0)))</f>
        <v>io-model.html</v>
      </c>
      <c r="R1491" s="275" t="str">
        <f>IF(ISBLANK(INDEX('Policy Characteristics'!L:L,MATCH($C1491,'Policy Characteristics'!$C:$C,0))),"",INDEX('Policy Characteristics'!L:L,MATCH($C1491,'Policy Characteristics'!$C:$C,0)))</f>
        <v/>
      </c>
    </row>
    <row r="1492" spans="1:18" x14ac:dyDescent="0.25">
      <c r="A1492" s="275" t="str">
        <f>IF(ISBLANK(INDEX('Policy Characteristics'!A:A,MATCH($C1492,'Policy Characteristics'!$C:$C,0))),"",INDEX('Policy Characteristics'!A:A,MATCH($C1492,'Policy Characteristics'!$C:$C,0)))</f>
        <v>Government Revenue Accounting</v>
      </c>
      <c r="B1492" s="284" t="str">
        <f>IF(ISBLANK(INDEX('Policy Characteristics'!B:B,MATCH($C1492,'Policy Characteristics'!$C:$C,0))),"",INDEX('Policy Characteristics'!B:B,MATCH($C1492,'Policy Characteristics'!$C:$C,0)))</f>
        <v>Fuel Tax Revenue</v>
      </c>
      <c r="C1492" s="275" t="str">
        <f t="shared" si="73"/>
        <v>GRA for Fuel Tax Revenue</v>
      </c>
      <c r="D1492" s="1" t="s">
        <v>2969</v>
      </c>
      <c r="F1492" s="1" t="s">
        <v>2973</v>
      </c>
      <c r="H1492" s="44">
        <v>552</v>
      </c>
      <c r="I1492" s="348" t="str">
        <f t="shared" si="74"/>
        <v>Yes</v>
      </c>
      <c r="J1492" s="276" t="str">
        <f>IF(ISBLANK(INDEX('Policy Characteristics'!D:D,MATCH($C1492,'Policy Characteristics'!$C:$C,0))),"",INDEX('Policy Characteristics'!D:D,MATCH($C1492,'Policy Characteristics'!$C:$C,0)))</f>
        <v/>
      </c>
      <c r="K1492" s="275" t="str">
        <f>IF(ISBLANK(INDEX('Policy Characteristics'!E:E,MATCH($C1492,'Policy Characteristics'!$C:$C,0))),"",INDEX('Policy Characteristics'!E:E,MATCH($C1492,'Policy Characteristics'!$C:$C,0)))</f>
        <v>GRA fuel tax revenue</v>
      </c>
      <c r="L1492" s="275">
        <f>IF(ISBLANK(INDEX('Policy Characteristics'!F:F,MATCH($C1492,'Policy Characteristics'!$C:$C,0))),"",INDEX('Policy Characteristics'!F:F,MATCH($C1492,'Policy Characteristics'!$C:$C,0)))</f>
        <v>0</v>
      </c>
      <c r="M1492" s="275">
        <f>IF(ISBLANK(INDEX('Policy Characteristics'!G:G,MATCH($C1492,'Policy Characteristics'!$C:$C,0))),"",INDEX('Policy Characteristics'!G:G,MATCH($C1492,'Policy Characteristics'!$C:$C,0)))</f>
        <v>10</v>
      </c>
      <c r="N1492" s="275">
        <f>IF(ISBLANK(INDEX('Policy Characteristics'!H:H,MATCH($C1492,'Policy Characteristics'!$C:$C,0))),"",INDEX('Policy Characteristics'!H:H,MATCH($C1492,'Policy Characteristics'!$C:$C,0)))</f>
        <v>1</v>
      </c>
      <c r="O1492" s="275" t="str">
        <f>IF(ISBLANK(INDEX('Policy Characteristics'!I:I,MATCH($C1492,'Policy Characteristics'!$C:$C,0))),"",INDEX('Policy Characteristics'!I:I,MATCH($C1492,'Policy Characteristics'!$C:$C,0)))</f>
        <v>weight</v>
      </c>
      <c r="P1492" s="275" t="str">
        <f>IF(ISBLANK(INDEX('Policy Characteristics'!J:J,MATCH($C1492,'Policy Characteristics'!$C:$C,0))),"",INDEX('Policy Characteristics'!J:J,MATCH($C1492,'Policy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2" s="275" t="str">
        <f>IF(ISBLANK(INDEX('Policy Characteristics'!K:K,MATCH($C1492,'Policy Characteristics'!$C:$C,0))),"",INDEX('Policy Characteristics'!K:K,MATCH($C1492,'Policy Characteristics'!$C:$C,0)))</f>
        <v>io-model.html</v>
      </c>
      <c r="R1492" s="275" t="str">
        <f>IF(ISBLANK(INDEX('Policy Characteristics'!L:L,MATCH($C1492,'Policy Characteristics'!$C:$C,0))),"",INDEX('Policy Characteristics'!L:L,MATCH($C1492,'Policy Characteristics'!$C:$C,0)))</f>
        <v/>
      </c>
    </row>
    <row r="1493" spans="1:18" x14ac:dyDescent="0.25">
      <c r="A1493" s="275" t="str">
        <f>IF(ISBLANK(INDEX('Policy Characteristics'!A:A,MATCH($C1493,'Policy Characteristics'!$C:$C,0))),"",INDEX('Policy Characteristics'!A:A,MATCH($C1493,'Policy Characteristics'!$C:$C,0)))</f>
        <v>Government Revenue Accounting</v>
      </c>
      <c r="B1493" s="284" t="str">
        <f>IF(ISBLANK(INDEX('Policy Characteristics'!B:B,MATCH($C1493,'Policy Characteristics'!$C:$C,0))),"",INDEX('Policy Characteristics'!B:B,MATCH($C1493,'Policy Characteristics'!$C:$C,0)))</f>
        <v>Fuel Tax Revenue</v>
      </c>
      <c r="C1493" s="275" t="str">
        <f t="shared" si="73"/>
        <v>GRA for Fuel Tax Revenue</v>
      </c>
      <c r="D1493" s="1" t="s">
        <v>2970</v>
      </c>
      <c r="F1493" s="1" t="s">
        <v>2974</v>
      </c>
      <c r="H1493" s="44">
        <v>553</v>
      </c>
      <c r="I1493" s="348" t="str">
        <f t="shared" si="74"/>
        <v>Yes</v>
      </c>
      <c r="J1493" s="276" t="str">
        <f>IF(ISBLANK(INDEX('Policy Characteristics'!D:D,MATCH($C1493,'Policy Characteristics'!$C:$C,0))),"",INDEX('Policy Characteristics'!D:D,MATCH($C1493,'Policy Characteristics'!$C:$C,0)))</f>
        <v/>
      </c>
      <c r="K1493" s="275" t="str">
        <f>IF(ISBLANK(INDEX('Policy Characteristics'!E:E,MATCH($C1493,'Policy Characteristics'!$C:$C,0))),"",INDEX('Policy Characteristics'!E:E,MATCH($C1493,'Policy Characteristics'!$C:$C,0)))</f>
        <v>GRA fuel tax revenue</v>
      </c>
      <c r="L1493" s="275">
        <f>IF(ISBLANK(INDEX('Policy Characteristics'!F:F,MATCH($C1493,'Policy Characteristics'!$C:$C,0))),"",INDEX('Policy Characteristics'!F:F,MATCH($C1493,'Policy Characteristics'!$C:$C,0)))</f>
        <v>0</v>
      </c>
      <c r="M1493" s="275">
        <f>IF(ISBLANK(INDEX('Policy Characteristics'!G:G,MATCH($C1493,'Policy Characteristics'!$C:$C,0))),"",INDEX('Policy Characteristics'!G:G,MATCH($C1493,'Policy Characteristics'!$C:$C,0)))</f>
        <v>10</v>
      </c>
      <c r="N1493" s="275">
        <f>IF(ISBLANK(INDEX('Policy Characteristics'!H:H,MATCH($C1493,'Policy Characteristics'!$C:$C,0))),"",INDEX('Policy Characteristics'!H:H,MATCH($C1493,'Policy Characteristics'!$C:$C,0)))</f>
        <v>1</v>
      </c>
      <c r="O1493" s="275" t="str">
        <f>IF(ISBLANK(INDEX('Policy Characteristics'!I:I,MATCH($C1493,'Policy Characteristics'!$C:$C,0))),"",INDEX('Policy Characteristics'!I:I,MATCH($C1493,'Policy Characteristics'!$C:$C,0)))</f>
        <v>weight</v>
      </c>
      <c r="P1493" s="275" t="str">
        <f>IF(ISBLANK(INDEX('Policy Characteristics'!J:J,MATCH($C1493,'Policy Characteristics'!$C:$C,0))),"",INDEX('Policy Characteristics'!J:J,MATCH($C1493,'Policy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3" s="275" t="str">
        <f>IF(ISBLANK(INDEX('Policy Characteristics'!K:K,MATCH($C1493,'Policy Characteristics'!$C:$C,0))),"",INDEX('Policy Characteristics'!K:K,MATCH($C1493,'Policy Characteristics'!$C:$C,0)))</f>
        <v>io-model.html</v>
      </c>
      <c r="R1493" s="275" t="str">
        <f>IF(ISBLANK(INDEX('Policy Characteristics'!L:L,MATCH($C1493,'Policy Characteristics'!$C:$C,0))),"",INDEX('Policy Characteristics'!L:L,MATCH($C1493,'Policy Characteristics'!$C:$C,0)))</f>
        <v/>
      </c>
    </row>
    <row r="1494" spans="1:18" x14ac:dyDescent="0.25">
      <c r="A1494" s="275" t="str">
        <f>IF(ISBLANK(INDEX('Policy Characteristics'!A:A,MATCH($C1494,'Policy Characteristics'!$C:$C,0))),"",INDEX('Policy Characteristics'!A:A,MATCH($C1494,'Policy Characteristics'!$C:$C,0)))</f>
        <v>Government Revenue Accounting</v>
      </c>
      <c r="B1494" s="284" t="str">
        <f>IF(ISBLANK(INDEX('Policy Characteristics'!B:B,MATCH($C1494,'Policy Characteristics'!$C:$C,0))),"",INDEX('Policy Characteristics'!B:B,MATCH($C1494,'Policy Characteristics'!$C:$C,0)))</f>
        <v>Fuel Tax Revenue</v>
      </c>
      <c r="C1494" s="275" t="str">
        <f t="shared" si="73"/>
        <v>GRA for Fuel Tax Revenue</v>
      </c>
      <c r="D1494" s="1" t="s">
        <v>2971</v>
      </c>
      <c r="F1494" s="1" t="s">
        <v>2975</v>
      </c>
      <c r="H1494" s="44">
        <v>554</v>
      </c>
      <c r="I1494" s="348" t="str">
        <f t="shared" si="74"/>
        <v>Yes</v>
      </c>
      <c r="J1494" s="276" t="str">
        <f>IF(ISBLANK(INDEX('Policy Characteristics'!D:D,MATCH($C1494,'Policy Characteristics'!$C:$C,0))),"",INDEX('Policy Characteristics'!D:D,MATCH($C1494,'Policy Characteristics'!$C:$C,0)))</f>
        <v/>
      </c>
      <c r="K1494" s="275" t="str">
        <f>IF(ISBLANK(INDEX('Policy Characteristics'!E:E,MATCH($C1494,'Policy Characteristics'!$C:$C,0))),"",INDEX('Policy Characteristics'!E:E,MATCH($C1494,'Policy Characteristics'!$C:$C,0)))</f>
        <v>GRA fuel tax revenue</v>
      </c>
      <c r="L1494" s="275">
        <f>IF(ISBLANK(INDEX('Policy Characteristics'!F:F,MATCH($C1494,'Policy Characteristics'!$C:$C,0))),"",INDEX('Policy Characteristics'!F:F,MATCH($C1494,'Policy Characteristics'!$C:$C,0)))</f>
        <v>0</v>
      </c>
      <c r="M1494" s="275">
        <f>IF(ISBLANK(INDEX('Policy Characteristics'!G:G,MATCH($C1494,'Policy Characteristics'!$C:$C,0))),"",INDEX('Policy Characteristics'!G:G,MATCH($C1494,'Policy Characteristics'!$C:$C,0)))</f>
        <v>10</v>
      </c>
      <c r="N1494" s="275">
        <f>IF(ISBLANK(INDEX('Policy Characteristics'!H:H,MATCH($C1494,'Policy Characteristics'!$C:$C,0))),"",INDEX('Policy Characteristics'!H:H,MATCH($C1494,'Policy Characteristics'!$C:$C,0)))</f>
        <v>1</v>
      </c>
      <c r="O1494" s="275" t="str">
        <f>IF(ISBLANK(INDEX('Policy Characteristics'!I:I,MATCH($C1494,'Policy Characteristics'!$C:$C,0))),"",INDEX('Policy Characteristics'!I:I,MATCH($C1494,'Policy Characteristics'!$C:$C,0)))</f>
        <v>weight</v>
      </c>
      <c r="P1494" s="275" t="str">
        <f>IF(ISBLANK(INDEX('Policy Characteristics'!J:J,MATCH($C1494,'Policy Characteristics'!$C:$C,0))),"",INDEX('Policy Characteristics'!J:J,MATCH($C1494,'Policy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4" s="275" t="str">
        <f>IF(ISBLANK(INDEX('Policy Characteristics'!K:K,MATCH($C1494,'Policy Characteristics'!$C:$C,0))),"",INDEX('Policy Characteristics'!K:K,MATCH($C1494,'Policy Characteristics'!$C:$C,0)))</f>
        <v>io-model.html</v>
      </c>
      <c r="R1494" s="275" t="str">
        <f>IF(ISBLANK(INDEX('Policy Characteristics'!L:L,MATCH($C1494,'Policy Characteristics'!$C:$C,0))),"",INDEX('Policy Characteristics'!L:L,MATCH($C1494,'Policy Characteristics'!$C:$C,0)))</f>
        <v/>
      </c>
    </row>
    <row r="1495" spans="1:18" x14ac:dyDescent="0.25">
      <c r="A1495" s="275" t="str">
        <f>IF(ISBLANK(INDEX('Policy Characteristics'!A:A,MATCH($C1495,'Policy Characteristics'!$C:$C,0))),"",INDEX('Policy Characteristics'!A:A,MATCH($C1495,'Policy Characteristics'!$C:$C,0)))</f>
        <v>Government Revenue Accounting</v>
      </c>
      <c r="B1495" s="284" t="str">
        <f>IF(ISBLANK(INDEX('Policy Characteristics'!B:B,MATCH($C1495,'Policy Characteristics'!$C:$C,0))),"",INDEX('Policy Characteristics'!B:B,MATCH($C1495,'Policy Characteristics'!$C:$C,0)))</f>
        <v>Vehicle Subsidy</v>
      </c>
      <c r="C1495" t="s">
        <v>3656</v>
      </c>
      <c r="D1495" s="1" t="s">
        <v>2967</v>
      </c>
      <c r="F1495" s="1" t="s">
        <v>2972</v>
      </c>
      <c r="H1495" s="44">
        <v>555</v>
      </c>
      <c r="I1495" s="344" t="s">
        <v>43</v>
      </c>
      <c r="J1495" s="276" t="str">
        <f>IF(ISBLANK(INDEX('Policy Characteristics'!D:D,MATCH($C1495,'Policy Characteristics'!$C:$C,0))),"",INDEX('Policy Characteristics'!D:D,MATCH($C1495,'Policy Characteristics'!$C:$C,0)))</f>
        <v/>
      </c>
      <c r="K1495" s="275" t="str">
        <f>IF(ISBLANK(INDEX('Policy Characteristics'!E:E,MATCH($C1495,'Policy Characteristics'!$C:$C,0))),"",INDEX('Policy Characteristics'!E:E,MATCH($C1495,'Policy Characteristics'!$C:$C,0)))</f>
        <v>GRA EV subsidy</v>
      </c>
      <c r="L1495" s="275">
        <f>IF(ISBLANK(INDEX('Policy Characteristics'!F:F,MATCH($C1495,'Policy Characteristics'!$C:$C,0))),"",INDEX('Policy Characteristics'!F:F,MATCH($C1495,'Policy Characteristics'!$C:$C,0)))</f>
        <v>0</v>
      </c>
      <c r="M1495" s="275">
        <f>IF(ISBLANK(INDEX('Policy Characteristics'!G:G,MATCH($C1495,'Policy Characteristics'!$C:$C,0))),"",INDEX('Policy Characteristics'!G:G,MATCH($C1495,'Policy Characteristics'!$C:$C,0)))</f>
        <v>10</v>
      </c>
      <c r="N1495" s="275">
        <f>IF(ISBLANK(INDEX('Policy Characteristics'!H:H,MATCH($C1495,'Policy Characteristics'!$C:$C,0))),"",INDEX('Policy Characteristics'!H:H,MATCH($C1495,'Policy Characteristics'!$C:$C,0)))</f>
        <v>1</v>
      </c>
      <c r="O1495" s="275" t="str">
        <f>IF(ISBLANK(INDEX('Policy Characteristics'!I:I,MATCH($C1495,'Policy Characteristics'!$C:$C,0))),"",INDEX('Policy Characteristics'!I:I,MATCH($C1495,'Policy Characteristics'!$C:$C,0)))</f>
        <v>weight</v>
      </c>
      <c r="P1495" s="275" t="str">
        <f>IF(ISBLANK(INDEX('Policy Characteristics'!J:J,MATCH($C1495,'Policy Characteristics'!$C:$C,0))),"",INDEX('Policy Characteristics'!J:J,MATCH($C1495,'Policy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5" s="275" t="str">
        <f>IF(ISBLANK(INDEX('Policy Characteristics'!K:K,MATCH($C1495,'Policy Characteristics'!$C:$C,0))),"",INDEX('Policy Characteristics'!K:K,MATCH($C1495,'Policy Characteristics'!$C:$C,0)))</f>
        <v>io-model.html</v>
      </c>
      <c r="R1495" s="275" t="str">
        <f>IF(ISBLANK(INDEX('Policy Characteristics'!L:L,MATCH($C1495,'Policy Characteristics'!$C:$C,0))),"",INDEX('Policy Characteristics'!L:L,MATCH($C1495,'Policy Characteristics'!$C:$C,0)))</f>
        <v/>
      </c>
    </row>
    <row r="1496" spans="1:18" x14ac:dyDescent="0.25">
      <c r="A1496" s="275" t="str">
        <f>IF(ISBLANK(INDEX('Policy Characteristics'!A:A,MATCH($C1496,'Policy Characteristics'!$C:$C,0))),"",INDEX('Policy Characteristics'!A:A,MATCH($C1496,'Policy Characteristics'!$C:$C,0)))</f>
        <v>Government Revenue Accounting</v>
      </c>
      <c r="B1496" s="284" t="str">
        <f>IF(ISBLANK(INDEX('Policy Characteristics'!B:B,MATCH($C1496,'Policy Characteristics'!$C:$C,0))),"",INDEX('Policy Characteristics'!B:B,MATCH($C1496,'Policy Characteristics'!$C:$C,0)))</f>
        <v>Vehicle Subsidy</v>
      </c>
      <c r="C1496" s="275" t="str">
        <f t="shared" ref="C1496:C1499" si="75">C$1495</f>
        <v>GRA for Vehicle Subsidy</v>
      </c>
      <c r="D1496" s="1" t="s">
        <v>2968</v>
      </c>
      <c r="F1496" s="1" t="s">
        <v>2984</v>
      </c>
      <c r="H1496" s="44">
        <v>556</v>
      </c>
      <c r="I1496" s="348" t="str">
        <f t="shared" ref="I1496:I1504" si="76">I$1495</f>
        <v>Yes</v>
      </c>
      <c r="J1496" s="276" t="str">
        <f>IF(ISBLANK(INDEX('Policy Characteristics'!D:D,MATCH($C1496,'Policy Characteristics'!$C:$C,0))),"",INDEX('Policy Characteristics'!D:D,MATCH($C1496,'Policy Characteristics'!$C:$C,0)))</f>
        <v/>
      </c>
      <c r="K1496" s="275" t="str">
        <f>IF(ISBLANK(INDEX('Policy Characteristics'!E:E,MATCH($C1496,'Policy Characteristics'!$C:$C,0))),"",INDEX('Policy Characteristics'!E:E,MATCH($C1496,'Policy Characteristics'!$C:$C,0)))</f>
        <v>GRA EV subsidy</v>
      </c>
      <c r="L1496" s="275">
        <f>IF(ISBLANK(INDEX('Policy Characteristics'!F:F,MATCH($C1496,'Policy Characteristics'!$C:$C,0))),"",INDEX('Policy Characteristics'!F:F,MATCH($C1496,'Policy Characteristics'!$C:$C,0)))</f>
        <v>0</v>
      </c>
      <c r="M1496" s="275">
        <f>IF(ISBLANK(INDEX('Policy Characteristics'!G:G,MATCH($C1496,'Policy Characteristics'!$C:$C,0))),"",INDEX('Policy Characteristics'!G:G,MATCH($C1496,'Policy Characteristics'!$C:$C,0)))</f>
        <v>10</v>
      </c>
      <c r="N1496" s="275">
        <f>IF(ISBLANK(INDEX('Policy Characteristics'!H:H,MATCH($C1496,'Policy Characteristics'!$C:$C,0))),"",INDEX('Policy Characteristics'!H:H,MATCH($C1496,'Policy Characteristics'!$C:$C,0)))</f>
        <v>1</v>
      </c>
      <c r="O1496" s="275" t="str">
        <f>IF(ISBLANK(INDEX('Policy Characteristics'!I:I,MATCH($C1496,'Policy Characteristics'!$C:$C,0))),"",INDEX('Policy Characteristics'!I:I,MATCH($C1496,'Policy Characteristics'!$C:$C,0)))</f>
        <v>weight</v>
      </c>
      <c r="P1496" s="275" t="str">
        <f>IF(ISBLANK(INDEX('Policy Characteristics'!J:J,MATCH($C1496,'Policy Characteristics'!$C:$C,0))),"",INDEX('Policy Characteristics'!J:J,MATCH($C1496,'Policy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6" s="275" t="str">
        <f>IF(ISBLANK(INDEX('Policy Characteristics'!K:K,MATCH($C1496,'Policy Characteristics'!$C:$C,0))),"",INDEX('Policy Characteristics'!K:K,MATCH($C1496,'Policy Characteristics'!$C:$C,0)))</f>
        <v>io-model.html</v>
      </c>
      <c r="R1496" s="275" t="str">
        <f>IF(ISBLANK(INDEX('Policy Characteristics'!L:L,MATCH($C1496,'Policy Characteristics'!$C:$C,0))),"",INDEX('Policy Characteristics'!L:L,MATCH($C1496,'Policy Characteristics'!$C:$C,0)))</f>
        <v/>
      </c>
    </row>
    <row r="1497" spans="1:18" x14ac:dyDescent="0.25">
      <c r="A1497" s="275" t="str">
        <f>IF(ISBLANK(INDEX('Policy Characteristics'!A:A,MATCH($C1497,'Policy Characteristics'!$C:$C,0))),"",INDEX('Policy Characteristics'!A:A,MATCH($C1497,'Policy Characteristics'!$C:$C,0)))</f>
        <v>Government Revenue Accounting</v>
      </c>
      <c r="B1497" s="284" t="str">
        <f>IF(ISBLANK(INDEX('Policy Characteristics'!B:B,MATCH($C1497,'Policy Characteristics'!$C:$C,0))),"",INDEX('Policy Characteristics'!B:B,MATCH($C1497,'Policy Characteristics'!$C:$C,0)))</f>
        <v>Vehicle Subsidy</v>
      </c>
      <c r="C1497" s="275" t="str">
        <f t="shared" si="75"/>
        <v>GRA for Vehicle Subsidy</v>
      </c>
      <c r="D1497" s="1" t="s">
        <v>2969</v>
      </c>
      <c r="F1497" s="1" t="s">
        <v>2973</v>
      </c>
      <c r="H1497" s="44">
        <v>557</v>
      </c>
      <c r="I1497" s="348" t="str">
        <f t="shared" si="76"/>
        <v>Yes</v>
      </c>
      <c r="J1497" s="276" t="str">
        <f>IF(ISBLANK(INDEX('Policy Characteristics'!D:D,MATCH($C1497,'Policy Characteristics'!$C:$C,0))),"",INDEX('Policy Characteristics'!D:D,MATCH($C1497,'Policy Characteristics'!$C:$C,0)))</f>
        <v/>
      </c>
      <c r="K1497" s="275" t="str">
        <f>IF(ISBLANK(INDEX('Policy Characteristics'!E:E,MATCH($C1497,'Policy Characteristics'!$C:$C,0))),"",INDEX('Policy Characteristics'!E:E,MATCH($C1497,'Policy Characteristics'!$C:$C,0)))</f>
        <v>GRA EV subsidy</v>
      </c>
      <c r="L1497" s="275">
        <f>IF(ISBLANK(INDEX('Policy Characteristics'!F:F,MATCH($C1497,'Policy Characteristics'!$C:$C,0))),"",INDEX('Policy Characteristics'!F:F,MATCH($C1497,'Policy Characteristics'!$C:$C,0)))</f>
        <v>0</v>
      </c>
      <c r="M1497" s="275">
        <f>IF(ISBLANK(INDEX('Policy Characteristics'!G:G,MATCH($C1497,'Policy Characteristics'!$C:$C,0))),"",INDEX('Policy Characteristics'!G:G,MATCH($C1497,'Policy Characteristics'!$C:$C,0)))</f>
        <v>10</v>
      </c>
      <c r="N1497" s="275">
        <f>IF(ISBLANK(INDEX('Policy Characteristics'!H:H,MATCH($C1497,'Policy Characteristics'!$C:$C,0))),"",INDEX('Policy Characteristics'!H:H,MATCH($C1497,'Policy Characteristics'!$C:$C,0)))</f>
        <v>1</v>
      </c>
      <c r="O1497" s="275" t="str">
        <f>IF(ISBLANK(INDEX('Policy Characteristics'!I:I,MATCH($C1497,'Policy Characteristics'!$C:$C,0))),"",INDEX('Policy Characteristics'!I:I,MATCH($C1497,'Policy Characteristics'!$C:$C,0)))</f>
        <v>weight</v>
      </c>
      <c r="P1497" s="275" t="str">
        <f>IF(ISBLANK(INDEX('Policy Characteristics'!J:J,MATCH($C1497,'Policy Characteristics'!$C:$C,0))),"",INDEX('Policy Characteristics'!J:J,MATCH($C1497,'Policy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7" s="275" t="str">
        <f>IF(ISBLANK(INDEX('Policy Characteristics'!K:K,MATCH($C1497,'Policy Characteristics'!$C:$C,0))),"",INDEX('Policy Characteristics'!K:K,MATCH($C1497,'Policy Characteristics'!$C:$C,0)))</f>
        <v>io-model.html</v>
      </c>
      <c r="R1497" s="275" t="str">
        <f>IF(ISBLANK(INDEX('Policy Characteristics'!L:L,MATCH($C1497,'Policy Characteristics'!$C:$C,0))),"",INDEX('Policy Characteristics'!L:L,MATCH($C1497,'Policy Characteristics'!$C:$C,0)))</f>
        <v/>
      </c>
    </row>
    <row r="1498" spans="1:18" x14ac:dyDescent="0.25">
      <c r="A1498" s="275" t="str">
        <f>IF(ISBLANK(INDEX('Policy Characteristics'!A:A,MATCH($C1498,'Policy Characteristics'!$C:$C,0))),"",INDEX('Policy Characteristics'!A:A,MATCH($C1498,'Policy Characteristics'!$C:$C,0)))</f>
        <v>Government Revenue Accounting</v>
      </c>
      <c r="B1498" s="284" t="str">
        <f>IF(ISBLANK(INDEX('Policy Characteristics'!B:B,MATCH($C1498,'Policy Characteristics'!$C:$C,0))),"",INDEX('Policy Characteristics'!B:B,MATCH($C1498,'Policy Characteristics'!$C:$C,0)))</f>
        <v>Vehicle Subsidy</v>
      </c>
      <c r="C1498" s="275" t="str">
        <f t="shared" si="75"/>
        <v>GRA for Vehicle Subsidy</v>
      </c>
      <c r="D1498" s="1" t="s">
        <v>2970</v>
      </c>
      <c r="F1498" s="1" t="s">
        <v>2974</v>
      </c>
      <c r="H1498" s="44">
        <v>558</v>
      </c>
      <c r="I1498" s="348" t="str">
        <f t="shared" si="76"/>
        <v>Yes</v>
      </c>
      <c r="J1498" s="276" t="str">
        <f>IF(ISBLANK(INDEX('Policy Characteristics'!D:D,MATCH($C1498,'Policy Characteristics'!$C:$C,0))),"",INDEX('Policy Characteristics'!D:D,MATCH($C1498,'Policy Characteristics'!$C:$C,0)))</f>
        <v/>
      </c>
      <c r="K1498" s="275" t="str">
        <f>IF(ISBLANK(INDEX('Policy Characteristics'!E:E,MATCH($C1498,'Policy Characteristics'!$C:$C,0))),"",INDEX('Policy Characteristics'!E:E,MATCH($C1498,'Policy Characteristics'!$C:$C,0)))</f>
        <v>GRA EV subsidy</v>
      </c>
      <c r="L1498" s="275">
        <f>IF(ISBLANK(INDEX('Policy Characteristics'!F:F,MATCH($C1498,'Policy Characteristics'!$C:$C,0))),"",INDEX('Policy Characteristics'!F:F,MATCH($C1498,'Policy Characteristics'!$C:$C,0)))</f>
        <v>0</v>
      </c>
      <c r="M1498" s="275">
        <f>IF(ISBLANK(INDEX('Policy Characteristics'!G:G,MATCH($C1498,'Policy Characteristics'!$C:$C,0))),"",INDEX('Policy Characteristics'!G:G,MATCH($C1498,'Policy Characteristics'!$C:$C,0)))</f>
        <v>10</v>
      </c>
      <c r="N1498" s="275">
        <f>IF(ISBLANK(INDEX('Policy Characteristics'!H:H,MATCH($C1498,'Policy Characteristics'!$C:$C,0))),"",INDEX('Policy Characteristics'!H:H,MATCH($C1498,'Policy Characteristics'!$C:$C,0)))</f>
        <v>1</v>
      </c>
      <c r="O1498" s="275" t="str">
        <f>IF(ISBLANK(INDEX('Policy Characteristics'!I:I,MATCH($C1498,'Policy Characteristics'!$C:$C,0))),"",INDEX('Policy Characteristics'!I:I,MATCH($C1498,'Policy Characteristics'!$C:$C,0)))</f>
        <v>weight</v>
      </c>
      <c r="P1498" s="275" t="str">
        <f>IF(ISBLANK(INDEX('Policy Characteristics'!J:J,MATCH($C1498,'Policy Characteristics'!$C:$C,0))),"",INDEX('Policy Characteristics'!J:J,MATCH($C1498,'Policy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8" s="275" t="str">
        <f>IF(ISBLANK(INDEX('Policy Characteristics'!K:K,MATCH($C1498,'Policy Characteristics'!$C:$C,0))),"",INDEX('Policy Characteristics'!K:K,MATCH($C1498,'Policy Characteristics'!$C:$C,0)))</f>
        <v>io-model.html</v>
      </c>
      <c r="R1498" s="275" t="str">
        <f>IF(ISBLANK(INDEX('Policy Characteristics'!L:L,MATCH($C1498,'Policy Characteristics'!$C:$C,0))),"",INDEX('Policy Characteristics'!L:L,MATCH($C1498,'Policy Characteristics'!$C:$C,0)))</f>
        <v/>
      </c>
    </row>
    <row r="1499" spans="1:18" x14ac:dyDescent="0.25">
      <c r="A1499" s="275" t="str">
        <f>IF(ISBLANK(INDEX('Policy Characteristics'!A:A,MATCH($C1499,'Policy Characteristics'!$C:$C,0))),"",INDEX('Policy Characteristics'!A:A,MATCH($C1499,'Policy Characteristics'!$C:$C,0)))</f>
        <v>Government Revenue Accounting</v>
      </c>
      <c r="B1499" s="284" t="str">
        <f>IF(ISBLANK(INDEX('Policy Characteristics'!B:B,MATCH($C1499,'Policy Characteristics'!$C:$C,0))),"",INDEX('Policy Characteristics'!B:B,MATCH($C1499,'Policy Characteristics'!$C:$C,0)))</f>
        <v>Vehicle Subsidy</v>
      </c>
      <c r="C1499" s="275" t="str">
        <f t="shared" si="75"/>
        <v>GRA for Vehicle Subsidy</v>
      </c>
      <c r="D1499" s="1" t="s">
        <v>2971</v>
      </c>
      <c r="F1499" s="1" t="s">
        <v>2975</v>
      </c>
      <c r="H1499" s="44">
        <v>559</v>
      </c>
      <c r="I1499" s="348" t="str">
        <f t="shared" si="76"/>
        <v>Yes</v>
      </c>
      <c r="J1499" s="276" t="str">
        <f>IF(ISBLANK(INDEX('Policy Characteristics'!D:D,MATCH($C1499,'Policy Characteristics'!$C:$C,0))),"",INDEX('Policy Characteristics'!D:D,MATCH($C1499,'Policy Characteristics'!$C:$C,0)))</f>
        <v/>
      </c>
      <c r="K1499" s="275" t="str">
        <f>IF(ISBLANK(INDEX('Policy Characteristics'!E:E,MATCH($C1499,'Policy Characteristics'!$C:$C,0))),"",INDEX('Policy Characteristics'!E:E,MATCH($C1499,'Policy Characteristics'!$C:$C,0)))</f>
        <v>GRA EV subsidy</v>
      </c>
      <c r="L1499" s="275">
        <f>IF(ISBLANK(INDEX('Policy Characteristics'!F:F,MATCH($C1499,'Policy Characteristics'!$C:$C,0))),"",INDEX('Policy Characteristics'!F:F,MATCH($C1499,'Policy Characteristics'!$C:$C,0)))</f>
        <v>0</v>
      </c>
      <c r="M1499" s="275">
        <f>IF(ISBLANK(INDEX('Policy Characteristics'!G:G,MATCH($C1499,'Policy Characteristics'!$C:$C,0))),"",INDEX('Policy Characteristics'!G:G,MATCH($C1499,'Policy Characteristics'!$C:$C,0)))</f>
        <v>10</v>
      </c>
      <c r="N1499" s="275">
        <f>IF(ISBLANK(INDEX('Policy Characteristics'!H:H,MATCH($C1499,'Policy Characteristics'!$C:$C,0))),"",INDEX('Policy Characteristics'!H:H,MATCH($C1499,'Policy Characteristics'!$C:$C,0)))</f>
        <v>1</v>
      </c>
      <c r="O1499" s="275" t="str">
        <f>IF(ISBLANK(INDEX('Policy Characteristics'!I:I,MATCH($C1499,'Policy Characteristics'!$C:$C,0))),"",INDEX('Policy Characteristics'!I:I,MATCH($C1499,'Policy Characteristics'!$C:$C,0)))</f>
        <v>weight</v>
      </c>
      <c r="P1499" s="275" t="str">
        <f>IF(ISBLANK(INDEX('Policy Characteristics'!J:J,MATCH($C1499,'Policy Characteristics'!$C:$C,0))),"",INDEX('Policy Characteristics'!J:J,MATCH($C1499,'Policy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9" s="275" t="str">
        <f>IF(ISBLANK(INDEX('Policy Characteristics'!K:K,MATCH($C1499,'Policy Characteristics'!$C:$C,0))),"",INDEX('Policy Characteristics'!K:K,MATCH($C1499,'Policy Characteristics'!$C:$C,0)))</f>
        <v>io-model.html</v>
      </c>
      <c r="R1499" s="275" t="str">
        <f>IF(ISBLANK(INDEX('Policy Characteristics'!L:L,MATCH($C1499,'Policy Characteristics'!$C:$C,0))),"",INDEX('Policy Characteristics'!L:L,MATCH($C1499,'Policy Characteristics'!$C:$C,0)))</f>
        <v/>
      </c>
    </row>
    <row r="1500" spans="1:18" x14ac:dyDescent="0.25">
      <c r="A1500" s="275" t="str">
        <f>IF(ISBLANK(INDEX('Policy Characteristics'!A:A,MATCH($C1500,'Policy Characteristics'!$C:$C,0))),"",INDEX('Policy Characteristics'!A:A,MATCH($C1500,'Policy Characteristics'!$C:$C,0)))</f>
        <v>Government Revenue Accounting</v>
      </c>
      <c r="B1500" s="284" t="str">
        <f>IF(ISBLANK(INDEX('Policy Characteristics'!B:B,MATCH($C1500,'Policy Characteristics'!$C:$C,0))),"",INDEX('Policy Characteristics'!B:B,MATCH($C1500,'Policy Characteristics'!$C:$C,0)))</f>
        <v>Vehicle Battery Subsidy</v>
      </c>
      <c r="C1500" t="s">
        <v>3658</v>
      </c>
      <c r="D1500" s="1" t="s">
        <v>2967</v>
      </c>
      <c r="F1500" s="1" t="s">
        <v>2972</v>
      </c>
      <c r="H1500" s="44">
        <v>2247</v>
      </c>
      <c r="I1500" s="344" t="s">
        <v>43</v>
      </c>
      <c r="J1500" s="276" t="str">
        <f>IF(ISBLANK(INDEX('Policy Characteristics'!D:D,MATCH($C1500,'Policy Characteristics'!$C:$C,0))),"",INDEX('Policy Characteristics'!D:D,MATCH($C1500,'Policy Characteristics'!$C:$C,0)))</f>
        <v/>
      </c>
      <c r="K1500" s="275" t="str">
        <f>IF(ISBLANK(INDEX('Policy Characteristics'!E:E,MATCH($C1500,'Policy Characteristics'!$C:$C,0))),"",INDEX('Policy Characteristics'!E:E,MATCH($C1500,'Policy Characteristics'!$C:$C,0)))</f>
        <v>GRA trans battery subsidy</v>
      </c>
      <c r="L1500" s="275">
        <f>IF(ISBLANK(INDEX('Policy Characteristics'!F:F,MATCH($C1500,'Policy Characteristics'!$C:$C,0))),"",INDEX('Policy Characteristics'!F:F,MATCH($C1500,'Policy Characteristics'!$C:$C,0)))</f>
        <v>0</v>
      </c>
      <c r="M1500" s="275">
        <f>IF(ISBLANK(INDEX('Policy Characteristics'!G:G,MATCH($C1500,'Policy Characteristics'!$C:$C,0))),"",INDEX('Policy Characteristics'!G:G,MATCH($C1500,'Policy Characteristics'!$C:$C,0)))</f>
        <v>10</v>
      </c>
      <c r="N1500" s="275">
        <f>IF(ISBLANK(INDEX('Policy Characteristics'!H:H,MATCH($C1500,'Policy Characteristics'!$C:$C,0))),"",INDEX('Policy Characteristics'!H:H,MATCH($C1500,'Policy Characteristics'!$C:$C,0)))</f>
        <v>1</v>
      </c>
      <c r="O1500" s="275" t="str">
        <f>IF(ISBLANK(INDEX('Policy Characteristics'!I:I,MATCH($C1500,'Policy Characteristics'!$C:$C,0))),"",INDEX('Policy Characteristics'!I:I,MATCH($C1500,'Policy Characteristics'!$C:$C,0)))</f>
        <v>weight</v>
      </c>
      <c r="P1500" s="275" t="str">
        <f>IF(ISBLANK(INDEX('Policy Characteristics'!J:J,MATCH($C1500,'Policy Characteristics'!$C:$C,0))),"",INDEX('Policy Characteristics'!J:J,MATCH($C1500,'Policy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0" s="275" t="str">
        <f>IF(ISBLANK(INDEX('Policy Characteristics'!K:K,MATCH($C1500,'Policy Characteristics'!$C:$C,0))),"",INDEX('Policy Characteristics'!K:K,MATCH($C1500,'Policy Characteristics'!$C:$C,0)))</f>
        <v>io-model.html</v>
      </c>
      <c r="R1500" s="275"/>
    </row>
    <row r="1501" spans="1:18" x14ac:dyDescent="0.25">
      <c r="A1501" s="275" t="str">
        <f>IF(ISBLANK(INDEX('Policy Characteristics'!A:A,MATCH($C1501,'Policy Characteristics'!$C:$C,0))),"",INDEX('Policy Characteristics'!A:A,MATCH($C1501,'Policy Characteristics'!$C:$C,0)))</f>
        <v>Government Revenue Accounting</v>
      </c>
      <c r="B1501" s="284" t="str">
        <f>IF(ISBLANK(INDEX('Policy Characteristics'!B:B,MATCH($C1501,'Policy Characteristics'!$C:$C,0))),"",INDEX('Policy Characteristics'!B:B,MATCH($C1501,'Policy Characteristics'!$C:$C,0)))</f>
        <v>Vehicle Battery Subsidy</v>
      </c>
      <c r="C1501" s="275" t="str">
        <f>C$1500</f>
        <v>GRA for Vehicle Battery Subsidy</v>
      </c>
      <c r="D1501" s="1" t="s">
        <v>2968</v>
      </c>
      <c r="F1501" s="1" t="s">
        <v>2984</v>
      </c>
      <c r="H1501" s="44">
        <v>2248</v>
      </c>
      <c r="I1501" s="348" t="str">
        <f t="shared" si="76"/>
        <v>Yes</v>
      </c>
      <c r="J1501" s="276" t="str">
        <f>IF(ISBLANK(INDEX('Policy Characteristics'!D:D,MATCH($C1501,'Policy Characteristics'!$C:$C,0))),"",INDEX('Policy Characteristics'!D:D,MATCH($C1501,'Policy Characteristics'!$C:$C,0)))</f>
        <v/>
      </c>
      <c r="K1501" s="275" t="str">
        <f>IF(ISBLANK(INDEX('Policy Characteristics'!E:E,MATCH($C1501,'Policy Characteristics'!$C:$C,0))),"",INDEX('Policy Characteristics'!E:E,MATCH($C1501,'Policy Characteristics'!$C:$C,0)))</f>
        <v>GRA trans battery subsidy</v>
      </c>
      <c r="L1501" s="275">
        <f>IF(ISBLANK(INDEX('Policy Characteristics'!F:F,MATCH($C1501,'Policy Characteristics'!$C:$C,0))),"",INDEX('Policy Characteristics'!F:F,MATCH($C1501,'Policy Characteristics'!$C:$C,0)))</f>
        <v>0</v>
      </c>
      <c r="M1501" s="275">
        <f>IF(ISBLANK(INDEX('Policy Characteristics'!G:G,MATCH($C1501,'Policy Characteristics'!$C:$C,0))),"",INDEX('Policy Characteristics'!G:G,MATCH($C1501,'Policy Characteristics'!$C:$C,0)))</f>
        <v>10</v>
      </c>
      <c r="N1501" s="275">
        <f>IF(ISBLANK(INDEX('Policy Characteristics'!H:H,MATCH($C1501,'Policy Characteristics'!$C:$C,0))),"",INDEX('Policy Characteristics'!H:H,MATCH($C1501,'Policy Characteristics'!$C:$C,0)))</f>
        <v>1</v>
      </c>
      <c r="O1501" s="275" t="str">
        <f>IF(ISBLANK(INDEX('Policy Characteristics'!I:I,MATCH($C1501,'Policy Characteristics'!$C:$C,0))),"",INDEX('Policy Characteristics'!I:I,MATCH($C1501,'Policy Characteristics'!$C:$C,0)))</f>
        <v>weight</v>
      </c>
      <c r="P1501" s="275" t="str">
        <f>IF(ISBLANK(INDEX('Policy Characteristics'!J:J,MATCH($C1501,'Policy Characteristics'!$C:$C,0))),"",INDEX('Policy Characteristics'!J:J,MATCH($C1501,'Policy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1" s="275" t="str">
        <f>IF(ISBLANK(INDEX('Policy Characteristics'!K:K,MATCH($C1501,'Policy Characteristics'!$C:$C,0))),"",INDEX('Policy Characteristics'!K:K,MATCH($C1501,'Policy Characteristics'!$C:$C,0)))</f>
        <v>io-model.html</v>
      </c>
      <c r="R1501" s="275"/>
    </row>
    <row r="1502" spans="1:18" x14ac:dyDescent="0.25">
      <c r="A1502" s="275" t="str">
        <f>IF(ISBLANK(INDEX('Policy Characteristics'!A:A,MATCH($C1502,'Policy Characteristics'!$C:$C,0))),"",INDEX('Policy Characteristics'!A:A,MATCH($C1502,'Policy Characteristics'!$C:$C,0)))</f>
        <v>Government Revenue Accounting</v>
      </c>
      <c r="B1502" s="284" t="str">
        <f>IF(ISBLANK(INDEX('Policy Characteristics'!B:B,MATCH($C1502,'Policy Characteristics'!$C:$C,0))),"",INDEX('Policy Characteristics'!B:B,MATCH($C1502,'Policy Characteristics'!$C:$C,0)))</f>
        <v>Vehicle Battery Subsidy</v>
      </c>
      <c r="C1502" s="275" t="str">
        <f t="shared" ref="C1502:C1504" si="77">C$1500</f>
        <v>GRA for Vehicle Battery Subsidy</v>
      </c>
      <c r="D1502" s="1" t="s">
        <v>2969</v>
      </c>
      <c r="F1502" s="1" t="s">
        <v>2973</v>
      </c>
      <c r="H1502" s="44">
        <v>2249</v>
      </c>
      <c r="I1502" s="348" t="str">
        <f t="shared" si="76"/>
        <v>Yes</v>
      </c>
      <c r="J1502" s="276" t="str">
        <f>IF(ISBLANK(INDEX('Policy Characteristics'!D:D,MATCH($C1502,'Policy Characteristics'!$C:$C,0))),"",INDEX('Policy Characteristics'!D:D,MATCH($C1502,'Policy Characteristics'!$C:$C,0)))</f>
        <v/>
      </c>
      <c r="K1502" s="275" t="str">
        <f>IF(ISBLANK(INDEX('Policy Characteristics'!E:E,MATCH($C1502,'Policy Characteristics'!$C:$C,0))),"",INDEX('Policy Characteristics'!E:E,MATCH($C1502,'Policy Characteristics'!$C:$C,0)))</f>
        <v>GRA trans battery subsidy</v>
      </c>
      <c r="L1502" s="275">
        <f>IF(ISBLANK(INDEX('Policy Characteristics'!F:F,MATCH($C1502,'Policy Characteristics'!$C:$C,0))),"",INDEX('Policy Characteristics'!F:F,MATCH($C1502,'Policy Characteristics'!$C:$C,0)))</f>
        <v>0</v>
      </c>
      <c r="M1502" s="275">
        <f>IF(ISBLANK(INDEX('Policy Characteristics'!G:G,MATCH($C1502,'Policy Characteristics'!$C:$C,0))),"",INDEX('Policy Characteristics'!G:G,MATCH($C1502,'Policy Characteristics'!$C:$C,0)))</f>
        <v>10</v>
      </c>
      <c r="N1502" s="275">
        <f>IF(ISBLANK(INDEX('Policy Characteristics'!H:H,MATCH($C1502,'Policy Characteristics'!$C:$C,0))),"",INDEX('Policy Characteristics'!H:H,MATCH($C1502,'Policy Characteristics'!$C:$C,0)))</f>
        <v>1</v>
      </c>
      <c r="O1502" s="275" t="str">
        <f>IF(ISBLANK(INDEX('Policy Characteristics'!I:I,MATCH($C1502,'Policy Characteristics'!$C:$C,0))),"",INDEX('Policy Characteristics'!I:I,MATCH($C1502,'Policy Characteristics'!$C:$C,0)))</f>
        <v>weight</v>
      </c>
      <c r="P1502" s="275" t="str">
        <f>IF(ISBLANK(INDEX('Policy Characteristics'!J:J,MATCH($C1502,'Policy Characteristics'!$C:$C,0))),"",INDEX('Policy Characteristics'!J:J,MATCH($C1502,'Policy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2" s="275" t="str">
        <f>IF(ISBLANK(INDEX('Policy Characteristics'!K:K,MATCH($C1502,'Policy Characteristics'!$C:$C,0))),"",INDEX('Policy Characteristics'!K:K,MATCH($C1502,'Policy Characteristics'!$C:$C,0)))</f>
        <v>io-model.html</v>
      </c>
      <c r="R1502" s="275"/>
    </row>
    <row r="1503" spans="1:18" x14ac:dyDescent="0.25">
      <c r="A1503" s="275" t="str">
        <f>IF(ISBLANK(INDEX('Policy Characteristics'!A:A,MATCH($C1503,'Policy Characteristics'!$C:$C,0))),"",INDEX('Policy Characteristics'!A:A,MATCH($C1503,'Policy Characteristics'!$C:$C,0)))</f>
        <v>Government Revenue Accounting</v>
      </c>
      <c r="B1503" s="284" t="str">
        <f>IF(ISBLANK(INDEX('Policy Characteristics'!B:B,MATCH($C1503,'Policy Characteristics'!$C:$C,0))),"",INDEX('Policy Characteristics'!B:B,MATCH($C1503,'Policy Characteristics'!$C:$C,0)))</f>
        <v>Vehicle Battery Subsidy</v>
      </c>
      <c r="C1503" s="275" t="str">
        <f t="shared" si="77"/>
        <v>GRA for Vehicle Battery Subsidy</v>
      </c>
      <c r="D1503" s="1" t="s">
        <v>2970</v>
      </c>
      <c r="F1503" s="1" t="s">
        <v>2974</v>
      </c>
      <c r="H1503" s="44">
        <v>2250</v>
      </c>
      <c r="I1503" s="348" t="str">
        <f t="shared" si="76"/>
        <v>Yes</v>
      </c>
      <c r="J1503" s="276" t="str">
        <f>IF(ISBLANK(INDEX('Policy Characteristics'!D:D,MATCH($C1503,'Policy Characteristics'!$C:$C,0))),"",INDEX('Policy Characteristics'!D:D,MATCH($C1503,'Policy Characteristics'!$C:$C,0)))</f>
        <v/>
      </c>
      <c r="K1503" s="275" t="str">
        <f>IF(ISBLANK(INDEX('Policy Characteristics'!E:E,MATCH($C1503,'Policy Characteristics'!$C:$C,0))),"",INDEX('Policy Characteristics'!E:E,MATCH($C1503,'Policy Characteristics'!$C:$C,0)))</f>
        <v>GRA trans battery subsidy</v>
      </c>
      <c r="L1503" s="275">
        <f>IF(ISBLANK(INDEX('Policy Characteristics'!F:F,MATCH($C1503,'Policy Characteristics'!$C:$C,0))),"",INDEX('Policy Characteristics'!F:F,MATCH($C1503,'Policy Characteristics'!$C:$C,0)))</f>
        <v>0</v>
      </c>
      <c r="M1503" s="275">
        <f>IF(ISBLANK(INDEX('Policy Characteristics'!G:G,MATCH($C1503,'Policy Characteristics'!$C:$C,0))),"",INDEX('Policy Characteristics'!G:G,MATCH($C1503,'Policy Characteristics'!$C:$C,0)))</f>
        <v>10</v>
      </c>
      <c r="N1503" s="275">
        <f>IF(ISBLANK(INDEX('Policy Characteristics'!H:H,MATCH($C1503,'Policy Characteristics'!$C:$C,0))),"",INDEX('Policy Characteristics'!H:H,MATCH($C1503,'Policy Characteristics'!$C:$C,0)))</f>
        <v>1</v>
      </c>
      <c r="O1503" s="275" t="str">
        <f>IF(ISBLANK(INDEX('Policy Characteristics'!I:I,MATCH($C1503,'Policy Characteristics'!$C:$C,0))),"",INDEX('Policy Characteristics'!I:I,MATCH($C1503,'Policy Characteristics'!$C:$C,0)))</f>
        <v>weight</v>
      </c>
      <c r="P1503" s="275" t="str">
        <f>IF(ISBLANK(INDEX('Policy Characteristics'!J:J,MATCH($C1503,'Policy Characteristics'!$C:$C,0))),"",INDEX('Policy Characteristics'!J:J,MATCH($C1503,'Policy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3" s="275" t="str">
        <f>IF(ISBLANK(INDEX('Policy Characteristics'!K:K,MATCH($C1503,'Policy Characteristics'!$C:$C,0))),"",INDEX('Policy Characteristics'!K:K,MATCH($C1503,'Policy Characteristics'!$C:$C,0)))</f>
        <v>io-model.html</v>
      </c>
      <c r="R1503" s="275"/>
    </row>
    <row r="1504" spans="1:18" x14ac:dyDescent="0.25">
      <c r="A1504" s="275" t="str">
        <f>IF(ISBLANK(INDEX('Policy Characteristics'!A:A,MATCH($C1504,'Policy Characteristics'!$C:$C,0))),"",INDEX('Policy Characteristics'!A:A,MATCH($C1504,'Policy Characteristics'!$C:$C,0)))</f>
        <v>Government Revenue Accounting</v>
      </c>
      <c r="B1504" s="284" t="str">
        <f>IF(ISBLANK(INDEX('Policy Characteristics'!B:B,MATCH($C1504,'Policy Characteristics'!$C:$C,0))),"",INDEX('Policy Characteristics'!B:B,MATCH($C1504,'Policy Characteristics'!$C:$C,0)))</f>
        <v>Vehicle Battery Subsidy</v>
      </c>
      <c r="C1504" s="275" t="str">
        <f t="shared" si="77"/>
        <v>GRA for Vehicle Battery Subsidy</v>
      </c>
      <c r="D1504" s="1" t="s">
        <v>2971</v>
      </c>
      <c r="F1504" s="1" t="s">
        <v>2975</v>
      </c>
      <c r="H1504" s="44">
        <v>2251</v>
      </c>
      <c r="I1504" s="348" t="str">
        <f t="shared" si="76"/>
        <v>Yes</v>
      </c>
      <c r="J1504" s="276" t="str">
        <f>IF(ISBLANK(INDEX('Policy Characteristics'!D:D,MATCH($C1504,'Policy Characteristics'!$C:$C,0))),"",INDEX('Policy Characteristics'!D:D,MATCH($C1504,'Policy Characteristics'!$C:$C,0)))</f>
        <v/>
      </c>
      <c r="K1504" s="275" t="str">
        <f>IF(ISBLANK(INDEX('Policy Characteristics'!E:E,MATCH($C1504,'Policy Characteristics'!$C:$C,0))),"",INDEX('Policy Characteristics'!E:E,MATCH($C1504,'Policy Characteristics'!$C:$C,0)))</f>
        <v>GRA trans battery subsidy</v>
      </c>
      <c r="L1504" s="275">
        <f>IF(ISBLANK(INDEX('Policy Characteristics'!F:F,MATCH($C1504,'Policy Characteristics'!$C:$C,0))),"",INDEX('Policy Characteristics'!F:F,MATCH($C1504,'Policy Characteristics'!$C:$C,0)))</f>
        <v>0</v>
      </c>
      <c r="M1504" s="275">
        <f>IF(ISBLANK(INDEX('Policy Characteristics'!G:G,MATCH($C1504,'Policy Characteristics'!$C:$C,0))),"",INDEX('Policy Characteristics'!G:G,MATCH($C1504,'Policy Characteristics'!$C:$C,0)))</f>
        <v>10</v>
      </c>
      <c r="N1504" s="275">
        <f>IF(ISBLANK(INDEX('Policy Characteristics'!H:H,MATCH($C1504,'Policy Characteristics'!$C:$C,0))),"",INDEX('Policy Characteristics'!H:H,MATCH($C1504,'Policy Characteristics'!$C:$C,0)))</f>
        <v>1</v>
      </c>
      <c r="O1504" s="275" t="str">
        <f>IF(ISBLANK(INDEX('Policy Characteristics'!I:I,MATCH($C1504,'Policy Characteristics'!$C:$C,0))),"",INDEX('Policy Characteristics'!I:I,MATCH($C1504,'Policy Characteristics'!$C:$C,0)))</f>
        <v>weight</v>
      </c>
      <c r="P1504" s="275" t="str">
        <f>IF(ISBLANK(INDEX('Policy Characteristics'!J:J,MATCH($C1504,'Policy Characteristics'!$C:$C,0))),"",INDEX('Policy Characteristics'!J:J,MATCH($C1504,'Policy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4" s="275" t="str">
        <f>IF(ISBLANK(INDEX('Policy Characteristics'!K:K,MATCH($C1504,'Policy Characteristics'!$C:$C,0))),"",INDEX('Policy Characteristics'!K:K,MATCH($C1504,'Policy Characteristics'!$C:$C,0)))</f>
        <v>io-model.html</v>
      </c>
      <c r="R1504" s="275"/>
    </row>
    <row r="1505" spans="1:18" x14ac:dyDescent="0.25">
      <c r="A1505" s="275" t="str">
        <f>IF(ISBLANK(INDEX('Policy Characteristics'!A:A,MATCH($C1505,'Policy Characteristics'!$C:$C,0))),"",INDEX('Policy Characteristics'!A:A,MATCH($C1505,'Policy Characteristics'!$C:$C,0)))</f>
        <v>Government Revenue Accounting</v>
      </c>
      <c r="B1505" s="284" t="str">
        <f>IF(ISBLANK(INDEX('Policy Characteristics'!B:B,MATCH($C1505,'Policy Characteristics'!$C:$C,0))),"",INDEX('Policy Characteristics'!B:B,MATCH($C1505,'Policy Characteristics'!$C:$C,0)))</f>
        <v>Electricity Generation Subsidy</v>
      </c>
      <c r="C1505" t="s">
        <v>2961</v>
      </c>
      <c r="D1505" s="1" t="s">
        <v>2967</v>
      </c>
      <c r="F1505" s="1" t="s">
        <v>2972</v>
      </c>
      <c r="H1505" s="44">
        <v>560</v>
      </c>
      <c r="I1505" s="344" t="s">
        <v>43</v>
      </c>
      <c r="J1505" s="276" t="str">
        <f>IF(ISBLANK(INDEX('Policy Characteristics'!D:D,MATCH($C1505,'Policy Characteristics'!$C:$C,0))),"",INDEX('Policy Characteristics'!D:D,MATCH($C1505,'Policy Characteristics'!$C:$C,0)))</f>
        <v/>
      </c>
      <c r="K1505" s="275" t="str">
        <f>IF(ISBLANK(INDEX('Policy Characteristics'!E:E,MATCH($C1505,'Policy Characteristics'!$C:$C,0))),"",INDEX('Policy Characteristics'!E:E,MATCH($C1505,'Policy Characteristics'!$C:$C,0)))</f>
        <v>GRA elec gen subsidy</v>
      </c>
      <c r="L1505" s="275">
        <f>IF(ISBLANK(INDEX('Policy Characteristics'!F:F,MATCH($C1505,'Policy Characteristics'!$C:$C,0))),"",INDEX('Policy Characteristics'!F:F,MATCH($C1505,'Policy Characteristics'!$C:$C,0)))</f>
        <v>0</v>
      </c>
      <c r="M1505" s="275">
        <f>IF(ISBLANK(INDEX('Policy Characteristics'!G:G,MATCH($C1505,'Policy Characteristics'!$C:$C,0))),"",INDEX('Policy Characteristics'!G:G,MATCH($C1505,'Policy Characteristics'!$C:$C,0)))</f>
        <v>10</v>
      </c>
      <c r="N1505" s="275">
        <f>IF(ISBLANK(INDEX('Policy Characteristics'!H:H,MATCH($C1505,'Policy Characteristics'!$C:$C,0))),"",INDEX('Policy Characteristics'!H:H,MATCH($C1505,'Policy Characteristics'!$C:$C,0)))</f>
        <v>1</v>
      </c>
      <c r="O1505" s="275" t="str">
        <f>IF(ISBLANK(INDEX('Policy Characteristics'!I:I,MATCH($C1505,'Policy Characteristics'!$C:$C,0))),"",INDEX('Policy Characteristics'!I:I,MATCH($C1505,'Policy Characteristics'!$C:$C,0)))</f>
        <v>weight</v>
      </c>
      <c r="P1505" s="275" t="str">
        <f>IF(ISBLANK(INDEX('Policy Characteristics'!J:J,MATCH($C1505,'Policy Characteristics'!$C:$C,0))),"",INDEX('Policy Characteristics'!J:J,MATCH($C1505,'Policy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5" s="275" t="str">
        <f>IF(ISBLANK(INDEX('Policy Characteristics'!K:K,MATCH($C1505,'Policy Characteristics'!$C:$C,0))),"",INDEX('Policy Characteristics'!K:K,MATCH($C1505,'Policy Characteristics'!$C:$C,0)))</f>
        <v>io-model.html</v>
      </c>
      <c r="R1505" s="275" t="str">
        <f>IF(ISBLANK(INDEX('Policy Characteristics'!L:L,MATCH($C1505,'Policy Characteristics'!$C:$C,0))),"",INDEX('Policy Characteristics'!L:L,MATCH($C1505,'Policy Characteristics'!$C:$C,0)))</f>
        <v/>
      </c>
    </row>
    <row r="1506" spans="1:18" x14ac:dyDescent="0.25">
      <c r="A1506" s="275" t="str">
        <f>IF(ISBLANK(INDEX('Policy Characteristics'!A:A,MATCH($C1506,'Policy Characteristics'!$C:$C,0))),"",INDEX('Policy Characteristics'!A:A,MATCH($C1506,'Policy Characteristics'!$C:$C,0)))</f>
        <v>Government Revenue Accounting</v>
      </c>
      <c r="B1506" s="284" t="str">
        <f>IF(ISBLANK(INDEX('Policy Characteristics'!B:B,MATCH($C1506,'Policy Characteristics'!$C:$C,0))),"",INDEX('Policy Characteristics'!B:B,MATCH($C1506,'Policy Characteristics'!$C:$C,0)))</f>
        <v>Electricity Generation Subsidy</v>
      </c>
      <c r="C1506" s="275" t="str">
        <f t="shared" ref="C1506:C1509" si="78">C$1505</f>
        <v>GRA for Electricity Generation Subsidies</v>
      </c>
      <c r="D1506" s="1" t="s">
        <v>2968</v>
      </c>
      <c r="F1506" s="1" t="s">
        <v>2984</v>
      </c>
      <c r="H1506" s="44">
        <v>561</v>
      </c>
      <c r="I1506" s="348" t="str">
        <f t="shared" ref="I1506:I1509" si="79">I$1505</f>
        <v>Yes</v>
      </c>
      <c r="J1506" s="276" t="str">
        <f>IF(ISBLANK(INDEX('Policy Characteristics'!D:D,MATCH($C1506,'Policy Characteristics'!$C:$C,0))),"",INDEX('Policy Characteristics'!D:D,MATCH($C1506,'Policy Characteristics'!$C:$C,0)))</f>
        <v/>
      </c>
      <c r="K1506" s="275" t="str">
        <f>IF(ISBLANK(INDEX('Policy Characteristics'!E:E,MATCH($C1506,'Policy Characteristics'!$C:$C,0))),"",INDEX('Policy Characteristics'!E:E,MATCH($C1506,'Policy Characteristics'!$C:$C,0)))</f>
        <v>GRA elec gen subsidy</v>
      </c>
      <c r="L1506" s="275">
        <f>IF(ISBLANK(INDEX('Policy Characteristics'!F:F,MATCH($C1506,'Policy Characteristics'!$C:$C,0))),"",INDEX('Policy Characteristics'!F:F,MATCH($C1506,'Policy Characteristics'!$C:$C,0)))</f>
        <v>0</v>
      </c>
      <c r="M1506" s="275">
        <f>IF(ISBLANK(INDEX('Policy Characteristics'!G:G,MATCH($C1506,'Policy Characteristics'!$C:$C,0))),"",INDEX('Policy Characteristics'!G:G,MATCH($C1506,'Policy Characteristics'!$C:$C,0)))</f>
        <v>10</v>
      </c>
      <c r="N1506" s="275">
        <f>IF(ISBLANK(INDEX('Policy Characteristics'!H:H,MATCH($C1506,'Policy Characteristics'!$C:$C,0))),"",INDEX('Policy Characteristics'!H:H,MATCH($C1506,'Policy Characteristics'!$C:$C,0)))</f>
        <v>1</v>
      </c>
      <c r="O1506" s="275" t="str">
        <f>IF(ISBLANK(INDEX('Policy Characteristics'!I:I,MATCH($C1506,'Policy Characteristics'!$C:$C,0))),"",INDEX('Policy Characteristics'!I:I,MATCH($C1506,'Policy Characteristics'!$C:$C,0)))</f>
        <v>weight</v>
      </c>
      <c r="P1506" s="275" t="str">
        <f>IF(ISBLANK(INDEX('Policy Characteristics'!J:J,MATCH($C1506,'Policy Characteristics'!$C:$C,0))),"",INDEX('Policy Characteristics'!J:J,MATCH($C1506,'Policy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6" s="275" t="str">
        <f>IF(ISBLANK(INDEX('Policy Characteristics'!K:K,MATCH($C1506,'Policy Characteristics'!$C:$C,0))),"",INDEX('Policy Characteristics'!K:K,MATCH($C1506,'Policy Characteristics'!$C:$C,0)))</f>
        <v>io-model.html</v>
      </c>
      <c r="R1506" s="275" t="str">
        <f>IF(ISBLANK(INDEX('Policy Characteristics'!L:L,MATCH($C1506,'Policy Characteristics'!$C:$C,0))),"",INDEX('Policy Characteristics'!L:L,MATCH($C1506,'Policy Characteristics'!$C:$C,0)))</f>
        <v/>
      </c>
    </row>
    <row r="1507" spans="1:18" x14ac:dyDescent="0.25">
      <c r="A1507" s="275" t="str">
        <f>IF(ISBLANK(INDEX('Policy Characteristics'!A:A,MATCH($C1507,'Policy Characteristics'!$C:$C,0))),"",INDEX('Policy Characteristics'!A:A,MATCH($C1507,'Policy Characteristics'!$C:$C,0)))</f>
        <v>Government Revenue Accounting</v>
      </c>
      <c r="B1507" s="284" t="str">
        <f>IF(ISBLANK(INDEX('Policy Characteristics'!B:B,MATCH($C1507,'Policy Characteristics'!$C:$C,0))),"",INDEX('Policy Characteristics'!B:B,MATCH($C1507,'Policy Characteristics'!$C:$C,0)))</f>
        <v>Electricity Generation Subsidy</v>
      </c>
      <c r="C1507" s="275" t="str">
        <f t="shared" si="78"/>
        <v>GRA for Electricity Generation Subsidies</v>
      </c>
      <c r="D1507" s="1" t="s">
        <v>2969</v>
      </c>
      <c r="F1507" s="1" t="s">
        <v>2973</v>
      </c>
      <c r="H1507" s="44">
        <v>562</v>
      </c>
      <c r="I1507" s="348" t="str">
        <f t="shared" si="79"/>
        <v>Yes</v>
      </c>
      <c r="J1507" s="276" t="str">
        <f>IF(ISBLANK(INDEX('Policy Characteristics'!D:D,MATCH($C1507,'Policy Characteristics'!$C:$C,0))),"",INDEX('Policy Characteristics'!D:D,MATCH($C1507,'Policy Characteristics'!$C:$C,0)))</f>
        <v/>
      </c>
      <c r="K1507" s="275" t="str">
        <f>IF(ISBLANK(INDEX('Policy Characteristics'!E:E,MATCH($C1507,'Policy Characteristics'!$C:$C,0))),"",INDEX('Policy Characteristics'!E:E,MATCH($C1507,'Policy Characteristics'!$C:$C,0)))</f>
        <v>GRA elec gen subsidy</v>
      </c>
      <c r="L1507" s="275">
        <f>IF(ISBLANK(INDEX('Policy Characteristics'!F:F,MATCH($C1507,'Policy Characteristics'!$C:$C,0))),"",INDEX('Policy Characteristics'!F:F,MATCH($C1507,'Policy Characteristics'!$C:$C,0)))</f>
        <v>0</v>
      </c>
      <c r="M1507" s="275">
        <f>IF(ISBLANK(INDEX('Policy Characteristics'!G:G,MATCH($C1507,'Policy Characteristics'!$C:$C,0))),"",INDEX('Policy Characteristics'!G:G,MATCH($C1507,'Policy Characteristics'!$C:$C,0)))</f>
        <v>10</v>
      </c>
      <c r="N1507" s="275">
        <f>IF(ISBLANK(INDEX('Policy Characteristics'!H:H,MATCH($C1507,'Policy Characteristics'!$C:$C,0))),"",INDEX('Policy Characteristics'!H:H,MATCH($C1507,'Policy Characteristics'!$C:$C,0)))</f>
        <v>1</v>
      </c>
      <c r="O1507" s="275" t="str">
        <f>IF(ISBLANK(INDEX('Policy Characteristics'!I:I,MATCH($C1507,'Policy Characteristics'!$C:$C,0))),"",INDEX('Policy Characteristics'!I:I,MATCH($C1507,'Policy Characteristics'!$C:$C,0)))</f>
        <v>weight</v>
      </c>
      <c r="P1507" s="275" t="str">
        <f>IF(ISBLANK(INDEX('Policy Characteristics'!J:J,MATCH($C1507,'Policy Characteristics'!$C:$C,0))),"",INDEX('Policy Characteristics'!J:J,MATCH($C1507,'Policy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7" s="275" t="str">
        <f>IF(ISBLANK(INDEX('Policy Characteristics'!K:K,MATCH($C1507,'Policy Characteristics'!$C:$C,0))),"",INDEX('Policy Characteristics'!K:K,MATCH($C1507,'Policy Characteristics'!$C:$C,0)))</f>
        <v>io-model.html</v>
      </c>
      <c r="R1507" s="275" t="str">
        <f>IF(ISBLANK(INDEX('Policy Characteristics'!L:L,MATCH($C1507,'Policy Characteristics'!$C:$C,0))),"",INDEX('Policy Characteristics'!L:L,MATCH($C1507,'Policy Characteristics'!$C:$C,0)))</f>
        <v/>
      </c>
    </row>
    <row r="1508" spans="1:18" x14ac:dyDescent="0.25">
      <c r="A1508" s="275" t="str">
        <f>IF(ISBLANK(INDEX('Policy Characteristics'!A:A,MATCH($C1508,'Policy Characteristics'!$C:$C,0))),"",INDEX('Policy Characteristics'!A:A,MATCH($C1508,'Policy Characteristics'!$C:$C,0)))</f>
        <v>Government Revenue Accounting</v>
      </c>
      <c r="B1508" s="284" t="str">
        <f>IF(ISBLANK(INDEX('Policy Characteristics'!B:B,MATCH($C1508,'Policy Characteristics'!$C:$C,0))),"",INDEX('Policy Characteristics'!B:B,MATCH($C1508,'Policy Characteristics'!$C:$C,0)))</f>
        <v>Electricity Generation Subsidy</v>
      </c>
      <c r="C1508" s="275" t="str">
        <f t="shared" si="78"/>
        <v>GRA for Electricity Generation Subsidies</v>
      </c>
      <c r="D1508" s="1" t="s">
        <v>2970</v>
      </c>
      <c r="F1508" s="1" t="s">
        <v>2974</v>
      </c>
      <c r="H1508" s="44">
        <v>563</v>
      </c>
      <c r="I1508" s="348" t="str">
        <f t="shared" si="79"/>
        <v>Yes</v>
      </c>
      <c r="J1508" s="276" t="str">
        <f>IF(ISBLANK(INDEX('Policy Characteristics'!D:D,MATCH($C1508,'Policy Characteristics'!$C:$C,0))),"",INDEX('Policy Characteristics'!D:D,MATCH($C1508,'Policy Characteristics'!$C:$C,0)))</f>
        <v/>
      </c>
      <c r="K1508" s="275" t="str">
        <f>IF(ISBLANK(INDEX('Policy Characteristics'!E:E,MATCH($C1508,'Policy Characteristics'!$C:$C,0))),"",INDEX('Policy Characteristics'!E:E,MATCH($C1508,'Policy Characteristics'!$C:$C,0)))</f>
        <v>GRA elec gen subsidy</v>
      </c>
      <c r="L1508" s="275">
        <f>IF(ISBLANK(INDEX('Policy Characteristics'!F:F,MATCH($C1508,'Policy Characteristics'!$C:$C,0))),"",INDEX('Policy Characteristics'!F:F,MATCH($C1508,'Policy Characteristics'!$C:$C,0)))</f>
        <v>0</v>
      </c>
      <c r="M1508" s="275">
        <f>IF(ISBLANK(INDEX('Policy Characteristics'!G:G,MATCH($C1508,'Policy Characteristics'!$C:$C,0))),"",INDEX('Policy Characteristics'!G:G,MATCH($C1508,'Policy Characteristics'!$C:$C,0)))</f>
        <v>10</v>
      </c>
      <c r="N1508" s="275">
        <f>IF(ISBLANK(INDEX('Policy Characteristics'!H:H,MATCH($C1508,'Policy Characteristics'!$C:$C,0))),"",INDEX('Policy Characteristics'!H:H,MATCH($C1508,'Policy Characteristics'!$C:$C,0)))</f>
        <v>1</v>
      </c>
      <c r="O1508" s="275" t="str">
        <f>IF(ISBLANK(INDEX('Policy Characteristics'!I:I,MATCH($C1508,'Policy Characteristics'!$C:$C,0))),"",INDEX('Policy Characteristics'!I:I,MATCH($C1508,'Policy Characteristics'!$C:$C,0)))</f>
        <v>weight</v>
      </c>
      <c r="P1508" s="275" t="str">
        <f>IF(ISBLANK(INDEX('Policy Characteristics'!J:J,MATCH($C1508,'Policy Characteristics'!$C:$C,0))),"",INDEX('Policy Characteristics'!J:J,MATCH($C1508,'Policy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8" s="275" t="str">
        <f>IF(ISBLANK(INDEX('Policy Characteristics'!K:K,MATCH($C1508,'Policy Characteristics'!$C:$C,0))),"",INDEX('Policy Characteristics'!K:K,MATCH($C1508,'Policy Characteristics'!$C:$C,0)))</f>
        <v>io-model.html</v>
      </c>
      <c r="R1508" s="275" t="str">
        <f>IF(ISBLANK(INDEX('Policy Characteristics'!L:L,MATCH($C1508,'Policy Characteristics'!$C:$C,0))),"",INDEX('Policy Characteristics'!L:L,MATCH($C1508,'Policy Characteristics'!$C:$C,0)))</f>
        <v/>
      </c>
    </row>
    <row r="1509" spans="1:18" x14ac:dyDescent="0.25">
      <c r="A1509" s="275" t="str">
        <f>IF(ISBLANK(INDEX('Policy Characteristics'!A:A,MATCH($C1509,'Policy Characteristics'!$C:$C,0))),"",INDEX('Policy Characteristics'!A:A,MATCH($C1509,'Policy Characteristics'!$C:$C,0)))</f>
        <v>Government Revenue Accounting</v>
      </c>
      <c r="B1509" s="284" t="str">
        <f>IF(ISBLANK(INDEX('Policy Characteristics'!B:B,MATCH($C1509,'Policy Characteristics'!$C:$C,0))),"",INDEX('Policy Characteristics'!B:B,MATCH($C1509,'Policy Characteristics'!$C:$C,0)))</f>
        <v>Electricity Generation Subsidy</v>
      </c>
      <c r="C1509" s="275" t="str">
        <f t="shared" si="78"/>
        <v>GRA for Electricity Generation Subsidies</v>
      </c>
      <c r="D1509" s="1" t="s">
        <v>2971</v>
      </c>
      <c r="F1509" s="1" t="s">
        <v>2975</v>
      </c>
      <c r="H1509" s="44">
        <v>564</v>
      </c>
      <c r="I1509" s="348" t="str">
        <f t="shared" si="79"/>
        <v>Yes</v>
      </c>
      <c r="J1509" s="276" t="str">
        <f>IF(ISBLANK(INDEX('Policy Characteristics'!D:D,MATCH($C1509,'Policy Characteristics'!$C:$C,0))),"",INDEX('Policy Characteristics'!D:D,MATCH($C1509,'Policy Characteristics'!$C:$C,0)))</f>
        <v/>
      </c>
      <c r="K1509" s="275" t="str">
        <f>IF(ISBLANK(INDEX('Policy Characteristics'!E:E,MATCH($C1509,'Policy Characteristics'!$C:$C,0))),"",INDEX('Policy Characteristics'!E:E,MATCH($C1509,'Policy Characteristics'!$C:$C,0)))</f>
        <v>GRA elec gen subsidy</v>
      </c>
      <c r="L1509" s="275">
        <f>IF(ISBLANK(INDEX('Policy Characteristics'!F:F,MATCH($C1509,'Policy Characteristics'!$C:$C,0))),"",INDEX('Policy Characteristics'!F:F,MATCH($C1509,'Policy Characteristics'!$C:$C,0)))</f>
        <v>0</v>
      </c>
      <c r="M1509" s="275">
        <f>IF(ISBLANK(INDEX('Policy Characteristics'!G:G,MATCH($C1509,'Policy Characteristics'!$C:$C,0))),"",INDEX('Policy Characteristics'!G:G,MATCH($C1509,'Policy Characteristics'!$C:$C,0)))</f>
        <v>10</v>
      </c>
      <c r="N1509" s="275">
        <f>IF(ISBLANK(INDEX('Policy Characteristics'!H:H,MATCH($C1509,'Policy Characteristics'!$C:$C,0))),"",INDEX('Policy Characteristics'!H:H,MATCH($C1509,'Policy Characteristics'!$C:$C,0)))</f>
        <v>1</v>
      </c>
      <c r="O1509" s="275" t="str">
        <f>IF(ISBLANK(INDEX('Policy Characteristics'!I:I,MATCH($C1509,'Policy Characteristics'!$C:$C,0))),"",INDEX('Policy Characteristics'!I:I,MATCH($C1509,'Policy Characteristics'!$C:$C,0)))</f>
        <v>weight</v>
      </c>
      <c r="P1509" s="275" t="str">
        <f>IF(ISBLANK(INDEX('Policy Characteristics'!J:J,MATCH($C1509,'Policy Characteristics'!$C:$C,0))),"",INDEX('Policy Characteristics'!J:J,MATCH($C1509,'Policy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9" s="275" t="str">
        <f>IF(ISBLANK(INDEX('Policy Characteristics'!K:K,MATCH($C1509,'Policy Characteristics'!$C:$C,0))),"",INDEX('Policy Characteristics'!K:K,MATCH($C1509,'Policy Characteristics'!$C:$C,0)))</f>
        <v>io-model.html</v>
      </c>
      <c r="R1509" s="275" t="str">
        <f>IF(ISBLANK(INDEX('Policy Characteristics'!L:L,MATCH($C1509,'Policy Characteristics'!$C:$C,0))),"",INDEX('Policy Characteristics'!L:L,MATCH($C1509,'Policy Characteristics'!$C:$C,0)))</f>
        <v/>
      </c>
    </row>
    <row r="1510" spans="1:18" x14ac:dyDescent="0.25">
      <c r="A1510" s="275" t="str">
        <f>IF(ISBLANK(INDEX('Policy Characteristics'!A:A,MATCH($C1510,'Policy Characteristics'!$C:$C,0))),"",INDEX('Policy Characteristics'!A:A,MATCH($C1510,'Policy Characteristics'!$C:$C,0)))</f>
        <v>Government Revenue Accounting</v>
      </c>
      <c r="B1510" s="284" t="str">
        <f>IF(ISBLANK(INDEX('Policy Characteristics'!B:B,MATCH($C1510,'Policy Characteristics'!$C:$C,0))),"",INDEX('Policy Characteristics'!B:B,MATCH($C1510,'Policy Characteristics'!$C:$C,0)))</f>
        <v>Electricity Capacity Construction Subsidy</v>
      </c>
      <c r="C1510" t="s">
        <v>2962</v>
      </c>
      <c r="D1510" s="1" t="s">
        <v>2967</v>
      </c>
      <c r="F1510" s="1" t="s">
        <v>2972</v>
      </c>
      <c r="H1510" s="44">
        <v>565</v>
      </c>
      <c r="I1510" s="344" t="s">
        <v>43</v>
      </c>
      <c r="J1510" s="276" t="str">
        <f>IF(ISBLANK(INDEX('Policy Characteristics'!D:D,MATCH($C1510,'Policy Characteristics'!$C:$C,0))),"",INDEX('Policy Characteristics'!D:D,MATCH($C1510,'Policy Characteristics'!$C:$C,0)))</f>
        <v/>
      </c>
      <c r="K1510" s="275" t="str">
        <f>IF(ISBLANK(INDEX('Policy Characteristics'!E:E,MATCH($C1510,'Policy Characteristics'!$C:$C,0))),"",INDEX('Policy Characteristics'!E:E,MATCH($C1510,'Policy Characteristics'!$C:$C,0)))</f>
        <v>GRA elec cap const subsidy</v>
      </c>
      <c r="L1510" s="275">
        <f>IF(ISBLANK(INDEX('Policy Characteristics'!F:F,MATCH($C1510,'Policy Characteristics'!$C:$C,0))),"",INDEX('Policy Characteristics'!F:F,MATCH($C1510,'Policy Characteristics'!$C:$C,0)))</f>
        <v>0</v>
      </c>
      <c r="M1510" s="275">
        <f>IF(ISBLANK(INDEX('Policy Characteristics'!G:G,MATCH($C1510,'Policy Characteristics'!$C:$C,0))),"",INDEX('Policy Characteristics'!G:G,MATCH($C1510,'Policy Characteristics'!$C:$C,0)))</f>
        <v>10</v>
      </c>
      <c r="N1510" s="275">
        <f>IF(ISBLANK(INDEX('Policy Characteristics'!H:H,MATCH($C1510,'Policy Characteristics'!$C:$C,0))),"",INDEX('Policy Characteristics'!H:H,MATCH($C1510,'Policy Characteristics'!$C:$C,0)))</f>
        <v>1</v>
      </c>
      <c r="O1510" s="275" t="str">
        <f>IF(ISBLANK(INDEX('Policy Characteristics'!I:I,MATCH($C1510,'Policy Characteristics'!$C:$C,0))),"",INDEX('Policy Characteristics'!I:I,MATCH($C1510,'Policy Characteristics'!$C:$C,0)))</f>
        <v>weight</v>
      </c>
      <c r="P1510" s="275" t="str">
        <f>IF(ISBLANK(INDEX('Policy Characteristics'!J:J,MATCH($C1510,'Policy Characteristics'!$C:$C,0))),"",INDEX('Policy Characteristics'!J:J,MATCH($C1510,'Policy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0" s="275" t="str">
        <f>IF(ISBLANK(INDEX('Policy Characteristics'!K:K,MATCH($C1510,'Policy Characteristics'!$C:$C,0))),"",INDEX('Policy Characteristics'!K:K,MATCH($C1510,'Policy Characteristics'!$C:$C,0)))</f>
        <v>io-model.html</v>
      </c>
      <c r="R1510" s="275" t="str">
        <f>IF(ISBLANK(INDEX('Policy Characteristics'!L:L,MATCH($C1510,'Policy Characteristics'!$C:$C,0))),"",INDEX('Policy Characteristics'!L:L,MATCH($C1510,'Policy Characteristics'!$C:$C,0)))</f>
        <v/>
      </c>
    </row>
    <row r="1511" spans="1:18" x14ac:dyDescent="0.25">
      <c r="A1511" s="275" t="str">
        <f>IF(ISBLANK(INDEX('Policy Characteristics'!A:A,MATCH($C1511,'Policy Characteristics'!$C:$C,0))),"",INDEX('Policy Characteristics'!A:A,MATCH($C1511,'Policy Characteristics'!$C:$C,0)))</f>
        <v>Government Revenue Accounting</v>
      </c>
      <c r="B1511" s="284" t="str">
        <f>IF(ISBLANK(INDEX('Policy Characteristics'!B:B,MATCH($C1511,'Policy Characteristics'!$C:$C,0))),"",INDEX('Policy Characteristics'!B:B,MATCH($C1511,'Policy Characteristics'!$C:$C,0)))</f>
        <v>Electricity Capacity Construction Subsidy</v>
      </c>
      <c r="C1511" s="275" t="str">
        <f t="shared" ref="C1511:C1514" si="80">C$1510</f>
        <v>GRA for Electricity Capacity Construction Subsidies</v>
      </c>
      <c r="D1511" s="1" t="s">
        <v>2968</v>
      </c>
      <c r="F1511" s="1" t="s">
        <v>2984</v>
      </c>
      <c r="H1511" s="44">
        <v>566</v>
      </c>
      <c r="I1511" s="348" t="str">
        <f t="shared" ref="I1511:I1514" si="81">I$1510</f>
        <v>Yes</v>
      </c>
      <c r="J1511" s="276" t="str">
        <f>IF(ISBLANK(INDEX('Policy Characteristics'!D:D,MATCH($C1511,'Policy Characteristics'!$C:$C,0))),"",INDEX('Policy Characteristics'!D:D,MATCH($C1511,'Policy Characteristics'!$C:$C,0)))</f>
        <v/>
      </c>
      <c r="K1511" s="275" t="str">
        <f>IF(ISBLANK(INDEX('Policy Characteristics'!E:E,MATCH($C1511,'Policy Characteristics'!$C:$C,0))),"",INDEX('Policy Characteristics'!E:E,MATCH($C1511,'Policy Characteristics'!$C:$C,0)))</f>
        <v>GRA elec cap const subsidy</v>
      </c>
      <c r="L1511" s="275">
        <f>IF(ISBLANK(INDEX('Policy Characteristics'!F:F,MATCH($C1511,'Policy Characteristics'!$C:$C,0))),"",INDEX('Policy Characteristics'!F:F,MATCH($C1511,'Policy Characteristics'!$C:$C,0)))</f>
        <v>0</v>
      </c>
      <c r="M1511" s="275">
        <f>IF(ISBLANK(INDEX('Policy Characteristics'!G:G,MATCH($C1511,'Policy Characteristics'!$C:$C,0))),"",INDEX('Policy Characteristics'!G:G,MATCH($C1511,'Policy Characteristics'!$C:$C,0)))</f>
        <v>10</v>
      </c>
      <c r="N1511" s="275">
        <f>IF(ISBLANK(INDEX('Policy Characteristics'!H:H,MATCH($C1511,'Policy Characteristics'!$C:$C,0))),"",INDEX('Policy Characteristics'!H:H,MATCH($C1511,'Policy Characteristics'!$C:$C,0)))</f>
        <v>1</v>
      </c>
      <c r="O1511" s="275" t="str">
        <f>IF(ISBLANK(INDEX('Policy Characteristics'!I:I,MATCH($C1511,'Policy Characteristics'!$C:$C,0))),"",INDEX('Policy Characteristics'!I:I,MATCH($C1511,'Policy Characteristics'!$C:$C,0)))</f>
        <v>weight</v>
      </c>
      <c r="P1511" s="275" t="str">
        <f>IF(ISBLANK(INDEX('Policy Characteristics'!J:J,MATCH($C1511,'Policy Characteristics'!$C:$C,0))),"",INDEX('Policy Characteristics'!J:J,MATCH($C1511,'Policy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1" s="275" t="str">
        <f>IF(ISBLANK(INDEX('Policy Characteristics'!K:K,MATCH($C1511,'Policy Characteristics'!$C:$C,0))),"",INDEX('Policy Characteristics'!K:K,MATCH($C1511,'Policy Characteristics'!$C:$C,0)))</f>
        <v>io-model.html</v>
      </c>
      <c r="R1511" s="275" t="str">
        <f>IF(ISBLANK(INDEX('Policy Characteristics'!L:L,MATCH($C1511,'Policy Characteristics'!$C:$C,0))),"",INDEX('Policy Characteristics'!L:L,MATCH($C1511,'Policy Characteristics'!$C:$C,0)))</f>
        <v/>
      </c>
    </row>
    <row r="1512" spans="1:18" x14ac:dyDescent="0.25">
      <c r="A1512" s="275" t="str">
        <f>IF(ISBLANK(INDEX('Policy Characteristics'!A:A,MATCH($C1512,'Policy Characteristics'!$C:$C,0))),"",INDEX('Policy Characteristics'!A:A,MATCH($C1512,'Policy Characteristics'!$C:$C,0)))</f>
        <v>Government Revenue Accounting</v>
      </c>
      <c r="B1512" s="284" t="str">
        <f>IF(ISBLANK(INDEX('Policy Characteristics'!B:B,MATCH($C1512,'Policy Characteristics'!$C:$C,0))),"",INDEX('Policy Characteristics'!B:B,MATCH($C1512,'Policy Characteristics'!$C:$C,0)))</f>
        <v>Electricity Capacity Construction Subsidy</v>
      </c>
      <c r="C1512" s="275" t="str">
        <f t="shared" si="80"/>
        <v>GRA for Electricity Capacity Construction Subsidies</v>
      </c>
      <c r="D1512" s="1" t="s">
        <v>2969</v>
      </c>
      <c r="F1512" s="1" t="s">
        <v>2973</v>
      </c>
      <c r="H1512" s="44">
        <v>567</v>
      </c>
      <c r="I1512" s="348" t="str">
        <f t="shared" si="81"/>
        <v>Yes</v>
      </c>
      <c r="J1512" s="276" t="str">
        <f>IF(ISBLANK(INDEX('Policy Characteristics'!D:D,MATCH($C1512,'Policy Characteristics'!$C:$C,0))),"",INDEX('Policy Characteristics'!D:D,MATCH($C1512,'Policy Characteristics'!$C:$C,0)))</f>
        <v/>
      </c>
      <c r="K1512" s="275" t="str">
        <f>IF(ISBLANK(INDEX('Policy Characteristics'!E:E,MATCH($C1512,'Policy Characteristics'!$C:$C,0))),"",INDEX('Policy Characteristics'!E:E,MATCH($C1512,'Policy Characteristics'!$C:$C,0)))</f>
        <v>GRA elec cap const subsidy</v>
      </c>
      <c r="L1512" s="275">
        <f>IF(ISBLANK(INDEX('Policy Characteristics'!F:F,MATCH($C1512,'Policy Characteristics'!$C:$C,0))),"",INDEX('Policy Characteristics'!F:F,MATCH($C1512,'Policy Characteristics'!$C:$C,0)))</f>
        <v>0</v>
      </c>
      <c r="M1512" s="275">
        <f>IF(ISBLANK(INDEX('Policy Characteristics'!G:G,MATCH($C1512,'Policy Characteristics'!$C:$C,0))),"",INDEX('Policy Characteristics'!G:G,MATCH($C1512,'Policy Characteristics'!$C:$C,0)))</f>
        <v>10</v>
      </c>
      <c r="N1512" s="275">
        <f>IF(ISBLANK(INDEX('Policy Characteristics'!H:H,MATCH($C1512,'Policy Characteristics'!$C:$C,0))),"",INDEX('Policy Characteristics'!H:H,MATCH($C1512,'Policy Characteristics'!$C:$C,0)))</f>
        <v>1</v>
      </c>
      <c r="O1512" s="275" t="str">
        <f>IF(ISBLANK(INDEX('Policy Characteristics'!I:I,MATCH($C1512,'Policy Characteristics'!$C:$C,0))),"",INDEX('Policy Characteristics'!I:I,MATCH($C1512,'Policy Characteristics'!$C:$C,0)))</f>
        <v>weight</v>
      </c>
      <c r="P1512" s="275" t="str">
        <f>IF(ISBLANK(INDEX('Policy Characteristics'!J:J,MATCH($C1512,'Policy Characteristics'!$C:$C,0))),"",INDEX('Policy Characteristics'!J:J,MATCH($C1512,'Policy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2" s="275" t="str">
        <f>IF(ISBLANK(INDEX('Policy Characteristics'!K:K,MATCH($C1512,'Policy Characteristics'!$C:$C,0))),"",INDEX('Policy Characteristics'!K:K,MATCH($C1512,'Policy Characteristics'!$C:$C,0)))</f>
        <v>io-model.html</v>
      </c>
      <c r="R1512" s="275" t="str">
        <f>IF(ISBLANK(INDEX('Policy Characteristics'!L:L,MATCH($C1512,'Policy Characteristics'!$C:$C,0))),"",INDEX('Policy Characteristics'!L:L,MATCH($C1512,'Policy Characteristics'!$C:$C,0)))</f>
        <v/>
      </c>
    </row>
    <row r="1513" spans="1:18" x14ac:dyDescent="0.25">
      <c r="A1513" s="275" t="str">
        <f>IF(ISBLANK(INDEX('Policy Characteristics'!A:A,MATCH($C1513,'Policy Characteristics'!$C:$C,0))),"",INDEX('Policy Characteristics'!A:A,MATCH($C1513,'Policy Characteristics'!$C:$C,0)))</f>
        <v>Government Revenue Accounting</v>
      </c>
      <c r="B1513" s="284" t="str">
        <f>IF(ISBLANK(INDEX('Policy Characteristics'!B:B,MATCH($C1513,'Policy Characteristics'!$C:$C,0))),"",INDEX('Policy Characteristics'!B:B,MATCH($C1513,'Policy Characteristics'!$C:$C,0)))</f>
        <v>Electricity Capacity Construction Subsidy</v>
      </c>
      <c r="C1513" s="275" t="str">
        <f t="shared" si="80"/>
        <v>GRA for Electricity Capacity Construction Subsidies</v>
      </c>
      <c r="D1513" s="1" t="s">
        <v>2970</v>
      </c>
      <c r="F1513" s="1" t="s">
        <v>2974</v>
      </c>
      <c r="H1513" s="44">
        <v>568</v>
      </c>
      <c r="I1513" s="348" t="str">
        <f t="shared" si="81"/>
        <v>Yes</v>
      </c>
      <c r="J1513" s="276" t="str">
        <f>IF(ISBLANK(INDEX('Policy Characteristics'!D:D,MATCH($C1513,'Policy Characteristics'!$C:$C,0))),"",INDEX('Policy Characteristics'!D:D,MATCH($C1513,'Policy Characteristics'!$C:$C,0)))</f>
        <v/>
      </c>
      <c r="K1513" s="275" t="str">
        <f>IF(ISBLANK(INDEX('Policy Characteristics'!E:E,MATCH($C1513,'Policy Characteristics'!$C:$C,0))),"",INDEX('Policy Characteristics'!E:E,MATCH($C1513,'Policy Characteristics'!$C:$C,0)))</f>
        <v>GRA elec cap const subsidy</v>
      </c>
      <c r="L1513" s="275">
        <f>IF(ISBLANK(INDEX('Policy Characteristics'!F:F,MATCH($C1513,'Policy Characteristics'!$C:$C,0))),"",INDEX('Policy Characteristics'!F:F,MATCH($C1513,'Policy Characteristics'!$C:$C,0)))</f>
        <v>0</v>
      </c>
      <c r="M1513" s="275">
        <f>IF(ISBLANK(INDEX('Policy Characteristics'!G:G,MATCH($C1513,'Policy Characteristics'!$C:$C,0))),"",INDEX('Policy Characteristics'!G:G,MATCH($C1513,'Policy Characteristics'!$C:$C,0)))</f>
        <v>10</v>
      </c>
      <c r="N1513" s="275">
        <f>IF(ISBLANK(INDEX('Policy Characteristics'!H:H,MATCH($C1513,'Policy Characteristics'!$C:$C,0))),"",INDEX('Policy Characteristics'!H:H,MATCH($C1513,'Policy Characteristics'!$C:$C,0)))</f>
        <v>1</v>
      </c>
      <c r="O1513" s="275" t="str">
        <f>IF(ISBLANK(INDEX('Policy Characteristics'!I:I,MATCH($C1513,'Policy Characteristics'!$C:$C,0))),"",INDEX('Policy Characteristics'!I:I,MATCH($C1513,'Policy Characteristics'!$C:$C,0)))</f>
        <v>weight</v>
      </c>
      <c r="P1513" s="275" t="str">
        <f>IF(ISBLANK(INDEX('Policy Characteristics'!J:J,MATCH($C1513,'Policy Characteristics'!$C:$C,0))),"",INDEX('Policy Characteristics'!J:J,MATCH($C1513,'Policy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3" s="275" t="str">
        <f>IF(ISBLANK(INDEX('Policy Characteristics'!K:K,MATCH($C1513,'Policy Characteristics'!$C:$C,0))),"",INDEX('Policy Characteristics'!K:K,MATCH($C1513,'Policy Characteristics'!$C:$C,0)))</f>
        <v>io-model.html</v>
      </c>
      <c r="R1513" s="275" t="str">
        <f>IF(ISBLANK(INDEX('Policy Characteristics'!L:L,MATCH($C1513,'Policy Characteristics'!$C:$C,0))),"",INDEX('Policy Characteristics'!L:L,MATCH($C1513,'Policy Characteristics'!$C:$C,0)))</f>
        <v/>
      </c>
    </row>
    <row r="1514" spans="1:18" x14ac:dyDescent="0.25">
      <c r="A1514" s="275" t="str">
        <f>IF(ISBLANK(INDEX('Policy Characteristics'!A:A,MATCH($C1514,'Policy Characteristics'!$C:$C,0))),"",INDEX('Policy Characteristics'!A:A,MATCH($C1514,'Policy Characteristics'!$C:$C,0)))</f>
        <v>Government Revenue Accounting</v>
      </c>
      <c r="B1514" s="284" t="str">
        <f>IF(ISBLANK(INDEX('Policy Characteristics'!B:B,MATCH($C1514,'Policy Characteristics'!$C:$C,0))),"",INDEX('Policy Characteristics'!B:B,MATCH($C1514,'Policy Characteristics'!$C:$C,0)))</f>
        <v>Electricity Capacity Construction Subsidy</v>
      </c>
      <c r="C1514" s="275" t="str">
        <f t="shared" si="80"/>
        <v>GRA for Electricity Capacity Construction Subsidies</v>
      </c>
      <c r="D1514" s="1" t="s">
        <v>2971</v>
      </c>
      <c r="F1514" s="1" t="s">
        <v>2975</v>
      </c>
      <c r="H1514" s="44">
        <v>569</v>
      </c>
      <c r="I1514" s="348" t="str">
        <f t="shared" si="81"/>
        <v>Yes</v>
      </c>
      <c r="J1514" s="276" t="str">
        <f>IF(ISBLANK(INDEX('Policy Characteristics'!D:D,MATCH($C1514,'Policy Characteristics'!$C:$C,0))),"",INDEX('Policy Characteristics'!D:D,MATCH($C1514,'Policy Characteristics'!$C:$C,0)))</f>
        <v/>
      </c>
      <c r="K1514" s="275" t="str">
        <f>IF(ISBLANK(INDEX('Policy Characteristics'!E:E,MATCH($C1514,'Policy Characteristics'!$C:$C,0))),"",INDEX('Policy Characteristics'!E:E,MATCH($C1514,'Policy Characteristics'!$C:$C,0)))</f>
        <v>GRA elec cap const subsidy</v>
      </c>
      <c r="L1514" s="275">
        <f>IF(ISBLANK(INDEX('Policy Characteristics'!F:F,MATCH($C1514,'Policy Characteristics'!$C:$C,0))),"",INDEX('Policy Characteristics'!F:F,MATCH($C1514,'Policy Characteristics'!$C:$C,0)))</f>
        <v>0</v>
      </c>
      <c r="M1514" s="275">
        <f>IF(ISBLANK(INDEX('Policy Characteristics'!G:G,MATCH($C1514,'Policy Characteristics'!$C:$C,0))),"",INDEX('Policy Characteristics'!G:G,MATCH($C1514,'Policy Characteristics'!$C:$C,0)))</f>
        <v>10</v>
      </c>
      <c r="N1514" s="275">
        <f>IF(ISBLANK(INDEX('Policy Characteristics'!H:H,MATCH($C1514,'Policy Characteristics'!$C:$C,0))),"",INDEX('Policy Characteristics'!H:H,MATCH($C1514,'Policy Characteristics'!$C:$C,0)))</f>
        <v>1</v>
      </c>
      <c r="O1514" s="275" t="str">
        <f>IF(ISBLANK(INDEX('Policy Characteristics'!I:I,MATCH($C1514,'Policy Characteristics'!$C:$C,0))),"",INDEX('Policy Characteristics'!I:I,MATCH($C1514,'Policy Characteristics'!$C:$C,0)))</f>
        <v>weight</v>
      </c>
      <c r="P1514" s="275" t="str">
        <f>IF(ISBLANK(INDEX('Policy Characteristics'!J:J,MATCH($C1514,'Policy Characteristics'!$C:$C,0))),"",INDEX('Policy Characteristics'!J:J,MATCH($C1514,'Policy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4" s="275" t="str">
        <f>IF(ISBLANK(INDEX('Policy Characteristics'!K:K,MATCH($C1514,'Policy Characteristics'!$C:$C,0))),"",INDEX('Policy Characteristics'!K:K,MATCH($C1514,'Policy Characteristics'!$C:$C,0)))</f>
        <v>io-model.html</v>
      </c>
      <c r="R1514" s="275" t="str">
        <f>IF(ISBLANK(INDEX('Policy Characteristics'!L:L,MATCH($C1514,'Policy Characteristics'!$C:$C,0))),"",INDEX('Policy Characteristics'!L:L,MATCH($C1514,'Policy Characteristics'!$C:$C,0)))</f>
        <v/>
      </c>
    </row>
    <row r="1515" spans="1:18" x14ac:dyDescent="0.25">
      <c r="A1515" s="275" t="str">
        <f>IF(ISBLANK(INDEX('Policy Characteristics'!A:A,MATCH($C1515,'Policy Characteristics'!$C:$C,0))),"",INDEX('Policy Characteristics'!A:A,MATCH($C1515,'Policy Characteristics'!$C:$C,0)))</f>
        <v>Government Revenue Accounting</v>
      </c>
      <c r="B1515" s="284" t="str">
        <f>IF(ISBLANK(INDEX('Policy Characteristics'!B:B,MATCH($C1515,'Policy Characteristics'!$C:$C,0))),"",INDEX('Policy Characteristics'!B:B,MATCH($C1515,'Policy Characteristics'!$C:$C,0)))</f>
        <v>Distributed Solar Subsidy</v>
      </c>
      <c r="C1515" t="s">
        <v>2963</v>
      </c>
      <c r="D1515" s="1" t="s">
        <v>2967</v>
      </c>
      <c r="F1515" s="1" t="s">
        <v>2972</v>
      </c>
      <c r="H1515" s="44">
        <v>570</v>
      </c>
      <c r="I1515" s="344" t="s">
        <v>43</v>
      </c>
      <c r="J1515" s="276" t="str">
        <f>IF(ISBLANK(INDEX('Policy Characteristics'!D:D,MATCH($C1515,'Policy Characteristics'!$C:$C,0))),"",INDEX('Policy Characteristics'!D:D,MATCH($C1515,'Policy Characteristics'!$C:$C,0)))</f>
        <v/>
      </c>
      <c r="K1515" s="275" t="str">
        <f>IF(ISBLANK(INDEX('Policy Characteristics'!E:E,MATCH($C1515,'Policy Characteristics'!$C:$C,0))),"",INDEX('Policy Characteristics'!E:E,MATCH($C1515,'Policy Characteristics'!$C:$C,0)))</f>
        <v>GRA dist solar subsidy</v>
      </c>
      <c r="L1515" s="275">
        <f>IF(ISBLANK(INDEX('Policy Characteristics'!F:F,MATCH($C1515,'Policy Characteristics'!$C:$C,0))),"",INDEX('Policy Characteristics'!F:F,MATCH($C1515,'Policy Characteristics'!$C:$C,0)))</f>
        <v>0</v>
      </c>
      <c r="M1515" s="275">
        <f>IF(ISBLANK(INDEX('Policy Characteristics'!G:G,MATCH($C1515,'Policy Characteristics'!$C:$C,0))),"",INDEX('Policy Characteristics'!G:G,MATCH($C1515,'Policy Characteristics'!$C:$C,0)))</f>
        <v>10</v>
      </c>
      <c r="N1515" s="275">
        <f>IF(ISBLANK(INDEX('Policy Characteristics'!H:H,MATCH($C1515,'Policy Characteristics'!$C:$C,0))),"",INDEX('Policy Characteristics'!H:H,MATCH($C1515,'Policy Characteristics'!$C:$C,0)))</f>
        <v>1</v>
      </c>
      <c r="O1515" s="275" t="str">
        <f>IF(ISBLANK(INDEX('Policy Characteristics'!I:I,MATCH($C1515,'Policy Characteristics'!$C:$C,0))),"",INDEX('Policy Characteristics'!I:I,MATCH($C1515,'Policy Characteristics'!$C:$C,0)))</f>
        <v>weight</v>
      </c>
      <c r="P1515" s="275" t="str">
        <f>IF(ISBLANK(INDEX('Policy Characteristics'!J:J,MATCH($C1515,'Policy Characteristics'!$C:$C,0))),"",INDEX('Policy Characteristics'!J:J,MATCH($C1515,'Policy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5" s="275" t="str">
        <f>IF(ISBLANK(INDEX('Policy Characteristics'!K:K,MATCH($C1515,'Policy Characteristics'!$C:$C,0))),"",INDEX('Policy Characteristics'!K:K,MATCH($C1515,'Policy Characteristics'!$C:$C,0)))</f>
        <v>io-model.html</v>
      </c>
      <c r="R1515" s="275" t="str">
        <f>IF(ISBLANK(INDEX('Policy Characteristics'!L:L,MATCH($C1515,'Policy Characteristics'!$C:$C,0))),"",INDEX('Policy Characteristics'!L:L,MATCH($C1515,'Policy Characteristics'!$C:$C,0)))</f>
        <v/>
      </c>
    </row>
    <row r="1516" spans="1:18" x14ac:dyDescent="0.25">
      <c r="A1516" s="275" t="str">
        <f>IF(ISBLANK(INDEX('Policy Characteristics'!A:A,MATCH($C1516,'Policy Characteristics'!$C:$C,0))),"",INDEX('Policy Characteristics'!A:A,MATCH($C1516,'Policy Characteristics'!$C:$C,0)))</f>
        <v>Government Revenue Accounting</v>
      </c>
      <c r="B1516" s="284" t="str">
        <f>IF(ISBLANK(INDEX('Policy Characteristics'!B:B,MATCH($C1516,'Policy Characteristics'!$C:$C,0))),"",INDEX('Policy Characteristics'!B:B,MATCH($C1516,'Policy Characteristics'!$C:$C,0)))</f>
        <v>Distributed Solar Subsidy</v>
      </c>
      <c r="C1516" s="275" t="str">
        <f t="shared" ref="C1516:C1519" si="82">C$1515</f>
        <v>GRA for Distributed Solar Subsidy</v>
      </c>
      <c r="D1516" s="1" t="s">
        <v>2968</v>
      </c>
      <c r="F1516" s="1" t="s">
        <v>2984</v>
      </c>
      <c r="H1516" s="44">
        <v>571</v>
      </c>
      <c r="I1516" s="348" t="str">
        <f t="shared" ref="I1516:I1519" si="83">I$1515</f>
        <v>Yes</v>
      </c>
      <c r="J1516" s="276" t="str">
        <f>IF(ISBLANK(INDEX('Policy Characteristics'!D:D,MATCH($C1516,'Policy Characteristics'!$C:$C,0))),"",INDEX('Policy Characteristics'!D:D,MATCH($C1516,'Policy Characteristics'!$C:$C,0)))</f>
        <v/>
      </c>
      <c r="K1516" s="275" t="str">
        <f>IF(ISBLANK(INDEX('Policy Characteristics'!E:E,MATCH($C1516,'Policy Characteristics'!$C:$C,0))),"",INDEX('Policy Characteristics'!E:E,MATCH($C1516,'Policy Characteristics'!$C:$C,0)))</f>
        <v>GRA dist solar subsidy</v>
      </c>
      <c r="L1516" s="275">
        <f>IF(ISBLANK(INDEX('Policy Characteristics'!F:F,MATCH($C1516,'Policy Characteristics'!$C:$C,0))),"",INDEX('Policy Characteristics'!F:F,MATCH($C1516,'Policy Characteristics'!$C:$C,0)))</f>
        <v>0</v>
      </c>
      <c r="M1516" s="275">
        <f>IF(ISBLANK(INDEX('Policy Characteristics'!G:G,MATCH($C1516,'Policy Characteristics'!$C:$C,0))),"",INDEX('Policy Characteristics'!G:G,MATCH($C1516,'Policy Characteristics'!$C:$C,0)))</f>
        <v>10</v>
      </c>
      <c r="N1516" s="275">
        <f>IF(ISBLANK(INDEX('Policy Characteristics'!H:H,MATCH($C1516,'Policy Characteristics'!$C:$C,0))),"",INDEX('Policy Characteristics'!H:H,MATCH($C1516,'Policy Characteristics'!$C:$C,0)))</f>
        <v>1</v>
      </c>
      <c r="O1516" s="275" t="str">
        <f>IF(ISBLANK(INDEX('Policy Characteristics'!I:I,MATCH($C1516,'Policy Characteristics'!$C:$C,0))),"",INDEX('Policy Characteristics'!I:I,MATCH($C1516,'Policy Characteristics'!$C:$C,0)))</f>
        <v>weight</v>
      </c>
      <c r="P1516" s="275" t="str">
        <f>IF(ISBLANK(INDEX('Policy Characteristics'!J:J,MATCH($C1516,'Policy Characteristics'!$C:$C,0))),"",INDEX('Policy Characteristics'!J:J,MATCH($C1516,'Policy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6" s="275" t="str">
        <f>IF(ISBLANK(INDEX('Policy Characteristics'!K:K,MATCH($C1516,'Policy Characteristics'!$C:$C,0))),"",INDEX('Policy Characteristics'!K:K,MATCH($C1516,'Policy Characteristics'!$C:$C,0)))</f>
        <v>io-model.html</v>
      </c>
      <c r="R1516" s="275" t="str">
        <f>IF(ISBLANK(INDEX('Policy Characteristics'!L:L,MATCH($C1516,'Policy Characteristics'!$C:$C,0))),"",INDEX('Policy Characteristics'!L:L,MATCH($C1516,'Policy Characteristics'!$C:$C,0)))</f>
        <v/>
      </c>
    </row>
    <row r="1517" spans="1:18" x14ac:dyDescent="0.25">
      <c r="A1517" s="275" t="str">
        <f>IF(ISBLANK(INDEX('Policy Characteristics'!A:A,MATCH($C1517,'Policy Characteristics'!$C:$C,0))),"",INDEX('Policy Characteristics'!A:A,MATCH($C1517,'Policy Characteristics'!$C:$C,0)))</f>
        <v>Government Revenue Accounting</v>
      </c>
      <c r="B1517" s="284" t="str">
        <f>IF(ISBLANK(INDEX('Policy Characteristics'!B:B,MATCH($C1517,'Policy Characteristics'!$C:$C,0))),"",INDEX('Policy Characteristics'!B:B,MATCH($C1517,'Policy Characteristics'!$C:$C,0)))</f>
        <v>Distributed Solar Subsidy</v>
      </c>
      <c r="C1517" s="275" t="str">
        <f t="shared" si="82"/>
        <v>GRA for Distributed Solar Subsidy</v>
      </c>
      <c r="D1517" s="1" t="s">
        <v>2969</v>
      </c>
      <c r="F1517" s="1" t="s">
        <v>2973</v>
      </c>
      <c r="H1517" s="44">
        <v>572</v>
      </c>
      <c r="I1517" s="348" t="str">
        <f t="shared" si="83"/>
        <v>Yes</v>
      </c>
      <c r="J1517" s="276" t="str">
        <f>IF(ISBLANK(INDEX('Policy Characteristics'!D:D,MATCH($C1517,'Policy Characteristics'!$C:$C,0))),"",INDEX('Policy Characteristics'!D:D,MATCH($C1517,'Policy Characteristics'!$C:$C,0)))</f>
        <v/>
      </c>
      <c r="K1517" s="275" t="str">
        <f>IF(ISBLANK(INDEX('Policy Characteristics'!E:E,MATCH($C1517,'Policy Characteristics'!$C:$C,0))),"",INDEX('Policy Characteristics'!E:E,MATCH($C1517,'Policy Characteristics'!$C:$C,0)))</f>
        <v>GRA dist solar subsidy</v>
      </c>
      <c r="L1517" s="275">
        <f>IF(ISBLANK(INDEX('Policy Characteristics'!F:F,MATCH($C1517,'Policy Characteristics'!$C:$C,0))),"",INDEX('Policy Characteristics'!F:F,MATCH($C1517,'Policy Characteristics'!$C:$C,0)))</f>
        <v>0</v>
      </c>
      <c r="M1517" s="275">
        <f>IF(ISBLANK(INDEX('Policy Characteristics'!G:G,MATCH($C1517,'Policy Characteristics'!$C:$C,0))),"",INDEX('Policy Characteristics'!G:G,MATCH($C1517,'Policy Characteristics'!$C:$C,0)))</f>
        <v>10</v>
      </c>
      <c r="N1517" s="275">
        <f>IF(ISBLANK(INDEX('Policy Characteristics'!H:H,MATCH($C1517,'Policy Characteristics'!$C:$C,0))),"",INDEX('Policy Characteristics'!H:H,MATCH($C1517,'Policy Characteristics'!$C:$C,0)))</f>
        <v>1</v>
      </c>
      <c r="O1517" s="275" t="str">
        <f>IF(ISBLANK(INDEX('Policy Characteristics'!I:I,MATCH($C1517,'Policy Characteristics'!$C:$C,0))),"",INDEX('Policy Characteristics'!I:I,MATCH($C1517,'Policy Characteristics'!$C:$C,0)))</f>
        <v>weight</v>
      </c>
      <c r="P1517" s="275" t="str">
        <f>IF(ISBLANK(INDEX('Policy Characteristics'!J:J,MATCH($C1517,'Policy Characteristics'!$C:$C,0))),"",INDEX('Policy Characteristics'!J:J,MATCH($C1517,'Policy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7" s="275" t="str">
        <f>IF(ISBLANK(INDEX('Policy Characteristics'!K:K,MATCH($C1517,'Policy Characteristics'!$C:$C,0))),"",INDEX('Policy Characteristics'!K:K,MATCH($C1517,'Policy Characteristics'!$C:$C,0)))</f>
        <v>io-model.html</v>
      </c>
      <c r="R1517" s="275" t="str">
        <f>IF(ISBLANK(INDEX('Policy Characteristics'!L:L,MATCH($C1517,'Policy Characteristics'!$C:$C,0))),"",INDEX('Policy Characteristics'!L:L,MATCH($C1517,'Policy Characteristics'!$C:$C,0)))</f>
        <v/>
      </c>
    </row>
    <row r="1518" spans="1:18" x14ac:dyDescent="0.25">
      <c r="A1518" s="275" t="str">
        <f>IF(ISBLANK(INDEX('Policy Characteristics'!A:A,MATCH($C1518,'Policy Characteristics'!$C:$C,0))),"",INDEX('Policy Characteristics'!A:A,MATCH($C1518,'Policy Characteristics'!$C:$C,0)))</f>
        <v>Government Revenue Accounting</v>
      </c>
      <c r="B1518" s="284" t="str">
        <f>IF(ISBLANK(INDEX('Policy Characteristics'!B:B,MATCH($C1518,'Policy Characteristics'!$C:$C,0))),"",INDEX('Policy Characteristics'!B:B,MATCH($C1518,'Policy Characteristics'!$C:$C,0)))</f>
        <v>Distributed Solar Subsidy</v>
      </c>
      <c r="C1518" s="275" t="str">
        <f t="shared" si="82"/>
        <v>GRA for Distributed Solar Subsidy</v>
      </c>
      <c r="D1518" s="1" t="s">
        <v>2970</v>
      </c>
      <c r="F1518" s="1" t="s">
        <v>2974</v>
      </c>
      <c r="H1518" s="44">
        <v>573</v>
      </c>
      <c r="I1518" s="348" t="str">
        <f t="shared" si="83"/>
        <v>Yes</v>
      </c>
      <c r="J1518" s="276" t="str">
        <f>IF(ISBLANK(INDEX('Policy Characteristics'!D:D,MATCH($C1518,'Policy Characteristics'!$C:$C,0))),"",INDEX('Policy Characteristics'!D:D,MATCH($C1518,'Policy Characteristics'!$C:$C,0)))</f>
        <v/>
      </c>
      <c r="K1518" s="275" t="str">
        <f>IF(ISBLANK(INDEX('Policy Characteristics'!E:E,MATCH($C1518,'Policy Characteristics'!$C:$C,0))),"",INDEX('Policy Characteristics'!E:E,MATCH($C1518,'Policy Characteristics'!$C:$C,0)))</f>
        <v>GRA dist solar subsidy</v>
      </c>
      <c r="L1518" s="275">
        <f>IF(ISBLANK(INDEX('Policy Characteristics'!F:F,MATCH($C1518,'Policy Characteristics'!$C:$C,0))),"",INDEX('Policy Characteristics'!F:F,MATCH($C1518,'Policy Characteristics'!$C:$C,0)))</f>
        <v>0</v>
      </c>
      <c r="M1518" s="275">
        <f>IF(ISBLANK(INDEX('Policy Characteristics'!G:G,MATCH($C1518,'Policy Characteristics'!$C:$C,0))),"",INDEX('Policy Characteristics'!G:G,MATCH($C1518,'Policy Characteristics'!$C:$C,0)))</f>
        <v>10</v>
      </c>
      <c r="N1518" s="275">
        <f>IF(ISBLANK(INDEX('Policy Characteristics'!H:H,MATCH($C1518,'Policy Characteristics'!$C:$C,0))),"",INDEX('Policy Characteristics'!H:H,MATCH($C1518,'Policy Characteristics'!$C:$C,0)))</f>
        <v>1</v>
      </c>
      <c r="O1518" s="275" t="str">
        <f>IF(ISBLANK(INDEX('Policy Characteristics'!I:I,MATCH($C1518,'Policy Characteristics'!$C:$C,0))),"",INDEX('Policy Characteristics'!I:I,MATCH($C1518,'Policy Characteristics'!$C:$C,0)))</f>
        <v>weight</v>
      </c>
      <c r="P1518" s="275" t="str">
        <f>IF(ISBLANK(INDEX('Policy Characteristics'!J:J,MATCH($C1518,'Policy Characteristics'!$C:$C,0))),"",INDEX('Policy Characteristics'!J:J,MATCH($C1518,'Policy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8" s="275" t="str">
        <f>IF(ISBLANK(INDEX('Policy Characteristics'!K:K,MATCH($C1518,'Policy Characteristics'!$C:$C,0))),"",INDEX('Policy Characteristics'!K:K,MATCH($C1518,'Policy Characteristics'!$C:$C,0)))</f>
        <v>io-model.html</v>
      </c>
      <c r="R1518" s="275" t="str">
        <f>IF(ISBLANK(INDEX('Policy Characteristics'!L:L,MATCH($C1518,'Policy Characteristics'!$C:$C,0))),"",INDEX('Policy Characteristics'!L:L,MATCH($C1518,'Policy Characteristics'!$C:$C,0)))</f>
        <v/>
      </c>
    </row>
    <row r="1519" spans="1:18" x14ac:dyDescent="0.25">
      <c r="A1519" s="275" t="str">
        <f>IF(ISBLANK(INDEX('Policy Characteristics'!A:A,MATCH($C1519,'Policy Characteristics'!$C:$C,0))),"",INDEX('Policy Characteristics'!A:A,MATCH($C1519,'Policy Characteristics'!$C:$C,0)))</f>
        <v>Government Revenue Accounting</v>
      </c>
      <c r="B1519" s="284" t="str">
        <f>IF(ISBLANK(INDEX('Policy Characteristics'!B:B,MATCH($C1519,'Policy Characteristics'!$C:$C,0))),"",INDEX('Policy Characteristics'!B:B,MATCH($C1519,'Policy Characteristics'!$C:$C,0)))</f>
        <v>Distributed Solar Subsidy</v>
      </c>
      <c r="C1519" s="275" t="str">
        <f t="shared" si="82"/>
        <v>GRA for Distributed Solar Subsidy</v>
      </c>
      <c r="D1519" s="1" t="s">
        <v>2971</v>
      </c>
      <c r="F1519" s="1" t="s">
        <v>2975</v>
      </c>
      <c r="H1519" s="44">
        <v>574</v>
      </c>
      <c r="I1519" s="348" t="str">
        <f t="shared" si="83"/>
        <v>Yes</v>
      </c>
      <c r="J1519" s="276" t="str">
        <f>IF(ISBLANK(INDEX('Policy Characteristics'!D:D,MATCH($C1519,'Policy Characteristics'!$C:$C,0))),"",INDEX('Policy Characteristics'!D:D,MATCH($C1519,'Policy Characteristics'!$C:$C,0)))</f>
        <v/>
      </c>
      <c r="K1519" s="275" t="str">
        <f>IF(ISBLANK(INDEX('Policy Characteristics'!E:E,MATCH($C1519,'Policy Characteristics'!$C:$C,0))),"",INDEX('Policy Characteristics'!E:E,MATCH($C1519,'Policy Characteristics'!$C:$C,0)))</f>
        <v>GRA dist solar subsidy</v>
      </c>
      <c r="L1519" s="275">
        <f>IF(ISBLANK(INDEX('Policy Characteristics'!F:F,MATCH($C1519,'Policy Characteristics'!$C:$C,0))),"",INDEX('Policy Characteristics'!F:F,MATCH($C1519,'Policy Characteristics'!$C:$C,0)))</f>
        <v>0</v>
      </c>
      <c r="M1519" s="275">
        <f>IF(ISBLANK(INDEX('Policy Characteristics'!G:G,MATCH($C1519,'Policy Characteristics'!$C:$C,0))),"",INDEX('Policy Characteristics'!G:G,MATCH($C1519,'Policy Characteristics'!$C:$C,0)))</f>
        <v>10</v>
      </c>
      <c r="N1519" s="275">
        <f>IF(ISBLANK(INDEX('Policy Characteristics'!H:H,MATCH($C1519,'Policy Characteristics'!$C:$C,0))),"",INDEX('Policy Characteristics'!H:H,MATCH($C1519,'Policy Characteristics'!$C:$C,0)))</f>
        <v>1</v>
      </c>
      <c r="O1519" s="275" t="str">
        <f>IF(ISBLANK(INDEX('Policy Characteristics'!I:I,MATCH($C1519,'Policy Characteristics'!$C:$C,0))),"",INDEX('Policy Characteristics'!I:I,MATCH($C1519,'Policy Characteristics'!$C:$C,0)))</f>
        <v>weight</v>
      </c>
      <c r="P1519" s="275" t="str">
        <f>IF(ISBLANK(INDEX('Policy Characteristics'!J:J,MATCH($C1519,'Policy Characteristics'!$C:$C,0))),"",INDEX('Policy Characteristics'!J:J,MATCH($C1519,'Policy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9" s="275" t="str">
        <f>IF(ISBLANK(INDEX('Policy Characteristics'!K:K,MATCH($C1519,'Policy Characteristics'!$C:$C,0))),"",INDEX('Policy Characteristics'!K:K,MATCH($C1519,'Policy Characteristics'!$C:$C,0)))</f>
        <v>io-model.html</v>
      </c>
      <c r="R1519" s="275" t="str">
        <f>IF(ISBLANK(INDEX('Policy Characteristics'!L:L,MATCH($C1519,'Policy Characteristics'!$C:$C,0))),"",INDEX('Policy Characteristics'!L:L,MATCH($C1519,'Policy Characteristics'!$C:$C,0)))</f>
        <v/>
      </c>
    </row>
    <row r="1520" spans="1:18" x14ac:dyDescent="0.25">
      <c r="A1520" s="275" t="str">
        <f>IF(ISBLANK(INDEX('Policy Characteristics'!A:A,MATCH($C1520,'Policy Characteristics'!$C:$C,0))),"",INDEX('Policy Characteristics'!A:A,MATCH($C1520,'Policy Characteristics'!$C:$C,0)))</f>
        <v>Government Revenue Accounting</v>
      </c>
      <c r="B1520" s="284" t="str">
        <f>IF(ISBLANK(INDEX('Policy Characteristics'!B:B,MATCH($C1520,'Policy Characteristics'!$C:$C,0))),"",INDEX('Policy Characteristics'!B:B,MATCH($C1520,'Policy Characteristics'!$C:$C,0)))</f>
        <v>Fuel Subsidy</v>
      </c>
      <c r="C1520" t="s">
        <v>2964</v>
      </c>
      <c r="D1520" s="1" t="s">
        <v>2967</v>
      </c>
      <c r="F1520" s="1" t="s">
        <v>2972</v>
      </c>
      <c r="H1520" s="44">
        <v>575</v>
      </c>
      <c r="I1520" s="344" t="s">
        <v>43</v>
      </c>
      <c r="J1520" s="276" t="str">
        <f>IF(ISBLANK(INDEX('Policy Characteristics'!D:D,MATCH($C1520,'Policy Characteristics'!$C:$C,0))),"",INDEX('Policy Characteristics'!D:D,MATCH($C1520,'Policy Characteristics'!$C:$C,0)))</f>
        <v/>
      </c>
      <c r="K1520" s="275" t="str">
        <f>IF(ISBLANK(INDEX('Policy Characteristics'!E:E,MATCH($C1520,'Policy Characteristics'!$C:$C,0))),"",INDEX('Policy Characteristics'!E:E,MATCH($C1520,'Policy Characteristics'!$C:$C,0)))</f>
        <v>GRA fuel subsidy</v>
      </c>
      <c r="L1520" s="275">
        <f>IF(ISBLANK(INDEX('Policy Characteristics'!F:F,MATCH($C1520,'Policy Characteristics'!$C:$C,0))),"",INDEX('Policy Characteristics'!F:F,MATCH($C1520,'Policy Characteristics'!$C:$C,0)))</f>
        <v>0</v>
      </c>
      <c r="M1520" s="275">
        <f>IF(ISBLANK(INDEX('Policy Characteristics'!G:G,MATCH($C1520,'Policy Characteristics'!$C:$C,0))),"",INDEX('Policy Characteristics'!G:G,MATCH($C1520,'Policy Characteristics'!$C:$C,0)))</f>
        <v>10</v>
      </c>
      <c r="N1520" s="275">
        <f>IF(ISBLANK(INDEX('Policy Characteristics'!H:H,MATCH($C1520,'Policy Characteristics'!$C:$C,0))),"",INDEX('Policy Characteristics'!H:H,MATCH($C1520,'Policy Characteristics'!$C:$C,0)))</f>
        <v>1</v>
      </c>
      <c r="O1520" s="275" t="str">
        <f>IF(ISBLANK(INDEX('Policy Characteristics'!I:I,MATCH($C1520,'Policy Characteristics'!$C:$C,0))),"",INDEX('Policy Characteristics'!I:I,MATCH($C1520,'Policy Characteristics'!$C:$C,0)))</f>
        <v>weight</v>
      </c>
      <c r="P1520" s="275" t="str">
        <f>IF(ISBLANK(INDEX('Policy Characteristics'!J:J,MATCH($C1520,'Policy Characteristics'!$C:$C,0))),"",INDEX('Policy Characteristics'!J:J,MATCH($C1520,'Policy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0" s="275" t="str">
        <f>IF(ISBLANK(INDEX('Policy Characteristics'!K:K,MATCH($C1520,'Policy Characteristics'!$C:$C,0))),"",INDEX('Policy Characteristics'!K:K,MATCH($C1520,'Policy Characteristics'!$C:$C,0)))</f>
        <v>io-model.html</v>
      </c>
      <c r="R1520" s="275" t="str">
        <f>IF(ISBLANK(INDEX('Policy Characteristics'!L:L,MATCH($C1520,'Policy Characteristics'!$C:$C,0))),"",INDEX('Policy Characteristics'!L:L,MATCH($C1520,'Policy Characteristics'!$C:$C,0)))</f>
        <v/>
      </c>
    </row>
    <row r="1521" spans="1:18" x14ac:dyDescent="0.25">
      <c r="A1521" s="275" t="str">
        <f>IF(ISBLANK(INDEX('Policy Characteristics'!A:A,MATCH($C1521,'Policy Characteristics'!$C:$C,0))),"",INDEX('Policy Characteristics'!A:A,MATCH($C1521,'Policy Characteristics'!$C:$C,0)))</f>
        <v>Government Revenue Accounting</v>
      </c>
      <c r="B1521" s="284" t="str">
        <f>IF(ISBLANK(INDEX('Policy Characteristics'!B:B,MATCH($C1521,'Policy Characteristics'!$C:$C,0))),"",INDEX('Policy Characteristics'!B:B,MATCH($C1521,'Policy Characteristics'!$C:$C,0)))</f>
        <v>Fuel Subsidy</v>
      </c>
      <c r="C1521" s="275" t="str">
        <f t="shared" ref="C1521:C1524" si="84">C$1520</f>
        <v>GRA for Fuel Subsidies</v>
      </c>
      <c r="D1521" s="1" t="s">
        <v>2968</v>
      </c>
      <c r="F1521" s="1" t="s">
        <v>2984</v>
      </c>
      <c r="H1521" s="44">
        <v>576</v>
      </c>
      <c r="I1521" s="348" t="str">
        <f t="shared" ref="I1521:I1529" si="85">I$1520</f>
        <v>Yes</v>
      </c>
      <c r="J1521" s="276" t="str">
        <f>IF(ISBLANK(INDEX('Policy Characteristics'!D:D,MATCH($C1521,'Policy Characteristics'!$C:$C,0))),"",INDEX('Policy Characteristics'!D:D,MATCH($C1521,'Policy Characteristics'!$C:$C,0)))</f>
        <v/>
      </c>
      <c r="K1521" s="275" t="str">
        <f>IF(ISBLANK(INDEX('Policy Characteristics'!E:E,MATCH($C1521,'Policy Characteristics'!$C:$C,0))),"",INDEX('Policy Characteristics'!E:E,MATCH($C1521,'Policy Characteristics'!$C:$C,0)))</f>
        <v>GRA fuel subsidy</v>
      </c>
      <c r="L1521" s="275">
        <f>IF(ISBLANK(INDEX('Policy Characteristics'!F:F,MATCH($C1521,'Policy Characteristics'!$C:$C,0))),"",INDEX('Policy Characteristics'!F:F,MATCH($C1521,'Policy Characteristics'!$C:$C,0)))</f>
        <v>0</v>
      </c>
      <c r="M1521" s="275">
        <f>IF(ISBLANK(INDEX('Policy Characteristics'!G:G,MATCH($C1521,'Policy Characteristics'!$C:$C,0))),"",INDEX('Policy Characteristics'!G:G,MATCH($C1521,'Policy Characteristics'!$C:$C,0)))</f>
        <v>10</v>
      </c>
      <c r="N1521" s="275">
        <f>IF(ISBLANK(INDEX('Policy Characteristics'!H:H,MATCH($C1521,'Policy Characteristics'!$C:$C,0))),"",INDEX('Policy Characteristics'!H:H,MATCH($C1521,'Policy Characteristics'!$C:$C,0)))</f>
        <v>1</v>
      </c>
      <c r="O1521" s="275" t="str">
        <f>IF(ISBLANK(INDEX('Policy Characteristics'!I:I,MATCH($C1521,'Policy Characteristics'!$C:$C,0))),"",INDEX('Policy Characteristics'!I:I,MATCH($C1521,'Policy Characteristics'!$C:$C,0)))</f>
        <v>weight</v>
      </c>
      <c r="P1521" s="275" t="str">
        <f>IF(ISBLANK(INDEX('Policy Characteristics'!J:J,MATCH($C1521,'Policy Characteristics'!$C:$C,0))),"",INDEX('Policy Characteristics'!J:J,MATCH($C1521,'Policy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1" s="275" t="str">
        <f>IF(ISBLANK(INDEX('Policy Characteristics'!K:K,MATCH($C1521,'Policy Characteristics'!$C:$C,0))),"",INDEX('Policy Characteristics'!K:K,MATCH($C1521,'Policy Characteristics'!$C:$C,0)))</f>
        <v>io-model.html</v>
      </c>
      <c r="R1521" s="275" t="str">
        <f>IF(ISBLANK(INDEX('Policy Characteristics'!L:L,MATCH($C1521,'Policy Characteristics'!$C:$C,0))),"",INDEX('Policy Characteristics'!L:L,MATCH($C1521,'Policy Characteristics'!$C:$C,0)))</f>
        <v/>
      </c>
    </row>
    <row r="1522" spans="1:18" x14ac:dyDescent="0.25">
      <c r="A1522" s="275" t="str">
        <f>IF(ISBLANK(INDEX('Policy Characteristics'!A:A,MATCH($C1522,'Policy Characteristics'!$C:$C,0))),"",INDEX('Policy Characteristics'!A:A,MATCH($C1522,'Policy Characteristics'!$C:$C,0)))</f>
        <v>Government Revenue Accounting</v>
      </c>
      <c r="B1522" s="284" t="str">
        <f>IF(ISBLANK(INDEX('Policy Characteristics'!B:B,MATCH($C1522,'Policy Characteristics'!$C:$C,0))),"",INDEX('Policy Characteristics'!B:B,MATCH($C1522,'Policy Characteristics'!$C:$C,0)))</f>
        <v>Fuel Subsidy</v>
      </c>
      <c r="C1522" s="275" t="str">
        <f t="shared" si="84"/>
        <v>GRA for Fuel Subsidies</v>
      </c>
      <c r="D1522" s="1" t="s">
        <v>2969</v>
      </c>
      <c r="F1522" s="1" t="s">
        <v>2973</v>
      </c>
      <c r="H1522" s="44">
        <v>577</v>
      </c>
      <c r="I1522" s="348" t="str">
        <f t="shared" si="85"/>
        <v>Yes</v>
      </c>
      <c r="J1522" s="276" t="str">
        <f>IF(ISBLANK(INDEX('Policy Characteristics'!D:D,MATCH($C1522,'Policy Characteristics'!$C:$C,0))),"",INDEX('Policy Characteristics'!D:D,MATCH($C1522,'Policy Characteristics'!$C:$C,0)))</f>
        <v/>
      </c>
      <c r="K1522" s="275" t="str">
        <f>IF(ISBLANK(INDEX('Policy Characteristics'!E:E,MATCH($C1522,'Policy Characteristics'!$C:$C,0))),"",INDEX('Policy Characteristics'!E:E,MATCH($C1522,'Policy Characteristics'!$C:$C,0)))</f>
        <v>GRA fuel subsidy</v>
      </c>
      <c r="L1522" s="275">
        <f>IF(ISBLANK(INDEX('Policy Characteristics'!F:F,MATCH($C1522,'Policy Characteristics'!$C:$C,0))),"",INDEX('Policy Characteristics'!F:F,MATCH($C1522,'Policy Characteristics'!$C:$C,0)))</f>
        <v>0</v>
      </c>
      <c r="M1522" s="275">
        <f>IF(ISBLANK(INDEX('Policy Characteristics'!G:G,MATCH($C1522,'Policy Characteristics'!$C:$C,0))),"",INDEX('Policy Characteristics'!G:G,MATCH($C1522,'Policy Characteristics'!$C:$C,0)))</f>
        <v>10</v>
      </c>
      <c r="N1522" s="275">
        <f>IF(ISBLANK(INDEX('Policy Characteristics'!H:H,MATCH($C1522,'Policy Characteristics'!$C:$C,0))),"",INDEX('Policy Characteristics'!H:H,MATCH($C1522,'Policy Characteristics'!$C:$C,0)))</f>
        <v>1</v>
      </c>
      <c r="O1522" s="275" t="str">
        <f>IF(ISBLANK(INDEX('Policy Characteristics'!I:I,MATCH($C1522,'Policy Characteristics'!$C:$C,0))),"",INDEX('Policy Characteristics'!I:I,MATCH($C1522,'Policy Characteristics'!$C:$C,0)))</f>
        <v>weight</v>
      </c>
      <c r="P1522" s="275" t="str">
        <f>IF(ISBLANK(INDEX('Policy Characteristics'!J:J,MATCH($C1522,'Policy Characteristics'!$C:$C,0))),"",INDEX('Policy Characteristics'!J:J,MATCH($C1522,'Policy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2" s="275" t="str">
        <f>IF(ISBLANK(INDEX('Policy Characteristics'!K:K,MATCH($C1522,'Policy Characteristics'!$C:$C,0))),"",INDEX('Policy Characteristics'!K:K,MATCH($C1522,'Policy Characteristics'!$C:$C,0)))</f>
        <v>io-model.html</v>
      </c>
      <c r="R1522" s="275" t="str">
        <f>IF(ISBLANK(INDEX('Policy Characteristics'!L:L,MATCH($C1522,'Policy Characteristics'!$C:$C,0))),"",INDEX('Policy Characteristics'!L:L,MATCH($C1522,'Policy Characteristics'!$C:$C,0)))</f>
        <v/>
      </c>
    </row>
    <row r="1523" spans="1:18" x14ac:dyDescent="0.25">
      <c r="A1523" s="275" t="str">
        <f>IF(ISBLANK(INDEX('Policy Characteristics'!A:A,MATCH($C1523,'Policy Characteristics'!$C:$C,0))),"",INDEX('Policy Characteristics'!A:A,MATCH($C1523,'Policy Characteristics'!$C:$C,0)))</f>
        <v>Government Revenue Accounting</v>
      </c>
      <c r="B1523" s="284" t="str">
        <f>IF(ISBLANK(INDEX('Policy Characteristics'!B:B,MATCH($C1523,'Policy Characteristics'!$C:$C,0))),"",INDEX('Policy Characteristics'!B:B,MATCH($C1523,'Policy Characteristics'!$C:$C,0)))</f>
        <v>Fuel Subsidy</v>
      </c>
      <c r="C1523" s="275" t="str">
        <f t="shared" si="84"/>
        <v>GRA for Fuel Subsidies</v>
      </c>
      <c r="D1523" s="1" t="s">
        <v>2970</v>
      </c>
      <c r="F1523" s="1" t="s">
        <v>2974</v>
      </c>
      <c r="H1523" s="44">
        <v>578</v>
      </c>
      <c r="I1523" s="348" t="str">
        <f t="shared" si="85"/>
        <v>Yes</v>
      </c>
      <c r="J1523" s="276" t="str">
        <f>IF(ISBLANK(INDEX('Policy Characteristics'!D:D,MATCH($C1523,'Policy Characteristics'!$C:$C,0))),"",INDEX('Policy Characteristics'!D:D,MATCH($C1523,'Policy Characteristics'!$C:$C,0)))</f>
        <v/>
      </c>
      <c r="K1523" s="275" t="str">
        <f>IF(ISBLANK(INDEX('Policy Characteristics'!E:E,MATCH($C1523,'Policy Characteristics'!$C:$C,0))),"",INDEX('Policy Characteristics'!E:E,MATCH($C1523,'Policy Characteristics'!$C:$C,0)))</f>
        <v>GRA fuel subsidy</v>
      </c>
      <c r="L1523" s="275">
        <f>IF(ISBLANK(INDEX('Policy Characteristics'!F:F,MATCH($C1523,'Policy Characteristics'!$C:$C,0))),"",INDEX('Policy Characteristics'!F:F,MATCH($C1523,'Policy Characteristics'!$C:$C,0)))</f>
        <v>0</v>
      </c>
      <c r="M1523" s="275">
        <f>IF(ISBLANK(INDEX('Policy Characteristics'!G:G,MATCH($C1523,'Policy Characteristics'!$C:$C,0))),"",INDEX('Policy Characteristics'!G:G,MATCH($C1523,'Policy Characteristics'!$C:$C,0)))</f>
        <v>10</v>
      </c>
      <c r="N1523" s="275">
        <f>IF(ISBLANK(INDEX('Policy Characteristics'!H:H,MATCH($C1523,'Policy Characteristics'!$C:$C,0))),"",INDEX('Policy Characteristics'!H:H,MATCH($C1523,'Policy Characteristics'!$C:$C,0)))</f>
        <v>1</v>
      </c>
      <c r="O1523" s="275" t="str">
        <f>IF(ISBLANK(INDEX('Policy Characteristics'!I:I,MATCH($C1523,'Policy Characteristics'!$C:$C,0))),"",INDEX('Policy Characteristics'!I:I,MATCH($C1523,'Policy Characteristics'!$C:$C,0)))</f>
        <v>weight</v>
      </c>
      <c r="P1523" s="275" t="str">
        <f>IF(ISBLANK(INDEX('Policy Characteristics'!J:J,MATCH($C1523,'Policy Characteristics'!$C:$C,0))),"",INDEX('Policy Characteristics'!J:J,MATCH($C1523,'Policy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3" s="275" t="str">
        <f>IF(ISBLANK(INDEX('Policy Characteristics'!K:K,MATCH($C1523,'Policy Characteristics'!$C:$C,0))),"",INDEX('Policy Characteristics'!K:K,MATCH($C1523,'Policy Characteristics'!$C:$C,0)))</f>
        <v>io-model.html</v>
      </c>
      <c r="R1523" s="275" t="str">
        <f>IF(ISBLANK(INDEX('Policy Characteristics'!L:L,MATCH($C1523,'Policy Characteristics'!$C:$C,0))),"",INDEX('Policy Characteristics'!L:L,MATCH($C1523,'Policy Characteristics'!$C:$C,0)))</f>
        <v/>
      </c>
    </row>
    <row r="1524" spans="1:18" x14ac:dyDescent="0.25">
      <c r="A1524" s="275" t="str">
        <f>IF(ISBLANK(INDEX('Policy Characteristics'!A:A,MATCH($C1524,'Policy Characteristics'!$C:$C,0))),"",INDEX('Policy Characteristics'!A:A,MATCH($C1524,'Policy Characteristics'!$C:$C,0)))</f>
        <v>Government Revenue Accounting</v>
      </c>
      <c r="B1524" s="284" t="str">
        <f>IF(ISBLANK(INDEX('Policy Characteristics'!B:B,MATCH($C1524,'Policy Characteristics'!$C:$C,0))),"",INDEX('Policy Characteristics'!B:B,MATCH($C1524,'Policy Characteristics'!$C:$C,0)))</f>
        <v>Fuel Subsidy</v>
      </c>
      <c r="C1524" s="275" t="str">
        <f t="shared" si="84"/>
        <v>GRA for Fuel Subsidies</v>
      </c>
      <c r="D1524" s="1" t="s">
        <v>2971</v>
      </c>
      <c r="F1524" s="1" t="s">
        <v>2975</v>
      </c>
      <c r="H1524" s="44">
        <v>579</v>
      </c>
      <c r="I1524" s="348" t="str">
        <f t="shared" si="85"/>
        <v>Yes</v>
      </c>
      <c r="J1524" s="276" t="str">
        <f>IF(ISBLANK(INDEX('Policy Characteristics'!D:D,MATCH($C1524,'Policy Characteristics'!$C:$C,0))),"",INDEX('Policy Characteristics'!D:D,MATCH($C1524,'Policy Characteristics'!$C:$C,0)))</f>
        <v/>
      </c>
      <c r="K1524" s="275" t="str">
        <f>IF(ISBLANK(INDEX('Policy Characteristics'!E:E,MATCH($C1524,'Policy Characteristics'!$C:$C,0))),"",INDEX('Policy Characteristics'!E:E,MATCH($C1524,'Policy Characteristics'!$C:$C,0)))</f>
        <v>GRA fuel subsidy</v>
      </c>
      <c r="L1524" s="275">
        <f>IF(ISBLANK(INDEX('Policy Characteristics'!F:F,MATCH($C1524,'Policy Characteristics'!$C:$C,0))),"",INDEX('Policy Characteristics'!F:F,MATCH($C1524,'Policy Characteristics'!$C:$C,0)))</f>
        <v>0</v>
      </c>
      <c r="M1524" s="275">
        <f>IF(ISBLANK(INDEX('Policy Characteristics'!G:G,MATCH($C1524,'Policy Characteristics'!$C:$C,0))),"",INDEX('Policy Characteristics'!G:G,MATCH($C1524,'Policy Characteristics'!$C:$C,0)))</f>
        <v>10</v>
      </c>
      <c r="N1524" s="275">
        <f>IF(ISBLANK(INDEX('Policy Characteristics'!H:H,MATCH($C1524,'Policy Characteristics'!$C:$C,0))),"",INDEX('Policy Characteristics'!H:H,MATCH($C1524,'Policy Characteristics'!$C:$C,0)))</f>
        <v>1</v>
      </c>
      <c r="O1524" s="275" t="str">
        <f>IF(ISBLANK(INDEX('Policy Characteristics'!I:I,MATCH($C1524,'Policy Characteristics'!$C:$C,0))),"",INDEX('Policy Characteristics'!I:I,MATCH($C1524,'Policy Characteristics'!$C:$C,0)))</f>
        <v>weight</v>
      </c>
      <c r="P1524" s="275" t="str">
        <f>IF(ISBLANK(INDEX('Policy Characteristics'!J:J,MATCH($C1524,'Policy Characteristics'!$C:$C,0))),"",INDEX('Policy Characteristics'!J:J,MATCH($C1524,'Policy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4" s="275" t="str">
        <f>IF(ISBLANK(INDEX('Policy Characteristics'!K:K,MATCH($C1524,'Policy Characteristics'!$C:$C,0))),"",INDEX('Policy Characteristics'!K:K,MATCH($C1524,'Policy Characteristics'!$C:$C,0)))</f>
        <v>io-model.html</v>
      </c>
      <c r="R1524" s="275" t="str">
        <f>IF(ISBLANK(INDEX('Policy Characteristics'!L:L,MATCH($C1524,'Policy Characteristics'!$C:$C,0))),"",INDEX('Policy Characteristics'!L:L,MATCH($C1524,'Policy Characteristics'!$C:$C,0)))</f>
        <v/>
      </c>
    </row>
    <row r="1525" spans="1:18" x14ac:dyDescent="0.25">
      <c r="A1525" s="275" t="str">
        <f>IF(ISBLANK(INDEX('Policy Characteristics'!A:A,MATCH($C1525,'Policy Characteristics'!$C:$C,0))),"",INDEX('Policy Characteristics'!A:A,MATCH($C1525,'Policy Characteristics'!$C:$C,0)))</f>
        <v>Government Revenue Accounting</v>
      </c>
      <c r="B1525" s="284" t="str">
        <f>IF(ISBLANK(INDEX('Policy Characteristics'!B:B,MATCH($C1525,'Policy Characteristics'!$C:$C,0))),"",INDEX('Policy Characteristics'!B:B,MATCH($C1525,'Policy Characteristics'!$C:$C,0)))</f>
        <v>CCS Subsidy</v>
      </c>
      <c r="C1525" t="s">
        <v>3661</v>
      </c>
      <c r="D1525" s="1" t="s">
        <v>2967</v>
      </c>
      <c r="F1525" s="1" t="s">
        <v>2972</v>
      </c>
      <c r="H1525" s="44">
        <v>2252</v>
      </c>
      <c r="I1525" s="344" t="s">
        <v>43</v>
      </c>
      <c r="J1525" s="276" t="str">
        <f>IF(ISBLANK(INDEX('Policy Characteristics'!D:D,MATCH($C1525,'Policy Characteristics'!$C:$C,0))),"",INDEX('Policy Characteristics'!D:D,MATCH($C1525,'Policy Characteristics'!$C:$C,0)))</f>
        <v/>
      </c>
      <c r="K1525" s="275" t="str">
        <f>IF(ISBLANK(INDEX('Policy Characteristics'!E:E,MATCH($C1525,'Policy Characteristics'!$C:$C,0))),"",INDEX('Policy Characteristics'!E:E,MATCH($C1525,'Policy Characteristics'!$C:$C,0)))</f>
        <v>GRA CCS subsidy</v>
      </c>
      <c r="L1525" s="275">
        <f>IF(ISBLANK(INDEX('Policy Characteristics'!F:F,MATCH($C1525,'Policy Characteristics'!$C:$C,0))),"",INDEX('Policy Characteristics'!F:F,MATCH($C1525,'Policy Characteristics'!$C:$C,0)))</f>
        <v>0</v>
      </c>
      <c r="M1525" s="275">
        <f>IF(ISBLANK(INDEX('Policy Characteristics'!G:G,MATCH($C1525,'Policy Characteristics'!$C:$C,0))),"",INDEX('Policy Characteristics'!G:G,MATCH($C1525,'Policy Characteristics'!$C:$C,0)))</f>
        <v>10</v>
      </c>
      <c r="N1525" s="275">
        <f>IF(ISBLANK(INDEX('Policy Characteristics'!H:H,MATCH($C1525,'Policy Characteristics'!$C:$C,0))),"",INDEX('Policy Characteristics'!H:H,MATCH($C1525,'Policy Characteristics'!$C:$C,0)))</f>
        <v>1</v>
      </c>
      <c r="O1525" s="275" t="str">
        <f>IF(ISBLANK(INDEX('Policy Characteristics'!I:I,MATCH($C1525,'Policy Characteristics'!$C:$C,0))),"",INDEX('Policy Characteristics'!I:I,MATCH($C1525,'Policy Characteristics'!$C:$C,0)))</f>
        <v>weight</v>
      </c>
      <c r="P1525" s="275" t="str">
        <f>IF(ISBLANK(INDEX('Policy Characteristics'!J:J,MATCH($C1525,'Policy Characteristics'!$C:$C,0))),"",INDEX('Policy Characteristics'!J:J,MATCH($C1525,'Policy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5" s="275" t="str">
        <f>IF(ISBLANK(INDEX('Policy Characteristics'!K:K,MATCH($C1525,'Policy Characteristics'!$C:$C,0))),"",INDEX('Policy Characteristics'!K:K,MATCH($C1525,'Policy Characteristics'!$C:$C,0)))</f>
        <v>io-model.html</v>
      </c>
      <c r="R1525" s="275" t="str">
        <f>IF(ISBLANK(INDEX('Policy Characteristics'!L:L,MATCH($C1525,'Policy Characteristics'!$C:$C,0))),"",INDEX('Policy Characteristics'!L:L,MATCH($C1525,'Policy Characteristics'!$C:$C,0)))</f>
        <v/>
      </c>
    </row>
    <row r="1526" spans="1:18" x14ac:dyDescent="0.25">
      <c r="A1526" s="275" t="str">
        <f>IF(ISBLANK(INDEX('Policy Characteristics'!A:A,MATCH($C1526,'Policy Characteristics'!$C:$C,0))),"",INDEX('Policy Characteristics'!A:A,MATCH($C1526,'Policy Characteristics'!$C:$C,0)))</f>
        <v>Government Revenue Accounting</v>
      </c>
      <c r="B1526" s="284" t="str">
        <f>IF(ISBLANK(INDEX('Policy Characteristics'!B:B,MATCH($C1526,'Policy Characteristics'!$C:$C,0))),"",INDEX('Policy Characteristics'!B:B,MATCH($C1526,'Policy Characteristics'!$C:$C,0)))</f>
        <v>CCS Subsidy</v>
      </c>
      <c r="C1526" s="275" t="str">
        <f>C$1525</f>
        <v>GRA for CCS Subsidies</v>
      </c>
      <c r="D1526" s="1" t="s">
        <v>2968</v>
      </c>
      <c r="F1526" s="1" t="s">
        <v>2984</v>
      </c>
      <c r="H1526" s="44">
        <v>2253</v>
      </c>
      <c r="I1526" s="348" t="str">
        <f t="shared" si="85"/>
        <v>Yes</v>
      </c>
      <c r="J1526" s="276" t="str">
        <f>IF(ISBLANK(INDEX('Policy Characteristics'!D:D,MATCH($C1526,'Policy Characteristics'!$C:$C,0))),"",INDEX('Policy Characteristics'!D:D,MATCH($C1526,'Policy Characteristics'!$C:$C,0)))</f>
        <v/>
      </c>
      <c r="K1526" s="275" t="str">
        <f>IF(ISBLANK(INDEX('Policy Characteristics'!E:E,MATCH($C1526,'Policy Characteristics'!$C:$C,0))),"",INDEX('Policy Characteristics'!E:E,MATCH($C1526,'Policy Characteristics'!$C:$C,0)))</f>
        <v>GRA CCS subsidy</v>
      </c>
      <c r="L1526" s="275">
        <f>IF(ISBLANK(INDEX('Policy Characteristics'!F:F,MATCH($C1526,'Policy Characteristics'!$C:$C,0))),"",INDEX('Policy Characteristics'!F:F,MATCH($C1526,'Policy Characteristics'!$C:$C,0)))</f>
        <v>0</v>
      </c>
      <c r="M1526" s="275">
        <f>IF(ISBLANK(INDEX('Policy Characteristics'!G:G,MATCH($C1526,'Policy Characteristics'!$C:$C,0))),"",INDEX('Policy Characteristics'!G:G,MATCH($C1526,'Policy Characteristics'!$C:$C,0)))</f>
        <v>10</v>
      </c>
      <c r="N1526" s="275">
        <f>IF(ISBLANK(INDEX('Policy Characteristics'!H:H,MATCH($C1526,'Policy Characteristics'!$C:$C,0))),"",INDEX('Policy Characteristics'!H:H,MATCH($C1526,'Policy Characteristics'!$C:$C,0)))</f>
        <v>1</v>
      </c>
      <c r="O1526" s="275" t="str">
        <f>IF(ISBLANK(INDEX('Policy Characteristics'!I:I,MATCH($C1526,'Policy Characteristics'!$C:$C,0))),"",INDEX('Policy Characteristics'!I:I,MATCH($C1526,'Policy Characteristics'!$C:$C,0)))</f>
        <v>weight</v>
      </c>
      <c r="P1526" s="275" t="str">
        <f>IF(ISBLANK(INDEX('Policy Characteristics'!J:J,MATCH($C1526,'Policy Characteristics'!$C:$C,0))),"",INDEX('Policy Characteristics'!J:J,MATCH($C1526,'Policy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6" s="275" t="str">
        <f>IF(ISBLANK(INDEX('Policy Characteristics'!K:K,MATCH($C1526,'Policy Characteristics'!$C:$C,0))),"",INDEX('Policy Characteristics'!K:K,MATCH($C1526,'Policy Characteristics'!$C:$C,0)))</f>
        <v>io-model.html</v>
      </c>
      <c r="R1526" s="275" t="str">
        <f>IF(ISBLANK(INDEX('Policy Characteristics'!L:L,MATCH($C1526,'Policy Characteristics'!$C:$C,0))),"",INDEX('Policy Characteristics'!L:L,MATCH($C1526,'Policy Characteristics'!$C:$C,0)))</f>
        <v/>
      </c>
    </row>
    <row r="1527" spans="1:18" x14ac:dyDescent="0.25">
      <c r="A1527" s="275" t="str">
        <f>IF(ISBLANK(INDEX('Policy Characteristics'!A:A,MATCH($C1527,'Policy Characteristics'!$C:$C,0))),"",INDEX('Policy Characteristics'!A:A,MATCH($C1527,'Policy Characteristics'!$C:$C,0)))</f>
        <v>Government Revenue Accounting</v>
      </c>
      <c r="B1527" s="284" t="str">
        <f>IF(ISBLANK(INDEX('Policy Characteristics'!B:B,MATCH($C1527,'Policy Characteristics'!$C:$C,0))),"",INDEX('Policy Characteristics'!B:B,MATCH($C1527,'Policy Characteristics'!$C:$C,0)))</f>
        <v>CCS Subsidy</v>
      </c>
      <c r="C1527" s="275" t="str">
        <f t="shared" ref="C1527:C1529" si="86">C$1525</f>
        <v>GRA for CCS Subsidies</v>
      </c>
      <c r="D1527" s="1" t="s">
        <v>2969</v>
      </c>
      <c r="F1527" s="1" t="s">
        <v>2973</v>
      </c>
      <c r="H1527" s="44">
        <v>2254</v>
      </c>
      <c r="I1527" s="348" t="str">
        <f t="shared" si="85"/>
        <v>Yes</v>
      </c>
      <c r="J1527" s="276" t="str">
        <f>IF(ISBLANK(INDEX('Policy Characteristics'!D:D,MATCH($C1527,'Policy Characteristics'!$C:$C,0))),"",INDEX('Policy Characteristics'!D:D,MATCH($C1527,'Policy Characteristics'!$C:$C,0)))</f>
        <v/>
      </c>
      <c r="K1527" s="275" t="str">
        <f>IF(ISBLANK(INDEX('Policy Characteristics'!E:E,MATCH($C1527,'Policy Characteristics'!$C:$C,0))),"",INDEX('Policy Characteristics'!E:E,MATCH($C1527,'Policy Characteristics'!$C:$C,0)))</f>
        <v>GRA CCS subsidy</v>
      </c>
      <c r="L1527" s="275">
        <f>IF(ISBLANK(INDEX('Policy Characteristics'!F:F,MATCH($C1527,'Policy Characteristics'!$C:$C,0))),"",INDEX('Policy Characteristics'!F:F,MATCH($C1527,'Policy Characteristics'!$C:$C,0)))</f>
        <v>0</v>
      </c>
      <c r="M1527" s="275">
        <f>IF(ISBLANK(INDEX('Policy Characteristics'!G:G,MATCH($C1527,'Policy Characteristics'!$C:$C,0))),"",INDEX('Policy Characteristics'!G:G,MATCH($C1527,'Policy Characteristics'!$C:$C,0)))</f>
        <v>10</v>
      </c>
      <c r="N1527" s="275">
        <f>IF(ISBLANK(INDEX('Policy Characteristics'!H:H,MATCH($C1527,'Policy Characteristics'!$C:$C,0))),"",INDEX('Policy Characteristics'!H:H,MATCH($C1527,'Policy Characteristics'!$C:$C,0)))</f>
        <v>1</v>
      </c>
      <c r="O1527" s="275" t="str">
        <f>IF(ISBLANK(INDEX('Policy Characteristics'!I:I,MATCH($C1527,'Policy Characteristics'!$C:$C,0))),"",INDEX('Policy Characteristics'!I:I,MATCH($C1527,'Policy Characteristics'!$C:$C,0)))</f>
        <v>weight</v>
      </c>
      <c r="P1527" s="275" t="str">
        <f>IF(ISBLANK(INDEX('Policy Characteristics'!J:J,MATCH($C1527,'Policy Characteristics'!$C:$C,0))),"",INDEX('Policy Characteristics'!J:J,MATCH($C1527,'Policy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7" s="275" t="str">
        <f>IF(ISBLANK(INDEX('Policy Characteristics'!K:K,MATCH($C1527,'Policy Characteristics'!$C:$C,0))),"",INDEX('Policy Characteristics'!K:K,MATCH($C1527,'Policy Characteristics'!$C:$C,0)))</f>
        <v>io-model.html</v>
      </c>
      <c r="R1527" s="275" t="str">
        <f>IF(ISBLANK(INDEX('Policy Characteristics'!L:L,MATCH($C1527,'Policy Characteristics'!$C:$C,0))),"",INDEX('Policy Characteristics'!L:L,MATCH($C1527,'Policy Characteristics'!$C:$C,0)))</f>
        <v/>
      </c>
    </row>
    <row r="1528" spans="1:18" x14ac:dyDescent="0.25">
      <c r="A1528" s="275" t="str">
        <f>IF(ISBLANK(INDEX('Policy Characteristics'!A:A,MATCH($C1528,'Policy Characteristics'!$C:$C,0))),"",INDEX('Policy Characteristics'!A:A,MATCH($C1528,'Policy Characteristics'!$C:$C,0)))</f>
        <v>Government Revenue Accounting</v>
      </c>
      <c r="B1528" s="284" t="str">
        <f>IF(ISBLANK(INDEX('Policy Characteristics'!B:B,MATCH($C1528,'Policy Characteristics'!$C:$C,0))),"",INDEX('Policy Characteristics'!B:B,MATCH($C1528,'Policy Characteristics'!$C:$C,0)))</f>
        <v>CCS Subsidy</v>
      </c>
      <c r="C1528" s="275" t="str">
        <f t="shared" si="86"/>
        <v>GRA for CCS Subsidies</v>
      </c>
      <c r="D1528" s="1" t="s">
        <v>2970</v>
      </c>
      <c r="F1528" s="1" t="s">
        <v>2974</v>
      </c>
      <c r="H1528" s="44">
        <v>2255</v>
      </c>
      <c r="I1528" s="348" t="str">
        <f t="shared" si="85"/>
        <v>Yes</v>
      </c>
      <c r="J1528" s="276" t="str">
        <f>IF(ISBLANK(INDEX('Policy Characteristics'!D:D,MATCH($C1528,'Policy Characteristics'!$C:$C,0))),"",INDEX('Policy Characteristics'!D:D,MATCH($C1528,'Policy Characteristics'!$C:$C,0)))</f>
        <v/>
      </c>
      <c r="K1528" s="275" t="str">
        <f>IF(ISBLANK(INDEX('Policy Characteristics'!E:E,MATCH($C1528,'Policy Characteristics'!$C:$C,0))),"",INDEX('Policy Characteristics'!E:E,MATCH($C1528,'Policy Characteristics'!$C:$C,0)))</f>
        <v>GRA CCS subsidy</v>
      </c>
      <c r="L1528" s="275">
        <f>IF(ISBLANK(INDEX('Policy Characteristics'!F:F,MATCH($C1528,'Policy Characteristics'!$C:$C,0))),"",INDEX('Policy Characteristics'!F:F,MATCH($C1528,'Policy Characteristics'!$C:$C,0)))</f>
        <v>0</v>
      </c>
      <c r="M1528" s="275">
        <f>IF(ISBLANK(INDEX('Policy Characteristics'!G:G,MATCH($C1528,'Policy Characteristics'!$C:$C,0))),"",INDEX('Policy Characteristics'!G:G,MATCH($C1528,'Policy Characteristics'!$C:$C,0)))</f>
        <v>10</v>
      </c>
      <c r="N1528" s="275">
        <f>IF(ISBLANK(INDEX('Policy Characteristics'!H:H,MATCH($C1528,'Policy Characteristics'!$C:$C,0))),"",INDEX('Policy Characteristics'!H:H,MATCH($C1528,'Policy Characteristics'!$C:$C,0)))</f>
        <v>1</v>
      </c>
      <c r="O1528" s="275" t="str">
        <f>IF(ISBLANK(INDEX('Policy Characteristics'!I:I,MATCH($C1528,'Policy Characteristics'!$C:$C,0))),"",INDEX('Policy Characteristics'!I:I,MATCH($C1528,'Policy Characteristics'!$C:$C,0)))</f>
        <v>weight</v>
      </c>
      <c r="P1528" s="275" t="str">
        <f>IF(ISBLANK(INDEX('Policy Characteristics'!J:J,MATCH($C1528,'Policy Characteristics'!$C:$C,0))),"",INDEX('Policy Characteristics'!J:J,MATCH($C1528,'Policy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8" s="275" t="str">
        <f>IF(ISBLANK(INDEX('Policy Characteristics'!K:K,MATCH($C1528,'Policy Characteristics'!$C:$C,0))),"",INDEX('Policy Characteristics'!K:K,MATCH($C1528,'Policy Characteristics'!$C:$C,0)))</f>
        <v>io-model.html</v>
      </c>
      <c r="R1528" s="275" t="str">
        <f>IF(ISBLANK(INDEX('Policy Characteristics'!L:L,MATCH($C1528,'Policy Characteristics'!$C:$C,0))),"",INDEX('Policy Characteristics'!L:L,MATCH($C1528,'Policy Characteristics'!$C:$C,0)))</f>
        <v/>
      </c>
    </row>
    <row r="1529" spans="1:18" x14ac:dyDescent="0.25">
      <c r="A1529" s="275" t="str">
        <f>IF(ISBLANK(INDEX('Policy Characteristics'!A:A,MATCH($C1529,'Policy Characteristics'!$C:$C,0))),"",INDEX('Policy Characteristics'!A:A,MATCH($C1529,'Policy Characteristics'!$C:$C,0)))</f>
        <v>Government Revenue Accounting</v>
      </c>
      <c r="B1529" s="284" t="str">
        <f>IF(ISBLANK(INDEX('Policy Characteristics'!B:B,MATCH($C1529,'Policy Characteristics'!$C:$C,0))),"",INDEX('Policy Characteristics'!B:B,MATCH($C1529,'Policy Characteristics'!$C:$C,0)))</f>
        <v>CCS Subsidy</v>
      </c>
      <c r="C1529" s="275" t="str">
        <f t="shared" si="86"/>
        <v>GRA for CCS Subsidies</v>
      </c>
      <c r="D1529" s="1" t="s">
        <v>2971</v>
      </c>
      <c r="F1529" s="1" t="s">
        <v>2975</v>
      </c>
      <c r="H1529" s="44">
        <v>2256</v>
      </c>
      <c r="I1529" s="348" t="str">
        <f t="shared" si="85"/>
        <v>Yes</v>
      </c>
      <c r="J1529" s="276" t="str">
        <f>IF(ISBLANK(INDEX('Policy Characteristics'!D:D,MATCH($C1529,'Policy Characteristics'!$C:$C,0))),"",INDEX('Policy Characteristics'!D:D,MATCH($C1529,'Policy Characteristics'!$C:$C,0)))</f>
        <v/>
      </c>
      <c r="K1529" s="275" t="str">
        <f>IF(ISBLANK(INDEX('Policy Characteristics'!E:E,MATCH($C1529,'Policy Characteristics'!$C:$C,0))),"",INDEX('Policy Characteristics'!E:E,MATCH($C1529,'Policy Characteristics'!$C:$C,0)))</f>
        <v>GRA CCS subsidy</v>
      </c>
      <c r="L1529" s="275">
        <f>IF(ISBLANK(INDEX('Policy Characteristics'!F:F,MATCH($C1529,'Policy Characteristics'!$C:$C,0))),"",INDEX('Policy Characteristics'!F:F,MATCH($C1529,'Policy Characteristics'!$C:$C,0)))</f>
        <v>0</v>
      </c>
      <c r="M1529" s="275">
        <f>IF(ISBLANK(INDEX('Policy Characteristics'!G:G,MATCH($C1529,'Policy Characteristics'!$C:$C,0))),"",INDEX('Policy Characteristics'!G:G,MATCH($C1529,'Policy Characteristics'!$C:$C,0)))</f>
        <v>10</v>
      </c>
      <c r="N1529" s="275">
        <f>IF(ISBLANK(INDEX('Policy Characteristics'!H:H,MATCH($C1529,'Policy Characteristics'!$C:$C,0))),"",INDEX('Policy Characteristics'!H:H,MATCH($C1529,'Policy Characteristics'!$C:$C,0)))</f>
        <v>1</v>
      </c>
      <c r="O1529" s="275" t="str">
        <f>IF(ISBLANK(INDEX('Policy Characteristics'!I:I,MATCH($C1529,'Policy Characteristics'!$C:$C,0))),"",INDEX('Policy Characteristics'!I:I,MATCH($C1529,'Policy Characteristics'!$C:$C,0)))</f>
        <v>weight</v>
      </c>
      <c r="P1529" s="275" t="str">
        <f>IF(ISBLANK(INDEX('Policy Characteristics'!J:J,MATCH($C1529,'Policy Characteristics'!$C:$C,0))),"",INDEX('Policy Characteristics'!J:J,MATCH($C1529,'Policy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9" s="275" t="str">
        <f>IF(ISBLANK(INDEX('Policy Characteristics'!K:K,MATCH($C1529,'Policy Characteristics'!$C:$C,0))),"",INDEX('Policy Characteristics'!K:K,MATCH($C1529,'Policy Characteristics'!$C:$C,0)))</f>
        <v>io-model.html</v>
      </c>
      <c r="R1529" s="275" t="str">
        <f>IF(ISBLANK(INDEX('Policy Characteristics'!L:L,MATCH($C1529,'Policy Characteristics'!$C:$C,0))),"",INDEX('Policy Characteristics'!L:L,MATCH($C1529,'Policy Characteristics'!$C:$C,0)))</f>
        <v/>
      </c>
    </row>
    <row r="1530" spans="1:18" x14ac:dyDescent="0.25">
      <c r="A1530" s="275" t="str">
        <f>IF(ISBLANK(INDEX('Policy Characteristics'!A:A,MATCH($C1530,'Policy Characteristics'!$C:$C,0))),"",INDEX('Policy Characteristics'!A:A,MATCH($C1530,'Policy Characteristics'!$C:$C,0)))</f>
        <v>Government Revenue Accounting</v>
      </c>
      <c r="B1530" s="284" t="str">
        <f>IF(ISBLANK(INDEX('Policy Characteristics'!B:B,MATCH($C1530,'Policy Characteristics'!$C:$C,0))),"",INDEX('Policy Characteristics'!B:B,MATCH($C1530,'Policy Characteristics'!$C:$C,0)))</f>
        <v>National Debt Interest</v>
      </c>
      <c r="C1530" t="s">
        <v>2965</v>
      </c>
      <c r="D1530" s="1" t="s">
        <v>2967</v>
      </c>
      <c r="F1530" s="1" t="s">
        <v>2972</v>
      </c>
      <c r="H1530" s="44">
        <v>580</v>
      </c>
      <c r="I1530" s="344" t="s">
        <v>43</v>
      </c>
      <c r="J1530" s="276" t="str">
        <f>IF(ISBLANK(INDEX('Policy Characteristics'!D:D,MATCH($C1530,'Policy Characteristics'!$C:$C,0))),"",INDEX('Policy Characteristics'!D:D,MATCH($C1530,'Policy Characteristics'!$C:$C,0)))</f>
        <v/>
      </c>
      <c r="K1530" s="275" t="str">
        <f>IF(ISBLANK(INDEX('Policy Characteristics'!E:E,MATCH($C1530,'Policy Characteristics'!$C:$C,0))),"",INDEX('Policy Characteristics'!E:E,MATCH($C1530,'Policy Characteristics'!$C:$C,0)))</f>
        <v>GRA national debt interest</v>
      </c>
      <c r="L1530" s="275">
        <f>IF(ISBLANK(INDEX('Policy Characteristics'!F:F,MATCH($C1530,'Policy Characteristics'!$C:$C,0))),"",INDEX('Policy Characteristics'!F:F,MATCH($C1530,'Policy Characteristics'!$C:$C,0)))</f>
        <v>0</v>
      </c>
      <c r="M1530" s="275">
        <f>IF(ISBLANK(INDEX('Policy Characteristics'!G:G,MATCH($C1530,'Policy Characteristics'!$C:$C,0))),"",INDEX('Policy Characteristics'!G:G,MATCH($C1530,'Policy Characteristics'!$C:$C,0)))</f>
        <v>10</v>
      </c>
      <c r="N1530" s="275">
        <f>IF(ISBLANK(INDEX('Policy Characteristics'!H:H,MATCH($C1530,'Policy Characteristics'!$C:$C,0))),"",INDEX('Policy Characteristics'!H:H,MATCH($C1530,'Policy Characteristics'!$C:$C,0)))</f>
        <v>1</v>
      </c>
      <c r="O1530" s="275" t="str">
        <f>IF(ISBLANK(INDEX('Policy Characteristics'!I:I,MATCH($C1530,'Policy Characteristics'!$C:$C,0))),"",INDEX('Policy Characteristics'!I:I,MATCH($C1530,'Policy Characteristics'!$C:$C,0)))</f>
        <v>weight</v>
      </c>
      <c r="P1530" s="275" t="str">
        <f>IF(ISBLANK(INDEX('Policy Characteristics'!J:J,MATCH($C1530,'Policy Characteristics'!$C:$C,0))),"",INDEX('Policy Characteristics'!J:J,MATCH($C1530,'Policy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0" s="275" t="str">
        <f>IF(ISBLANK(INDEX('Policy Characteristics'!K:K,MATCH($C1530,'Policy Characteristics'!$C:$C,0))),"",INDEX('Policy Characteristics'!K:K,MATCH($C1530,'Policy Characteristics'!$C:$C,0)))</f>
        <v>io-model.html</v>
      </c>
      <c r="R1530" s="275" t="str">
        <f>IF(ISBLANK(INDEX('Policy Characteristics'!L:L,MATCH($C1530,'Policy Characteristics'!$C:$C,0))),"",INDEX('Policy Characteristics'!L:L,MATCH($C1530,'Policy Characteristics'!$C:$C,0)))</f>
        <v/>
      </c>
    </row>
    <row r="1531" spans="1:18" x14ac:dyDescent="0.25">
      <c r="A1531" s="275" t="str">
        <f>IF(ISBLANK(INDEX('Policy Characteristics'!A:A,MATCH($C1531,'Policy Characteristics'!$C:$C,0))),"",INDEX('Policy Characteristics'!A:A,MATCH($C1531,'Policy Characteristics'!$C:$C,0)))</f>
        <v>Government Revenue Accounting</v>
      </c>
      <c r="B1531" s="284" t="str">
        <f>IF(ISBLANK(INDEX('Policy Characteristics'!B:B,MATCH($C1531,'Policy Characteristics'!$C:$C,0))),"",INDEX('Policy Characteristics'!B:B,MATCH($C1531,'Policy Characteristics'!$C:$C,0)))</f>
        <v>National Debt Interest</v>
      </c>
      <c r="C1531" s="275" t="str">
        <f t="shared" ref="C1531:C1534" si="87">C$1530</f>
        <v>GRA for National Debt Interest</v>
      </c>
      <c r="D1531" s="1" t="s">
        <v>2968</v>
      </c>
      <c r="F1531" s="1" t="s">
        <v>2984</v>
      </c>
      <c r="H1531" s="44">
        <v>581</v>
      </c>
      <c r="I1531" s="348" t="str">
        <f t="shared" ref="I1531:I1534" si="88">I$1530</f>
        <v>Yes</v>
      </c>
      <c r="J1531" s="276" t="str">
        <f>IF(ISBLANK(INDEX('Policy Characteristics'!D:D,MATCH($C1531,'Policy Characteristics'!$C:$C,0))),"",INDEX('Policy Characteristics'!D:D,MATCH($C1531,'Policy Characteristics'!$C:$C,0)))</f>
        <v/>
      </c>
      <c r="K1531" s="275" t="str">
        <f>IF(ISBLANK(INDEX('Policy Characteristics'!E:E,MATCH($C1531,'Policy Characteristics'!$C:$C,0))),"",INDEX('Policy Characteristics'!E:E,MATCH($C1531,'Policy Characteristics'!$C:$C,0)))</f>
        <v>GRA national debt interest</v>
      </c>
      <c r="L1531" s="275">
        <f>IF(ISBLANK(INDEX('Policy Characteristics'!F:F,MATCH($C1531,'Policy Characteristics'!$C:$C,0))),"",INDEX('Policy Characteristics'!F:F,MATCH($C1531,'Policy Characteristics'!$C:$C,0)))</f>
        <v>0</v>
      </c>
      <c r="M1531" s="275">
        <f>IF(ISBLANK(INDEX('Policy Characteristics'!G:G,MATCH($C1531,'Policy Characteristics'!$C:$C,0))),"",INDEX('Policy Characteristics'!G:G,MATCH($C1531,'Policy Characteristics'!$C:$C,0)))</f>
        <v>10</v>
      </c>
      <c r="N1531" s="275">
        <f>IF(ISBLANK(INDEX('Policy Characteristics'!H:H,MATCH($C1531,'Policy Characteristics'!$C:$C,0))),"",INDEX('Policy Characteristics'!H:H,MATCH($C1531,'Policy Characteristics'!$C:$C,0)))</f>
        <v>1</v>
      </c>
      <c r="O1531" s="275" t="str">
        <f>IF(ISBLANK(INDEX('Policy Characteristics'!I:I,MATCH($C1531,'Policy Characteristics'!$C:$C,0))),"",INDEX('Policy Characteristics'!I:I,MATCH($C1531,'Policy Characteristics'!$C:$C,0)))</f>
        <v>weight</v>
      </c>
      <c r="P1531" s="275" t="str">
        <f>IF(ISBLANK(INDEX('Policy Characteristics'!J:J,MATCH($C1531,'Policy Characteristics'!$C:$C,0))),"",INDEX('Policy Characteristics'!J:J,MATCH($C1531,'Policy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1" s="275" t="str">
        <f>IF(ISBLANK(INDEX('Policy Characteristics'!K:K,MATCH($C1531,'Policy Characteristics'!$C:$C,0))),"",INDEX('Policy Characteristics'!K:K,MATCH($C1531,'Policy Characteristics'!$C:$C,0)))</f>
        <v>io-model.html</v>
      </c>
      <c r="R1531" s="275" t="str">
        <f>IF(ISBLANK(INDEX('Policy Characteristics'!L:L,MATCH($C1531,'Policy Characteristics'!$C:$C,0))),"",INDEX('Policy Characteristics'!L:L,MATCH($C1531,'Policy Characteristics'!$C:$C,0)))</f>
        <v/>
      </c>
    </row>
    <row r="1532" spans="1:18" x14ac:dyDescent="0.25">
      <c r="A1532" s="275" t="str">
        <f>IF(ISBLANK(INDEX('Policy Characteristics'!A:A,MATCH($C1532,'Policy Characteristics'!$C:$C,0))),"",INDEX('Policy Characteristics'!A:A,MATCH($C1532,'Policy Characteristics'!$C:$C,0)))</f>
        <v>Government Revenue Accounting</v>
      </c>
      <c r="B1532" s="284" t="str">
        <f>IF(ISBLANK(INDEX('Policy Characteristics'!B:B,MATCH($C1532,'Policy Characteristics'!$C:$C,0))),"",INDEX('Policy Characteristics'!B:B,MATCH($C1532,'Policy Characteristics'!$C:$C,0)))</f>
        <v>National Debt Interest</v>
      </c>
      <c r="C1532" s="275" t="str">
        <f t="shared" si="87"/>
        <v>GRA for National Debt Interest</v>
      </c>
      <c r="D1532" s="1" t="s">
        <v>2969</v>
      </c>
      <c r="F1532" s="1" t="s">
        <v>2973</v>
      </c>
      <c r="H1532" s="44">
        <v>582</v>
      </c>
      <c r="I1532" s="348" t="str">
        <f t="shared" si="88"/>
        <v>Yes</v>
      </c>
      <c r="J1532" s="276" t="str">
        <f>IF(ISBLANK(INDEX('Policy Characteristics'!D:D,MATCH($C1532,'Policy Characteristics'!$C:$C,0))),"",INDEX('Policy Characteristics'!D:D,MATCH($C1532,'Policy Characteristics'!$C:$C,0)))</f>
        <v/>
      </c>
      <c r="K1532" s="275" t="str">
        <f>IF(ISBLANK(INDEX('Policy Characteristics'!E:E,MATCH($C1532,'Policy Characteristics'!$C:$C,0))),"",INDEX('Policy Characteristics'!E:E,MATCH($C1532,'Policy Characteristics'!$C:$C,0)))</f>
        <v>GRA national debt interest</v>
      </c>
      <c r="L1532" s="275">
        <f>IF(ISBLANK(INDEX('Policy Characteristics'!F:F,MATCH($C1532,'Policy Characteristics'!$C:$C,0))),"",INDEX('Policy Characteristics'!F:F,MATCH($C1532,'Policy Characteristics'!$C:$C,0)))</f>
        <v>0</v>
      </c>
      <c r="M1532" s="275">
        <f>IF(ISBLANK(INDEX('Policy Characteristics'!G:G,MATCH($C1532,'Policy Characteristics'!$C:$C,0))),"",INDEX('Policy Characteristics'!G:G,MATCH($C1532,'Policy Characteristics'!$C:$C,0)))</f>
        <v>10</v>
      </c>
      <c r="N1532" s="275">
        <f>IF(ISBLANK(INDEX('Policy Characteristics'!H:H,MATCH($C1532,'Policy Characteristics'!$C:$C,0))),"",INDEX('Policy Characteristics'!H:H,MATCH($C1532,'Policy Characteristics'!$C:$C,0)))</f>
        <v>1</v>
      </c>
      <c r="O1532" s="275" t="str">
        <f>IF(ISBLANK(INDEX('Policy Characteristics'!I:I,MATCH($C1532,'Policy Characteristics'!$C:$C,0))),"",INDEX('Policy Characteristics'!I:I,MATCH($C1532,'Policy Characteristics'!$C:$C,0)))</f>
        <v>weight</v>
      </c>
      <c r="P1532" s="275" t="str">
        <f>IF(ISBLANK(INDEX('Policy Characteristics'!J:J,MATCH($C1532,'Policy Characteristics'!$C:$C,0))),"",INDEX('Policy Characteristics'!J:J,MATCH($C1532,'Policy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2" s="275" t="str">
        <f>IF(ISBLANK(INDEX('Policy Characteristics'!K:K,MATCH($C1532,'Policy Characteristics'!$C:$C,0))),"",INDEX('Policy Characteristics'!K:K,MATCH($C1532,'Policy Characteristics'!$C:$C,0)))</f>
        <v>io-model.html</v>
      </c>
      <c r="R1532" s="275" t="str">
        <f>IF(ISBLANK(INDEX('Policy Characteristics'!L:L,MATCH($C1532,'Policy Characteristics'!$C:$C,0))),"",INDEX('Policy Characteristics'!L:L,MATCH($C1532,'Policy Characteristics'!$C:$C,0)))</f>
        <v/>
      </c>
    </row>
    <row r="1533" spans="1:18" x14ac:dyDescent="0.25">
      <c r="A1533" s="275" t="str">
        <f>IF(ISBLANK(INDEX('Policy Characteristics'!A:A,MATCH($C1533,'Policy Characteristics'!$C:$C,0))),"",INDEX('Policy Characteristics'!A:A,MATCH($C1533,'Policy Characteristics'!$C:$C,0)))</f>
        <v>Government Revenue Accounting</v>
      </c>
      <c r="B1533" s="284" t="str">
        <f>IF(ISBLANK(INDEX('Policy Characteristics'!B:B,MATCH($C1533,'Policy Characteristics'!$C:$C,0))),"",INDEX('Policy Characteristics'!B:B,MATCH($C1533,'Policy Characteristics'!$C:$C,0)))</f>
        <v>National Debt Interest</v>
      </c>
      <c r="C1533" s="275" t="str">
        <f t="shared" si="87"/>
        <v>GRA for National Debt Interest</v>
      </c>
      <c r="D1533" s="1" t="s">
        <v>2970</v>
      </c>
      <c r="F1533" s="1" t="s">
        <v>2974</v>
      </c>
      <c r="H1533" s="44">
        <v>583</v>
      </c>
      <c r="I1533" s="348" t="str">
        <f t="shared" si="88"/>
        <v>Yes</v>
      </c>
      <c r="J1533" s="276" t="str">
        <f>IF(ISBLANK(INDEX('Policy Characteristics'!D:D,MATCH($C1533,'Policy Characteristics'!$C:$C,0))),"",INDEX('Policy Characteristics'!D:D,MATCH($C1533,'Policy Characteristics'!$C:$C,0)))</f>
        <v/>
      </c>
      <c r="K1533" s="275" t="str">
        <f>IF(ISBLANK(INDEX('Policy Characteristics'!E:E,MATCH($C1533,'Policy Characteristics'!$C:$C,0))),"",INDEX('Policy Characteristics'!E:E,MATCH($C1533,'Policy Characteristics'!$C:$C,0)))</f>
        <v>GRA national debt interest</v>
      </c>
      <c r="L1533" s="275">
        <f>IF(ISBLANK(INDEX('Policy Characteristics'!F:F,MATCH($C1533,'Policy Characteristics'!$C:$C,0))),"",INDEX('Policy Characteristics'!F:F,MATCH($C1533,'Policy Characteristics'!$C:$C,0)))</f>
        <v>0</v>
      </c>
      <c r="M1533" s="275">
        <f>IF(ISBLANK(INDEX('Policy Characteristics'!G:G,MATCH($C1533,'Policy Characteristics'!$C:$C,0))),"",INDEX('Policy Characteristics'!G:G,MATCH($C1533,'Policy Characteristics'!$C:$C,0)))</f>
        <v>10</v>
      </c>
      <c r="N1533" s="275">
        <f>IF(ISBLANK(INDEX('Policy Characteristics'!H:H,MATCH($C1533,'Policy Characteristics'!$C:$C,0))),"",INDEX('Policy Characteristics'!H:H,MATCH($C1533,'Policy Characteristics'!$C:$C,0)))</f>
        <v>1</v>
      </c>
      <c r="O1533" s="275" t="str">
        <f>IF(ISBLANK(INDEX('Policy Characteristics'!I:I,MATCH($C1533,'Policy Characteristics'!$C:$C,0))),"",INDEX('Policy Characteristics'!I:I,MATCH($C1533,'Policy Characteristics'!$C:$C,0)))</f>
        <v>weight</v>
      </c>
      <c r="P1533" s="275" t="str">
        <f>IF(ISBLANK(INDEX('Policy Characteristics'!J:J,MATCH($C1533,'Policy Characteristics'!$C:$C,0))),"",INDEX('Policy Characteristics'!J:J,MATCH($C1533,'Policy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3" s="275" t="str">
        <f>IF(ISBLANK(INDEX('Policy Characteristics'!K:K,MATCH($C1533,'Policy Characteristics'!$C:$C,0))),"",INDEX('Policy Characteristics'!K:K,MATCH($C1533,'Policy Characteristics'!$C:$C,0)))</f>
        <v>io-model.html</v>
      </c>
      <c r="R1533" s="275" t="str">
        <f>IF(ISBLANK(INDEX('Policy Characteristics'!L:L,MATCH($C1533,'Policy Characteristics'!$C:$C,0))),"",INDEX('Policy Characteristics'!L:L,MATCH($C1533,'Policy Characteristics'!$C:$C,0)))</f>
        <v/>
      </c>
    </row>
    <row r="1534" spans="1:18" x14ac:dyDescent="0.25">
      <c r="A1534" s="275" t="str">
        <f>IF(ISBLANK(INDEX('Policy Characteristics'!A:A,MATCH($C1534,'Policy Characteristics'!$C:$C,0))),"",INDEX('Policy Characteristics'!A:A,MATCH($C1534,'Policy Characteristics'!$C:$C,0)))</f>
        <v>Government Revenue Accounting</v>
      </c>
      <c r="B1534" s="284" t="str">
        <f>IF(ISBLANK(INDEX('Policy Characteristics'!B:B,MATCH($C1534,'Policy Characteristics'!$C:$C,0))),"",INDEX('Policy Characteristics'!B:B,MATCH($C1534,'Policy Characteristics'!$C:$C,0)))</f>
        <v>National Debt Interest</v>
      </c>
      <c r="C1534" s="275" t="str">
        <f t="shared" si="87"/>
        <v>GRA for National Debt Interest</v>
      </c>
      <c r="D1534" s="1" t="s">
        <v>2971</v>
      </c>
      <c r="F1534" s="1" t="s">
        <v>2975</v>
      </c>
      <c r="H1534" s="44">
        <v>584</v>
      </c>
      <c r="I1534" s="348" t="str">
        <f t="shared" si="88"/>
        <v>Yes</v>
      </c>
      <c r="J1534" s="276" t="str">
        <f>IF(ISBLANK(INDEX('Policy Characteristics'!D:D,MATCH($C1534,'Policy Characteristics'!$C:$C,0))),"",INDEX('Policy Characteristics'!D:D,MATCH($C1534,'Policy Characteristics'!$C:$C,0)))</f>
        <v/>
      </c>
      <c r="K1534" s="275" t="str">
        <f>IF(ISBLANK(INDEX('Policy Characteristics'!E:E,MATCH($C1534,'Policy Characteristics'!$C:$C,0))),"",INDEX('Policy Characteristics'!E:E,MATCH($C1534,'Policy Characteristics'!$C:$C,0)))</f>
        <v>GRA national debt interest</v>
      </c>
      <c r="L1534" s="275">
        <f>IF(ISBLANK(INDEX('Policy Characteristics'!F:F,MATCH($C1534,'Policy Characteristics'!$C:$C,0))),"",INDEX('Policy Characteristics'!F:F,MATCH($C1534,'Policy Characteristics'!$C:$C,0)))</f>
        <v>0</v>
      </c>
      <c r="M1534" s="275">
        <f>IF(ISBLANK(INDEX('Policy Characteristics'!G:G,MATCH($C1534,'Policy Characteristics'!$C:$C,0))),"",INDEX('Policy Characteristics'!G:G,MATCH($C1534,'Policy Characteristics'!$C:$C,0)))</f>
        <v>10</v>
      </c>
      <c r="N1534" s="275">
        <f>IF(ISBLANK(INDEX('Policy Characteristics'!H:H,MATCH($C1534,'Policy Characteristics'!$C:$C,0))),"",INDEX('Policy Characteristics'!H:H,MATCH($C1534,'Policy Characteristics'!$C:$C,0)))</f>
        <v>1</v>
      </c>
      <c r="O1534" s="275" t="str">
        <f>IF(ISBLANK(INDEX('Policy Characteristics'!I:I,MATCH($C1534,'Policy Characteristics'!$C:$C,0))),"",INDEX('Policy Characteristics'!I:I,MATCH($C1534,'Policy Characteristics'!$C:$C,0)))</f>
        <v>weight</v>
      </c>
      <c r="P1534" s="275" t="str">
        <f>IF(ISBLANK(INDEX('Policy Characteristics'!J:J,MATCH($C1534,'Policy Characteristics'!$C:$C,0))),"",INDEX('Policy Characteristics'!J:J,MATCH($C1534,'Policy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4" s="275" t="str">
        <f>IF(ISBLANK(INDEX('Policy Characteristics'!K:K,MATCH($C1534,'Policy Characteristics'!$C:$C,0))),"",INDEX('Policy Characteristics'!K:K,MATCH($C1534,'Policy Characteristics'!$C:$C,0)))</f>
        <v>io-model.html</v>
      </c>
      <c r="R1534" s="275" t="str">
        <f>IF(ISBLANK(INDEX('Policy Characteristics'!L:L,MATCH($C1534,'Policy Characteristics'!$C:$C,0))),"",INDEX('Policy Characteristics'!L:L,MATCH($C1534,'Policy Characteristics'!$C:$C,0)))</f>
        <v/>
      </c>
    </row>
    <row r="1535" spans="1:18" x14ac:dyDescent="0.25">
      <c r="A1535" s="275" t="str">
        <f>IF(ISBLANK(INDEX('Policy Characteristics'!A:A,MATCH($C1535,'Policy Characteristics'!$C:$C,0))),"",INDEX('Policy Characteristics'!A:A,MATCH($C1535,'Policy Characteristics'!$C:$C,0)))</f>
        <v>Government Revenue Accounting</v>
      </c>
      <c r="B1535" s="284" t="str">
        <f>IF(ISBLANK(INDEX('Policy Characteristics'!B:B,MATCH($C1535,'Policy Characteristics'!$C:$C,0))),"",INDEX('Policy Characteristics'!B:B,MATCH($C1535,'Policy Characteristics'!$C:$C,0)))</f>
        <v>Remaining Government Cash Flows</v>
      </c>
      <c r="C1535" t="s">
        <v>2966</v>
      </c>
      <c r="D1535" s="1" t="s">
        <v>2967</v>
      </c>
      <c r="F1535" s="1" t="s">
        <v>2972</v>
      </c>
      <c r="H1535" s="44">
        <v>585</v>
      </c>
      <c r="I1535" s="344" t="s">
        <v>43</v>
      </c>
      <c r="J1535" s="276" t="str">
        <f>IF(ISBLANK(INDEX('Policy Characteristics'!D:D,MATCH($C1535,'Policy Characteristics'!$C:$C,0))),"",INDEX('Policy Characteristics'!D:D,MATCH($C1535,'Policy Characteristics'!$C:$C,0)))</f>
        <v/>
      </c>
      <c r="K1535" s="275" t="str">
        <f>IF(ISBLANK(INDEX('Policy Characteristics'!E:E,MATCH($C1535,'Policy Characteristics'!$C:$C,0))),"",INDEX('Policy Characteristics'!E:E,MATCH($C1535,'Policy Characteristics'!$C:$C,0)))</f>
        <v>GRA remaining cash flow changes</v>
      </c>
      <c r="L1535" s="275">
        <f>IF(ISBLANK(INDEX('Policy Characteristics'!F:F,MATCH($C1535,'Policy Characteristics'!$C:$C,0))),"",INDEX('Policy Characteristics'!F:F,MATCH($C1535,'Policy Characteristics'!$C:$C,0)))</f>
        <v>0</v>
      </c>
      <c r="M1535" s="275">
        <f>IF(ISBLANK(INDEX('Policy Characteristics'!G:G,MATCH($C1535,'Policy Characteristics'!$C:$C,0))),"",INDEX('Policy Characteristics'!G:G,MATCH($C1535,'Policy Characteristics'!$C:$C,0)))</f>
        <v>10</v>
      </c>
      <c r="N1535" s="275">
        <f>IF(ISBLANK(INDEX('Policy Characteristics'!H:H,MATCH($C1535,'Policy Characteristics'!$C:$C,0))),"",INDEX('Policy Characteristics'!H:H,MATCH($C1535,'Policy Characteristics'!$C:$C,0)))</f>
        <v>1</v>
      </c>
      <c r="O1535" s="275" t="str">
        <f>IF(ISBLANK(INDEX('Policy Characteristics'!I:I,MATCH($C1535,'Policy Characteristics'!$C:$C,0))),"",INDEX('Policy Characteristics'!I:I,MATCH($C1535,'Policy Characteristics'!$C:$C,0)))</f>
        <v>weight</v>
      </c>
      <c r="P1535" s="275" t="str">
        <f>IF(ISBLANK(INDEX('Policy Characteristics'!J:J,MATCH($C1535,'Policy Characteristics'!$C:$C,0))),"",INDEX('Policy Characteristics'!J:J,MATCH($C1535,'Policy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5" s="275" t="str">
        <f>IF(ISBLANK(INDEX('Policy Characteristics'!K:K,MATCH($C1535,'Policy Characteristics'!$C:$C,0))),"",INDEX('Policy Characteristics'!K:K,MATCH($C1535,'Policy Characteristics'!$C:$C,0)))</f>
        <v>io-model.html</v>
      </c>
      <c r="R1535" s="275" t="str">
        <f>IF(ISBLANK(INDEX('Policy Characteristics'!L:L,MATCH($C1535,'Policy Characteristics'!$C:$C,0))),"",INDEX('Policy Characteristics'!L:L,MATCH($C1535,'Policy Characteristics'!$C:$C,0)))</f>
        <v/>
      </c>
    </row>
    <row r="1536" spans="1:18" x14ac:dyDescent="0.25">
      <c r="A1536" s="275" t="str">
        <f>IF(ISBLANK(INDEX('Policy Characteristics'!A:A,MATCH($C1536,'Policy Characteristics'!$C:$C,0))),"",INDEX('Policy Characteristics'!A:A,MATCH($C1536,'Policy Characteristics'!$C:$C,0)))</f>
        <v>Government Revenue Accounting</v>
      </c>
      <c r="B1536" s="284" t="str">
        <f>IF(ISBLANK(INDEX('Policy Characteristics'!B:B,MATCH($C1536,'Policy Characteristics'!$C:$C,0))),"",INDEX('Policy Characteristics'!B:B,MATCH($C1536,'Policy Characteristics'!$C:$C,0)))</f>
        <v>Remaining Government Cash Flows</v>
      </c>
      <c r="C1536" s="275" t="str">
        <f t="shared" ref="C1536" si="89">C$1535</f>
        <v>GRA for Remaining Government Cash Flow Changes</v>
      </c>
      <c r="D1536" s="1" t="s">
        <v>2968</v>
      </c>
      <c r="F1536" s="1" t="s">
        <v>2984</v>
      </c>
      <c r="H1536" s="44">
        <v>586</v>
      </c>
      <c r="I1536" s="348" t="str">
        <f t="shared" ref="I1536:I1539" si="90">I$1535</f>
        <v>Yes</v>
      </c>
      <c r="J1536" s="276" t="str">
        <f>IF(ISBLANK(INDEX('Policy Characteristics'!D:D,MATCH($C1536,'Policy Characteristics'!$C:$C,0))),"",INDEX('Policy Characteristics'!D:D,MATCH($C1536,'Policy Characteristics'!$C:$C,0)))</f>
        <v/>
      </c>
      <c r="K1536" s="275" t="str">
        <f>IF(ISBLANK(INDEX('Policy Characteristics'!E:E,MATCH($C1536,'Policy Characteristics'!$C:$C,0))),"",INDEX('Policy Characteristics'!E:E,MATCH($C1536,'Policy Characteristics'!$C:$C,0)))</f>
        <v>GRA remaining cash flow changes</v>
      </c>
      <c r="L1536" s="275">
        <f>IF(ISBLANK(INDEX('Policy Characteristics'!F:F,MATCH($C1536,'Policy Characteristics'!$C:$C,0))),"",INDEX('Policy Characteristics'!F:F,MATCH($C1536,'Policy Characteristics'!$C:$C,0)))</f>
        <v>0</v>
      </c>
      <c r="M1536" s="275">
        <f>IF(ISBLANK(INDEX('Policy Characteristics'!G:G,MATCH($C1536,'Policy Characteristics'!$C:$C,0))),"",INDEX('Policy Characteristics'!G:G,MATCH($C1536,'Policy Characteristics'!$C:$C,0)))</f>
        <v>10</v>
      </c>
      <c r="N1536" s="275">
        <f>IF(ISBLANK(INDEX('Policy Characteristics'!H:H,MATCH($C1536,'Policy Characteristics'!$C:$C,0))),"",INDEX('Policy Characteristics'!H:H,MATCH($C1536,'Policy Characteristics'!$C:$C,0)))</f>
        <v>1</v>
      </c>
      <c r="O1536" s="275" t="str">
        <f>IF(ISBLANK(INDEX('Policy Characteristics'!I:I,MATCH($C1536,'Policy Characteristics'!$C:$C,0))),"",INDEX('Policy Characteristics'!I:I,MATCH($C1536,'Policy Characteristics'!$C:$C,0)))</f>
        <v>weight</v>
      </c>
      <c r="P1536" s="275" t="str">
        <f>IF(ISBLANK(INDEX('Policy Characteristics'!J:J,MATCH($C1536,'Policy Characteristics'!$C:$C,0))),"",INDEX('Policy Characteristics'!J:J,MATCH($C1536,'Policy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6" s="275" t="str">
        <f>IF(ISBLANK(INDEX('Policy Characteristics'!K:K,MATCH($C1536,'Policy Characteristics'!$C:$C,0))),"",INDEX('Policy Characteristics'!K:K,MATCH($C1536,'Policy Characteristics'!$C:$C,0)))</f>
        <v>io-model.html</v>
      </c>
      <c r="R1536" s="275" t="str">
        <f>IF(ISBLANK(INDEX('Policy Characteristics'!L:L,MATCH($C1536,'Policy Characteristics'!$C:$C,0))),"",INDEX('Policy Characteristics'!L:L,MATCH($C1536,'Policy Characteristics'!$C:$C,0)))</f>
        <v/>
      </c>
    </row>
    <row r="1537" spans="1:18" x14ac:dyDescent="0.25">
      <c r="A1537" s="275" t="str">
        <f>IF(ISBLANK(INDEX('Policy Characteristics'!A:A,MATCH($C1537,'Policy Characteristics'!$C:$C,0))),"",INDEX('Policy Characteristics'!A:A,MATCH($C1537,'Policy Characteristics'!$C:$C,0)))</f>
        <v>Government Revenue Accounting</v>
      </c>
      <c r="B1537" s="284" t="str">
        <f>IF(ISBLANK(INDEX('Policy Characteristics'!B:B,MATCH($C1537,'Policy Characteristics'!$C:$C,0))),"",INDEX('Policy Characteristics'!B:B,MATCH($C1537,'Policy Characteristics'!$C:$C,0)))</f>
        <v>Remaining Government Cash Flows</v>
      </c>
      <c r="C1537" s="275" t="str">
        <f t="shared" ref="C1537:C1539" si="91">C$1535</f>
        <v>GRA for Remaining Government Cash Flow Changes</v>
      </c>
      <c r="D1537" s="1" t="s">
        <v>2969</v>
      </c>
      <c r="F1537" s="1" t="s">
        <v>2973</v>
      </c>
      <c r="H1537" s="44">
        <v>587</v>
      </c>
      <c r="I1537" s="348" t="str">
        <f t="shared" si="90"/>
        <v>Yes</v>
      </c>
      <c r="J1537" s="276" t="str">
        <f>IF(ISBLANK(INDEX('Policy Characteristics'!D:D,MATCH($C1537,'Policy Characteristics'!$C:$C,0))),"",INDEX('Policy Characteristics'!D:D,MATCH($C1537,'Policy Characteristics'!$C:$C,0)))</f>
        <v/>
      </c>
      <c r="K1537" s="275" t="str">
        <f>IF(ISBLANK(INDEX('Policy Characteristics'!E:E,MATCH($C1537,'Policy Characteristics'!$C:$C,0))),"",INDEX('Policy Characteristics'!E:E,MATCH($C1537,'Policy Characteristics'!$C:$C,0)))</f>
        <v>GRA remaining cash flow changes</v>
      </c>
      <c r="L1537" s="275">
        <f>IF(ISBLANK(INDEX('Policy Characteristics'!F:F,MATCH($C1537,'Policy Characteristics'!$C:$C,0))),"",INDEX('Policy Characteristics'!F:F,MATCH($C1537,'Policy Characteristics'!$C:$C,0)))</f>
        <v>0</v>
      </c>
      <c r="M1537" s="275">
        <f>IF(ISBLANK(INDEX('Policy Characteristics'!G:G,MATCH($C1537,'Policy Characteristics'!$C:$C,0))),"",INDEX('Policy Characteristics'!G:G,MATCH($C1537,'Policy Characteristics'!$C:$C,0)))</f>
        <v>10</v>
      </c>
      <c r="N1537" s="275">
        <f>IF(ISBLANK(INDEX('Policy Characteristics'!H:H,MATCH($C1537,'Policy Characteristics'!$C:$C,0))),"",INDEX('Policy Characteristics'!H:H,MATCH($C1537,'Policy Characteristics'!$C:$C,0)))</f>
        <v>1</v>
      </c>
      <c r="O1537" s="275" t="str">
        <f>IF(ISBLANK(INDEX('Policy Characteristics'!I:I,MATCH($C1537,'Policy Characteristics'!$C:$C,0))),"",INDEX('Policy Characteristics'!I:I,MATCH($C1537,'Policy Characteristics'!$C:$C,0)))</f>
        <v>weight</v>
      </c>
      <c r="P1537" s="275" t="str">
        <f>IF(ISBLANK(INDEX('Policy Characteristics'!J:J,MATCH($C1537,'Policy Characteristics'!$C:$C,0))),"",INDEX('Policy Characteristics'!J:J,MATCH($C1537,'Policy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7" s="275" t="str">
        <f>IF(ISBLANK(INDEX('Policy Characteristics'!K:K,MATCH($C1537,'Policy Characteristics'!$C:$C,0))),"",INDEX('Policy Characteristics'!K:K,MATCH($C1537,'Policy Characteristics'!$C:$C,0)))</f>
        <v>io-model.html</v>
      </c>
      <c r="R1537" s="275" t="str">
        <f>IF(ISBLANK(INDEX('Policy Characteristics'!L:L,MATCH($C1537,'Policy Characteristics'!$C:$C,0))),"",INDEX('Policy Characteristics'!L:L,MATCH($C1537,'Policy Characteristics'!$C:$C,0)))</f>
        <v/>
      </c>
    </row>
    <row r="1538" spans="1:18" x14ac:dyDescent="0.25">
      <c r="A1538" s="275" t="str">
        <f>IF(ISBLANK(INDEX('Policy Characteristics'!A:A,MATCH($C1538,'Policy Characteristics'!$C:$C,0))),"",INDEX('Policy Characteristics'!A:A,MATCH($C1538,'Policy Characteristics'!$C:$C,0)))</f>
        <v>Government Revenue Accounting</v>
      </c>
      <c r="B1538" s="284" t="str">
        <f>IF(ISBLANK(INDEX('Policy Characteristics'!B:B,MATCH($C1538,'Policy Characteristics'!$C:$C,0))),"",INDEX('Policy Characteristics'!B:B,MATCH($C1538,'Policy Characteristics'!$C:$C,0)))</f>
        <v>Remaining Government Cash Flows</v>
      </c>
      <c r="C1538" s="275" t="str">
        <f t="shared" si="91"/>
        <v>GRA for Remaining Government Cash Flow Changes</v>
      </c>
      <c r="D1538" s="1" t="s">
        <v>2970</v>
      </c>
      <c r="F1538" s="1" t="s">
        <v>2974</v>
      </c>
      <c r="H1538" s="44">
        <v>588</v>
      </c>
      <c r="I1538" s="348" t="str">
        <f t="shared" si="90"/>
        <v>Yes</v>
      </c>
      <c r="J1538" s="276" t="str">
        <f>IF(ISBLANK(INDEX('Policy Characteristics'!D:D,MATCH($C1538,'Policy Characteristics'!$C:$C,0))),"",INDEX('Policy Characteristics'!D:D,MATCH($C1538,'Policy Characteristics'!$C:$C,0)))</f>
        <v/>
      </c>
      <c r="K1538" s="275" t="str">
        <f>IF(ISBLANK(INDEX('Policy Characteristics'!E:E,MATCH($C1538,'Policy Characteristics'!$C:$C,0))),"",INDEX('Policy Characteristics'!E:E,MATCH($C1538,'Policy Characteristics'!$C:$C,0)))</f>
        <v>GRA remaining cash flow changes</v>
      </c>
      <c r="L1538" s="275">
        <f>IF(ISBLANK(INDEX('Policy Characteristics'!F:F,MATCH($C1538,'Policy Characteristics'!$C:$C,0))),"",INDEX('Policy Characteristics'!F:F,MATCH($C1538,'Policy Characteristics'!$C:$C,0)))</f>
        <v>0</v>
      </c>
      <c r="M1538" s="275">
        <f>IF(ISBLANK(INDEX('Policy Characteristics'!G:G,MATCH($C1538,'Policy Characteristics'!$C:$C,0))),"",INDEX('Policy Characteristics'!G:G,MATCH($C1538,'Policy Characteristics'!$C:$C,0)))</f>
        <v>10</v>
      </c>
      <c r="N1538" s="275">
        <f>IF(ISBLANK(INDEX('Policy Characteristics'!H:H,MATCH($C1538,'Policy Characteristics'!$C:$C,0))),"",INDEX('Policy Characteristics'!H:H,MATCH($C1538,'Policy Characteristics'!$C:$C,0)))</f>
        <v>1</v>
      </c>
      <c r="O1538" s="275" t="str">
        <f>IF(ISBLANK(INDEX('Policy Characteristics'!I:I,MATCH($C1538,'Policy Characteristics'!$C:$C,0))),"",INDEX('Policy Characteristics'!I:I,MATCH($C1538,'Policy Characteristics'!$C:$C,0)))</f>
        <v>weight</v>
      </c>
      <c r="P1538" s="275" t="str">
        <f>IF(ISBLANK(INDEX('Policy Characteristics'!J:J,MATCH($C1538,'Policy Characteristics'!$C:$C,0))),"",INDEX('Policy Characteristics'!J:J,MATCH($C1538,'Policy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8" s="275" t="str">
        <f>IF(ISBLANK(INDEX('Policy Characteristics'!K:K,MATCH($C1538,'Policy Characteristics'!$C:$C,0))),"",INDEX('Policy Characteristics'!K:K,MATCH($C1538,'Policy Characteristics'!$C:$C,0)))</f>
        <v>io-model.html</v>
      </c>
      <c r="R1538" s="275" t="str">
        <f>IF(ISBLANK(INDEX('Policy Characteristics'!L:L,MATCH($C1538,'Policy Characteristics'!$C:$C,0))),"",INDEX('Policy Characteristics'!L:L,MATCH($C1538,'Policy Characteristics'!$C:$C,0)))</f>
        <v/>
      </c>
    </row>
    <row r="1539" spans="1:18" x14ac:dyDescent="0.25">
      <c r="A1539" s="275" t="str">
        <f>IF(ISBLANK(INDEX('Policy Characteristics'!A:A,MATCH($C1539,'Policy Characteristics'!$C:$C,0))),"",INDEX('Policy Characteristics'!A:A,MATCH($C1539,'Policy Characteristics'!$C:$C,0)))</f>
        <v>Government Revenue Accounting</v>
      </c>
      <c r="B1539" s="284" t="str">
        <f>IF(ISBLANK(INDEX('Policy Characteristics'!B:B,MATCH($C1539,'Policy Characteristics'!$C:$C,0))),"",INDEX('Policy Characteristics'!B:B,MATCH($C1539,'Policy Characteristics'!$C:$C,0)))</f>
        <v>Remaining Government Cash Flows</v>
      </c>
      <c r="C1539" s="275" t="str">
        <f t="shared" si="91"/>
        <v>GRA for Remaining Government Cash Flow Changes</v>
      </c>
      <c r="D1539" s="1" t="s">
        <v>2971</v>
      </c>
      <c r="F1539" s="1" t="s">
        <v>2975</v>
      </c>
      <c r="H1539" s="44">
        <v>589</v>
      </c>
      <c r="I1539" s="348" t="str">
        <f t="shared" si="90"/>
        <v>Yes</v>
      </c>
      <c r="J1539" s="276" t="str">
        <f>IF(ISBLANK(INDEX('Policy Characteristics'!D:D,MATCH($C1539,'Policy Characteristics'!$C:$C,0))),"",INDEX('Policy Characteristics'!D:D,MATCH($C1539,'Policy Characteristics'!$C:$C,0)))</f>
        <v/>
      </c>
      <c r="K1539" s="275" t="str">
        <f>IF(ISBLANK(INDEX('Policy Characteristics'!E:E,MATCH($C1539,'Policy Characteristics'!$C:$C,0))),"",INDEX('Policy Characteristics'!E:E,MATCH($C1539,'Policy Characteristics'!$C:$C,0)))</f>
        <v>GRA remaining cash flow changes</v>
      </c>
      <c r="L1539" s="275">
        <f>IF(ISBLANK(INDEX('Policy Characteristics'!F:F,MATCH($C1539,'Policy Characteristics'!$C:$C,0))),"",INDEX('Policy Characteristics'!F:F,MATCH($C1539,'Policy Characteristics'!$C:$C,0)))</f>
        <v>0</v>
      </c>
      <c r="M1539" s="275">
        <f>IF(ISBLANK(INDEX('Policy Characteristics'!G:G,MATCH($C1539,'Policy Characteristics'!$C:$C,0))),"",INDEX('Policy Characteristics'!G:G,MATCH($C1539,'Policy Characteristics'!$C:$C,0)))</f>
        <v>10</v>
      </c>
      <c r="N1539" s="275">
        <f>IF(ISBLANK(INDEX('Policy Characteristics'!H:H,MATCH($C1539,'Policy Characteristics'!$C:$C,0))),"",INDEX('Policy Characteristics'!H:H,MATCH($C1539,'Policy Characteristics'!$C:$C,0)))</f>
        <v>1</v>
      </c>
      <c r="O1539" s="275" t="str">
        <f>IF(ISBLANK(INDEX('Policy Characteristics'!I:I,MATCH($C1539,'Policy Characteristics'!$C:$C,0))),"",INDEX('Policy Characteristics'!I:I,MATCH($C1539,'Policy Characteristics'!$C:$C,0)))</f>
        <v>weight</v>
      </c>
      <c r="P1539" s="275" t="str">
        <f>IF(ISBLANK(INDEX('Policy Characteristics'!J:J,MATCH($C1539,'Policy Characteristics'!$C:$C,0))),"",INDEX('Policy Characteristics'!J:J,MATCH($C1539,'Policy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9" s="275" t="str">
        <f>IF(ISBLANK(INDEX('Policy Characteristics'!K:K,MATCH($C1539,'Policy Characteristics'!$C:$C,0))),"",INDEX('Policy Characteristics'!K:K,MATCH($C1539,'Policy Characteristics'!$C:$C,0)))</f>
        <v>io-model.html</v>
      </c>
      <c r="R1539" s="275" t="str">
        <f>IF(ISBLANK(INDEX('Policy Characteristics'!L:L,MATCH($C1539,'Policy Characteristics'!$C:$C,0))),"",INDEX('Policy Characteristics'!L:L,MATCH($C1539,'Policy Characteristics'!$C:$C,0)))</f>
        <v/>
      </c>
    </row>
    <row r="1540" spans="1:18" x14ac:dyDescent="0.25">
      <c r="A1540" s="275" t="str">
        <f>IF(ISBLANK(INDEX('Policy Characteristics'!A:A,MATCH($C1540,'Policy Characteristics'!$C:$C,0))),"",INDEX('Policy Characteristics'!A:A,MATCH($C1540,'Policy Characteristics'!$C:$C,0)))</f>
        <v>Control Settings</v>
      </c>
      <c r="B1540" s="284" t="str">
        <f>IF(ISBLANK(INDEX('Policy Characteristics'!B:B,MATCH($C1540,'Policy Characteristics'!$C:$C,0))),"",INDEX('Policy Characteristics'!B:B,MATCH($C1540,'Policy Characteristics'!$C:$C,0)))</f>
        <v>COVID-19 Recession</v>
      </c>
      <c r="C1540" s="1" t="s">
        <v>3447</v>
      </c>
      <c r="H1540" s="44">
        <v>543</v>
      </c>
      <c r="I1540" s="344" t="s">
        <v>44</v>
      </c>
      <c r="J1540" s="276" t="str">
        <f>IF(ISBLANK(INDEX('Policy Characteristics'!D:D,MATCH($C1540,'Policy Characteristics'!$C:$C,0))),"",INDEX('Policy Characteristics'!D:D,MATCH($C1540,'Policy Characteristics'!$C:$C,0)))</f>
        <v/>
      </c>
      <c r="K1540" s="275" t="str">
        <f>IF(ISBLANK(INDEX('Policy Characteristics'!E:E,MATCH($C1540,'Policy Characteristics'!$C:$C,0))),"",INDEX('Policy Characteristics'!E:E,MATCH($C1540,'Policy Characteristics'!$C:$C,0)))</f>
        <v>settings exogenous GDP adjustment</v>
      </c>
      <c r="L1540" s="381">
        <f>IF(ISBLANK(INDEX('Policy Characteristics'!F:F,MATCH($C1540,'Policy Characteristics'!$C:$C,0))),"",INDEX('Policy Characteristics'!F:F,MATCH($C1540,'Policy Characteristics'!$C:$C,0)))</f>
        <v>0</v>
      </c>
      <c r="M1540" s="381">
        <f>IF(ISBLANK(INDEX('Policy Characteristics'!G:G,MATCH($C1540,'Policy Characteristics'!$C:$C,0))),"",INDEX('Policy Characteristics'!G:G,MATCH($C1540,'Policy Characteristics'!$C:$C,0)))</f>
        <v>1</v>
      </c>
      <c r="N1540" s="381">
        <f>IF(ISBLANK(INDEX('Policy Characteristics'!H:H,MATCH($C1540,'Policy Characteristics'!$C:$C,0))),"",INDEX('Policy Characteristics'!H:H,MATCH($C1540,'Policy Characteristics'!$C:$C,0)))</f>
        <v>1</v>
      </c>
      <c r="O1540" s="275" t="str">
        <f>IF(ISBLANK(INDEX('Policy Characteristics'!I:I,MATCH($C1540,'Policy Characteristics'!$C:$C,0))),"",INDEX('Policy Characteristics'!I:I,MATCH($C1540,'Policy Characteristics'!$C:$C,0)))</f>
        <v>on/off</v>
      </c>
      <c r="P1540" s="275" t="str">
        <f>IF(ISBLANK(INDEX('Policy Characteristics'!J:J,MATCH($C1540,'Policy Characteristics'!$C:$C,0))),"",INDEX('Policy Characteristics'!J:J,MATCH($C1540,'Policy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540" s="275" t="str">
        <f>IF(ISBLANK(INDEX('Policy Characteristics'!K:K,MATCH($C1540,'Policy Characteristics'!$C:$C,0))),"",INDEX('Policy Characteristics'!K:K,MATCH($C1540,'Policy Characteristics'!$C:$C,0)))</f>
        <v/>
      </c>
      <c r="R1540" s="275" t="str">
        <f>IF(ISBLANK(INDEX('Policy Characteristics'!L:L,MATCH($C1540,'Policy Characteristics'!$C:$C,0))),"",INDEX('Policy Characteristics'!L:L,MATCH($C1540,'Policy Characteristics'!$C:$C,0)))</f>
        <v/>
      </c>
    </row>
    <row r="1541" spans="1:18" x14ac:dyDescent="0.25">
      <c r="A1541" s="275" t="str">
        <f>IF(ISBLANK(INDEX('Policy Characteristics'!A:A,MATCH($C1541,'Policy Characteristics'!$C:$C,0))),"",INDEX('Policy Characteristics'!A:A,MATCH($C1541,'Policy Characteristics'!$C:$C,0)))</f>
        <v>Control Settings</v>
      </c>
      <c r="B1541" s="284" t="str">
        <f>IF(ISBLANK(INDEX('Policy Characteristics'!B:B,MATCH($C1541,'Policy Characteristics'!$C:$C,0))),"",INDEX('Policy Characteristics'!B:B,MATCH($C1541,'Policy Characteristics'!$C:$C,0)))</f>
        <v>Use 20-Year GWP Values</v>
      </c>
      <c r="C1541" t="s">
        <v>3302</v>
      </c>
      <c r="H1541" s="44">
        <v>1601</v>
      </c>
      <c r="I1541" s="344" t="s">
        <v>44</v>
      </c>
      <c r="J1541" s="276" t="str">
        <f>IF(ISBLANK(INDEX('Policy Characteristics'!D:D,MATCH($C1541,'Policy Characteristics'!$C:$C,0))),"",INDEX('Policy Characteristics'!D:D,MATCH($C1541,'Policy Characteristics'!$C:$C,0)))</f>
        <v/>
      </c>
      <c r="K1541" s="275" t="str">
        <f>IF(ISBLANK(INDEX('Policy Characteristics'!E:E,MATCH($C1541,'Policy Characteristics'!$C:$C,0))),"",INDEX('Policy Characteristics'!E:E,MATCH($C1541,'Policy Characteristics'!$C:$C,0)))</f>
        <v/>
      </c>
      <c r="L1541" s="381">
        <f>IF(ISBLANK(INDEX('Policy Characteristics'!F:F,MATCH($C1541,'Policy Characteristics'!$C:$C,0))),"",INDEX('Policy Characteristics'!F:F,MATCH($C1541,'Policy Characteristics'!$C:$C,0)))</f>
        <v>0</v>
      </c>
      <c r="M1541" s="381">
        <f>IF(ISBLANK(INDEX('Policy Characteristics'!G:G,MATCH($C1541,'Policy Characteristics'!$C:$C,0))),"",INDEX('Policy Characteristics'!G:G,MATCH($C1541,'Policy Characteristics'!$C:$C,0)))</f>
        <v>1</v>
      </c>
      <c r="N1541" s="381">
        <f>IF(ISBLANK(INDEX('Policy Characteristics'!H:H,MATCH($C1541,'Policy Characteristics'!$C:$C,0))),"",INDEX('Policy Characteristics'!H:H,MATCH($C1541,'Policy Characteristics'!$C:$C,0)))</f>
        <v>1</v>
      </c>
      <c r="O1541" s="275" t="str">
        <f>IF(ISBLANK(INDEX('Policy Characteristics'!I:I,MATCH($C1541,'Policy Characteristics'!$C:$C,0))),"",INDEX('Policy Characteristics'!I:I,MATCH($C1541,'Policy Characteristics'!$C:$C,0)))</f>
        <v>on/off</v>
      </c>
      <c r="P1541" s="275" t="str">
        <f>IF(ISBLANK(INDEX('Policy Characteristics'!J:J,MATCH($C1541,'Policy Characteristics'!$C:$C,0))),"",INDEX('Policy Characteristics'!J:J,MATCH($C1541,'Policy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541" s="275" t="str">
        <f>IF(ISBLANK(INDEX('Policy Characteristics'!K:K,MATCH($C1541,'Policy Characteristics'!$C:$C,0))),"",INDEX('Policy Characteristics'!K:K,MATCH($C1541,'Policy Characteristics'!$C:$C,0)))</f>
        <v/>
      </c>
      <c r="R1541" s="275" t="str">
        <f>IF(ISBLANK(INDEX('Policy Characteristics'!L:L,MATCH($C1541,'Policy Characteristics'!$C:$C,0))),"",INDEX('Policy Characteristics'!L:L,MATCH($C1541,'Policy Characteristics'!$C:$C,0)))</f>
        <v/>
      </c>
    </row>
  </sheetData>
  <sortState xmlns:xlrd2="http://schemas.microsoft.com/office/spreadsheetml/2017/richdata2" ref="A191:I211">
    <sortCondition ref="B191:B211"/>
  </sortState>
  <conditionalFormatting sqref="I1:I1485">
    <cfRule type="containsText" dxfId="5" priority="3" operator="containsText" text="No">
      <formula>NOT(ISERROR(SEARCH("No",I1)))</formula>
    </cfRule>
  </conditionalFormatting>
  <conditionalFormatting sqref="I1490 I1495 I1505 I1510 I1515 I1520 I1530 I1535 I1540:I1048576">
    <cfRule type="containsText" dxfId="4" priority="133" operator="containsText" text="No">
      <formula>NOT(ISERROR(SEARCH("No",I1490)))</formula>
    </cfRule>
  </conditionalFormatting>
  <conditionalFormatting sqref="I1500">
    <cfRule type="containsText" dxfId="3" priority="2" operator="containsText" text="No">
      <formula>NOT(ISERROR(SEARCH("No",I1500)))</formula>
    </cfRule>
  </conditionalFormatting>
  <conditionalFormatting sqref="I1525">
    <cfRule type="containsText" dxfId="2" priority="1" operator="containsText" text="No">
      <formula>NOT(ISERROR(SEARCH("No",I1525)))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1"/>
  <sheetViews>
    <sheetView zoomScale="85" zoomScaleNormal="85" workbookViewId="0">
      <selection activeCell="A46" sqref="A46"/>
    </sheetView>
  </sheetViews>
  <sheetFormatPr defaultColWidth="9.140625" defaultRowHeight="15" x14ac:dyDescent="0.25"/>
  <cols>
    <col min="1" max="2" width="76.85546875" customWidth="1"/>
  </cols>
  <sheetData>
    <row r="1" spans="1:2" x14ac:dyDescent="0.25">
      <c r="A1" s="408" t="s">
        <v>2819</v>
      </c>
      <c r="B1" s="408"/>
    </row>
    <row r="2" spans="1:2" x14ac:dyDescent="0.25">
      <c r="A2" s="206" t="s">
        <v>2820</v>
      </c>
      <c r="B2" s="206" t="s">
        <v>2821</v>
      </c>
    </row>
    <row r="3" spans="1:2" x14ac:dyDescent="0.25">
      <c r="A3" s="207" t="s">
        <v>353</v>
      </c>
      <c r="B3" t="str">
        <f>A3</f>
        <v>million metric tons / year</v>
      </c>
    </row>
    <row r="4" spans="1:2" x14ac:dyDescent="0.25">
      <c r="A4" s="207" t="s">
        <v>3509</v>
      </c>
      <c r="B4" t="str">
        <f>A4</f>
        <v>million metric tons</v>
      </c>
    </row>
    <row r="5" spans="1:2" x14ac:dyDescent="0.25">
      <c r="A5" s="207" t="s">
        <v>3721</v>
      </c>
      <c r="B5" t="str">
        <f>A5</f>
        <v>g CO2e / 2021 dollar</v>
      </c>
    </row>
    <row r="6" spans="1:2" x14ac:dyDescent="0.25">
      <c r="A6" s="208" t="s">
        <v>2322</v>
      </c>
      <c r="B6" t="str">
        <f t="shared" ref="B6:B45" si="0">A6</f>
        <v>thousand metric tons / year</v>
      </c>
    </row>
    <row r="7" spans="1:2" x14ac:dyDescent="0.25">
      <c r="A7" s="208" t="s">
        <v>3722</v>
      </c>
      <c r="B7" t="str">
        <f>A7</f>
        <v>g CO2 / 2021 dollar</v>
      </c>
    </row>
    <row r="8" spans="1:2" ht="30" x14ac:dyDescent="0.25">
      <c r="A8" s="208" t="s">
        <v>3318</v>
      </c>
      <c r="B8" t="str">
        <f t="shared" si="0"/>
        <v>2020 dollars / metric ton CO2e abated, Annual average abatement (million metric tons CO2e)</v>
      </c>
    </row>
    <row r="9" spans="1:2" x14ac:dyDescent="0.25">
      <c r="A9" s="208" t="s">
        <v>3723</v>
      </c>
      <c r="B9" t="str">
        <f t="shared" si="0"/>
        <v>billion 2021 dollars / year</v>
      </c>
    </row>
    <row r="10" spans="1:2" x14ac:dyDescent="0.25">
      <c r="A10" s="208" t="s">
        <v>3724</v>
      </c>
      <c r="B10" t="str">
        <f t="shared" si="0"/>
        <v>billion 2021 dollars</v>
      </c>
    </row>
    <row r="11" spans="1:2" x14ac:dyDescent="0.25">
      <c r="A11" s="208" t="s">
        <v>2863</v>
      </c>
      <c r="B11" t="str">
        <f t="shared" si="0"/>
        <v>jobs</v>
      </c>
    </row>
    <row r="12" spans="1:2" x14ac:dyDescent="0.25">
      <c r="A12" s="208" t="s">
        <v>2905</v>
      </c>
      <c r="B12" t="str">
        <f t="shared" si="0"/>
        <v>incidents / year</v>
      </c>
    </row>
    <row r="13" spans="1:2" x14ac:dyDescent="0.25">
      <c r="A13" s="208" t="s">
        <v>2882</v>
      </c>
      <c r="B13" t="str">
        <f t="shared" si="0"/>
        <v>% change</v>
      </c>
    </row>
    <row r="14" spans="1:2" x14ac:dyDescent="0.25">
      <c r="A14" s="208" t="s">
        <v>3725</v>
      </c>
      <c r="B14" t="str">
        <f t="shared" si="0"/>
        <v>2021 dollars / employee-year</v>
      </c>
    </row>
    <row r="15" spans="1:2" x14ac:dyDescent="0.25">
      <c r="A15" s="208" t="s">
        <v>354</v>
      </c>
      <c r="B15" t="str">
        <f t="shared" si="0"/>
        <v>lives / year</v>
      </c>
    </row>
    <row r="16" spans="1:2" x14ac:dyDescent="0.25">
      <c r="A16" s="208" t="s">
        <v>355</v>
      </c>
      <c r="B16" t="str">
        <f t="shared" si="0"/>
        <v>terawatt-hours (TWh) / year</v>
      </c>
    </row>
    <row r="17" spans="1:2" x14ac:dyDescent="0.25">
      <c r="A17" s="208" t="s">
        <v>3590</v>
      </c>
      <c r="B17" t="str">
        <f t="shared" si="0"/>
        <v>terawatt-hours (TWh)</v>
      </c>
    </row>
    <row r="18" spans="1:2" x14ac:dyDescent="0.25">
      <c r="A18" s="208" t="s">
        <v>3350</v>
      </c>
      <c r="B18" t="str">
        <f t="shared" si="0"/>
        <v>%</v>
      </c>
    </row>
    <row r="19" spans="1:2" x14ac:dyDescent="0.25">
      <c r="A19" s="208" t="s">
        <v>3351</v>
      </c>
      <c r="B19" t="str">
        <f t="shared" si="0"/>
        <v>metric tons CO2e / megawatt-hour (MWh)</v>
      </c>
    </row>
    <row r="20" spans="1:2" x14ac:dyDescent="0.25">
      <c r="A20" s="208" t="s">
        <v>3726</v>
      </c>
      <c r="B20" t="str">
        <f t="shared" si="0"/>
        <v>kilowatt-hour / 2021 dollar</v>
      </c>
    </row>
    <row r="21" spans="1:2" x14ac:dyDescent="0.25">
      <c r="A21" s="208" t="s">
        <v>356</v>
      </c>
      <c r="B21" t="str">
        <f t="shared" si="0"/>
        <v>gigawatts (GW) / year</v>
      </c>
    </row>
    <row r="22" spans="1:2" x14ac:dyDescent="0.25">
      <c r="A22" s="208" t="s">
        <v>3727</v>
      </c>
      <c r="B22" t="str">
        <f t="shared" si="0"/>
        <v>2021 dollars / megawatt-hour (MWh)</v>
      </c>
    </row>
    <row r="23" spans="1:2" x14ac:dyDescent="0.25">
      <c r="A23" s="208" t="s">
        <v>2461</v>
      </c>
      <c r="B23" t="str">
        <f t="shared" si="0"/>
        <v>cubic km / yr</v>
      </c>
    </row>
    <row r="24" spans="1:2" x14ac:dyDescent="0.25">
      <c r="A24" s="208" t="s">
        <v>2381</v>
      </c>
      <c r="B24" t="str">
        <f t="shared" si="0"/>
        <v>trillion passenger-miles / year</v>
      </c>
    </row>
    <row r="25" spans="1:2" x14ac:dyDescent="0.25">
      <c r="A25" s="208" t="s">
        <v>2382</v>
      </c>
      <c r="B25" t="str">
        <f t="shared" si="0"/>
        <v>trillion freight ton-miles / year</v>
      </c>
    </row>
    <row r="26" spans="1:2" x14ac:dyDescent="0.25">
      <c r="A26" s="208" t="s">
        <v>476</v>
      </c>
      <c r="B26" t="str">
        <f t="shared" si="0"/>
        <v>million vehicles / year</v>
      </c>
    </row>
    <row r="27" spans="1:2" x14ac:dyDescent="0.25">
      <c r="A27" s="208" t="s">
        <v>2359</v>
      </c>
      <c r="B27" t="str">
        <f t="shared" si="0"/>
        <v>thousand vehicles / year</v>
      </c>
    </row>
    <row r="28" spans="1:2" x14ac:dyDescent="0.25">
      <c r="A28" s="208" t="s">
        <v>2358</v>
      </c>
      <c r="B28" t="str">
        <f t="shared" si="0"/>
        <v>million vehicles</v>
      </c>
    </row>
    <row r="29" spans="1:2" x14ac:dyDescent="0.25">
      <c r="A29" s="208" t="s">
        <v>2391</v>
      </c>
      <c r="B29" t="str">
        <f t="shared" si="0"/>
        <v>thousand vehicles</v>
      </c>
    </row>
    <row r="30" spans="1:2" x14ac:dyDescent="0.25">
      <c r="A30" s="208" t="s">
        <v>458</v>
      </c>
      <c r="B30" t="str">
        <f t="shared" si="0"/>
        <v>quads / year</v>
      </c>
    </row>
    <row r="31" spans="1:2" x14ac:dyDescent="0.25">
      <c r="A31" s="208" t="s">
        <v>3728</v>
      </c>
      <c r="B31" t="str">
        <f>A31</f>
        <v>thousand BTU / 2021 dollar</v>
      </c>
    </row>
    <row r="32" spans="1:2" x14ac:dyDescent="0.25">
      <c r="A32" s="208" t="s">
        <v>2364</v>
      </c>
      <c r="B32" t="str">
        <f t="shared" si="0"/>
        <v>millions of short tons / year</v>
      </c>
    </row>
    <row r="33" spans="1:2" x14ac:dyDescent="0.25">
      <c r="A33" s="208" t="s">
        <v>2365</v>
      </c>
      <c r="B33" t="str">
        <f t="shared" si="0"/>
        <v>trillion cubic feet / year</v>
      </c>
    </row>
    <row r="34" spans="1:2" x14ac:dyDescent="0.25">
      <c r="A34" s="208" t="s">
        <v>3319</v>
      </c>
      <c r="B34" t="str">
        <f t="shared" si="0"/>
        <v>million barrels of oil / year</v>
      </c>
    </row>
    <row r="35" spans="1:2" x14ac:dyDescent="0.25">
      <c r="A35" s="208" t="s">
        <v>2637</v>
      </c>
      <c r="B35" t="str">
        <f t="shared" si="0"/>
        <v>million gallons / year</v>
      </c>
    </row>
    <row r="36" spans="1:2" x14ac:dyDescent="0.25">
      <c r="A36" s="208" t="s">
        <v>2426</v>
      </c>
      <c r="B36" t="str">
        <f t="shared" si="0"/>
        <v>trillion BTU / year</v>
      </c>
    </row>
    <row r="37" spans="1:2" x14ac:dyDescent="0.25">
      <c r="A37" s="208" t="s">
        <v>3729</v>
      </c>
      <c r="B37" t="str">
        <f t="shared" si="0"/>
        <v>2021 dollars / short ton</v>
      </c>
    </row>
    <row r="38" spans="1:2" x14ac:dyDescent="0.25">
      <c r="A38" s="208" t="s">
        <v>3730</v>
      </c>
      <c r="B38" t="str">
        <f t="shared" si="0"/>
        <v>2021 dollars / thousand cubic feet</v>
      </c>
    </row>
    <row r="39" spans="1:2" x14ac:dyDescent="0.25">
      <c r="A39" s="208" t="s">
        <v>3731</v>
      </c>
      <c r="B39" t="str">
        <f t="shared" si="0"/>
        <v>2021 dollars / gallon</v>
      </c>
    </row>
    <row r="40" spans="1:2" x14ac:dyDescent="0.25">
      <c r="A40" s="208" t="s">
        <v>3732</v>
      </c>
      <c r="B40" t="str">
        <f t="shared" si="0"/>
        <v>2021 dollars / barrel of oil</v>
      </c>
    </row>
    <row r="41" spans="1:2" x14ac:dyDescent="0.25">
      <c r="A41" s="208" t="s">
        <v>3733</v>
      </c>
      <c r="B41" t="str">
        <f t="shared" si="0"/>
        <v>2021 dollars / kg</v>
      </c>
    </row>
    <row r="42" spans="1:2" x14ac:dyDescent="0.25">
      <c r="A42" s="208" t="s">
        <v>3734</v>
      </c>
      <c r="B42" t="str">
        <f t="shared" si="0"/>
        <v>2021 dollars / kilowatt-hour (kWh)</v>
      </c>
    </row>
    <row r="43" spans="1:2" x14ac:dyDescent="0.25">
      <c r="A43" s="208" t="s">
        <v>3305</v>
      </c>
      <c r="B43" t="str">
        <f t="shared" si="0"/>
        <v>cost of eqpt. to capture 1 metric ton CO2e/yr (2020 dollars)</v>
      </c>
    </row>
    <row r="44" spans="1:2" x14ac:dyDescent="0.25">
      <c r="A44" s="208" t="s">
        <v>3735</v>
      </c>
      <c r="B44" t="str">
        <f t="shared" si="0"/>
        <v>million 2021 dollars / megawatt (MW)</v>
      </c>
    </row>
    <row r="45" spans="1:2" x14ac:dyDescent="0.25">
      <c r="A45" s="208" t="s">
        <v>3736</v>
      </c>
      <c r="B45" t="str">
        <f t="shared" si="0"/>
        <v>cost of eqpt. to produce 1 kg H2/yr (2021 dollars)</v>
      </c>
    </row>
    <row r="47" spans="1:2" x14ac:dyDescent="0.25">
      <c r="A47" s="408" t="s">
        <v>2823</v>
      </c>
      <c r="B47" s="408"/>
    </row>
    <row r="48" spans="1:2" x14ac:dyDescent="0.25">
      <c r="A48" s="206" t="s">
        <v>2820</v>
      </c>
      <c r="B48" s="206" t="s">
        <v>2821</v>
      </c>
    </row>
    <row r="49" spans="1:2" x14ac:dyDescent="0.25">
      <c r="A49" s="167" t="s">
        <v>139</v>
      </c>
      <c r="B49" t="str">
        <f t="shared" ref="B49:B50" si="1">A49</f>
        <v>$/metric ton CO2e</v>
      </c>
    </row>
    <row r="50" spans="1:2" x14ac:dyDescent="0.25">
      <c r="A50" s="167" t="s">
        <v>141</v>
      </c>
      <c r="B50" t="str">
        <f t="shared" si="1"/>
        <v>$/MWh</v>
      </c>
    </row>
    <row r="61" spans="1:2" x14ac:dyDescent="0.25">
      <c r="A61" s="1"/>
    </row>
  </sheetData>
  <mergeCells count="2">
    <mergeCell ref="A1:B1"/>
    <mergeCell ref="A47:B4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1"/>
  <sheetViews>
    <sheetView topLeftCell="C1" zoomScale="85" zoomScaleNormal="85" workbookViewId="0">
      <pane ySplit="1" topLeftCell="A2" activePane="bottomLeft" state="frozen"/>
      <selection pane="bottomLeft" activeCell="M2" sqref="M2"/>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72" t="s">
        <v>2313</v>
      </c>
      <c r="B1" s="173" t="s">
        <v>2314</v>
      </c>
      <c r="C1" s="209" t="s">
        <v>2822</v>
      </c>
      <c r="D1" s="173" t="s">
        <v>60</v>
      </c>
      <c r="E1" s="173" t="s">
        <v>62</v>
      </c>
      <c r="F1" s="173" t="s">
        <v>440</v>
      </c>
      <c r="G1" s="173" t="s">
        <v>61</v>
      </c>
      <c r="H1" s="173" t="s">
        <v>2323</v>
      </c>
      <c r="I1" s="174" t="s">
        <v>304</v>
      </c>
      <c r="J1" s="45" t="s">
        <v>3600</v>
      </c>
    </row>
    <row r="2" spans="1:10" x14ac:dyDescent="0.25">
      <c r="A2" s="2" t="s">
        <v>2328</v>
      </c>
      <c r="B2" s="1" t="s">
        <v>2329</v>
      </c>
      <c r="C2" s="44">
        <v>1</v>
      </c>
      <c r="D2" s="1" t="s">
        <v>63</v>
      </c>
      <c r="E2" s="1" t="s">
        <v>64</v>
      </c>
      <c r="F2" s="1" t="str">
        <f>UnitControlCenter!$B$3</f>
        <v>million metric tons / year</v>
      </c>
      <c r="G2" s="1" t="s">
        <v>175</v>
      </c>
      <c r="J2" s="1" t="s">
        <v>3606</v>
      </c>
    </row>
    <row r="3" spans="1:10" x14ac:dyDescent="0.25">
      <c r="A3" s="2" t="s">
        <v>2328</v>
      </c>
      <c r="B3" s="1" t="s">
        <v>2330</v>
      </c>
      <c r="C3" s="49">
        <v>1</v>
      </c>
      <c r="D3" s="2" t="s">
        <v>63</v>
      </c>
      <c r="E3" s="2" t="s">
        <v>64</v>
      </c>
      <c r="F3" s="1" t="str">
        <f>UnitControlCenter!$B$3</f>
        <v>million metric tons / year</v>
      </c>
      <c r="G3" s="1" t="s">
        <v>2312</v>
      </c>
    </row>
    <row r="4" spans="1:10" ht="30" x14ac:dyDescent="0.25">
      <c r="A4" s="2" t="s">
        <v>2328</v>
      </c>
      <c r="B4" s="1" t="s">
        <v>3507</v>
      </c>
      <c r="C4" s="44">
        <v>1</v>
      </c>
      <c r="D4" s="1" t="s">
        <v>63</v>
      </c>
      <c r="E4" s="1" t="s">
        <v>64</v>
      </c>
      <c r="F4" s="1" t="str">
        <f>UnitControlCenter!B4</f>
        <v>million metric tons</v>
      </c>
      <c r="G4" s="1" t="s">
        <v>3510</v>
      </c>
      <c r="J4" s="1" t="s">
        <v>3607</v>
      </c>
    </row>
    <row r="5" spans="1:10" ht="30" x14ac:dyDescent="0.25">
      <c r="A5" s="2" t="s">
        <v>2328</v>
      </c>
      <c r="B5" s="1" t="s">
        <v>3508</v>
      </c>
      <c r="C5" s="49">
        <v>1</v>
      </c>
      <c r="D5" s="2" t="s">
        <v>63</v>
      </c>
      <c r="E5" s="2" t="s">
        <v>64</v>
      </c>
      <c r="F5" s="1" t="str">
        <f>UnitControlCenter!B4</f>
        <v>million metric tons</v>
      </c>
      <c r="G5" s="1" t="s">
        <v>3511</v>
      </c>
    </row>
    <row r="6" spans="1:10" ht="90" x14ac:dyDescent="0.25">
      <c r="A6" s="2" t="s">
        <v>2328</v>
      </c>
      <c r="B6" s="2" t="s">
        <v>2331</v>
      </c>
      <c r="C6" s="44">
        <v>1</v>
      </c>
      <c r="D6" s="1" t="s">
        <v>65</v>
      </c>
      <c r="E6" s="1" t="s">
        <v>66</v>
      </c>
      <c r="F6" s="1" t="str">
        <f>UnitControlCenter!$B$3</f>
        <v>million metric tons / year</v>
      </c>
      <c r="G6" s="1" t="s">
        <v>2800</v>
      </c>
      <c r="H6" s="1" t="s">
        <v>2801</v>
      </c>
      <c r="I6" s="1" t="s">
        <v>2802</v>
      </c>
    </row>
    <row r="7" spans="1:10" ht="30" x14ac:dyDescent="0.25">
      <c r="A7" s="2" t="s">
        <v>2328</v>
      </c>
      <c r="B7" s="2" t="s">
        <v>2332</v>
      </c>
      <c r="C7" s="44">
        <v>1</v>
      </c>
      <c r="D7" s="1" t="s">
        <v>65</v>
      </c>
      <c r="E7" s="1" t="s">
        <v>66</v>
      </c>
      <c r="F7" s="1" t="str">
        <f>UnitControlCenter!$B$3</f>
        <v>million metric tons / year</v>
      </c>
      <c r="G7" s="1" t="s">
        <v>2803</v>
      </c>
      <c r="H7" s="1" t="s">
        <v>2804</v>
      </c>
      <c r="I7" s="1" t="s">
        <v>2805</v>
      </c>
    </row>
    <row r="8" spans="1:10" ht="30" x14ac:dyDescent="0.25">
      <c r="A8" s="2" t="s">
        <v>2328</v>
      </c>
      <c r="B8" s="2" t="s">
        <v>2333</v>
      </c>
      <c r="C8" s="44">
        <v>1</v>
      </c>
      <c r="D8" s="1" t="s">
        <v>65</v>
      </c>
      <c r="E8" s="1" t="s">
        <v>66</v>
      </c>
      <c r="F8" s="1" t="str">
        <f>UnitControlCenter!$B$3</f>
        <v>million metric tons / year</v>
      </c>
      <c r="G8" s="1" t="s">
        <v>2605</v>
      </c>
      <c r="H8" s="1" t="s">
        <v>2606</v>
      </c>
      <c r="I8" s="1" t="s">
        <v>2607</v>
      </c>
    </row>
    <row r="9" spans="1:10" x14ac:dyDescent="0.25">
      <c r="A9" s="2" t="s">
        <v>2328</v>
      </c>
      <c r="B9" s="2" t="s">
        <v>2873</v>
      </c>
      <c r="C9" s="44">
        <v>0</v>
      </c>
      <c r="D9" s="1" t="s">
        <v>63</v>
      </c>
      <c r="E9" s="1" t="s">
        <v>64</v>
      </c>
      <c r="F9" s="1" t="str">
        <f>UnitControlCenter!$B$5</f>
        <v>g CO2e / 2021 dollar</v>
      </c>
      <c r="G9" s="1" t="s">
        <v>2825</v>
      </c>
    </row>
    <row r="10" spans="1:10" x14ac:dyDescent="0.25">
      <c r="A10" s="2" t="s">
        <v>2328</v>
      </c>
      <c r="B10" s="2" t="s">
        <v>132</v>
      </c>
      <c r="C10" s="44">
        <v>1</v>
      </c>
      <c r="D10" s="1" t="s">
        <v>63</v>
      </c>
      <c r="E10" s="1" t="s">
        <v>64</v>
      </c>
      <c r="F10" s="1" t="str">
        <f>UnitControlCenter!$B$3</f>
        <v>million metric tons / year</v>
      </c>
      <c r="G10" s="1" t="s">
        <v>2431</v>
      </c>
    </row>
    <row r="11" spans="1:10" x14ac:dyDescent="0.25">
      <c r="A11" s="2" t="s">
        <v>2328</v>
      </c>
      <c r="B11" s="2" t="s">
        <v>2429</v>
      </c>
      <c r="C11" s="44">
        <v>1</v>
      </c>
      <c r="D11" s="1" t="s">
        <v>63</v>
      </c>
      <c r="E11" s="1" t="s">
        <v>64</v>
      </c>
      <c r="F11" s="1" t="str">
        <f>UnitControlCenter!$B$3</f>
        <v>million metric tons / year</v>
      </c>
      <c r="G11" s="1" t="s">
        <v>2432</v>
      </c>
    </row>
    <row r="12" spans="1:10" x14ac:dyDescent="0.25">
      <c r="A12" s="2" t="s">
        <v>2328</v>
      </c>
      <c r="B12" s="2" t="s">
        <v>2490</v>
      </c>
      <c r="C12" s="44">
        <v>1</v>
      </c>
      <c r="D12" s="1" t="s">
        <v>63</v>
      </c>
      <c r="E12" s="1" t="s">
        <v>64</v>
      </c>
      <c r="F12" s="1" t="str">
        <f>UnitControlCenter!$B$3</f>
        <v>million metric tons / year</v>
      </c>
      <c r="G12" s="1" t="s">
        <v>2498</v>
      </c>
    </row>
    <row r="13" spans="1:10" x14ac:dyDescent="0.25">
      <c r="A13" s="2" t="s">
        <v>2328</v>
      </c>
      <c r="B13" s="2" t="s">
        <v>93</v>
      </c>
      <c r="C13" s="44">
        <v>1</v>
      </c>
      <c r="D13" s="1" t="s">
        <v>63</v>
      </c>
      <c r="E13" s="1" t="s">
        <v>64</v>
      </c>
      <c r="F13" s="1" t="str">
        <f>UnitControlCenter!$B$3</f>
        <v>million metric tons / year</v>
      </c>
      <c r="G13" s="1" t="s">
        <v>2433</v>
      </c>
    </row>
    <row r="14" spans="1:10" x14ac:dyDescent="0.25">
      <c r="A14" s="2" t="s">
        <v>2328</v>
      </c>
      <c r="B14" s="2" t="s">
        <v>9</v>
      </c>
      <c r="C14" s="44">
        <v>1</v>
      </c>
      <c r="D14" s="1" t="s">
        <v>63</v>
      </c>
      <c r="E14" s="1" t="s">
        <v>64</v>
      </c>
      <c r="F14" s="1" t="str">
        <f>UnitControlCenter!$B$3</f>
        <v>million metric tons / year</v>
      </c>
      <c r="G14" s="1" t="s">
        <v>2452</v>
      </c>
    </row>
    <row r="15" spans="1:10" x14ac:dyDescent="0.25">
      <c r="A15" s="2" t="s">
        <v>2328</v>
      </c>
      <c r="B15" s="2" t="s">
        <v>2430</v>
      </c>
      <c r="C15" s="44">
        <v>1</v>
      </c>
      <c r="D15" s="1" t="s">
        <v>63</v>
      </c>
      <c r="E15" s="1" t="s">
        <v>64</v>
      </c>
      <c r="F15" s="1" t="str">
        <f>UnitControlCenter!$B$3</f>
        <v>million metric tons / year</v>
      </c>
      <c r="G15" s="1" t="s">
        <v>2434</v>
      </c>
    </row>
    <row r="16" spans="1:10" x14ac:dyDescent="0.25">
      <c r="A16" s="2" t="s">
        <v>2328</v>
      </c>
      <c r="B16" s="2" t="s">
        <v>4</v>
      </c>
      <c r="C16" s="44">
        <v>1</v>
      </c>
      <c r="D16" s="1" t="s">
        <v>63</v>
      </c>
      <c r="E16" s="1" t="s">
        <v>64</v>
      </c>
      <c r="F16" s="1" t="str">
        <f>UnitControlCenter!$B$3</f>
        <v>million metric tons / year</v>
      </c>
      <c r="G16" s="1" t="s">
        <v>2435</v>
      </c>
    </row>
    <row r="17" spans="1:10" ht="15.75" thickBot="1" x14ac:dyDescent="0.3">
      <c r="A17" s="203" t="s">
        <v>2328</v>
      </c>
      <c r="B17" s="203" t="s">
        <v>2439</v>
      </c>
      <c r="C17" s="210">
        <v>1</v>
      </c>
      <c r="D17" s="204" t="s">
        <v>63</v>
      </c>
      <c r="E17" s="204" t="s">
        <v>64</v>
      </c>
      <c r="F17" s="204" t="str">
        <f>UnitControlCenter!$B$3</f>
        <v>million metric tons / year</v>
      </c>
      <c r="G17" s="204" t="s">
        <v>2436</v>
      </c>
      <c r="H17" s="204"/>
      <c r="I17" s="204"/>
      <c r="J17" s="204"/>
    </row>
    <row r="18" spans="1:10" ht="105" x14ac:dyDescent="0.25">
      <c r="A18" s="2" t="s">
        <v>2334</v>
      </c>
      <c r="B18" s="2" t="s">
        <v>2220</v>
      </c>
      <c r="C18" s="44">
        <v>1</v>
      </c>
      <c r="D18" s="1" t="s">
        <v>65</v>
      </c>
      <c r="E18" s="1" t="s">
        <v>66</v>
      </c>
      <c r="F18" s="1" t="str">
        <f>UnitControlCenter!$B$3</f>
        <v>million metric tons / year</v>
      </c>
      <c r="G18" s="1" t="s">
        <v>3324</v>
      </c>
      <c r="H18" s="1" t="s">
        <v>2801</v>
      </c>
      <c r="I18" s="1" t="s">
        <v>2802</v>
      </c>
    </row>
    <row r="19" spans="1:10" ht="105" x14ac:dyDescent="0.25">
      <c r="A19" s="2" t="s">
        <v>2334</v>
      </c>
      <c r="B19" s="2" t="s">
        <v>2236</v>
      </c>
      <c r="C19" s="44">
        <v>1</v>
      </c>
      <c r="D19" s="1" t="s">
        <v>65</v>
      </c>
      <c r="E19" s="1" t="s">
        <v>66</v>
      </c>
      <c r="F19" s="1" t="str">
        <f>UnitControlCenter!$B$3</f>
        <v>million metric tons / year</v>
      </c>
      <c r="G19" s="1" t="s">
        <v>3336</v>
      </c>
      <c r="H19" s="1" t="s">
        <v>2801</v>
      </c>
      <c r="I19" s="1" t="s">
        <v>3325</v>
      </c>
    </row>
    <row r="20" spans="1:10" ht="105" x14ac:dyDescent="0.25">
      <c r="A20" s="2" t="s">
        <v>2334</v>
      </c>
      <c r="B20" s="2" t="s">
        <v>2238</v>
      </c>
      <c r="C20" s="44">
        <v>1</v>
      </c>
      <c r="D20" s="1" t="s">
        <v>65</v>
      </c>
      <c r="E20" s="1" t="s">
        <v>66</v>
      </c>
      <c r="F20" s="1" t="str">
        <f>UnitControlCenter!$B$3</f>
        <v>million metric tons / year</v>
      </c>
      <c r="G20" s="1" t="s">
        <v>3337</v>
      </c>
      <c r="H20" s="1" t="s">
        <v>2801</v>
      </c>
      <c r="I20" s="1" t="s">
        <v>3326</v>
      </c>
    </row>
    <row r="21" spans="1:10" ht="105" x14ac:dyDescent="0.25">
      <c r="A21" s="2" t="s">
        <v>2334</v>
      </c>
      <c r="B21" s="2" t="s">
        <v>2321</v>
      </c>
      <c r="C21" s="44">
        <v>1</v>
      </c>
      <c r="D21" s="1" t="s">
        <v>65</v>
      </c>
      <c r="E21" s="1" t="s">
        <v>66</v>
      </c>
      <c r="F21" s="1" t="str">
        <f>UnitControlCenter!$B$3</f>
        <v>million metric tons / year</v>
      </c>
      <c r="G21" s="1" t="s">
        <v>3338</v>
      </c>
      <c r="H21" s="1" t="s">
        <v>2801</v>
      </c>
      <c r="I21" s="1" t="s">
        <v>3327</v>
      </c>
    </row>
    <row r="22" spans="1:10" ht="105" x14ac:dyDescent="0.25">
      <c r="A22" s="2" t="s">
        <v>2334</v>
      </c>
      <c r="B22" s="2" t="s">
        <v>2320</v>
      </c>
      <c r="C22" s="44">
        <v>1</v>
      </c>
      <c r="D22" s="1" t="s">
        <v>65</v>
      </c>
      <c r="E22" s="1" t="s">
        <v>66</v>
      </c>
      <c r="F22" s="1" t="str">
        <f>UnitControlCenter!$B$6</f>
        <v>thousand metric tons / year</v>
      </c>
      <c r="G22" s="1" t="s">
        <v>3339</v>
      </c>
      <c r="H22" s="1" t="s">
        <v>2801</v>
      </c>
      <c r="I22" s="1" t="s">
        <v>3328</v>
      </c>
    </row>
    <row r="23" spans="1:10" ht="105" x14ac:dyDescent="0.25">
      <c r="A23" s="2" t="s">
        <v>2334</v>
      </c>
      <c r="B23" s="2" t="s">
        <v>2227</v>
      </c>
      <c r="C23" s="44">
        <v>1</v>
      </c>
      <c r="D23" s="1" t="s">
        <v>65</v>
      </c>
      <c r="E23" s="1" t="s">
        <v>66</v>
      </c>
      <c r="F23" s="1" t="str">
        <f>UnitControlCenter!$B$6</f>
        <v>thousand metric tons / year</v>
      </c>
      <c r="G23" s="1" t="s">
        <v>3340</v>
      </c>
      <c r="H23" s="1" t="s">
        <v>2801</v>
      </c>
      <c r="I23" s="1" t="s">
        <v>3329</v>
      </c>
    </row>
    <row r="24" spans="1:10" ht="105" x14ac:dyDescent="0.25">
      <c r="A24" s="2" t="s">
        <v>2334</v>
      </c>
      <c r="B24" s="2" t="s">
        <v>2232</v>
      </c>
      <c r="C24" s="44">
        <v>1</v>
      </c>
      <c r="D24" s="1" t="s">
        <v>65</v>
      </c>
      <c r="E24" s="1" t="s">
        <v>66</v>
      </c>
      <c r="F24" s="1" t="str">
        <f>UnitControlCenter!$B$6</f>
        <v>thousand metric tons / year</v>
      </c>
      <c r="G24" s="1" t="s">
        <v>3341</v>
      </c>
      <c r="H24" s="1" t="s">
        <v>2801</v>
      </c>
      <c r="I24" s="1" t="s">
        <v>3330</v>
      </c>
    </row>
    <row r="25" spans="1:10" ht="105" x14ac:dyDescent="0.25">
      <c r="A25" s="2" t="s">
        <v>2334</v>
      </c>
      <c r="B25" s="2" t="s">
        <v>2234</v>
      </c>
      <c r="C25" s="44">
        <v>1</v>
      </c>
      <c r="D25" s="1" t="s">
        <v>65</v>
      </c>
      <c r="E25" s="1" t="s">
        <v>66</v>
      </c>
      <c r="F25" s="1" t="str">
        <f>UnitControlCenter!$B$6</f>
        <v>thousand metric tons / year</v>
      </c>
      <c r="G25" s="1" t="s">
        <v>3342</v>
      </c>
      <c r="H25" s="1" t="s">
        <v>2801</v>
      </c>
      <c r="I25" s="1" t="s">
        <v>3331</v>
      </c>
    </row>
    <row r="26" spans="1:10" ht="105" x14ac:dyDescent="0.25">
      <c r="A26" s="2" t="s">
        <v>2334</v>
      </c>
      <c r="B26" s="2" t="s">
        <v>2225</v>
      </c>
      <c r="C26" s="44">
        <v>1</v>
      </c>
      <c r="D26" s="1" t="s">
        <v>65</v>
      </c>
      <c r="E26" s="1" t="s">
        <v>66</v>
      </c>
      <c r="F26" s="1" t="str">
        <f>UnitControlCenter!$B$3</f>
        <v>million metric tons / year</v>
      </c>
      <c r="G26" s="1" t="s">
        <v>3343</v>
      </c>
      <c r="H26" s="1" t="s">
        <v>2801</v>
      </c>
      <c r="I26" s="1" t="s">
        <v>3332</v>
      </c>
    </row>
    <row r="27" spans="1:10" ht="105" x14ac:dyDescent="0.25">
      <c r="A27" s="2" t="s">
        <v>2334</v>
      </c>
      <c r="B27" s="2" t="s">
        <v>2222</v>
      </c>
      <c r="C27" s="44">
        <v>1</v>
      </c>
      <c r="D27" s="1" t="s">
        <v>65</v>
      </c>
      <c r="E27" s="1" t="s">
        <v>66</v>
      </c>
      <c r="F27" s="1" t="str">
        <f>UnitControlCenter!$B$6</f>
        <v>thousand metric tons / year</v>
      </c>
      <c r="G27" s="1" t="s">
        <v>3344</v>
      </c>
      <c r="H27" s="1" t="s">
        <v>2801</v>
      </c>
      <c r="I27" s="1" t="s">
        <v>3333</v>
      </c>
    </row>
    <row r="28" spans="1:10" ht="105" x14ac:dyDescent="0.25">
      <c r="A28" s="2" t="s">
        <v>2334</v>
      </c>
      <c r="B28" s="2" t="s">
        <v>2230</v>
      </c>
      <c r="C28" s="44">
        <v>1</v>
      </c>
      <c r="D28" s="1" t="s">
        <v>65</v>
      </c>
      <c r="E28" s="1" t="s">
        <v>66</v>
      </c>
      <c r="F28" s="1" t="str">
        <f>UnitControlCenter!$B$3</f>
        <v>million metric tons / year</v>
      </c>
      <c r="G28" s="1" t="s">
        <v>3345</v>
      </c>
      <c r="H28" s="1" t="s">
        <v>2801</v>
      </c>
      <c r="I28" s="1" t="s">
        <v>3334</v>
      </c>
    </row>
    <row r="29" spans="1:10" ht="105.75" thickBot="1" x14ac:dyDescent="0.3">
      <c r="A29" s="203" t="s">
        <v>2334</v>
      </c>
      <c r="B29" s="203" t="s">
        <v>485</v>
      </c>
      <c r="C29" s="210">
        <v>1</v>
      </c>
      <c r="D29" s="1" t="s">
        <v>65</v>
      </c>
      <c r="E29" s="1" t="s">
        <v>66</v>
      </c>
      <c r="F29" s="204" t="str">
        <f>UnitControlCenter!$B$3</f>
        <v>million metric tons / year</v>
      </c>
      <c r="G29" s="1" t="s">
        <v>3346</v>
      </c>
      <c r="H29" s="1" t="s">
        <v>2801</v>
      </c>
      <c r="I29" s="1" t="s">
        <v>3335</v>
      </c>
    </row>
    <row r="30" spans="1:10" ht="75" x14ac:dyDescent="0.25">
      <c r="A30" s="2" t="s">
        <v>2335</v>
      </c>
      <c r="B30" s="2" t="s">
        <v>2331</v>
      </c>
      <c r="C30" s="44">
        <v>1</v>
      </c>
      <c r="D30" s="1" t="s">
        <v>65</v>
      </c>
      <c r="E30" s="1" t="s">
        <v>66</v>
      </c>
      <c r="F30" s="1" t="str">
        <f>UnitControlCenter!$B$3</f>
        <v>million metric tons / year</v>
      </c>
      <c r="G30" s="1" t="s">
        <v>2885</v>
      </c>
      <c r="H30" s="1" t="s">
        <v>2886</v>
      </c>
      <c r="I30" s="1" t="s">
        <v>2887</v>
      </c>
    </row>
    <row r="31" spans="1:10" ht="105" x14ac:dyDescent="0.25">
      <c r="A31" s="2" t="s">
        <v>2335</v>
      </c>
      <c r="B31" s="2" t="s">
        <v>2499</v>
      </c>
      <c r="C31" s="44">
        <v>1</v>
      </c>
      <c r="D31" s="1" t="s">
        <v>65</v>
      </c>
      <c r="E31" s="1" t="s">
        <v>66</v>
      </c>
      <c r="F31" s="1" t="str">
        <f>UnitControlCenter!$B$3</f>
        <v>million metric tons / year</v>
      </c>
      <c r="G31" s="1" t="s">
        <v>2888</v>
      </c>
      <c r="H31" s="1" t="s">
        <v>2889</v>
      </c>
      <c r="I31" s="1" t="s">
        <v>2890</v>
      </c>
    </row>
    <row r="32" spans="1:10" ht="60" x14ac:dyDescent="0.25">
      <c r="A32" s="2" t="s">
        <v>2335</v>
      </c>
      <c r="B32" s="2" t="s">
        <v>2336</v>
      </c>
      <c r="C32" s="44">
        <v>1</v>
      </c>
      <c r="D32" s="1" t="s">
        <v>65</v>
      </c>
      <c r="E32" s="1" t="s">
        <v>66</v>
      </c>
      <c r="F32" s="1" t="str">
        <f>UnitControlCenter!$B$3</f>
        <v>million metric tons / year</v>
      </c>
      <c r="G32" s="1" t="s">
        <v>2891</v>
      </c>
      <c r="H32" s="1" t="s">
        <v>2892</v>
      </c>
      <c r="I32" s="1" t="s">
        <v>2893</v>
      </c>
    </row>
    <row r="33" spans="1:10" ht="15.75" thickBot="1" x14ac:dyDescent="0.3">
      <c r="A33" s="203" t="s">
        <v>2335</v>
      </c>
      <c r="B33" s="203" t="s">
        <v>2873</v>
      </c>
      <c r="C33" s="210">
        <v>0</v>
      </c>
      <c r="D33" s="204" t="s">
        <v>63</v>
      </c>
      <c r="E33" s="204" t="s">
        <v>64</v>
      </c>
      <c r="F33" s="204" t="str">
        <f>UnitControlCenter!$B$7</f>
        <v>g CO2 / 2021 dollar</v>
      </c>
      <c r="G33" s="204" t="s">
        <v>2824</v>
      </c>
      <c r="H33" s="204"/>
      <c r="I33" s="204"/>
      <c r="J33" s="204"/>
    </row>
    <row r="34" spans="1:10" ht="105" x14ac:dyDescent="0.25">
      <c r="A34" s="2" t="s">
        <v>2731</v>
      </c>
      <c r="B34" s="2" t="s">
        <v>2570</v>
      </c>
      <c r="C34" s="44">
        <v>1</v>
      </c>
      <c r="D34" s="1" t="s">
        <v>63</v>
      </c>
      <c r="E34" s="1" t="s">
        <v>2979</v>
      </c>
      <c r="F34" s="1" t="str">
        <f>UnitControlCenter!$B$3</f>
        <v>million metric tons / year</v>
      </c>
      <c r="G34" s="1" t="s">
        <v>3023</v>
      </c>
    </row>
    <row r="35" spans="1:10" x14ac:dyDescent="0.25">
      <c r="A35" s="2" t="s">
        <v>2731</v>
      </c>
      <c r="B35" s="2" t="s">
        <v>132</v>
      </c>
      <c r="C35" s="44">
        <v>1</v>
      </c>
      <c r="D35" s="1" t="s">
        <v>63</v>
      </c>
      <c r="E35" s="1" t="s">
        <v>2979</v>
      </c>
      <c r="F35" s="1" t="str">
        <f>UnitControlCenter!$B$3</f>
        <v>million metric tons / year</v>
      </c>
      <c r="G35" s="1" t="s">
        <v>2431</v>
      </c>
    </row>
    <row r="36" spans="1:10" x14ac:dyDescent="0.25">
      <c r="A36" s="2" t="s">
        <v>2731</v>
      </c>
      <c r="B36" s="2" t="s">
        <v>2429</v>
      </c>
      <c r="C36" s="44">
        <v>1</v>
      </c>
      <c r="D36" s="1" t="s">
        <v>63</v>
      </c>
      <c r="E36" s="1" t="s">
        <v>2979</v>
      </c>
      <c r="F36" s="1" t="str">
        <f>UnitControlCenter!$B$3</f>
        <v>million metric tons / year</v>
      </c>
      <c r="G36" s="1" t="s">
        <v>2432</v>
      </c>
    </row>
    <row r="37" spans="1:10" x14ac:dyDescent="0.25">
      <c r="A37" s="2" t="s">
        <v>2731</v>
      </c>
      <c r="B37" s="2" t="s">
        <v>2490</v>
      </c>
      <c r="C37" s="44">
        <v>1</v>
      </c>
      <c r="D37" s="1" t="s">
        <v>63</v>
      </c>
      <c r="E37" s="1" t="s">
        <v>2979</v>
      </c>
      <c r="F37" s="1" t="str">
        <f>UnitControlCenter!$B$3</f>
        <v>million metric tons / year</v>
      </c>
      <c r="G37" s="1" t="s">
        <v>2498</v>
      </c>
    </row>
    <row r="38" spans="1:10" x14ac:dyDescent="0.25">
      <c r="A38" s="2" t="s">
        <v>2731</v>
      </c>
      <c r="B38" s="2" t="s">
        <v>93</v>
      </c>
      <c r="C38" s="44">
        <v>1</v>
      </c>
      <c r="D38" s="1" t="s">
        <v>63</v>
      </c>
      <c r="E38" s="1" t="s">
        <v>2979</v>
      </c>
      <c r="F38" s="1" t="str">
        <f>UnitControlCenter!$B$3</f>
        <v>million metric tons / year</v>
      </c>
      <c r="G38" s="1" t="s">
        <v>2433</v>
      </c>
    </row>
    <row r="39" spans="1:10" ht="30" x14ac:dyDescent="0.25">
      <c r="A39" s="2" t="s">
        <v>2731</v>
      </c>
      <c r="B39" s="2" t="s">
        <v>9</v>
      </c>
      <c r="C39" s="44">
        <v>1</v>
      </c>
      <c r="D39" s="1" t="s">
        <v>63</v>
      </c>
      <c r="E39" s="1" t="s">
        <v>2979</v>
      </c>
      <c r="F39" s="1" t="str">
        <f>UnitControlCenter!$B$3</f>
        <v>million metric tons / year</v>
      </c>
      <c r="G39" s="1" t="s">
        <v>3024</v>
      </c>
    </row>
    <row r="40" spans="1:10" ht="15.75" thickBot="1" x14ac:dyDescent="0.3">
      <c r="A40" s="203" t="s">
        <v>2731</v>
      </c>
      <c r="B40" s="203" t="s">
        <v>4</v>
      </c>
      <c r="C40" s="210">
        <v>1</v>
      </c>
      <c r="D40" s="204" t="s">
        <v>63</v>
      </c>
      <c r="E40" s="204" t="s">
        <v>2979</v>
      </c>
      <c r="F40" s="204" t="str">
        <f>UnitControlCenter!$B$3</f>
        <v>million metric tons / year</v>
      </c>
      <c r="G40" s="204" t="s">
        <v>2435</v>
      </c>
      <c r="H40" s="204"/>
      <c r="I40" s="204"/>
      <c r="J40" s="204"/>
    </row>
    <row r="41" spans="1:10" ht="45" x14ac:dyDescent="0.25">
      <c r="A41" s="2" t="s">
        <v>357</v>
      </c>
      <c r="B41" s="2" t="s">
        <v>2945</v>
      </c>
      <c r="C41" s="44">
        <v>1</v>
      </c>
      <c r="D41" s="1" t="s">
        <v>65</v>
      </c>
      <c r="E41" s="1" t="s">
        <v>439</v>
      </c>
      <c r="F41" s="1" t="str">
        <f>UnitControlCenter!$B$8</f>
        <v>2020 dollars / metric ton CO2e abated, Annual average abatement (million metric tons CO2e)</v>
      </c>
      <c r="G41" s="1" t="s">
        <v>3025</v>
      </c>
    </row>
    <row r="42" spans="1:10" ht="45.75" thickBot="1" x14ac:dyDescent="0.3">
      <c r="A42" s="203" t="s">
        <v>357</v>
      </c>
      <c r="B42" s="203" t="s">
        <v>2946</v>
      </c>
      <c r="C42" s="210">
        <v>1</v>
      </c>
      <c r="D42" s="204" t="s">
        <v>65</v>
      </c>
      <c r="E42" s="204" t="s">
        <v>439</v>
      </c>
      <c r="F42" s="204" t="str">
        <f>UnitControlCenter!$B$8</f>
        <v>2020 dollars / metric ton CO2e abated, Annual average abatement (million metric tons CO2e)</v>
      </c>
      <c r="G42" s="204" t="s">
        <v>3025</v>
      </c>
      <c r="H42" s="204"/>
      <c r="I42" s="204"/>
      <c r="J42" s="204"/>
    </row>
    <row r="43" spans="1:10" ht="45" x14ac:dyDescent="0.25">
      <c r="A43" s="2" t="s">
        <v>2337</v>
      </c>
      <c r="B43" s="2" t="s">
        <v>2950</v>
      </c>
      <c r="C43" s="44">
        <v>1</v>
      </c>
      <c r="D43" s="1" t="s">
        <v>65</v>
      </c>
      <c r="E43" s="1" t="s">
        <v>64</v>
      </c>
      <c r="F43" s="1" t="str">
        <f>UnitControlCenter!$B$9</f>
        <v>billion 2021 dollars / year</v>
      </c>
      <c r="G43" s="1" t="s">
        <v>2947</v>
      </c>
      <c r="H43" s="1" t="s">
        <v>2415</v>
      </c>
      <c r="I43" s="1" t="s">
        <v>2399</v>
      </c>
    </row>
    <row r="44" spans="1:10" x14ac:dyDescent="0.25">
      <c r="A44" s="2" t="s">
        <v>2337</v>
      </c>
      <c r="B44" s="202" t="s">
        <v>2751</v>
      </c>
      <c r="C44" s="44">
        <v>1</v>
      </c>
      <c r="D44" s="1" t="s">
        <v>63</v>
      </c>
      <c r="E44" s="1" t="s">
        <v>64</v>
      </c>
      <c r="F44" s="1" t="str">
        <f>UnitControlCenter!$B$9</f>
        <v>billion 2021 dollars / year</v>
      </c>
      <c r="G44" s="1" t="s">
        <v>2745</v>
      </c>
    </row>
    <row r="45" spans="1:10" ht="75" x14ac:dyDescent="0.25">
      <c r="A45" s="2" t="s">
        <v>2337</v>
      </c>
      <c r="B45" s="2" t="s">
        <v>2936</v>
      </c>
      <c r="C45" s="44">
        <v>1</v>
      </c>
      <c r="D45" s="1" t="s">
        <v>65</v>
      </c>
      <c r="E45" s="1" t="s">
        <v>66</v>
      </c>
      <c r="F45" s="1" t="str">
        <f>UnitControlCenter!$B$9</f>
        <v>billion 2021 dollars / year</v>
      </c>
      <c r="G45" s="1" t="s">
        <v>2937</v>
      </c>
      <c r="H45" s="1" t="s">
        <v>2938</v>
      </c>
      <c r="I45" s="1" t="s">
        <v>2939</v>
      </c>
    </row>
    <row r="46" spans="1:10" ht="30" x14ac:dyDescent="0.25">
      <c r="A46" s="2" t="s">
        <v>2337</v>
      </c>
      <c r="B46" s="202" t="s">
        <v>2940</v>
      </c>
      <c r="C46" s="44">
        <v>1</v>
      </c>
      <c r="D46" s="1" t="s">
        <v>63</v>
      </c>
      <c r="E46" s="1" t="s">
        <v>64</v>
      </c>
      <c r="F46" s="1" t="str">
        <f>UnitControlCenter!$B$10</f>
        <v>billion 2021 dollars</v>
      </c>
      <c r="G46" s="1" t="s">
        <v>2941</v>
      </c>
    </row>
    <row r="47" spans="1:10" ht="30" x14ac:dyDescent="0.25">
      <c r="A47" s="2" t="s">
        <v>2337</v>
      </c>
      <c r="B47" s="202" t="s">
        <v>2942</v>
      </c>
      <c r="C47" s="44">
        <v>1</v>
      </c>
      <c r="D47" s="1" t="s">
        <v>63</v>
      </c>
      <c r="E47" s="1" t="s">
        <v>64</v>
      </c>
      <c r="F47" s="1" t="str">
        <f>UnitControlCenter!$B$9</f>
        <v>billion 2021 dollars / year</v>
      </c>
      <c r="G47" s="1" t="s">
        <v>2943</v>
      </c>
    </row>
    <row r="48" spans="1:10" ht="135.75" thickBot="1" x14ac:dyDescent="0.3">
      <c r="A48" s="203" t="s">
        <v>2337</v>
      </c>
      <c r="B48" s="205" t="s">
        <v>3018</v>
      </c>
      <c r="C48" s="210">
        <v>1</v>
      </c>
      <c r="D48" s="204" t="s">
        <v>65</v>
      </c>
      <c r="E48" s="204" t="s">
        <v>64</v>
      </c>
      <c r="F48" s="204" t="str">
        <f>UnitControlCenter!$B$9</f>
        <v>billion 2021 dollars / year</v>
      </c>
      <c r="G48" s="204" t="s">
        <v>3022</v>
      </c>
      <c r="H48" s="204" t="s">
        <v>3019</v>
      </c>
      <c r="I48" s="204" t="s">
        <v>3021</v>
      </c>
      <c r="J48" s="204"/>
    </row>
    <row r="49" spans="1:10" ht="45" x14ac:dyDescent="0.25">
      <c r="A49" s="2" t="s">
        <v>2860</v>
      </c>
      <c r="B49" s="202" t="s">
        <v>2877</v>
      </c>
      <c r="C49" s="44">
        <v>1</v>
      </c>
      <c r="D49" s="1" t="s">
        <v>65</v>
      </c>
      <c r="E49" s="1" t="s">
        <v>64</v>
      </c>
      <c r="F49" s="1" t="str">
        <f>UnitControlCenter!$B$11</f>
        <v>jobs</v>
      </c>
      <c r="G49" s="1" t="s">
        <v>2868</v>
      </c>
      <c r="H49" s="1" t="s">
        <v>2867</v>
      </c>
      <c r="I49" s="1" t="s">
        <v>2400</v>
      </c>
    </row>
    <row r="50" spans="1:10" ht="30" x14ac:dyDescent="0.25">
      <c r="A50" s="2" t="s">
        <v>2860</v>
      </c>
      <c r="B50" s="202" t="s">
        <v>3285</v>
      </c>
      <c r="C50" s="44">
        <v>0</v>
      </c>
      <c r="D50" s="1" t="s">
        <v>65</v>
      </c>
      <c r="E50" s="1" t="s">
        <v>66</v>
      </c>
      <c r="F50" s="1" t="str">
        <f>UnitControlCenter!$B$11</f>
        <v>jobs</v>
      </c>
      <c r="G50" s="1" t="s">
        <v>3159</v>
      </c>
      <c r="H50" s="1" t="s">
        <v>3160</v>
      </c>
      <c r="I50" s="1" t="s">
        <v>3161</v>
      </c>
    </row>
    <row r="51" spans="1:10" ht="30" x14ac:dyDescent="0.25">
      <c r="A51" s="2" t="s">
        <v>2860</v>
      </c>
      <c r="B51" s="202" t="s">
        <v>3286</v>
      </c>
      <c r="C51" s="44">
        <v>0</v>
      </c>
      <c r="D51" s="1" t="s">
        <v>65</v>
      </c>
      <c r="E51" s="1" t="s">
        <v>64</v>
      </c>
      <c r="F51" s="1" t="str">
        <f>UnitControlCenter!$B$13</f>
        <v>% change</v>
      </c>
      <c r="G51" s="1" t="s">
        <v>3178</v>
      </c>
      <c r="H51" s="1" t="s">
        <v>3160</v>
      </c>
      <c r="I51" s="1" t="s">
        <v>3161</v>
      </c>
    </row>
    <row r="52" spans="1:10" ht="45" x14ac:dyDescent="0.25">
      <c r="A52" s="2" t="s">
        <v>2860</v>
      </c>
      <c r="B52" s="202" t="s">
        <v>3143</v>
      </c>
      <c r="C52" s="44">
        <v>0</v>
      </c>
      <c r="D52" s="1" t="s">
        <v>65</v>
      </c>
      <c r="E52" s="1" t="s">
        <v>66</v>
      </c>
      <c r="F52" s="1" t="str">
        <f>UnitControlCenter!$B$11</f>
        <v>jobs</v>
      </c>
      <c r="G52" s="1" t="s">
        <v>3182</v>
      </c>
      <c r="H52" s="1" t="s">
        <v>3162</v>
      </c>
      <c r="I52" s="20" t="s">
        <v>3163</v>
      </c>
      <c r="J52" s="20"/>
    </row>
    <row r="53" spans="1:10" ht="45" x14ac:dyDescent="0.25">
      <c r="A53" s="2" t="s">
        <v>2860</v>
      </c>
      <c r="B53" s="202" t="s">
        <v>3175</v>
      </c>
      <c r="C53" s="44">
        <v>0</v>
      </c>
      <c r="D53" s="1" t="s">
        <v>65</v>
      </c>
      <c r="E53" s="1" t="s">
        <v>64</v>
      </c>
      <c r="F53" s="1" t="str">
        <f>UnitControlCenter!$B$13</f>
        <v>% change</v>
      </c>
      <c r="G53" s="1" t="s">
        <v>3181</v>
      </c>
      <c r="H53" s="1" t="s">
        <v>3162</v>
      </c>
      <c r="I53" s="20" t="s">
        <v>3163</v>
      </c>
      <c r="J53" s="20"/>
    </row>
    <row r="54" spans="1:10" ht="30" x14ac:dyDescent="0.25">
      <c r="A54" s="2" t="s">
        <v>2860</v>
      </c>
      <c r="B54" s="202" t="s">
        <v>3148</v>
      </c>
      <c r="C54" s="44">
        <v>0</v>
      </c>
      <c r="D54" s="1" t="s">
        <v>65</v>
      </c>
      <c r="E54" s="1" t="s">
        <v>66</v>
      </c>
      <c r="F54" s="1" t="str">
        <f>UnitControlCenter!$B$11</f>
        <v>jobs</v>
      </c>
      <c r="G54" s="1" t="s">
        <v>3164</v>
      </c>
      <c r="H54" s="1" t="s">
        <v>3165</v>
      </c>
      <c r="I54" s="1" t="s">
        <v>3166</v>
      </c>
    </row>
    <row r="55" spans="1:10" ht="30" x14ac:dyDescent="0.25">
      <c r="A55" s="2" t="s">
        <v>2860</v>
      </c>
      <c r="B55" s="202" t="s">
        <v>3176</v>
      </c>
      <c r="C55" s="44">
        <v>0</v>
      </c>
      <c r="D55" s="1" t="s">
        <v>65</v>
      </c>
      <c r="E55" s="1" t="s">
        <v>64</v>
      </c>
      <c r="F55" s="1" t="str">
        <f>UnitControlCenter!$B$13</f>
        <v>% change</v>
      </c>
      <c r="G55" s="1" t="s">
        <v>3179</v>
      </c>
      <c r="H55" s="1" t="s">
        <v>3165</v>
      </c>
      <c r="I55" s="1" t="s">
        <v>3166</v>
      </c>
    </row>
    <row r="56" spans="1:10" ht="75" x14ac:dyDescent="0.25">
      <c r="A56" s="2" t="s">
        <v>2860</v>
      </c>
      <c r="B56" s="202" t="s">
        <v>3151</v>
      </c>
      <c r="C56" s="44">
        <v>0</v>
      </c>
      <c r="D56" s="1" t="s">
        <v>65</v>
      </c>
      <c r="E56" s="1" t="s">
        <v>66</v>
      </c>
      <c r="F56" s="1" t="str">
        <f>UnitControlCenter!$B$11</f>
        <v>jobs</v>
      </c>
      <c r="G56" s="1" t="s">
        <v>3167</v>
      </c>
      <c r="H56" s="1" t="s">
        <v>3168</v>
      </c>
      <c r="I56" s="1" t="s">
        <v>3169</v>
      </c>
    </row>
    <row r="57" spans="1:10" ht="90" x14ac:dyDescent="0.25">
      <c r="A57" s="2" t="s">
        <v>2860</v>
      </c>
      <c r="B57" s="202" t="s">
        <v>3177</v>
      </c>
      <c r="C57" s="44">
        <v>0</v>
      </c>
      <c r="D57" s="1" t="s">
        <v>65</v>
      </c>
      <c r="E57" s="1" t="s">
        <v>64</v>
      </c>
      <c r="F57" s="1" t="str">
        <f>UnitControlCenter!$B$13</f>
        <v>% change</v>
      </c>
      <c r="G57" s="1" t="s">
        <v>3180</v>
      </c>
      <c r="H57" s="1" t="s">
        <v>3168</v>
      </c>
      <c r="I57" s="1" t="s">
        <v>3169</v>
      </c>
    </row>
    <row r="58" spans="1:10" ht="30" x14ac:dyDescent="0.25">
      <c r="A58" s="2" t="s">
        <v>2860</v>
      </c>
      <c r="B58" s="202" t="s">
        <v>3240</v>
      </c>
      <c r="C58" s="44">
        <v>1</v>
      </c>
      <c r="D58" s="1" t="s">
        <v>65</v>
      </c>
      <c r="E58" s="1" t="s">
        <v>66</v>
      </c>
      <c r="F58" s="1" t="str">
        <f>UnitControlCenter!$B$11</f>
        <v>jobs</v>
      </c>
      <c r="G58" s="1" t="s">
        <v>3241</v>
      </c>
      <c r="H58" s="1" t="s">
        <v>3242</v>
      </c>
      <c r="I58" s="1" t="s">
        <v>3243</v>
      </c>
    </row>
    <row r="59" spans="1:10" ht="30" x14ac:dyDescent="0.25">
      <c r="A59" s="2" t="s">
        <v>2860</v>
      </c>
      <c r="B59" s="202" t="s">
        <v>3244</v>
      </c>
      <c r="C59" s="44">
        <v>1</v>
      </c>
      <c r="D59" s="1" t="s">
        <v>65</v>
      </c>
      <c r="E59" s="1" t="s">
        <v>64</v>
      </c>
      <c r="F59" s="1" t="str">
        <f>UnitControlCenter!$B$13</f>
        <v>% change</v>
      </c>
      <c r="G59" s="1" t="s">
        <v>3245</v>
      </c>
      <c r="H59" s="1" t="s">
        <v>3242</v>
      </c>
      <c r="I59" s="1" t="s">
        <v>3243</v>
      </c>
    </row>
    <row r="60" spans="1:10" ht="30" x14ac:dyDescent="0.25">
      <c r="A60" s="2" t="s">
        <v>2860</v>
      </c>
      <c r="B60" s="202" t="s">
        <v>2921</v>
      </c>
      <c r="C60" s="44">
        <v>1</v>
      </c>
      <c r="D60" s="1" t="s">
        <v>65</v>
      </c>
      <c r="E60" s="1" t="s">
        <v>64</v>
      </c>
      <c r="F60" s="1" t="str">
        <f>UnitControlCenter!$B$11</f>
        <v>jobs</v>
      </c>
      <c r="G60" s="1" t="s">
        <v>2925</v>
      </c>
      <c r="H60" s="1" t="s">
        <v>2924</v>
      </c>
      <c r="I60" s="1" t="s">
        <v>2935</v>
      </c>
    </row>
    <row r="61" spans="1:10" ht="45" x14ac:dyDescent="0.25">
      <c r="A61" s="2" t="s">
        <v>2860</v>
      </c>
      <c r="B61" s="202" t="s">
        <v>2977</v>
      </c>
      <c r="C61" s="44">
        <v>1</v>
      </c>
      <c r="D61" s="1" t="s">
        <v>65</v>
      </c>
      <c r="E61" s="1" t="s">
        <v>64</v>
      </c>
      <c r="F61" s="1" t="str">
        <f>UnitControlCenter!$B$11</f>
        <v>jobs</v>
      </c>
      <c r="G61" s="1" t="s">
        <v>2976</v>
      </c>
      <c r="H61" s="1" t="s">
        <v>2867</v>
      </c>
      <c r="I61" s="1" t="s">
        <v>2400</v>
      </c>
    </row>
    <row r="62" spans="1:10" ht="45" x14ac:dyDescent="0.25">
      <c r="A62" s="2" t="s">
        <v>2860</v>
      </c>
      <c r="B62" s="202" t="s">
        <v>2862</v>
      </c>
      <c r="C62" s="44">
        <v>1</v>
      </c>
      <c r="D62" s="1" t="s">
        <v>65</v>
      </c>
      <c r="E62" s="1" t="s">
        <v>64</v>
      </c>
      <c r="F62" s="1" t="str">
        <f>UnitControlCenter!$B$9</f>
        <v>billion 2021 dollars / year</v>
      </c>
      <c r="G62" s="1" t="s">
        <v>2869</v>
      </c>
      <c r="H62" s="1" t="s">
        <v>2871</v>
      </c>
      <c r="I62" s="1" t="s">
        <v>2400</v>
      </c>
    </row>
    <row r="63" spans="1:10" ht="45" x14ac:dyDescent="0.25">
      <c r="A63" s="2" t="s">
        <v>2860</v>
      </c>
      <c r="B63" s="202" t="s">
        <v>2881</v>
      </c>
      <c r="C63" s="44">
        <v>1</v>
      </c>
      <c r="D63" s="1" t="s">
        <v>65</v>
      </c>
      <c r="E63" s="1" t="s">
        <v>64</v>
      </c>
      <c r="F63" s="1" t="str">
        <f>UnitControlCenter!$B$13</f>
        <v>% change</v>
      </c>
      <c r="G63" s="1" t="s">
        <v>2883</v>
      </c>
      <c r="H63" s="1" t="s">
        <v>2871</v>
      </c>
      <c r="I63" s="1" t="s">
        <v>2400</v>
      </c>
    </row>
    <row r="64" spans="1:10" ht="30" x14ac:dyDescent="0.25">
      <c r="A64" s="2" t="s">
        <v>2860</v>
      </c>
      <c r="B64" s="202" t="s">
        <v>2922</v>
      </c>
      <c r="C64" s="44">
        <v>1</v>
      </c>
      <c r="D64" s="1" t="s">
        <v>65</v>
      </c>
      <c r="E64" s="1" t="s">
        <v>64</v>
      </c>
      <c r="F64" s="1" t="str">
        <f>UnitControlCenter!$B$9</f>
        <v>billion 2021 dollars / year</v>
      </c>
      <c r="G64" s="1" t="s">
        <v>2926</v>
      </c>
      <c r="H64" s="1" t="s">
        <v>2924</v>
      </c>
      <c r="I64" s="1" t="s">
        <v>2935</v>
      </c>
    </row>
    <row r="65" spans="1:10" ht="45" x14ac:dyDescent="0.25">
      <c r="A65" s="2" t="s">
        <v>2860</v>
      </c>
      <c r="B65" s="202" t="s">
        <v>2876</v>
      </c>
      <c r="C65" s="44">
        <v>1</v>
      </c>
      <c r="D65" s="1" t="s">
        <v>65</v>
      </c>
      <c r="E65" s="1" t="s">
        <v>64</v>
      </c>
      <c r="F65" s="1" t="str">
        <f>UnitControlCenter!$B$9</f>
        <v>billion 2021 dollars / year</v>
      </c>
      <c r="G65" s="1" t="s">
        <v>2872</v>
      </c>
      <c r="H65" s="1" t="s">
        <v>2870</v>
      </c>
      <c r="I65" s="1" t="s">
        <v>2400</v>
      </c>
    </row>
    <row r="66" spans="1:10" ht="30" x14ac:dyDescent="0.25">
      <c r="A66" s="2" t="s">
        <v>2860</v>
      </c>
      <c r="B66" s="202" t="s">
        <v>2874</v>
      </c>
      <c r="C66" s="44">
        <v>1</v>
      </c>
      <c r="D66" s="1" t="s">
        <v>63</v>
      </c>
      <c r="E66" s="1" t="s">
        <v>64</v>
      </c>
      <c r="F66" s="1" t="str">
        <f>UnitControlCenter!$B$14</f>
        <v>2021 dollars / employee-year</v>
      </c>
      <c r="G66" s="1" t="s">
        <v>2875</v>
      </c>
    </row>
    <row r="67" spans="1:10" ht="30.75" thickBot="1" x14ac:dyDescent="0.3">
      <c r="A67" s="203" t="s">
        <v>2860</v>
      </c>
      <c r="B67" s="205" t="s">
        <v>2923</v>
      </c>
      <c r="C67" s="210">
        <v>1</v>
      </c>
      <c r="D67" s="204" t="s">
        <v>65</v>
      </c>
      <c r="E67" s="204" t="s">
        <v>64</v>
      </c>
      <c r="F67" s="204" t="str">
        <f>UnitControlCenter!$B$9</f>
        <v>billion 2021 dollars / year</v>
      </c>
      <c r="G67" s="204" t="s">
        <v>2927</v>
      </c>
      <c r="H67" s="204" t="s">
        <v>2924</v>
      </c>
      <c r="I67" s="204" t="s">
        <v>2935</v>
      </c>
      <c r="J67" s="204"/>
    </row>
    <row r="68" spans="1:10" ht="90" x14ac:dyDescent="0.25">
      <c r="A68" s="2" t="s">
        <v>2861</v>
      </c>
      <c r="B68" s="2" t="s">
        <v>2663</v>
      </c>
      <c r="C68" s="44">
        <v>0</v>
      </c>
      <c r="D68" s="1" t="s">
        <v>65</v>
      </c>
      <c r="E68" s="1" t="s">
        <v>64</v>
      </c>
      <c r="F68" s="1" t="str">
        <f>UnitControlCenter!$B$9</f>
        <v>billion 2021 dollars / year</v>
      </c>
      <c r="G68" s="1" t="s">
        <v>2664</v>
      </c>
      <c r="H68" s="1" t="s">
        <v>2665</v>
      </c>
      <c r="I68" s="1" t="s">
        <v>2644</v>
      </c>
    </row>
    <row r="69" spans="1:10" ht="45" x14ac:dyDescent="0.25">
      <c r="A69" s="2" t="s">
        <v>2861</v>
      </c>
      <c r="B69" s="2" t="s">
        <v>2667</v>
      </c>
      <c r="C69" s="44">
        <v>0</v>
      </c>
      <c r="D69" s="1" t="s">
        <v>65</v>
      </c>
      <c r="E69" s="1" t="s">
        <v>64</v>
      </c>
      <c r="F69" s="1" t="str">
        <f>UnitControlCenter!$B$9</f>
        <v>billion 2021 dollars / year</v>
      </c>
      <c r="G69" s="1" t="s">
        <v>2677</v>
      </c>
      <c r="H69" s="1" t="s">
        <v>2678</v>
      </c>
      <c r="I69" s="1" t="s">
        <v>2679</v>
      </c>
    </row>
    <row r="70" spans="1:10" ht="60" x14ac:dyDescent="0.25">
      <c r="A70" s="2" t="s">
        <v>2861</v>
      </c>
      <c r="B70" s="2" t="s">
        <v>2668</v>
      </c>
      <c r="C70" s="44">
        <v>0</v>
      </c>
      <c r="D70" s="1" t="s">
        <v>65</v>
      </c>
      <c r="E70" s="1" t="s">
        <v>64</v>
      </c>
      <c r="F70" s="1" t="str">
        <f>UnitControlCenter!$B$9</f>
        <v>billion 2021 dollars / year</v>
      </c>
      <c r="G70" s="1" t="s">
        <v>2688</v>
      </c>
      <c r="H70" s="1" t="s">
        <v>2686</v>
      </c>
      <c r="I70" s="1" t="s">
        <v>2687</v>
      </c>
    </row>
    <row r="71" spans="1:10" ht="45" x14ac:dyDescent="0.25">
      <c r="A71" s="2" t="s">
        <v>2861</v>
      </c>
      <c r="B71" s="2" t="s">
        <v>2669</v>
      </c>
      <c r="C71" s="44">
        <v>0</v>
      </c>
      <c r="D71" s="1" t="s">
        <v>65</v>
      </c>
      <c r="E71" s="1" t="s">
        <v>64</v>
      </c>
      <c r="F71" s="1" t="str">
        <f>UnitControlCenter!$B$9</f>
        <v>billion 2021 dollars / year</v>
      </c>
      <c r="G71" s="1" t="s">
        <v>2682</v>
      </c>
      <c r="H71" s="1" t="s">
        <v>2678</v>
      </c>
      <c r="I71" s="1" t="s">
        <v>2680</v>
      </c>
    </row>
    <row r="72" spans="1:10" ht="45" x14ac:dyDescent="0.25">
      <c r="A72" s="2" t="s">
        <v>2861</v>
      </c>
      <c r="B72" s="2" t="s">
        <v>2670</v>
      </c>
      <c r="C72" s="44">
        <v>0</v>
      </c>
      <c r="D72" s="1" t="s">
        <v>65</v>
      </c>
      <c r="E72" s="1" t="s">
        <v>64</v>
      </c>
      <c r="F72" s="1" t="str">
        <f>UnitControlCenter!$B$9</f>
        <v>billion 2021 dollars / year</v>
      </c>
      <c r="G72" s="1" t="s">
        <v>2683</v>
      </c>
      <c r="H72" s="1" t="s">
        <v>2678</v>
      </c>
      <c r="I72" s="1" t="s">
        <v>2681</v>
      </c>
    </row>
    <row r="73" spans="1:10" ht="60" x14ac:dyDescent="0.25">
      <c r="A73" s="2" t="s">
        <v>2861</v>
      </c>
      <c r="B73" s="2" t="s">
        <v>2671</v>
      </c>
      <c r="C73" s="44">
        <v>0</v>
      </c>
      <c r="D73" s="1" t="s">
        <v>65</v>
      </c>
      <c r="E73" s="1" t="s">
        <v>64</v>
      </c>
      <c r="F73" s="1" t="str">
        <f>UnitControlCenter!$B$9</f>
        <v>billion 2021 dollars / year</v>
      </c>
      <c r="G73" s="1" t="s">
        <v>2689</v>
      </c>
      <c r="H73" s="1" t="s">
        <v>2686</v>
      </c>
      <c r="I73" s="1" t="s">
        <v>2687</v>
      </c>
    </row>
    <row r="74" spans="1:10" ht="60" x14ac:dyDescent="0.25">
      <c r="A74" s="2" t="s">
        <v>2861</v>
      </c>
      <c r="B74" s="2" t="s">
        <v>2672</v>
      </c>
      <c r="C74" s="44">
        <v>0</v>
      </c>
      <c r="D74" s="1" t="s">
        <v>65</v>
      </c>
      <c r="E74" s="1" t="s">
        <v>64</v>
      </c>
      <c r="F74" s="1" t="str">
        <f>UnitControlCenter!$B$9</f>
        <v>billion 2021 dollars / year</v>
      </c>
      <c r="G74" s="1" t="s">
        <v>2690</v>
      </c>
      <c r="H74" s="1" t="s">
        <v>2686</v>
      </c>
      <c r="I74" s="1" t="s">
        <v>2687</v>
      </c>
    </row>
    <row r="75" spans="1:10" ht="75" x14ac:dyDescent="0.25">
      <c r="A75" s="2" t="s">
        <v>2861</v>
      </c>
      <c r="B75" s="2" t="s">
        <v>2673</v>
      </c>
      <c r="C75" s="44">
        <v>0</v>
      </c>
      <c r="D75" s="1" t="s">
        <v>65</v>
      </c>
      <c r="E75" s="1" t="s">
        <v>64</v>
      </c>
      <c r="F75" s="1" t="str">
        <f>UnitControlCenter!$B$9</f>
        <v>billion 2021 dollars / year</v>
      </c>
      <c r="G75" s="1" t="s">
        <v>2691</v>
      </c>
      <c r="H75" s="1" t="s">
        <v>2686</v>
      </c>
      <c r="I75" s="1" t="s">
        <v>2687</v>
      </c>
    </row>
    <row r="76" spans="1:10" ht="75" x14ac:dyDescent="0.25">
      <c r="A76" s="2" t="s">
        <v>2861</v>
      </c>
      <c r="B76" s="2" t="s">
        <v>2696</v>
      </c>
      <c r="C76" s="44">
        <v>0</v>
      </c>
      <c r="D76" s="1" t="s">
        <v>65</v>
      </c>
      <c r="E76" s="1" t="s">
        <v>64</v>
      </c>
      <c r="F76" s="1" t="str">
        <f>UnitControlCenter!$B$9</f>
        <v>billion 2021 dollars / year</v>
      </c>
      <c r="G76" s="1" t="s">
        <v>2694</v>
      </c>
      <c r="H76" s="1" t="s">
        <v>2686</v>
      </c>
      <c r="I76" s="1" t="s">
        <v>2692</v>
      </c>
    </row>
    <row r="77" spans="1:10" ht="60.75" thickBot="1" x14ac:dyDescent="0.3">
      <c r="A77" s="203" t="s">
        <v>2861</v>
      </c>
      <c r="B77" s="203" t="s">
        <v>2697</v>
      </c>
      <c r="C77" s="210">
        <v>0</v>
      </c>
      <c r="D77" s="204" t="s">
        <v>65</v>
      </c>
      <c r="E77" s="204" t="s">
        <v>64</v>
      </c>
      <c r="F77" s="204" t="str">
        <f>UnitControlCenter!$B$9</f>
        <v>billion 2021 dollars / year</v>
      </c>
      <c r="G77" s="204" t="s">
        <v>2695</v>
      </c>
      <c r="H77" s="204" t="s">
        <v>2686</v>
      </c>
      <c r="I77" s="204" t="s">
        <v>2693</v>
      </c>
      <c r="J77" s="204"/>
    </row>
    <row r="78" spans="1:10" ht="30" x14ac:dyDescent="0.25">
      <c r="A78" s="2" t="s">
        <v>2338</v>
      </c>
      <c r="B78" s="2" t="s">
        <v>2978</v>
      </c>
      <c r="C78" s="44">
        <v>1</v>
      </c>
      <c r="D78" s="1" t="s">
        <v>63</v>
      </c>
      <c r="E78" s="1" t="s">
        <v>2980</v>
      </c>
      <c r="F78" s="1" t="str">
        <f>UnitControlCenter!$B$12</f>
        <v>incidents / year</v>
      </c>
      <c r="G78" s="1" t="s">
        <v>2906</v>
      </c>
    </row>
    <row r="79" spans="1:10" x14ac:dyDescent="0.25">
      <c r="A79" s="2" t="s">
        <v>2338</v>
      </c>
      <c r="B79" s="2" t="s">
        <v>3188</v>
      </c>
      <c r="C79" s="44">
        <v>1</v>
      </c>
      <c r="D79" s="1" t="s">
        <v>63</v>
      </c>
      <c r="E79" s="1" t="s">
        <v>64</v>
      </c>
      <c r="F79" s="1" t="str">
        <f>UnitControlCenter!$B$13</f>
        <v>% change</v>
      </c>
      <c r="G79" s="1" t="s">
        <v>3189</v>
      </c>
    </row>
    <row r="80" spans="1:10" ht="30" x14ac:dyDescent="0.25">
      <c r="A80" s="2" t="s">
        <v>2338</v>
      </c>
      <c r="B80" s="2" t="s">
        <v>3283</v>
      </c>
      <c r="C80" s="44">
        <v>1</v>
      </c>
      <c r="D80" s="1" t="s">
        <v>65</v>
      </c>
      <c r="E80" s="1" t="s">
        <v>66</v>
      </c>
      <c r="F80" s="1" t="str">
        <f>UnitControlCenter!$B$12</f>
        <v>incidents / year</v>
      </c>
      <c r="G80" s="1" t="s">
        <v>3172</v>
      </c>
      <c r="H80" s="1" t="s">
        <v>3160</v>
      </c>
      <c r="I80" s="1" t="s">
        <v>3161</v>
      </c>
    </row>
    <row r="81" spans="1:10" ht="30" x14ac:dyDescent="0.25">
      <c r="A81" s="2" t="s">
        <v>2338</v>
      </c>
      <c r="B81" s="2" t="s">
        <v>3284</v>
      </c>
      <c r="C81" s="44">
        <v>1</v>
      </c>
      <c r="D81" s="1" t="s">
        <v>65</v>
      </c>
      <c r="E81" s="1" t="s">
        <v>64</v>
      </c>
      <c r="F81" s="1" t="str">
        <f>UnitControlCenter!$B$13</f>
        <v>% change</v>
      </c>
      <c r="G81" s="1" t="s">
        <v>3183</v>
      </c>
      <c r="H81" s="1" t="s">
        <v>3160</v>
      </c>
      <c r="I81" s="1" t="s">
        <v>3161</v>
      </c>
    </row>
    <row r="82" spans="1:10" ht="45" x14ac:dyDescent="0.25">
      <c r="A82" s="2" t="s">
        <v>2338</v>
      </c>
      <c r="B82" s="2" t="s">
        <v>3170</v>
      </c>
      <c r="C82" s="44">
        <v>1</v>
      </c>
      <c r="D82" s="1" t="s">
        <v>65</v>
      </c>
      <c r="E82" s="1" t="s">
        <v>66</v>
      </c>
      <c r="F82" s="1" t="str">
        <f>UnitControlCenter!$B$12</f>
        <v>incidents / year</v>
      </c>
      <c r="G82" s="1" t="s">
        <v>3173</v>
      </c>
      <c r="H82" s="1" t="s">
        <v>3162</v>
      </c>
      <c r="I82" s="20" t="s">
        <v>3163</v>
      </c>
      <c r="J82" s="20"/>
    </row>
    <row r="83" spans="1:10" ht="45" x14ac:dyDescent="0.25">
      <c r="A83" s="2" t="s">
        <v>2338</v>
      </c>
      <c r="B83" s="2" t="s">
        <v>3186</v>
      </c>
      <c r="C83" s="44">
        <v>1</v>
      </c>
      <c r="D83" s="1" t="s">
        <v>65</v>
      </c>
      <c r="E83" s="1" t="s">
        <v>64</v>
      </c>
      <c r="F83" s="1" t="str">
        <f>UnitControlCenter!$B$13</f>
        <v>% change</v>
      </c>
      <c r="G83" s="1" t="s">
        <v>3184</v>
      </c>
      <c r="H83" s="1" t="s">
        <v>3162</v>
      </c>
      <c r="I83" s="20" t="s">
        <v>3163</v>
      </c>
      <c r="J83" s="20"/>
    </row>
    <row r="84" spans="1:10" ht="30" x14ac:dyDescent="0.25">
      <c r="A84" s="2" t="s">
        <v>2338</v>
      </c>
      <c r="B84" s="2" t="s">
        <v>3171</v>
      </c>
      <c r="C84" s="44">
        <v>1</v>
      </c>
      <c r="D84" s="1" t="s">
        <v>65</v>
      </c>
      <c r="E84" s="1" t="s">
        <v>66</v>
      </c>
      <c r="F84" s="1" t="str">
        <f>UnitControlCenter!$B$12</f>
        <v>incidents / year</v>
      </c>
      <c r="G84" s="1" t="s">
        <v>3174</v>
      </c>
      <c r="H84" s="1" t="s">
        <v>3165</v>
      </c>
      <c r="I84" s="1" t="s">
        <v>3166</v>
      </c>
    </row>
    <row r="85" spans="1:10" ht="30" x14ac:dyDescent="0.25">
      <c r="A85" s="2" t="s">
        <v>2338</v>
      </c>
      <c r="B85" s="2" t="s">
        <v>3187</v>
      </c>
      <c r="C85" s="44">
        <v>1</v>
      </c>
      <c r="D85" s="1" t="s">
        <v>65</v>
      </c>
      <c r="E85" s="1" t="s">
        <v>64</v>
      </c>
      <c r="F85" s="1" t="str">
        <f>UnitControlCenter!$B$13</f>
        <v>% change</v>
      </c>
      <c r="G85" s="1" t="s">
        <v>3185</v>
      </c>
      <c r="H85" s="1" t="s">
        <v>3165</v>
      </c>
      <c r="I85" s="1" t="s">
        <v>3166</v>
      </c>
    </row>
    <row r="86" spans="1:10" x14ac:dyDescent="0.25">
      <c r="A86" s="2" t="s">
        <v>2338</v>
      </c>
      <c r="B86" s="2" t="s">
        <v>2898</v>
      </c>
      <c r="C86" s="44">
        <v>0</v>
      </c>
      <c r="D86" s="1" t="s">
        <v>63</v>
      </c>
      <c r="E86" s="1" t="s">
        <v>64</v>
      </c>
      <c r="F86" s="1" t="str">
        <f>UnitControlCenter!$B$12</f>
        <v>incidents / year</v>
      </c>
      <c r="G86" s="1" t="s">
        <v>2906</v>
      </c>
    </row>
    <row r="87" spans="1:10" ht="30" x14ac:dyDescent="0.25">
      <c r="A87" s="2" t="s">
        <v>2338</v>
      </c>
      <c r="B87" s="2" t="s">
        <v>2339</v>
      </c>
      <c r="C87" s="44">
        <v>1</v>
      </c>
      <c r="D87" s="1" t="s">
        <v>63</v>
      </c>
      <c r="E87" s="1" t="s">
        <v>64</v>
      </c>
      <c r="F87" s="1" t="str">
        <f>UnitControlCenter!$B$9</f>
        <v>billion 2021 dollars / year</v>
      </c>
      <c r="G87" s="1" t="s">
        <v>67</v>
      </c>
    </row>
    <row r="88" spans="1:10" x14ac:dyDescent="0.25">
      <c r="A88" s="2" t="s">
        <v>2338</v>
      </c>
      <c r="B88" s="2" t="s">
        <v>2899</v>
      </c>
      <c r="C88" s="44">
        <v>1</v>
      </c>
      <c r="D88" s="1" t="s">
        <v>63</v>
      </c>
      <c r="E88" s="1" t="s">
        <v>64</v>
      </c>
      <c r="F88" s="1" t="str">
        <f>UnitControlCenter!$B$12</f>
        <v>incidents / year</v>
      </c>
      <c r="G88" s="1" t="s">
        <v>2907</v>
      </c>
    </row>
    <row r="89" spans="1:10" ht="30" x14ac:dyDescent="0.25">
      <c r="A89" s="2" t="s">
        <v>2338</v>
      </c>
      <c r="B89" s="2" t="s">
        <v>2900</v>
      </c>
      <c r="C89" s="44">
        <v>1</v>
      </c>
      <c r="D89" s="1" t="s">
        <v>63</v>
      </c>
      <c r="E89" s="1" t="s">
        <v>64</v>
      </c>
      <c r="F89" s="1" t="str">
        <f>UnitControlCenter!$B$12</f>
        <v>incidents / year</v>
      </c>
      <c r="G89" s="1" t="s">
        <v>2908</v>
      </c>
    </row>
    <row r="90" spans="1:10" x14ac:dyDescent="0.25">
      <c r="A90" s="2" t="s">
        <v>2338</v>
      </c>
      <c r="B90" s="2" t="s">
        <v>2913</v>
      </c>
      <c r="C90" s="44">
        <v>1</v>
      </c>
      <c r="D90" s="1" t="s">
        <v>63</v>
      </c>
      <c r="E90" s="1" t="s">
        <v>64</v>
      </c>
      <c r="F90" s="1" t="str">
        <f>UnitControlCenter!$B$12</f>
        <v>incidents / year</v>
      </c>
      <c r="G90" s="1" t="s">
        <v>2914</v>
      </c>
    </row>
    <row r="91" spans="1:10" ht="30" x14ac:dyDescent="0.25">
      <c r="A91" s="2" t="s">
        <v>2338</v>
      </c>
      <c r="B91" s="2" t="s">
        <v>2901</v>
      </c>
      <c r="C91" s="44">
        <v>1</v>
      </c>
      <c r="D91" s="1" t="s">
        <v>63</v>
      </c>
      <c r="E91" s="1" t="s">
        <v>64</v>
      </c>
      <c r="F91" s="1" t="str">
        <f>UnitControlCenter!$B$12</f>
        <v>incidents / year</v>
      </c>
      <c r="G91" s="1" t="s">
        <v>2909</v>
      </c>
    </row>
    <row r="92" spans="1:10" x14ac:dyDescent="0.25">
      <c r="A92" s="2" t="s">
        <v>2338</v>
      </c>
      <c r="B92" s="2" t="s">
        <v>2902</v>
      </c>
      <c r="C92" s="44">
        <v>1</v>
      </c>
      <c r="D92" s="1" t="s">
        <v>63</v>
      </c>
      <c r="E92" s="1" t="s">
        <v>64</v>
      </c>
      <c r="F92" s="1" t="str">
        <f>UnitControlCenter!$B$12</f>
        <v>incidents / year</v>
      </c>
      <c r="G92" s="1" t="s">
        <v>2910</v>
      </c>
    </row>
    <row r="93" spans="1:10" x14ac:dyDescent="0.25">
      <c r="A93" s="2" t="s">
        <v>2338</v>
      </c>
      <c r="B93" s="2" t="s">
        <v>2903</v>
      </c>
      <c r="C93" s="44">
        <v>1</v>
      </c>
      <c r="D93" s="1" t="s">
        <v>63</v>
      </c>
      <c r="E93" s="1" t="s">
        <v>64</v>
      </c>
      <c r="F93" s="1" t="str">
        <f>UnitControlCenter!$B$12</f>
        <v>incidents / year</v>
      </c>
      <c r="G93" s="1" t="s">
        <v>2911</v>
      </c>
    </row>
    <row r="94" spans="1:10" ht="30.75" thickBot="1" x14ac:dyDescent="0.3">
      <c r="A94" s="203" t="s">
        <v>2338</v>
      </c>
      <c r="B94" s="203" t="s">
        <v>2904</v>
      </c>
      <c r="C94" s="210">
        <v>1</v>
      </c>
      <c r="D94" s="204" t="s">
        <v>63</v>
      </c>
      <c r="E94" s="204" t="s">
        <v>64</v>
      </c>
      <c r="F94" s="204" t="str">
        <f>UnitControlCenter!$B$12</f>
        <v>incidents / year</v>
      </c>
      <c r="G94" s="204" t="s">
        <v>2912</v>
      </c>
      <c r="H94" s="204"/>
      <c r="I94" s="204"/>
      <c r="J94" s="204"/>
    </row>
    <row r="95" spans="1:10" ht="225" x14ac:dyDescent="0.25">
      <c r="A95" s="2" t="s">
        <v>2465</v>
      </c>
      <c r="B95" s="2" t="s">
        <v>2340</v>
      </c>
      <c r="C95" s="44">
        <v>1</v>
      </c>
      <c r="D95" s="1" t="s">
        <v>65</v>
      </c>
      <c r="E95" s="1" t="s">
        <v>66</v>
      </c>
      <c r="F95" s="1" t="str">
        <f>UnitControlCenter!$B$16</f>
        <v>terawatt-hours (TWh) / year</v>
      </c>
      <c r="G95" s="1" t="s">
        <v>3706</v>
      </c>
      <c r="H95" s="1" t="s">
        <v>3700</v>
      </c>
      <c r="I95" s="1" t="s">
        <v>3701</v>
      </c>
    </row>
    <row r="96" spans="1:10" ht="270" x14ac:dyDescent="0.25">
      <c r="A96" s="2" t="s">
        <v>2465</v>
      </c>
      <c r="B96" s="2" t="s">
        <v>2341</v>
      </c>
      <c r="C96" s="44">
        <v>1</v>
      </c>
      <c r="D96" s="1" t="s">
        <v>65</v>
      </c>
      <c r="E96" s="1" t="s">
        <v>64</v>
      </c>
      <c r="F96" s="1" t="str">
        <f>UnitControlCenter!$B$16</f>
        <v>terawatt-hours (TWh) / year</v>
      </c>
      <c r="G96" s="1" t="s">
        <v>3707</v>
      </c>
      <c r="H96" s="1" t="s">
        <v>3700</v>
      </c>
      <c r="I96" s="1" t="s">
        <v>3701</v>
      </c>
    </row>
    <row r="97" spans="1:10" ht="225" x14ac:dyDescent="0.25">
      <c r="A97" s="2" t="s">
        <v>2465</v>
      </c>
      <c r="B97" s="2" t="s">
        <v>2342</v>
      </c>
      <c r="C97" s="44">
        <v>1</v>
      </c>
      <c r="D97" s="1" t="s">
        <v>65</v>
      </c>
      <c r="E97" s="1" t="s">
        <v>66</v>
      </c>
      <c r="F97" s="1" t="str">
        <f>UnitControlCenter!$B$21</f>
        <v>gigawatts (GW) / year</v>
      </c>
      <c r="G97" s="1" t="s">
        <v>3708</v>
      </c>
      <c r="H97" s="1" t="s">
        <v>3704</v>
      </c>
      <c r="I97" s="1" t="s">
        <v>3702</v>
      </c>
    </row>
    <row r="98" spans="1:10" ht="255" x14ac:dyDescent="0.25">
      <c r="A98" s="2" t="s">
        <v>2465</v>
      </c>
      <c r="B98" s="2" t="s">
        <v>2343</v>
      </c>
      <c r="C98" s="44">
        <v>1</v>
      </c>
      <c r="D98" s="1" t="s">
        <v>65</v>
      </c>
      <c r="E98" s="1" t="s">
        <v>64</v>
      </c>
      <c r="F98" s="1" t="str">
        <f>UnitControlCenter!$B$21</f>
        <v>gigawatts (GW) / year</v>
      </c>
      <c r="G98" s="1" t="s">
        <v>3709</v>
      </c>
      <c r="H98" s="1" t="s">
        <v>3705</v>
      </c>
      <c r="I98" s="1" t="s">
        <v>3703</v>
      </c>
    </row>
    <row r="99" spans="1:10" ht="45" x14ac:dyDescent="0.25">
      <c r="A99" s="2" t="s">
        <v>2465</v>
      </c>
      <c r="B99" s="2" t="s">
        <v>2466</v>
      </c>
      <c r="C99" s="44">
        <v>1</v>
      </c>
      <c r="D99" s="1" t="s">
        <v>65</v>
      </c>
      <c r="E99" s="1" t="s">
        <v>66</v>
      </c>
      <c r="F99" s="1" t="str">
        <f>UnitControlCenter!$B$16</f>
        <v>terawatt-hours (TWh) / year</v>
      </c>
      <c r="G99" s="1" t="s">
        <v>2831</v>
      </c>
      <c r="H99" s="1" t="s">
        <v>2832</v>
      </c>
      <c r="I99" s="1" t="s">
        <v>2500</v>
      </c>
    </row>
    <row r="100" spans="1:10" ht="30" x14ac:dyDescent="0.25">
      <c r="A100" s="2" t="s">
        <v>2465</v>
      </c>
      <c r="B100" s="2" t="s">
        <v>3349</v>
      </c>
      <c r="C100" s="44">
        <v>1</v>
      </c>
      <c r="D100" s="1" t="s">
        <v>63</v>
      </c>
      <c r="E100" s="1" t="s">
        <v>64</v>
      </c>
      <c r="F100" s="1" t="str">
        <f>UnitControlCenter!B18</f>
        <v>%</v>
      </c>
      <c r="G100" s="1" t="s">
        <v>3352</v>
      </c>
    </row>
    <row r="101" spans="1:10" ht="30" x14ac:dyDescent="0.25">
      <c r="A101" s="2" t="s">
        <v>2465</v>
      </c>
      <c r="B101" s="2" t="s">
        <v>3354</v>
      </c>
      <c r="C101" s="44">
        <v>1</v>
      </c>
      <c r="D101" s="1" t="s">
        <v>63</v>
      </c>
      <c r="E101" s="1" t="s">
        <v>64</v>
      </c>
      <c r="F101" s="1" t="str">
        <f>UnitControlCenter!B19</f>
        <v>metric tons CO2e / megawatt-hour (MWh)</v>
      </c>
      <c r="G101" s="1" t="s">
        <v>3353</v>
      </c>
    </row>
    <row r="102" spans="1:10" ht="30.75" thickBot="1" x14ac:dyDescent="0.3">
      <c r="A102" s="203" t="s">
        <v>2465</v>
      </c>
      <c r="B102" s="203" t="s">
        <v>3361</v>
      </c>
      <c r="C102" s="210">
        <v>1</v>
      </c>
      <c r="D102" s="204" t="s">
        <v>63</v>
      </c>
      <c r="E102" s="204" t="s">
        <v>64</v>
      </c>
      <c r="F102" s="204" t="str">
        <f>UnitControlCenter!B20</f>
        <v>kilowatt-hour / 2021 dollar</v>
      </c>
      <c r="G102" s="204" t="s">
        <v>3362</v>
      </c>
      <c r="H102" s="204"/>
      <c r="I102" s="204"/>
      <c r="J102" s="204"/>
    </row>
    <row r="103" spans="1:10" ht="195" x14ac:dyDescent="0.25">
      <c r="A103" s="2" t="s">
        <v>3121</v>
      </c>
      <c r="B103" s="2" t="s">
        <v>2344</v>
      </c>
      <c r="C103" s="44">
        <v>1</v>
      </c>
      <c r="D103" s="1" t="s">
        <v>65</v>
      </c>
      <c r="E103" s="1" t="s">
        <v>2356</v>
      </c>
      <c r="F103" s="1" t="str">
        <f>UnitControlCenter!$B$22</f>
        <v>2021 dollars / megawatt-hour (MWh)</v>
      </c>
      <c r="G103" s="1" t="s">
        <v>3620</v>
      </c>
      <c r="H103" s="1" t="s">
        <v>3696</v>
      </c>
      <c r="I103" s="44" t="s">
        <v>3698</v>
      </c>
    </row>
    <row r="104" spans="1:10" ht="30" x14ac:dyDescent="0.25">
      <c r="A104" s="2" t="s">
        <v>3121</v>
      </c>
      <c r="B104" s="2" t="s">
        <v>2345</v>
      </c>
      <c r="C104" s="44">
        <v>1</v>
      </c>
      <c r="D104" s="1" t="s">
        <v>65</v>
      </c>
      <c r="E104" s="1" t="s">
        <v>66</v>
      </c>
      <c r="F104" s="1" t="str">
        <f>UnitControlCenter!$B$16</f>
        <v>terawatt-hours (TWh) / year</v>
      </c>
      <c r="G104" s="1" t="s">
        <v>2769</v>
      </c>
      <c r="H104" s="1" t="s">
        <v>2770</v>
      </c>
      <c r="I104" s="1" t="s">
        <v>2771</v>
      </c>
    </row>
    <row r="105" spans="1:10" ht="120" x14ac:dyDescent="0.25">
      <c r="A105" s="2" t="s">
        <v>3121</v>
      </c>
      <c r="B105" s="2" t="s">
        <v>3122</v>
      </c>
      <c r="C105" s="44">
        <v>1</v>
      </c>
      <c r="D105" s="1" t="s">
        <v>65</v>
      </c>
      <c r="E105" s="1" t="s">
        <v>66</v>
      </c>
      <c r="F105" s="1" t="str">
        <f>UnitControlCenter!$B$3</f>
        <v>million metric tons / year</v>
      </c>
      <c r="G105" s="1" t="s">
        <v>3622</v>
      </c>
      <c r="H105" s="1" t="s">
        <v>3697</v>
      </c>
      <c r="I105" s="44" t="s">
        <v>3699</v>
      </c>
    </row>
    <row r="106" spans="1:10" ht="225" x14ac:dyDescent="0.25">
      <c r="A106" s="2" t="s">
        <v>3121</v>
      </c>
      <c r="B106" s="2" t="s">
        <v>2459</v>
      </c>
      <c r="C106" s="44">
        <v>1</v>
      </c>
      <c r="D106" s="1" t="s">
        <v>65</v>
      </c>
      <c r="E106" s="1" t="s">
        <v>66</v>
      </c>
      <c r="F106" s="1" t="str">
        <f>UnitControlCenter!$B$23</f>
        <v>cubic km / yr</v>
      </c>
      <c r="G106" s="1" t="s">
        <v>3621</v>
      </c>
      <c r="H106" s="1" t="s">
        <v>3696</v>
      </c>
      <c r="I106" s="44" t="s">
        <v>3698</v>
      </c>
    </row>
    <row r="107" spans="1:10" s="204" customFormat="1" ht="225.75" thickBot="1" x14ac:dyDescent="0.3">
      <c r="A107" s="203" t="s">
        <v>3121</v>
      </c>
      <c r="B107" s="203" t="s">
        <v>2460</v>
      </c>
      <c r="C107" s="210">
        <v>1</v>
      </c>
      <c r="D107" s="204" t="s">
        <v>65</v>
      </c>
      <c r="E107" s="204" t="s">
        <v>66</v>
      </c>
      <c r="F107" s="204" t="str">
        <f>UnitControlCenter!$B$23</f>
        <v>cubic km / yr</v>
      </c>
      <c r="G107" s="204" t="s">
        <v>3623</v>
      </c>
      <c r="H107" s="1" t="s">
        <v>3696</v>
      </c>
      <c r="I107" s="44" t="s">
        <v>3698</v>
      </c>
    </row>
    <row r="108" spans="1:10" ht="409.5" x14ac:dyDescent="0.25">
      <c r="A108" s="2" t="s">
        <v>3581</v>
      </c>
      <c r="B108" s="2" t="s">
        <v>3582</v>
      </c>
      <c r="C108" s="44">
        <v>1</v>
      </c>
      <c r="D108" s="1" t="s">
        <v>65</v>
      </c>
      <c r="E108" s="1" t="s">
        <v>3588</v>
      </c>
      <c r="F108" s="1" t="str">
        <f>UnitControlCenter!$B$17</f>
        <v>terawatt-hours (TWh)</v>
      </c>
      <c r="G108" s="1" t="s">
        <v>3649</v>
      </c>
      <c r="H108" s="1" t="s">
        <v>3645</v>
      </c>
      <c r="I108" s="1" t="s">
        <v>3646</v>
      </c>
    </row>
    <row r="109" spans="1:10" ht="409.5" x14ac:dyDescent="0.25">
      <c r="A109" s="2" t="s">
        <v>3581</v>
      </c>
      <c r="B109" s="2" t="s">
        <v>3583</v>
      </c>
      <c r="C109" s="44">
        <v>1</v>
      </c>
      <c r="D109" s="1" t="s">
        <v>65</v>
      </c>
      <c r="E109" s="1" t="s">
        <v>3588</v>
      </c>
      <c r="F109" s="1" t="str">
        <f>UnitControlCenter!$B$17</f>
        <v>terawatt-hours (TWh)</v>
      </c>
      <c r="G109" s="1" t="s">
        <v>3650</v>
      </c>
      <c r="H109" s="399" t="str">
        <f>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09" s="399" t="str">
        <f>I$108</f>
        <v>abd8a4, af64ff, b49f00, ff9999, e5ffcc, 620e7a, 65fffb, 00b050, ff6400, ffff00, f1bb18, c2dffd, 087bf1, 004185, ccff33, 04ffaf, bfb088, ff00ff, 000000, ad6600, 740000, f593e0, 9b1cb0, c01b00, ff0000, 6e8000, 004d10, 009999, 969696, b49f00, af64ff</v>
      </c>
    </row>
    <row r="110" spans="1:10" ht="409.5" x14ac:dyDescent="0.25">
      <c r="A110" s="2" t="s">
        <v>3581</v>
      </c>
      <c r="B110" s="2" t="s">
        <v>3584</v>
      </c>
      <c r="C110" s="44">
        <v>1</v>
      </c>
      <c r="D110" s="1" t="s">
        <v>65</v>
      </c>
      <c r="E110" s="1" t="s">
        <v>3588</v>
      </c>
      <c r="F110" s="1" t="str">
        <f>UnitControlCenter!$B$17</f>
        <v>terawatt-hours (TWh)</v>
      </c>
      <c r="G110" s="1" t="s">
        <v>3651</v>
      </c>
      <c r="H110" s="399" t="str">
        <f t="shared" ref="H110:I113" si="0">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0" s="399" t="str">
        <f t="shared" si="0"/>
        <v>abd8a4, af64ff, b49f00, ff9999, e5ffcc, 620e7a, 65fffb, 00b050, ff6400, ffff00, f1bb18, c2dffd, 087bf1, 004185, ccff33, 04ffaf, bfb088, ff00ff, 000000, ad6600, 740000, f593e0, 9b1cb0, c01b00, ff0000, 6e8000, 004d10, 009999, 969696, b49f00, af64ff</v>
      </c>
    </row>
    <row r="111" spans="1:10" ht="409.5" x14ac:dyDescent="0.25">
      <c r="A111" s="2" t="s">
        <v>3581</v>
      </c>
      <c r="B111" s="2" t="s">
        <v>3585</v>
      </c>
      <c r="C111" s="44">
        <v>1</v>
      </c>
      <c r="D111" s="1" t="s">
        <v>65</v>
      </c>
      <c r="E111" s="1" t="s">
        <v>3588</v>
      </c>
      <c r="F111" s="1" t="str">
        <f>UnitControlCenter!$B$17</f>
        <v>terawatt-hours (TWh)</v>
      </c>
      <c r="G111" s="1" t="s">
        <v>3652</v>
      </c>
      <c r="H111" s="399"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1" s="399" t="str">
        <f t="shared" si="0"/>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3581</v>
      </c>
      <c r="B112" s="2" t="s">
        <v>3586</v>
      </c>
      <c r="C112" s="44">
        <v>1</v>
      </c>
      <c r="D112" s="1" t="s">
        <v>65</v>
      </c>
      <c r="E112" s="1" t="s">
        <v>3588</v>
      </c>
      <c r="F112" s="1" t="str">
        <f>UnitControlCenter!$B$17</f>
        <v>terawatt-hours (TWh)</v>
      </c>
      <c r="G112" s="1" t="s">
        <v>3647</v>
      </c>
      <c r="H112" s="399"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2" s="399"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3581</v>
      </c>
      <c r="B113" s="2" t="s">
        <v>3587</v>
      </c>
      <c r="C113" s="44">
        <v>1</v>
      </c>
      <c r="D113" s="1" t="s">
        <v>65</v>
      </c>
      <c r="E113" s="1" t="s">
        <v>3588</v>
      </c>
      <c r="F113" s="1" t="str">
        <f>UnitControlCenter!$B$17</f>
        <v>terawatt-hours (TWh)</v>
      </c>
      <c r="G113" s="1" t="s">
        <v>3648</v>
      </c>
      <c r="H113" s="399"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3" s="399"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3581</v>
      </c>
      <c r="B114" s="2" t="s">
        <v>3591</v>
      </c>
      <c r="C114" s="44">
        <v>1</v>
      </c>
      <c r="D114" s="1" t="s">
        <v>65</v>
      </c>
      <c r="E114" s="1" t="s">
        <v>3589</v>
      </c>
      <c r="F114" s="1" t="str">
        <f>UnitControlCenter!$B$17</f>
        <v>terawatt-hours (TWh)</v>
      </c>
      <c r="G114" s="389" t="str">
        <f>G108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4" s="389" t="str">
        <f t="shared" ref="H114:I114" si="1">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4" s="389" t="str">
        <f t="shared" si="1"/>
        <v>abd8a4, af64ff, b49f00, ff9999, e5ffcc, 620e7a, 65fffb, 00b050, ff6400, ffff00, f1bb18, c2dffd, 087bf1, 004185, ccff33, 04ffaf, bfb088, ff00ff, 000000, ad6600, 740000, f593e0, 9b1cb0, c01b00, ff0000, 6e8000, 004d10, 009999, 969696, b49f00, af64ff</v>
      </c>
      <c r="J114" s="389"/>
    </row>
    <row r="115" spans="1:10" ht="409.5" x14ac:dyDescent="0.25">
      <c r="A115" s="2" t="s">
        <v>3581</v>
      </c>
      <c r="B115" s="2" t="s">
        <v>3592</v>
      </c>
      <c r="C115" s="44">
        <v>1</v>
      </c>
      <c r="D115" s="1" t="s">
        <v>65</v>
      </c>
      <c r="E115" s="1" t="s">
        <v>3589</v>
      </c>
      <c r="F115" s="1" t="str">
        <f>UnitControlCenter!$B$17</f>
        <v>terawatt-hours (TWh)</v>
      </c>
      <c r="G115" s="389" t="str">
        <f t="shared" ref="G115:I115" si="2">G109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5" s="389" t="str">
        <f t="shared" si="2"/>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5" s="389" t="str">
        <f t="shared" si="2"/>
        <v>abd8a4, af64ff, b49f00, ff9999, e5ffcc, 620e7a, 65fffb, 00b050, ff6400, ffff00, f1bb18, c2dffd, 087bf1, 004185, ccff33, 04ffaf, bfb088, ff00ff, 000000, ad6600, 740000, f593e0, 9b1cb0, c01b00, ff0000, 6e8000, 004d10, 009999, 969696, b49f00, af64ff</v>
      </c>
      <c r="J115" s="389"/>
    </row>
    <row r="116" spans="1:10" ht="409.5" x14ac:dyDescent="0.25">
      <c r="A116" s="2" t="s">
        <v>3581</v>
      </c>
      <c r="B116" s="2" t="s">
        <v>3593</v>
      </c>
      <c r="C116" s="44">
        <v>1</v>
      </c>
      <c r="D116" s="1" t="s">
        <v>65</v>
      </c>
      <c r="E116" s="1" t="s">
        <v>3589</v>
      </c>
      <c r="F116" s="1" t="str">
        <f>UnitControlCenter!$B$17</f>
        <v>terawatt-hours (TWh)</v>
      </c>
      <c r="G116" s="389" t="str">
        <f t="shared" ref="G116:I116" si="3">G110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6" s="389" t="str">
        <f t="shared" si="3"/>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6" s="389" t="str">
        <f t="shared" si="3"/>
        <v>abd8a4, af64ff, b49f00, ff9999, e5ffcc, 620e7a, 65fffb, 00b050, ff6400, ffff00, f1bb18, c2dffd, 087bf1, 004185, ccff33, 04ffaf, bfb088, ff00ff, 000000, ad6600, 740000, f593e0, 9b1cb0, c01b00, ff0000, 6e8000, 004d10, 009999, 969696, b49f00, af64ff</v>
      </c>
      <c r="J116" s="389"/>
    </row>
    <row r="117" spans="1:10" ht="409.5" x14ac:dyDescent="0.25">
      <c r="A117" s="2" t="s">
        <v>3581</v>
      </c>
      <c r="B117" s="2" t="s">
        <v>3594</v>
      </c>
      <c r="C117" s="44">
        <v>1</v>
      </c>
      <c r="D117" s="1" t="s">
        <v>65</v>
      </c>
      <c r="E117" s="1" t="s">
        <v>3589</v>
      </c>
      <c r="F117" s="1" t="str">
        <f>UnitControlCenter!$B$17</f>
        <v>terawatt-hours (TWh)</v>
      </c>
      <c r="G117" s="389" t="str">
        <f t="shared" ref="G117:I117" si="4">G111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7" s="389" t="str">
        <f t="shared" si="4"/>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7" s="389" t="str">
        <f t="shared" si="4"/>
        <v>abd8a4, af64ff, b49f00, ff9999, e5ffcc, 620e7a, 65fffb, 00b050, ff6400, ffff00, f1bb18, c2dffd, 087bf1, 004185, ccff33, 04ffaf, bfb088, ff00ff, 000000, ad6600, 740000, f593e0, 9b1cb0, c01b00, ff0000, 6e8000, 004d10, 009999, 969696, b49f00, af64ff</v>
      </c>
      <c r="J117" s="389"/>
    </row>
    <row r="118" spans="1:10" ht="409.5" x14ac:dyDescent="0.25">
      <c r="A118" s="2" t="s">
        <v>3581</v>
      </c>
      <c r="B118" s="2" t="s">
        <v>3595</v>
      </c>
      <c r="C118" s="44">
        <v>1</v>
      </c>
      <c r="D118" s="1" t="s">
        <v>65</v>
      </c>
      <c r="E118" s="1" t="s">
        <v>3589</v>
      </c>
      <c r="F118" s="1" t="str">
        <f>UnitControlCenter!$B$17</f>
        <v>terawatt-hours (TWh)</v>
      </c>
      <c r="G118" s="389" t="str">
        <f t="shared" ref="G118:I118" si="5">G112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18" s="389" t="str">
        <f t="shared" si="5"/>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8" s="389" t="str">
        <f t="shared" si="5"/>
        <v>abd8a4, af64ff, b49f00, ff9999, e5ffcc, 620e7a, 65fffb, 00b050, ff6400, ffff00, f1bb18, c2dffd, 087bf1, 004185, ccff33, 04ffaf, bfb088, ff00ff, 000000, ad6600, 740000, f593e0, 9b1cb0, c01b00, ff0000, 6e8000, 004d10, 009999, 969696, b49f00, af64ff</v>
      </c>
      <c r="J118" s="389"/>
    </row>
    <row r="119" spans="1:10" s="204" customFormat="1" ht="409.6" thickBot="1" x14ac:dyDescent="0.3">
      <c r="A119" s="203" t="s">
        <v>3581</v>
      </c>
      <c r="B119" s="203" t="s">
        <v>3596</v>
      </c>
      <c r="C119" s="210">
        <v>1</v>
      </c>
      <c r="D119" s="204" t="s">
        <v>65</v>
      </c>
      <c r="E119" s="204" t="s">
        <v>3589</v>
      </c>
      <c r="F119" s="204" t="str">
        <f>UnitControlCenter!$B$17</f>
        <v>terawatt-hours (TWh)</v>
      </c>
      <c r="G119" s="390" t="str">
        <f t="shared" ref="G119:I119" si="6">G113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19" s="390" t="str">
        <f t="shared" si="6"/>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9" s="390" t="str">
        <f t="shared" si="6"/>
        <v>abd8a4, af64ff, b49f00, ff9999, e5ffcc, 620e7a, 65fffb, 00b050, ff6400, ffff00, f1bb18, c2dffd, 087bf1, 004185, ccff33, 04ffaf, bfb088, ff00ff, 000000, ad6600, 740000, f593e0, 9b1cb0, c01b00, ff0000, 6e8000, 004d10, 009999, 969696, b49f00, af64ff</v>
      </c>
      <c r="J119" s="390"/>
    </row>
    <row r="120" spans="1:10" ht="90" x14ac:dyDescent="0.25">
      <c r="A120" s="2" t="s">
        <v>2746</v>
      </c>
      <c r="B120" s="2" t="s">
        <v>2747</v>
      </c>
      <c r="C120" s="44">
        <v>1</v>
      </c>
      <c r="D120" s="1" t="s">
        <v>65</v>
      </c>
      <c r="E120" s="1" t="s">
        <v>66</v>
      </c>
      <c r="F120" s="1" t="str">
        <f>UnitControlCenter!$B$26</f>
        <v>million vehicles / year</v>
      </c>
      <c r="G120" s="1" t="s">
        <v>2610</v>
      </c>
      <c r="H120" s="1" t="s">
        <v>2611</v>
      </c>
      <c r="I120" s="1" t="s">
        <v>2612</v>
      </c>
    </row>
    <row r="121" spans="1:10" ht="90" x14ac:dyDescent="0.25">
      <c r="A121" s="2" t="s">
        <v>2746</v>
      </c>
      <c r="B121" s="2" t="s">
        <v>2748</v>
      </c>
      <c r="C121" s="44">
        <v>1</v>
      </c>
      <c r="D121" s="1" t="s">
        <v>65</v>
      </c>
      <c r="E121" s="1" t="s">
        <v>66</v>
      </c>
      <c r="F121" s="1" t="str">
        <f>UnitControlCenter!$B$27</f>
        <v>thousand vehicles / year</v>
      </c>
      <c r="G121" s="1" t="s">
        <v>2613</v>
      </c>
      <c r="H121" s="1" t="s">
        <v>2614</v>
      </c>
      <c r="I121" s="1" t="s">
        <v>2615</v>
      </c>
    </row>
    <row r="122" spans="1:10" ht="90" x14ac:dyDescent="0.25">
      <c r="A122" s="2" t="s">
        <v>2746</v>
      </c>
      <c r="B122" s="2" t="s">
        <v>3123</v>
      </c>
      <c r="C122" s="44">
        <v>1</v>
      </c>
      <c r="D122" s="1" t="s">
        <v>65</v>
      </c>
      <c r="E122" s="1" t="s">
        <v>66</v>
      </c>
      <c r="F122" s="1" t="str">
        <f>UnitControlCenter!$B$27</f>
        <v>thousand vehicles / year</v>
      </c>
      <c r="G122" s="1" t="s">
        <v>2616</v>
      </c>
      <c r="H122" s="1" t="s">
        <v>2611</v>
      </c>
      <c r="I122" s="1" t="s">
        <v>2612</v>
      </c>
    </row>
    <row r="123" spans="1:10" ht="90" x14ac:dyDescent="0.25">
      <c r="A123" s="2" t="s">
        <v>2746</v>
      </c>
      <c r="B123" s="2" t="s">
        <v>3126</v>
      </c>
      <c r="C123" s="44">
        <v>1</v>
      </c>
      <c r="D123" s="1" t="s">
        <v>65</v>
      </c>
      <c r="E123" s="1" t="s">
        <v>66</v>
      </c>
      <c r="F123" s="1" t="str">
        <f>UnitControlCenter!$B$27</f>
        <v>thousand vehicles / year</v>
      </c>
      <c r="G123" s="1" t="s">
        <v>2617</v>
      </c>
      <c r="H123" s="1" t="s">
        <v>2614</v>
      </c>
      <c r="I123" s="1" t="s">
        <v>2615</v>
      </c>
    </row>
    <row r="124" spans="1:10" ht="30" x14ac:dyDescent="0.25">
      <c r="A124" s="2" t="s">
        <v>2746</v>
      </c>
      <c r="B124" s="2" t="s">
        <v>3386</v>
      </c>
      <c r="C124" s="44">
        <v>1</v>
      </c>
      <c r="D124" s="1" t="s">
        <v>65</v>
      </c>
      <c r="E124" s="1" t="s">
        <v>66</v>
      </c>
      <c r="F124" s="1" t="str">
        <f>UnitControlCenter!$B$27</f>
        <v>thousand vehicles / year</v>
      </c>
      <c r="G124" s="1" t="s">
        <v>2501</v>
      </c>
      <c r="H124" s="1" t="s">
        <v>2502</v>
      </c>
      <c r="I124" s="1" t="s">
        <v>2601</v>
      </c>
    </row>
    <row r="125" spans="1:10" ht="30" x14ac:dyDescent="0.25">
      <c r="A125" s="2" t="s">
        <v>2746</v>
      </c>
      <c r="B125" s="2" t="s">
        <v>3387</v>
      </c>
      <c r="C125" s="44">
        <v>0</v>
      </c>
      <c r="D125" s="1" t="s">
        <v>65</v>
      </c>
      <c r="E125" s="1" t="s">
        <v>66</v>
      </c>
      <c r="F125" s="1" t="str">
        <f>UnitControlCenter!$B$27</f>
        <v>thousand vehicles / year</v>
      </c>
      <c r="G125" s="1" t="s">
        <v>3388</v>
      </c>
      <c r="H125" s="1" t="s">
        <v>2502</v>
      </c>
      <c r="I125" s="1" t="s">
        <v>2601</v>
      </c>
    </row>
    <row r="126" spans="1:10" ht="75" x14ac:dyDescent="0.25">
      <c r="A126" s="2" t="s">
        <v>2746</v>
      </c>
      <c r="B126" s="2" t="s">
        <v>2749</v>
      </c>
      <c r="C126" s="44">
        <v>1</v>
      </c>
      <c r="D126" s="1" t="s">
        <v>65</v>
      </c>
      <c r="E126" s="1" t="s">
        <v>66</v>
      </c>
      <c r="F126" s="1" t="str">
        <f>UnitControlCenter!$B$28</f>
        <v>million vehicles</v>
      </c>
      <c r="G126" s="1" t="s">
        <v>2618</v>
      </c>
      <c r="H126" s="1" t="s">
        <v>2611</v>
      </c>
      <c r="I126" s="1" t="s">
        <v>2612</v>
      </c>
    </row>
    <row r="127" spans="1:10" ht="90" x14ac:dyDescent="0.25">
      <c r="A127" s="2" t="s">
        <v>2746</v>
      </c>
      <c r="B127" s="2" t="s">
        <v>2750</v>
      </c>
      <c r="C127" s="44">
        <v>1</v>
      </c>
      <c r="D127" s="1" t="s">
        <v>65</v>
      </c>
      <c r="E127" s="1" t="s">
        <v>66</v>
      </c>
      <c r="F127" s="1" t="str">
        <f>UnitControlCenter!$B$29</f>
        <v>thousand vehicles</v>
      </c>
      <c r="G127" s="1" t="s">
        <v>2830</v>
      </c>
      <c r="H127" s="1" t="s">
        <v>2614</v>
      </c>
      <c r="I127" s="1" t="s">
        <v>2615</v>
      </c>
    </row>
    <row r="128" spans="1:10" ht="75" x14ac:dyDescent="0.25">
      <c r="A128" s="2" t="s">
        <v>2746</v>
      </c>
      <c r="B128" s="2" t="s">
        <v>3124</v>
      </c>
      <c r="C128" s="44">
        <v>1</v>
      </c>
      <c r="D128" s="1" t="s">
        <v>65</v>
      </c>
      <c r="E128" s="1" t="s">
        <v>66</v>
      </c>
      <c r="F128" s="1" t="str">
        <f>UnitControlCenter!$B$28</f>
        <v>million vehicles</v>
      </c>
      <c r="G128" s="1" t="s">
        <v>2619</v>
      </c>
      <c r="H128" s="1" t="s">
        <v>2611</v>
      </c>
      <c r="I128" s="1" t="s">
        <v>2612</v>
      </c>
    </row>
    <row r="129" spans="1:10" ht="75" x14ac:dyDescent="0.25">
      <c r="A129" s="2" t="s">
        <v>2746</v>
      </c>
      <c r="B129" s="2" t="s">
        <v>3127</v>
      </c>
      <c r="C129" s="44">
        <v>1</v>
      </c>
      <c r="D129" s="1" t="s">
        <v>65</v>
      </c>
      <c r="E129" s="1" t="s">
        <v>66</v>
      </c>
      <c r="F129" s="1" t="str">
        <f>UnitControlCenter!$B$28</f>
        <v>million vehicles</v>
      </c>
      <c r="G129" s="1" t="s">
        <v>2620</v>
      </c>
      <c r="H129" s="1" t="s">
        <v>2614</v>
      </c>
      <c r="I129" s="1" t="s">
        <v>2615</v>
      </c>
    </row>
    <row r="130" spans="1:10" ht="30" x14ac:dyDescent="0.25">
      <c r="A130" s="2" t="s">
        <v>2746</v>
      </c>
      <c r="B130" s="2" t="s">
        <v>3389</v>
      </c>
      <c r="C130" s="44">
        <v>1</v>
      </c>
      <c r="D130" s="1" t="s">
        <v>65</v>
      </c>
      <c r="E130" s="1" t="s">
        <v>66</v>
      </c>
      <c r="F130" s="1" t="str">
        <f>UnitControlCenter!$B$28</f>
        <v>million vehicles</v>
      </c>
      <c r="G130" s="1" t="s">
        <v>2602</v>
      </c>
      <c r="H130" s="1" t="s">
        <v>2502</v>
      </c>
      <c r="I130" s="1" t="s">
        <v>2601</v>
      </c>
    </row>
    <row r="131" spans="1:10" s="204" customFormat="1" ht="30.75" thickBot="1" x14ac:dyDescent="0.3">
      <c r="A131" s="203" t="s">
        <v>2746</v>
      </c>
      <c r="B131" s="203" t="s">
        <v>3390</v>
      </c>
      <c r="C131" s="210">
        <v>0</v>
      </c>
      <c r="D131" s="204" t="s">
        <v>65</v>
      </c>
      <c r="E131" s="204" t="s">
        <v>66</v>
      </c>
      <c r="F131" s="204" t="str">
        <f>UnitControlCenter!$B$28</f>
        <v>million vehicles</v>
      </c>
      <c r="G131" s="204" t="s">
        <v>3391</v>
      </c>
      <c r="H131" s="204" t="s">
        <v>2502</v>
      </c>
      <c r="I131" s="204" t="s">
        <v>2601</v>
      </c>
    </row>
    <row r="132" spans="1:10" ht="150" x14ac:dyDescent="0.25">
      <c r="A132" s="2" t="s">
        <v>2857</v>
      </c>
      <c r="B132" s="2" t="s">
        <v>2347</v>
      </c>
      <c r="C132" s="44">
        <v>1</v>
      </c>
      <c r="D132" s="1" t="s">
        <v>65</v>
      </c>
      <c r="E132" s="1" t="s">
        <v>66</v>
      </c>
      <c r="F132" s="1" t="str">
        <f>UnitControlCenter!$B$3</f>
        <v>million metric tons / year</v>
      </c>
      <c r="G132" s="1" t="s">
        <v>3288</v>
      </c>
      <c r="H132" s="1" t="s">
        <v>3287</v>
      </c>
      <c r="I132" s="1" t="s">
        <v>2603</v>
      </c>
    </row>
    <row r="133" spans="1:10" ht="105" x14ac:dyDescent="0.25">
      <c r="A133" s="2" t="s">
        <v>2857</v>
      </c>
      <c r="B133" s="2" t="s">
        <v>2348</v>
      </c>
      <c r="C133" s="44">
        <v>1</v>
      </c>
      <c r="D133" s="1" t="s">
        <v>65</v>
      </c>
      <c r="E133" s="1" t="s">
        <v>66</v>
      </c>
      <c r="F133" s="1" t="str">
        <f>UnitControlCenter!$B$30</f>
        <v>quads / year</v>
      </c>
      <c r="G133" s="1" t="s">
        <v>2768</v>
      </c>
      <c r="H133" s="1" t="s">
        <v>2621</v>
      </c>
      <c r="I133" s="1" t="s">
        <v>2622</v>
      </c>
    </row>
    <row r="134" spans="1:10" ht="135" x14ac:dyDescent="0.25">
      <c r="A134" s="2" t="s">
        <v>2857</v>
      </c>
      <c r="B134" s="2" t="s">
        <v>2398</v>
      </c>
      <c r="C134" s="44">
        <v>1</v>
      </c>
      <c r="D134" s="1" t="s">
        <v>65</v>
      </c>
      <c r="E134" s="1" t="s">
        <v>66</v>
      </c>
      <c r="F134" s="1" t="str">
        <f>UnitControlCenter!$B$30</f>
        <v>quads / year</v>
      </c>
      <c r="G134" s="1" t="s">
        <v>3289</v>
      </c>
      <c r="H134" s="1" t="s">
        <v>3287</v>
      </c>
      <c r="I134" s="1" t="s">
        <v>2603</v>
      </c>
    </row>
    <row r="135" spans="1:10" ht="30" x14ac:dyDescent="0.25">
      <c r="A135" s="2" t="s">
        <v>2857</v>
      </c>
      <c r="B135" s="2" t="s">
        <v>3295</v>
      </c>
      <c r="C135" s="44">
        <v>1</v>
      </c>
      <c r="D135" s="1" t="s">
        <v>63</v>
      </c>
      <c r="E135" s="1" t="s">
        <v>64</v>
      </c>
      <c r="F135" s="1" t="str">
        <f>UnitControlCenter!$B$30</f>
        <v>quads / year</v>
      </c>
      <c r="G135" s="1" t="s">
        <v>3296</v>
      </c>
    </row>
    <row r="136" spans="1:10" ht="45" x14ac:dyDescent="0.25">
      <c r="A136" s="2" t="s">
        <v>2857</v>
      </c>
      <c r="B136" s="2" t="s">
        <v>2858</v>
      </c>
      <c r="C136" s="44">
        <v>1</v>
      </c>
      <c r="D136" s="1" t="s">
        <v>65</v>
      </c>
      <c r="E136" s="1" t="s">
        <v>66</v>
      </c>
      <c r="F136" s="1" t="str">
        <f>UnitControlCenter!$B$24</f>
        <v>trillion passenger-miles / year</v>
      </c>
      <c r="G136" s="1" t="s">
        <v>2357</v>
      </c>
      <c r="H136" s="1" t="s">
        <v>2562</v>
      </c>
      <c r="I136" s="1" t="s">
        <v>2563</v>
      </c>
    </row>
    <row r="137" spans="1:10" ht="45.75" thickBot="1" x14ac:dyDescent="0.3">
      <c r="A137" s="203" t="s">
        <v>2857</v>
      </c>
      <c r="B137" s="203" t="s">
        <v>2859</v>
      </c>
      <c r="C137" s="210">
        <v>1</v>
      </c>
      <c r="D137" s="204" t="s">
        <v>65</v>
      </c>
      <c r="E137" s="204" t="s">
        <v>66</v>
      </c>
      <c r="F137" s="204" t="str">
        <f>UnitControlCenter!$B$25</f>
        <v>trillion freight ton-miles / year</v>
      </c>
      <c r="G137" s="204" t="s">
        <v>2599</v>
      </c>
      <c r="H137" s="204" t="s">
        <v>3131</v>
      </c>
      <c r="I137" s="204" t="s">
        <v>2600</v>
      </c>
      <c r="J137" s="204"/>
    </row>
    <row r="138" spans="1:10" ht="315" x14ac:dyDescent="0.25">
      <c r="A138" s="2" t="s">
        <v>2349</v>
      </c>
      <c r="B138" s="2" t="s">
        <v>2737</v>
      </c>
      <c r="C138" s="44">
        <v>1</v>
      </c>
      <c r="D138" s="1" t="s">
        <v>65</v>
      </c>
      <c r="E138" s="1" t="s">
        <v>66</v>
      </c>
      <c r="F138" s="1" t="str">
        <f>UnitControlCenter!$B$30</f>
        <v>quads / year</v>
      </c>
      <c r="G138" s="1" t="s">
        <v>3067</v>
      </c>
      <c r="H138" s="1" t="s">
        <v>3065</v>
      </c>
      <c r="I138" s="226" t="s">
        <v>3066</v>
      </c>
      <c r="J138" s="226"/>
    </row>
    <row r="139" spans="1:10" ht="120" x14ac:dyDescent="0.25">
      <c r="A139" s="2" t="s">
        <v>2349</v>
      </c>
      <c r="B139" s="2" t="s">
        <v>2738</v>
      </c>
      <c r="C139" s="44">
        <v>1</v>
      </c>
      <c r="D139" s="1" t="s">
        <v>65</v>
      </c>
      <c r="E139" s="1" t="s">
        <v>66</v>
      </c>
      <c r="F139" s="1" t="str">
        <f>UnitControlCenter!$B$30</f>
        <v>quads / year</v>
      </c>
      <c r="G139" s="1" t="s">
        <v>2739</v>
      </c>
      <c r="H139" s="1" t="s">
        <v>2733</v>
      </c>
      <c r="I139" s="1" t="s">
        <v>2734</v>
      </c>
    </row>
    <row r="140" spans="1:10" x14ac:dyDescent="0.25">
      <c r="A140" s="2" t="s">
        <v>2349</v>
      </c>
      <c r="B140" s="2" t="s">
        <v>3297</v>
      </c>
      <c r="C140" s="44">
        <v>1</v>
      </c>
      <c r="D140" s="1" t="s">
        <v>63</v>
      </c>
      <c r="E140" s="1" t="s">
        <v>64</v>
      </c>
      <c r="F140" s="1" t="str">
        <f>UnitControlCenter!$B$30</f>
        <v>quads / year</v>
      </c>
      <c r="G140" s="1" t="s">
        <v>3298</v>
      </c>
    </row>
    <row r="141" spans="1:10" ht="240" x14ac:dyDescent="0.25">
      <c r="A141" s="2" t="s">
        <v>2349</v>
      </c>
      <c r="B141" s="2" t="s">
        <v>2735</v>
      </c>
      <c r="C141" s="44">
        <v>1</v>
      </c>
      <c r="D141" s="1" t="s">
        <v>65</v>
      </c>
      <c r="E141" s="1" t="s">
        <v>66</v>
      </c>
      <c r="F141" s="1" t="str">
        <f>UnitControlCenter!$B$30</f>
        <v>quads / year</v>
      </c>
      <c r="G141" s="1" t="s">
        <v>3064</v>
      </c>
      <c r="H141" s="1" t="s">
        <v>3065</v>
      </c>
      <c r="I141" s="226" t="s">
        <v>3066</v>
      </c>
      <c r="J141" s="226"/>
    </row>
    <row r="142" spans="1:10" ht="90" x14ac:dyDescent="0.25">
      <c r="A142" s="2" t="s">
        <v>2349</v>
      </c>
      <c r="B142" s="2" t="s">
        <v>2736</v>
      </c>
      <c r="C142" s="44">
        <v>1</v>
      </c>
      <c r="D142" s="1" t="s">
        <v>65</v>
      </c>
      <c r="E142" s="1" t="s">
        <v>66</v>
      </c>
      <c r="F142" s="1" t="str">
        <f>UnitControlCenter!$B$30</f>
        <v>quads / year</v>
      </c>
      <c r="G142" s="1" t="s">
        <v>2732</v>
      </c>
      <c r="H142" s="1" t="s">
        <v>2733</v>
      </c>
      <c r="I142" s="1" t="s">
        <v>2734</v>
      </c>
    </row>
    <row r="143" spans="1:10" x14ac:dyDescent="0.25">
      <c r="A143" s="2" t="s">
        <v>2349</v>
      </c>
      <c r="B143" s="2" t="s">
        <v>3299</v>
      </c>
      <c r="C143" s="44">
        <v>1</v>
      </c>
      <c r="D143" s="1" t="s">
        <v>63</v>
      </c>
      <c r="E143" s="1" t="s">
        <v>64</v>
      </c>
      <c r="F143" s="1" t="str">
        <f>UnitControlCenter!$B$30</f>
        <v>quads / year</v>
      </c>
      <c r="G143" s="1" t="s">
        <v>3300</v>
      </c>
    </row>
    <row r="144" spans="1:10" ht="150" x14ac:dyDescent="0.25">
      <c r="A144" s="2" t="s">
        <v>2349</v>
      </c>
      <c r="B144" s="2" t="s">
        <v>3562</v>
      </c>
      <c r="C144" s="44">
        <v>1</v>
      </c>
      <c r="D144" s="1" t="s">
        <v>65</v>
      </c>
      <c r="E144" s="1" t="s">
        <v>66</v>
      </c>
      <c r="F144" s="1" t="str">
        <f>UnitControlCenter!$B$30</f>
        <v>quads / year</v>
      </c>
      <c r="G144" s="1" t="s">
        <v>3567</v>
      </c>
      <c r="H144" s="1" t="s">
        <v>3568</v>
      </c>
      <c r="I144" s="1" t="s">
        <v>3569</v>
      </c>
    </row>
    <row r="145" spans="1:10" s="204" customFormat="1" ht="90.75" thickBot="1" x14ac:dyDescent="0.3">
      <c r="A145" s="203" t="s">
        <v>2349</v>
      </c>
      <c r="B145" s="203" t="s">
        <v>3563</v>
      </c>
      <c r="C145" s="210">
        <v>1</v>
      </c>
      <c r="D145" s="204" t="s">
        <v>65</v>
      </c>
      <c r="E145" s="204" t="s">
        <v>66</v>
      </c>
      <c r="F145" s="204" t="str">
        <f>UnitControlCenter!$B$16</f>
        <v>terawatt-hours (TWh) / year</v>
      </c>
      <c r="G145" s="204" t="s">
        <v>3566</v>
      </c>
      <c r="H145" s="204" t="s">
        <v>3564</v>
      </c>
      <c r="I145" s="204" t="s">
        <v>3565</v>
      </c>
    </row>
    <row r="146" spans="1:10" ht="285" x14ac:dyDescent="0.25">
      <c r="A146" s="2" t="s">
        <v>2815</v>
      </c>
      <c r="B146" s="2" t="s">
        <v>2394</v>
      </c>
      <c r="C146" s="44">
        <v>1</v>
      </c>
      <c r="D146" s="1" t="s">
        <v>65</v>
      </c>
      <c r="E146" s="1" t="s">
        <v>66</v>
      </c>
      <c r="F146" s="1" t="str">
        <f>UnitControlCenter!$B$3</f>
        <v>million metric tons / year</v>
      </c>
      <c r="G146" s="1" t="s">
        <v>3068</v>
      </c>
      <c r="H146" s="1" t="s">
        <v>3065</v>
      </c>
      <c r="I146" s="226" t="s">
        <v>3066</v>
      </c>
      <c r="J146" s="226"/>
    </row>
    <row r="147" spans="1:10" ht="45" x14ac:dyDescent="0.25">
      <c r="A147" s="2" t="s">
        <v>2815</v>
      </c>
      <c r="B147" s="2" t="s">
        <v>2395</v>
      </c>
      <c r="C147" s="44">
        <v>1</v>
      </c>
      <c r="D147" s="1" t="s">
        <v>65</v>
      </c>
      <c r="E147" s="1" t="s">
        <v>66</v>
      </c>
      <c r="F147" s="1" t="str">
        <f>UnitControlCenter!$B$3</f>
        <v>million metric tons / year</v>
      </c>
      <c r="G147" s="1" t="s">
        <v>2608</v>
      </c>
      <c r="H147" s="1" t="s">
        <v>2606</v>
      </c>
      <c r="I147" s="1" t="s">
        <v>2607</v>
      </c>
    </row>
    <row r="148" spans="1:10" ht="270" x14ac:dyDescent="0.25">
      <c r="A148" s="2" t="s">
        <v>2815</v>
      </c>
      <c r="B148" s="2" t="s">
        <v>2396</v>
      </c>
      <c r="C148" s="44">
        <v>1</v>
      </c>
      <c r="D148" s="1" t="s">
        <v>65</v>
      </c>
      <c r="E148" s="1" t="s">
        <v>66</v>
      </c>
      <c r="F148" s="1" t="str">
        <f>UnitControlCenter!$B$3</f>
        <v>million metric tons / year</v>
      </c>
      <c r="G148" s="1" t="s">
        <v>3120</v>
      </c>
      <c r="H148" s="1" t="s">
        <v>3065</v>
      </c>
      <c r="I148" s="226" t="s">
        <v>3066</v>
      </c>
      <c r="J148" s="226"/>
    </row>
    <row r="149" spans="1:10" ht="45" x14ac:dyDescent="0.25">
      <c r="A149" s="2" t="s">
        <v>2815</v>
      </c>
      <c r="B149" s="2" t="s">
        <v>2397</v>
      </c>
      <c r="C149" s="44">
        <v>1</v>
      </c>
      <c r="D149" s="1" t="s">
        <v>65</v>
      </c>
      <c r="E149" s="1" t="s">
        <v>66</v>
      </c>
      <c r="F149" s="1" t="str">
        <f>UnitControlCenter!$B$3</f>
        <v>million metric tons / year</v>
      </c>
      <c r="G149" s="1" t="s">
        <v>2609</v>
      </c>
      <c r="H149" s="1" t="s">
        <v>2606</v>
      </c>
      <c r="I149" s="1" t="s">
        <v>2607</v>
      </c>
    </row>
    <row r="150" spans="1:10" ht="330" x14ac:dyDescent="0.25">
      <c r="A150" s="2" t="s">
        <v>2815</v>
      </c>
      <c r="B150" s="2" t="s">
        <v>2813</v>
      </c>
      <c r="C150" s="44">
        <v>1</v>
      </c>
      <c r="D150" s="1" t="s">
        <v>65</v>
      </c>
      <c r="E150" s="1" t="s">
        <v>66</v>
      </c>
      <c r="F150" s="1" t="str">
        <f>UnitControlCenter!$B$3</f>
        <v>million metric tons / year</v>
      </c>
      <c r="G150" s="1" t="s">
        <v>3069</v>
      </c>
      <c r="H150" s="1" t="s">
        <v>3065</v>
      </c>
      <c r="I150" s="226" t="s">
        <v>3066</v>
      </c>
      <c r="J150" s="226"/>
    </row>
    <row r="151" spans="1:10" ht="45" x14ac:dyDescent="0.25">
      <c r="A151" s="2" t="s">
        <v>2815</v>
      </c>
      <c r="B151" s="2" t="s">
        <v>2814</v>
      </c>
      <c r="C151" s="44">
        <v>1</v>
      </c>
      <c r="D151" s="1" t="s">
        <v>65</v>
      </c>
      <c r="E151" s="1" t="s">
        <v>66</v>
      </c>
      <c r="F151" s="1" t="str">
        <f>UnitControlCenter!$B$3</f>
        <v>million metric tons / year</v>
      </c>
      <c r="G151" s="1" t="s">
        <v>2854</v>
      </c>
      <c r="H151" s="1" t="s">
        <v>2816</v>
      </c>
      <c r="I151" s="1" t="s">
        <v>2817</v>
      </c>
    </row>
    <row r="152" spans="1:10" ht="30" x14ac:dyDescent="0.25">
      <c r="A152" s="2" t="s">
        <v>2815</v>
      </c>
      <c r="B152" s="2" t="s">
        <v>3363</v>
      </c>
      <c r="C152" s="44">
        <v>1</v>
      </c>
      <c r="D152" s="1" t="s">
        <v>65</v>
      </c>
      <c r="E152" s="1" t="s">
        <v>66</v>
      </c>
      <c r="F152" s="1" t="str">
        <f>UnitControlCenter!$B$3</f>
        <v>million metric tons / year</v>
      </c>
      <c r="G152" s="1" t="s">
        <v>3465</v>
      </c>
      <c r="H152" s="1" t="s">
        <v>3357</v>
      </c>
      <c r="I152" s="1" t="s">
        <v>3360</v>
      </c>
    </row>
    <row r="153" spans="1:10" ht="255" x14ac:dyDescent="0.25">
      <c r="A153" s="2" t="s">
        <v>2815</v>
      </c>
      <c r="B153" s="2" t="s">
        <v>3355</v>
      </c>
      <c r="C153" s="44">
        <v>1</v>
      </c>
      <c r="D153" s="1" t="s">
        <v>65</v>
      </c>
      <c r="E153" s="1" t="s">
        <v>66</v>
      </c>
      <c r="F153" s="1" t="str">
        <f>UnitControlCenter!$B$3</f>
        <v>million metric tons / year</v>
      </c>
      <c r="G153" s="1" t="s">
        <v>3358</v>
      </c>
      <c r="H153" s="1" t="s">
        <v>3065</v>
      </c>
      <c r="I153" s="226" t="s">
        <v>3066</v>
      </c>
      <c r="J153" s="226"/>
    </row>
    <row r="154" spans="1:10" ht="330.75" thickBot="1" x14ac:dyDescent="0.3">
      <c r="A154" s="203" t="s">
        <v>2815</v>
      </c>
      <c r="B154" s="203" t="s">
        <v>3356</v>
      </c>
      <c r="C154" s="210">
        <v>1</v>
      </c>
      <c r="D154" s="203" t="s">
        <v>65</v>
      </c>
      <c r="E154" s="203" t="s">
        <v>66</v>
      </c>
      <c r="F154" s="203" t="str">
        <f>UnitControlCenter!$B$3</f>
        <v>million metric tons / year</v>
      </c>
      <c r="G154" s="203" t="s">
        <v>3359</v>
      </c>
      <c r="H154" s="203" t="s">
        <v>3065</v>
      </c>
      <c r="I154" s="203" t="s">
        <v>3066</v>
      </c>
      <c r="J154" s="203"/>
    </row>
    <row r="155" spans="1:10" ht="60" x14ac:dyDescent="0.25">
      <c r="A155" s="2" t="s">
        <v>3498</v>
      </c>
      <c r="B155" s="2" t="s">
        <v>3499</v>
      </c>
      <c r="C155" s="44">
        <v>1</v>
      </c>
      <c r="D155" s="1" t="s">
        <v>65</v>
      </c>
      <c r="E155" s="1" t="s">
        <v>66</v>
      </c>
      <c r="F155" s="1" t="str">
        <f>UnitControlCenter!$B$30</f>
        <v>quads / year</v>
      </c>
      <c r="G155" s="1" t="s">
        <v>2360</v>
      </c>
      <c r="H155" s="1" t="s">
        <v>2361</v>
      </c>
      <c r="I155" s="1" t="s">
        <v>2592</v>
      </c>
    </row>
    <row r="156" spans="1:10" s="2" customFormat="1" ht="30" x14ac:dyDescent="0.25">
      <c r="A156" s="2" t="s">
        <v>3498</v>
      </c>
      <c r="B156" s="2" t="s">
        <v>3500</v>
      </c>
      <c r="C156" s="44">
        <v>1</v>
      </c>
      <c r="D156" s="2" t="s">
        <v>65</v>
      </c>
      <c r="E156" s="2" t="s">
        <v>66</v>
      </c>
      <c r="F156" s="2" t="str">
        <f>UnitControlCenter!$B$30</f>
        <v>quads / year</v>
      </c>
      <c r="G156" s="2" t="s">
        <v>2378</v>
      </c>
      <c r="H156" s="2" t="s">
        <v>2362</v>
      </c>
      <c r="I156" s="2" t="s">
        <v>2363</v>
      </c>
    </row>
    <row r="157" spans="1:10" ht="90" x14ac:dyDescent="0.25">
      <c r="A157" s="2" t="s">
        <v>3498</v>
      </c>
      <c r="B157" s="2" t="s">
        <v>3501</v>
      </c>
      <c r="C157" s="44">
        <v>1</v>
      </c>
      <c r="D157" s="1" t="s">
        <v>65</v>
      </c>
      <c r="E157" s="1" t="s">
        <v>66</v>
      </c>
      <c r="F157" s="1" t="str">
        <f>UnitControlCenter!$B$30</f>
        <v>quads / year</v>
      </c>
      <c r="G157" s="1" t="s">
        <v>2631</v>
      </c>
      <c r="H157" s="1" t="s">
        <v>2633</v>
      </c>
      <c r="I157" s="1" t="s">
        <v>2632</v>
      </c>
    </row>
    <row r="158" spans="1:10" s="2" customFormat="1" x14ac:dyDescent="0.25">
      <c r="A158" s="2" t="s">
        <v>3498</v>
      </c>
      <c r="B158" s="2" t="s">
        <v>3502</v>
      </c>
      <c r="C158" s="44">
        <v>1</v>
      </c>
      <c r="D158" s="2" t="s">
        <v>63</v>
      </c>
      <c r="E158" s="2" t="s">
        <v>64</v>
      </c>
      <c r="F158" s="2" t="str">
        <f>UnitControlCenter!$B$30</f>
        <v>quads / year</v>
      </c>
      <c r="G158" s="2" t="s">
        <v>3301</v>
      </c>
    </row>
    <row r="159" spans="1:10" ht="210" x14ac:dyDescent="0.25">
      <c r="A159" s="2" t="s">
        <v>3498</v>
      </c>
      <c r="B159" s="2" t="s">
        <v>3503</v>
      </c>
      <c r="C159" s="44">
        <v>1</v>
      </c>
      <c r="D159" s="1" t="s">
        <v>65</v>
      </c>
      <c r="E159" s="1" t="s">
        <v>66</v>
      </c>
      <c r="F159" s="2" t="str">
        <f>UnitControlCenter!B3</f>
        <v>million metric tons / year</v>
      </c>
      <c r="G159" s="1" t="s">
        <v>3653</v>
      </c>
      <c r="H159" s="1" t="s">
        <v>3505</v>
      </c>
      <c r="I159" s="2" t="s">
        <v>3506</v>
      </c>
      <c r="J159" s="2"/>
    </row>
    <row r="160" spans="1:10" s="204" customFormat="1" ht="255.75" thickBot="1" x14ac:dyDescent="0.3">
      <c r="A160" s="2" t="s">
        <v>3498</v>
      </c>
      <c r="B160" s="203" t="s">
        <v>3504</v>
      </c>
      <c r="C160" s="210">
        <v>1</v>
      </c>
      <c r="D160" s="204" t="s">
        <v>65</v>
      </c>
      <c r="E160" s="204" t="s">
        <v>66</v>
      </c>
      <c r="F160" s="203" t="str">
        <f>UnitControlCenter!B3</f>
        <v>million metric tons / year</v>
      </c>
      <c r="G160" s="204" t="s">
        <v>3654</v>
      </c>
      <c r="H160" s="204" t="s">
        <v>3505</v>
      </c>
      <c r="I160" s="203" t="s">
        <v>3506</v>
      </c>
      <c r="J160" s="203"/>
    </row>
    <row r="161" spans="1:10" ht="90" x14ac:dyDescent="0.25">
      <c r="A161" s="2" t="s">
        <v>2416</v>
      </c>
      <c r="B161" s="2" t="s">
        <v>2417</v>
      </c>
      <c r="C161" s="44">
        <v>1</v>
      </c>
      <c r="D161" s="1" t="s">
        <v>65</v>
      </c>
      <c r="E161" s="1" t="s">
        <v>66</v>
      </c>
      <c r="F161" s="1" t="str">
        <f>UnitControlCenter!$B$30</f>
        <v>quads / year</v>
      </c>
      <c r="G161" s="1" t="s">
        <v>3690</v>
      </c>
      <c r="H161" s="1" t="s">
        <v>3689</v>
      </c>
      <c r="I161" s="1" t="s">
        <v>3688</v>
      </c>
    </row>
    <row r="162" spans="1:10" ht="75" x14ac:dyDescent="0.25">
      <c r="A162" s="2" t="s">
        <v>2416</v>
      </c>
      <c r="B162" s="2" t="s">
        <v>2418</v>
      </c>
      <c r="C162" s="44">
        <v>1</v>
      </c>
      <c r="D162" s="1" t="s">
        <v>65</v>
      </c>
      <c r="E162" s="1" t="s">
        <v>66</v>
      </c>
      <c r="F162" s="1" t="str">
        <f>UnitControlCenter!$B$30</f>
        <v>quads / year</v>
      </c>
      <c r="G162" s="1" t="s">
        <v>3691</v>
      </c>
      <c r="H162" s="1" t="s">
        <v>3293</v>
      </c>
      <c r="I162" s="1" t="s">
        <v>3294</v>
      </c>
    </row>
    <row r="163" spans="1:10" ht="75" x14ac:dyDescent="0.25">
      <c r="A163" s="2" t="s">
        <v>2416</v>
      </c>
      <c r="B163" s="2" t="s">
        <v>3686</v>
      </c>
      <c r="C163" s="44">
        <v>1</v>
      </c>
      <c r="D163" s="1" t="s">
        <v>65</v>
      </c>
      <c r="E163" s="1" t="s">
        <v>66</v>
      </c>
      <c r="F163" s="1" t="str">
        <f>UnitControlCenter!$B$30</f>
        <v>quads / year</v>
      </c>
      <c r="G163" s="1" t="s">
        <v>3710</v>
      </c>
      <c r="H163" s="1" t="s">
        <v>3692</v>
      </c>
      <c r="I163" s="44" t="s">
        <v>3693</v>
      </c>
    </row>
    <row r="164" spans="1:10" ht="75" x14ac:dyDescent="0.25">
      <c r="A164" s="2" t="s">
        <v>2416</v>
      </c>
      <c r="B164" s="2" t="s">
        <v>3687</v>
      </c>
      <c r="C164" s="44">
        <v>1</v>
      </c>
      <c r="D164" s="1" t="s">
        <v>65</v>
      </c>
      <c r="E164" s="1" t="s">
        <v>66</v>
      </c>
      <c r="F164" s="1" t="str">
        <f>UnitControlCenter!$B$30</f>
        <v>quads / year</v>
      </c>
      <c r="G164" s="1" t="s">
        <v>3711</v>
      </c>
      <c r="H164" s="1" t="s">
        <v>3293</v>
      </c>
      <c r="I164" s="1" t="s">
        <v>3294</v>
      </c>
    </row>
    <row r="165" spans="1:10" x14ac:dyDescent="0.25">
      <c r="A165" s="2" t="s">
        <v>2416</v>
      </c>
      <c r="B165" s="2" t="s">
        <v>2873</v>
      </c>
      <c r="C165" s="44">
        <v>0</v>
      </c>
      <c r="D165" s="1" t="s">
        <v>63</v>
      </c>
      <c r="E165" s="1" t="s">
        <v>64</v>
      </c>
      <c r="F165" s="1" t="str">
        <f>UnitControlCenter!$B$31</f>
        <v>thousand BTU / 2021 dollar</v>
      </c>
      <c r="G165" s="1" t="s">
        <v>2826</v>
      </c>
    </row>
    <row r="166" spans="1:10" x14ac:dyDescent="0.25">
      <c r="A166" s="2" t="s">
        <v>2416</v>
      </c>
      <c r="B166" s="2" t="s">
        <v>2419</v>
      </c>
      <c r="C166" s="44">
        <v>1</v>
      </c>
      <c r="D166" s="1" t="s">
        <v>63</v>
      </c>
      <c r="E166" s="1" t="s">
        <v>64</v>
      </c>
      <c r="F166" s="1" t="str">
        <f>UnitControlCenter!$B$16</f>
        <v>terawatt-hours (TWh) / year</v>
      </c>
      <c r="G166" s="1" t="s">
        <v>2319</v>
      </c>
    </row>
    <row r="167" spans="1:10" x14ac:dyDescent="0.25">
      <c r="A167" s="2" t="s">
        <v>2416</v>
      </c>
      <c r="B167" s="2" t="s">
        <v>2420</v>
      </c>
      <c r="C167" s="44">
        <v>1</v>
      </c>
      <c r="D167" s="1" t="s">
        <v>63</v>
      </c>
      <c r="E167" s="1" t="s">
        <v>64</v>
      </c>
      <c r="F167" s="1" t="str">
        <f>UnitControlCenter!$B$32</f>
        <v>millions of short tons / year</v>
      </c>
      <c r="G167" s="1" t="s">
        <v>2318</v>
      </c>
    </row>
    <row r="168" spans="1:10" x14ac:dyDescent="0.25">
      <c r="A168" s="2" t="s">
        <v>2416</v>
      </c>
      <c r="B168" s="2" t="s">
        <v>2421</v>
      </c>
      <c r="C168" s="44">
        <v>1</v>
      </c>
      <c r="D168" s="1" t="s">
        <v>63</v>
      </c>
      <c r="E168" s="1" t="s">
        <v>64</v>
      </c>
      <c r="F168" s="1" t="str">
        <f>UnitControlCenter!$B$32</f>
        <v>millions of short tons / year</v>
      </c>
      <c r="G168" s="1" t="s">
        <v>2317</v>
      </c>
    </row>
    <row r="169" spans="1:10" x14ac:dyDescent="0.25">
      <c r="A169" s="2" t="s">
        <v>2416</v>
      </c>
      <c r="B169" s="2" t="s">
        <v>2422</v>
      </c>
      <c r="C169" s="44">
        <v>1</v>
      </c>
      <c r="D169" s="1" t="s">
        <v>63</v>
      </c>
      <c r="E169" s="1" t="s">
        <v>64</v>
      </c>
      <c r="F169" s="1" t="str">
        <f>UnitControlCenter!$B$33</f>
        <v>trillion cubic feet / year</v>
      </c>
      <c r="G169" s="1" t="s">
        <v>2316</v>
      </c>
    </row>
    <row r="170" spans="1:10" ht="30" x14ac:dyDescent="0.25">
      <c r="A170" s="2" t="s">
        <v>2416</v>
      </c>
      <c r="B170" s="2" t="s">
        <v>2423</v>
      </c>
      <c r="C170" s="44">
        <v>1</v>
      </c>
      <c r="D170" s="1" t="s">
        <v>63</v>
      </c>
      <c r="E170" s="1" t="s">
        <v>64</v>
      </c>
      <c r="F170" s="1" t="str">
        <f>UnitControlCenter!$B$34</f>
        <v>million barrels of oil / year</v>
      </c>
      <c r="G170" s="1" t="s">
        <v>2315</v>
      </c>
    </row>
    <row r="171" spans="1:10" x14ac:dyDescent="0.25">
      <c r="A171" s="2" t="s">
        <v>2416</v>
      </c>
      <c r="B171" s="2" t="s">
        <v>2424</v>
      </c>
      <c r="C171" s="44">
        <v>1</v>
      </c>
      <c r="D171" s="1" t="s">
        <v>63</v>
      </c>
      <c r="E171" s="1" t="s">
        <v>64</v>
      </c>
      <c r="F171" s="1" t="str">
        <f>UnitControlCenter!$B$34</f>
        <v>million barrels of oil / year</v>
      </c>
      <c r="G171" s="1" t="s">
        <v>2366</v>
      </c>
    </row>
    <row r="172" spans="1:10" x14ac:dyDescent="0.25">
      <c r="A172" s="2" t="s">
        <v>2416</v>
      </c>
      <c r="B172" s="2" t="s">
        <v>2425</v>
      </c>
      <c r="C172" s="44">
        <v>1</v>
      </c>
      <c r="D172" s="1" t="s">
        <v>63</v>
      </c>
      <c r="E172" s="1" t="s">
        <v>64</v>
      </c>
      <c r="F172" s="1" t="str">
        <f>UnitControlCenter!$B$32</f>
        <v>millions of short tons / year</v>
      </c>
      <c r="G172" s="1" t="s">
        <v>2367</v>
      </c>
    </row>
    <row r="173" spans="1:10" ht="30" x14ac:dyDescent="0.25">
      <c r="A173" s="2" t="s">
        <v>2416</v>
      </c>
      <c r="B173" s="2" t="s">
        <v>2634</v>
      </c>
      <c r="C173" s="44">
        <v>1</v>
      </c>
      <c r="D173" s="1" t="s">
        <v>63</v>
      </c>
      <c r="E173" s="1" t="s">
        <v>64</v>
      </c>
      <c r="F173" s="1" t="str">
        <f>UnitControlCenter!$B$35</f>
        <v>million gallons / year</v>
      </c>
      <c r="G173" s="1" t="s">
        <v>2638</v>
      </c>
    </row>
    <row r="174" spans="1:10" ht="30" x14ac:dyDescent="0.25">
      <c r="A174" s="2" t="s">
        <v>2416</v>
      </c>
      <c r="B174" s="2" t="s">
        <v>2635</v>
      </c>
      <c r="C174" s="44">
        <v>1</v>
      </c>
      <c r="D174" s="1" t="s">
        <v>63</v>
      </c>
      <c r="E174" s="1" t="s">
        <v>64</v>
      </c>
      <c r="F174" s="1" t="str">
        <f>UnitControlCenter!$B$32</f>
        <v>millions of short tons / year</v>
      </c>
      <c r="G174" s="1" t="s">
        <v>2639</v>
      </c>
    </row>
    <row r="175" spans="1:10" ht="15.75" thickBot="1" x14ac:dyDescent="0.3">
      <c r="A175" s="203" t="s">
        <v>2416</v>
      </c>
      <c r="B175" s="203" t="s">
        <v>2636</v>
      </c>
      <c r="C175" s="210">
        <v>1</v>
      </c>
      <c r="D175" s="204" t="s">
        <v>63</v>
      </c>
      <c r="E175" s="204" t="s">
        <v>64</v>
      </c>
      <c r="F175" s="204" t="str">
        <f>UnitControlCenter!$B$6</f>
        <v>thousand metric tons / year</v>
      </c>
      <c r="G175" s="204" t="s">
        <v>2640</v>
      </c>
      <c r="H175" s="204"/>
      <c r="I175" s="204"/>
      <c r="J175" s="204"/>
    </row>
    <row r="176" spans="1:10" ht="60" x14ac:dyDescent="0.25">
      <c r="A176" s="2" t="s">
        <v>3368</v>
      </c>
      <c r="B176" s="2" t="s">
        <v>3397</v>
      </c>
      <c r="C176" s="44">
        <v>1</v>
      </c>
      <c r="D176" s="1" t="s">
        <v>65</v>
      </c>
      <c r="E176" s="1" t="s">
        <v>66</v>
      </c>
      <c r="F176" s="1" t="str">
        <f>UnitControlCenter!$B$36</f>
        <v>trillion BTU / year</v>
      </c>
      <c r="G176" s="1" t="s">
        <v>2645</v>
      </c>
      <c r="H176" s="1" t="s">
        <v>2646</v>
      </c>
      <c r="I176" s="1" t="s">
        <v>2647</v>
      </c>
    </row>
    <row r="177" spans="1:10" ht="60" x14ac:dyDescent="0.25">
      <c r="A177" s="2" t="s">
        <v>3368</v>
      </c>
      <c r="B177" s="2" t="s">
        <v>3398</v>
      </c>
      <c r="C177" s="44">
        <v>1</v>
      </c>
      <c r="D177" s="1" t="s">
        <v>65</v>
      </c>
      <c r="E177" s="1" t="s">
        <v>66</v>
      </c>
      <c r="F177" s="1" t="str">
        <f>UnitControlCenter!$B$36</f>
        <v>trillion BTU / year</v>
      </c>
      <c r="G177" s="1" t="s">
        <v>2648</v>
      </c>
      <c r="H177" s="1" t="s">
        <v>2646</v>
      </c>
      <c r="I177" s="1" t="s">
        <v>2647</v>
      </c>
    </row>
    <row r="178" spans="1:10" ht="60" x14ac:dyDescent="0.25">
      <c r="A178" s="2" t="s">
        <v>3368</v>
      </c>
      <c r="B178" s="2" t="s">
        <v>3399</v>
      </c>
      <c r="C178" s="44">
        <v>1</v>
      </c>
      <c r="D178" s="1" t="s">
        <v>65</v>
      </c>
      <c r="E178" s="1" t="s">
        <v>66</v>
      </c>
      <c r="F178" s="1" t="str">
        <f>UnitControlCenter!$B$9</f>
        <v>billion 2021 dollars / year</v>
      </c>
      <c r="G178" s="1" t="s">
        <v>2649</v>
      </c>
      <c r="H178" s="1" t="s">
        <v>2646</v>
      </c>
      <c r="I178" s="1" t="s">
        <v>2647</v>
      </c>
    </row>
    <row r="179" spans="1:10" ht="75" x14ac:dyDescent="0.25">
      <c r="A179" s="2" t="s">
        <v>3368</v>
      </c>
      <c r="B179" s="2" t="s">
        <v>3400</v>
      </c>
      <c r="C179" s="44">
        <v>1</v>
      </c>
      <c r="D179" s="1" t="s">
        <v>65</v>
      </c>
      <c r="E179" s="1" t="s">
        <v>66</v>
      </c>
      <c r="F179" s="1" t="str">
        <f>UnitControlCenter!$B$9</f>
        <v>billion 2021 dollars / year</v>
      </c>
      <c r="G179" s="1" t="s">
        <v>2650</v>
      </c>
      <c r="H179" s="1" t="s">
        <v>2646</v>
      </c>
      <c r="I179" s="1" t="s">
        <v>2647</v>
      </c>
    </row>
    <row r="180" spans="1:10" ht="60" x14ac:dyDescent="0.25">
      <c r="A180" s="2" t="s">
        <v>3368</v>
      </c>
      <c r="B180" s="2" t="s">
        <v>3401</v>
      </c>
      <c r="C180" s="44">
        <v>1</v>
      </c>
      <c r="D180" s="1" t="s">
        <v>65</v>
      </c>
      <c r="E180" s="1" t="s">
        <v>66</v>
      </c>
      <c r="F180" s="1" t="str">
        <f>UnitControlCenter!B3</f>
        <v>million metric tons / year</v>
      </c>
      <c r="G180" s="1" t="s">
        <v>2896</v>
      </c>
      <c r="H180" s="1" t="s">
        <v>2894</v>
      </c>
      <c r="I180" s="1" t="s">
        <v>2895</v>
      </c>
    </row>
    <row r="181" spans="1:10" ht="60" x14ac:dyDescent="0.25">
      <c r="A181" s="2" t="s">
        <v>3368</v>
      </c>
      <c r="B181" s="2" t="s">
        <v>3402</v>
      </c>
      <c r="C181" s="44">
        <v>1</v>
      </c>
      <c r="D181" s="1" t="s">
        <v>65</v>
      </c>
      <c r="E181" s="1" t="s">
        <v>66</v>
      </c>
      <c r="F181" s="1" t="str">
        <f>UnitControlCenter!B3</f>
        <v>million metric tons / year</v>
      </c>
      <c r="G181" s="1" t="s">
        <v>2897</v>
      </c>
      <c r="H181" s="1" t="s">
        <v>2894</v>
      </c>
      <c r="I181" s="1" t="s">
        <v>2895</v>
      </c>
    </row>
    <row r="182" spans="1:10" ht="60" x14ac:dyDescent="0.25">
      <c r="A182" s="2" t="s">
        <v>3368</v>
      </c>
      <c r="B182" s="2" t="s">
        <v>3403</v>
      </c>
      <c r="C182" s="44">
        <v>1</v>
      </c>
      <c r="D182" s="1" t="s">
        <v>65</v>
      </c>
      <c r="E182" s="1" t="s">
        <v>66</v>
      </c>
      <c r="F182" s="1" t="str">
        <f>UnitControlCenter!$B$36</f>
        <v>trillion BTU / year</v>
      </c>
      <c r="G182" s="1" t="s">
        <v>2727</v>
      </c>
      <c r="H182" s="1" t="s">
        <v>2722</v>
      </c>
      <c r="I182" s="1" t="s">
        <v>2723</v>
      </c>
    </row>
    <row r="183" spans="1:10" ht="75" x14ac:dyDescent="0.25">
      <c r="A183" s="2" t="s">
        <v>3368</v>
      </c>
      <c r="B183" s="2" t="s">
        <v>3404</v>
      </c>
      <c r="C183" s="44">
        <v>1</v>
      </c>
      <c r="D183" s="1" t="s">
        <v>65</v>
      </c>
      <c r="E183" s="1" t="s">
        <v>66</v>
      </c>
      <c r="F183" s="1" t="str">
        <f>UnitControlCenter!$B$36</f>
        <v>trillion BTU / year</v>
      </c>
      <c r="G183" s="1" t="s">
        <v>2728</v>
      </c>
      <c r="H183" s="1" t="s">
        <v>2722</v>
      </c>
      <c r="I183" s="1" t="s">
        <v>2724</v>
      </c>
    </row>
    <row r="184" spans="1:10" ht="75" x14ac:dyDescent="0.25">
      <c r="A184" s="2" t="s">
        <v>3368</v>
      </c>
      <c r="B184" s="2" t="s">
        <v>3405</v>
      </c>
      <c r="C184" s="44">
        <v>1</v>
      </c>
      <c r="D184" s="1" t="s">
        <v>65</v>
      </c>
      <c r="E184" s="1" t="s">
        <v>66</v>
      </c>
      <c r="F184" s="1" t="str">
        <f>UnitControlCenter!$B$9</f>
        <v>billion 2021 dollars / year</v>
      </c>
      <c r="G184" s="1" t="s">
        <v>2729</v>
      </c>
      <c r="H184" s="1" t="s">
        <v>2722</v>
      </c>
      <c r="I184" s="1" t="s">
        <v>2725</v>
      </c>
    </row>
    <row r="185" spans="1:10" ht="90" x14ac:dyDescent="0.25">
      <c r="A185" s="2" t="s">
        <v>3368</v>
      </c>
      <c r="B185" s="2" t="s">
        <v>3406</v>
      </c>
      <c r="C185" s="44">
        <v>1</v>
      </c>
      <c r="D185" s="1" t="s">
        <v>65</v>
      </c>
      <c r="E185" s="1" t="s">
        <v>66</v>
      </c>
      <c r="F185" s="1" t="str">
        <f>UnitControlCenter!$B$9</f>
        <v>billion 2021 dollars / year</v>
      </c>
      <c r="G185" s="1" t="s">
        <v>2730</v>
      </c>
      <c r="H185" s="1" t="s">
        <v>2722</v>
      </c>
      <c r="I185" s="1" t="s">
        <v>2726</v>
      </c>
    </row>
    <row r="186" spans="1:10" ht="105" x14ac:dyDescent="0.25">
      <c r="A186" s="2" t="s">
        <v>3368</v>
      </c>
      <c r="B186" s="2" t="s">
        <v>3407</v>
      </c>
      <c r="C186" s="44">
        <v>1</v>
      </c>
      <c r="D186" s="1" t="s">
        <v>65</v>
      </c>
      <c r="E186" s="1" t="s">
        <v>66</v>
      </c>
      <c r="F186" s="1" t="str">
        <f>UnitControlCenter!$B$30</f>
        <v>quads / year</v>
      </c>
      <c r="G186" s="1" t="s">
        <v>2756</v>
      </c>
      <c r="H186" s="1" t="s">
        <v>2758</v>
      </c>
      <c r="I186" s="1" t="s">
        <v>2759</v>
      </c>
    </row>
    <row r="187" spans="1:10" ht="120" x14ac:dyDescent="0.25">
      <c r="A187" s="2" t="s">
        <v>3368</v>
      </c>
      <c r="B187" s="2" t="s">
        <v>3408</v>
      </c>
      <c r="C187" s="44">
        <v>1</v>
      </c>
      <c r="D187" s="1" t="s">
        <v>65</v>
      </c>
      <c r="E187" s="1" t="s">
        <v>66</v>
      </c>
      <c r="F187" s="1" t="str">
        <f>UnitControlCenter!$B$30</f>
        <v>quads / year</v>
      </c>
      <c r="G187" s="1" t="s">
        <v>2757</v>
      </c>
      <c r="H187" s="1" t="s">
        <v>2758</v>
      </c>
      <c r="I187" s="1" t="s">
        <v>2759</v>
      </c>
    </row>
    <row r="188" spans="1:10" ht="225" x14ac:dyDescent="0.25">
      <c r="A188" s="2" t="s">
        <v>3368</v>
      </c>
      <c r="B188" s="2" t="s">
        <v>3416</v>
      </c>
      <c r="C188" s="44">
        <v>1</v>
      </c>
      <c r="D188" s="1" t="s">
        <v>65</v>
      </c>
      <c r="E188" s="1" t="s">
        <v>66</v>
      </c>
      <c r="F188" s="1" t="str">
        <f>UnitControlCenter!$B$10</f>
        <v>billion 2021 dollars</v>
      </c>
      <c r="G188" s="1" t="s">
        <v>3371</v>
      </c>
      <c r="H188" s="1" t="s">
        <v>3370</v>
      </c>
      <c r="I188" s="226" t="s">
        <v>3369</v>
      </c>
      <c r="J188" s="226"/>
    </row>
    <row r="189" spans="1:10" ht="255" x14ac:dyDescent="0.25">
      <c r="A189" s="2" t="s">
        <v>3368</v>
      </c>
      <c r="B189" s="2" t="s">
        <v>3409</v>
      </c>
      <c r="C189" s="44">
        <v>1</v>
      </c>
      <c r="D189" s="1" t="s">
        <v>65</v>
      </c>
      <c r="E189" s="1" t="s">
        <v>66</v>
      </c>
      <c r="F189" s="1" t="str">
        <f>UnitControlCenter!$B$10</f>
        <v>billion 2021 dollars</v>
      </c>
      <c r="G189" s="1" t="s">
        <v>3379</v>
      </c>
      <c r="H189" s="1" t="s">
        <v>3370</v>
      </c>
      <c r="I189" s="226" t="s">
        <v>3372</v>
      </c>
      <c r="J189" s="226"/>
    </row>
    <row r="190" spans="1:10" ht="225" x14ac:dyDescent="0.25">
      <c r="A190" s="2" t="s">
        <v>3368</v>
      </c>
      <c r="B190" s="2" t="s">
        <v>3410</v>
      </c>
      <c r="C190" s="44">
        <v>1</v>
      </c>
      <c r="D190" s="1" t="s">
        <v>65</v>
      </c>
      <c r="E190" s="1" t="s">
        <v>66</v>
      </c>
      <c r="F190" s="1" t="str">
        <f>UnitControlCenter!$B$10</f>
        <v>billion 2021 dollars</v>
      </c>
      <c r="G190" s="1" t="s">
        <v>3380</v>
      </c>
      <c r="H190" s="1" t="s">
        <v>3370</v>
      </c>
      <c r="I190" s="226" t="s">
        <v>3373</v>
      </c>
      <c r="J190" s="226"/>
    </row>
    <row r="191" spans="1:10" ht="255" x14ac:dyDescent="0.25">
      <c r="A191" s="2" t="s">
        <v>3368</v>
      </c>
      <c r="B191" s="2" t="s">
        <v>3411</v>
      </c>
      <c r="C191" s="44">
        <v>1</v>
      </c>
      <c r="D191" s="1" t="s">
        <v>65</v>
      </c>
      <c r="E191" s="1" t="s">
        <v>66</v>
      </c>
      <c r="F191" s="1" t="str">
        <f>UnitControlCenter!$B$10</f>
        <v>billion 2021 dollars</v>
      </c>
      <c r="G191" s="1" t="s">
        <v>3381</v>
      </c>
      <c r="H191" s="1" t="s">
        <v>3370</v>
      </c>
      <c r="I191" s="226" t="s">
        <v>3374</v>
      </c>
      <c r="J191" s="226"/>
    </row>
    <row r="192" spans="1:10" ht="210" x14ac:dyDescent="0.25">
      <c r="A192" s="2" t="s">
        <v>3368</v>
      </c>
      <c r="B192" s="2" t="s">
        <v>3412</v>
      </c>
      <c r="C192" s="44">
        <v>1</v>
      </c>
      <c r="D192" s="1" t="s">
        <v>65</v>
      </c>
      <c r="E192" s="1" t="s">
        <v>66</v>
      </c>
      <c r="F192" s="1" t="str">
        <f>UnitControlCenter!$B$10</f>
        <v>billion 2021 dollars</v>
      </c>
      <c r="G192" s="1" t="s">
        <v>3384</v>
      </c>
      <c r="H192" s="1" t="s">
        <v>3370</v>
      </c>
      <c r="I192" s="226" t="s">
        <v>3375</v>
      </c>
      <c r="J192" s="226"/>
    </row>
    <row r="193" spans="1:10" ht="240" x14ac:dyDescent="0.25">
      <c r="A193" s="2" t="s">
        <v>3368</v>
      </c>
      <c r="B193" s="2" t="s">
        <v>3413</v>
      </c>
      <c r="C193" s="44">
        <v>1</v>
      </c>
      <c r="D193" s="1" t="s">
        <v>65</v>
      </c>
      <c r="E193" s="1" t="s">
        <v>66</v>
      </c>
      <c r="F193" s="1" t="str">
        <f>UnitControlCenter!$B$10</f>
        <v>billion 2021 dollars</v>
      </c>
      <c r="G193" s="1" t="s">
        <v>3385</v>
      </c>
      <c r="H193" s="1" t="s">
        <v>3370</v>
      </c>
      <c r="I193" s="226" t="s">
        <v>3376</v>
      </c>
      <c r="J193" s="226"/>
    </row>
    <row r="194" spans="1:10" ht="270" x14ac:dyDescent="0.25">
      <c r="A194" s="2" t="s">
        <v>3368</v>
      </c>
      <c r="B194" s="2" t="s">
        <v>3414</v>
      </c>
      <c r="C194" s="44">
        <v>1</v>
      </c>
      <c r="D194" s="1" t="s">
        <v>65</v>
      </c>
      <c r="E194" s="1" t="s">
        <v>66</v>
      </c>
      <c r="F194" s="1" t="str">
        <f>UnitControlCenter!$B$10</f>
        <v>billion 2021 dollars</v>
      </c>
      <c r="G194" s="1" t="s">
        <v>3382</v>
      </c>
      <c r="H194" s="1" t="s">
        <v>3370</v>
      </c>
      <c r="I194" s="226" t="s">
        <v>3377</v>
      </c>
      <c r="J194" s="226"/>
    </row>
    <row r="195" spans="1:10" ht="315.75" thickBot="1" x14ac:dyDescent="0.3">
      <c r="A195" s="203" t="s">
        <v>3368</v>
      </c>
      <c r="B195" s="203" t="s">
        <v>3415</v>
      </c>
      <c r="C195" s="210">
        <v>1</v>
      </c>
      <c r="D195" s="204" t="s">
        <v>65</v>
      </c>
      <c r="E195" s="204" t="s">
        <v>66</v>
      </c>
      <c r="F195" s="204" t="str">
        <f>UnitControlCenter!$B$10</f>
        <v>billion 2021 dollars</v>
      </c>
      <c r="G195" s="204" t="s">
        <v>3383</v>
      </c>
      <c r="H195" s="204" t="s">
        <v>3370</v>
      </c>
      <c r="I195" s="337" t="s">
        <v>3378</v>
      </c>
      <c r="J195" s="337"/>
    </row>
    <row r="196" spans="1:10" ht="75" x14ac:dyDescent="0.25">
      <c r="A196" s="2" t="s">
        <v>2350</v>
      </c>
      <c r="B196" s="2" t="s">
        <v>93</v>
      </c>
      <c r="C196" s="44">
        <v>1</v>
      </c>
      <c r="D196" s="1" t="s">
        <v>65</v>
      </c>
      <c r="E196" s="1" t="s">
        <v>2356</v>
      </c>
      <c r="F196" s="1" t="str">
        <f>UnitControlCenter!$B$22</f>
        <v>2021 dollars / megawatt-hour (MWh)</v>
      </c>
      <c r="G196" s="1" t="s">
        <v>3321</v>
      </c>
      <c r="H196" s="1" t="s">
        <v>3320</v>
      </c>
      <c r="I196" s="1" t="s">
        <v>3694</v>
      </c>
    </row>
    <row r="197" spans="1:10" ht="45" x14ac:dyDescent="0.25">
      <c r="A197" s="2" t="s">
        <v>2350</v>
      </c>
      <c r="B197" s="2" t="s">
        <v>447</v>
      </c>
      <c r="C197" s="44">
        <v>1</v>
      </c>
      <c r="D197" s="1" t="s">
        <v>65</v>
      </c>
      <c r="E197" s="1" t="s">
        <v>2356</v>
      </c>
      <c r="F197" s="1" t="str">
        <f>UnitControlCenter!$B$37</f>
        <v>2021 dollars / short ton</v>
      </c>
      <c r="G197" s="1" t="s">
        <v>2658</v>
      </c>
      <c r="H197" s="1" t="s">
        <v>2659</v>
      </c>
      <c r="I197" s="1" t="s">
        <v>2660</v>
      </c>
    </row>
    <row r="198" spans="1:10" x14ac:dyDescent="0.25">
      <c r="A198" s="2" t="s">
        <v>2350</v>
      </c>
      <c r="B198" s="2" t="s">
        <v>444</v>
      </c>
      <c r="C198" s="44">
        <v>1</v>
      </c>
      <c r="D198" s="1" t="s">
        <v>65</v>
      </c>
      <c r="E198" s="1" t="s">
        <v>2356</v>
      </c>
      <c r="F198" s="1" t="str">
        <f>UnitControlCenter!$B$37</f>
        <v>2021 dollars / short ton</v>
      </c>
      <c r="G198" s="1" t="s">
        <v>2369</v>
      </c>
      <c r="H198" s="1" t="s">
        <v>342</v>
      </c>
      <c r="I198" s="1" t="s">
        <v>2545</v>
      </c>
    </row>
    <row r="199" spans="1:10" ht="90" x14ac:dyDescent="0.25">
      <c r="A199" s="2" t="s">
        <v>2350</v>
      </c>
      <c r="B199" s="2" t="s">
        <v>87</v>
      </c>
      <c r="C199" s="44">
        <v>1</v>
      </c>
      <c r="D199" s="1" t="s">
        <v>65</v>
      </c>
      <c r="E199" s="1" t="s">
        <v>2356</v>
      </c>
      <c r="F199" s="1" t="str">
        <f>UnitControlCenter!$B$38</f>
        <v>2021 dollars / thousand cubic feet</v>
      </c>
      <c r="G199" s="1" t="s">
        <v>3323</v>
      </c>
      <c r="H199" s="1" t="s">
        <v>3322</v>
      </c>
      <c r="I199" s="1" t="s">
        <v>3695</v>
      </c>
    </row>
    <row r="200" spans="1:10" x14ac:dyDescent="0.25">
      <c r="A200" s="2" t="s">
        <v>2350</v>
      </c>
      <c r="B200" s="2" t="s">
        <v>95</v>
      </c>
      <c r="C200" s="44">
        <v>1</v>
      </c>
      <c r="D200" s="1" t="s">
        <v>65</v>
      </c>
      <c r="E200" s="1" t="s">
        <v>2356</v>
      </c>
      <c r="F200" s="1" t="str">
        <f>UnitControlCenter!$B$39</f>
        <v>2021 dollars / gallon</v>
      </c>
      <c r="G200" s="1" t="s">
        <v>2371</v>
      </c>
      <c r="H200" s="1" t="s">
        <v>337</v>
      </c>
      <c r="I200" s="44">
        <v>969696</v>
      </c>
      <c r="J200" s="44"/>
    </row>
    <row r="201" spans="1:10" ht="90" x14ac:dyDescent="0.25">
      <c r="A201" s="2" t="s">
        <v>2350</v>
      </c>
      <c r="B201" s="2" t="s">
        <v>96</v>
      </c>
      <c r="C201" s="44">
        <v>1</v>
      </c>
      <c r="D201" s="1" t="s">
        <v>65</v>
      </c>
      <c r="E201" s="1" t="s">
        <v>2356</v>
      </c>
      <c r="F201" s="1" t="str">
        <f>UnitControlCenter!$B$39</f>
        <v>2021 dollars / gallon</v>
      </c>
      <c r="G201" s="1" t="s">
        <v>2653</v>
      </c>
      <c r="H201" s="1" t="s">
        <v>2651</v>
      </c>
      <c r="I201" s="1" t="s">
        <v>2652</v>
      </c>
    </row>
    <row r="202" spans="1:10" ht="60" x14ac:dyDescent="0.25">
      <c r="A202" s="2" t="s">
        <v>2350</v>
      </c>
      <c r="B202" s="2" t="s">
        <v>92</v>
      </c>
      <c r="C202" s="44">
        <v>1</v>
      </c>
      <c r="D202" s="1" t="s">
        <v>65</v>
      </c>
      <c r="E202" s="1" t="s">
        <v>2356</v>
      </c>
      <c r="F202" s="1" t="str">
        <f>UnitControlCenter!$B$37</f>
        <v>2021 dollars / short ton</v>
      </c>
      <c r="G202" s="1" t="s">
        <v>2654</v>
      </c>
      <c r="H202" s="1" t="s">
        <v>2655</v>
      </c>
      <c r="I202" s="1" t="s">
        <v>2656</v>
      </c>
    </row>
    <row r="203" spans="1:10" ht="60" x14ac:dyDescent="0.25">
      <c r="A203" s="2" t="s">
        <v>2350</v>
      </c>
      <c r="B203" s="2" t="s">
        <v>2595</v>
      </c>
      <c r="C203" s="44">
        <v>1</v>
      </c>
      <c r="D203" s="1" t="s">
        <v>65</v>
      </c>
      <c r="E203" s="1" t="s">
        <v>2356</v>
      </c>
      <c r="F203" s="1" t="str">
        <f>UnitControlCenter!$B$40</f>
        <v>2021 dollars / barrel of oil</v>
      </c>
      <c r="G203" s="1" t="s">
        <v>2719</v>
      </c>
      <c r="H203" s="1" t="s">
        <v>2720</v>
      </c>
      <c r="I203" s="1" t="s">
        <v>2721</v>
      </c>
    </row>
    <row r="204" spans="1:10" ht="60" x14ac:dyDescent="0.25">
      <c r="A204" s="2" t="s">
        <v>2350</v>
      </c>
      <c r="B204" s="2" t="s">
        <v>2657</v>
      </c>
      <c r="C204" s="44">
        <v>1</v>
      </c>
      <c r="D204" s="1" t="s">
        <v>65</v>
      </c>
      <c r="E204" s="1" t="s">
        <v>2356</v>
      </c>
      <c r="F204" s="1" t="str">
        <f>UnitControlCenter!$B$39</f>
        <v>2021 dollars / gallon</v>
      </c>
      <c r="G204" s="1" t="s">
        <v>2661</v>
      </c>
      <c r="H204" s="1" t="s">
        <v>2368</v>
      </c>
      <c r="I204" s="1" t="s">
        <v>2591</v>
      </c>
    </row>
    <row r="205" spans="1:10" ht="30.75" thickBot="1" x14ac:dyDescent="0.3">
      <c r="A205" s="203" t="s">
        <v>2350</v>
      </c>
      <c r="B205" s="203" t="s">
        <v>2474</v>
      </c>
      <c r="C205" s="210">
        <v>1</v>
      </c>
      <c r="D205" s="204" t="s">
        <v>65</v>
      </c>
      <c r="E205" s="204" t="s">
        <v>2356</v>
      </c>
      <c r="F205" s="204" t="str">
        <f>UnitControlCenter!$B$41</f>
        <v>2021 dollars / kg</v>
      </c>
      <c r="G205" s="204" t="s">
        <v>2764</v>
      </c>
      <c r="H205" s="204" t="s">
        <v>2765</v>
      </c>
      <c r="I205" s="204" t="s">
        <v>2766</v>
      </c>
      <c r="J205" s="204"/>
    </row>
    <row r="206" spans="1:10" x14ac:dyDescent="0.25">
      <c r="A206" s="2" t="s">
        <v>2351</v>
      </c>
      <c r="B206" s="2" t="s">
        <v>3512</v>
      </c>
      <c r="C206" s="44">
        <v>1</v>
      </c>
      <c r="D206" s="1" t="s">
        <v>63</v>
      </c>
      <c r="E206" s="1" t="s">
        <v>64</v>
      </c>
      <c r="F206" s="1" t="str">
        <f>UnitControlCenter!$B$42</f>
        <v>2021 dollars / kilowatt-hour (kWh)</v>
      </c>
      <c r="G206" s="1" t="s">
        <v>2372</v>
      </c>
    </row>
    <row r="207" spans="1:10" ht="30" x14ac:dyDescent="0.25">
      <c r="A207" s="2" t="s">
        <v>2351</v>
      </c>
      <c r="B207" s="2" t="s">
        <v>2352</v>
      </c>
      <c r="C207" s="44">
        <v>1</v>
      </c>
      <c r="D207" s="1" t="s">
        <v>65</v>
      </c>
      <c r="E207" s="1" t="s">
        <v>64</v>
      </c>
      <c r="F207" s="1" t="str">
        <f>UnitControlCenter!$B$43</f>
        <v>cost of eqpt. to capture 1 metric ton CO2e/yr (2020 dollars)</v>
      </c>
      <c r="G207" s="1" t="s">
        <v>2376</v>
      </c>
      <c r="H207" s="1" t="s">
        <v>2377</v>
      </c>
      <c r="I207" s="1" t="s">
        <v>2552</v>
      </c>
    </row>
    <row r="208" spans="1:10" ht="30" x14ac:dyDescent="0.25">
      <c r="A208" s="2" t="s">
        <v>2351</v>
      </c>
      <c r="B208" s="2" t="s">
        <v>2353</v>
      </c>
      <c r="C208" s="44">
        <v>1</v>
      </c>
      <c r="D208" s="1" t="s">
        <v>63</v>
      </c>
      <c r="E208" s="1" t="s">
        <v>64</v>
      </c>
      <c r="F208" s="1" t="str">
        <f>UnitControlCenter!$B$44</f>
        <v>million 2021 dollars / megawatt (MW)</v>
      </c>
      <c r="G208" s="1" t="s">
        <v>2373</v>
      </c>
    </row>
    <row r="209" spans="1:10" ht="30" x14ac:dyDescent="0.25">
      <c r="A209" s="2" t="s">
        <v>2351</v>
      </c>
      <c r="B209" s="2" t="s">
        <v>2354</v>
      </c>
      <c r="C209" s="44">
        <v>1</v>
      </c>
      <c r="D209" s="1" t="s">
        <v>63</v>
      </c>
      <c r="E209" s="1" t="s">
        <v>64</v>
      </c>
      <c r="F209" s="1" t="str">
        <f>UnitControlCenter!$B$44</f>
        <v>million 2021 dollars / megawatt (MW)</v>
      </c>
      <c r="G209" s="1" t="s">
        <v>2374</v>
      </c>
    </row>
    <row r="210" spans="1:10" ht="30" x14ac:dyDescent="0.25">
      <c r="A210" s="2" t="s">
        <v>2351</v>
      </c>
      <c r="B210" s="2" t="s">
        <v>2355</v>
      </c>
      <c r="C210" s="44">
        <v>1</v>
      </c>
      <c r="D210" s="1" t="s">
        <v>63</v>
      </c>
      <c r="E210" s="1" t="s">
        <v>64</v>
      </c>
      <c r="F210" s="1" t="str">
        <f>UnitControlCenter!$B$44</f>
        <v>million 2021 dollars / megawatt (MW)</v>
      </c>
      <c r="G210" s="1" t="s">
        <v>2375</v>
      </c>
    </row>
    <row r="211" spans="1:10" ht="30.75" thickBot="1" x14ac:dyDescent="0.3">
      <c r="A211" s="203" t="s">
        <v>2351</v>
      </c>
      <c r="B211" s="203" t="s">
        <v>2491</v>
      </c>
      <c r="C211" s="210">
        <v>1</v>
      </c>
      <c r="D211" s="204" t="s">
        <v>63</v>
      </c>
      <c r="E211" s="204" t="s">
        <v>64</v>
      </c>
      <c r="F211" s="204" t="str">
        <f>UnitControlCenter!$B$45</f>
        <v>cost of eqpt. to produce 1 kg H2/yr (2021 dollars)</v>
      </c>
      <c r="G211" s="204" t="s">
        <v>2492</v>
      </c>
      <c r="H211" s="204"/>
      <c r="I211" s="204"/>
      <c r="J211" s="204"/>
    </row>
  </sheetData>
  <phoneticPr fontId="111" type="noConversion"/>
  <conditionalFormatting sqref="C2:C211">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3 F103 F173 F26 F127 F49 F86 F63 F66 F46 F51:F5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10"/>
  <sheetViews>
    <sheetView topLeftCell="A285" workbookViewId="0">
      <selection activeCell="F287" sqref="F287"/>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2540</v>
      </c>
      <c r="B1" s="180"/>
      <c r="C1" s="167"/>
      <c r="D1" s="167"/>
    </row>
    <row r="2" spans="1:5" x14ac:dyDescent="0.25">
      <c r="A2" s="9" t="s">
        <v>2504</v>
      </c>
      <c r="B2" s="181" t="s">
        <v>2505</v>
      </c>
      <c r="C2" s="9" t="s">
        <v>2506</v>
      </c>
      <c r="D2" s="9" t="s">
        <v>2507</v>
      </c>
    </row>
    <row r="3" spans="1:5" x14ac:dyDescent="0.25">
      <c r="A3" s="397" t="s">
        <v>3625</v>
      </c>
      <c r="B3" s="401" t="s">
        <v>3627</v>
      </c>
      <c r="C3" s="398"/>
      <c r="D3" s="400" t="s">
        <v>3626</v>
      </c>
    </row>
    <row r="4" spans="1:5" x14ac:dyDescent="0.25">
      <c r="A4" t="s">
        <v>2554</v>
      </c>
      <c r="B4" s="20" t="s">
        <v>2548</v>
      </c>
      <c r="C4" s="199"/>
      <c r="D4" s="402" t="s">
        <v>3629</v>
      </c>
      <c r="E4" t="s">
        <v>3632</v>
      </c>
    </row>
    <row r="5" spans="1:5" x14ac:dyDescent="0.25">
      <c r="A5" t="s">
        <v>3636</v>
      </c>
      <c r="B5" s="182" t="s">
        <v>3637</v>
      </c>
      <c r="C5" s="403"/>
      <c r="D5" s="402" t="s">
        <v>3631</v>
      </c>
      <c r="E5" t="s">
        <v>3635</v>
      </c>
    </row>
    <row r="6" spans="1:5" x14ac:dyDescent="0.25">
      <c r="A6" t="s">
        <v>3060</v>
      </c>
      <c r="B6" s="182" t="s">
        <v>3638</v>
      </c>
      <c r="C6" s="223"/>
      <c r="D6" t="s">
        <v>3642</v>
      </c>
    </row>
    <row r="7" spans="1:5" x14ac:dyDescent="0.25">
      <c r="A7" t="s">
        <v>3643</v>
      </c>
      <c r="B7" s="182" t="s">
        <v>3644</v>
      </c>
      <c r="C7" s="405"/>
      <c r="D7" s="404" t="s">
        <v>3615</v>
      </c>
    </row>
    <row r="8" spans="1:5" x14ac:dyDescent="0.25">
      <c r="A8" t="s">
        <v>2514</v>
      </c>
      <c r="B8" s="20" t="s">
        <v>2525</v>
      </c>
      <c r="C8" s="187"/>
      <c r="D8" t="s">
        <v>437</v>
      </c>
    </row>
    <row r="9" spans="1:5" x14ac:dyDescent="0.25">
      <c r="A9" t="s">
        <v>3599</v>
      </c>
      <c r="B9" s="20" t="s">
        <v>3598</v>
      </c>
      <c r="C9" s="388"/>
      <c r="D9" t="s">
        <v>3528</v>
      </c>
    </row>
    <row r="10" spans="1:5" x14ac:dyDescent="0.25">
      <c r="A10" t="s">
        <v>2522</v>
      </c>
      <c r="B10" s="182" t="s">
        <v>2523</v>
      </c>
      <c r="C10" s="186"/>
      <c r="D10" t="s">
        <v>92</v>
      </c>
    </row>
    <row r="11" spans="1:5" x14ac:dyDescent="0.25">
      <c r="A11" t="s">
        <v>2550</v>
      </c>
      <c r="B11" s="20" t="s">
        <v>2544</v>
      </c>
      <c r="C11" s="196"/>
      <c r="D11" t="s">
        <v>91</v>
      </c>
    </row>
    <row r="12" spans="1:5" x14ac:dyDescent="0.25">
      <c r="A12" t="s">
        <v>2529</v>
      </c>
      <c r="B12" s="20" t="s">
        <v>2545</v>
      </c>
      <c r="C12" s="191"/>
      <c r="D12" t="s">
        <v>2541</v>
      </c>
    </row>
    <row r="13" spans="1:5" x14ac:dyDescent="0.25">
      <c r="A13" t="s">
        <v>2551</v>
      </c>
      <c r="B13" s="20" t="s">
        <v>2370</v>
      </c>
      <c r="C13" s="195"/>
      <c r="D13" t="s">
        <v>2542</v>
      </c>
    </row>
    <row r="14" spans="1:5" x14ac:dyDescent="0.25">
      <c r="A14" t="s">
        <v>2549</v>
      </c>
      <c r="B14" s="20" t="s">
        <v>2546</v>
      </c>
      <c r="C14" s="198"/>
      <c r="D14" t="s">
        <v>452</v>
      </c>
    </row>
    <row r="15" spans="1:5" x14ac:dyDescent="0.25">
      <c r="A15" t="s">
        <v>2530</v>
      </c>
      <c r="B15" s="20" t="s">
        <v>2526</v>
      </c>
      <c r="C15" s="190"/>
      <c r="D15" t="s">
        <v>455</v>
      </c>
    </row>
    <row r="16" spans="1:5" x14ac:dyDescent="0.25">
      <c r="A16" t="s">
        <v>2503</v>
      </c>
      <c r="B16" s="183" t="s">
        <v>2510</v>
      </c>
      <c r="C16" s="179"/>
      <c r="D16" t="s">
        <v>89</v>
      </c>
    </row>
    <row r="17" spans="1:5" x14ac:dyDescent="0.25">
      <c r="A17" t="s">
        <v>3061</v>
      </c>
      <c r="B17" t="s">
        <v>3639</v>
      </c>
      <c r="C17" s="224"/>
      <c r="D17" t="s">
        <v>3530</v>
      </c>
    </row>
    <row r="18" spans="1:5" x14ac:dyDescent="0.25">
      <c r="A18" t="s">
        <v>2531</v>
      </c>
      <c r="B18" s="20" t="s">
        <v>2527</v>
      </c>
      <c r="C18" s="192"/>
      <c r="D18" t="s">
        <v>3531</v>
      </c>
    </row>
    <row r="19" spans="1:5" x14ac:dyDescent="0.25">
      <c r="A19" t="s">
        <v>2513</v>
      </c>
      <c r="B19" s="182" t="s">
        <v>2518</v>
      </c>
      <c r="C19" s="188"/>
      <c r="D19" t="s">
        <v>2543</v>
      </c>
    </row>
    <row r="20" spans="1:5" x14ac:dyDescent="0.25">
      <c r="A20" t="s">
        <v>2553</v>
      </c>
      <c r="B20" s="20" t="s">
        <v>2547</v>
      </c>
      <c r="C20" s="197"/>
      <c r="D20" t="s">
        <v>2473</v>
      </c>
    </row>
    <row r="21" spans="1:5" x14ac:dyDescent="0.25">
      <c r="A21" t="s">
        <v>2516</v>
      </c>
      <c r="B21" s="182" t="s">
        <v>2517</v>
      </c>
      <c r="C21" s="178"/>
      <c r="D21" t="s">
        <v>2628</v>
      </c>
    </row>
    <row r="22" spans="1:5" x14ac:dyDescent="0.25">
      <c r="A22" t="s">
        <v>2596</v>
      </c>
      <c r="B22" s="182" t="s">
        <v>2598</v>
      </c>
      <c r="C22" s="200"/>
      <c r="D22" t="s">
        <v>2595</v>
      </c>
    </row>
    <row r="23" spans="1:5" x14ac:dyDescent="0.25">
      <c r="A23" t="s">
        <v>2597</v>
      </c>
      <c r="B23" s="182">
        <v>740000</v>
      </c>
      <c r="C23" s="201"/>
      <c r="D23" t="s">
        <v>2471</v>
      </c>
    </row>
    <row r="24" spans="1:5" x14ac:dyDescent="0.25">
      <c r="A24" t="s">
        <v>2532</v>
      </c>
      <c r="B24" s="20" t="s">
        <v>2528</v>
      </c>
      <c r="C24" s="193"/>
      <c r="D24" t="s">
        <v>312</v>
      </c>
    </row>
    <row r="25" spans="1:5" x14ac:dyDescent="0.25">
      <c r="A25" t="s">
        <v>3597</v>
      </c>
      <c r="B25" s="20" t="s">
        <v>3640</v>
      </c>
      <c r="C25" s="387"/>
      <c r="D25" t="s">
        <v>3527</v>
      </c>
    </row>
    <row r="26" spans="1:5" x14ac:dyDescent="0.25">
      <c r="A26" t="s">
        <v>2515</v>
      </c>
      <c r="B26" s="182" t="s">
        <v>2520</v>
      </c>
      <c r="C26" s="185"/>
      <c r="D26" t="s">
        <v>3454</v>
      </c>
    </row>
    <row r="27" spans="1:5" x14ac:dyDescent="0.25">
      <c r="A27" t="s">
        <v>3455</v>
      </c>
      <c r="B27" s="182" t="s">
        <v>3456</v>
      </c>
      <c r="C27" s="382"/>
      <c r="D27" t="s">
        <v>3453</v>
      </c>
    </row>
    <row r="28" spans="1:5" x14ac:dyDescent="0.25">
      <c r="A28" t="s">
        <v>3062</v>
      </c>
      <c r="B28" s="17" t="s">
        <v>3641</v>
      </c>
      <c r="C28" s="225"/>
      <c r="D28" t="s">
        <v>3529</v>
      </c>
    </row>
    <row r="29" spans="1:5" x14ac:dyDescent="0.25">
      <c r="A29" t="s">
        <v>2539</v>
      </c>
      <c r="B29" s="20" t="s">
        <v>2538</v>
      </c>
      <c r="C29" s="194"/>
      <c r="D29" t="s">
        <v>444</v>
      </c>
    </row>
    <row r="30" spans="1:5" x14ac:dyDescent="0.25">
      <c r="A30" t="s">
        <v>3063</v>
      </c>
      <c r="B30" s="222" t="s">
        <v>3056</v>
      </c>
      <c r="C30" s="221"/>
      <c r="D30" t="s">
        <v>3526</v>
      </c>
    </row>
    <row r="31" spans="1:5" x14ac:dyDescent="0.25">
      <c r="A31" t="s">
        <v>2509</v>
      </c>
      <c r="B31" s="182" t="s">
        <v>2519</v>
      </c>
      <c r="C31" s="184"/>
      <c r="D31" t="s">
        <v>447</v>
      </c>
    </row>
    <row r="32" spans="1:5" x14ac:dyDescent="0.25">
      <c r="A32" t="s">
        <v>3636</v>
      </c>
      <c r="B32" s="182" t="s">
        <v>3637</v>
      </c>
      <c r="C32" s="403"/>
      <c r="D32" t="s">
        <v>3630</v>
      </c>
      <c r="E32" t="s">
        <v>3634</v>
      </c>
    </row>
    <row r="33" spans="1:5" x14ac:dyDescent="0.25">
      <c r="A33" t="s">
        <v>2554</v>
      </c>
      <c r="B33" s="20" t="s">
        <v>2548</v>
      </c>
      <c r="C33" s="199"/>
      <c r="D33" s="402" t="s">
        <v>3628</v>
      </c>
      <c r="E33" t="s">
        <v>3633</v>
      </c>
    </row>
    <row r="35" spans="1:5" x14ac:dyDescent="0.25">
      <c r="A35" s="42" t="s">
        <v>2524</v>
      </c>
      <c r="B35" s="180"/>
      <c r="C35" s="167"/>
      <c r="D35" s="167"/>
    </row>
    <row r="36" spans="1:5" s="9" customFormat="1" x14ac:dyDescent="0.25">
      <c r="A36" s="9" t="s">
        <v>2504</v>
      </c>
      <c r="B36" s="181" t="s">
        <v>2505</v>
      </c>
      <c r="C36" s="9" t="s">
        <v>2506</v>
      </c>
      <c r="D36" s="9" t="s">
        <v>2588</v>
      </c>
    </row>
    <row r="37" spans="1:5" x14ac:dyDescent="0.25">
      <c r="A37" t="s">
        <v>2530</v>
      </c>
      <c r="B37" s="20" t="s">
        <v>2526</v>
      </c>
      <c r="C37" s="190"/>
      <c r="D37" t="s">
        <v>2590</v>
      </c>
    </row>
    <row r="38" spans="1:5" x14ac:dyDescent="0.25">
      <c r="A38" t="s">
        <v>2503</v>
      </c>
      <c r="B38" s="183" t="s">
        <v>2510</v>
      </c>
      <c r="C38" s="179"/>
      <c r="D38" t="s">
        <v>2589</v>
      </c>
    </row>
    <row r="39" spans="1:5" x14ac:dyDescent="0.25">
      <c r="A39" t="s">
        <v>2515</v>
      </c>
      <c r="B39" s="20" t="s">
        <v>2520</v>
      </c>
      <c r="C39" s="185"/>
      <c r="D39" t="s">
        <v>4</v>
      </c>
    </row>
    <row r="40" spans="1:5" x14ac:dyDescent="0.25">
      <c r="A40" t="s">
        <v>2529</v>
      </c>
      <c r="B40" s="20" t="s">
        <v>2545</v>
      </c>
      <c r="C40" s="191"/>
      <c r="D40" t="s">
        <v>93</v>
      </c>
    </row>
    <row r="41" spans="1:5" x14ac:dyDescent="0.25">
      <c r="A41" t="s">
        <v>2509</v>
      </c>
      <c r="B41" s="20">
        <v>969696</v>
      </c>
      <c r="C41" s="184"/>
      <c r="D41" t="s">
        <v>9</v>
      </c>
    </row>
    <row r="42" spans="1:5" x14ac:dyDescent="0.25">
      <c r="A42" t="s">
        <v>2522</v>
      </c>
      <c r="B42" s="20" t="s">
        <v>2523</v>
      </c>
      <c r="C42" s="186"/>
      <c r="D42" t="s">
        <v>2430</v>
      </c>
    </row>
    <row r="43" spans="1:5" x14ac:dyDescent="0.25">
      <c r="A43" t="s">
        <v>2531</v>
      </c>
      <c r="B43" s="20" t="s">
        <v>2527</v>
      </c>
      <c r="C43" s="192"/>
      <c r="D43" t="s">
        <v>132</v>
      </c>
    </row>
    <row r="44" spans="1:5" x14ac:dyDescent="0.25">
      <c r="A44" t="s">
        <v>2532</v>
      </c>
      <c r="B44" s="20" t="s">
        <v>2528</v>
      </c>
      <c r="C44" s="193"/>
      <c r="D44" t="s">
        <v>2439</v>
      </c>
    </row>
    <row r="45" spans="1:5" x14ac:dyDescent="0.25">
      <c r="A45" t="s">
        <v>2514</v>
      </c>
      <c r="B45" s="20" t="s">
        <v>2525</v>
      </c>
      <c r="C45" s="189"/>
      <c r="D45" t="s">
        <v>2490</v>
      </c>
    </row>
    <row r="46" spans="1:5" x14ac:dyDescent="0.25">
      <c r="A46" t="s">
        <v>2596</v>
      </c>
      <c r="B46" s="182" t="s">
        <v>2598</v>
      </c>
      <c r="C46" s="200"/>
      <c r="D46" t="s">
        <v>2798</v>
      </c>
    </row>
    <row r="48" spans="1:5" x14ac:dyDescent="0.25">
      <c r="A48" s="42" t="s">
        <v>2533</v>
      </c>
      <c r="B48" s="180"/>
      <c r="C48" s="167"/>
      <c r="D48" s="167"/>
    </row>
    <row r="49" spans="1:4" x14ac:dyDescent="0.25">
      <c r="A49" s="9" t="s">
        <v>2504</v>
      </c>
      <c r="B49" s="181" t="s">
        <v>2505</v>
      </c>
      <c r="C49" s="9" t="s">
        <v>2506</v>
      </c>
      <c r="D49" s="9" t="s">
        <v>2507</v>
      </c>
    </row>
    <row r="50" spans="1:4" x14ac:dyDescent="0.25">
      <c r="A50" t="s">
        <v>2515</v>
      </c>
      <c r="B50" s="182" t="s">
        <v>2520</v>
      </c>
      <c r="C50" s="185"/>
      <c r="D50" t="s">
        <v>2534</v>
      </c>
    </row>
    <row r="51" spans="1:4" x14ac:dyDescent="0.25">
      <c r="A51" t="s">
        <v>2509</v>
      </c>
      <c r="B51" s="20">
        <v>969696</v>
      </c>
      <c r="C51" s="184"/>
      <c r="D51" t="s">
        <v>2535</v>
      </c>
    </row>
    <row r="52" spans="1:4" x14ac:dyDescent="0.25">
      <c r="A52" t="s">
        <v>2522</v>
      </c>
      <c r="B52" s="20" t="s">
        <v>2523</v>
      </c>
      <c r="C52" s="186"/>
      <c r="D52" t="s">
        <v>2536</v>
      </c>
    </row>
    <row r="53" spans="1:4" x14ac:dyDescent="0.25">
      <c r="A53" t="s">
        <v>2596</v>
      </c>
      <c r="B53" s="182" t="s">
        <v>2598</v>
      </c>
      <c r="C53" s="200"/>
      <c r="D53" t="s">
        <v>2799</v>
      </c>
    </row>
    <row r="55" spans="1:4" x14ac:dyDescent="0.25">
      <c r="A55" s="42" t="s">
        <v>2537</v>
      </c>
      <c r="B55" s="180"/>
      <c r="C55" s="167"/>
      <c r="D55" s="167"/>
    </row>
    <row r="56" spans="1:4" x14ac:dyDescent="0.25">
      <c r="A56" s="9" t="s">
        <v>2504</v>
      </c>
      <c r="B56" s="181" t="s">
        <v>2505</v>
      </c>
      <c r="C56" s="9" t="s">
        <v>2506</v>
      </c>
      <c r="D56" s="9" t="s">
        <v>2507</v>
      </c>
    </row>
    <row r="57" spans="1:4" x14ac:dyDescent="0.25">
      <c r="A57" t="s">
        <v>2522</v>
      </c>
      <c r="B57" s="20" t="s">
        <v>2523</v>
      </c>
      <c r="C57" s="186"/>
      <c r="D57" t="s">
        <v>2238</v>
      </c>
    </row>
    <row r="58" spans="1:4" x14ac:dyDescent="0.25">
      <c r="A58" t="s">
        <v>2516</v>
      </c>
      <c r="B58" s="182" t="s">
        <v>2517</v>
      </c>
      <c r="C58" s="178"/>
      <c r="D58" t="s">
        <v>847</v>
      </c>
    </row>
    <row r="59" spans="1:4" x14ac:dyDescent="0.25">
      <c r="A59" t="s">
        <v>2515</v>
      </c>
      <c r="B59" s="182" t="s">
        <v>2520</v>
      </c>
      <c r="C59" s="185"/>
      <c r="D59" t="s">
        <v>2236</v>
      </c>
    </row>
    <row r="60" spans="1:4" x14ac:dyDescent="0.25">
      <c r="A60" t="s">
        <v>2509</v>
      </c>
      <c r="B60" s="182" t="s">
        <v>2519</v>
      </c>
      <c r="C60" s="184"/>
      <c r="D60" t="s">
        <v>2220</v>
      </c>
    </row>
    <row r="61" spans="1:4" x14ac:dyDescent="0.25">
      <c r="B61" s="182"/>
    </row>
    <row r="62" spans="1:4" x14ac:dyDescent="0.25">
      <c r="A62" s="42" t="s">
        <v>2674</v>
      </c>
      <c r="B62" s="180"/>
      <c r="C62" s="167"/>
      <c r="D62" s="167"/>
    </row>
    <row r="63" spans="1:4" x14ac:dyDescent="0.25">
      <c r="A63" s="9" t="s">
        <v>2504</v>
      </c>
      <c r="B63" s="181" t="s">
        <v>2505</v>
      </c>
      <c r="C63" s="9" t="s">
        <v>2506</v>
      </c>
      <c r="D63" s="9" t="s">
        <v>2507</v>
      </c>
    </row>
    <row r="64" spans="1:4" x14ac:dyDescent="0.25">
      <c r="A64" t="s">
        <v>2515</v>
      </c>
      <c r="B64" s="182" t="s">
        <v>2520</v>
      </c>
      <c r="C64" s="185"/>
      <c r="D64" t="s">
        <v>2566</v>
      </c>
    </row>
    <row r="65" spans="1:4" x14ac:dyDescent="0.25">
      <c r="A65" t="s">
        <v>2530</v>
      </c>
      <c r="B65" s="20" t="s">
        <v>2526</v>
      </c>
      <c r="C65" s="190"/>
      <c r="D65" t="s">
        <v>2567</v>
      </c>
    </row>
    <row r="66" spans="1:4" x14ac:dyDescent="0.25">
      <c r="A66" t="s">
        <v>2529</v>
      </c>
      <c r="B66" s="20" t="s">
        <v>2545</v>
      </c>
      <c r="C66" s="191"/>
      <c r="D66" t="s">
        <v>2568</v>
      </c>
    </row>
    <row r="67" spans="1:4" x14ac:dyDescent="0.25">
      <c r="A67" t="s">
        <v>2522</v>
      </c>
      <c r="B67" s="182" t="s">
        <v>2523</v>
      </c>
      <c r="C67" s="186"/>
      <c r="D67" t="s">
        <v>2569</v>
      </c>
    </row>
    <row r="68" spans="1:4" x14ac:dyDescent="0.25">
      <c r="A68" t="s">
        <v>2516</v>
      </c>
      <c r="B68" s="182" t="s">
        <v>2517</v>
      </c>
      <c r="C68" s="178"/>
      <c r="D68" t="s">
        <v>2570</v>
      </c>
    </row>
    <row r="70" spans="1:4" x14ac:dyDescent="0.25">
      <c r="A70" s="42" t="s">
        <v>2944</v>
      </c>
      <c r="B70" s="180"/>
      <c r="C70" s="167"/>
      <c r="D70" s="167"/>
    </row>
    <row r="71" spans="1:4" x14ac:dyDescent="0.25">
      <c r="A71" s="9" t="s">
        <v>2504</v>
      </c>
      <c r="B71" s="181" t="s">
        <v>2505</v>
      </c>
      <c r="C71" s="9" t="s">
        <v>2506</v>
      </c>
      <c r="D71" s="9" t="s">
        <v>2507</v>
      </c>
    </row>
    <row r="72" spans="1:4" x14ac:dyDescent="0.25">
      <c r="A72" t="s">
        <v>2530</v>
      </c>
      <c r="B72" s="20" t="s">
        <v>2526</v>
      </c>
      <c r="C72" s="190"/>
      <c r="D72" t="s">
        <v>2934</v>
      </c>
    </row>
    <row r="73" spans="1:4" x14ac:dyDescent="0.25">
      <c r="A73" t="s">
        <v>2515</v>
      </c>
      <c r="B73" s="182" t="s">
        <v>2520</v>
      </c>
      <c r="C73" s="185"/>
      <c r="D73" t="s">
        <v>2933</v>
      </c>
    </row>
    <row r="74" spans="1:4" x14ac:dyDescent="0.25">
      <c r="A74" t="s">
        <v>2514</v>
      </c>
      <c r="B74" s="20" t="s">
        <v>2525</v>
      </c>
      <c r="C74" s="189"/>
      <c r="D74" t="s">
        <v>2930</v>
      </c>
    </row>
    <row r="75" spans="1:4" x14ac:dyDescent="0.25">
      <c r="A75" t="s">
        <v>2554</v>
      </c>
      <c r="B75" s="20" t="s">
        <v>2548</v>
      </c>
      <c r="C75" s="199"/>
      <c r="D75" t="s">
        <v>2931</v>
      </c>
    </row>
    <row r="76" spans="1:4" x14ac:dyDescent="0.25">
      <c r="A76" t="s">
        <v>2532</v>
      </c>
      <c r="B76" s="20" t="s">
        <v>2528</v>
      </c>
      <c r="C76" s="193"/>
      <c r="D76" t="s">
        <v>2932</v>
      </c>
    </row>
    <row r="78" spans="1:4" x14ac:dyDescent="0.25">
      <c r="A78" s="42" t="s">
        <v>3020</v>
      </c>
      <c r="B78" s="180"/>
      <c r="C78" s="167"/>
      <c r="D78" s="167"/>
    </row>
    <row r="79" spans="1:4" x14ac:dyDescent="0.25">
      <c r="A79" s="9" t="s">
        <v>2504</v>
      </c>
      <c r="B79" s="181" t="s">
        <v>2505</v>
      </c>
      <c r="C79" s="9" t="s">
        <v>2506</v>
      </c>
      <c r="D79" s="9" t="s">
        <v>2507</v>
      </c>
    </row>
    <row r="80" spans="1:4" x14ac:dyDescent="0.25">
      <c r="A80" t="s">
        <v>2596</v>
      </c>
      <c r="B80" s="182" t="s">
        <v>2598</v>
      </c>
      <c r="C80" s="200"/>
      <c r="D80" t="s">
        <v>2952</v>
      </c>
    </row>
    <row r="81" spans="1:4" x14ac:dyDescent="0.25">
      <c r="A81" t="s">
        <v>2530</v>
      </c>
      <c r="B81" s="20" t="s">
        <v>2526</v>
      </c>
      <c r="C81" s="190"/>
      <c r="D81" t="s">
        <v>2953</v>
      </c>
    </row>
    <row r="82" spans="1:4" x14ac:dyDescent="0.25">
      <c r="A82" t="s">
        <v>2532</v>
      </c>
      <c r="B82" s="20" t="s">
        <v>2528</v>
      </c>
      <c r="C82" s="193"/>
      <c r="D82" t="s">
        <v>459</v>
      </c>
    </row>
    <row r="83" spans="1:4" x14ac:dyDescent="0.25">
      <c r="A83" t="s">
        <v>2531</v>
      </c>
      <c r="B83" s="20" t="s">
        <v>2527</v>
      </c>
      <c r="C83" s="192"/>
      <c r="D83" t="s">
        <v>2954</v>
      </c>
    </row>
    <row r="84" spans="1:4" x14ac:dyDescent="0.25">
      <c r="A84" t="s">
        <v>2529</v>
      </c>
      <c r="B84" s="20" t="s">
        <v>2545</v>
      </c>
      <c r="C84" s="191"/>
      <c r="D84" t="s">
        <v>2955</v>
      </c>
    </row>
    <row r="85" spans="1:4" x14ac:dyDescent="0.25">
      <c r="A85" t="s">
        <v>2509</v>
      </c>
      <c r="B85" s="182" t="s">
        <v>2519</v>
      </c>
      <c r="C85" s="184"/>
      <c r="D85" t="s">
        <v>264</v>
      </c>
    </row>
    <row r="86" spans="1:4" x14ac:dyDescent="0.25">
      <c r="A86" t="s">
        <v>2515</v>
      </c>
      <c r="B86" s="182" t="s">
        <v>2520</v>
      </c>
      <c r="C86" s="185"/>
      <c r="D86" t="s">
        <v>2956</v>
      </c>
    </row>
    <row r="87" spans="1:4" x14ac:dyDescent="0.25">
      <c r="A87" t="s">
        <v>2522</v>
      </c>
      <c r="B87" s="182" t="s">
        <v>2523</v>
      </c>
      <c r="C87" s="186"/>
      <c r="D87" t="s">
        <v>2957</v>
      </c>
    </row>
    <row r="88" spans="1:4" x14ac:dyDescent="0.25">
      <c r="A88" t="s">
        <v>2514</v>
      </c>
      <c r="B88" s="20" t="s">
        <v>2525</v>
      </c>
      <c r="C88" s="189"/>
      <c r="D88" t="s">
        <v>2958</v>
      </c>
    </row>
    <row r="89" spans="1:4" x14ac:dyDescent="0.25">
      <c r="A89" t="s">
        <v>2516</v>
      </c>
      <c r="B89" s="182" t="s">
        <v>2517</v>
      </c>
      <c r="C89" s="178"/>
      <c r="D89" t="s">
        <v>2570</v>
      </c>
    </row>
    <row r="90" spans="1:4" x14ac:dyDescent="0.25">
      <c r="B90" s="182"/>
    </row>
    <row r="91" spans="1:4" x14ac:dyDescent="0.25">
      <c r="A91" s="42" t="s">
        <v>2916</v>
      </c>
      <c r="B91" s="180"/>
      <c r="C91" s="167"/>
      <c r="D91" s="167"/>
    </row>
    <row r="92" spans="1:4" x14ac:dyDescent="0.25">
      <c r="A92" s="9" t="s">
        <v>2504</v>
      </c>
      <c r="B92" s="181" t="s">
        <v>2505</v>
      </c>
      <c r="C92" s="9" t="s">
        <v>2506</v>
      </c>
      <c r="D92" s="9" t="s">
        <v>2507</v>
      </c>
    </row>
    <row r="93" spans="1:4" x14ac:dyDescent="0.25">
      <c r="A93" t="s">
        <v>2515</v>
      </c>
      <c r="B93" s="182" t="s">
        <v>2520</v>
      </c>
      <c r="C93" s="185"/>
      <c r="D93" t="s">
        <v>2864</v>
      </c>
    </row>
    <row r="94" spans="1:4" x14ac:dyDescent="0.25">
      <c r="A94" t="s">
        <v>2530</v>
      </c>
      <c r="B94" s="20" t="s">
        <v>2526</v>
      </c>
      <c r="C94" s="190"/>
      <c r="D94" t="s">
        <v>2865</v>
      </c>
    </row>
    <row r="95" spans="1:4" x14ac:dyDescent="0.25">
      <c r="A95" t="s">
        <v>2529</v>
      </c>
      <c r="B95" s="20" t="s">
        <v>2545</v>
      </c>
      <c r="C95" s="191"/>
      <c r="D95" t="s">
        <v>2866</v>
      </c>
    </row>
    <row r="96" spans="1:4" x14ac:dyDescent="0.25">
      <c r="A96" t="s">
        <v>2516</v>
      </c>
      <c r="B96" s="182" t="s">
        <v>2517</v>
      </c>
      <c r="C96" s="178"/>
      <c r="D96" t="s">
        <v>2570</v>
      </c>
    </row>
    <row r="98" spans="1:4" x14ac:dyDescent="0.25">
      <c r="A98" s="42" t="s">
        <v>3285</v>
      </c>
      <c r="B98" s="180"/>
      <c r="C98" s="167"/>
      <c r="D98" s="167"/>
    </row>
    <row r="99" spans="1:4" x14ac:dyDescent="0.25">
      <c r="A99" s="9" t="s">
        <v>2504</v>
      </c>
      <c r="B99" s="181" t="s">
        <v>2505</v>
      </c>
      <c r="C99" s="9" t="s">
        <v>2506</v>
      </c>
      <c r="D99" s="9" t="s">
        <v>2507</v>
      </c>
    </row>
    <row r="100" spans="1:4" x14ac:dyDescent="0.25">
      <c r="A100" t="s">
        <v>2550</v>
      </c>
      <c r="B100" s="20" t="s">
        <v>2544</v>
      </c>
      <c r="C100" s="196"/>
      <c r="D100" t="s">
        <v>3141</v>
      </c>
    </row>
    <row r="101" spans="1:4" x14ac:dyDescent="0.25">
      <c r="A101" t="s">
        <v>2522</v>
      </c>
      <c r="B101" s="182" t="s">
        <v>2523</v>
      </c>
      <c r="C101" s="186"/>
      <c r="D101" t="s">
        <v>3142</v>
      </c>
    </row>
    <row r="103" spans="1:4" x14ac:dyDescent="0.25">
      <c r="A103" s="42" t="s">
        <v>3143</v>
      </c>
      <c r="B103" s="180"/>
      <c r="C103" s="167"/>
      <c r="D103" s="167"/>
    </row>
    <row r="104" spans="1:4" x14ac:dyDescent="0.25">
      <c r="A104" s="9" t="s">
        <v>2504</v>
      </c>
      <c r="B104" s="181" t="s">
        <v>2505</v>
      </c>
      <c r="C104" s="9" t="s">
        <v>2506</v>
      </c>
      <c r="D104" s="9" t="s">
        <v>2507</v>
      </c>
    </row>
    <row r="105" spans="1:4" x14ac:dyDescent="0.25">
      <c r="A105" t="s">
        <v>2515</v>
      </c>
      <c r="B105" s="182" t="s">
        <v>2520</v>
      </c>
      <c r="C105" s="185"/>
      <c r="D105" t="s">
        <v>3144</v>
      </c>
    </row>
    <row r="106" spans="1:4" x14ac:dyDescent="0.25">
      <c r="A106" t="s">
        <v>2529</v>
      </c>
      <c r="B106" s="20" t="s">
        <v>2545</v>
      </c>
      <c r="C106" s="191"/>
      <c r="D106" t="s">
        <v>3145</v>
      </c>
    </row>
    <row r="107" spans="1:4" x14ac:dyDescent="0.25">
      <c r="A107" t="s">
        <v>2522</v>
      </c>
      <c r="B107" s="182" t="s">
        <v>2523</v>
      </c>
      <c r="C107" s="186"/>
      <c r="D107" t="s">
        <v>3146</v>
      </c>
    </row>
    <row r="108" spans="1:4" x14ac:dyDescent="0.25">
      <c r="A108" t="s">
        <v>2530</v>
      </c>
      <c r="B108" s="20" t="s">
        <v>2526</v>
      </c>
      <c r="C108" s="190"/>
      <c r="D108" t="s">
        <v>3147</v>
      </c>
    </row>
    <row r="110" spans="1:4" x14ac:dyDescent="0.25">
      <c r="A110" s="42" t="s">
        <v>3148</v>
      </c>
      <c r="B110" s="180"/>
      <c r="C110" s="167"/>
      <c r="D110" s="167"/>
    </row>
    <row r="111" spans="1:4" x14ac:dyDescent="0.25">
      <c r="A111" s="9" t="s">
        <v>2504</v>
      </c>
      <c r="B111" s="181" t="s">
        <v>2505</v>
      </c>
      <c r="C111" s="9" t="s">
        <v>2506</v>
      </c>
      <c r="D111" s="9" t="s">
        <v>2507</v>
      </c>
    </row>
    <row r="112" spans="1:4" x14ac:dyDescent="0.25">
      <c r="A112" t="s">
        <v>2554</v>
      </c>
      <c r="B112" s="20" t="s">
        <v>2548</v>
      </c>
      <c r="C112" s="199"/>
      <c r="D112" t="s">
        <v>3149</v>
      </c>
    </row>
    <row r="113" spans="1:4" x14ac:dyDescent="0.25">
      <c r="A113" t="s">
        <v>2531</v>
      </c>
      <c r="B113" s="20" t="s">
        <v>2527</v>
      </c>
      <c r="C113" s="192"/>
      <c r="D113" t="s">
        <v>3150</v>
      </c>
    </row>
    <row r="115" spans="1:4" x14ac:dyDescent="0.25">
      <c r="A115" s="42" t="s">
        <v>3151</v>
      </c>
      <c r="B115" s="180"/>
      <c r="C115" s="167"/>
      <c r="D115" s="167"/>
    </row>
    <row r="116" spans="1:4" x14ac:dyDescent="0.25">
      <c r="A116" s="9" t="s">
        <v>2504</v>
      </c>
      <c r="B116" s="181" t="s">
        <v>2505</v>
      </c>
      <c r="C116" s="9" t="s">
        <v>2506</v>
      </c>
      <c r="D116" s="9" t="s">
        <v>2507</v>
      </c>
    </row>
    <row r="117" spans="1:4" x14ac:dyDescent="0.25">
      <c r="A117" t="s">
        <v>2550</v>
      </c>
      <c r="B117" s="20" t="s">
        <v>2544</v>
      </c>
      <c r="C117" s="196"/>
      <c r="D117" t="s">
        <v>3152</v>
      </c>
    </row>
    <row r="118" spans="1:4" x14ac:dyDescent="0.25">
      <c r="A118" t="s">
        <v>2530</v>
      </c>
      <c r="B118" s="20" t="s">
        <v>2526</v>
      </c>
      <c r="C118" s="190"/>
      <c r="D118" t="s">
        <v>3153</v>
      </c>
    </row>
    <row r="119" spans="1:4" x14ac:dyDescent="0.25">
      <c r="A119" t="s">
        <v>2532</v>
      </c>
      <c r="B119" s="20" t="s">
        <v>2528</v>
      </c>
      <c r="C119" s="193"/>
      <c r="D119" t="s">
        <v>3154</v>
      </c>
    </row>
    <row r="120" spans="1:4" x14ac:dyDescent="0.25">
      <c r="A120" t="s">
        <v>2522</v>
      </c>
      <c r="B120" s="182" t="s">
        <v>2523</v>
      </c>
      <c r="C120" s="186"/>
      <c r="D120" t="s">
        <v>3155</v>
      </c>
    </row>
    <row r="121" spans="1:4" x14ac:dyDescent="0.25">
      <c r="A121" t="s">
        <v>2529</v>
      </c>
      <c r="B121" s="20" t="s">
        <v>2545</v>
      </c>
      <c r="C121" s="191"/>
      <c r="D121" t="s">
        <v>3156</v>
      </c>
    </row>
    <row r="122" spans="1:4" x14ac:dyDescent="0.25">
      <c r="A122" t="s">
        <v>2509</v>
      </c>
      <c r="B122" s="182" t="s">
        <v>2519</v>
      </c>
      <c r="C122" s="184"/>
      <c r="D122" t="s">
        <v>3157</v>
      </c>
    </row>
    <row r="123" spans="1:4" x14ac:dyDescent="0.25">
      <c r="A123" t="s">
        <v>2515</v>
      </c>
      <c r="B123" s="182" t="s">
        <v>2520</v>
      </c>
      <c r="C123" s="185"/>
      <c r="D123" t="s">
        <v>3158</v>
      </c>
    </row>
    <row r="125" spans="1:4" x14ac:dyDescent="0.25">
      <c r="A125" s="42" t="s">
        <v>2878</v>
      </c>
      <c r="B125" s="180"/>
      <c r="C125" s="167"/>
      <c r="D125" s="167"/>
    </row>
    <row r="126" spans="1:4" x14ac:dyDescent="0.25">
      <c r="A126" s="9" t="s">
        <v>2504</v>
      </c>
      <c r="B126" s="181" t="s">
        <v>2505</v>
      </c>
      <c r="C126" s="9" t="s">
        <v>2506</v>
      </c>
      <c r="D126" s="9" t="s">
        <v>2507</v>
      </c>
    </row>
    <row r="127" spans="1:4" x14ac:dyDescent="0.25">
      <c r="A127" t="s">
        <v>2530</v>
      </c>
      <c r="B127" s="20" t="s">
        <v>2526</v>
      </c>
      <c r="C127" s="190"/>
      <c r="D127" t="s">
        <v>2879</v>
      </c>
    </row>
    <row r="128" spans="1:4" x14ac:dyDescent="0.25">
      <c r="A128" t="s">
        <v>2522</v>
      </c>
      <c r="B128" s="182" t="s">
        <v>2523</v>
      </c>
      <c r="C128" s="186"/>
      <c r="D128" t="s">
        <v>2880</v>
      </c>
    </row>
    <row r="129" spans="1:4" x14ac:dyDescent="0.25">
      <c r="A129" t="s">
        <v>2516</v>
      </c>
      <c r="B129" s="182" t="s">
        <v>2517</v>
      </c>
      <c r="C129" s="178"/>
      <c r="D129" t="s">
        <v>2570</v>
      </c>
    </row>
    <row r="130" spans="1:4" x14ac:dyDescent="0.25">
      <c r="B130" s="182"/>
    </row>
    <row r="131" spans="1:4" x14ac:dyDescent="0.25">
      <c r="A131" s="42" t="s">
        <v>2917</v>
      </c>
      <c r="B131" s="180"/>
      <c r="C131" s="167"/>
      <c r="D131" s="167"/>
    </row>
    <row r="132" spans="1:4" x14ac:dyDescent="0.25">
      <c r="A132" s="9" t="s">
        <v>2504</v>
      </c>
      <c r="B132" s="181" t="s">
        <v>2505</v>
      </c>
      <c r="C132" s="9" t="s">
        <v>2506</v>
      </c>
      <c r="D132" s="9" t="s">
        <v>2507</v>
      </c>
    </row>
    <row r="133" spans="1:4" x14ac:dyDescent="0.25">
      <c r="A133" t="s">
        <v>2515</v>
      </c>
      <c r="B133" s="182" t="s">
        <v>2520</v>
      </c>
      <c r="C133" s="185"/>
      <c r="D133" t="s">
        <v>2918</v>
      </c>
    </row>
    <row r="134" spans="1:4" x14ac:dyDescent="0.25">
      <c r="A134" t="s">
        <v>2554</v>
      </c>
      <c r="B134" s="20" t="s">
        <v>2548</v>
      </c>
      <c r="C134" s="199"/>
      <c r="D134" t="s">
        <v>2919</v>
      </c>
    </row>
    <row r="135" spans="1:4" x14ac:dyDescent="0.25">
      <c r="A135" t="s">
        <v>2532</v>
      </c>
      <c r="B135" s="20" t="s">
        <v>2528</v>
      </c>
      <c r="C135" s="193"/>
      <c r="D135" t="s">
        <v>2920</v>
      </c>
    </row>
    <row r="136" spans="1:4" x14ac:dyDescent="0.25">
      <c r="A136" t="s">
        <v>2516</v>
      </c>
      <c r="B136" s="182" t="s">
        <v>2517</v>
      </c>
      <c r="C136" s="178"/>
      <c r="D136" t="s">
        <v>2570</v>
      </c>
    </row>
    <row r="138" spans="1:4" x14ac:dyDescent="0.25">
      <c r="A138" s="42" t="s">
        <v>2572</v>
      </c>
      <c r="B138" s="180"/>
      <c r="C138" s="167"/>
      <c r="D138" s="167"/>
    </row>
    <row r="139" spans="1:4" x14ac:dyDescent="0.25">
      <c r="A139" s="9" t="s">
        <v>2504</v>
      </c>
      <c r="B139" s="181" t="s">
        <v>2505</v>
      </c>
      <c r="C139" s="9" t="s">
        <v>2506</v>
      </c>
      <c r="D139" s="9" t="s">
        <v>2507</v>
      </c>
    </row>
    <row r="140" spans="1:4" x14ac:dyDescent="0.25">
      <c r="A140" t="s">
        <v>2516</v>
      </c>
      <c r="B140" s="182" t="s">
        <v>2517</v>
      </c>
      <c r="C140" s="178"/>
      <c r="D140" t="s">
        <v>2573</v>
      </c>
    </row>
    <row r="141" spans="1:4" x14ac:dyDescent="0.25">
      <c r="A141" t="s">
        <v>2530</v>
      </c>
      <c r="B141" s="20" t="s">
        <v>2526</v>
      </c>
      <c r="C141" s="190"/>
      <c r="D141" t="s">
        <v>2574</v>
      </c>
    </row>
    <row r="142" spans="1:4" x14ac:dyDescent="0.25">
      <c r="A142" t="s">
        <v>2532</v>
      </c>
      <c r="B142" s="20" t="s">
        <v>2528</v>
      </c>
      <c r="C142" s="193"/>
      <c r="D142" t="s">
        <v>2666</v>
      </c>
    </row>
    <row r="143" spans="1:4" x14ac:dyDescent="0.25">
      <c r="A143" t="s">
        <v>2531</v>
      </c>
      <c r="B143" s="20" t="s">
        <v>2527</v>
      </c>
      <c r="C143" s="192"/>
      <c r="D143" t="s">
        <v>2575</v>
      </c>
    </row>
    <row r="144" spans="1:4" x14ac:dyDescent="0.25">
      <c r="A144" t="s">
        <v>2529</v>
      </c>
      <c r="B144" s="20" t="s">
        <v>2545</v>
      </c>
      <c r="C144" s="191"/>
      <c r="D144" t="s">
        <v>2576</v>
      </c>
    </row>
    <row r="145" spans="1:4" x14ac:dyDescent="0.25">
      <c r="A145" t="s">
        <v>2509</v>
      </c>
      <c r="B145" s="182" t="s">
        <v>2519</v>
      </c>
      <c r="C145" s="184"/>
      <c r="D145" t="s">
        <v>2577</v>
      </c>
    </row>
    <row r="146" spans="1:4" x14ac:dyDescent="0.25">
      <c r="A146" t="s">
        <v>2515</v>
      </c>
      <c r="B146" s="182" t="s">
        <v>2520</v>
      </c>
      <c r="C146" s="185"/>
      <c r="D146" t="s">
        <v>2578</v>
      </c>
    </row>
    <row r="147" spans="1:4" x14ac:dyDescent="0.25">
      <c r="A147" t="s">
        <v>2522</v>
      </c>
      <c r="B147" s="182" t="s">
        <v>2523</v>
      </c>
      <c r="C147" s="186"/>
      <c r="D147" t="s">
        <v>2579</v>
      </c>
    </row>
    <row r="148" spans="1:4" x14ac:dyDescent="0.25">
      <c r="A148" t="s">
        <v>2514</v>
      </c>
      <c r="B148" s="20" t="s">
        <v>2525</v>
      </c>
      <c r="C148" s="189"/>
      <c r="D148" t="s">
        <v>2580</v>
      </c>
    </row>
    <row r="150" spans="1:4" x14ac:dyDescent="0.25">
      <c r="A150" s="42" t="s">
        <v>2571</v>
      </c>
      <c r="B150" s="180"/>
      <c r="C150" s="167"/>
      <c r="D150" s="167"/>
    </row>
    <row r="151" spans="1:4" x14ac:dyDescent="0.25">
      <c r="A151" s="9" t="s">
        <v>2504</v>
      </c>
      <c r="B151" s="181" t="s">
        <v>2505</v>
      </c>
      <c r="C151" s="9" t="s">
        <v>2506</v>
      </c>
      <c r="D151" s="9" t="s">
        <v>2507</v>
      </c>
    </row>
    <row r="152" spans="1:4" x14ac:dyDescent="0.25">
      <c r="A152" t="s">
        <v>2522</v>
      </c>
      <c r="B152" s="182" t="s">
        <v>2523</v>
      </c>
      <c r="C152" s="186"/>
      <c r="D152" t="s">
        <v>2684</v>
      </c>
    </row>
    <row r="153" spans="1:4" x14ac:dyDescent="0.25">
      <c r="A153" t="s">
        <v>2529</v>
      </c>
      <c r="B153" s="20" t="s">
        <v>2545</v>
      </c>
      <c r="C153" s="191"/>
      <c r="D153" t="s">
        <v>2685</v>
      </c>
    </row>
    <row r="154" spans="1:4" x14ac:dyDescent="0.25">
      <c r="A154" t="s">
        <v>2515</v>
      </c>
      <c r="B154" s="182" t="s">
        <v>2520</v>
      </c>
      <c r="C154" s="185"/>
      <c r="D154" t="s">
        <v>2675</v>
      </c>
    </row>
    <row r="155" spans="1:4" x14ac:dyDescent="0.25">
      <c r="A155" t="s">
        <v>2530</v>
      </c>
      <c r="B155" s="20" t="s">
        <v>2526</v>
      </c>
      <c r="C155" s="190"/>
      <c r="D155" t="s">
        <v>2676</v>
      </c>
    </row>
    <row r="156" spans="1:4" x14ac:dyDescent="0.25">
      <c r="A156" t="s">
        <v>2516</v>
      </c>
      <c r="B156" s="182" t="s">
        <v>2517</v>
      </c>
      <c r="C156" s="178"/>
      <c r="D156" t="s">
        <v>2570</v>
      </c>
    </row>
    <row r="158" spans="1:4" x14ac:dyDescent="0.25">
      <c r="A158" s="42" t="s">
        <v>2508</v>
      </c>
      <c r="B158" s="180"/>
      <c r="C158" s="167"/>
      <c r="D158" s="167"/>
    </row>
    <row r="159" spans="1:4" x14ac:dyDescent="0.25">
      <c r="A159" s="9" t="s">
        <v>2504</v>
      </c>
      <c r="B159" s="181" t="s">
        <v>2505</v>
      </c>
      <c r="C159" s="9" t="s">
        <v>2506</v>
      </c>
      <c r="D159" s="9" t="s">
        <v>2507</v>
      </c>
    </row>
    <row r="160" spans="1:4" x14ac:dyDescent="0.25">
      <c r="A160" t="s">
        <v>2529</v>
      </c>
      <c r="B160" s="20" t="s">
        <v>2545</v>
      </c>
      <c r="C160" s="191"/>
      <c r="D160" t="s">
        <v>2246</v>
      </c>
    </row>
    <row r="161" spans="1:4" x14ac:dyDescent="0.25">
      <c r="A161" t="s">
        <v>2509</v>
      </c>
      <c r="B161" s="182" t="s">
        <v>2519</v>
      </c>
      <c r="C161" s="184"/>
      <c r="D161" t="s">
        <v>2248</v>
      </c>
    </row>
    <row r="162" spans="1:4" x14ac:dyDescent="0.25">
      <c r="A162" t="s">
        <v>2515</v>
      </c>
      <c r="B162" s="182" t="s">
        <v>2520</v>
      </c>
      <c r="C162" s="185"/>
      <c r="D162" t="s">
        <v>2247</v>
      </c>
    </row>
    <row r="163" spans="1:4" x14ac:dyDescent="0.25">
      <c r="A163" t="s">
        <v>2514</v>
      </c>
      <c r="B163" s="20" t="s">
        <v>2525</v>
      </c>
      <c r="C163" s="187"/>
      <c r="D163" t="s">
        <v>2511</v>
      </c>
    </row>
    <row r="164" spans="1:4" x14ac:dyDescent="0.25">
      <c r="A164" t="s">
        <v>2530</v>
      </c>
      <c r="B164" s="20" t="s">
        <v>2526</v>
      </c>
      <c r="C164" s="190"/>
      <c r="D164" t="s">
        <v>2512</v>
      </c>
    </row>
    <row r="165" spans="1:4" x14ac:dyDescent="0.25">
      <c r="A165" t="s">
        <v>2516</v>
      </c>
      <c r="B165" s="182" t="s">
        <v>2517</v>
      </c>
      <c r="C165" s="178"/>
      <c r="D165" t="s">
        <v>2249</v>
      </c>
    </row>
    <row r="166" spans="1:4" x14ac:dyDescent="0.25">
      <c r="A166" t="s">
        <v>2522</v>
      </c>
      <c r="B166" s="182" t="s">
        <v>2523</v>
      </c>
      <c r="C166" s="186"/>
      <c r="D166" t="s">
        <v>2521</v>
      </c>
    </row>
    <row r="168" spans="1:4" x14ac:dyDescent="0.25">
      <c r="A168" s="42" t="s">
        <v>2555</v>
      </c>
      <c r="B168" s="180"/>
      <c r="C168" s="167"/>
      <c r="D168" s="167"/>
    </row>
    <row r="169" spans="1:4" x14ac:dyDescent="0.25">
      <c r="A169" s="9" t="s">
        <v>2504</v>
      </c>
      <c r="B169" s="181" t="s">
        <v>2505</v>
      </c>
      <c r="C169" s="9" t="s">
        <v>2506</v>
      </c>
      <c r="D169" s="9" t="s">
        <v>2507</v>
      </c>
    </row>
    <row r="170" spans="1:4" x14ac:dyDescent="0.25">
      <c r="A170" t="s">
        <v>2515</v>
      </c>
      <c r="B170" s="182" t="s">
        <v>2520</v>
      </c>
      <c r="C170" s="185"/>
      <c r="D170" t="s">
        <v>144</v>
      </c>
    </row>
    <row r="171" spans="1:4" x14ac:dyDescent="0.25">
      <c r="A171" t="s">
        <v>2503</v>
      </c>
      <c r="B171" s="183" t="s">
        <v>2510</v>
      </c>
      <c r="C171" s="179"/>
      <c r="D171" t="s">
        <v>2557</v>
      </c>
    </row>
    <row r="172" spans="1:4" x14ac:dyDescent="0.25">
      <c r="A172" t="s">
        <v>2554</v>
      </c>
      <c r="B172" s="20" t="s">
        <v>2548</v>
      </c>
      <c r="C172" s="199"/>
      <c r="D172" t="s">
        <v>2564</v>
      </c>
    </row>
    <row r="173" spans="1:4" x14ac:dyDescent="0.25">
      <c r="A173" t="s">
        <v>2522</v>
      </c>
      <c r="B173" s="182" t="s">
        <v>2523</v>
      </c>
      <c r="C173" s="186"/>
      <c r="D173" t="s">
        <v>2558</v>
      </c>
    </row>
    <row r="174" spans="1:4" x14ac:dyDescent="0.25">
      <c r="A174" t="s">
        <v>2531</v>
      </c>
      <c r="B174" s="20" t="s">
        <v>2527</v>
      </c>
      <c r="C174" s="192"/>
      <c r="D174" t="s">
        <v>2559</v>
      </c>
    </row>
    <row r="175" spans="1:4" x14ac:dyDescent="0.25">
      <c r="A175" t="s">
        <v>2530</v>
      </c>
      <c r="B175" s="20" t="s">
        <v>2526</v>
      </c>
      <c r="C175" s="190"/>
      <c r="D175" t="s">
        <v>2560</v>
      </c>
    </row>
    <row r="176" spans="1:4" x14ac:dyDescent="0.25">
      <c r="A176" t="s">
        <v>2549</v>
      </c>
      <c r="B176" s="20" t="s">
        <v>2546</v>
      </c>
      <c r="C176" s="198"/>
      <c r="D176" t="s">
        <v>2561</v>
      </c>
    </row>
    <row r="177" spans="1:4" x14ac:dyDescent="0.25">
      <c r="A177" t="s">
        <v>2516</v>
      </c>
      <c r="B177" s="182" t="s">
        <v>2517</v>
      </c>
      <c r="C177" s="178"/>
      <c r="D177" t="s">
        <v>2565</v>
      </c>
    </row>
    <row r="178" spans="1:4" x14ac:dyDescent="0.25">
      <c r="A178" t="s">
        <v>2529</v>
      </c>
      <c r="B178" s="20" t="s">
        <v>2545</v>
      </c>
      <c r="C178" s="191"/>
      <c r="D178" t="s">
        <v>2346</v>
      </c>
    </row>
    <row r="179" spans="1:4" x14ac:dyDescent="0.25">
      <c r="A179" t="s">
        <v>2532</v>
      </c>
      <c r="B179" s="20" t="s">
        <v>2528</v>
      </c>
      <c r="C179" s="193"/>
      <c r="D179" t="s">
        <v>3125</v>
      </c>
    </row>
    <row r="180" spans="1:4" x14ac:dyDescent="0.25">
      <c r="A180" t="s">
        <v>2509</v>
      </c>
      <c r="B180" s="182" t="s">
        <v>2519</v>
      </c>
      <c r="C180" s="184"/>
      <c r="D180" t="s">
        <v>2556</v>
      </c>
    </row>
    <row r="182" spans="1:4" x14ac:dyDescent="0.25">
      <c r="A182" s="42" t="s">
        <v>2581</v>
      </c>
      <c r="B182" s="180"/>
      <c r="C182" s="167"/>
      <c r="D182" s="167"/>
    </row>
    <row r="183" spans="1:4" x14ac:dyDescent="0.25">
      <c r="A183" s="9" t="s">
        <v>2504</v>
      </c>
      <c r="B183" s="181" t="s">
        <v>2505</v>
      </c>
      <c r="C183" s="9" t="s">
        <v>2506</v>
      </c>
      <c r="D183" s="9" t="s">
        <v>2507</v>
      </c>
    </row>
    <row r="184" spans="1:4" x14ac:dyDescent="0.25">
      <c r="A184" t="s">
        <v>2509</v>
      </c>
      <c r="B184" s="182" t="s">
        <v>2519</v>
      </c>
      <c r="C184" s="184"/>
      <c r="D184" t="s">
        <v>2763</v>
      </c>
    </row>
    <row r="185" spans="1:4" x14ac:dyDescent="0.25">
      <c r="A185" t="s">
        <v>2515</v>
      </c>
      <c r="B185" s="182" t="s">
        <v>2520</v>
      </c>
      <c r="C185" s="185"/>
      <c r="D185" t="s">
        <v>3036</v>
      </c>
    </row>
    <row r="186" spans="1:4" x14ac:dyDescent="0.25">
      <c r="A186" t="s">
        <v>2514</v>
      </c>
      <c r="B186" s="20" t="s">
        <v>2525</v>
      </c>
      <c r="C186" s="187"/>
      <c r="D186" t="s">
        <v>3037</v>
      </c>
    </row>
    <row r="187" spans="1:4" x14ac:dyDescent="0.25">
      <c r="A187" t="s">
        <v>2550</v>
      </c>
      <c r="B187" s="20" t="s">
        <v>2544</v>
      </c>
      <c r="C187" s="196"/>
      <c r="D187" t="s">
        <v>3038</v>
      </c>
    </row>
    <row r="188" spans="1:4" x14ac:dyDescent="0.25">
      <c r="A188" t="s">
        <v>2551</v>
      </c>
      <c r="B188" s="20" t="s">
        <v>2370</v>
      </c>
      <c r="C188" s="195"/>
      <c r="D188" t="s">
        <v>3039</v>
      </c>
    </row>
    <row r="189" spans="1:4" x14ac:dyDescent="0.25">
      <c r="A189" t="s">
        <v>2522</v>
      </c>
      <c r="B189" s="182" t="s">
        <v>2523</v>
      </c>
      <c r="C189" s="186"/>
      <c r="D189" t="s">
        <v>3040</v>
      </c>
    </row>
    <row r="190" spans="1:4" x14ac:dyDescent="0.25">
      <c r="A190" t="s">
        <v>2531</v>
      </c>
      <c r="B190" s="20" t="s">
        <v>2527</v>
      </c>
      <c r="C190" s="192"/>
      <c r="D190" t="s">
        <v>3041</v>
      </c>
    </row>
    <row r="191" spans="1:4" x14ac:dyDescent="0.25">
      <c r="A191" t="s">
        <v>2516</v>
      </c>
      <c r="B191" s="182" t="s">
        <v>2517</v>
      </c>
      <c r="C191" s="178"/>
      <c r="D191" t="s">
        <v>3042</v>
      </c>
    </row>
    <row r="192" spans="1:4" x14ac:dyDescent="0.25">
      <c r="A192" t="s">
        <v>2529</v>
      </c>
      <c r="B192" s="20" t="s">
        <v>2545</v>
      </c>
      <c r="C192" s="191"/>
      <c r="D192" t="s">
        <v>2582</v>
      </c>
    </row>
    <row r="193" spans="1:4" x14ac:dyDescent="0.25">
      <c r="A193" t="s">
        <v>2553</v>
      </c>
      <c r="B193" s="20" t="s">
        <v>2547</v>
      </c>
      <c r="C193" s="197"/>
      <c r="D193" t="s">
        <v>3043</v>
      </c>
    </row>
    <row r="194" spans="1:4" x14ac:dyDescent="0.25">
      <c r="A194" t="s">
        <v>2596</v>
      </c>
      <c r="B194" s="182" t="s">
        <v>2598</v>
      </c>
      <c r="C194" s="200"/>
      <c r="D194" t="s">
        <v>3044</v>
      </c>
    </row>
    <row r="195" spans="1:4" x14ac:dyDescent="0.25">
      <c r="A195" t="s">
        <v>2549</v>
      </c>
      <c r="B195" s="20" t="s">
        <v>2546</v>
      </c>
      <c r="C195" s="198"/>
      <c r="D195" t="s">
        <v>3045</v>
      </c>
    </row>
    <row r="196" spans="1:4" x14ac:dyDescent="0.25">
      <c r="A196" t="s">
        <v>2503</v>
      </c>
      <c r="B196" s="183" t="s">
        <v>2510</v>
      </c>
      <c r="C196" s="179"/>
      <c r="D196" t="s">
        <v>2583</v>
      </c>
    </row>
    <row r="197" spans="1:4" x14ac:dyDescent="0.25">
      <c r="A197" t="s">
        <v>2530</v>
      </c>
      <c r="B197" s="20" t="s">
        <v>2526</v>
      </c>
      <c r="C197" s="190"/>
      <c r="D197" t="s">
        <v>3046</v>
      </c>
    </row>
    <row r="198" spans="1:4" x14ac:dyDescent="0.25">
      <c r="A198" t="s">
        <v>2597</v>
      </c>
      <c r="B198" s="182">
        <v>740000</v>
      </c>
      <c r="C198" s="201"/>
      <c r="D198" t="s">
        <v>3047</v>
      </c>
    </row>
    <row r="199" spans="1:4" x14ac:dyDescent="0.25">
      <c r="A199" t="s">
        <v>2532</v>
      </c>
      <c r="B199" s="20" t="s">
        <v>2528</v>
      </c>
      <c r="C199" s="193"/>
      <c r="D199" t="s">
        <v>3048</v>
      </c>
    </row>
    <row r="200" spans="1:4" x14ac:dyDescent="0.25">
      <c r="A200" t="s">
        <v>2539</v>
      </c>
      <c r="B200" s="20" t="s">
        <v>2538</v>
      </c>
      <c r="C200" s="194"/>
      <c r="D200" t="s">
        <v>3049</v>
      </c>
    </row>
    <row r="201" spans="1:4" x14ac:dyDescent="0.25">
      <c r="A201" t="s">
        <v>2554</v>
      </c>
      <c r="B201" s="20" t="s">
        <v>2548</v>
      </c>
      <c r="C201" s="199"/>
      <c r="D201" t="s">
        <v>3050</v>
      </c>
    </row>
    <row r="202" spans="1:4" x14ac:dyDescent="0.25">
      <c r="A202" t="s">
        <v>2513</v>
      </c>
      <c r="B202" s="182" t="s">
        <v>2518</v>
      </c>
      <c r="C202" s="188"/>
      <c r="D202" t="s">
        <v>3051</v>
      </c>
    </row>
    <row r="203" spans="1:4" x14ac:dyDescent="0.25">
      <c r="A203" t="s">
        <v>3063</v>
      </c>
      <c r="B203" s="222" t="s">
        <v>3056</v>
      </c>
      <c r="C203" s="221"/>
      <c r="D203" t="s">
        <v>3052</v>
      </c>
    </row>
    <row r="204" spans="1:4" x14ac:dyDescent="0.25">
      <c r="A204" t="s">
        <v>3060</v>
      </c>
      <c r="B204" s="182" t="s">
        <v>3057</v>
      </c>
      <c r="C204" s="223"/>
      <c r="D204" t="s">
        <v>3053</v>
      </c>
    </row>
    <row r="205" spans="1:4" x14ac:dyDescent="0.25">
      <c r="A205" t="s">
        <v>3061</v>
      </c>
      <c r="B205" t="s">
        <v>3058</v>
      </c>
      <c r="C205" s="224"/>
      <c r="D205" t="s">
        <v>3054</v>
      </c>
    </row>
    <row r="206" spans="1:4" x14ac:dyDescent="0.25">
      <c r="A206" t="s">
        <v>3062</v>
      </c>
      <c r="B206" s="17" t="s">
        <v>3059</v>
      </c>
      <c r="C206" s="225"/>
      <c r="D206" t="s">
        <v>3055</v>
      </c>
    </row>
    <row r="208" spans="1:4" x14ac:dyDescent="0.25">
      <c r="A208" s="42" t="s">
        <v>2584</v>
      </c>
      <c r="B208" s="180"/>
      <c r="C208" s="167"/>
      <c r="D208" s="167"/>
    </row>
    <row r="209" spans="1:4" x14ac:dyDescent="0.25">
      <c r="A209" s="9" t="s">
        <v>2504</v>
      </c>
      <c r="B209" s="181" t="s">
        <v>2505</v>
      </c>
      <c r="C209" s="9" t="s">
        <v>2506</v>
      </c>
      <c r="D209" s="9" t="s">
        <v>2507</v>
      </c>
    </row>
    <row r="210" spans="1:4" x14ac:dyDescent="0.25">
      <c r="A210" t="s">
        <v>2516</v>
      </c>
      <c r="B210" s="182" t="s">
        <v>2517</v>
      </c>
      <c r="C210" s="178"/>
      <c r="D210" t="s">
        <v>126</v>
      </c>
    </row>
    <row r="211" spans="1:4" x14ac:dyDescent="0.25">
      <c r="A211" t="s">
        <v>2522</v>
      </c>
      <c r="B211" s="182" t="s">
        <v>2523</v>
      </c>
      <c r="C211" s="186"/>
      <c r="D211" t="s">
        <v>125</v>
      </c>
    </row>
    <row r="212" spans="1:4" x14ac:dyDescent="0.25">
      <c r="A212" t="s">
        <v>2529</v>
      </c>
      <c r="B212" s="20" t="s">
        <v>2545</v>
      </c>
      <c r="C212" s="191"/>
      <c r="D212" t="s">
        <v>124</v>
      </c>
    </row>
    <row r="213" spans="1:4" x14ac:dyDescent="0.25">
      <c r="A213" t="s">
        <v>2530</v>
      </c>
      <c r="B213" s="20" t="s">
        <v>2526</v>
      </c>
      <c r="C213" s="190"/>
      <c r="D213" t="s">
        <v>122</v>
      </c>
    </row>
    <row r="214" spans="1:4" x14ac:dyDescent="0.25">
      <c r="A214" t="s">
        <v>2515</v>
      </c>
      <c r="B214" s="182" t="s">
        <v>2520</v>
      </c>
      <c r="C214" s="185"/>
      <c r="D214" t="s">
        <v>121</v>
      </c>
    </row>
    <row r="216" spans="1:4" x14ac:dyDescent="0.25">
      <c r="A216" s="42" t="s">
        <v>2585</v>
      </c>
      <c r="B216" s="180"/>
      <c r="C216" s="167"/>
      <c r="D216" s="167"/>
    </row>
    <row r="217" spans="1:4" x14ac:dyDescent="0.25">
      <c r="A217" s="9" t="s">
        <v>2504</v>
      </c>
      <c r="B217" s="181" t="s">
        <v>2505</v>
      </c>
      <c r="C217" s="9" t="s">
        <v>2506</v>
      </c>
      <c r="D217" s="9" t="s">
        <v>2507</v>
      </c>
    </row>
    <row r="218" spans="1:4" x14ac:dyDescent="0.25">
      <c r="A218" t="s">
        <v>2503</v>
      </c>
      <c r="B218" s="183" t="s">
        <v>2510</v>
      </c>
      <c r="C218" s="179"/>
      <c r="D218" t="s">
        <v>165</v>
      </c>
    </row>
    <row r="219" spans="1:4" x14ac:dyDescent="0.25">
      <c r="A219" t="s">
        <v>2522</v>
      </c>
      <c r="B219" s="182" t="s">
        <v>2523</v>
      </c>
      <c r="C219" s="186"/>
      <c r="D219" t="s">
        <v>280</v>
      </c>
    </row>
    <row r="220" spans="1:4" x14ac:dyDescent="0.25">
      <c r="A220" t="s">
        <v>2509</v>
      </c>
      <c r="B220" s="182" t="s">
        <v>2519</v>
      </c>
      <c r="C220" s="184"/>
      <c r="D220" t="s">
        <v>281</v>
      </c>
    </row>
    <row r="222" spans="1:4" x14ac:dyDescent="0.25">
      <c r="A222" s="42" t="s">
        <v>2624</v>
      </c>
      <c r="B222" s="180"/>
      <c r="C222" s="167"/>
      <c r="D222" s="167"/>
    </row>
    <row r="223" spans="1:4" x14ac:dyDescent="0.25">
      <c r="A223" s="9" t="s">
        <v>2504</v>
      </c>
      <c r="B223" s="181" t="s">
        <v>2505</v>
      </c>
      <c r="C223" s="9" t="s">
        <v>2506</v>
      </c>
      <c r="D223" s="9" t="s">
        <v>2507</v>
      </c>
    </row>
    <row r="224" spans="1:4" x14ac:dyDescent="0.25">
      <c r="A224" t="s">
        <v>2514</v>
      </c>
      <c r="B224" s="20" t="s">
        <v>2525</v>
      </c>
      <c r="C224" s="187"/>
      <c r="D224" t="s">
        <v>2474</v>
      </c>
    </row>
    <row r="225" spans="1:4" x14ac:dyDescent="0.25">
      <c r="A225" t="s">
        <v>2529</v>
      </c>
      <c r="B225" s="20" t="s">
        <v>2545</v>
      </c>
      <c r="C225" s="191"/>
      <c r="D225" t="s">
        <v>93</v>
      </c>
    </row>
    <row r="226" spans="1:4" x14ac:dyDescent="0.25">
      <c r="A226" t="s">
        <v>2515</v>
      </c>
      <c r="B226" s="182" t="s">
        <v>2520</v>
      </c>
      <c r="C226" s="185"/>
      <c r="D226" t="s">
        <v>87</v>
      </c>
    </row>
    <row r="227" spans="1:4" x14ac:dyDescent="0.25">
      <c r="A227" t="s">
        <v>2549</v>
      </c>
      <c r="B227" s="20" t="s">
        <v>2546</v>
      </c>
      <c r="C227" s="198"/>
      <c r="D227" t="s">
        <v>2625</v>
      </c>
    </row>
    <row r="228" spans="1:4" x14ac:dyDescent="0.25">
      <c r="A228" t="s">
        <v>2530</v>
      </c>
      <c r="B228" s="20" t="s">
        <v>2526</v>
      </c>
      <c r="C228" s="190"/>
      <c r="D228" t="s">
        <v>2626</v>
      </c>
    </row>
    <row r="229" spans="1:4" x14ac:dyDescent="0.25">
      <c r="A229" t="s">
        <v>2522</v>
      </c>
      <c r="B229" s="182" t="s">
        <v>2523</v>
      </c>
      <c r="C229" s="186"/>
      <c r="D229" t="s">
        <v>98</v>
      </c>
    </row>
    <row r="230" spans="1:4" x14ac:dyDescent="0.25">
      <c r="A230" t="s">
        <v>2531</v>
      </c>
      <c r="B230" s="20" t="s">
        <v>2527</v>
      </c>
      <c r="C230" s="192"/>
      <c r="D230" t="s">
        <v>97</v>
      </c>
    </row>
    <row r="231" spans="1:4" x14ac:dyDescent="0.25">
      <c r="A231" t="s">
        <v>2516</v>
      </c>
      <c r="B231" s="182" t="s">
        <v>2517</v>
      </c>
      <c r="C231" s="178"/>
      <c r="D231" t="s">
        <v>96</v>
      </c>
    </row>
    <row r="232" spans="1:4" x14ac:dyDescent="0.25">
      <c r="A232" t="s">
        <v>2509</v>
      </c>
      <c r="B232" s="182" t="s">
        <v>2519</v>
      </c>
      <c r="C232" s="184"/>
      <c r="D232" t="s">
        <v>95</v>
      </c>
    </row>
    <row r="234" spans="1:4" x14ac:dyDescent="0.25">
      <c r="A234" s="42" t="s">
        <v>2629</v>
      </c>
      <c r="B234" s="180"/>
      <c r="C234" s="167"/>
      <c r="D234" s="167"/>
    </row>
    <row r="235" spans="1:4" x14ac:dyDescent="0.25">
      <c r="A235" s="9" t="s">
        <v>2504</v>
      </c>
      <c r="B235" s="181" t="s">
        <v>2505</v>
      </c>
      <c r="C235" s="9" t="s">
        <v>2506</v>
      </c>
      <c r="D235" s="9" t="s">
        <v>2507</v>
      </c>
    </row>
    <row r="236" spans="1:4" x14ac:dyDescent="0.25">
      <c r="A236" t="s">
        <v>2514</v>
      </c>
      <c r="B236" s="20" t="s">
        <v>2525</v>
      </c>
      <c r="C236" s="187"/>
      <c r="D236" t="s">
        <v>2474</v>
      </c>
    </row>
    <row r="237" spans="1:4" x14ac:dyDescent="0.25">
      <c r="A237" t="s">
        <v>2532</v>
      </c>
      <c r="B237" s="20" t="s">
        <v>2528</v>
      </c>
      <c r="C237" s="193"/>
      <c r="D237" t="s">
        <v>2587</v>
      </c>
    </row>
    <row r="238" spans="1:4" x14ac:dyDescent="0.25">
      <c r="A238" t="s">
        <v>2522</v>
      </c>
      <c r="B238" s="182" t="s">
        <v>2523</v>
      </c>
      <c r="C238" s="186"/>
      <c r="D238" t="s">
        <v>92</v>
      </c>
    </row>
    <row r="239" spans="1:4" x14ac:dyDescent="0.25">
      <c r="A239" t="s">
        <v>2529</v>
      </c>
      <c r="B239" s="20" t="s">
        <v>2545</v>
      </c>
      <c r="C239" s="191"/>
      <c r="D239" t="s">
        <v>93</v>
      </c>
    </row>
    <row r="240" spans="1:4" x14ac:dyDescent="0.25">
      <c r="A240" t="s">
        <v>2515</v>
      </c>
      <c r="B240" s="182" t="s">
        <v>2520</v>
      </c>
      <c r="C240" s="185"/>
      <c r="D240" t="s">
        <v>87</v>
      </c>
    </row>
    <row r="241" spans="1:4" x14ac:dyDescent="0.25">
      <c r="A241" t="s">
        <v>2530</v>
      </c>
      <c r="B241" s="20" t="s">
        <v>2526</v>
      </c>
      <c r="C241" s="190"/>
      <c r="D241" t="s">
        <v>2627</v>
      </c>
    </row>
    <row r="242" spans="1:4" x14ac:dyDescent="0.25">
      <c r="A242" t="s">
        <v>2509</v>
      </c>
      <c r="B242" s="182" t="s">
        <v>2519</v>
      </c>
      <c r="C242" s="184"/>
      <c r="D242" t="s">
        <v>447</v>
      </c>
    </row>
    <row r="243" spans="1:4" x14ac:dyDescent="0.25">
      <c r="A243" t="s">
        <v>2596</v>
      </c>
      <c r="B243" s="182" t="s">
        <v>2598</v>
      </c>
      <c r="C243" s="200"/>
      <c r="D243" t="s">
        <v>2595</v>
      </c>
    </row>
    <row r="244" spans="1:4" x14ac:dyDescent="0.25">
      <c r="A244" t="s">
        <v>2597</v>
      </c>
      <c r="B244" s="182">
        <v>740000</v>
      </c>
      <c r="C244" s="201"/>
      <c r="D244" t="s">
        <v>2471</v>
      </c>
    </row>
    <row r="245" spans="1:4" x14ac:dyDescent="0.25">
      <c r="A245" t="s">
        <v>2516</v>
      </c>
      <c r="B245" s="182" t="s">
        <v>2517</v>
      </c>
      <c r="C245" s="178"/>
      <c r="D245" t="s">
        <v>2628</v>
      </c>
    </row>
    <row r="247" spans="1:4" x14ac:dyDescent="0.25">
      <c r="A247" s="42" t="s">
        <v>3546</v>
      </c>
      <c r="B247" s="180"/>
      <c r="C247" s="167"/>
      <c r="D247" s="167"/>
    </row>
    <row r="248" spans="1:4" x14ac:dyDescent="0.25">
      <c r="A248" s="9" t="s">
        <v>2504</v>
      </c>
      <c r="B248" s="181" t="s">
        <v>2505</v>
      </c>
      <c r="C248" s="9" t="s">
        <v>2506</v>
      </c>
      <c r="D248" s="9" t="s">
        <v>2507</v>
      </c>
    </row>
    <row r="249" spans="1:4" x14ac:dyDescent="0.25">
      <c r="A249" t="s">
        <v>2551</v>
      </c>
      <c r="B249" s="20" t="s">
        <v>2370</v>
      </c>
      <c r="C249" s="195"/>
      <c r="D249" t="s">
        <v>3554</v>
      </c>
    </row>
    <row r="250" spans="1:4" x14ac:dyDescent="0.25">
      <c r="A250" t="s">
        <v>2529</v>
      </c>
      <c r="B250" s="20" t="s">
        <v>2545</v>
      </c>
      <c r="C250" s="191"/>
      <c r="D250" t="s">
        <v>3555</v>
      </c>
    </row>
    <row r="251" spans="1:4" x14ac:dyDescent="0.25">
      <c r="A251" t="s">
        <v>2550</v>
      </c>
      <c r="B251" s="20" t="s">
        <v>2544</v>
      </c>
      <c r="C251" s="196"/>
      <c r="D251" t="s">
        <v>3556</v>
      </c>
    </row>
    <row r="252" spans="1:4" x14ac:dyDescent="0.25">
      <c r="A252" t="s">
        <v>2515</v>
      </c>
      <c r="B252" s="182" t="s">
        <v>2520</v>
      </c>
      <c r="C252" s="185"/>
      <c r="D252" t="s">
        <v>3557</v>
      </c>
    </row>
    <row r="253" spans="1:4" x14ac:dyDescent="0.25">
      <c r="A253" t="s">
        <v>2530</v>
      </c>
      <c r="B253" s="20" t="s">
        <v>2526</v>
      </c>
      <c r="C253" s="190"/>
      <c r="D253" t="s">
        <v>3558</v>
      </c>
    </row>
    <row r="254" spans="1:4" x14ac:dyDescent="0.25">
      <c r="A254" t="s">
        <v>2509</v>
      </c>
      <c r="B254" s="182" t="s">
        <v>2519</v>
      </c>
      <c r="C254" s="184"/>
      <c r="D254" t="s">
        <v>3559</v>
      </c>
    </row>
    <row r="255" spans="1:4" x14ac:dyDescent="0.25">
      <c r="A255" t="s">
        <v>2531</v>
      </c>
      <c r="B255" s="20" t="s">
        <v>2527</v>
      </c>
      <c r="C255" s="192"/>
      <c r="D255" t="s">
        <v>3560</v>
      </c>
    </row>
    <row r="256" spans="1:4" x14ac:dyDescent="0.25">
      <c r="A256" t="s">
        <v>2554</v>
      </c>
      <c r="B256" s="20" t="s">
        <v>2548</v>
      </c>
      <c r="C256" s="199"/>
      <c r="D256" t="s">
        <v>3561</v>
      </c>
    </row>
    <row r="258" spans="1:4" x14ac:dyDescent="0.25">
      <c r="A258" s="42" t="s">
        <v>2630</v>
      </c>
      <c r="B258" s="180"/>
      <c r="C258" s="167"/>
      <c r="D258" s="167"/>
    </row>
    <row r="259" spans="1:4" x14ac:dyDescent="0.25">
      <c r="A259" s="9" t="s">
        <v>2504</v>
      </c>
      <c r="B259" s="181" t="s">
        <v>2505</v>
      </c>
      <c r="C259" s="9" t="s">
        <v>2506</v>
      </c>
      <c r="D259" s="9" t="s">
        <v>2507</v>
      </c>
    </row>
    <row r="260" spans="1:4" x14ac:dyDescent="0.25">
      <c r="A260" t="s">
        <v>2514</v>
      </c>
      <c r="B260" s="20" t="s">
        <v>2525</v>
      </c>
      <c r="C260" s="187"/>
      <c r="D260" t="s">
        <v>2474</v>
      </c>
    </row>
    <row r="261" spans="1:4" x14ac:dyDescent="0.25">
      <c r="A261" t="s">
        <v>2509</v>
      </c>
      <c r="B261" s="182" t="s">
        <v>2519</v>
      </c>
      <c r="C261" s="184"/>
      <c r="D261" t="s">
        <v>447</v>
      </c>
    </row>
    <row r="262" spans="1:4" x14ac:dyDescent="0.25">
      <c r="A262" t="s">
        <v>2532</v>
      </c>
      <c r="B262" s="20" t="s">
        <v>2528</v>
      </c>
      <c r="C262" s="193"/>
      <c r="D262" t="s">
        <v>2587</v>
      </c>
    </row>
    <row r="263" spans="1:4" x14ac:dyDescent="0.25">
      <c r="A263" t="s">
        <v>2522</v>
      </c>
      <c r="B263" s="182" t="s">
        <v>2523</v>
      </c>
      <c r="C263" s="186"/>
      <c r="D263" t="s">
        <v>92</v>
      </c>
    </row>
    <row r="264" spans="1:4" x14ac:dyDescent="0.25">
      <c r="A264" t="s">
        <v>2549</v>
      </c>
      <c r="B264" s="20" t="s">
        <v>2546</v>
      </c>
      <c r="C264" s="198"/>
      <c r="D264" t="s">
        <v>2623</v>
      </c>
    </row>
    <row r="265" spans="1:4" x14ac:dyDescent="0.25">
      <c r="A265" t="s">
        <v>2596</v>
      </c>
      <c r="B265" s="182" t="s">
        <v>2598</v>
      </c>
      <c r="C265" s="200"/>
      <c r="D265" t="s">
        <v>2595</v>
      </c>
    </row>
    <row r="266" spans="1:4" x14ac:dyDescent="0.25">
      <c r="A266" t="s">
        <v>2516</v>
      </c>
      <c r="B266" s="182" t="s">
        <v>2517</v>
      </c>
      <c r="C266" s="178"/>
      <c r="D266" t="s">
        <v>2628</v>
      </c>
    </row>
    <row r="267" spans="1:4" x14ac:dyDescent="0.25">
      <c r="A267" t="s">
        <v>2530</v>
      </c>
      <c r="B267" s="20" t="s">
        <v>2526</v>
      </c>
      <c r="C267" s="190"/>
      <c r="D267" t="s">
        <v>2627</v>
      </c>
    </row>
    <row r="268" spans="1:4" x14ac:dyDescent="0.25">
      <c r="A268" t="s">
        <v>2515</v>
      </c>
      <c r="B268" s="182" t="s">
        <v>2520</v>
      </c>
      <c r="C268" s="185"/>
      <c r="D268" t="s">
        <v>87</v>
      </c>
    </row>
    <row r="269" spans="1:4" x14ac:dyDescent="0.25">
      <c r="A269" t="s">
        <v>2529</v>
      </c>
      <c r="B269" s="20" t="s">
        <v>2545</v>
      </c>
      <c r="C269" s="191"/>
      <c r="D269" t="s">
        <v>93</v>
      </c>
    </row>
    <row r="271" spans="1:4" x14ac:dyDescent="0.25">
      <c r="A271" s="42" t="s">
        <v>2604</v>
      </c>
      <c r="B271" s="180"/>
      <c r="C271" s="167"/>
      <c r="D271" s="167"/>
    </row>
    <row r="272" spans="1:4" x14ac:dyDescent="0.25">
      <c r="A272" s="9" t="s">
        <v>2504</v>
      </c>
      <c r="B272" s="181" t="s">
        <v>2505</v>
      </c>
      <c r="C272" s="9" t="s">
        <v>2506</v>
      </c>
      <c r="D272" s="9" t="s">
        <v>2507</v>
      </c>
    </row>
    <row r="273" spans="1:4" x14ac:dyDescent="0.25">
      <c r="A273" t="s">
        <v>2514</v>
      </c>
      <c r="B273" s="20" t="s">
        <v>2525</v>
      </c>
      <c r="C273" s="187"/>
      <c r="D273" t="s">
        <v>437</v>
      </c>
    </row>
    <row r="274" spans="1:4" x14ac:dyDescent="0.25">
      <c r="A274" t="s">
        <v>2553</v>
      </c>
      <c r="B274" s="20" t="s">
        <v>2547</v>
      </c>
      <c r="C274" s="197"/>
      <c r="D274" t="s">
        <v>2473</v>
      </c>
    </row>
    <row r="275" spans="1:4" x14ac:dyDescent="0.25">
      <c r="A275" t="s">
        <v>2522</v>
      </c>
      <c r="B275" s="182" t="s">
        <v>2523</v>
      </c>
      <c r="C275" s="186"/>
      <c r="D275" t="s">
        <v>92</v>
      </c>
    </row>
    <row r="276" spans="1:4" x14ac:dyDescent="0.25">
      <c r="A276" t="s">
        <v>2529</v>
      </c>
      <c r="B276" s="20" t="s">
        <v>2545</v>
      </c>
      <c r="C276" s="191"/>
      <c r="D276" t="s">
        <v>2593</v>
      </c>
    </row>
    <row r="277" spans="1:4" x14ac:dyDescent="0.25">
      <c r="A277" t="s">
        <v>2549</v>
      </c>
      <c r="B277" s="20" t="s">
        <v>2546</v>
      </c>
      <c r="C277" s="198"/>
      <c r="D277" t="s">
        <v>2594</v>
      </c>
    </row>
    <row r="278" spans="1:4" x14ac:dyDescent="0.25">
      <c r="A278" t="s">
        <v>2503</v>
      </c>
      <c r="B278" s="183" t="s">
        <v>2510</v>
      </c>
      <c r="C278" s="179"/>
      <c r="D278" t="s">
        <v>89</v>
      </c>
    </row>
    <row r="279" spans="1:4" x14ac:dyDescent="0.25">
      <c r="A279" t="s">
        <v>2531</v>
      </c>
      <c r="B279" s="20" t="s">
        <v>2527</v>
      </c>
      <c r="C279" s="192"/>
      <c r="D279" t="s">
        <v>88</v>
      </c>
    </row>
    <row r="280" spans="1:4" x14ac:dyDescent="0.25">
      <c r="A280" t="s">
        <v>2515</v>
      </c>
      <c r="B280" s="182" t="s">
        <v>2520</v>
      </c>
      <c r="C280" s="185"/>
      <c r="D280" t="s">
        <v>87</v>
      </c>
    </row>
    <row r="281" spans="1:4" x14ac:dyDescent="0.25">
      <c r="A281" t="s">
        <v>2539</v>
      </c>
      <c r="B281" s="20" t="s">
        <v>2538</v>
      </c>
      <c r="C281" s="194"/>
      <c r="D281" t="s">
        <v>444</v>
      </c>
    </row>
    <row r="282" spans="1:4" x14ac:dyDescent="0.25">
      <c r="A282" t="s">
        <v>2509</v>
      </c>
      <c r="B282" s="182" t="s">
        <v>2519</v>
      </c>
      <c r="C282" s="184"/>
      <c r="D282" t="s">
        <v>447</v>
      </c>
    </row>
    <row r="283" spans="1:4" x14ac:dyDescent="0.25">
      <c r="A283" t="s">
        <v>2597</v>
      </c>
      <c r="B283" s="182">
        <v>740000</v>
      </c>
      <c r="C283" s="201"/>
      <c r="D283" t="s">
        <v>2471</v>
      </c>
    </row>
    <row r="284" spans="1:4" x14ac:dyDescent="0.25">
      <c r="B284" s="182"/>
    </row>
    <row r="285" spans="1:4" x14ac:dyDescent="0.25">
      <c r="A285" s="42" t="s">
        <v>2604</v>
      </c>
      <c r="B285" s="180"/>
      <c r="C285" s="167"/>
      <c r="D285" s="167"/>
    </row>
    <row r="286" spans="1:4" x14ac:dyDescent="0.25">
      <c r="A286" s="9" t="s">
        <v>2504</v>
      </c>
      <c r="B286" s="181" t="s">
        <v>2505</v>
      </c>
      <c r="C286" s="9" t="s">
        <v>2506</v>
      </c>
      <c r="D286" s="9" t="s">
        <v>2507</v>
      </c>
    </row>
    <row r="287" spans="1:4" x14ac:dyDescent="0.25">
      <c r="A287" t="s">
        <v>2514</v>
      </c>
      <c r="B287" s="20" t="s">
        <v>2525</v>
      </c>
      <c r="C287" s="187"/>
      <c r="D287" s="407" t="s">
        <v>2474</v>
      </c>
    </row>
    <row r="288" spans="1:4" x14ac:dyDescent="0.25">
      <c r="A288" t="s">
        <v>2554</v>
      </c>
      <c r="B288" s="20" t="s">
        <v>2548</v>
      </c>
      <c r="C288" s="199"/>
      <c r="D288" t="s">
        <v>2586</v>
      </c>
    </row>
    <row r="289" spans="1:4" x14ac:dyDescent="0.25">
      <c r="A289" t="s">
        <v>2522</v>
      </c>
      <c r="B289" s="182" t="s">
        <v>2523</v>
      </c>
      <c r="C289" s="186"/>
      <c r="D289" t="s">
        <v>92</v>
      </c>
    </row>
    <row r="290" spans="1:4" x14ac:dyDescent="0.25">
      <c r="A290" t="s">
        <v>2516</v>
      </c>
      <c r="B290" s="182" t="s">
        <v>2517</v>
      </c>
      <c r="C290" s="178"/>
      <c r="D290" t="s">
        <v>2641</v>
      </c>
    </row>
    <row r="291" spans="1:4" x14ac:dyDescent="0.25">
      <c r="A291" t="s">
        <v>2515</v>
      </c>
      <c r="B291" s="182" t="s">
        <v>2520</v>
      </c>
      <c r="C291" s="185"/>
      <c r="D291" t="s">
        <v>87</v>
      </c>
    </row>
    <row r="292" spans="1:4" x14ac:dyDescent="0.25">
      <c r="A292" t="s">
        <v>2539</v>
      </c>
      <c r="B292" s="20" t="s">
        <v>2538</v>
      </c>
      <c r="C292" s="194"/>
      <c r="D292" t="s">
        <v>444</v>
      </c>
    </row>
    <row r="293" spans="1:4" x14ac:dyDescent="0.25">
      <c r="A293" t="s">
        <v>2509</v>
      </c>
      <c r="B293" s="182" t="s">
        <v>2519</v>
      </c>
      <c r="C293" s="184"/>
      <c r="D293" t="s">
        <v>447</v>
      </c>
    </row>
    <row r="294" spans="1:4" x14ac:dyDescent="0.25">
      <c r="A294" t="s">
        <v>2597</v>
      </c>
      <c r="B294" s="182">
        <v>740000</v>
      </c>
      <c r="C294" s="201"/>
      <c r="D294" t="s">
        <v>2471</v>
      </c>
    </row>
    <row r="295" spans="1:4" x14ac:dyDescent="0.25">
      <c r="A295" t="s">
        <v>2532</v>
      </c>
      <c r="B295" s="20" t="s">
        <v>2528</v>
      </c>
      <c r="C295" s="193"/>
      <c r="D295" t="s">
        <v>2587</v>
      </c>
    </row>
    <row r="296" spans="1:4" x14ac:dyDescent="0.25">
      <c r="A296" t="s">
        <v>2529</v>
      </c>
      <c r="B296" s="20" t="s">
        <v>2545</v>
      </c>
      <c r="C296" s="191"/>
      <c r="D296" t="s">
        <v>93</v>
      </c>
    </row>
    <row r="297" spans="1:4" x14ac:dyDescent="0.25">
      <c r="B297"/>
    </row>
    <row r="298" spans="1:4" x14ac:dyDescent="0.25">
      <c r="A298" s="42" t="s">
        <v>2755</v>
      </c>
      <c r="B298" s="180"/>
      <c r="C298" s="167"/>
      <c r="D298" s="167"/>
    </row>
    <row r="299" spans="1:4" x14ac:dyDescent="0.25">
      <c r="A299" s="9" t="s">
        <v>2504</v>
      </c>
      <c r="B299" s="181" t="s">
        <v>2505</v>
      </c>
      <c r="C299" s="9" t="s">
        <v>2506</v>
      </c>
      <c r="D299" s="9" t="s">
        <v>2507</v>
      </c>
    </row>
    <row r="300" spans="1:4" x14ac:dyDescent="0.25">
      <c r="A300" t="s">
        <v>2514</v>
      </c>
      <c r="B300" s="20" t="s">
        <v>2525</v>
      </c>
      <c r="C300" s="187"/>
      <c r="D300" t="s">
        <v>2474</v>
      </c>
    </row>
    <row r="301" spans="1:4" x14ac:dyDescent="0.25">
      <c r="A301" t="s">
        <v>2529</v>
      </c>
      <c r="B301" s="20" t="s">
        <v>2545</v>
      </c>
      <c r="C301" s="191"/>
      <c r="D301" t="s">
        <v>93</v>
      </c>
    </row>
    <row r="302" spans="1:4" x14ac:dyDescent="0.25">
      <c r="A302" t="s">
        <v>2532</v>
      </c>
      <c r="B302" s="20" t="s">
        <v>2528</v>
      </c>
      <c r="C302" s="193"/>
      <c r="D302" t="s">
        <v>2587</v>
      </c>
    </row>
    <row r="303" spans="1:4" x14ac:dyDescent="0.25">
      <c r="A303" t="s">
        <v>2553</v>
      </c>
      <c r="B303" s="20" t="s">
        <v>2547</v>
      </c>
      <c r="C303" s="197"/>
      <c r="D303" t="s">
        <v>2473</v>
      </c>
    </row>
    <row r="304" spans="1:4" x14ac:dyDescent="0.25">
      <c r="A304" t="s">
        <v>2554</v>
      </c>
      <c r="B304" s="20" t="s">
        <v>2548</v>
      </c>
      <c r="C304" s="199"/>
      <c r="D304" t="s">
        <v>2586</v>
      </c>
    </row>
    <row r="305" spans="1:4" x14ac:dyDescent="0.25">
      <c r="A305" t="s">
        <v>2522</v>
      </c>
      <c r="B305" s="182" t="s">
        <v>2523</v>
      </c>
      <c r="C305" s="186"/>
      <c r="D305" t="s">
        <v>92</v>
      </c>
    </row>
    <row r="306" spans="1:4" x14ac:dyDescent="0.25">
      <c r="A306" t="s">
        <v>2531</v>
      </c>
      <c r="B306" s="20" t="s">
        <v>2527</v>
      </c>
      <c r="C306" s="192"/>
      <c r="D306" t="s">
        <v>2643</v>
      </c>
    </row>
    <row r="307" spans="1:4" x14ac:dyDescent="0.25">
      <c r="A307" t="s">
        <v>2509</v>
      </c>
      <c r="B307" s="182" t="s">
        <v>2519</v>
      </c>
      <c r="C307" s="184"/>
      <c r="D307" t="s">
        <v>2642</v>
      </c>
    </row>
    <row r="308" spans="1:4" x14ac:dyDescent="0.25">
      <c r="A308" t="s">
        <v>2515</v>
      </c>
      <c r="B308" s="182" t="s">
        <v>2520</v>
      </c>
      <c r="C308" s="185"/>
      <c r="D308" t="s">
        <v>87</v>
      </c>
    </row>
    <row r="309" spans="1:4" x14ac:dyDescent="0.25">
      <c r="A309" t="s">
        <v>2516</v>
      </c>
      <c r="B309" s="182" t="s">
        <v>2517</v>
      </c>
      <c r="C309" s="178"/>
      <c r="D309" t="s">
        <v>2641</v>
      </c>
    </row>
    <row r="310" spans="1:4" x14ac:dyDescent="0.25">
      <c r="A310" t="s">
        <v>2597</v>
      </c>
      <c r="B310" s="182">
        <v>740000</v>
      </c>
      <c r="C310" s="201"/>
      <c r="D310" t="s">
        <v>2471</v>
      </c>
    </row>
  </sheetData>
  <pageMargins left="0.7" right="0.7" top="0.75" bottom="0.75" header="0.3" footer="0.3"/>
  <pageSetup orientation="portrait" r:id="rId1"/>
  <ignoredErrors>
    <ignoredError sqref="B161:B162 B165 B68 B140:B145 B33:B42 B60 B171:B181 B271:B273 B58 B208:B221 B275:B279 B47:B50 B96 B184 B191:B194 B196:B203 B19 B280:B282 B22:B23"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A3" sqref="A3"/>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72</v>
      </c>
      <c r="B1" s="42" t="s">
        <v>73</v>
      </c>
    </row>
    <row r="2" spans="1:3" ht="165" x14ac:dyDescent="0.25">
      <c r="A2" t="s">
        <v>137</v>
      </c>
      <c r="B2" t="s">
        <v>3450</v>
      </c>
      <c r="C2" s="171" t="s">
        <v>3451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s>
  <sheetFormatPr defaultColWidth="11.42578125" defaultRowHeight="15" x14ac:dyDescent="0.25"/>
  <cols>
    <col min="1" max="1" width="11.28515625" customWidth="1"/>
    <col min="2" max="2" width="25.140625" customWidth="1"/>
    <col min="3" max="3" width="10.28515625" style="396" customWidth="1"/>
    <col min="4" max="33" width="10.28515625" customWidth="1"/>
  </cols>
  <sheetData>
    <row r="1" spans="1:33" x14ac:dyDescent="0.25">
      <c r="A1" s="391" t="s">
        <v>3600</v>
      </c>
      <c r="B1" s="392" t="s">
        <v>3624</v>
      </c>
      <c r="C1" s="395" t="s">
        <v>2506</v>
      </c>
      <c r="D1" s="392">
        <v>2021</v>
      </c>
      <c r="E1" s="392">
        <v>2022</v>
      </c>
      <c r="F1" s="392">
        <v>2023</v>
      </c>
      <c r="G1" s="392">
        <v>2024</v>
      </c>
      <c r="H1" s="392">
        <v>2025</v>
      </c>
      <c r="I1" s="392">
        <v>2026</v>
      </c>
      <c r="J1" s="392">
        <v>2027</v>
      </c>
      <c r="K1" s="392">
        <v>2028</v>
      </c>
      <c r="L1" s="392">
        <v>2029</v>
      </c>
      <c r="M1" s="392">
        <v>2030</v>
      </c>
      <c r="N1" s="392">
        <v>2031</v>
      </c>
      <c r="O1" s="392">
        <v>2032</v>
      </c>
      <c r="P1" s="392">
        <v>2033</v>
      </c>
      <c r="Q1" s="392">
        <v>2034</v>
      </c>
      <c r="R1" s="392">
        <v>2035</v>
      </c>
      <c r="S1" s="392">
        <v>2036</v>
      </c>
      <c r="T1" s="392">
        <v>2037</v>
      </c>
      <c r="U1" s="392">
        <v>2038</v>
      </c>
      <c r="V1" s="392">
        <v>2039</v>
      </c>
      <c r="W1" s="392">
        <v>2040</v>
      </c>
      <c r="X1" s="392">
        <v>2041</v>
      </c>
      <c r="Y1" s="392">
        <v>2042</v>
      </c>
      <c r="Z1" s="392">
        <v>2043</v>
      </c>
      <c r="AA1" s="392">
        <v>2044</v>
      </c>
      <c r="AB1" s="392">
        <v>2045</v>
      </c>
      <c r="AC1" s="392">
        <v>2046</v>
      </c>
      <c r="AD1" s="392">
        <v>2047</v>
      </c>
      <c r="AE1" s="392">
        <v>2048</v>
      </c>
      <c r="AF1" s="392">
        <v>2049</v>
      </c>
      <c r="AG1" s="392">
        <v>2050</v>
      </c>
    </row>
    <row r="2" spans="1:33"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3" sqref="A3"/>
    </sheetView>
  </sheetViews>
  <sheetFormatPr defaultColWidth="11.42578125" defaultRowHeight="15" x14ac:dyDescent="0.25"/>
  <cols>
    <col min="1" max="1" width="15.7109375" customWidth="1"/>
    <col min="2" max="2" width="39" customWidth="1"/>
    <col min="3" max="3" width="13.28515625" customWidth="1"/>
    <col min="4" max="4" width="17.140625" customWidth="1"/>
    <col min="5" max="5" width="16.28515625" customWidth="1"/>
    <col min="6" max="6" width="39.140625" customWidth="1"/>
  </cols>
  <sheetData>
    <row r="1" spans="1:6" ht="30" x14ac:dyDescent="0.25">
      <c r="A1" s="391" t="s">
        <v>3600</v>
      </c>
      <c r="B1" s="392" t="s">
        <v>3601</v>
      </c>
      <c r="C1" s="392" t="s">
        <v>3602</v>
      </c>
      <c r="D1" s="392" t="s">
        <v>3603</v>
      </c>
      <c r="E1" s="392" t="s">
        <v>3604</v>
      </c>
      <c r="F1" s="393" t="s">
        <v>3605</v>
      </c>
    </row>
    <row r="2" spans="1:6" x14ac:dyDescent="0.25">
      <c r="A2" s="1"/>
      <c r="B2" s="1"/>
      <c r="C2" s="1"/>
      <c r="D2" s="5"/>
      <c r="E2" s="5"/>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tabSelected="1" topLeftCell="A692" zoomScale="90" zoomScaleNormal="90" workbookViewId="0">
      <selection activeCell="B700" sqref="B700"/>
    </sheetView>
  </sheetViews>
  <sheetFormatPr defaultColWidth="8.85546875" defaultRowHeight="15" x14ac:dyDescent="0.25"/>
  <cols>
    <col min="1" max="1" width="49.42578125" style="1" customWidth="1"/>
    <col min="2" max="2" width="12.71093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12"/>
      <c r="C1" s="212"/>
      <c r="D1" s="212"/>
      <c r="E1" s="3"/>
    </row>
    <row r="2" spans="1:8" ht="15.75" x14ac:dyDescent="0.25">
      <c r="A2" s="409" t="s">
        <v>477</v>
      </c>
      <c r="B2" s="409"/>
      <c r="C2" s="231"/>
      <c r="D2" s="231"/>
      <c r="E2" s="231"/>
      <c r="F2" s="231"/>
      <c r="G2" s="231"/>
      <c r="H2" s="57" t="s">
        <v>478</v>
      </c>
    </row>
    <row r="3" spans="1:8" ht="15.75" x14ac:dyDescent="0.25">
      <c r="A3" s="231" t="s">
        <v>723</v>
      </c>
      <c r="B3" s="231"/>
      <c r="C3" s="231"/>
      <c r="D3" s="231"/>
      <c r="E3" s="231"/>
      <c r="F3" s="231"/>
      <c r="G3" s="231"/>
      <c r="H3" s="57" t="s">
        <v>3427</v>
      </c>
    </row>
    <row r="4" spans="1:8" x14ac:dyDescent="0.25">
      <c r="A4" s="232"/>
      <c r="B4" s="232"/>
      <c r="C4" s="232"/>
      <c r="D4" s="232"/>
      <c r="E4" s="232"/>
      <c r="F4" s="232"/>
      <c r="G4" s="57"/>
      <c r="H4" s="57" t="s">
        <v>479</v>
      </c>
    </row>
    <row r="5" spans="1:8" x14ac:dyDescent="0.25">
      <c r="A5" s="232"/>
      <c r="B5" s="232"/>
      <c r="C5" s="232"/>
      <c r="D5" s="232"/>
      <c r="E5" s="232"/>
      <c r="F5" s="232"/>
      <c r="G5" s="232"/>
      <c r="H5" s="232"/>
    </row>
    <row r="6" spans="1:8" x14ac:dyDescent="0.25">
      <c r="A6" s="410" t="s">
        <v>480</v>
      </c>
      <c r="B6" s="289" t="s">
        <v>481</v>
      </c>
      <c r="C6" s="289" t="s">
        <v>482</v>
      </c>
      <c r="D6" s="289" t="s">
        <v>483</v>
      </c>
      <c r="E6" s="289" t="s">
        <v>484</v>
      </c>
      <c r="F6" s="289" t="s">
        <v>485</v>
      </c>
      <c r="G6" s="289" t="s">
        <v>486</v>
      </c>
      <c r="H6" s="289" t="s">
        <v>487</v>
      </c>
    </row>
    <row r="7" spans="1:8" ht="15.75" thickBot="1" x14ac:dyDescent="0.3">
      <c r="A7" s="411"/>
      <c r="B7" s="412" t="s">
        <v>488</v>
      </c>
      <c r="C7" s="413"/>
      <c r="D7" s="413"/>
      <c r="E7" s="413"/>
      <c r="F7" s="413"/>
      <c r="G7" s="413"/>
      <c r="H7" s="414"/>
    </row>
    <row r="8" spans="1:8" ht="15.75" thickTop="1" x14ac:dyDescent="0.25">
      <c r="A8" s="290" t="s">
        <v>489</v>
      </c>
      <c r="B8" s="291">
        <v>5935361.2048846316</v>
      </c>
      <c r="C8" s="291">
        <v>12331.35516763239</v>
      </c>
      <c r="D8" s="291">
        <v>255.41813011993699</v>
      </c>
      <c r="E8" s="291">
        <v>16601.736021301014</v>
      </c>
      <c r="F8" s="291">
        <v>64984.511311122282</v>
      </c>
      <c r="G8" s="291">
        <v>7345.4310275876951</v>
      </c>
      <c r="H8" s="291">
        <v>12364.091048770906</v>
      </c>
    </row>
    <row r="9" spans="1:8" x14ac:dyDescent="0.25">
      <c r="A9" s="292" t="s">
        <v>490</v>
      </c>
      <c r="B9" s="291">
        <v>5894246.3300794624</v>
      </c>
      <c r="C9" s="291">
        <v>474.07141405218891</v>
      </c>
      <c r="D9" s="291">
        <v>255.32625983564566</v>
      </c>
      <c r="E9" s="291">
        <v>16392.841699559172</v>
      </c>
      <c r="F9" s="291">
        <v>64879.039506516223</v>
      </c>
      <c r="G9" s="291">
        <v>6989.45692056402</v>
      </c>
      <c r="H9" s="291">
        <v>12298.979757295287</v>
      </c>
    </row>
    <row r="10" spans="1:8" x14ac:dyDescent="0.25">
      <c r="A10" s="293" t="s">
        <v>491</v>
      </c>
      <c r="B10" s="291">
        <v>2540094.5307982946</v>
      </c>
      <c r="C10" s="291">
        <v>37.656050059714502</v>
      </c>
      <c r="D10" s="291">
        <v>101.32241952488565</v>
      </c>
      <c r="E10" s="291">
        <v>3546.3367720364731</v>
      </c>
      <c r="F10" s="291">
        <v>794.66570664443441</v>
      </c>
      <c r="G10" s="291">
        <v>197.74109991391563</v>
      </c>
      <c r="H10" s="291">
        <v>9554.1507363760447</v>
      </c>
    </row>
    <row r="11" spans="1:8" x14ac:dyDescent="0.25">
      <c r="A11" s="294" t="s">
        <v>492</v>
      </c>
      <c r="B11" s="291">
        <v>2400057.4856406469</v>
      </c>
      <c r="C11" s="291">
        <v>34.823479419570468</v>
      </c>
      <c r="D11" s="291">
        <v>100.86538569159121</v>
      </c>
      <c r="E11" s="295">
        <v>3434.4290996747714</v>
      </c>
      <c r="F11" s="295">
        <v>581.83867235005948</v>
      </c>
      <c r="G11" s="295">
        <v>43.701395420034459</v>
      </c>
      <c r="H11" s="295">
        <v>9439.0432746602182</v>
      </c>
    </row>
    <row r="12" spans="1:8" x14ac:dyDescent="0.25">
      <c r="A12" s="294" t="s">
        <v>493</v>
      </c>
      <c r="B12" s="291">
        <v>94253.062008181601</v>
      </c>
      <c r="C12" s="291">
        <v>1.46027512323081</v>
      </c>
      <c r="D12" s="291">
        <v>0.26593010197444999</v>
      </c>
      <c r="E12" s="295">
        <v>111.9076723617019</v>
      </c>
      <c r="F12" s="295">
        <v>212.82703429437495</v>
      </c>
      <c r="G12" s="295">
        <v>154.03970449388117</v>
      </c>
      <c r="H12" s="295">
        <v>115.10746171582606</v>
      </c>
    </row>
    <row r="13" spans="1:8" x14ac:dyDescent="0.25">
      <c r="A13" s="294" t="s">
        <v>495</v>
      </c>
      <c r="B13" s="291">
        <v>45783.983149465937</v>
      </c>
      <c r="C13" s="291">
        <v>1.37229551691322</v>
      </c>
      <c r="D13" s="291">
        <v>0.19110373131999001</v>
      </c>
      <c r="E13" s="295" t="s">
        <v>496</v>
      </c>
      <c r="F13" s="295" t="s">
        <v>496</v>
      </c>
      <c r="G13" s="295" t="s">
        <v>496</v>
      </c>
      <c r="H13" s="295" t="s">
        <v>496</v>
      </c>
    </row>
    <row r="14" spans="1:8" x14ac:dyDescent="0.25">
      <c r="A14" s="296" t="s">
        <v>497</v>
      </c>
      <c r="B14" s="291">
        <v>711227.52746031829</v>
      </c>
      <c r="C14" s="291">
        <v>66.667583289309391</v>
      </c>
      <c r="D14" s="291">
        <v>9.3662220369597406</v>
      </c>
      <c r="E14" s="291">
        <v>1515.3616266750041</v>
      </c>
      <c r="F14" s="291">
        <v>1044.8381666781022</v>
      </c>
      <c r="G14" s="291">
        <v>120.23413844415886</v>
      </c>
      <c r="H14" s="291">
        <v>1574.0871153371656</v>
      </c>
    </row>
    <row r="15" spans="1:8" x14ac:dyDescent="0.25">
      <c r="A15" s="294" t="s">
        <v>498</v>
      </c>
      <c r="B15" s="291">
        <v>14978.572362155866</v>
      </c>
      <c r="C15" s="291">
        <v>0.23835740177008</v>
      </c>
      <c r="D15" s="291">
        <v>5.0815371746130003E-2</v>
      </c>
      <c r="E15" s="295" t="s">
        <v>496</v>
      </c>
      <c r="F15" s="295" t="s">
        <v>496</v>
      </c>
      <c r="G15" s="295" t="s">
        <v>496</v>
      </c>
      <c r="H15" s="295" t="s">
        <v>496</v>
      </c>
    </row>
    <row r="16" spans="1:8" x14ac:dyDescent="0.25">
      <c r="A16" s="294" t="s">
        <v>499</v>
      </c>
      <c r="B16" s="291">
        <v>5057.2748720254449</v>
      </c>
      <c r="C16" s="291">
        <v>0.25516926930848</v>
      </c>
      <c r="D16" s="291">
        <v>3.8004328346280002E-2</v>
      </c>
      <c r="E16" s="295" t="s">
        <v>496</v>
      </c>
      <c r="F16" s="295" t="s">
        <v>496</v>
      </c>
      <c r="G16" s="295" t="s">
        <v>496</v>
      </c>
      <c r="H16" s="295" t="s">
        <v>496</v>
      </c>
    </row>
    <row r="17" spans="1:8" x14ac:dyDescent="0.25">
      <c r="A17" s="294" t="s">
        <v>500</v>
      </c>
      <c r="B17" s="291">
        <v>67269.957813983725</v>
      </c>
      <c r="C17" s="291">
        <v>1.85662734289529</v>
      </c>
      <c r="D17" s="291">
        <v>0.29458061428601001</v>
      </c>
      <c r="E17" s="295" t="s">
        <v>496</v>
      </c>
      <c r="F17" s="295" t="s">
        <v>496</v>
      </c>
      <c r="G17" s="295" t="s">
        <v>496</v>
      </c>
      <c r="H17" s="295" t="s">
        <v>496</v>
      </c>
    </row>
    <row r="18" spans="1:8" x14ac:dyDescent="0.25">
      <c r="A18" s="294" t="s">
        <v>501</v>
      </c>
      <c r="B18" s="291">
        <v>45070.579654334128</v>
      </c>
      <c r="C18" s="291">
        <v>3.0283235843053902</v>
      </c>
      <c r="D18" s="291">
        <v>0.52839203850651995</v>
      </c>
      <c r="E18" s="295" t="s">
        <v>496</v>
      </c>
      <c r="F18" s="295" t="s">
        <v>496</v>
      </c>
      <c r="G18" s="295" t="s">
        <v>496</v>
      </c>
      <c r="H18" s="295" t="s">
        <v>496</v>
      </c>
    </row>
    <row r="19" spans="1:8" x14ac:dyDescent="0.25">
      <c r="A19" s="294" t="s">
        <v>502</v>
      </c>
      <c r="B19" s="291">
        <v>46357.764227420019</v>
      </c>
      <c r="C19" s="291">
        <v>3.41919088614388</v>
      </c>
      <c r="D19" s="291">
        <v>0.52415757023381004</v>
      </c>
      <c r="E19" s="295" t="s">
        <v>496</v>
      </c>
      <c r="F19" s="295" t="s">
        <v>496</v>
      </c>
      <c r="G19" s="295" t="s">
        <v>496</v>
      </c>
      <c r="H19" s="295" t="s">
        <v>496</v>
      </c>
    </row>
    <row r="20" spans="1:8" x14ac:dyDescent="0.25">
      <c r="A20" s="294" t="s">
        <v>503</v>
      </c>
      <c r="B20" s="291">
        <v>36302.033778109631</v>
      </c>
      <c r="C20" s="291">
        <v>2.4295382607283198</v>
      </c>
      <c r="D20" s="291">
        <v>0.36471649490099001</v>
      </c>
      <c r="E20" s="295" t="s">
        <v>496</v>
      </c>
      <c r="F20" s="295" t="s">
        <v>496</v>
      </c>
      <c r="G20" s="295" t="s">
        <v>496</v>
      </c>
      <c r="H20" s="295" t="s">
        <v>496</v>
      </c>
    </row>
    <row r="21" spans="1:8" x14ac:dyDescent="0.25">
      <c r="A21" s="297" t="s">
        <v>3418</v>
      </c>
      <c r="B21" s="291">
        <v>496191.34475228947</v>
      </c>
      <c r="C21" s="291">
        <v>55.440376544157949</v>
      </c>
      <c r="D21" s="291">
        <v>7.5655556189400004</v>
      </c>
      <c r="E21" s="295">
        <v>1515.3616266750041</v>
      </c>
      <c r="F21" s="295">
        <v>1044.8381666781022</v>
      </c>
      <c r="G21" s="295">
        <v>120.23413844415886</v>
      </c>
      <c r="H21" s="295">
        <v>1574.0871153371656</v>
      </c>
    </row>
    <row r="22" spans="1:8" x14ac:dyDescent="0.25">
      <c r="A22" s="296" t="s">
        <v>504</v>
      </c>
      <c r="B22" s="291">
        <v>1830505.6056332772</v>
      </c>
      <c r="C22" s="291">
        <v>160.28001983992968</v>
      </c>
      <c r="D22" s="291">
        <v>137.97722792661688</v>
      </c>
      <c r="E22" s="291">
        <v>10294.630529494003</v>
      </c>
      <c r="F22" s="291">
        <v>58614.797849139453</v>
      </c>
      <c r="G22" s="291">
        <v>5723.5980346497408</v>
      </c>
      <c r="H22" s="291">
        <v>618.63077203361581</v>
      </c>
    </row>
    <row r="23" spans="1:8" x14ac:dyDescent="0.25">
      <c r="A23" s="294" t="s">
        <v>505</v>
      </c>
      <c r="B23" s="291">
        <v>170713.69036083069</v>
      </c>
      <c r="C23" s="291">
        <v>2.0771880881664</v>
      </c>
      <c r="D23" s="291">
        <v>5.2617344805668296</v>
      </c>
      <c r="E23" s="295">
        <v>40.811932568812999</v>
      </c>
      <c r="F23" s="295">
        <v>207.24271059858924</v>
      </c>
      <c r="G23" s="295">
        <v>20.972782413204179</v>
      </c>
      <c r="H23" s="295">
        <v>7.9863698191035404</v>
      </c>
    </row>
    <row r="24" spans="1:8" x14ac:dyDescent="0.25">
      <c r="A24" s="294" t="s">
        <v>506</v>
      </c>
      <c r="B24" s="291">
        <v>1543321.2347240872</v>
      </c>
      <c r="C24" s="291">
        <v>95.722338182973743</v>
      </c>
      <c r="D24" s="291">
        <v>108.02744179292077</v>
      </c>
      <c r="E24" s="295">
        <v>7564.0039070770663</v>
      </c>
      <c r="F24" s="295">
        <v>38851.488066997837</v>
      </c>
      <c r="G24" s="295">
        <v>3123.5335919534832</v>
      </c>
      <c r="H24" s="295">
        <v>155.69594484037685</v>
      </c>
    </row>
    <row r="25" spans="1:8" x14ac:dyDescent="0.25">
      <c r="A25" s="294" t="s">
        <v>507</v>
      </c>
      <c r="B25" s="291">
        <v>46055.912865416671</v>
      </c>
      <c r="C25" s="291">
        <v>3.5201759225</v>
      </c>
      <c r="D25" s="291">
        <v>1.1264562951999999</v>
      </c>
      <c r="E25" s="295">
        <v>504.06504986911966</v>
      </c>
      <c r="F25" s="295">
        <v>79.731529299018959</v>
      </c>
      <c r="G25" s="295">
        <v>38.628071801561717</v>
      </c>
      <c r="H25" s="295">
        <v>59.549191471448658</v>
      </c>
    </row>
    <row r="26" spans="1:8" x14ac:dyDescent="0.25">
      <c r="A26" s="294" t="s">
        <v>508</v>
      </c>
      <c r="B26" s="291">
        <v>38024.136018348065</v>
      </c>
      <c r="C26" s="291">
        <v>16.174692701572852</v>
      </c>
      <c r="D26" s="291">
        <v>0.73291389331867995</v>
      </c>
      <c r="E26" s="295">
        <v>564.78322714808633</v>
      </c>
      <c r="F26" s="295">
        <v>1625.6330147817607</v>
      </c>
      <c r="G26" s="295">
        <v>797.79002364334588</v>
      </c>
      <c r="H26" s="295">
        <v>168.62503652225149</v>
      </c>
    </row>
    <row r="27" spans="1:8" ht="15.75" thickBot="1" x14ac:dyDescent="0.3">
      <c r="A27" s="294" t="s">
        <v>509</v>
      </c>
      <c r="B27" s="291">
        <v>32390.631664594664</v>
      </c>
      <c r="C27" s="291">
        <v>42.78562494471668</v>
      </c>
      <c r="D27" s="291">
        <v>22.8286814646106</v>
      </c>
      <c r="E27" s="295">
        <v>1620.9664128309175</v>
      </c>
      <c r="F27" s="295">
        <v>17850.702527462247</v>
      </c>
      <c r="G27" s="295">
        <v>1742.6735648381459</v>
      </c>
      <c r="H27" s="295">
        <v>226.77422938043526</v>
      </c>
    </row>
    <row r="28" spans="1:8" ht="15.75" thickTop="1" x14ac:dyDescent="0.25">
      <c r="A28" s="298" t="s">
        <v>510</v>
      </c>
      <c r="B28" s="291">
        <v>586285.4434706961</v>
      </c>
      <c r="C28" s="291">
        <v>205.34813377159594</v>
      </c>
      <c r="D28" s="291">
        <v>4.1002059296026401</v>
      </c>
      <c r="E28" s="291">
        <v>908.26373148672474</v>
      </c>
      <c r="F28" s="291">
        <v>3021.6454373622296</v>
      </c>
      <c r="G28" s="291">
        <v>706.60096524296171</v>
      </c>
      <c r="H28" s="291">
        <v>527.57585355553215</v>
      </c>
    </row>
    <row r="29" spans="1:8" x14ac:dyDescent="0.25">
      <c r="A29" s="294" t="s">
        <v>511</v>
      </c>
      <c r="B29" s="291">
        <v>227130.02298152124</v>
      </c>
      <c r="C29" s="291">
        <v>43.127051806573057</v>
      </c>
      <c r="D29" s="291">
        <v>1.1609958550767701</v>
      </c>
      <c r="E29" s="295">
        <v>490.17465541376572</v>
      </c>
      <c r="F29" s="295">
        <v>165.62633435353089</v>
      </c>
      <c r="G29" s="295">
        <v>188.2774974794886</v>
      </c>
      <c r="H29" s="295">
        <v>369.97578072655716</v>
      </c>
    </row>
    <row r="30" spans="1:8" x14ac:dyDescent="0.25">
      <c r="A30" s="294" t="s">
        <v>512</v>
      </c>
      <c r="B30" s="291">
        <v>358897.51072027022</v>
      </c>
      <c r="C30" s="291">
        <v>162.20807697148538</v>
      </c>
      <c r="D30" s="291">
        <v>2.9373316220328798</v>
      </c>
      <c r="E30" s="295">
        <v>418.08907607295907</v>
      </c>
      <c r="F30" s="295">
        <v>2856.0191030086989</v>
      </c>
      <c r="G30" s="295">
        <v>518.3234677634731</v>
      </c>
      <c r="H30" s="295">
        <v>157.60007282897502</v>
      </c>
    </row>
    <row r="31" spans="1:8" x14ac:dyDescent="0.25">
      <c r="A31" s="294" t="s">
        <v>513</v>
      </c>
      <c r="B31" s="291">
        <v>257.90976890459297</v>
      </c>
      <c r="C31" s="291">
        <v>1.300499353749E-2</v>
      </c>
      <c r="D31" s="291">
        <v>1.87845249299E-3</v>
      </c>
      <c r="E31" s="295" t="s">
        <v>496</v>
      </c>
      <c r="F31" s="295" t="s">
        <v>496</v>
      </c>
      <c r="G31" s="295" t="s">
        <v>496</v>
      </c>
      <c r="H31" s="295" t="s">
        <v>496</v>
      </c>
    </row>
    <row r="32" spans="1:8" x14ac:dyDescent="0.25">
      <c r="A32" s="296" t="s">
        <v>3419</v>
      </c>
      <c r="B32" s="291">
        <v>226133.22271687587</v>
      </c>
      <c r="C32" s="291">
        <v>4.1196270916394298</v>
      </c>
      <c r="D32" s="291">
        <v>2.5601844175807398</v>
      </c>
      <c r="E32" s="291">
        <v>128.24903986696705</v>
      </c>
      <c r="F32" s="291">
        <v>1403.092346692003</v>
      </c>
      <c r="G32" s="291">
        <v>241.28268231324299</v>
      </c>
      <c r="H32" s="291">
        <v>24.535279992929539</v>
      </c>
    </row>
    <row r="33" spans="1:8" x14ac:dyDescent="0.25">
      <c r="A33" s="294" t="s">
        <v>514</v>
      </c>
      <c r="B33" s="291">
        <v>198086.65897924625</v>
      </c>
      <c r="C33" s="291">
        <v>3.6313603130694299</v>
      </c>
      <c r="D33" s="291">
        <v>1.7785747835824199</v>
      </c>
      <c r="E33" s="295">
        <v>128.24903986696705</v>
      </c>
      <c r="F33" s="295">
        <v>1403.092346692003</v>
      </c>
      <c r="G33" s="295">
        <v>241.28268231324299</v>
      </c>
      <c r="H33" s="295">
        <v>24.535279992929539</v>
      </c>
    </row>
    <row r="34" spans="1:8" x14ac:dyDescent="0.25">
      <c r="A34" s="294" t="s">
        <v>515</v>
      </c>
      <c r="B34" s="291">
        <v>28046.5637376296</v>
      </c>
      <c r="C34" s="291">
        <v>0.48826677857</v>
      </c>
      <c r="D34" s="291">
        <v>0.78160963399831995</v>
      </c>
      <c r="E34" s="295" t="s">
        <v>494</v>
      </c>
      <c r="F34" s="295" t="s">
        <v>494</v>
      </c>
      <c r="G34" s="295" t="s">
        <v>494</v>
      </c>
      <c r="H34" s="295" t="s">
        <v>494</v>
      </c>
    </row>
    <row r="35" spans="1:8" x14ac:dyDescent="0.25">
      <c r="A35" s="299" t="s">
        <v>516</v>
      </c>
      <c r="B35" s="291">
        <v>41114.874805169908</v>
      </c>
      <c r="C35" s="291">
        <v>11857.283753580201</v>
      </c>
      <c r="D35" s="291">
        <v>9.1870284291349996E-2</v>
      </c>
      <c r="E35" s="291">
        <v>208.89432174184356</v>
      </c>
      <c r="F35" s="291">
        <v>105.47180460606191</v>
      </c>
      <c r="G35" s="291">
        <v>355.97410702367489</v>
      </c>
      <c r="H35" s="291">
        <v>65.111291475618813</v>
      </c>
    </row>
    <row r="36" spans="1:8" x14ac:dyDescent="0.25">
      <c r="A36" s="296" t="s">
        <v>518</v>
      </c>
      <c r="B36" s="291">
        <v>4169.7141237857086</v>
      </c>
      <c r="C36" s="291">
        <v>2828.7193306107342</v>
      </c>
      <c r="D36" s="291" t="s">
        <v>494</v>
      </c>
      <c r="E36" s="291" t="s">
        <v>494</v>
      </c>
      <c r="F36" s="291" t="s">
        <v>494</v>
      </c>
      <c r="G36" s="291" t="s">
        <v>494</v>
      </c>
      <c r="H36" s="291" t="s">
        <v>494</v>
      </c>
    </row>
    <row r="37" spans="1:8" x14ac:dyDescent="0.25">
      <c r="A37" s="294" t="s">
        <v>520</v>
      </c>
      <c r="B37" s="291">
        <v>4169.7141237857086</v>
      </c>
      <c r="C37" s="291">
        <v>2828.7193306107342</v>
      </c>
      <c r="D37" s="295" t="s">
        <v>494</v>
      </c>
      <c r="E37" s="295" t="s">
        <v>494</v>
      </c>
      <c r="F37" s="295" t="s">
        <v>494</v>
      </c>
      <c r="G37" s="295" t="s">
        <v>494</v>
      </c>
      <c r="H37" s="300" t="s">
        <v>189</v>
      </c>
    </row>
    <row r="38" spans="1:8" x14ac:dyDescent="0.25">
      <c r="A38" s="294" t="s">
        <v>522</v>
      </c>
      <c r="B38" s="291" t="s">
        <v>496</v>
      </c>
      <c r="C38" s="291" t="s">
        <v>496</v>
      </c>
      <c r="D38" s="295" t="s">
        <v>494</v>
      </c>
      <c r="E38" s="295" t="s">
        <v>494</v>
      </c>
      <c r="F38" s="295" t="s">
        <v>494</v>
      </c>
      <c r="G38" s="295" t="s">
        <v>494</v>
      </c>
      <c r="H38" s="295" t="s">
        <v>494</v>
      </c>
    </row>
    <row r="39" spans="1:8" x14ac:dyDescent="0.25">
      <c r="A39" s="294" t="s">
        <v>3420</v>
      </c>
      <c r="B39" s="291" t="s">
        <v>523</v>
      </c>
      <c r="C39" s="291" t="s">
        <v>523</v>
      </c>
      <c r="D39" s="295" t="s">
        <v>494</v>
      </c>
      <c r="E39" s="291" t="s">
        <v>494</v>
      </c>
      <c r="F39" s="291" t="s">
        <v>494</v>
      </c>
      <c r="G39" s="291" t="s">
        <v>494</v>
      </c>
      <c r="H39" s="291" t="s">
        <v>494</v>
      </c>
    </row>
    <row r="40" spans="1:8" x14ac:dyDescent="0.25">
      <c r="A40" s="296" t="s">
        <v>524</v>
      </c>
      <c r="B40" s="291">
        <v>36945.160681384201</v>
      </c>
      <c r="C40" s="291">
        <v>9028.5644229694662</v>
      </c>
      <c r="D40" s="291">
        <v>9.1870284291349996E-2</v>
      </c>
      <c r="E40" s="291">
        <v>208.89432174184356</v>
      </c>
      <c r="F40" s="291">
        <v>105.47180460606191</v>
      </c>
      <c r="G40" s="291">
        <v>355.97410702367489</v>
      </c>
      <c r="H40" s="291">
        <v>65.111291475618813</v>
      </c>
    </row>
    <row r="41" spans="1:8" x14ac:dyDescent="0.25">
      <c r="A41" s="294" t="s">
        <v>525</v>
      </c>
      <c r="B41" s="291">
        <v>11998.333379274758</v>
      </c>
      <c r="C41" s="291">
        <v>1877.1194091493796</v>
      </c>
      <c r="D41" s="291">
        <v>3.5424165198090003E-2</v>
      </c>
      <c r="E41" s="295" t="s">
        <v>496</v>
      </c>
      <c r="F41" s="295" t="s">
        <v>496</v>
      </c>
      <c r="G41" s="295" t="s">
        <v>496</v>
      </c>
      <c r="H41" s="295" t="s">
        <v>496</v>
      </c>
    </row>
    <row r="42" spans="1:8" x14ac:dyDescent="0.25">
      <c r="A42" s="294" t="s">
        <v>526</v>
      </c>
      <c r="B42" s="291">
        <v>24946.827302109439</v>
      </c>
      <c r="C42" s="291">
        <v>7151.4450138200864</v>
      </c>
      <c r="D42" s="300" t="s">
        <v>189</v>
      </c>
      <c r="E42" s="300" t="s">
        <v>189</v>
      </c>
      <c r="F42" s="300" t="s">
        <v>189</v>
      </c>
      <c r="G42" s="295" t="s">
        <v>496</v>
      </c>
      <c r="H42" s="295" t="s">
        <v>496</v>
      </c>
    </row>
    <row r="43" spans="1:8" x14ac:dyDescent="0.25">
      <c r="A43" s="294" t="s">
        <v>527</v>
      </c>
      <c r="B43" s="291" t="s">
        <v>496</v>
      </c>
      <c r="C43" s="291" t="s">
        <v>496</v>
      </c>
      <c r="D43" s="291">
        <v>5.644611909326E-2</v>
      </c>
      <c r="E43" s="295" t="s">
        <v>496</v>
      </c>
      <c r="F43" s="295" t="s">
        <v>496</v>
      </c>
      <c r="G43" s="295" t="s">
        <v>496</v>
      </c>
      <c r="H43" s="295" t="s">
        <v>496</v>
      </c>
    </row>
    <row r="44" spans="1:8" x14ac:dyDescent="0.25">
      <c r="A44" s="294" t="s">
        <v>3421</v>
      </c>
      <c r="B44" s="291" t="s">
        <v>523</v>
      </c>
      <c r="C44" s="291" t="s">
        <v>523</v>
      </c>
      <c r="D44" s="291" t="s">
        <v>523</v>
      </c>
      <c r="E44" s="291">
        <v>208.89432174184356</v>
      </c>
      <c r="F44" s="291">
        <v>105.47180460606191</v>
      </c>
      <c r="G44" s="291">
        <v>355.97410702367489</v>
      </c>
      <c r="H44" s="291">
        <v>65.111291475618813</v>
      </c>
    </row>
    <row r="45" spans="1:8" x14ac:dyDescent="0.25">
      <c r="A45" s="301" t="s">
        <v>3422</v>
      </c>
      <c r="B45" s="291" t="s">
        <v>528</v>
      </c>
      <c r="C45" s="300" t="s">
        <v>189</v>
      </c>
      <c r="D45" s="300" t="s">
        <v>189</v>
      </c>
      <c r="E45" s="300" t="s">
        <v>189</v>
      </c>
      <c r="F45" s="300" t="s">
        <v>189</v>
      </c>
      <c r="G45" s="300" t="s">
        <v>189</v>
      </c>
      <c r="H45" s="300" t="s">
        <v>189</v>
      </c>
    </row>
    <row r="46" spans="1:8" x14ac:dyDescent="0.25">
      <c r="A46" s="296" t="s">
        <v>3423</v>
      </c>
      <c r="B46" s="291" t="s">
        <v>496</v>
      </c>
      <c r="C46" s="300" t="s">
        <v>189</v>
      </c>
      <c r="D46" s="300" t="s">
        <v>189</v>
      </c>
      <c r="E46" s="300" t="s">
        <v>189</v>
      </c>
      <c r="F46" s="300" t="s">
        <v>189</v>
      </c>
      <c r="G46" s="300" t="s">
        <v>189</v>
      </c>
      <c r="H46" s="300" t="s">
        <v>189</v>
      </c>
    </row>
    <row r="47" spans="1:8" x14ac:dyDescent="0.25">
      <c r="A47" s="296" t="s">
        <v>529</v>
      </c>
      <c r="B47" s="291" t="s">
        <v>496</v>
      </c>
      <c r="C47" s="300" t="s">
        <v>189</v>
      </c>
      <c r="D47" s="300" t="s">
        <v>189</v>
      </c>
      <c r="E47" s="300" t="s">
        <v>189</v>
      </c>
      <c r="F47" s="300" t="s">
        <v>189</v>
      </c>
      <c r="G47" s="300" t="s">
        <v>189</v>
      </c>
      <c r="H47" s="300" t="s">
        <v>189</v>
      </c>
    </row>
    <row r="48" spans="1:8" x14ac:dyDescent="0.25">
      <c r="A48" s="293" t="s">
        <v>530</v>
      </c>
      <c r="B48" s="291" t="s">
        <v>528</v>
      </c>
      <c r="C48" s="300" t="s">
        <v>189</v>
      </c>
      <c r="D48" s="300" t="s">
        <v>189</v>
      </c>
      <c r="E48" s="300" t="s">
        <v>189</v>
      </c>
      <c r="F48" s="300" t="s">
        <v>189</v>
      </c>
      <c r="G48" s="300" t="s">
        <v>189</v>
      </c>
      <c r="H48" s="300" t="s">
        <v>189</v>
      </c>
    </row>
    <row r="49" spans="1:8" x14ac:dyDescent="0.25">
      <c r="A49" s="301" t="s">
        <v>3424</v>
      </c>
      <c r="B49" s="300" t="s">
        <v>189</v>
      </c>
      <c r="C49" s="300" t="s">
        <v>189</v>
      </c>
      <c r="D49" s="300" t="s">
        <v>189</v>
      </c>
      <c r="E49" s="300" t="s">
        <v>189</v>
      </c>
      <c r="F49" s="300" t="s">
        <v>189</v>
      </c>
      <c r="G49" s="300" t="s">
        <v>189</v>
      </c>
      <c r="H49" s="300" t="s">
        <v>189</v>
      </c>
    </row>
    <row r="50" spans="1:8" x14ac:dyDescent="0.25">
      <c r="A50" s="293" t="s">
        <v>531</v>
      </c>
      <c r="B50" s="291">
        <v>113327.83658654301</v>
      </c>
      <c r="C50" s="291">
        <v>5.2928930187330101</v>
      </c>
      <c r="D50" s="291">
        <v>3.2441550799905401</v>
      </c>
      <c r="E50" s="291">
        <v>1699.3376784668872</v>
      </c>
      <c r="F50" s="291">
        <v>130.7216571044716</v>
      </c>
      <c r="G50" s="291">
        <v>53.656498765611978</v>
      </c>
      <c r="H50" s="291" t="s">
        <v>521</v>
      </c>
    </row>
    <row r="51" spans="1:8" x14ac:dyDescent="0.25">
      <c r="A51" s="302" t="s">
        <v>532</v>
      </c>
      <c r="B51" s="291">
        <v>60220.980376771418</v>
      </c>
      <c r="C51" s="291" t="s">
        <v>556</v>
      </c>
      <c r="D51" s="291">
        <v>1.8999282815821601</v>
      </c>
      <c r="E51" s="295">
        <v>237.49103519777046</v>
      </c>
      <c r="F51" s="295">
        <v>98.796270642272503</v>
      </c>
      <c r="G51" s="295">
        <v>14.819440596340881</v>
      </c>
      <c r="H51" s="295" t="s">
        <v>521</v>
      </c>
    </row>
    <row r="52" spans="1:8" x14ac:dyDescent="0.25">
      <c r="A52" s="302" t="s">
        <v>533</v>
      </c>
      <c r="B52" s="291">
        <v>53106.856209771599</v>
      </c>
      <c r="C52" s="291">
        <v>5.2928930187330101</v>
      </c>
      <c r="D52" s="291">
        <v>1.34422679840838</v>
      </c>
      <c r="E52" s="295">
        <v>1461.8466432691168</v>
      </c>
      <c r="F52" s="295">
        <v>31.9253864621991</v>
      </c>
      <c r="G52" s="295">
        <v>38.837058169271103</v>
      </c>
      <c r="H52" s="295" t="s">
        <v>521</v>
      </c>
    </row>
    <row r="53" spans="1:8" x14ac:dyDescent="0.25">
      <c r="A53" s="293" t="s">
        <v>534</v>
      </c>
      <c r="B53" s="291" t="s">
        <v>496</v>
      </c>
      <c r="C53" s="291" t="s">
        <v>496</v>
      </c>
      <c r="D53" s="291" t="s">
        <v>496</v>
      </c>
      <c r="E53" s="295" t="s">
        <v>496</v>
      </c>
      <c r="F53" s="295" t="s">
        <v>496</v>
      </c>
      <c r="G53" s="295" t="s">
        <v>496</v>
      </c>
      <c r="H53" s="295" t="s">
        <v>521</v>
      </c>
    </row>
    <row r="54" spans="1:8" x14ac:dyDescent="0.25">
      <c r="A54" s="303" t="s">
        <v>3425</v>
      </c>
      <c r="B54" s="291">
        <v>230699.51036740557</v>
      </c>
      <c r="C54" s="300" t="s">
        <v>189</v>
      </c>
      <c r="D54" s="300" t="s">
        <v>189</v>
      </c>
      <c r="E54" s="300" t="s">
        <v>189</v>
      </c>
      <c r="F54" s="300" t="s">
        <v>189</v>
      </c>
      <c r="G54" s="300" t="s">
        <v>189</v>
      </c>
      <c r="H54" s="300" t="s">
        <v>189</v>
      </c>
    </row>
    <row r="55" spans="1:8" x14ac:dyDescent="0.25">
      <c r="A55" s="233" t="s">
        <v>3426</v>
      </c>
      <c r="B55" s="291" t="s">
        <v>556</v>
      </c>
      <c r="C55" s="300" t="s">
        <v>189</v>
      </c>
      <c r="D55" s="300" t="s">
        <v>189</v>
      </c>
      <c r="E55" s="300" t="s">
        <v>189</v>
      </c>
      <c r="F55" s="300" t="s">
        <v>189</v>
      </c>
      <c r="G55" s="300" t="s">
        <v>189</v>
      </c>
      <c r="H55" s="300" t="s">
        <v>189</v>
      </c>
    </row>
    <row r="56" spans="1:8" x14ac:dyDescent="0.25">
      <c r="A56" s="304" t="s">
        <v>535</v>
      </c>
      <c r="B56" s="295" t="s">
        <v>494</v>
      </c>
      <c r="C56" s="300" t="s">
        <v>189</v>
      </c>
      <c r="D56" s="300" t="s">
        <v>189</v>
      </c>
      <c r="E56" s="300" t="s">
        <v>189</v>
      </c>
      <c r="F56" s="300" t="s">
        <v>189</v>
      </c>
      <c r="G56" s="300" t="s">
        <v>189</v>
      </c>
      <c r="H56" s="300" t="s">
        <v>189</v>
      </c>
    </row>
    <row r="57" spans="1:8" x14ac:dyDescent="0.25">
      <c r="A57" s="304" t="s">
        <v>536</v>
      </c>
      <c r="B57" s="295" t="s">
        <v>494</v>
      </c>
      <c r="C57" s="300" t="s">
        <v>189</v>
      </c>
      <c r="D57" s="300" t="s">
        <v>189</v>
      </c>
      <c r="E57" s="300" t="s">
        <v>189</v>
      </c>
      <c r="F57" s="300" t="s">
        <v>189</v>
      </c>
      <c r="G57" s="300" t="s">
        <v>189</v>
      </c>
      <c r="H57" s="300" t="s">
        <v>189</v>
      </c>
    </row>
    <row r="58" spans="1:8" x14ac:dyDescent="0.25">
      <c r="C58" s="5"/>
      <c r="D58" s="5"/>
    </row>
    <row r="59" spans="1:8" x14ac:dyDescent="0.25">
      <c r="A59" s="58" t="s">
        <v>3712</v>
      </c>
      <c r="B59" s="59">
        <f t="shared" ref="B59:H59" si="0">B8</f>
        <v>5935361.2048846316</v>
      </c>
      <c r="C59" s="59">
        <f t="shared" si="0"/>
        <v>12331.35516763239</v>
      </c>
      <c r="D59" s="59">
        <f t="shared" si="0"/>
        <v>255.41813011993699</v>
      </c>
      <c r="E59" s="59">
        <f t="shared" si="0"/>
        <v>16601.736021301014</v>
      </c>
      <c r="F59" s="59">
        <f t="shared" si="0"/>
        <v>64984.511311122282</v>
      </c>
      <c r="G59" s="59">
        <f t="shared" si="0"/>
        <v>7345.4310275876951</v>
      </c>
      <c r="H59" s="59">
        <f t="shared" si="0"/>
        <v>12364.091048770906</v>
      </c>
    </row>
    <row r="60" spans="1:8" x14ac:dyDescent="0.25">
      <c r="A60" s="58" t="s">
        <v>537</v>
      </c>
      <c r="B60" s="59">
        <f>B8+B50</f>
        <v>6048689.0414711749</v>
      </c>
      <c r="C60" s="59">
        <f t="shared" ref="C60:G60" si="1">C8+C50</f>
        <v>12336.648060651123</v>
      </c>
      <c r="D60" s="59">
        <f t="shared" si="1"/>
        <v>258.66228519992751</v>
      </c>
      <c r="E60" s="59">
        <f t="shared" si="1"/>
        <v>18301.073699767901</v>
      </c>
      <c r="F60" s="59">
        <f t="shared" si="1"/>
        <v>65115.232968226752</v>
      </c>
      <c r="G60" s="59">
        <f t="shared" si="1"/>
        <v>7399.0875263533071</v>
      </c>
      <c r="H60" s="59">
        <f>H8</f>
        <v>12364.091048770906</v>
      </c>
    </row>
    <row r="61" spans="1:8" x14ac:dyDescent="0.25">
      <c r="A61" s="58" t="s">
        <v>93</v>
      </c>
      <c r="B61" s="59">
        <f>B11</f>
        <v>2400057.4856406469</v>
      </c>
      <c r="C61" s="59">
        <f t="shared" ref="C61:H61" si="2">C11</f>
        <v>34.823479419570468</v>
      </c>
      <c r="D61" s="59">
        <f t="shared" si="2"/>
        <v>100.86538569159121</v>
      </c>
      <c r="E61" s="59">
        <f t="shared" si="2"/>
        <v>3434.4290996747714</v>
      </c>
      <c r="F61" s="59">
        <f t="shared" si="2"/>
        <v>581.83867235005948</v>
      </c>
      <c r="G61" s="59">
        <f t="shared" si="2"/>
        <v>43.701395420034459</v>
      </c>
      <c r="H61" s="59">
        <f t="shared" si="2"/>
        <v>9439.0432746602182</v>
      </c>
    </row>
    <row r="62" spans="1:8" x14ac:dyDescent="0.25">
      <c r="A62" s="58" t="s">
        <v>4</v>
      </c>
      <c r="B62" s="59">
        <f>SUM(B22,B50)-G294</f>
        <v>1911442.8105552257</v>
      </c>
      <c r="C62" s="59">
        <f t="shared" ref="C62:H62" si="3">SUM(C22,C50)</f>
        <v>165.57291285866268</v>
      </c>
      <c r="D62" s="59">
        <f t="shared" si="3"/>
        <v>141.22138300660743</v>
      </c>
      <c r="E62" s="59">
        <f t="shared" si="3"/>
        <v>11993.96820796089</v>
      </c>
      <c r="F62" s="59">
        <f t="shared" si="3"/>
        <v>58745.519506243923</v>
      </c>
      <c r="G62" s="59">
        <f t="shared" si="3"/>
        <v>5777.2545334153529</v>
      </c>
      <c r="H62" s="59">
        <f t="shared" si="3"/>
        <v>618.63077203361581</v>
      </c>
    </row>
    <row r="63" spans="1:8" x14ac:dyDescent="0.25">
      <c r="A63" s="58" t="s">
        <v>2429</v>
      </c>
      <c r="B63" s="59">
        <f>SUM(B29:B30)</f>
        <v>586027.53370179143</v>
      </c>
      <c r="C63" s="59">
        <f t="shared" ref="C63:H63" si="4">SUM(C29:C30)</f>
        <v>205.33512877805845</v>
      </c>
      <c r="D63" s="59">
        <f t="shared" si="4"/>
        <v>4.0983274771096498</v>
      </c>
      <c r="E63" s="59">
        <f t="shared" si="4"/>
        <v>908.26373148672474</v>
      </c>
      <c r="F63" s="59">
        <f t="shared" si="4"/>
        <v>3021.64543736223</v>
      </c>
      <c r="G63" s="59">
        <f t="shared" si="4"/>
        <v>706.60096524296171</v>
      </c>
      <c r="H63" s="59">
        <f t="shared" si="4"/>
        <v>527.57585355553215</v>
      </c>
    </row>
    <row r="64" spans="1:8" x14ac:dyDescent="0.25">
      <c r="A64" s="58" t="s">
        <v>9</v>
      </c>
      <c r="B64" s="59">
        <f>SUM(B12:B14,B35,B45,B32)+G294-G375</f>
        <v>1137620.3858851495</v>
      </c>
      <c r="C64" s="59">
        <f>SUM(C12:C14,C35,C45,C32)-H375</f>
        <v>11930.898339782843</v>
      </c>
      <c r="D64" s="59">
        <f>SUM(D12:D14,D35,D45,D32)-I375</f>
        <v>11.176634590788881</v>
      </c>
      <c r="E64" s="59">
        <f t="shared" ref="E64:H64" si="5">SUM(E12:E14,E35,E45,E32)</f>
        <v>1964.4126606455166</v>
      </c>
      <c r="F64" s="59">
        <f t="shared" si="5"/>
        <v>2766.2293522705422</v>
      </c>
      <c r="G64" s="59">
        <f t="shared" si="5"/>
        <v>871.53063227495795</v>
      </c>
      <c r="H64" s="59">
        <f t="shared" si="5"/>
        <v>1778.8411485215402</v>
      </c>
    </row>
    <row r="65" spans="1:10" x14ac:dyDescent="0.25">
      <c r="A65" s="58" t="s">
        <v>132</v>
      </c>
      <c r="B65" s="59">
        <f>B31</f>
        <v>257.90976890459297</v>
      </c>
      <c r="C65" s="59">
        <f t="shared" ref="C65:H65" si="6">C31</f>
        <v>1.300499353749E-2</v>
      </c>
      <c r="D65" s="59">
        <f t="shared" si="6"/>
        <v>1.87845249299E-3</v>
      </c>
      <c r="E65" s="59" t="str">
        <f t="shared" si="6"/>
        <v>IE</v>
      </c>
      <c r="F65" s="59" t="str">
        <f t="shared" si="6"/>
        <v>IE</v>
      </c>
      <c r="G65" s="59" t="str">
        <f t="shared" si="6"/>
        <v>IE</v>
      </c>
      <c r="H65" s="59" t="str">
        <f t="shared" si="6"/>
        <v>IE</v>
      </c>
    </row>
    <row r="66" spans="1:10" x14ac:dyDescent="0.25">
      <c r="A66" s="58" t="s">
        <v>3129</v>
      </c>
      <c r="B66" s="59">
        <f>G375</f>
        <v>13282.915919456782</v>
      </c>
      <c r="C66" s="59">
        <f t="shared" ref="C66:D66" si="7">H375</f>
        <v>5.1948184495699996E-3</v>
      </c>
      <c r="D66" s="59">
        <f t="shared" si="7"/>
        <v>1.29867598133739</v>
      </c>
      <c r="E66" s="59"/>
      <c r="F66" s="59"/>
      <c r="G66" s="59"/>
      <c r="H66" s="59"/>
    </row>
    <row r="67" spans="1:10" ht="60" x14ac:dyDescent="0.25">
      <c r="A67" s="1" t="s">
        <v>3130</v>
      </c>
      <c r="B67" s="5"/>
      <c r="C67" s="5"/>
      <c r="D67" s="5"/>
      <c r="E67" s="5"/>
      <c r="F67" s="5"/>
      <c r="G67" s="5"/>
      <c r="H67" s="5"/>
    </row>
    <row r="68" spans="1:10" ht="15.75" thickBot="1" x14ac:dyDescent="0.3">
      <c r="B68" s="89"/>
      <c r="C68" s="89"/>
      <c r="D68" s="89"/>
      <c r="E68" s="89"/>
      <c r="F68" s="89"/>
      <c r="G68" s="89"/>
      <c r="H68" s="89"/>
    </row>
    <row r="69" spans="1:10" ht="15.75" x14ac:dyDescent="0.25">
      <c r="A69" s="415" t="s">
        <v>538</v>
      </c>
      <c r="B69" s="416"/>
      <c r="C69" s="234"/>
      <c r="D69" s="234"/>
      <c r="E69" s="234"/>
      <c r="F69" s="234"/>
      <c r="G69" s="234"/>
      <c r="H69" s="234"/>
      <c r="I69" s="62"/>
      <c r="J69" s="57" t="s">
        <v>478</v>
      </c>
    </row>
    <row r="70" spans="1:10" ht="15.75" x14ac:dyDescent="0.25">
      <c r="A70" s="56" t="s">
        <v>539</v>
      </c>
      <c r="B70" s="60"/>
      <c r="C70" s="61"/>
      <c r="D70" s="61"/>
      <c r="E70" s="61"/>
      <c r="F70" s="61"/>
      <c r="G70" s="61"/>
      <c r="H70" s="61"/>
      <c r="I70" s="62"/>
      <c r="J70" s="57" t="s">
        <v>3427</v>
      </c>
    </row>
    <row r="71" spans="1:10" ht="15.75" x14ac:dyDescent="0.25">
      <c r="A71" s="56"/>
      <c r="B71" s="60"/>
      <c r="C71" s="61"/>
      <c r="D71" s="61"/>
      <c r="E71" s="61"/>
      <c r="F71" s="61"/>
      <c r="G71" s="61"/>
      <c r="H71" s="57"/>
      <c r="I71" s="62"/>
      <c r="J71" s="57" t="s">
        <v>479</v>
      </c>
    </row>
    <row r="72" spans="1:10" x14ac:dyDescent="0.25">
      <c r="A72" s="417" t="s">
        <v>480</v>
      </c>
      <c r="B72" s="420" t="s">
        <v>540</v>
      </c>
      <c r="C72" s="421"/>
      <c r="D72" s="420" t="s">
        <v>541</v>
      </c>
      <c r="E72" s="422"/>
      <c r="F72" s="423"/>
      <c r="G72" s="420" t="s">
        <v>542</v>
      </c>
      <c r="H72" s="424"/>
      <c r="I72" s="424"/>
      <c r="J72" s="421"/>
    </row>
    <row r="73" spans="1:10" x14ac:dyDescent="0.25">
      <c r="A73" s="418"/>
      <c r="B73" s="425" t="s">
        <v>543</v>
      </c>
      <c r="C73" s="426"/>
      <c r="D73" s="429" t="s">
        <v>544</v>
      </c>
      <c r="E73" s="425" t="s">
        <v>482</v>
      </c>
      <c r="F73" s="426" t="s">
        <v>483</v>
      </c>
      <c r="G73" s="429" t="s">
        <v>545</v>
      </c>
      <c r="H73" s="429" t="s">
        <v>482</v>
      </c>
      <c r="I73" s="429" t="s">
        <v>483</v>
      </c>
      <c r="J73" s="285" t="s">
        <v>481</v>
      </c>
    </row>
    <row r="74" spans="1:10" x14ac:dyDescent="0.25">
      <c r="A74" s="418"/>
      <c r="B74" s="427"/>
      <c r="C74" s="428"/>
      <c r="D74" s="430"/>
      <c r="E74" s="427"/>
      <c r="F74" s="428"/>
      <c r="G74" s="431"/>
      <c r="H74" s="430"/>
      <c r="I74" s="430"/>
      <c r="J74" s="285" t="s">
        <v>546</v>
      </c>
    </row>
    <row r="75" spans="1:10" ht="15.75" thickBot="1" x14ac:dyDescent="0.3">
      <c r="A75" s="419"/>
      <c r="B75" s="288" t="s">
        <v>547</v>
      </c>
      <c r="C75" s="63" t="s">
        <v>548</v>
      </c>
      <c r="D75" s="63" t="s">
        <v>549</v>
      </c>
      <c r="E75" s="437" t="s">
        <v>550</v>
      </c>
      <c r="F75" s="438"/>
      <c r="G75" s="437" t="s">
        <v>488</v>
      </c>
      <c r="H75" s="435"/>
      <c r="I75" s="435"/>
      <c r="J75" s="436"/>
    </row>
    <row r="76" spans="1:10" ht="15.75" thickTop="1" x14ac:dyDescent="0.25">
      <c r="A76" s="64" t="s">
        <v>551</v>
      </c>
      <c r="B76" s="349">
        <v>91119552.110468924</v>
      </c>
      <c r="C76" s="349" t="s">
        <v>552</v>
      </c>
      <c r="D76" s="350" t="s">
        <v>189</v>
      </c>
      <c r="E76" s="350" t="s">
        <v>189</v>
      </c>
      <c r="F76" s="350" t="s">
        <v>189</v>
      </c>
      <c r="G76" s="349">
        <v>5894246.3300794624</v>
      </c>
      <c r="H76" s="349">
        <v>474.07141405218891</v>
      </c>
      <c r="I76" s="349">
        <v>255.32625983564566</v>
      </c>
      <c r="J76" s="349" t="s">
        <v>556</v>
      </c>
    </row>
    <row r="77" spans="1:10" x14ac:dyDescent="0.25">
      <c r="A77" s="305" t="s">
        <v>553</v>
      </c>
      <c r="B77" s="349">
        <v>39518350.449221194</v>
      </c>
      <c r="C77" s="349" t="s">
        <v>552</v>
      </c>
      <c r="D77" s="349">
        <v>62.818550609275022</v>
      </c>
      <c r="E77" s="349">
        <v>4.71081601067928</v>
      </c>
      <c r="F77" s="349">
        <v>3.6043774931421502</v>
      </c>
      <c r="G77" s="349">
        <v>2482485.4976894674</v>
      </c>
      <c r="H77" s="349">
        <v>186.16367801182585</v>
      </c>
      <c r="I77" s="349">
        <v>142.439052925277</v>
      </c>
      <c r="J77" s="349" t="s">
        <v>494</v>
      </c>
    </row>
    <row r="78" spans="1:10" x14ac:dyDescent="0.25">
      <c r="A78" s="305" t="s">
        <v>554</v>
      </c>
      <c r="B78" s="349">
        <v>23547856.46013758</v>
      </c>
      <c r="C78" s="349" t="s">
        <v>552</v>
      </c>
      <c r="D78" s="349">
        <v>90.390222007608685</v>
      </c>
      <c r="E78" s="349">
        <v>1.3293847084140999</v>
      </c>
      <c r="F78" s="349">
        <v>4.0838943275543604</v>
      </c>
      <c r="G78" s="349">
        <v>2128495.9732351382</v>
      </c>
      <c r="H78" s="349">
        <v>31.304160294037182</v>
      </c>
      <c r="I78" s="349">
        <v>96.166957423620104</v>
      </c>
      <c r="J78" s="349" t="s">
        <v>494</v>
      </c>
    </row>
    <row r="79" spans="1:10" x14ac:dyDescent="0.25">
      <c r="A79" s="305" t="s">
        <v>555</v>
      </c>
      <c r="B79" s="349">
        <v>25079732.293968797</v>
      </c>
      <c r="C79" s="349" t="s">
        <v>552</v>
      </c>
      <c r="D79" s="349">
        <v>50.61939699547608</v>
      </c>
      <c r="E79" s="349">
        <v>2.9025747542863098</v>
      </c>
      <c r="F79" s="349">
        <v>0.31864834210840998</v>
      </c>
      <c r="G79" s="349">
        <v>1269520.9255286683</v>
      </c>
      <c r="H79" s="349">
        <v>72.795797800732927</v>
      </c>
      <c r="I79" s="349">
        <v>7.9916151159959297</v>
      </c>
      <c r="J79" s="349" t="s">
        <v>494</v>
      </c>
    </row>
    <row r="80" spans="1:10" x14ac:dyDescent="0.25">
      <c r="A80" s="305" t="s">
        <v>3251</v>
      </c>
      <c r="B80" s="349">
        <v>353451.33084586024</v>
      </c>
      <c r="C80" s="349" t="s">
        <v>552</v>
      </c>
      <c r="D80" s="349">
        <v>38.884939528440349</v>
      </c>
      <c r="E80" s="349">
        <v>1.469740809049E-2</v>
      </c>
      <c r="F80" s="349">
        <v>3.6742710183873699</v>
      </c>
      <c r="G80" s="349">
        <v>13743.93362618804</v>
      </c>
      <c r="H80" s="349">
        <v>5.1948184495699996E-3</v>
      </c>
      <c r="I80" s="349">
        <v>1.29867598133739</v>
      </c>
      <c r="J80" s="349" t="s">
        <v>556</v>
      </c>
    </row>
    <row r="81" spans="1:10" x14ac:dyDescent="0.25">
      <c r="A81" s="305" t="s">
        <v>3252</v>
      </c>
      <c r="B81" s="349" t="s">
        <v>523</v>
      </c>
      <c r="C81" s="349" t="s">
        <v>552</v>
      </c>
      <c r="D81" s="349" t="s">
        <v>523</v>
      </c>
      <c r="E81" s="349" t="s">
        <v>523</v>
      </c>
      <c r="F81" s="349" t="s">
        <v>523</v>
      </c>
      <c r="G81" s="349" t="s">
        <v>523</v>
      </c>
      <c r="H81" s="349" t="s">
        <v>523</v>
      </c>
      <c r="I81" s="349" t="s">
        <v>523</v>
      </c>
      <c r="J81" s="349" t="s">
        <v>523</v>
      </c>
    </row>
    <row r="82" spans="1:10" x14ac:dyDescent="0.25">
      <c r="A82" s="305" t="s">
        <v>3253</v>
      </c>
      <c r="B82" s="349">
        <v>2620161.5762954974</v>
      </c>
      <c r="C82" s="349" t="s">
        <v>552</v>
      </c>
      <c r="D82" s="349">
        <v>88.047818292785962</v>
      </c>
      <c r="E82" s="349">
        <v>70.149331548862634</v>
      </c>
      <c r="F82" s="349">
        <v>2.8356871028999802</v>
      </c>
      <c r="G82" s="350" t="s">
        <v>189</v>
      </c>
      <c r="H82" s="349">
        <v>183.80258312714338</v>
      </c>
      <c r="I82" s="349">
        <v>7.4299583894152299</v>
      </c>
      <c r="J82" s="349" t="s">
        <v>494</v>
      </c>
    </row>
    <row r="83" spans="1:10" x14ac:dyDescent="0.25">
      <c r="A83" s="306" t="s">
        <v>557</v>
      </c>
      <c r="B83" s="349">
        <v>32351773.409563068</v>
      </c>
      <c r="C83" s="349" t="s">
        <v>552</v>
      </c>
      <c r="D83" s="350" t="s">
        <v>189</v>
      </c>
      <c r="E83" s="350" t="s">
        <v>189</v>
      </c>
      <c r="F83" s="350" t="s">
        <v>189</v>
      </c>
      <c r="G83" s="349">
        <v>2540094.5307982946</v>
      </c>
      <c r="H83" s="349">
        <v>37.656050059714502</v>
      </c>
      <c r="I83" s="349">
        <v>101.32241952488565</v>
      </c>
      <c r="J83" s="349" t="s">
        <v>556</v>
      </c>
    </row>
    <row r="84" spans="1:10" x14ac:dyDescent="0.25">
      <c r="A84" s="307" t="s">
        <v>553</v>
      </c>
      <c r="B84" s="349">
        <v>1343810.0384583769</v>
      </c>
      <c r="C84" s="349" t="s">
        <v>552</v>
      </c>
      <c r="D84" s="349">
        <v>75.928141051021797</v>
      </c>
      <c r="E84" s="349">
        <v>0.76379847184557004</v>
      </c>
      <c r="F84" s="349">
        <v>0.35425092693756</v>
      </c>
      <c r="G84" s="349">
        <v>102032.99814584665</v>
      </c>
      <c r="H84" s="349">
        <v>1.02640005382524</v>
      </c>
      <c r="I84" s="349">
        <v>0.47604595175188003</v>
      </c>
      <c r="J84" s="349" t="s">
        <v>494</v>
      </c>
    </row>
    <row r="85" spans="1:10" x14ac:dyDescent="0.25">
      <c r="A85" s="307" t="s">
        <v>554</v>
      </c>
      <c r="B85" s="349">
        <v>21964918.19043801</v>
      </c>
      <c r="C85" s="349" t="s">
        <v>552</v>
      </c>
      <c r="D85" s="349">
        <v>90.62078968100333</v>
      </c>
      <c r="E85" s="349">
        <v>0.73257570335638</v>
      </c>
      <c r="F85" s="349">
        <v>4.2890443345528002</v>
      </c>
      <c r="G85" s="349">
        <v>1990478.2316961272</v>
      </c>
      <c r="H85" s="349">
        <v>16.09096539252544</v>
      </c>
      <c r="I85" s="349">
        <v>94.208507923613965</v>
      </c>
      <c r="J85" s="349" t="s">
        <v>494</v>
      </c>
    </row>
    <row r="86" spans="1:10" x14ac:dyDescent="0.25">
      <c r="A86" s="307" t="s">
        <v>555</v>
      </c>
      <c r="B86" s="349">
        <v>8795000.2471165303</v>
      </c>
      <c r="C86" s="349" t="s">
        <v>552</v>
      </c>
      <c r="D86" s="349">
        <v>50.838234302060421</v>
      </c>
      <c r="E86" s="349">
        <v>2.3338941529224702</v>
      </c>
      <c r="F86" s="349">
        <v>0.75335764658167004</v>
      </c>
      <c r="G86" s="349">
        <v>447122.28324958944</v>
      </c>
      <c r="H86" s="349">
        <v>20.526599651696909</v>
      </c>
      <c r="I86" s="349">
        <v>6.6257806878528998</v>
      </c>
      <c r="J86" s="349" t="s">
        <v>494</v>
      </c>
    </row>
    <row r="87" spans="1:10" x14ac:dyDescent="0.25">
      <c r="A87" s="307" t="s">
        <v>3251</v>
      </c>
      <c r="B87" s="349">
        <v>52888.087323471489</v>
      </c>
      <c r="C87" s="349" t="s">
        <v>552</v>
      </c>
      <c r="D87" s="349">
        <v>8.7168534553273496</v>
      </c>
      <c r="E87" s="349" t="s">
        <v>3135</v>
      </c>
      <c r="F87" s="349" t="s">
        <v>3135</v>
      </c>
      <c r="G87" s="349">
        <v>461.01770673125719</v>
      </c>
      <c r="H87" s="349" t="s">
        <v>3135</v>
      </c>
      <c r="I87" s="349" t="s">
        <v>3135</v>
      </c>
      <c r="J87" s="349" t="s">
        <v>556</v>
      </c>
    </row>
    <row r="88" spans="1:10" x14ac:dyDescent="0.25">
      <c r="A88" s="307" t="s">
        <v>3252</v>
      </c>
      <c r="B88" s="349" t="s">
        <v>523</v>
      </c>
      <c r="C88" s="349" t="s">
        <v>552</v>
      </c>
      <c r="D88" s="349" t="s">
        <v>523</v>
      </c>
      <c r="E88" s="349" t="s">
        <v>523</v>
      </c>
      <c r="F88" s="349" t="s">
        <v>523</v>
      </c>
      <c r="G88" s="349" t="s">
        <v>523</v>
      </c>
      <c r="H88" s="349" t="s">
        <v>523</v>
      </c>
      <c r="I88" s="349" t="s">
        <v>523</v>
      </c>
      <c r="J88" s="349" t="s">
        <v>523</v>
      </c>
    </row>
    <row r="89" spans="1:10" x14ac:dyDescent="0.25">
      <c r="A89" s="307" t="s">
        <v>3253</v>
      </c>
      <c r="B89" s="349">
        <v>195156.84622667928</v>
      </c>
      <c r="C89" s="349" t="s">
        <v>552</v>
      </c>
      <c r="D89" s="349">
        <v>97.735736802039924</v>
      </c>
      <c r="E89" s="349">
        <v>6.192435418265E-2</v>
      </c>
      <c r="F89" s="349">
        <v>6.192435418265E-2</v>
      </c>
      <c r="G89" s="349">
        <v>19073.798157926904</v>
      </c>
      <c r="H89" s="349">
        <v>1.2084961666909999E-2</v>
      </c>
      <c r="I89" s="349">
        <v>1.2084961666909999E-2</v>
      </c>
      <c r="J89" s="349" t="s">
        <v>494</v>
      </c>
    </row>
    <row r="90" spans="1:10" x14ac:dyDescent="0.25">
      <c r="A90" s="308" t="s">
        <v>3254</v>
      </c>
      <c r="B90" s="349">
        <v>29762022.261531696</v>
      </c>
      <c r="C90" s="349" t="s">
        <v>552</v>
      </c>
      <c r="D90" s="350" t="s">
        <v>189</v>
      </c>
      <c r="E90" s="350" t="s">
        <v>189</v>
      </c>
      <c r="F90" s="350" t="s">
        <v>189</v>
      </c>
      <c r="G90" s="349">
        <v>2400057.4856406469</v>
      </c>
      <c r="H90" s="349">
        <v>34.823479419570468</v>
      </c>
      <c r="I90" s="349">
        <v>100.86538569159121</v>
      </c>
      <c r="J90" s="349" t="s">
        <v>556</v>
      </c>
    </row>
    <row r="91" spans="1:10" x14ac:dyDescent="0.25">
      <c r="A91" s="307" t="s">
        <v>553</v>
      </c>
      <c r="B91" s="349">
        <v>1289345.7754762077</v>
      </c>
      <c r="C91" s="349" t="s">
        <v>552</v>
      </c>
      <c r="D91" s="349">
        <v>75.981710695644367</v>
      </c>
      <c r="E91" s="349">
        <v>0.66331306705496995</v>
      </c>
      <c r="F91" s="349">
        <v>0.25283307148143003</v>
      </c>
      <c r="G91" s="349">
        <v>97966.697698884454</v>
      </c>
      <c r="H91" s="349">
        <v>0.85523990082548995</v>
      </c>
      <c r="I91" s="349">
        <v>0.32598925261525002</v>
      </c>
      <c r="J91" s="349" t="s">
        <v>494</v>
      </c>
    </row>
    <row r="92" spans="1:10" x14ac:dyDescent="0.25">
      <c r="A92" s="307" t="s">
        <v>554</v>
      </c>
      <c r="B92" s="349">
        <v>21878947.484241422</v>
      </c>
      <c r="C92" s="349" t="s">
        <v>552</v>
      </c>
      <c r="D92" s="349">
        <v>90.624623010701626</v>
      </c>
      <c r="E92" s="349">
        <v>0.69812515865578995</v>
      </c>
      <c r="F92" s="349">
        <v>4.3002982540659396</v>
      </c>
      <c r="G92" s="349">
        <v>1982771.3676303178</v>
      </c>
      <c r="H92" s="349">
        <v>15.27424368365784</v>
      </c>
      <c r="I92" s="349">
        <v>94.085999667283815</v>
      </c>
      <c r="J92" s="349" t="s">
        <v>494</v>
      </c>
    </row>
    <row r="93" spans="1:10" x14ac:dyDescent="0.25">
      <c r="A93" s="307" t="s">
        <v>555</v>
      </c>
      <c r="B93" s="349">
        <v>6345684.0682639154</v>
      </c>
      <c r="C93" s="349" t="s">
        <v>552</v>
      </c>
      <c r="D93" s="349">
        <v>50.248073994006518</v>
      </c>
      <c r="E93" s="349">
        <v>2.9440341927598199</v>
      </c>
      <c r="F93" s="349">
        <v>1.01506972939916</v>
      </c>
      <c r="G93" s="349">
        <v>318858.40260471357</v>
      </c>
      <c r="H93" s="349">
        <v>18.681910873420229</v>
      </c>
      <c r="I93" s="349">
        <v>6.4413118100252298</v>
      </c>
      <c r="J93" s="349" t="s">
        <v>494</v>
      </c>
    </row>
    <row r="94" spans="1:10" x14ac:dyDescent="0.25">
      <c r="A94" s="307" t="s">
        <v>3251</v>
      </c>
      <c r="B94" s="349">
        <v>52888.087323471489</v>
      </c>
      <c r="C94" s="349" t="s">
        <v>552</v>
      </c>
      <c r="D94" s="349">
        <v>8.7168534553273496</v>
      </c>
      <c r="E94" s="349" t="s">
        <v>528</v>
      </c>
      <c r="F94" s="349" t="s">
        <v>528</v>
      </c>
      <c r="G94" s="349">
        <v>461.01770673125719</v>
      </c>
      <c r="H94" s="349" t="s">
        <v>528</v>
      </c>
      <c r="I94" s="349" t="s">
        <v>528</v>
      </c>
      <c r="J94" s="349" t="s">
        <v>494</v>
      </c>
    </row>
    <row r="95" spans="1:10" x14ac:dyDescent="0.25">
      <c r="A95" s="307" t="s">
        <v>3252</v>
      </c>
      <c r="B95" s="349" t="s">
        <v>523</v>
      </c>
      <c r="C95" s="349" t="s">
        <v>552</v>
      </c>
      <c r="D95" s="349" t="s">
        <v>523</v>
      </c>
      <c r="E95" s="349" t="s">
        <v>523</v>
      </c>
      <c r="F95" s="349" t="s">
        <v>523</v>
      </c>
      <c r="G95" s="349" t="s">
        <v>523</v>
      </c>
      <c r="H95" s="349" t="s">
        <v>523</v>
      </c>
      <c r="I95" s="349" t="s">
        <v>523</v>
      </c>
      <c r="J95" s="349" t="s">
        <v>523</v>
      </c>
    </row>
    <row r="96" spans="1:10" x14ac:dyDescent="0.25">
      <c r="A96" s="307" t="s">
        <v>3253</v>
      </c>
      <c r="B96" s="349">
        <v>195156.84622667928</v>
      </c>
      <c r="C96" s="349" t="s">
        <v>552</v>
      </c>
      <c r="D96" s="349">
        <v>97.735736802039924</v>
      </c>
      <c r="E96" s="349">
        <v>6.192435418265E-2</v>
      </c>
      <c r="F96" s="349">
        <v>6.192435418265E-2</v>
      </c>
      <c r="G96" s="349">
        <v>19073.798157926904</v>
      </c>
      <c r="H96" s="349">
        <v>1.2084961666909999E-2</v>
      </c>
      <c r="I96" s="349">
        <v>1.2084961666909999E-2</v>
      </c>
      <c r="J96" s="349" t="s">
        <v>494</v>
      </c>
    </row>
    <row r="97" spans="1:10" x14ac:dyDescent="0.25">
      <c r="A97" s="309" t="s">
        <v>558</v>
      </c>
      <c r="B97" s="349">
        <v>29762022.261531696</v>
      </c>
      <c r="C97" s="349" t="s">
        <v>552</v>
      </c>
      <c r="D97" s="350" t="s">
        <v>189</v>
      </c>
      <c r="E97" s="350" t="s">
        <v>189</v>
      </c>
      <c r="F97" s="350" t="s">
        <v>189</v>
      </c>
      <c r="G97" s="349">
        <v>2400057.4856406469</v>
      </c>
      <c r="H97" s="349">
        <v>34.823479419570468</v>
      </c>
      <c r="I97" s="349">
        <v>100.86538569159121</v>
      </c>
      <c r="J97" s="349" t="s">
        <v>556</v>
      </c>
    </row>
    <row r="98" spans="1:10" x14ac:dyDescent="0.25">
      <c r="A98" s="310" t="s">
        <v>559</v>
      </c>
      <c r="B98" s="351">
        <v>1289345.7754762077</v>
      </c>
      <c r="C98" s="349" t="s">
        <v>552</v>
      </c>
      <c r="D98" s="349">
        <v>75.981710695644367</v>
      </c>
      <c r="E98" s="349">
        <v>0.66331306705496995</v>
      </c>
      <c r="F98" s="349">
        <v>0.25283307148143003</v>
      </c>
      <c r="G98" s="351">
        <v>97966.697698884454</v>
      </c>
      <c r="H98" s="351">
        <v>0.85523990082548995</v>
      </c>
      <c r="I98" s="351">
        <v>0.32598925261525002</v>
      </c>
      <c r="J98" s="351" t="s">
        <v>494</v>
      </c>
    </row>
    <row r="99" spans="1:10" x14ac:dyDescent="0.25">
      <c r="A99" s="310" t="s">
        <v>560</v>
      </c>
      <c r="B99" s="351">
        <v>21878947.484241422</v>
      </c>
      <c r="C99" s="349" t="s">
        <v>552</v>
      </c>
      <c r="D99" s="349">
        <v>90.624623010701626</v>
      </c>
      <c r="E99" s="349">
        <v>0.69812515865578995</v>
      </c>
      <c r="F99" s="349">
        <v>4.3002982540659396</v>
      </c>
      <c r="G99" s="351">
        <v>1982771.3676303178</v>
      </c>
      <c r="H99" s="351">
        <v>15.27424368365784</v>
      </c>
      <c r="I99" s="351">
        <v>94.085999667283815</v>
      </c>
      <c r="J99" s="351" t="s">
        <v>494</v>
      </c>
    </row>
    <row r="100" spans="1:10" x14ac:dyDescent="0.25">
      <c r="A100" s="310" t="s">
        <v>561</v>
      </c>
      <c r="B100" s="351">
        <v>6345684.0682639154</v>
      </c>
      <c r="C100" s="349" t="s">
        <v>552</v>
      </c>
      <c r="D100" s="349">
        <v>50.248073994006518</v>
      </c>
      <c r="E100" s="349">
        <v>2.9440341927598199</v>
      </c>
      <c r="F100" s="349">
        <v>1.01506972939916</v>
      </c>
      <c r="G100" s="351">
        <v>318858.40260471357</v>
      </c>
      <c r="H100" s="351">
        <v>18.681910873420229</v>
      </c>
      <c r="I100" s="351">
        <v>6.4413118100252298</v>
      </c>
      <c r="J100" s="351" t="s">
        <v>494</v>
      </c>
    </row>
    <row r="101" spans="1:10" x14ac:dyDescent="0.25">
      <c r="A101" s="310" t="s">
        <v>562</v>
      </c>
      <c r="B101" s="351">
        <v>52888.087323471489</v>
      </c>
      <c r="C101" s="349" t="s">
        <v>552</v>
      </c>
      <c r="D101" s="349">
        <v>8.7168534553273496</v>
      </c>
      <c r="E101" s="349" t="s">
        <v>494</v>
      </c>
      <c r="F101" s="349" t="s">
        <v>494</v>
      </c>
      <c r="G101" s="351">
        <v>461.01770673125719</v>
      </c>
      <c r="H101" s="351" t="s">
        <v>494</v>
      </c>
      <c r="I101" s="351" t="s">
        <v>494</v>
      </c>
      <c r="J101" s="351" t="s">
        <v>494</v>
      </c>
    </row>
    <row r="102" spans="1:10" x14ac:dyDescent="0.25">
      <c r="A102" s="310" t="s">
        <v>563</v>
      </c>
      <c r="B102" s="351" t="s">
        <v>523</v>
      </c>
      <c r="C102" s="349" t="s">
        <v>552</v>
      </c>
      <c r="D102" s="349" t="s">
        <v>523</v>
      </c>
      <c r="E102" s="349" t="s">
        <v>523</v>
      </c>
      <c r="F102" s="349" t="s">
        <v>523</v>
      </c>
      <c r="G102" s="351" t="s">
        <v>523</v>
      </c>
      <c r="H102" s="351" t="s">
        <v>523</v>
      </c>
      <c r="I102" s="351" t="s">
        <v>523</v>
      </c>
      <c r="J102" s="351" t="s">
        <v>523</v>
      </c>
    </row>
    <row r="103" spans="1:10" x14ac:dyDescent="0.25">
      <c r="A103" s="310" t="s">
        <v>92</v>
      </c>
      <c r="B103" s="351">
        <v>195156.84622667928</v>
      </c>
      <c r="C103" s="349" t="s">
        <v>552</v>
      </c>
      <c r="D103" s="349">
        <v>97.735736802039924</v>
      </c>
      <c r="E103" s="349">
        <v>6.192435418265E-2</v>
      </c>
      <c r="F103" s="349">
        <v>6.192435418265E-2</v>
      </c>
      <c r="G103" s="351">
        <v>19073.798157926904</v>
      </c>
      <c r="H103" s="351">
        <v>1.2084961666909999E-2</v>
      </c>
      <c r="I103" s="351">
        <v>1.2084961666909999E-2</v>
      </c>
      <c r="J103" s="351" t="s">
        <v>494</v>
      </c>
    </row>
    <row r="104" spans="1:10" x14ac:dyDescent="0.25">
      <c r="A104" s="309" t="s">
        <v>564</v>
      </c>
      <c r="B104" s="349" t="s">
        <v>3136</v>
      </c>
      <c r="C104" s="349" t="s">
        <v>552</v>
      </c>
      <c r="D104" s="350" t="s">
        <v>189</v>
      </c>
      <c r="E104" s="350" t="s">
        <v>189</v>
      </c>
      <c r="F104" s="350" t="s">
        <v>189</v>
      </c>
      <c r="G104" s="349" t="s">
        <v>3136</v>
      </c>
      <c r="H104" s="349" t="s">
        <v>568</v>
      </c>
      <c r="I104" s="349" t="s">
        <v>568</v>
      </c>
      <c r="J104" s="349" t="s">
        <v>556</v>
      </c>
    </row>
    <row r="105" spans="1:10" x14ac:dyDescent="0.25">
      <c r="A105" s="310" t="s">
        <v>559</v>
      </c>
      <c r="B105" s="351" t="s">
        <v>496</v>
      </c>
      <c r="C105" s="349" t="s">
        <v>552</v>
      </c>
      <c r="D105" s="349" t="s">
        <v>528</v>
      </c>
      <c r="E105" s="349" t="s">
        <v>496</v>
      </c>
      <c r="F105" s="349" t="s">
        <v>496</v>
      </c>
      <c r="G105" s="351" t="s">
        <v>496</v>
      </c>
      <c r="H105" s="351" t="s">
        <v>496</v>
      </c>
      <c r="I105" s="351" t="s">
        <v>496</v>
      </c>
      <c r="J105" s="351" t="s">
        <v>494</v>
      </c>
    </row>
    <row r="106" spans="1:10" x14ac:dyDescent="0.25">
      <c r="A106" s="310" t="s">
        <v>560</v>
      </c>
      <c r="B106" s="351" t="s">
        <v>496</v>
      </c>
      <c r="C106" s="349" t="s">
        <v>552</v>
      </c>
      <c r="D106" s="349" t="s">
        <v>528</v>
      </c>
      <c r="E106" s="349" t="s">
        <v>496</v>
      </c>
      <c r="F106" s="349" t="s">
        <v>496</v>
      </c>
      <c r="G106" s="351" t="s">
        <v>496</v>
      </c>
      <c r="H106" s="351" t="s">
        <v>496</v>
      </c>
      <c r="I106" s="351" t="s">
        <v>496</v>
      </c>
      <c r="J106" s="351" t="s">
        <v>494</v>
      </c>
    </row>
    <row r="107" spans="1:10" x14ac:dyDescent="0.25">
      <c r="A107" s="310" t="s">
        <v>561</v>
      </c>
      <c r="B107" s="351" t="s">
        <v>496</v>
      </c>
      <c r="C107" s="349" t="s">
        <v>552</v>
      </c>
      <c r="D107" s="349" t="s">
        <v>528</v>
      </c>
      <c r="E107" s="349" t="s">
        <v>496</v>
      </c>
      <c r="F107" s="349" t="s">
        <v>496</v>
      </c>
      <c r="G107" s="351" t="s">
        <v>496</v>
      </c>
      <c r="H107" s="351" t="s">
        <v>496</v>
      </c>
      <c r="I107" s="351" t="s">
        <v>496</v>
      </c>
      <c r="J107" s="351" t="s">
        <v>494</v>
      </c>
    </row>
    <row r="108" spans="1:10" x14ac:dyDescent="0.25">
      <c r="A108" s="310" t="s">
        <v>562</v>
      </c>
      <c r="B108" s="351" t="s">
        <v>496</v>
      </c>
      <c r="C108" s="349" t="s">
        <v>552</v>
      </c>
      <c r="D108" s="349" t="s">
        <v>528</v>
      </c>
      <c r="E108" s="349" t="s">
        <v>496</v>
      </c>
      <c r="F108" s="349" t="s">
        <v>496</v>
      </c>
      <c r="G108" s="351" t="s">
        <v>496</v>
      </c>
      <c r="H108" s="351" t="s">
        <v>496</v>
      </c>
      <c r="I108" s="351" t="s">
        <v>496</v>
      </c>
      <c r="J108" s="351" t="s">
        <v>494</v>
      </c>
    </row>
    <row r="109" spans="1:10" x14ac:dyDescent="0.25">
      <c r="A109" s="310" t="s">
        <v>563</v>
      </c>
      <c r="B109" s="351" t="s">
        <v>523</v>
      </c>
      <c r="C109" s="349" t="s">
        <v>552</v>
      </c>
      <c r="D109" s="349" t="s">
        <v>523</v>
      </c>
      <c r="E109" s="349" t="s">
        <v>523</v>
      </c>
      <c r="F109" s="349" t="s">
        <v>523</v>
      </c>
      <c r="G109" s="351" t="s">
        <v>523</v>
      </c>
      <c r="H109" s="351" t="s">
        <v>523</v>
      </c>
      <c r="I109" s="351" t="s">
        <v>523</v>
      </c>
      <c r="J109" s="351" t="s">
        <v>523</v>
      </c>
    </row>
    <row r="110" spans="1:10" x14ac:dyDescent="0.25">
      <c r="A110" s="310" t="s">
        <v>92</v>
      </c>
      <c r="B110" s="351" t="s">
        <v>496</v>
      </c>
      <c r="C110" s="349" t="s">
        <v>552</v>
      </c>
      <c r="D110" s="349" t="s">
        <v>528</v>
      </c>
      <c r="E110" s="349" t="s">
        <v>496</v>
      </c>
      <c r="F110" s="349" t="s">
        <v>496</v>
      </c>
      <c r="G110" s="351" t="s">
        <v>496</v>
      </c>
      <c r="H110" s="351" t="s">
        <v>496</v>
      </c>
      <c r="I110" s="351" t="s">
        <v>496</v>
      </c>
      <c r="J110" s="351" t="s">
        <v>494</v>
      </c>
    </row>
    <row r="111" spans="1:10" x14ac:dyDescent="0.25">
      <c r="A111" s="309" t="s">
        <v>565</v>
      </c>
      <c r="B111" s="349" t="s">
        <v>3136</v>
      </c>
      <c r="C111" s="349" t="s">
        <v>552</v>
      </c>
      <c r="D111" s="350" t="s">
        <v>189</v>
      </c>
      <c r="E111" s="350" t="s">
        <v>189</v>
      </c>
      <c r="F111" s="350" t="s">
        <v>189</v>
      </c>
      <c r="G111" s="349" t="s">
        <v>568</v>
      </c>
      <c r="H111" s="349" t="s">
        <v>3136</v>
      </c>
      <c r="I111" s="349" t="s">
        <v>568</v>
      </c>
      <c r="J111" s="349" t="s">
        <v>556</v>
      </c>
    </row>
    <row r="112" spans="1:10" x14ac:dyDescent="0.25">
      <c r="A112" s="310" t="s">
        <v>559</v>
      </c>
      <c r="B112" s="351" t="s">
        <v>496</v>
      </c>
      <c r="C112" s="349" t="s">
        <v>552</v>
      </c>
      <c r="D112" s="349" t="s">
        <v>528</v>
      </c>
      <c r="E112" s="349" t="s">
        <v>496</v>
      </c>
      <c r="F112" s="349" t="s">
        <v>496</v>
      </c>
      <c r="G112" s="351" t="s">
        <v>496</v>
      </c>
      <c r="H112" s="351" t="s">
        <v>496</v>
      </c>
      <c r="I112" s="351" t="s">
        <v>496</v>
      </c>
      <c r="J112" s="351" t="s">
        <v>494</v>
      </c>
    </row>
    <row r="113" spans="1:10" x14ac:dyDescent="0.25">
      <c r="A113" s="310" t="s">
        <v>560</v>
      </c>
      <c r="B113" s="351" t="s">
        <v>496</v>
      </c>
      <c r="C113" s="349" t="s">
        <v>552</v>
      </c>
      <c r="D113" s="349" t="s">
        <v>528</v>
      </c>
      <c r="E113" s="349" t="s">
        <v>496</v>
      </c>
      <c r="F113" s="349" t="s">
        <v>496</v>
      </c>
      <c r="G113" s="351" t="s">
        <v>496</v>
      </c>
      <c r="H113" s="351" t="s">
        <v>496</v>
      </c>
      <c r="I113" s="351" t="s">
        <v>496</v>
      </c>
      <c r="J113" s="351" t="s">
        <v>494</v>
      </c>
    </row>
    <row r="114" spans="1:10" x14ac:dyDescent="0.25">
      <c r="A114" s="310" t="s">
        <v>561</v>
      </c>
      <c r="B114" s="351" t="s">
        <v>496</v>
      </c>
      <c r="C114" s="349" t="s">
        <v>552</v>
      </c>
      <c r="D114" s="349" t="s">
        <v>528</v>
      </c>
      <c r="E114" s="349" t="s">
        <v>496</v>
      </c>
      <c r="F114" s="349" t="s">
        <v>496</v>
      </c>
      <c r="G114" s="351" t="s">
        <v>496</v>
      </c>
      <c r="H114" s="351" t="s">
        <v>496</v>
      </c>
      <c r="I114" s="351" t="s">
        <v>496</v>
      </c>
      <c r="J114" s="351" t="s">
        <v>494</v>
      </c>
    </row>
    <row r="115" spans="1:10" x14ac:dyDescent="0.25">
      <c r="A115" s="310" t="s">
        <v>562</v>
      </c>
      <c r="B115" s="351" t="s">
        <v>496</v>
      </c>
      <c r="C115" s="349" t="s">
        <v>552</v>
      </c>
      <c r="D115" s="349" t="s">
        <v>528</v>
      </c>
      <c r="E115" s="349" t="s">
        <v>496</v>
      </c>
      <c r="F115" s="349" t="s">
        <v>496</v>
      </c>
      <c r="G115" s="351" t="s">
        <v>496</v>
      </c>
      <c r="H115" s="351" t="s">
        <v>496</v>
      </c>
      <c r="I115" s="351" t="s">
        <v>496</v>
      </c>
      <c r="J115" s="351" t="s">
        <v>494</v>
      </c>
    </row>
    <row r="116" spans="1:10" x14ac:dyDescent="0.25">
      <c r="A116" s="310" t="s">
        <v>563</v>
      </c>
      <c r="B116" s="351" t="s">
        <v>523</v>
      </c>
      <c r="C116" s="349" t="s">
        <v>552</v>
      </c>
      <c r="D116" s="349" t="s">
        <v>523</v>
      </c>
      <c r="E116" s="349" t="s">
        <v>523</v>
      </c>
      <c r="F116" s="349" t="s">
        <v>523</v>
      </c>
      <c r="G116" s="351" t="s">
        <v>523</v>
      </c>
      <c r="H116" s="351" t="s">
        <v>523</v>
      </c>
      <c r="I116" s="351" t="s">
        <v>523</v>
      </c>
      <c r="J116" s="351" t="s">
        <v>523</v>
      </c>
    </row>
    <row r="117" spans="1:10" x14ac:dyDescent="0.25">
      <c r="A117" s="310" t="s">
        <v>92</v>
      </c>
      <c r="B117" s="351" t="s">
        <v>496</v>
      </c>
      <c r="C117" s="349" t="s">
        <v>552</v>
      </c>
      <c r="D117" s="349" t="s">
        <v>528</v>
      </c>
      <c r="E117" s="349" t="s">
        <v>496</v>
      </c>
      <c r="F117" s="349" t="s">
        <v>496</v>
      </c>
      <c r="G117" s="351" t="s">
        <v>496</v>
      </c>
      <c r="H117" s="351" t="s">
        <v>496</v>
      </c>
      <c r="I117" s="351" t="s">
        <v>496</v>
      </c>
      <c r="J117" s="351" t="s">
        <v>494</v>
      </c>
    </row>
    <row r="118" spans="1:10" x14ac:dyDescent="0.25">
      <c r="A118" s="311" t="s">
        <v>493</v>
      </c>
      <c r="B118" s="349">
        <v>1778687.0543379753</v>
      </c>
      <c r="C118" s="349" t="s">
        <v>552</v>
      </c>
      <c r="D118" s="350" t="s">
        <v>189</v>
      </c>
      <c r="E118" s="350" t="s">
        <v>189</v>
      </c>
      <c r="F118" s="350" t="s">
        <v>189</v>
      </c>
      <c r="G118" s="349">
        <v>94253.062008181601</v>
      </c>
      <c r="H118" s="349">
        <v>1.46027512323081</v>
      </c>
      <c r="I118" s="349">
        <v>0.26593010197444999</v>
      </c>
      <c r="J118" s="349" t="s">
        <v>556</v>
      </c>
    </row>
    <row r="119" spans="1:10" x14ac:dyDescent="0.25">
      <c r="A119" s="307" t="s">
        <v>553</v>
      </c>
      <c r="B119" s="351">
        <v>49045.406851392239</v>
      </c>
      <c r="C119" s="349" t="s">
        <v>552</v>
      </c>
      <c r="D119" s="349">
        <v>74.659973794071973</v>
      </c>
      <c r="E119" s="349">
        <v>3.1426139568948201</v>
      </c>
      <c r="F119" s="349">
        <v>2.75514054391506</v>
      </c>
      <c r="G119" s="351">
        <v>3661.7287902445428</v>
      </c>
      <c r="H119" s="351">
        <v>0.15413078009277001</v>
      </c>
      <c r="I119" s="351">
        <v>0.13512698890908001</v>
      </c>
      <c r="J119" s="351" t="s">
        <v>494</v>
      </c>
    </row>
    <row r="120" spans="1:10" x14ac:dyDescent="0.25">
      <c r="A120" s="307" t="s">
        <v>554</v>
      </c>
      <c r="B120" s="351">
        <v>397.21842434588893</v>
      </c>
      <c r="C120" s="349" t="s">
        <v>552</v>
      </c>
      <c r="D120" s="349">
        <v>89.645233903118736</v>
      </c>
      <c r="E120" s="349">
        <v>9.5000000000102105</v>
      </c>
      <c r="F120" s="349">
        <v>1.4249999999927201</v>
      </c>
      <c r="G120" s="351">
        <v>35.608738561115487</v>
      </c>
      <c r="H120" s="351">
        <v>3.77357503129E-3</v>
      </c>
      <c r="I120" s="351">
        <v>5.6603625469000001E-4</v>
      </c>
      <c r="J120" s="351" t="s">
        <v>494</v>
      </c>
    </row>
    <row r="121" spans="1:10" x14ac:dyDescent="0.25">
      <c r="A121" s="307" t="s">
        <v>555</v>
      </c>
      <c r="B121" s="351">
        <v>1729244.4290622373</v>
      </c>
      <c r="C121" s="349" t="s">
        <v>552</v>
      </c>
      <c r="D121" s="349">
        <v>52.367220594999381</v>
      </c>
      <c r="E121" s="349">
        <v>0.75314440585650999</v>
      </c>
      <c r="F121" s="349">
        <v>7.5314440585649997E-2</v>
      </c>
      <c r="G121" s="351">
        <v>90555.724479375946</v>
      </c>
      <c r="H121" s="351">
        <v>1.30237076810675</v>
      </c>
      <c r="I121" s="351">
        <v>0.13023707681068</v>
      </c>
      <c r="J121" s="351" t="s">
        <v>494</v>
      </c>
    </row>
    <row r="122" spans="1:10" x14ac:dyDescent="0.25">
      <c r="A122" s="307" t="s">
        <v>3251</v>
      </c>
      <c r="B122" s="351" t="s">
        <v>523</v>
      </c>
      <c r="C122" s="349" t="s">
        <v>552</v>
      </c>
      <c r="D122" s="349" t="s">
        <v>523</v>
      </c>
      <c r="E122" s="349" t="s">
        <v>523</v>
      </c>
      <c r="F122" s="349" t="s">
        <v>523</v>
      </c>
      <c r="G122" s="351" t="s">
        <v>523</v>
      </c>
      <c r="H122" s="351" t="s">
        <v>523</v>
      </c>
      <c r="I122" s="351" t="s">
        <v>523</v>
      </c>
      <c r="J122" s="351" t="s">
        <v>523</v>
      </c>
    </row>
    <row r="123" spans="1:10" x14ac:dyDescent="0.25">
      <c r="A123" s="307" t="s">
        <v>3252</v>
      </c>
      <c r="B123" s="351" t="s">
        <v>523</v>
      </c>
      <c r="C123" s="349" t="s">
        <v>552</v>
      </c>
      <c r="D123" s="349" t="s">
        <v>523</v>
      </c>
      <c r="E123" s="349" t="s">
        <v>523</v>
      </c>
      <c r="F123" s="349" t="s">
        <v>523</v>
      </c>
      <c r="G123" s="351" t="s">
        <v>523</v>
      </c>
      <c r="H123" s="351" t="s">
        <v>523</v>
      </c>
      <c r="I123" s="351" t="s">
        <v>523</v>
      </c>
      <c r="J123" s="351" t="s">
        <v>523</v>
      </c>
    </row>
    <row r="124" spans="1:10" x14ac:dyDescent="0.25">
      <c r="A124" s="307" t="s">
        <v>3253</v>
      </c>
      <c r="B124" s="351" t="s">
        <v>496</v>
      </c>
      <c r="C124" s="349" t="s">
        <v>552</v>
      </c>
      <c r="D124" s="349" t="s">
        <v>528</v>
      </c>
      <c r="E124" s="349" t="s">
        <v>496</v>
      </c>
      <c r="F124" s="349" t="s">
        <v>496</v>
      </c>
      <c r="G124" s="351" t="s">
        <v>496</v>
      </c>
      <c r="H124" s="351" t="s">
        <v>496</v>
      </c>
      <c r="I124" s="351" t="s">
        <v>496</v>
      </c>
      <c r="J124" s="351" t="s">
        <v>494</v>
      </c>
    </row>
    <row r="125" spans="1:10" x14ac:dyDescent="0.25">
      <c r="A125" s="312" t="s">
        <v>3255</v>
      </c>
      <c r="B125" s="349">
        <v>811064.09369339747</v>
      </c>
      <c r="C125" s="349" t="s">
        <v>552</v>
      </c>
      <c r="D125" s="350" t="s">
        <v>189</v>
      </c>
      <c r="E125" s="350" t="s">
        <v>189</v>
      </c>
      <c r="F125" s="350" t="s">
        <v>189</v>
      </c>
      <c r="G125" s="349">
        <v>45783.983149465937</v>
      </c>
      <c r="H125" s="349">
        <v>1.37229551691322</v>
      </c>
      <c r="I125" s="349">
        <v>0.19110373131999001</v>
      </c>
      <c r="J125" s="349" t="s">
        <v>556</v>
      </c>
    </row>
    <row r="126" spans="1:10" x14ac:dyDescent="0.25">
      <c r="A126" s="305" t="s">
        <v>553</v>
      </c>
      <c r="B126" s="349">
        <v>5418.8561307769987</v>
      </c>
      <c r="C126" s="349" t="s">
        <v>552</v>
      </c>
      <c r="D126" s="349">
        <v>74.659973794071973</v>
      </c>
      <c r="E126" s="349">
        <v>3.14261395689392</v>
      </c>
      <c r="F126" s="349">
        <v>2.7551405439157199</v>
      </c>
      <c r="G126" s="349">
        <v>404.57165671765699</v>
      </c>
      <c r="H126" s="349">
        <v>1.7029372906979999E-2</v>
      </c>
      <c r="I126" s="349">
        <v>1.492971022755E-2</v>
      </c>
      <c r="J126" s="349" t="s">
        <v>494</v>
      </c>
    </row>
    <row r="127" spans="1:10" x14ac:dyDescent="0.25">
      <c r="A127" s="305" t="s">
        <v>554</v>
      </c>
      <c r="B127" s="349">
        <v>85573.487772242661</v>
      </c>
      <c r="C127" s="349" t="s">
        <v>552</v>
      </c>
      <c r="D127" s="349">
        <v>89.645233903118736</v>
      </c>
      <c r="E127" s="349">
        <v>9.5000000000000604</v>
      </c>
      <c r="F127" s="349">
        <v>1.42500000000005</v>
      </c>
      <c r="G127" s="349">
        <v>7671.2553272483647</v>
      </c>
      <c r="H127" s="349">
        <v>0.81294813383631004</v>
      </c>
      <c r="I127" s="349">
        <v>0.12194222007545</v>
      </c>
      <c r="J127" s="349" t="s">
        <v>494</v>
      </c>
    </row>
    <row r="128" spans="1:10" x14ac:dyDescent="0.25">
      <c r="A128" s="305" t="s">
        <v>555</v>
      </c>
      <c r="B128" s="349">
        <v>720071.7497903778</v>
      </c>
      <c r="C128" s="349" t="s">
        <v>552</v>
      </c>
      <c r="D128" s="349">
        <v>52.367220594999388</v>
      </c>
      <c r="E128" s="349">
        <v>0.75314440585650999</v>
      </c>
      <c r="F128" s="349">
        <v>7.5314440585649997E-2</v>
      </c>
      <c r="G128" s="349">
        <v>37708.156165499917</v>
      </c>
      <c r="H128" s="349">
        <v>0.54231801016992998</v>
      </c>
      <c r="I128" s="349">
        <v>5.4231801016990003E-2</v>
      </c>
      <c r="J128" s="349" t="s">
        <v>494</v>
      </c>
    </row>
    <row r="129" spans="1:10" x14ac:dyDescent="0.25">
      <c r="A129" s="305" t="s">
        <v>3251</v>
      </c>
      <c r="B129" s="349" t="s">
        <v>523</v>
      </c>
      <c r="C129" s="349" t="s">
        <v>552</v>
      </c>
      <c r="D129" s="349" t="s">
        <v>523</v>
      </c>
      <c r="E129" s="349" t="s">
        <v>523</v>
      </c>
      <c r="F129" s="349" t="s">
        <v>523</v>
      </c>
      <c r="G129" s="349" t="s">
        <v>523</v>
      </c>
      <c r="H129" s="349" t="s">
        <v>523</v>
      </c>
      <c r="I129" s="349" t="s">
        <v>523</v>
      </c>
      <c r="J129" s="349" t="s">
        <v>523</v>
      </c>
    </row>
    <row r="130" spans="1:10" x14ac:dyDescent="0.25">
      <c r="A130" s="305" t="s">
        <v>3252</v>
      </c>
      <c r="B130" s="349" t="s">
        <v>523</v>
      </c>
      <c r="C130" s="349" t="s">
        <v>552</v>
      </c>
      <c r="D130" s="349" t="s">
        <v>523</v>
      </c>
      <c r="E130" s="349" t="s">
        <v>523</v>
      </c>
      <c r="F130" s="349" t="s">
        <v>523</v>
      </c>
      <c r="G130" s="349" t="s">
        <v>523</v>
      </c>
      <c r="H130" s="349" t="s">
        <v>523</v>
      </c>
      <c r="I130" s="349" t="s">
        <v>523</v>
      </c>
      <c r="J130" s="349" t="s">
        <v>523</v>
      </c>
    </row>
    <row r="131" spans="1:10" x14ac:dyDescent="0.25">
      <c r="A131" s="305" t="s">
        <v>3253</v>
      </c>
      <c r="B131" s="349" t="s">
        <v>496</v>
      </c>
      <c r="C131" s="349" t="s">
        <v>552</v>
      </c>
      <c r="D131" s="349" t="s">
        <v>528</v>
      </c>
      <c r="E131" s="349" t="s">
        <v>496</v>
      </c>
      <c r="F131" s="349" t="s">
        <v>496</v>
      </c>
      <c r="G131" s="349" t="s">
        <v>496</v>
      </c>
      <c r="H131" s="349" t="s">
        <v>496</v>
      </c>
      <c r="I131" s="349" t="s">
        <v>496</v>
      </c>
      <c r="J131" s="349" t="s">
        <v>494</v>
      </c>
    </row>
    <row r="132" spans="1:10" x14ac:dyDescent="0.25">
      <c r="A132" s="309" t="s">
        <v>566</v>
      </c>
      <c r="B132" s="349">
        <v>811064.09369339747</v>
      </c>
      <c r="C132" s="349" t="s">
        <v>552</v>
      </c>
      <c r="D132" s="350" t="s">
        <v>189</v>
      </c>
      <c r="E132" s="350" t="s">
        <v>189</v>
      </c>
      <c r="F132" s="350" t="s">
        <v>189</v>
      </c>
      <c r="G132" s="349">
        <v>45783.983149465937</v>
      </c>
      <c r="H132" s="349">
        <v>1.37229551691322</v>
      </c>
      <c r="I132" s="349">
        <v>0.19110373131999001</v>
      </c>
      <c r="J132" s="349" t="s">
        <v>556</v>
      </c>
    </row>
    <row r="133" spans="1:10" x14ac:dyDescent="0.25">
      <c r="A133" s="310" t="s">
        <v>559</v>
      </c>
      <c r="B133" s="351">
        <v>5418.8561307769987</v>
      </c>
      <c r="C133" s="349" t="s">
        <v>552</v>
      </c>
      <c r="D133" s="349">
        <v>74.659973794071973</v>
      </c>
      <c r="E133" s="349">
        <v>3.14261395689392</v>
      </c>
      <c r="F133" s="349">
        <v>2.7551405439157199</v>
      </c>
      <c r="G133" s="351">
        <v>404.57165671765699</v>
      </c>
      <c r="H133" s="351">
        <v>1.7029372906979999E-2</v>
      </c>
      <c r="I133" s="351">
        <v>1.492971022755E-2</v>
      </c>
      <c r="J133" s="351" t="s">
        <v>494</v>
      </c>
    </row>
    <row r="134" spans="1:10" x14ac:dyDescent="0.25">
      <c r="A134" s="310" t="s">
        <v>560</v>
      </c>
      <c r="B134" s="351">
        <v>85573.487772242661</v>
      </c>
      <c r="C134" s="349" t="s">
        <v>552</v>
      </c>
      <c r="D134" s="349">
        <v>89.645233903118736</v>
      </c>
      <c r="E134" s="349">
        <v>9.5000000000000604</v>
      </c>
      <c r="F134" s="349">
        <v>1.42500000000005</v>
      </c>
      <c r="G134" s="351">
        <v>7671.2553272483647</v>
      </c>
      <c r="H134" s="351">
        <v>0.81294813383631004</v>
      </c>
      <c r="I134" s="351">
        <v>0.12194222007545</v>
      </c>
      <c r="J134" s="351" t="s">
        <v>494</v>
      </c>
    </row>
    <row r="135" spans="1:10" x14ac:dyDescent="0.25">
      <c r="A135" s="310" t="s">
        <v>561</v>
      </c>
      <c r="B135" s="351">
        <v>720071.7497903778</v>
      </c>
      <c r="C135" s="349" t="s">
        <v>552</v>
      </c>
      <c r="D135" s="349">
        <v>52.367220594999388</v>
      </c>
      <c r="E135" s="349">
        <v>0.75314440585650999</v>
      </c>
      <c r="F135" s="349">
        <v>7.5314440585649997E-2</v>
      </c>
      <c r="G135" s="351">
        <v>37708.156165499917</v>
      </c>
      <c r="H135" s="351">
        <v>0.54231801016992998</v>
      </c>
      <c r="I135" s="351">
        <v>5.4231801016990003E-2</v>
      </c>
      <c r="J135" s="351" t="s">
        <v>494</v>
      </c>
    </row>
    <row r="136" spans="1:10" x14ac:dyDescent="0.25">
      <c r="A136" s="310" t="s">
        <v>562</v>
      </c>
      <c r="B136" s="351" t="s">
        <v>523</v>
      </c>
      <c r="C136" s="349" t="s">
        <v>552</v>
      </c>
      <c r="D136" s="349" t="s">
        <v>523</v>
      </c>
      <c r="E136" s="349" t="s">
        <v>523</v>
      </c>
      <c r="F136" s="349" t="s">
        <v>523</v>
      </c>
      <c r="G136" s="351" t="s">
        <v>523</v>
      </c>
      <c r="H136" s="351" t="s">
        <v>523</v>
      </c>
      <c r="I136" s="351" t="s">
        <v>523</v>
      </c>
      <c r="J136" s="351" t="s">
        <v>523</v>
      </c>
    </row>
    <row r="137" spans="1:10" x14ac:dyDescent="0.25">
      <c r="A137" s="310" t="s">
        <v>563</v>
      </c>
      <c r="B137" s="351" t="s">
        <v>523</v>
      </c>
      <c r="C137" s="349" t="s">
        <v>552</v>
      </c>
      <c r="D137" s="349" t="s">
        <v>523</v>
      </c>
      <c r="E137" s="349" t="s">
        <v>523</v>
      </c>
      <c r="F137" s="349" t="s">
        <v>523</v>
      </c>
      <c r="G137" s="351" t="s">
        <v>523</v>
      </c>
      <c r="H137" s="351" t="s">
        <v>523</v>
      </c>
      <c r="I137" s="351" t="s">
        <v>523</v>
      </c>
      <c r="J137" s="351" t="s">
        <v>523</v>
      </c>
    </row>
    <row r="138" spans="1:10" x14ac:dyDescent="0.25">
      <c r="A138" s="310" t="s">
        <v>92</v>
      </c>
      <c r="B138" s="351" t="s">
        <v>496</v>
      </c>
      <c r="C138" s="349" t="s">
        <v>552</v>
      </c>
      <c r="D138" s="349" t="s">
        <v>528</v>
      </c>
      <c r="E138" s="349" t="s">
        <v>496</v>
      </c>
      <c r="F138" s="349" t="s">
        <v>496</v>
      </c>
      <c r="G138" s="351" t="s">
        <v>496</v>
      </c>
      <c r="H138" s="351" t="s">
        <v>496</v>
      </c>
      <c r="I138" s="351" t="s">
        <v>496</v>
      </c>
      <c r="J138" s="351" t="s">
        <v>494</v>
      </c>
    </row>
    <row r="139" spans="1:10" x14ac:dyDescent="0.25">
      <c r="A139" s="309" t="s">
        <v>567</v>
      </c>
      <c r="B139" s="349" t="s">
        <v>568</v>
      </c>
      <c r="C139" s="349" t="s">
        <v>552</v>
      </c>
      <c r="D139" s="350" t="s">
        <v>189</v>
      </c>
      <c r="E139" s="350" t="s">
        <v>189</v>
      </c>
      <c r="F139" s="350" t="s">
        <v>189</v>
      </c>
      <c r="G139" s="349" t="s">
        <v>568</v>
      </c>
      <c r="H139" s="349" t="s">
        <v>568</v>
      </c>
      <c r="I139" s="349" t="s">
        <v>568</v>
      </c>
      <c r="J139" s="349" t="s">
        <v>556</v>
      </c>
    </row>
    <row r="140" spans="1:10" x14ac:dyDescent="0.25">
      <c r="A140" s="310" t="s">
        <v>559</v>
      </c>
      <c r="B140" s="351" t="s">
        <v>496</v>
      </c>
      <c r="C140" s="349" t="s">
        <v>552</v>
      </c>
      <c r="D140" s="349" t="s">
        <v>528</v>
      </c>
      <c r="E140" s="349" t="s">
        <v>496</v>
      </c>
      <c r="F140" s="349" t="s">
        <v>496</v>
      </c>
      <c r="G140" s="351" t="s">
        <v>496</v>
      </c>
      <c r="H140" s="351" t="s">
        <v>496</v>
      </c>
      <c r="I140" s="351" t="s">
        <v>496</v>
      </c>
      <c r="J140" s="351" t="s">
        <v>494</v>
      </c>
    </row>
    <row r="141" spans="1:10" x14ac:dyDescent="0.25">
      <c r="A141" s="310" t="s">
        <v>560</v>
      </c>
      <c r="B141" s="351" t="s">
        <v>496</v>
      </c>
      <c r="C141" s="349" t="s">
        <v>552</v>
      </c>
      <c r="D141" s="349" t="s">
        <v>528</v>
      </c>
      <c r="E141" s="349" t="s">
        <v>496</v>
      </c>
      <c r="F141" s="349" t="s">
        <v>496</v>
      </c>
      <c r="G141" s="351" t="s">
        <v>496</v>
      </c>
      <c r="H141" s="351" t="s">
        <v>496</v>
      </c>
      <c r="I141" s="351" t="s">
        <v>496</v>
      </c>
      <c r="J141" s="351" t="s">
        <v>494</v>
      </c>
    </row>
    <row r="142" spans="1:10" x14ac:dyDescent="0.25">
      <c r="A142" s="310" t="s">
        <v>561</v>
      </c>
      <c r="B142" s="351" t="s">
        <v>496</v>
      </c>
      <c r="C142" s="349" t="s">
        <v>552</v>
      </c>
      <c r="D142" s="349" t="s">
        <v>528</v>
      </c>
      <c r="E142" s="349" t="s">
        <v>496</v>
      </c>
      <c r="F142" s="349" t="s">
        <v>496</v>
      </c>
      <c r="G142" s="351" t="s">
        <v>496</v>
      </c>
      <c r="H142" s="351" t="s">
        <v>496</v>
      </c>
      <c r="I142" s="351" t="s">
        <v>496</v>
      </c>
      <c r="J142" s="351" t="s">
        <v>494</v>
      </c>
    </row>
    <row r="143" spans="1:10" x14ac:dyDescent="0.25">
      <c r="A143" s="310" t="s">
        <v>562</v>
      </c>
      <c r="B143" s="351" t="s">
        <v>523</v>
      </c>
      <c r="C143" s="349" t="s">
        <v>552</v>
      </c>
      <c r="D143" s="349" t="s">
        <v>523</v>
      </c>
      <c r="E143" s="349" t="s">
        <v>523</v>
      </c>
      <c r="F143" s="349" t="s">
        <v>523</v>
      </c>
      <c r="G143" s="351" t="s">
        <v>523</v>
      </c>
      <c r="H143" s="351" t="s">
        <v>523</v>
      </c>
      <c r="I143" s="351" t="s">
        <v>523</v>
      </c>
      <c r="J143" s="351" t="s">
        <v>523</v>
      </c>
    </row>
    <row r="144" spans="1:10" x14ac:dyDescent="0.25">
      <c r="A144" s="310" t="s">
        <v>563</v>
      </c>
      <c r="B144" s="351" t="s">
        <v>523</v>
      </c>
      <c r="C144" s="349" t="s">
        <v>552</v>
      </c>
      <c r="D144" s="349" t="s">
        <v>523</v>
      </c>
      <c r="E144" s="349" t="s">
        <v>523</v>
      </c>
      <c r="F144" s="349" t="s">
        <v>523</v>
      </c>
      <c r="G144" s="351" t="s">
        <v>523</v>
      </c>
      <c r="H144" s="351" t="s">
        <v>523</v>
      </c>
      <c r="I144" s="351" t="s">
        <v>523</v>
      </c>
      <c r="J144" s="351" t="s">
        <v>523</v>
      </c>
    </row>
    <row r="145" spans="1:10" x14ac:dyDescent="0.25">
      <c r="A145" s="310" t="s">
        <v>92</v>
      </c>
      <c r="B145" s="351" t="s">
        <v>496</v>
      </c>
      <c r="C145" s="349" t="s">
        <v>552</v>
      </c>
      <c r="D145" s="349" t="s">
        <v>528</v>
      </c>
      <c r="E145" s="349" t="s">
        <v>496</v>
      </c>
      <c r="F145" s="349" t="s">
        <v>496</v>
      </c>
      <c r="G145" s="351" t="s">
        <v>496</v>
      </c>
      <c r="H145" s="351" t="s">
        <v>496</v>
      </c>
      <c r="I145" s="351" t="s">
        <v>496</v>
      </c>
      <c r="J145" s="351" t="s">
        <v>494</v>
      </c>
    </row>
    <row r="146" spans="1:10" x14ac:dyDescent="0.25">
      <c r="A146" s="309" t="s">
        <v>569</v>
      </c>
      <c r="B146" s="349" t="s">
        <v>568</v>
      </c>
      <c r="C146" s="349" t="s">
        <v>552</v>
      </c>
      <c r="D146" s="350" t="s">
        <v>189</v>
      </c>
      <c r="E146" s="350" t="s">
        <v>189</v>
      </c>
      <c r="F146" s="350" t="s">
        <v>189</v>
      </c>
      <c r="G146" s="349" t="s">
        <v>568</v>
      </c>
      <c r="H146" s="349" t="s">
        <v>568</v>
      </c>
      <c r="I146" s="349" t="s">
        <v>568</v>
      </c>
      <c r="J146" s="349" t="s">
        <v>556</v>
      </c>
    </row>
    <row r="147" spans="1:10" x14ac:dyDescent="0.25">
      <c r="A147" s="310" t="s">
        <v>559</v>
      </c>
      <c r="B147" s="351" t="s">
        <v>496</v>
      </c>
      <c r="C147" s="349" t="s">
        <v>552</v>
      </c>
      <c r="D147" s="349" t="s">
        <v>528</v>
      </c>
      <c r="E147" s="349" t="s">
        <v>496</v>
      </c>
      <c r="F147" s="349" t="s">
        <v>496</v>
      </c>
      <c r="G147" s="351" t="s">
        <v>496</v>
      </c>
      <c r="H147" s="351" t="s">
        <v>496</v>
      </c>
      <c r="I147" s="351" t="s">
        <v>496</v>
      </c>
      <c r="J147" s="351" t="s">
        <v>494</v>
      </c>
    </row>
    <row r="148" spans="1:10" x14ac:dyDescent="0.25">
      <c r="A148" s="310" t="s">
        <v>560</v>
      </c>
      <c r="B148" s="351" t="s">
        <v>496</v>
      </c>
      <c r="C148" s="349" t="s">
        <v>552</v>
      </c>
      <c r="D148" s="349" t="s">
        <v>528</v>
      </c>
      <c r="E148" s="349" t="s">
        <v>496</v>
      </c>
      <c r="F148" s="349" t="s">
        <v>496</v>
      </c>
      <c r="G148" s="351" t="s">
        <v>496</v>
      </c>
      <c r="H148" s="351" t="s">
        <v>496</v>
      </c>
      <c r="I148" s="351" t="s">
        <v>496</v>
      </c>
      <c r="J148" s="351" t="s">
        <v>494</v>
      </c>
    </row>
    <row r="149" spans="1:10" x14ac:dyDescent="0.25">
      <c r="A149" s="310" t="s">
        <v>561</v>
      </c>
      <c r="B149" s="351" t="s">
        <v>496</v>
      </c>
      <c r="C149" s="349" t="s">
        <v>552</v>
      </c>
      <c r="D149" s="349" t="s">
        <v>528</v>
      </c>
      <c r="E149" s="349" t="s">
        <v>496</v>
      </c>
      <c r="F149" s="349" t="s">
        <v>496</v>
      </c>
      <c r="G149" s="351" t="s">
        <v>496</v>
      </c>
      <c r="H149" s="351" t="s">
        <v>496</v>
      </c>
      <c r="I149" s="351" t="s">
        <v>496</v>
      </c>
      <c r="J149" s="351" t="s">
        <v>494</v>
      </c>
    </row>
    <row r="150" spans="1:10" x14ac:dyDescent="0.25">
      <c r="A150" s="310" t="s">
        <v>562</v>
      </c>
      <c r="B150" s="351" t="s">
        <v>523</v>
      </c>
      <c r="C150" s="349" t="s">
        <v>552</v>
      </c>
      <c r="D150" s="349" t="s">
        <v>523</v>
      </c>
      <c r="E150" s="349" t="s">
        <v>523</v>
      </c>
      <c r="F150" s="349" t="s">
        <v>523</v>
      </c>
      <c r="G150" s="351" t="s">
        <v>523</v>
      </c>
      <c r="H150" s="351" t="s">
        <v>523</v>
      </c>
      <c r="I150" s="351" t="s">
        <v>523</v>
      </c>
      <c r="J150" s="351" t="s">
        <v>523</v>
      </c>
    </row>
    <row r="151" spans="1:10" x14ac:dyDescent="0.25">
      <c r="A151" s="310" t="s">
        <v>563</v>
      </c>
      <c r="B151" s="351" t="s">
        <v>523</v>
      </c>
      <c r="C151" s="349" t="s">
        <v>552</v>
      </c>
      <c r="D151" s="349" t="s">
        <v>523</v>
      </c>
      <c r="E151" s="349" t="s">
        <v>523</v>
      </c>
      <c r="F151" s="349" t="s">
        <v>523</v>
      </c>
      <c r="G151" s="351" t="s">
        <v>523</v>
      </c>
      <c r="H151" s="351" t="s">
        <v>523</v>
      </c>
      <c r="I151" s="351" t="s">
        <v>523</v>
      </c>
      <c r="J151" s="351" t="s">
        <v>523</v>
      </c>
    </row>
    <row r="152" spans="1:10" x14ac:dyDescent="0.25">
      <c r="A152" s="310" t="s">
        <v>92</v>
      </c>
      <c r="B152" s="351" t="s">
        <v>496</v>
      </c>
      <c r="C152" s="349" t="s">
        <v>552</v>
      </c>
      <c r="D152" s="349" t="s">
        <v>528</v>
      </c>
      <c r="E152" s="349" t="s">
        <v>496</v>
      </c>
      <c r="F152" s="349" t="s">
        <v>496</v>
      </c>
      <c r="G152" s="351" t="s">
        <v>496</v>
      </c>
      <c r="H152" s="351" t="s">
        <v>496</v>
      </c>
      <c r="I152" s="351" t="s">
        <v>496</v>
      </c>
      <c r="J152" s="351" t="s">
        <v>494</v>
      </c>
    </row>
    <row r="153" spans="1:10" x14ac:dyDescent="0.25">
      <c r="A153" s="235" t="s">
        <v>570</v>
      </c>
      <c r="B153" s="349">
        <v>12857095.578220105</v>
      </c>
      <c r="C153" s="349" t="s">
        <v>552</v>
      </c>
      <c r="D153" s="350" t="s">
        <v>189</v>
      </c>
      <c r="E153" s="350" t="s">
        <v>189</v>
      </c>
      <c r="F153" s="350" t="s">
        <v>189</v>
      </c>
      <c r="G153" s="349">
        <v>711227.52746031829</v>
      </c>
      <c r="H153" s="349">
        <v>66.667583289309391</v>
      </c>
      <c r="I153" s="349">
        <v>9.3662220369597406</v>
      </c>
      <c r="J153" s="349" t="s">
        <v>556</v>
      </c>
    </row>
    <row r="154" spans="1:10" x14ac:dyDescent="0.25">
      <c r="A154" s="313" t="s">
        <v>553</v>
      </c>
      <c r="B154" s="349">
        <v>3289687.0402968642</v>
      </c>
      <c r="C154" s="349" t="s">
        <v>552</v>
      </c>
      <c r="D154" s="349">
        <v>74.659973794071988</v>
      </c>
      <c r="E154" s="349">
        <v>2.5953153081467302</v>
      </c>
      <c r="F154" s="349">
        <v>0.48384345490726</v>
      </c>
      <c r="G154" s="349">
        <v>245607.94821926212</v>
      </c>
      <c r="H154" s="349">
        <v>8.5377751346943498</v>
      </c>
      <c r="I154" s="349">
        <v>1.5916935431408601</v>
      </c>
      <c r="J154" s="349" t="s">
        <v>494</v>
      </c>
    </row>
    <row r="155" spans="1:10" x14ac:dyDescent="0.25">
      <c r="A155" s="313" t="s">
        <v>554</v>
      </c>
      <c r="B155" s="349">
        <v>1227490.5647916261</v>
      </c>
      <c r="C155" s="349" t="s">
        <v>552</v>
      </c>
      <c r="D155" s="349">
        <v>89.645233903118751</v>
      </c>
      <c r="E155" s="349">
        <v>9.5</v>
      </c>
      <c r="F155" s="349">
        <v>1.4249999999999901</v>
      </c>
      <c r="G155" s="349">
        <v>110038.67879461666</v>
      </c>
      <c r="H155" s="349">
        <v>11.66116036552045</v>
      </c>
      <c r="I155" s="349">
        <v>1.7491740548280601</v>
      </c>
      <c r="J155" s="349" t="s">
        <v>494</v>
      </c>
    </row>
    <row r="156" spans="1:10" x14ac:dyDescent="0.25">
      <c r="A156" s="313" t="s">
        <v>555</v>
      </c>
      <c r="B156" s="349">
        <v>6790142.6962574841</v>
      </c>
      <c r="C156" s="349" t="s">
        <v>552</v>
      </c>
      <c r="D156" s="349">
        <v>52.367220594999381</v>
      </c>
      <c r="E156" s="349">
        <v>0.75314440585650999</v>
      </c>
      <c r="F156" s="349">
        <v>7.5314440585649997E-2</v>
      </c>
      <c r="G156" s="349">
        <v>355580.90044643951</v>
      </c>
      <c r="H156" s="349">
        <v>5.1139579866537304</v>
      </c>
      <c r="I156" s="349">
        <v>0.51139579866536999</v>
      </c>
      <c r="J156" s="349" t="s">
        <v>494</v>
      </c>
    </row>
    <row r="157" spans="1:10" x14ac:dyDescent="0.25">
      <c r="A157" s="313" t="s">
        <v>3256</v>
      </c>
      <c r="B157" s="349" t="s">
        <v>523</v>
      </c>
      <c r="C157" s="349" t="s">
        <v>552</v>
      </c>
      <c r="D157" s="349" t="s">
        <v>523</v>
      </c>
      <c r="E157" s="349" t="s">
        <v>523</v>
      </c>
      <c r="F157" s="349" t="s">
        <v>523</v>
      </c>
      <c r="G157" s="349" t="s">
        <v>523</v>
      </c>
      <c r="H157" s="349" t="s">
        <v>523</v>
      </c>
      <c r="I157" s="349" t="s">
        <v>523</v>
      </c>
      <c r="J157" s="349" t="s">
        <v>523</v>
      </c>
    </row>
    <row r="158" spans="1:10" x14ac:dyDescent="0.25">
      <c r="A158" s="313" t="s">
        <v>3257</v>
      </c>
      <c r="B158" s="349" t="s">
        <v>523</v>
      </c>
      <c r="C158" s="349" t="s">
        <v>552</v>
      </c>
      <c r="D158" s="349" t="s">
        <v>523</v>
      </c>
      <c r="E158" s="349" t="s">
        <v>523</v>
      </c>
      <c r="F158" s="349" t="s">
        <v>523</v>
      </c>
      <c r="G158" s="349" t="s">
        <v>523</v>
      </c>
      <c r="H158" s="349" t="s">
        <v>523</v>
      </c>
      <c r="I158" s="349" t="s">
        <v>523</v>
      </c>
      <c r="J158" s="349" t="s">
        <v>523</v>
      </c>
    </row>
    <row r="159" spans="1:10" x14ac:dyDescent="0.25">
      <c r="A159" s="313" t="s">
        <v>3258</v>
      </c>
      <c r="B159" s="349">
        <v>1549775.2768741304</v>
      </c>
      <c r="C159" s="349" t="s">
        <v>552</v>
      </c>
      <c r="D159" s="349">
        <v>88.686898265961545</v>
      </c>
      <c r="E159" s="349">
        <v>26.684313796676729</v>
      </c>
      <c r="F159" s="349">
        <v>3.55790850622357</v>
      </c>
      <c r="G159" s="349">
        <v>137444.76231523839</v>
      </c>
      <c r="H159" s="349">
        <v>41.354689802440859</v>
      </c>
      <c r="I159" s="349">
        <v>5.5139586403254501</v>
      </c>
      <c r="J159" s="349" t="s">
        <v>494</v>
      </c>
    </row>
    <row r="160" spans="1:10" x14ac:dyDescent="0.25">
      <c r="A160" s="314" t="s">
        <v>498</v>
      </c>
      <c r="B160" s="349">
        <v>281318.6741082315</v>
      </c>
      <c r="C160" s="349" t="s">
        <v>552</v>
      </c>
      <c r="D160" s="350" t="s">
        <v>189</v>
      </c>
      <c r="E160" s="350" t="s">
        <v>189</v>
      </c>
      <c r="F160" s="350" t="s">
        <v>189</v>
      </c>
      <c r="G160" s="349">
        <v>14978.572362155866</v>
      </c>
      <c r="H160" s="349">
        <v>0.23835740177008</v>
      </c>
      <c r="I160" s="349">
        <v>5.0815371746130003E-2</v>
      </c>
      <c r="J160" s="349" t="s">
        <v>556</v>
      </c>
    </row>
    <row r="161" spans="1:10" x14ac:dyDescent="0.25">
      <c r="A161" s="313" t="s">
        <v>553</v>
      </c>
      <c r="B161" s="351">
        <v>11051.541643286968</v>
      </c>
      <c r="C161" s="349" t="s">
        <v>552</v>
      </c>
      <c r="D161" s="349">
        <v>74.659973794071973</v>
      </c>
      <c r="E161" s="349">
        <v>3.1426139568950102</v>
      </c>
      <c r="F161" s="349">
        <v>2.7551405439145502</v>
      </c>
      <c r="G161" s="351">
        <v>825.10780947190017</v>
      </c>
      <c r="H161" s="351">
        <v>3.4730729013399998E-2</v>
      </c>
      <c r="I161" s="351">
        <v>3.044855045418E-2</v>
      </c>
      <c r="J161" s="351" t="s">
        <v>494</v>
      </c>
    </row>
    <row r="162" spans="1:10" x14ac:dyDescent="0.25">
      <c r="A162" s="313" t="s">
        <v>554</v>
      </c>
      <c r="B162" s="351">
        <v>8.7452974385318907</v>
      </c>
      <c r="C162" s="349" t="s">
        <v>552</v>
      </c>
      <c r="D162" s="349">
        <v>89.645233903119134</v>
      </c>
      <c r="E162" s="349">
        <v>9.5000000004513296</v>
      </c>
      <c r="F162" s="349">
        <v>1.4250000000105301</v>
      </c>
      <c r="G162" s="351">
        <v>0.78397423442953995</v>
      </c>
      <c r="H162" s="351">
        <v>8.3080325669999998E-5</v>
      </c>
      <c r="I162" s="351">
        <v>1.246204885E-5</v>
      </c>
      <c r="J162" s="351" t="s">
        <v>494</v>
      </c>
    </row>
    <row r="163" spans="1:10" x14ac:dyDescent="0.25">
      <c r="A163" s="313" t="s">
        <v>555</v>
      </c>
      <c r="B163" s="351">
        <v>270258.38716750598</v>
      </c>
      <c r="C163" s="349" t="s">
        <v>552</v>
      </c>
      <c r="D163" s="349">
        <v>52.367220594999388</v>
      </c>
      <c r="E163" s="349">
        <v>0.75314440585650999</v>
      </c>
      <c r="F163" s="349">
        <v>7.5314440585649997E-2</v>
      </c>
      <c r="G163" s="351">
        <v>14152.680578449537</v>
      </c>
      <c r="H163" s="351">
        <v>0.20354359243101</v>
      </c>
      <c r="I163" s="351">
        <v>2.0354359243100001E-2</v>
      </c>
      <c r="J163" s="351" t="s">
        <v>494</v>
      </c>
    </row>
    <row r="164" spans="1:10" x14ac:dyDescent="0.25">
      <c r="A164" s="313" t="s">
        <v>3256</v>
      </c>
      <c r="B164" s="351" t="s">
        <v>523</v>
      </c>
      <c r="C164" s="349" t="s">
        <v>552</v>
      </c>
      <c r="D164" s="349" t="s">
        <v>523</v>
      </c>
      <c r="E164" s="349" t="s">
        <v>523</v>
      </c>
      <c r="F164" s="349" t="s">
        <v>523</v>
      </c>
      <c r="G164" s="351" t="s">
        <v>523</v>
      </c>
      <c r="H164" s="351" t="s">
        <v>523</v>
      </c>
      <c r="I164" s="351" t="s">
        <v>523</v>
      </c>
      <c r="J164" s="351" t="s">
        <v>523</v>
      </c>
    </row>
    <row r="165" spans="1:10" x14ac:dyDescent="0.25">
      <c r="A165" s="313" t="s">
        <v>3257</v>
      </c>
      <c r="B165" s="351" t="s">
        <v>523</v>
      </c>
      <c r="C165" s="349" t="s">
        <v>552</v>
      </c>
      <c r="D165" s="349" t="s">
        <v>523</v>
      </c>
      <c r="E165" s="349" t="s">
        <v>523</v>
      </c>
      <c r="F165" s="349" t="s">
        <v>523</v>
      </c>
      <c r="G165" s="351" t="s">
        <v>523</v>
      </c>
      <c r="H165" s="351" t="s">
        <v>523</v>
      </c>
      <c r="I165" s="351" t="s">
        <v>523</v>
      </c>
      <c r="J165" s="351" t="s">
        <v>523</v>
      </c>
    </row>
    <row r="166" spans="1:10" x14ac:dyDescent="0.25">
      <c r="A166" s="313" t="s">
        <v>3258</v>
      </c>
      <c r="B166" s="351" t="s">
        <v>496</v>
      </c>
      <c r="C166" s="349" t="s">
        <v>552</v>
      </c>
      <c r="D166" s="349" t="s">
        <v>528</v>
      </c>
      <c r="E166" s="349" t="s">
        <v>496</v>
      </c>
      <c r="F166" s="349" t="s">
        <v>496</v>
      </c>
      <c r="G166" s="351" t="s">
        <v>496</v>
      </c>
      <c r="H166" s="351" t="s">
        <v>496</v>
      </c>
      <c r="I166" s="351" t="s">
        <v>496</v>
      </c>
      <c r="J166" s="351" t="s">
        <v>494</v>
      </c>
    </row>
    <row r="167" spans="1:10" x14ac:dyDescent="0.25">
      <c r="A167" s="314" t="s">
        <v>499</v>
      </c>
      <c r="B167" s="349">
        <v>80551.220863386668</v>
      </c>
      <c r="C167" s="349" t="s">
        <v>552</v>
      </c>
      <c r="D167" s="350" t="s">
        <v>189</v>
      </c>
      <c r="E167" s="350" t="s">
        <v>189</v>
      </c>
      <c r="F167" s="350" t="s">
        <v>189</v>
      </c>
      <c r="G167" s="349">
        <v>5057.2748720254449</v>
      </c>
      <c r="H167" s="349">
        <v>0.25516926930848</v>
      </c>
      <c r="I167" s="349">
        <v>3.8004328346280002E-2</v>
      </c>
      <c r="J167" s="349" t="s">
        <v>556</v>
      </c>
    </row>
    <row r="168" spans="1:10" x14ac:dyDescent="0.25">
      <c r="A168" s="313" t="s">
        <v>553</v>
      </c>
      <c r="B168" s="351">
        <v>832.8845414672511</v>
      </c>
      <c r="C168" s="349" t="s">
        <v>552</v>
      </c>
      <c r="D168" s="349">
        <v>74.659973794071973</v>
      </c>
      <c r="E168" s="349">
        <v>3.1426139568985101</v>
      </c>
      <c r="F168" s="349">
        <v>2.75514054391923</v>
      </c>
      <c r="G168" s="351">
        <v>62.18313803943262</v>
      </c>
      <c r="H168" s="351">
        <v>2.6174345845000001E-3</v>
      </c>
      <c r="I168" s="351">
        <v>2.2947139686E-3</v>
      </c>
      <c r="J168" s="351" t="s">
        <v>494</v>
      </c>
    </row>
    <row r="169" spans="1:10" x14ac:dyDescent="0.25">
      <c r="A169" s="313" t="s">
        <v>554</v>
      </c>
      <c r="B169" s="351">
        <v>22009.328221657259</v>
      </c>
      <c r="C169" s="349" t="s">
        <v>552</v>
      </c>
      <c r="D169" s="349">
        <v>89.645233903118736</v>
      </c>
      <c r="E169" s="349">
        <v>9.4999999999998206</v>
      </c>
      <c r="F169" s="349">
        <v>1.4249999999999301</v>
      </c>
      <c r="G169" s="351">
        <v>1973.0313764809773</v>
      </c>
      <c r="H169" s="351">
        <v>0.20908861810574</v>
      </c>
      <c r="I169" s="351">
        <v>3.1363292715859997E-2</v>
      </c>
      <c r="J169" s="351" t="s">
        <v>494</v>
      </c>
    </row>
    <row r="170" spans="1:10" x14ac:dyDescent="0.25">
      <c r="A170" s="313" t="s">
        <v>555</v>
      </c>
      <c r="B170" s="351">
        <v>57709.008100262159</v>
      </c>
      <c r="C170" s="349" t="s">
        <v>552</v>
      </c>
      <c r="D170" s="349">
        <v>52.367220594999388</v>
      </c>
      <c r="E170" s="349">
        <v>0.7531444058565</v>
      </c>
      <c r="F170" s="349">
        <v>7.5314440585579998E-2</v>
      </c>
      <c r="G170" s="351">
        <v>3022.060357505035</v>
      </c>
      <c r="H170" s="351">
        <v>4.346321661824E-2</v>
      </c>
      <c r="I170" s="351">
        <v>4.3463216618200001E-3</v>
      </c>
      <c r="J170" s="351" t="s">
        <v>494</v>
      </c>
    </row>
    <row r="171" spans="1:10" x14ac:dyDescent="0.25">
      <c r="A171" s="313" t="s">
        <v>3256</v>
      </c>
      <c r="B171" s="351" t="s">
        <v>523</v>
      </c>
      <c r="C171" s="349" t="s">
        <v>552</v>
      </c>
      <c r="D171" s="349" t="s">
        <v>523</v>
      </c>
      <c r="E171" s="349" t="s">
        <v>523</v>
      </c>
      <c r="F171" s="349" t="s">
        <v>523</v>
      </c>
      <c r="G171" s="351" t="s">
        <v>523</v>
      </c>
      <c r="H171" s="351" t="s">
        <v>523</v>
      </c>
      <c r="I171" s="351" t="s">
        <v>523</v>
      </c>
      <c r="J171" s="351" t="s">
        <v>523</v>
      </c>
    </row>
    <row r="172" spans="1:10" x14ac:dyDescent="0.25">
      <c r="A172" s="313" t="s">
        <v>3257</v>
      </c>
      <c r="B172" s="351" t="s">
        <v>523</v>
      </c>
      <c r="C172" s="349" t="s">
        <v>552</v>
      </c>
      <c r="D172" s="349" t="s">
        <v>523</v>
      </c>
      <c r="E172" s="349" t="s">
        <v>523</v>
      </c>
      <c r="F172" s="349" t="s">
        <v>523</v>
      </c>
      <c r="G172" s="351" t="s">
        <v>523</v>
      </c>
      <c r="H172" s="351" t="s">
        <v>523</v>
      </c>
      <c r="I172" s="351" t="s">
        <v>523</v>
      </c>
      <c r="J172" s="351" t="s">
        <v>523</v>
      </c>
    </row>
    <row r="173" spans="1:10" x14ac:dyDescent="0.25">
      <c r="A173" s="313" t="s">
        <v>3258</v>
      </c>
      <c r="B173" s="351" t="s">
        <v>496</v>
      </c>
      <c r="C173" s="349" t="s">
        <v>552</v>
      </c>
      <c r="D173" s="349" t="s">
        <v>528</v>
      </c>
      <c r="E173" s="349" t="s">
        <v>496</v>
      </c>
      <c r="F173" s="349" t="s">
        <v>496</v>
      </c>
      <c r="G173" s="351" t="s">
        <v>496</v>
      </c>
      <c r="H173" s="351" t="s">
        <v>496</v>
      </c>
      <c r="I173" s="351" t="s">
        <v>496</v>
      </c>
      <c r="J173" s="351" t="s">
        <v>494</v>
      </c>
    </row>
    <row r="174" spans="1:10" x14ac:dyDescent="0.25">
      <c r="A174" s="314" t="s">
        <v>500</v>
      </c>
      <c r="B174" s="349">
        <v>1201393.2916326267</v>
      </c>
      <c r="C174" s="349" t="s">
        <v>552</v>
      </c>
      <c r="D174" s="350" t="s">
        <v>189</v>
      </c>
      <c r="E174" s="350" t="s">
        <v>189</v>
      </c>
      <c r="F174" s="350" t="s">
        <v>189</v>
      </c>
      <c r="G174" s="349">
        <v>67269.957813983725</v>
      </c>
      <c r="H174" s="349">
        <v>1.85662734289529</v>
      </c>
      <c r="I174" s="349">
        <v>0.29458061428601001</v>
      </c>
      <c r="J174" s="349" t="s">
        <v>556</v>
      </c>
    </row>
    <row r="175" spans="1:10" x14ac:dyDescent="0.25">
      <c r="A175" s="313" t="s">
        <v>553</v>
      </c>
      <c r="B175" s="351">
        <v>24762.86184900811</v>
      </c>
      <c r="C175" s="349" t="s">
        <v>552</v>
      </c>
      <c r="D175" s="349">
        <v>74.659973794071973</v>
      </c>
      <c r="E175" s="349">
        <v>3.14261395689477</v>
      </c>
      <c r="F175" s="349">
        <v>2.7551405439150698</v>
      </c>
      <c r="G175" s="351">
        <v>1848.7946167131702</v>
      </c>
      <c r="H175" s="351">
        <v>7.7820115259349995E-2</v>
      </c>
      <c r="I175" s="351">
        <v>6.8225164663569995E-2</v>
      </c>
      <c r="J175" s="351" t="s">
        <v>494</v>
      </c>
    </row>
    <row r="176" spans="1:10" x14ac:dyDescent="0.25">
      <c r="A176" s="313" t="s">
        <v>554</v>
      </c>
      <c r="B176" s="351">
        <v>102052.05654493057</v>
      </c>
      <c r="C176" s="349" t="s">
        <v>552</v>
      </c>
      <c r="D176" s="349">
        <v>89.645233903118736</v>
      </c>
      <c r="E176" s="349">
        <v>9.5</v>
      </c>
      <c r="F176" s="349">
        <v>1.42500000000004</v>
      </c>
      <c r="G176" s="351">
        <v>9148.4804792646009</v>
      </c>
      <c r="H176" s="351">
        <v>0.96949453717683998</v>
      </c>
      <c r="I176" s="351">
        <v>0.14542418057653</v>
      </c>
      <c r="J176" s="351" t="s">
        <v>494</v>
      </c>
    </row>
    <row r="177" spans="1:10" x14ac:dyDescent="0.25">
      <c r="A177" s="313" t="s">
        <v>555</v>
      </c>
      <c r="B177" s="351">
        <v>1074578.3732386879</v>
      </c>
      <c r="C177" s="349" t="s">
        <v>552</v>
      </c>
      <c r="D177" s="349">
        <v>52.367220594999388</v>
      </c>
      <c r="E177" s="349">
        <v>0.7531444058565</v>
      </c>
      <c r="F177" s="349">
        <v>7.5314440585649997E-2</v>
      </c>
      <c r="G177" s="351">
        <v>56272.682718005955</v>
      </c>
      <c r="H177" s="351">
        <v>0.80931269045910004</v>
      </c>
      <c r="I177" s="351">
        <v>8.0931269045909998E-2</v>
      </c>
      <c r="J177" s="351" t="s">
        <v>494</v>
      </c>
    </row>
    <row r="178" spans="1:10" x14ac:dyDescent="0.25">
      <c r="A178" s="313" t="s">
        <v>3256</v>
      </c>
      <c r="B178" s="351" t="s">
        <v>523</v>
      </c>
      <c r="C178" s="349" t="s">
        <v>552</v>
      </c>
      <c r="D178" s="349" t="s">
        <v>523</v>
      </c>
      <c r="E178" s="349" t="s">
        <v>523</v>
      </c>
      <c r="F178" s="349" t="s">
        <v>523</v>
      </c>
      <c r="G178" s="351" t="s">
        <v>523</v>
      </c>
      <c r="H178" s="351" t="s">
        <v>523</v>
      </c>
      <c r="I178" s="351" t="s">
        <v>523</v>
      </c>
      <c r="J178" s="351" t="s">
        <v>523</v>
      </c>
    </row>
    <row r="179" spans="1:10" x14ac:dyDescent="0.25">
      <c r="A179" s="313" t="s">
        <v>3257</v>
      </c>
      <c r="B179" s="351" t="s">
        <v>523</v>
      </c>
      <c r="C179" s="349" t="s">
        <v>552</v>
      </c>
      <c r="D179" s="349" t="s">
        <v>523</v>
      </c>
      <c r="E179" s="349" t="s">
        <v>523</v>
      </c>
      <c r="F179" s="349" t="s">
        <v>523</v>
      </c>
      <c r="G179" s="351" t="s">
        <v>523</v>
      </c>
      <c r="H179" s="351" t="s">
        <v>523</v>
      </c>
      <c r="I179" s="351" t="s">
        <v>523</v>
      </c>
      <c r="J179" s="351" t="s">
        <v>523</v>
      </c>
    </row>
    <row r="180" spans="1:10" x14ac:dyDescent="0.25">
      <c r="A180" s="313" t="s">
        <v>3258</v>
      </c>
      <c r="B180" s="351" t="s">
        <v>496</v>
      </c>
      <c r="C180" s="349" t="s">
        <v>552</v>
      </c>
      <c r="D180" s="349" t="s">
        <v>528</v>
      </c>
      <c r="E180" s="349" t="s">
        <v>496</v>
      </c>
      <c r="F180" s="349" t="s">
        <v>496</v>
      </c>
      <c r="G180" s="351" t="s">
        <v>496</v>
      </c>
      <c r="H180" s="351" t="s">
        <v>496</v>
      </c>
      <c r="I180" s="351" t="s">
        <v>496</v>
      </c>
      <c r="J180" s="351" t="s">
        <v>494</v>
      </c>
    </row>
    <row r="181" spans="1:10" x14ac:dyDescent="0.25">
      <c r="A181" s="314" t="s">
        <v>501</v>
      </c>
      <c r="B181" s="349">
        <v>644986.316561252</v>
      </c>
      <c r="C181" s="349" t="s">
        <v>552</v>
      </c>
      <c r="D181" s="350" t="s">
        <v>189</v>
      </c>
      <c r="E181" s="350" t="s">
        <v>189</v>
      </c>
      <c r="F181" s="350" t="s">
        <v>189</v>
      </c>
      <c r="G181" s="349">
        <v>45070.579654334128</v>
      </c>
      <c r="H181" s="349">
        <v>3.0283235843053902</v>
      </c>
      <c r="I181" s="349">
        <v>0.52839203850651995</v>
      </c>
      <c r="J181" s="349" t="s">
        <v>556</v>
      </c>
    </row>
    <row r="182" spans="1:10" x14ac:dyDescent="0.25">
      <c r="A182" s="313" t="s">
        <v>553</v>
      </c>
      <c r="B182" s="351">
        <v>37854.22878650669</v>
      </c>
      <c r="C182" s="349" t="s">
        <v>552</v>
      </c>
      <c r="D182" s="349">
        <v>74.659973794071973</v>
      </c>
      <c r="E182" s="349">
        <v>3.1426139568949401</v>
      </c>
      <c r="F182" s="349">
        <v>2.7551405439150298</v>
      </c>
      <c r="G182" s="351">
        <v>2826.1957291953945</v>
      </c>
      <c r="H182" s="351">
        <v>0.11896122771197</v>
      </c>
      <c r="I182" s="351">
        <v>0.10429372048834</v>
      </c>
      <c r="J182" s="351" t="s">
        <v>494</v>
      </c>
    </row>
    <row r="183" spans="1:10" x14ac:dyDescent="0.25">
      <c r="A183" s="313" t="s">
        <v>554</v>
      </c>
      <c r="B183" s="351">
        <v>280341.22601860663</v>
      </c>
      <c r="C183" s="349" t="s">
        <v>552</v>
      </c>
      <c r="D183" s="349">
        <v>89.645233903118736</v>
      </c>
      <c r="E183" s="349">
        <v>9.4999999999999893</v>
      </c>
      <c r="F183" s="349">
        <v>1.4249999999999801</v>
      </c>
      <c r="G183" s="351">
        <v>25131.254779125069</v>
      </c>
      <c r="H183" s="351">
        <v>2.6632416471767599</v>
      </c>
      <c r="I183" s="351">
        <v>0.39948624707650998</v>
      </c>
      <c r="J183" s="351" t="s">
        <v>494</v>
      </c>
    </row>
    <row r="184" spans="1:10" x14ac:dyDescent="0.25">
      <c r="A184" s="313" t="s">
        <v>555</v>
      </c>
      <c r="B184" s="351">
        <v>326790.86175613868</v>
      </c>
      <c r="C184" s="349" t="s">
        <v>552</v>
      </c>
      <c r="D184" s="349">
        <v>52.367220594999388</v>
      </c>
      <c r="E184" s="349">
        <v>0.7531444058565</v>
      </c>
      <c r="F184" s="349">
        <v>7.5314440585660003E-2</v>
      </c>
      <c r="G184" s="351">
        <v>17113.129146013664</v>
      </c>
      <c r="H184" s="351">
        <v>0.24612070941666001</v>
      </c>
      <c r="I184" s="351">
        <v>2.4612070941669999E-2</v>
      </c>
      <c r="J184" s="351" t="s">
        <v>494</v>
      </c>
    </row>
    <row r="185" spans="1:10" x14ac:dyDescent="0.25">
      <c r="A185" s="313" t="s">
        <v>3256</v>
      </c>
      <c r="B185" s="351" t="s">
        <v>523</v>
      </c>
      <c r="C185" s="349" t="s">
        <v>552</v>
      </c>
      <c r="D185" s="349" t="s">
        <v>523</v>
      </c>
      <c r="E185" s="349" t="s">
        <v>523</v>
      </c>
      <c r="F185" s="349" t="s">
        <v>523</v>
      </c>
      <c r="G185" s="351" t="s">
        <v>523</v>
      </c>
      <c r="H185" s="351" t="s">
        <v>523</v>
      </c>
      <c r="I185" s="351" t="s">
        <v>523</v>
      </c>
      <c r="J185" s="351" t="s">
        <v>523</v>
      </c>
    </row>
    <row r="186" spans="1:10" x14ac:dyDescent="0.25">
      <c r="A186" s="313" t="s">
        <v>3257</v>
      </c>
      <c r="B186" s="351" t="s">
        <v>523</v>
      </c>
      <c r="C186" s="349" t="s">
        <v>552</v>
      </c>
      <c r="D186" s="349" t="s">
        <v>523</v>
      </c>
      <c r="E186" s="349" t="s">
        <v>523</v>
      </c>
      <c r="F186" s="349" t="s">
        <v>523</v>
      </c>
      <c r="G186" s="351" t="s">
        <v>523</v>
      </c>
      <c r="H186" s="351" t="s">
        <v>523</v>
      </c>
      <c r="I186" s="351" t="s">
        <v>523</v>
      </c>
      <c r="J186" s="351" t="s">
        <v>523</v>
      </c>
    </row>
    <row r="187" spans="1:10" x14ac:dyDescent="0.25">
      <c r="A187" s="313" t="s">
        <v>3258</v>
      </c>
      <c r="B187" s="351" t="s">
        <v>496</v>
      </c>
      <c r="C187" s="349" t="s">
        <v>552</v>
      </c>
      <c r="D187" s="349" t="s">
        <v>528</v>
      </c>
      <c r="E187" s="349" t="s">
        <v>496</v>
      </c>
      <c r="F187" s="349" t="s">
        <v>496</v>
      </c>
      <c r="G187" s="351" t="s">
        <v>496</v>
      </c>
      <c r="H187" s="351" t="s">
        <v>496</v>
      </c>
      <c r="I187" s="351" t="s">
        <v>496</v>
      </c>
      <c r="J187" s="351" t="s">
        <v>494</v>
      </c>
    </row>
    <row r="188" spans="1:10" x14ac:dyDescent="0.25">
      <c r="A188" s="314" t="s">
        <v>502</v>
      </c>
      <c r="B188" s="349">
        <v>644167.08432937111</v>
      </c>
      <c r="C188" s="349" t="s">
        <v>552</v>
      </c>
      <c r="D188" s="350" t="s">
        <v>189</v>
      </c>
      <c r="E188" s="350" t="s">
        <v>189</v>
      </c>
      <c r="F188" s="350" t="s">
        <v>189</v>
      </c>
      <c r="G188" s="349">
        <v>46357.764227420019</v>
      </c>
      <c r="H188" s="349">
        <v>3.41919088614388</v>
      </c>
      <c r="I188" s="349">
        <v>0.52415757023381004</v>
      </c>
      <c r="J188" s="349" t="s">
        <v>556</v>
      </c>
    </row>
    <row r="189" spans="1:10" x14ac:dyDescent="0.25">
      <c r="A189" s="313" t="s">
        <v>553</v>
      </c>
      <c r="B189" s="351">
        <v>9910.6834716533631</v>
      </c>
      <c r="C189" s="349" t="s">
        <v>552</v>
      </c>
      <c r="D189" s="349">
        <v>74.659973794071973</v>
      </c>
      <c r="E189" s="349">
        <v>3.1426139568943499</v>
      </c>
      <c r="F189" s="349">
        <v>2.7551405439149499</v>
      </c>
      <c r="G189" s="351">
        <v>739.93136827498245</v>
      </c>
      <c r="H189" s="351">
        <v>3.1145452200380001E-2</v>
      </c>
      <c r="I189" s="351">
        <v>2.7305325850659999E-2</v>
      </c>
      <c r="J189" s="351" t="s">
        <v>494</v>
      </c>
    </row>
    <row r="190" spans="1:10" x14ac:dyDescent="0.25">
      <c r="A190" s="313" t="s">
        <v>554</v>
      </c>
      <c r="B190" s="351">
        <v>332732.0020816935</v>
      </c>
      <c r="C190" s="349" t="s">
        <v>552</v>
      </c>
      <c r="D190" s="349">
        <v>89.645233903118736</v>
      </c>
      <c r="E190" s="349">
        <v>9.5000000000000107</v>
      </c>
      <c r="F190" s="349">
        <v>1.4249999999999901</v>
      </c>
      <c r="G190" s="351">
        <v>29827.838153666406</v>
      </c>
      <c r="H190" s="351">
        <v>3.1609540197760899</v>
      </c>
      <c r="I190" s="351">
        <v>0.47414310296640999</v>
      </c>
      <c r="J190" s="351" t="s">
        <v>494</v>
      </c>
    </row>
    <row r="191" spans="1:10" x14ac:dyDescent="0.25">
      <c r="A191" s="313" t="s">
        <v>555</v>
      </c>
      <c r="B191" s="351">
        <v>301524.39877602429</v>
      </c>
      <c r="C191" s="349" t="s">
        <v>552</v>
      </c>
      <c r="D191" s="349">
        <v>52.367220594999388</v>
      </c>
      <c r="E191" s="349">
        <v>0.75314440585650999</v>
      </c>
      <c r="F191" s="349">
        <v>7.5314440585649997E-2</v>
      </c>
      <c r="G191" s="351">
        <v>15789.994705478628</v>
      </c>
      <c r="H191" s="351">
        <v>0.22709141416740999</v>
      </c>
      <c r="I191" s="351">
        <v>2.2709141416739999E-2</v>
      </c>
      <c r="J191" s="351" t="s">
        <v>494</v>
      </c>
    </row>
    <row r="192" spans="1:10" x14ac:dyDescent="0.25">
      <c r="A192" s="313" t="s">
        <v>3256</v>
      </c>
      <c r="B192" s="351" t="s">
        <v>523</v>
      </c>
      <c r="C192" s="349" t="s">
        <v>552</v>
      </c>
      <c r="D192" s="349" t="s">
        <v>523</v>
      </c>
      <c r="E192" s="349" t="s">
        <v>523</v>
      </c>
      <c r="F192" s="349" t="s">
        <v>523</v>
      </c>
      <c r="G192" s="351" t="s">
        <v>523</v>
      </c>
      <c r="H192" s="351" t="s">
        <v>523</v>
      </c>
      <c r="I192" s="351" t="s">
        <v>523</v>
      </c>
      <c r="J192" s="351" t="s">
        <v>523</v>
      </c>
    </row>
    <row r="193" spans="1:10" x14ac:dyDescent="0.25">
      <c r="A193" s="313" t="s">
        <v>3257</v>
      </c>
      <c r="B193" s="351" t="s">
        <v>523</v>
      </c>
      <c r="C193" s="349" t="s">
        <v>552</v>
      </c>
      <c r="D193" s="349" t="s">
        <v>523</v>
      </c>
      <c r="E193" s="349" t="s">
        <v>523</v>
      </c>
      <c r="F193" s="349" t="s">
        <v>523</v>
      </c>
      <c r="G193" s="351" t="s">
        <v>523</v>
      </c>
      <c r="H193" s="351" t="s">
        <v>523</v>
      </c>
      <c r="I193" s="351" t="s">
        <v>523</v>
      </c>
      <c r="J193" s="351" t="s">
        <v>523</v>
      </c>
    </row>
    <row r="194" spans="1:10" x14ac:dyDescent="0.25">
      <c r="A194" s="313" t="s">
        <v>3258</v>
      </c>
      <c r="B194" s="351" t="s">
        <v>496</v>
      </c>
      <c r="C194" s="349" t="s">
        <v>552</v>
      </c>
      <c r="D194" s="349" t="s">
        <v>528</v>
      </c>
      <c r="E194" s="349" t="s">
        <v>496</v>
      </c>
      <c r="F194" s="349" t="s">
        <v>496</v>
      </c>
      <c r="G194" s="351" t="s">
        <v>496</v>
      </c>
      <c r="H194" s="351" t="s">
        <v>496</v>
      </c>
      <c r="I194" s="351" t="s">
        <v>496</v>
      </c>
      <c r="J194" s="351" t="s">
        <v>494</v>
      </c>
    </row>
    <row r="195" spans="1:10" x14ac:dyDescent="0.25">
      <c r="A195" s="314" t="s">
        <v>503</v>
      </c>
      <c r="B195" s="349">
        <v>526636.63815383136</v>
      </c>
      <c r="C195" s="349" t="s">
        <v>552</v>
      </c>
      <c r="D195" s="350" t="s">
        <v>189</v>
      </c>
      <c r="E195" s="350" t="s">
        <v>189</v>
      </c>
      <c r="F195" s="350" t="s">
        <v>189</v>
      </c>
      <c r="G195" s="349">
        <v>36302.033778109631</v>
      </c>
      <c r="H195" s="349">
        <v>2.4295382607283198</v>
      </c>
      <c r="I195" s="349">
        <v>0.36471649490099001</v>
      </c>
      <c r="J195" s="349" t="s">
        <v>556</v>
      </c>
    </row>
    <row r="196" spans="1:10" x14ac:dyDescent="0.25">
      <c r="A196" s="313" t="s">
        <v>553</v>
      </c>
      <c r="B196" s="351">
        <v>4917.664842663351</v>
      </c>
      <c r="C196" s="349" t="s">
        <v>552</v>
      </c>
      <c r="D196" s="349">
        <v>74.659973794071973</v>
      </c>
      <c r="E196" s="349">
        <v>3.14261395689384</v>
      </c>
      <c r="F196" s="349">
        <v>2.7551405439155698</v>
      </c>
      <c r="G196" s="351">
        <v>367.1527282812749</v>
      </c>
      <c r="H196" s="351">
        <v>1.545432216988E-2</v>
      </c>
      <c r="I196" s="351">
        <v>1.354885778941E-2</v>
      </c>
      <c r="J196" s="351" t="s">
        <v>494</v>
      </c>
    </row>
    <row r="197" spans="1:10" x14ac:dyDescent="0.25">
      <c r="A197" s="313" t="s">
        <v>554</v>
      </c>
      <c r="B197" s="351">
        <v>231072.091064726</v>
      </c>
      <c r="C197" s="349" t="s">
        <v>552</v>
      </c>
      <c r="D197" s="349">
        <v>89.645233903118736</v>
      </c>
      <c r="E197" s="349">
        <v>9.5000000000000107</v>
      </c>
      <c r="F197" s="349">
        <v>1.4249999999999801</v>
      </c>
      <c r="G197" s="351">
        <v>20714.511651980116</v>
      </c>
      <c r="H197" s="351">
        <v>2.1951848651149</v>
      </c>
      <c r="I197" s="351">
        <v>0.32927772976723002</v>
      </c>
      <c r="J197" s="351" t="s">
        <v>494</v>
      </c>
    </row>
    <row r="198" spans="1:10" x14ac:dyDescent="0.25">
      <c r="A198" s="313" t="s">
        <v>555</v>
      </c>
      <c r="B198" s="351">
        <v>290646.88224644202</v>
      </c>
      <c r="C198" s="349" t="s">
        <v>552</v>
      </c>
      <c r="D198" s="349">
        <v>52.367220594999388</v>
      </c>
      <c r="E198" s="349">
        <v>0.7531444058565</v>
      </c>
      <c r="F198" s="349">
        <v>7.5314440585640005E-2</v>
      </c>
      <c r="G198" s="351">
        <v>15220.369397848241</v>
      </c>
      <c r="H198" s="351">
        <v>0.21889907344354001</v>
      </c>
      <c r="I198" s="351">
        <v>2.188990734435E-2</v>
      </c>
      <c r="J198" s="351" t="s">
        <v>494</v>
      </c>
    </row>
    <row r="199" spans="1:10" x14ac:dyDescent="0.25">
      <c r="A199" s="313" t="s">
        <v>3256</v>
      </c>
      <c r="B199" s="351" t="s">
        <v>523</v>
      </c>
      <c r="C199" s="349" t="s">
        <v>552</v>
      </c>
      <c r="D199" s="349" t="s">
        <v>523</v>
      </c>
      <c r="E199" s="349" t="s">
        <v>523</v>
      </c>
      <c r="F199" s="349" t="s">
        <v>523</v>
      </c>
      <c r="G199" s="351" t="s">
        <v>523</v>
      </c>
      <c r="H199" s="351" t="s">
        <v>523</v>
      </c>
      <c r="I199" s="351" t="s">
        <v>523</v>
      </c>
      <c r="J199" s="351" t="s">
        <v>523</v>
      </c>
    </row>
    <row r="200" spans="1:10" x14ac:dyDescent="0.25">
      <c r="A200" s="315" t="s">
        <v>3257</v>
      </c>
      <c r="B200" s="351" t="s">
        <v>523</v>
      </c>
      <c r="C200" s="349" t="s">
        <v>552</v>
      </c>
      <c r="D200" s="349" t="s">
        <v>523</v>
      </c>
      <c r="E200" s="349" t="s">
        <v>523</v>
      </c>
      <c r="F200" s="349" t="s">
        <v>523</v>
      </c>
      <c r="G200" s="351" t="s">
        <v>523</v>
      </c>
      <c r="H200" s="351" t="s">
        <v>523</v>
      </c>
      <c r="I200" s="351" t="s">
        <v>523</v>
      </c>
      <c r="J200" s="351" t="s">
        <v>523</v>
      </c>
    </row>
    <row r="201" spans="1:10" x14ac:dyDescent="0.25">
      <c r="A201" s="313" t="s">
        <v>3258</v>
      </c>
      <c r="B201" s="351" t="s">
        <v>496</v>
      </c>
      <c r="C201" s="349" t="s">
        <v>552</v>
      </c>
      <c r="D201" s="349" t="s">
        <v>528</v>
      </c>
      <c r="E201" s="349" t="s">
        <v>496</v>
      </c>
      <c r="F201" s="349" t="s">
        <v>496</v>
      </c>
      <c r="G201" s="351" t="s">
        <v>496</v>
      </c>
      <c r="H201" s="351" t="s">
        <v>496</v>
      </c>
      <c r="I201" s="351" t="s">
        <v>496</v>
      </c>
      <c r="J201" s="351" t="s">
        <v>494</v>
      </c>
    </row>
    <row r="202" spans="1:10" x14ac:dyDescent="0.25">
      <c r="A202" s="314" t="s">
        <v>3259</v>
      </c>
      <c r="B202" s="349">
        <v>9478042.3525714055</v>
      </c>
      <c r="C202" s="349" t="s">
        <v>552</v>
      </c>
      <c r="D202" s="350" t="s">
        <v>189</v>
      </c>
      <c r="E202" s="350" t="s">
        <v>189</v>
      </c>
      <c r="F202" s="350" t="s">
        <v>189</v>
      </c>
      <c r="G202" s="349">
        <v>496191.34475228947</v>
      </c>
      <c r="H202" s="349">
        <v>55.440376544157949</v>
      </c>
      <c r="I202" s="349">
        <v>7.5655556189400004</v>
      </c>
      <c r="J202" s="349" t="s">
        <v>556</v>
      </c>
    </row>
    <row r="203" spans="1:10" x14ac:dyDescent="0.25">
      <c r="A203" s="309" t="s">
        <v>571</v>
      </c>
      <c r="B203" s="349">
        <v>9478042.3525714055</v>
      </c>
      <c r="C203" s="349" t="s">
        <v>552</v>
      </c>
      <c r="D203" s="350" t="s">
        <v>189</v>
      </c>
      <c r="E203" s="350" t="s">
        <v>189</v>
      </c>
      <c r="F203" s="350" t="s">
        <v>189</v>
      </c>
      <c r="G203" s="349">
        <v>496191.34475228947</v>
      </c>
      <c r="H203" s="349">
        <v>55.440376544157949</v>
      </c>
      <c r="I203" s="349">
        <v>7.5655556189400004</v>
      </c>
      <c r="J203" s="349" t="s">
        <v>556</v>
      </c>
    </row>
    <row r="204" spans="1:10" x14ac:dyDescent="0.25">
      <c r="A204" s="310" t="s">
        <v>572</v>
      </c>
      <c r="B204" s="349">
        <v>9478042.3525714055</v>
      </c>
      <c r="C204" s="349" t="s">
        <v>552</v>
      </c>
      <c r="D204" s="350" t="s">
        <v>189</v>
      </c>
      <c r="E204" s="350" t="s">
        <v>189</v>
      </c>
      <c r="F204" s="350" t="s">
        <v>189</v>
      </c>
      <c r="G204" s="349">
        <v>496191.34475228947</v>
      </c>
      <c r="H204" s="349">
        <v>55.440376544157949</v>
      </c>
      <c r="I204" s="349">
        <v>7.5655556189400004</v>
      </c>
      <c r="J204" s="349" t="s">
        <v>556</v>
      </c>
    </row>
    <row r="205" spans="1:10" x14ac:dyDescent="0.25">
      <c r="A205" s="316" t="s">
        <v>559</v>
      </c>
      <c r="B205" s="351">
        <v>3200357.1751622786</v>
      </c>
      <c r="C205" s="349" t="s">
        <v>552</v>
      </c>
      <c r="D205" s="349">
        <v>74.659973794071988</v>
      </c>
      <c r="E205" s="349">
        <v>2.5800388524872</v>
      </c>
      <c r="F205" s="349">
        <v>0.42044594908624999</v>
      </c>
      <c r="G205" s="351">
        <v>238938.58282928597</v>
      </c>
      <c r="H205" s="351">
        <v>8.2570458537548692</v>
      </c>
      <c r="I205" s="351">
        <v>1.3455772099261001</v>
      </c>
      <c r="J205" s="351" t="s">
        <v>494</v>
      </c>
    </row>
    <row r="206" spans="1:10" x14ac:dyDescent="0.25">
      <c r="A206" s="316" t="s">
        <v>560</v>
      </c>
      <c r="B206" s="351">
        <v>259275.11556257354</v>
      </c>
      <c r="C206" s="349" t="s">
        <v>552</v>
      </c>
      <c r="D206" s="349">
        <v>89.645233903118793</v>
      </c>
      <c r="E206" s="349">
        <v>9.5000000000000107</v>
      </c>
      <c r="F206" s="349">
        <v>1.42500000000001</v>
      </c>
      <c r="G206" s="351">
        <v>23242.778379865063</v>
      </c>
      <c r="H206" s="351">
        <v>2.4631135978444498</v>
      </c>
      <c r="I206" s="351">
        <v>0.36946703967666999</v>
      </c>
      <c r="J206" s="351" t="s">
        <v>494</v>
      </c>
    </row>
    <row r="207" spans="1:10" x14ac:dyDescent="0.25">
      <c r="A207" s="316" t="s">
        <v>561</v>
      </c>
      <c r="B207" s="351">
        <v>4468634.7849724228</v>
      </c>
      <c r="C207" s="349" t="s">
        <v>552</v>
      </c>
      <c r="D207" s="349">
        <v>52.367220594999367</v>
      </c>
      <c r="E207" s="349">
        <v>0.75314440585650999</v>
      </c>
      <c r="F207" s="349">
        <v>7.5314440585649997E-2</v>
      </c>
      <c r="G207" s="351">
        <v>234009.98354313846</v>
      </c>
      <c r="H207" s="351">
        <v>3.36552729011777</v>
      </c>
      <c r="I207" s="351">
        <v>0.33655272901178002</v>
      </c>
      <c r="J207" s="351" t="s">
        <v>494</v>
      </c>
    </row>
    <row r="208" spans="1:10" x14ac:dyDescent="0.25">
      <c r="A208" s="316" t="s">
        <v>562</v>
      </c>
      <c r="B208" s="351" t="s">
        <v>523</v>
      </c>
      <c r="C208" s="349" t="s">
        <v>552</v>
      </c>
      <c r="D208" s="349" t="s">
        <v>523</v>
      </c>
      <c r="E208" s="349" t="s">
        <v>523</v>
      </c>
      <c r="F208" s="349" t="s">
        <v>523</v>
      </c>
      <c r="G208" s="351" t="s">
        <v>523</v>
      </c>
      <c r="H208" s="351" t="s">
        <v>523</v>
      </c>
      <c r="I208" s="351" t="s">
        <v>523</v>
      </c>
      <c r="J208" s="351" t="s">
        <v>523</v>
      </c>
    </row>
    <row r="209" spans="1:10" x14ac:dyDescent="0.25">
      <c r="A209" s="316" t="s">
        <v>563</v>
      </c>
      <c r="B209" s="351" t="s">
        <v>523</v>
      </c>
      <c r="C209" s="349" t="s">
        <v>552</v>
      </c>
      <c r="D209" s="349" t="s">
        <v>523</v>
      </c>
      <c r="E209" s="349" t="s">
        <v>523</v>
      </c>
      <c r="F209" s="349" t="s">
        <v>523</v>
      </c>
      <c r="G209" s="351" t="s">
        <v>523</v>
      </c>
      <c r="H209" s="351" t="s">
        <v>523</v>
      </c>
      <c r="I209" s="351" t="s">
        <v>523</v>
      </c>
      <c r="J209" s="351" t="s">
        <v>523</v>
      </c>
    </row>
    <row r="210" spans="1:10" x14ac:dyDescent="0.25">
      <c r="A210" s="316" t="s">
        <v>92</v>
      </c>
      <c r="B210" s="351">
        <v>1549775.2768741304</v>
      </c>
      <c r="C210" s="349" t="s">
        <v>552</v>
      </c>
      <c r="D210" s="349">
        <v>88.686898265961545</v>
      </c>
      <c r="E210" s="349">
        <v>26.684313796676729</v>
      </c>
      <c r="F210" s="349">
        <v>3.55790850622357</v>
      </c>
      <c r="G210" s="351">
        <v>137444.76231523839</v>
      </c>
      <c r="H210" s="351">
        <v>41.354689802440859</v>
      </c>
      <c r="I210" s="351">
        <v>5.5139586403254501</v>
      </c>
      <c r="J210" s="351" t="s">
        <v>494</v>
      </c>
    </row>
    <row r="211" spans="1:10" x14ac:dyDescent="0.25">
      <c r="A211" s="317" t="s">
        <v>573</v>
      </c>
      <c r="B211" s="349">
        <v>27381911.119104017</v>
      </c>
      <c r="C211" s="349" t="s">
        <v>552</v>
      </c>
      <c r="D211" s="350" t="s">
        <v>189</v>
      </c>
      <c r="E211" s="350" t="s">
        <v>189</v>
      </c>
      <c r="F211" s="350" t="s">
        <v>189</v>
      </c>
      <c r="G211" s="349">
        <v>1830505.6056332772</v>
      </c>
      <c r="H211" s="349">
        <v>160.28001983992968</v>
      </c>
      <c r="I211" s="349">
        <v>137.97722792661688</v>
      </c>
    </row>
    <row r="212" spans="1:10" x14ac:dyDescent="0.25">
      <c r="A212" s="305" t="s">
        <v>553</v>
      </c>
      <c r="B212" s="349">
        <v>26378279.690856297</v>
      </c>
      <c r="C212" s="349" t="s">
        <v>552</v>
      </c>
      <c r="D212" s="349">
        <v>68.140519616442361</v>
      </c>
      <c r="E212" s="349">
        <v>5.7327599121391097</v>
      </c>
      <c r="F212" s="349">
        <v>5.2271031113979696</v>
      </c>
      <c r="G212" s="349">
        <v>1797429.6847227968</v>
      </c>
      <c r="H212" s="349">
        <v>151.2203443629343</v>
      </c>
      <c r="I212" s="349">
        <v>137.88198784540089</v>
      </c>
    </row>
    <row r="213" spans="1:10" x14ac:dyDescent="0.25">
      <c r="A213" s="305" t="s">
        <v>554</v>
      </c>
      <c r="B213" s="349" t="s">
        <v>523</v>
      </c>
      <c r="C213" s="349" t="s">
        <v>552</v>
      </c>
      <c r="D213" s="349" t="s">
        <v>523</v>
      </c>
      <c r="E213" s="349" t="s">
        <v>523</v>
      </c>
      <c r="F213" s="349" t="s">
        <v>523</v>
      </c>
      <c r="G213" s="349" t="s">
        <v>523</v>
      </c>
      <c r="H213" s="349" t="s">
        <v>523</v>
      </c>
      <c r="I213" s="349" t="s">
        <v>523</v>
      </c>
    </row>
    <row r="214" spans="1:10" x14ac:dyDescent="0.25">
      <c r="A214" s="305" t="s">
        <v>555</v>
      </c>
      <c r="B214" s="349">
        <v>658252.51161717589</v>
      </c>
      <c r="C214" s="349" t="s">
        <v>552</v>
      </c>
      <c r="D214" s="349">
        <v>50.248073994006511</v>
      </c>
      <c r="E214" s="349">
        <v>13.756093189850089</v>
      </c>
      <c r="F214" s="349">
        <v>0.13734370307478</v>
      </c>
      <c r="G214" s="349">
        <v>33075.920910480483</v>
      </c>
      <c r="H214" s="349">
        <v>9.0549828922587494</v>
      </c>
      <c r="I214" s="349">
        <v>9.0406837503779994E-2</v>
      </c>
    </row>
    <row r="215" spans="1:10" x14ac:dyDescent="0.25">
      <c r="A215" s="305" t="s">
        <v>3251</v>
      </c>
      <c r="B215" s="349" t="s">
        <v>568</v>
      </c>
      <c r="C215" s="349" t="s">
        <v>552</v>
      </c>
      <c r="D215" s="349" t="s">
        <v>568</v>
      </c>
      <c r="E215" s="349" t="s">
        <v>3135</v>
      </c>
      <c r="F215" s="349" t="s">
        <v>3135</v>
      </c>
      <c r="G215" s="349" t="s">
        <v>568</v>
      </c>
      <c r="H215" s="349" t="s">
        <v>3135</v>
      </c>
      <c r="I215" s="349" t="s">
        <v>3135</v>
      </c>
    </row>
    <row r="216" spans="1:10" x14ac:dyDescent="0.25">
      <c r="A216" s="305" t="s">
        <v>3253</v>
      </c>
      <c r="B216" s="349">
        <v>345378.91663054173</v>
      </c>
      <c r="C216" s="349" t="s">
        <v>552</v>
      </c>
      <c r="D216" s="349">
        <v>65.065035461819363</v>
      </c>
      <c r="E216" s="349">
        <v>1.358677241335E-2</v>
      </c>
      <c r="F216" s="349">
        <v>1.399403229176E-2</v>
      </c>
      <c r="G216" s="349">
        <v>22472.091458330953</v>
      </c>
      <c r="H216" s="349">
        <v>4.6925847366299997E-3</v>
      </c>
      <c r="I216" s="349">
        <v>4.8332437122200001E-3</v>
      </c>
    </row>
    <row r="217" spans="1:10" x14ac:dyDescent="0.25">
      <c r="A217" s="67" t="s">
        <v>3260</v>
      </c>
      <c r="B217" s="349">
        <v>2513561.9207105725</v>
      </c>
      <c r="C217" s="349" t="s">
        <v>552</v>
      </c>
      <c r="D217" s="350" t="s">
        <v>189</v>
      </c>
      <c r="E217" s="350" t="s">
        <v>189</v>
      </c>
      <c r="F217" s="350" t="s">
        <v>189</v>
      </c>
      <c r="G217" s="349">
        <v>170713.69036083069</v>
      </c>
      <c r="H217" s="349">
        <v>2.0771880881664</v>
      </c>
      <c r="I217" s="349">
        <v>5.2617344805668296</v>
      </c>
    </row>
    <row r="218" spans="1:10" x14ac:dyDescent="0.25">
      <c r="A218" s="305" t="s">
        <v>574</v>
      </c>
      <c r="B218" s="351">
        <v>37296.193325856322</v>
      </c>
      <c r="C218" s="349" t="s">
        <v>552</v>
      </c>
      <c r="D218" s="349">
        <v>65.528560814054615</v>
      </c>
      <c r="E218" s="349">
        <v>55.694372613795643</v>
      </c>
      <c r="F218" s="349">
        <v>0.84385413051206004</v>
      </c>
      <c r="G218" s="351">
        <v>2443.9658724861142</v>
      </c>
      <c r="H218" s="351">
        <v>2.0771880881664</v>
      </c>
      <c r="I218" s="351">
        <v>3.1472546790399999E-2</v>
      </c>
    </row>
    <row r="219" spans="1:10" x14ac:dyDescent="0.25">
      <c r="A219" s="305" t="s">
        <v>575</v>
      </c>
      <c r="B219" s="351">
        <v>2476265.7273847163</v>
      </c>
      <c r="C219" s="349" t="s">
        <v>552</v>
      </c>
      <c r="D219" s="349">
        <v>67.953015957645619</v>
      </c>
      <c r="E219" s="349" t="s">
        <v>523</v>
      </c>
      <c r="F219" s="349">
        <v>2.1121569773129001</v>
      </c>
      <c r="G219" s="351">
        <v>168269.72448834457</v>
      </c>
      <c r="H219" s="351" t="s">
        <v>523</v>
      </c>
      <c r="I219" s="351">
        <v>5.23026193377643</v>
      </c>
    </row>
    <row r="220" spans="1:10" x14ac:dyDescent="0.25">
      <c r="A220" s="305" t="s">
        <v>92</v>
      </c>
      <c r="B220" s="351" t="s">
        <v>523</v>
      </c>
      <c r="C220" s="349" t="s">
        <v>552</v>
      </c>
      <c r="D220" s="349" t="s">
        <v>523</v>
      </c>
      <c r="E220" s="349" t="s">
        <v>523</v>
      </c>
      <c r="F220" s="349" t="s">
        <v>523</v>
      </c>
      <c r="G220" s="351" t="s">
        <v>523</v>
      </c>
      <c r="H220" s="351" t="s">
        <v>523</v>
      </c>
      <c r="I220" s="351" t="s">
        <v>523</v>
      </c>
    </row>
    <row r="221" spans="1:10" x14ac:dyDescent="0.25">
      <c r="A221" s="318" t="s">
        <v>3261</v>
      </c>
      <c r="B221" s="349">
        <v>23026953.414224558</v>
      </c>
      <c r="C221" s="349" t="s">
        <v>552</v>
      </c>
      <c r="D221" s="350" t="s">
        <v>189</v>
      </c>
      <c r="E221" s="350" t="s">
        <v>189</v>
      </c>
      <c r="F221" s="350" t="s">
        <v>189</v>
      </c>
      <c r="G221" s="349">
        <v>1543321.2347240872</v>
      </c>
      <c r="H221" s="349">
        <v>95.722338182973743</v>
      </c>
      <c r="I221" s="349">
        <v>108.02744179292077</v>
      </c>
    </row>
    <row r="222" spans="1:10" x14ac:dyDescent="0.25">
      <c r="A222" s="305" t="s">
        <v>576</v>
      </c>
      <c r="B222" s="349">
        <v>16921811.276726622</v>
      </c>
      <c r="C222" s="349" t="s">
        <v>552</v>
      </c>
      <c r="D222" s="349">
        <v>67.143364802995379</v>
      </c>
      <c r="E222" s="349">
        <v>5.1050721535713901</v>
      </c>
      <c r="F222" s="349">
        <v>6.3193548667016204</v>
      </c>
      <c r="G222" s="349">
        <v>1136187.3476806968</v>
      </c>
      <c r="H222" s="349">
        <v>86.387067536807479</v>
      </c>
      <c r="I222" s="349">
        <v>106.93493044498868</v>
      </c>
    </row>
    <row r="223" spans="1:10" x14ac:dyDescent="0.25">
      <c r="A223" s="305" t="s">
        <v>577</v>
      </c>
      <c r="B223" s="349">
        <v>5716335.5992072541</v>
      </c>
      <c r="C223" s="349" t="s">
        <v>552</v>
      </c>
      <c r="D223" s="349">
        <v>70.79246071620166</v>
      </c>
      <c r="E223" s="349">
        <v>0.18688644136495999</v>
      </c>
      <c r="F223" s="349">
        <v>0.18566201675339999</v>
      </c>
      <c r="G223" s="349">
        <v>404673.46334750456</v>
      </c>
      <c r="H223" s="349">
        <v>1.0683056177837</v>
      </c>
      <c r="I223" s="349">
        <v>1.0613063957880999</v>
      </c>
    </row>
    <row r="224" spans="1:10" x14ac:dyDescent="0.25">
      <c r="A224" s="305" t="s">
        <v>578</v>
      </c>
      <c r="B224" s="349">
        <v>29789.5019987257</v>
      </c>
      <c r="C224" s="349" t="s">
        <v>552</v>
      </c>
      <c r="D224" s="349">
        <v>59.589262354098238</v>
      </c>
      <c r="E224" s="349">
        <v>0.32721071521896999</v>
      </c>
      <c r="F224" s="349">
        <v>0.67984698987101</v>
      </c>
      <c r="G224" s="349">
        <v>1775.1344499999996</v>
      </c>
      <c r="H224" s="349">
        <v>9.7474442550200009E-3</v>
      </c>
      <c r="I224" s="349">
        <v>2.025230326359E-2</v>
      </c>
    </row>
    <row r="225" spans="1:9" x14ac:dyDescent="0.25">
      <c r="A225" s="305" t="s">
        <v>3262</v>
      </c>
      <c r="B225" s="349" t="s">
        <v>568</v>
      </c>
      <c r="C225" s="349" t="s">
        <v>552</v>
      </c>
      <c r="D225" s="350" t="s">
        <v>189</v>
      </c>
      <c r="E225" s="350" t="s">
        <v>189</v>
      </c>
      <c r="F225" s="350" t="s">
        <v>189</v>
      </c>
      <c r="G225" s="349" t="s">
        <v>568</v>
      </c>
      <c r="H225" s="349">
        <v>1.05278679567487</v>
      </c>
      <c r="I225" s="349">
        <v>1.4965547714000001E-4</v>
      </c>
    </row>
    <row r="226" spans="1:9" x14ac:dyDescent="0.25">
      <c r="A226" s="305" t="s">
        <v>555</v>
      </c>
      <c r="B226" s="349">
        <v>13638.11966141349</v>
      </c>
      <c r="C226" s="349" t="s">
        <v>552</v>
      </c>
      <c r="D226" s="349">
        <v>50.248073994006518</v>
      </c>
      <c r="E226" s="349">
        <v>527.9128195425908</v>
      </c>
      <c r="F226" s="349">
        <v>0.43772527586264998</v>
      </c>
      <c r="G226" s="349">
        <v>685.28924588582026</v>
      </c>
      <c r="H226" s="349">
        <v>7.1997382037160396</v>
      </c>
      <c r="I226" s="349">
        <v>5.9697496910400003E-3</v>
      </c>
    </row>
    <row r="227" spans="1:9" x14ac:dyDescent="0.25">
      <c r="A227" s="305" t="s">
        <v>3253</v>
      </c>
      <c r="B227" s="349">
        <v>345378.91663054173</v>
      </c>
      <c r="C227" s="349" t="s">
        <v>552</v>
      </c>
      <c r="D227" s="349">
        <v>65.065035461819363</v>
      </c>
      <c r="E227" s="349">
        <v>1.358677241335E-2</v>
      </c>
      <c r="F227" s="349">
        <v>1.399403229176E-2</v>
      </c>
      <c r="G227" s="349">
        <v>22472.091458330953</v>
      </c>
      <c r="H227" s="349">
        <v>4.6925847366299997E-3</v>
      </c>
      <c r="I227" s="349">
        <v>4.8332437122200001E-3</v>
      </c>
    </row>
    <row r="228" spans="1:9" x14ac:dyDescent="0.25">
      <c r="A228" s="305" t="s">
        <v>3263</v>
      </c>
      <c r="B228" s="349" t="s">
        <v>568</v>
      </c>
      <c r="C228" s="349" t="s">
        <v>552</v>
      </c>
      <c r="D228" s="350" t="s">
        <v>189</v>
      </c>
      <c r="E228" s="350" t="s">
        <v>189</v>
      </c>
      <c r="F228" s="350" t="s">
        <v>189</v>
      </c>
      <c r="G228" s="349" t="s">
        <v>568</v>
      </c>
      <c r="H228" s="349" t="s">
        <v>3135</v>
      </c>
      <c r="I228" s="349" t="s">
        <v>3135</v>
      </c>
    </row>
    <row r="229" spans="1:9" x14ac:dyDescent="0.25">
      <c r="A229" s="319" t="s">
        <v>579</v>
      </c>
      <c r="B229" s="349">
        <v>9895321.6493915115</v>
      </c>
      <c r="C229" s="349" t="s">
        <v>552</v>
      </c>
      <c r="D229" s="350" t="s">
        <v>189</v>
      </c>
      <c r="E229" s="350" t="s">
        <v>189</v>
      </c>
      <c r="F229" s="350" t="s">
        <v>189</v>
      </c>
      <c r="G229" s="349">
        <v>641430.12035975454</v>
      </c>
      <c r="H229" s="349">
        <v>50.343513986278801</v>
      </c>
      <c r="I229" s="349">
        <v>58.026007452344672</v>
      </c>
    </row>
    <row r="230" spans="1:9" x14ac:dyDescent="0.25">
      <c r="A230" s="305" t="s">
        <v>576</v>
      </c>
      <c r="B230" s="351">
        <v>9488919.2231781483</v>
      </c>
      <c r="C230" s="349" t="s">
        <v>552</v>
      </c>
      <c r="D230" s="349">
        <v>67.143364802995379</v>
      </c>
      <c r="E230" s="349">
        <v>5.3042882930240696</v>
      </c>
      <c r="F230" s="349">
        <v>6.1142265296351903</v>
      </c>
      <c r="G230" s="351">
        <v>637117.96498800593</v>
      </c>
      <c r="H230" s="351">
        <v>50.331963148954898</v>
      </c>
      <c r="I230" s="351">
        <v>58.017401651921162</v>
      </c>
    </row>
    <row r="231" spans="1:9" x14ac:dyDescent="0.25">
      <c r="A231" s="305" t="s">
        <v>577</v>
      </c>
      <c r="B231" s="351">
        <v>60577.355202458224</v>
      </c>
      <c r="C231" s="349" t="s">
        <v>552</v>
      </c>
      <c r="D231" s="349">
        <v>70.792460716201674</v>
      </c>
      <c r="E231" s="349">
        <v>5.0531921540309999E-2</v>
      </c>
      <c r="F231" s="349">
        <v>0.11107027591734001</v>
      </c>
      <c r="G231" s="351">
        <v>4288.4200384614187</v>
      </c>
      <c r="H231" s="351">
        <v>3.06109016021E-3</v>
      </c>
      <c r="I231" s="351">
        <v>6.7283435566800002E-3</v>
      </c>
    </row>
    <row r="232" spans="1:9" x14ac:dyDescent="0.25">
      <c r="A232" s="305" t="s">
        <v>578</v>
      </c>
      <c r="B232" s="351">
        <v>140.98152388821543</v>
      </c>
      <c r="C232" s="349" t="s">
        <v>552</v>
      </c>
      <c r="D232" s="349">
        <v>59.58926235409826</v>
      </c>
      <c r="E232" s="349">
        <v>0.33296282083898998</v>
      </c>
      <c r="F232" s="349">
        <v>0.40322366046400998</v>
      </c>
      <c r="G232" s="351">
        <v>8.4009850140554398</v>
      </c>
      <c r="H232" s="351">
        <v>4.6941605880000003E-5</v>
      </c>
      <c r="I232" s="351">
        <v>5.684708612E-5</v>
      </c>
    </row>
    <row r="233" spans="1:9" x14ac:dyDescent="0.25">
      <c r="A233" s="305" t="s">
        <v>3262</v>
      </c>
      <c r="B233" s="349" t="s">
        <v>496</v>
      </c>
      <c r="C233" s="349" t="s">
        <v>552</v>
      </c>
      <c r="D233" s="350" t="s">
        <v>189</v>
      </c>
      <c r="E233" s="350" t="s">
        <v>189</v>
      </c>
      <c r="F233" s="350" t="s">
        <v>189</v>
      </c>
      <c r="G233" s="349" t="s">
        <v>496</v>
      </c>
      <c r="H233" s="349" t="s">
        <v>523</v>
      </c>
      <c r="I233" s="349" t="s">
        <v>523</v>
      </c>
    </row>
    <row r="234" spans="1:9" x14ac:dyDescent="0.25">
      <c r="A234" s="316" t="s">
        <v>580</v>
      </c>
      <c r="B234" s="351" t="s">
        <v>496</v>
      </c>
      <c r="C234" s="349" t="s">
        <v>552</v>
      </c>
      <c r="D234" s="349" t="s">
        <v>496</v>
      </c>
      <c r="E234" s="349" t="s">
        <v>523</v>
      </c>
      <c r="F234" s="349" t="s">
        <v>523</v>
      </c>
      <c r="G234" s="351" t="s">
        <v>496</v>
      </c>
      <c r="H234" s="351" t="s">
        <v>523</v>
      </c>
      <c r="I234" s="351" t="s">
        <v>523</v>
      </c>
    </row>
    <row r="235" spans="1:9" x14ac:dyDescent="0.25">
      <c r="A235" s="305" t="s">
        <v>555</v>
      </c>
      <c r="B235" s="351">
        <v>305.17285647552848</v>
      </c>
      <c r="C235" s="349" t="s">
        <v>552</v>
      </c>
      <c r="D235" s="349">
        <v>50.248073994006504</v>
      </c>
      <c r="E235" s="349">
        <v>25.74784814192703</v>
      </c>
      <c r="F235" s="349">
        <v>3.1181083671388201</v>
      </c>
      <c r="G235" s="351">
        <v>15.334348273144681</v>
      </c>
      <c r="H235" s="351">
        <v>7.8575443655700006E-3</v>
      </c>
      <c r="I235" s="351">
        <v>9.5156203720000001E-4</v>
      </c>
    </row>
    <row r="236" spans="1:9" x14ac:dyDescent="0.25">
      <c r="A236" s="305" t="s">
        <v>3253</v>
      </c>
      <c r="B236" s="351">
        <v>345378.91663054173</v>
      </c>
      <c r="C236" s="349" t="s">
        <v>552</v>
      </c>
      <c r="D236" s="349">
        <v>65.065035461819363</v>
      </c>
      <c r="E236" s="349">
        <v>1.6945481152999999E-3</v>
      </c>
      <c r="F236" s="349">
        <v>2.5162153845099998E-3</v>
      </c>
      <c r="G236" s="351">
        <v>22472.091458330953</v>
      </c>
      <c r="H236" s="351">
        <v>5.8526119223999997E-4</v>
      </c>
      <c r="I236" s="351">
        <v>8.6904774350999995E-4</v>
      </c>
    </row>
    <row r="237" spans="1:9" x14ac:dyDescent="0.25">
      <c r="A237" s="305" t="s">
        <v>3263</v>
      </c>
      <c r="B237" s="349" t="s">
        <v>496</v>
      </c>
      <c r="C237" s="349" t="s">
        <v>552</v>
      </c>
      <c r="D237" s="350" t="s">
        <v>189</v>
      </c>
      <c r="E237" s="350" t="s">
        <v>189</v>
      </c>
      <c r="F237" s="350" t="s">
        <v>189</v>
      </c>
      <c r="G237" s="349" t="s">
        <v>496</v>
      </c>
      <c r="H237" s="349" t="s">
        <v>496</v>
      </c>
      <c r="I237" s="349" t="s">
        <v>496</v>
      </c>
    </row>
    <row r="238" spans="1:9" x14ac:dyDescent="0.25">
      <c r="A238" s="316" t="s">
        <v>87</v>
      </c>
      <c r="B238" s="351" t="s">
        <v>496</v>
      </c>
      <c r="C238" s="349" t="s">
        <v>552</v>
      </c>
      <c r="D238" s="349" t="s">
        <v>496</v>
      </c>
      <c r="E238" s="349" t="s">
        <v>496</v>
      </c>
      <c r="F238" s="349" t="s">
        <v>496</v>
      </c>
      <c r="G238" s="351" t="s">
        <v>496</v>
      </c>
      <c r="H238" s="351" t="s">
        <v>496</v>
      </c>
      <c r="I238" s="351" t="s">
        <v>496</v>
      </c>
    </row>
    <row r="239" spans="1:9" x14ac:dyDescent="0.25">
      <c r="A239" s="319" t="s">
        <v>581</v>
      </c>
      <c r="B239" s="349">
        <v>7275346.9410186997</v>
      </c>
      <c r="C239" s="349" t="s">
        <v>552</v>
      </c>
      <c r="D239" s="350" t="s">
        <v>189</v>
      </c>
      <c r="E239" s="350" t="s">
        <v>189</v>
      </c>
      <c r="F239" s="350" t="s">
        <v>189</v>
      </c>
      <c r="G239" s="349">
        <v>489781.06499535905</v>
      </c>
      <c r="H239" s="349">
        <v>32.089244234644681</v>
      </c>
      <c r="I239" s="349">
        <v>45.787711245390042</v>
      </c>
    </row>
    <row r="240" spans="1:9" x14ac:dyDescent="0.25">
      <c r="A240" s="305" t="s">
        <v>576</v>
      </c>
      <c r="B240" s="351">
        <v>6900391.8026401587</v>
      </c>
      <c r="C240" s="349" t="s">
        <v>552</v>
      </c>
      <c r="D240" s="349">
        <v>67.143364802995393</v>
      </c>
      <c r="E240" s="349">
        <v>4.6393852673657197</v>
      </c>
      <c r="F240" s="349">
        <v>6.6251876256970998</v>
      </c>
      <c r="G240" s="351">
        <v>463315.52408826712</v>
      </c>
      <c r="H240" s="351">
        <v>32.013576068219912</v>
      </c>
      <c r="I240" s="351">
        <v>45.716390383313303</v>
      </c>
    </row>
    <row r="241" spans="1:9" x14ac:dyDescent="0.25">
      <c r="A241" s="305" t="s">
        <v>577</v>
      </c>
      <c r="B241" s="351">
        <v>368504.73200550408</v>
      </c>
      <c r="C241" s="349" t="s">
        <v>552</v>
      </c>
      <c r="D241" s="349">
        <v>70.79246071620166</v>
      </c>
      <c r="E241" s="349">
        <v>0.10430192094477</v>
      </c>
      <c r="F241" s="349">
        <v>0.16232031354685</v>
      </c>
      <c r="G241" s="351">
        <v>26087.356764234068</v>
      </c>
      <c r="H241" s="351">
        <v>3.8435751425410003E-2</v>
      </c>
      <c r="I241" s="351">
        <v>5.9815803642629999E-2</v>
      </c>
    </row>
    <row r="242" spans="1:9" x14ac:dyDescent="0.25">
      <c r="A242" s="305" t="s">
        <v>578</v>
      </c>
      <c r="B242" s="351">
        <v>5787.6625596214753</v>
      </c>
      <c r="C242" s="349" t="s">
        <v>552</v>
      </c>
      <c r="D242" s="349">
        <v>59.589262354098253</v>
      </c>
      <c r="E242" s="349">
        <v>0.62659220241706004</v>
      </c>
      <c r="F242" s="349">
        <v>0.80766557619863999</v>
      </c>
      <c r="G242" s="351">
        <v>344.88254268227587</v>
      </c>
      <c r="H242" s="351">
        <v>3.6265042300800002E-3</v>
      </c>
      <c r="I242" s="351">
        <v>4.6744958160599998E-3</v>
      </c>
    </row>
    <row r="243" spans="1:9" x14ac:dyDescent="0.25">
      <c r="A243" s="305" t="s">
        <v>3262</v>
      </c>
      <c r="B243" s="349" t="s">
        <v>496</v>
      </c>
      <c r="C243" s="349" t="s">
        <v>552</v>
      </c>
      <c r="D243" s="350" t="s">
        <v>189</v>
      </c>
      <c r="E243" s="350" t="s">
        <v>189</v>
      </c>
      <c r="F243" s="350" t="s">
        <v>189</v>
      </c>
      <c r="G243" s="349" t="s">
        <v>496</v>
      </c>
      <c r="H243" s="349">
        <v>9.7455516189999999E-5</v>
      </c>
      <c r="I243" s="349">
        <v>1.256183293E-5</v>
      </c>
    </row>
    <row r="244" spans="1:9" x14ac:dyDescent="0.25">
      <c r="A244" s="316" t="s">
        <v>580</v>
      </c>
      <c r="B244" s="351" t="s">
        <v>496</v>
      </c>
      <c r="C244" s="349" t="s">
        <v>552</v>
      </c>
      <c r="D244" s="349" t="s">
        <v>496</v>
      </c>
      <c r="E244" s="349" t="s">
        <v>496</v>
      </c>
      <c r="F244" s="349" t="s">
        <v>496</v>
      </c>
      <c r="G244" s="351" t="s">
        <v>496</v>
      </c>
      <c r="H244" s="351">
        <v>9.7455516189999999E-5</v>
      </c>
      <c r="I244" s="351">
        <v>1.256183293E-5</v>
      </c>
    </row>
    <row r="245" spans="1:9" x14ac:dyDescent="0.25">
      <c r="A245" s="305" t="s">
        <v>555</v>
      </c>
      <c r="B245" s="351">
        <v>662.74381341579385</v>
      </c>
      <c r="C245" s="349" t="s">
        <v>552</v>
      </c>
      <c r="D245" s="349">
        <v>50.248073994006518</v>
      </c>
      <c r="E245" s="349">
        <v>47.605136115704603</v>
      </c>
      <c r="F245" s="349">
        <v>6.1362126024835497</v>
      </c>
      <c r="G245" s="351">
        <v>33.301600175586863</v>
      </c>
      <c r="H245" s="351">
        <v>3.1550009447499999E-2</v>
      </c>
      <c r="I245" s="351">
        <v>4.0667369401000001E-3</v>
      </c>
    </row>
    <row r="246" spans="1:9" x14ac:dyDescent="0.25">
      <c r="A246" s="305" t="s">
        <v>3253</v>
      </c>
      <c r="B246" s="351" t="s">
        <v>496</v>
      </c>
      <c r="C246" s="349" t="s">
        <v>552</v>
      </c>
      <c r="D246" s="349" t="s">
        <v>496</v>
      </c>
      <c r="E246" s="349" t="s">
        <v>496</v>
      </c>
      <c r="F246" s="349" t="s">
        <v>496</v>
      </c>
      <c r="G246" s="351" t="s">
        <v>496</v>
      </c>
      <c r="H246" s="351">
        <v>1.9584458055900002E-3</v>
      </c>
      <c r="I246" s="351">
        <v>2.75126384502E-3</v>
      </c>
    </row>
    <row r="247" spans="1:9" x14ac:dyDescent="0.25">
      <c r="A247" s="305" t="s">
        <v>3263</v>
      </c>
      <c r="B247" s="349" t="s">
        <v>523</v>
      </c>
      <c r="C247" s="349" t="s">
        <v>552</v>
      </c>
      <c r="D247" s="350" t="s">
        <v>189</v>
      </c>
      <c r="E247" s="350" t="s">
        <v>189</v>
      </c>
      <c r="F247" s="350" t="s">
        <v>189</v>
      </c>
      <c r="G247" s="349" t="s">
        <v>523</v>
      </c>
      <c r="H247" s="349" t="s">
        <v>523</v>
      </c>
      <c r="I247" s="349" t="s">
        <v>523</v>
      </c>
    </row>
    <row r="248" spans="1:9" x14ac:dyDescent="0.25">
      <c r="A248" s="319" t="s">
        <v>582</v>
      </c>
      <c r="B248" s="349">
        <v>5832942.3483651699</v>
      </c>
      <c r="C248" s="349" t="s">
        <v>552</v>
      </c>
      <c r="D248" s="350" t="s">
        <v>189</v>
      </c>
      <c r="E248" s="350" t="s">
        <v>189</v>
      </c>
      <c r="F248" s="350" t="s">
        <v>189</v>
      </c>
      <c r="G248" s="349">
        <v>410542.75702448451</v>
      </c>
      <c r="H248" s="349">
        <v>12.55614437939165</v>
      </c>
      <c r="I248" s="349">
        <v>4.1395436288617402</v>
      </c>
    </row>
    <row r="249" spans="1:9" x14ac:dyDescent="0.25">
      <c r="A249" s="305" t="s">
        <v>576</v>
      </c>
      <c r="B249" s="351">
        <v>509157.7754591406</v>
      </c>
      <c r="C249" s="349" t="s">
        <v>552</v>
      </c>
      <c r="D249" s="349">
        <v>67.143364802995393</v>
      </c>
      <c r="E249" s="349">
        <v>6.4971859341457296</v>
      </c>
      <c r="F249" s="349">
        <v>6.1414341372084902</v>
      </c>
      <c r="G249" s="351">
        <v>34186.566259934691</v>
      </c>
      <c r="H249" s="351">
        <v>3.3080927369740598</v>
      </c>
      <c r="I249" s="351">
        <v>3.1269589434299001</v>
      </c>
    </row>
    <row r="250" spans="1:9" x14ac:dyDescent="0.25">
      <c r="A250" s="305" t="s">
        <v>577</v>
      </c>
      <c r="B250" s="351">
        <v>5287253.5119992914</v>
      </c>
      <c r="C250" s="349" t="s">
        <v>552</v>
      </c>
      <c r="D250" s="349">
        <v>70.79246071620166</v>
      </c>
      <c r="E250" s="349">
        <v>0.19420456648574999</v>
      </c>
      <c r="F250" s="349">
        <v>0.18814347493101999</v>
      </c>
      <c r="G250" s="351">
        <v>374297.68654480908</v>
      </c>
      <c r="H250" s="351">
        <v>1.02680877619808</v>
      </c>
      <c r="I250" s="351">
        <v>0.99476224858879003</v>
      </c>
    </row>
    <row r="251" spans="1:9" x14ac:dyDescent="0.25">
      <c r="A251" s="305" t="s">
        <v>578</v>
      </c>
      <c r="B251" s="351">
        <v>23860.857915216009</v>
      </c>
      <c r="C251" s="349" t="s">
        <v>552</v>
      </c>
      <c r="D251" s="349">
        <v>59.589262354098238</v>
      </c>
      <c r="E251" s="349">
        <v>0.25455909593203002</v>
      </c>
      <c r="F251" s="349">
        <v>0.65047788376092996</v>
      </c>
      <c r="G251" s="351">
        <v>1421.8509223036683</v>
      </c>
      <c r="H251" s="351">
        <v>6.07399841906E-3</v>
      </c>
      <c r="I251" s="351">
        <v>1.5520960361409999E-2</v>
      </c>
    </row>
    <row r="252" spans="1:9" x14ac:dyDescent="0.25">
      <c r="A252" s="305" t="s">
        <v>3264</v>
      </c>
      <c r="B252" s="349" t="s">
        <v>496</v>
      </c>
      <c r="C252" s="349" t="s">
        <v>552</v>
      </c>
      <c r="D252" s="350" t="s">
        <v>189</v>
      </c>
      <c r="E252" s="350" t="s">
        <v>189</v>
      </c>
      <c r="F252" s="350" t="s">
        <v>189</v>
      </c>
      <c r="G252" s="349" t="s">
        <v>496</v>
      </c>
      <c r="H252" s="349">
        <v>1.0526893401586801</v>
      </c>
      <c r="I252" s="349">
        <v>1.3709364421000001E-4</v>
      </c>
    </row>
    <row r="253" spans="1:9" x14ac:dyDescent="0.25">
      <c r="A253" s="316" t="s">
        <v>580</v>
      </c>
      <c r="B253" s="351" t="s">
        <v>496</v>
      </c>
      <c r="C253" s="349" t="s">
        <v>552</v>
      </c>
      <c r="D253" s="349" t="s">
        <v>496</v>
      </c>
      <c r="E253" s="349" t="s">
        <v>496</v>
      </c>
      <c r="F253" s="349" t="s">
        <v>496</v>
      </c>
      <c r="G253" s="351" t="s">
        <v>496</v>
      </c>
      <c r="H253" s="351">
        <v>1.0526893401586801</v>
      </c>
      <c r="I253" s="351">
        <v>1.3709364421000001E-4</v>
      </c>
    </row>
    <row r="254" spans="1:9" x14ac:dyDescent="0.25">
      <c r="A254" s="305" t="s">
        <v>555</v>
      </c>
      <c r="B254" s="351">
        <v>12670.202991522168</v>
      </c>
      <c r="C254" s="349" t="s">
        <v>552</v>
      </c>
      <c r="D254" s="349">
        <v>50.248073994006518</v>
      </c>
      <c r="E254" s="349">
        <v>565.1314864248078</v>
      </c>
      <c r="F254" s="349">
        <v>7.5093565144669999E-2</v>
      </c>
      <c r="G254" s="351">
        <v>636.65329743708867</v>
      </c>
      <c r="H254" s="351">
        <v>7.1603306499029697</v>
      </c>
      <c r="I254" s="351">
        <v>9.5145071374E-4</v>
      </c>
    </row>
    <row r="255" spans="1:9" x14ac:dyDescent="0.25">
      <c r="A255" s="305" t="s">
        <v>3253</v>
      </c>
      <c r="B255" s="351" t="s">
        <v>496</v>
      </c>
      <c r="C255" s="349" t="s">
        <v>552</v>
      </c>
      <c r="D255" s="349" t="s">
        <v>496</v>
      </c>
      <c r="E255" s="349" t="s">
        <v>496</v>
      </c>
      <c r="F255" s="349" t="s">
        <v>496</v>
      </c>
      <c r="G255" s="351" t="s">
        <v>496</v>
      </c>
      <c r="H255" s="351">
        <v>2.1488777387999999E-3</v>
      </c>
      <c r="I255" s="351">
        <v>1.21293212369E-3</v>
      </c>
    </row>
    <row r="256" spans="1:9" x14ac:dyDescent="0.25">
      <c r="A256" s="305" t="s">
        <v>3263</v>
      </c>
      <c r="B256" s="349" t="s">
        <v>523</v>
      </c>
      <c r="C256" s="349" t="s">
        <v>552</v>
      </c>
      <c r="D256" s="350" t="s">
        <v>189</v>
      </c>
      <c r="E256" s="350" t="s">
        <v>189</v>
      </c>
      <c r="F256" s="350" t="s">
        <v>189</v>
      </c>
      <c r="G256" s="349" t="s">
        <v>523</v>
      </c>
      <c r="H256" s="349" t="s">
        <v>523</v>
      </c>
      <c r="I256" s="349" t="s">
        <v>523</v>
      </c>
    </row>
    <row r="257" spans="1:9" x14ac:dyDescent="0.25">
      <c r="A257" s="319" t="s">
        <v>583</v>
      </c>
      <c r="B257" s="349">
        <v>23342.475449176363</v>
      </c>
      <c r="C257" s="349" t="s">
        <v>552</v>
      </c>
      <c r="D257" s="350" t="s">
        <v>189</v>
      </c>
      <c r="E257" s="350" t="s">
        <v>189</v>
      </c>
      <c r="F257" s="350" t="s">
        <v>189</v>
      </c>
      <c r="G257" s="349">
        <v>1567.2923444890123</v>
      </c>
      <c r="H257" s="349">
        <v>0.73343558265860997</v>
      </c>
      <c r="I257" s="349">
        <v>7.4179466324320001E-2</v>
      </c>
    </row>
    <row r="258" spans="1:9" x14ac:dyDescent="0.25">
      <c r="A258" s="305" t="s">
        <v>576</v>
      </c>
      <c r="B258" s="351">
        <v>23342.475449176363</v>
      </c>
      <c r="C258" s="349" t="s">
        <v>552</v>
      </c>
      <c r="D258" s="349">
        <v>67.143364802995393</v>
      </c>
      <c r="E258" s="349">
        <v>31.42064277867707</v>
      </c>
      <c r="F258" s="349">
        <v>3.17787487817353</v>
      </c>
      <c r="G258" s="351">
        <v>1567.2923444890123</v>
      </c>
      <c r="H258" s="351">
        <v>0.73343558265860997</v>
      </c>
      <c r="I258" s="351">
        <v>7.4179466324320001E-2</v>
      </c>
    </row>
    <row r="259" spans="1:9" x14ac:dyDescent="0.25">
      <c r="A259" s="305" t="s">
        <v>577</v>
      </c>
      <c r="B259" s="351" t="s">
        <v>523</v>
      </c>
      <c r="C259" s="349" t="s">
        <v>552</v>
      </c>
      <c r="D259" s="349" t="s">
        <v>523</v>
      </c>
      <c r="E259" s="349" t="s">
        <v>523</v>
      </c>
      <c r="F259" s="349" t="s">
        <v>523</v>
      </c>
      <c r="G259" s="351" t="s">
        <v>523</v>
      </c>
      <c r="H259" s="351" t="s">
        <v>523</v>
      </c>
      <c r="I259" s="351" t="s">
        <v>523</v>
      </c>
    </row>
    <row r="260" spans="1:9" x14ac:dyDescent="0.25">
      <c r="A260" s="305" t="s">
        <v>578</v>
      </c>
      <c r="B260" s="351" t="s">
        <v>523</v>
      </c>
      <c r="C260" s="349" t="s">
        <v>552</v>
      </c>
      <c r="D260" s="349" t="s">
        <v>523</v>
      </c>
      <c r="E260" s="349" t="s">
        <v>523</v>
      </c>
      <c r="F260" s="349" t="s">
        <v>523</v>
      </c>
      <c r="G260" s="351" t="s">
        <v>523</v>
      </c>
      <c r="H260" s="351" t="s">
        <v>523</v>
      </c>
      <c r="I260" s="351" t="s">
        <v>523</v>
      </c>
    </row>
    <row r="261" spans="1:9" x14ac:dyDescent="0.25">
      <c r="A261" s="305" t="s">
        <v>3262</v>
      </c>
      <c r="B261" s="349" t="s">
        <v>523</v>
      </c>
      <c r="C261" s="349" t="s">
        <v>552</v>
      </c>
      <c r="D261" s="350" t="s">
        <v>189</v>
      </c>
      <c r="E261" s="350" t="s">
        <v>189</v>
      </c>
      <c r="F261" s="350" t="s">
        <v>189</v>
      </c>
      <c r="G261" s="349" t="s">
        <v>523</v>
      </c>
      <c r="H261" s="349" t="s">
        <v>523</v>
      </c>
      <c r="I261" s="349" t="s">
        <v>523</v>
      </c>
    </row>
    <row r="262" spans="1:9" x14ac:dyDescent="0.25">
      <c r="A262" s="305" t="s">
        <v>555</v>
      </c>
      <c r="B262" s="351" t="s">
        <v>523</v>
      </c>
      <c r="C262" s="349" t="s">
        <v>552</v>
      </c>
      <c r="D262" s="349" t="s">
        <v>523</v>
      </c>
      <c r="E262" s="349" t="s">
        <v>523</v>
      </c>
      <c r="F262" s="349" t="s">
        <v>523</v>
      </c>
      <c r="G262" s="351" t="s">
        <v>523</v>
      </c>
      <c r="H262" s="351" t="s">
        <v>523</v>
      </c>
      <c r="I262" s="351" t="s">
        <v>523</v>
      </c>
    </row>
    <row r="263" spans="1:9" x14ac:dyDescent="0.25">
      <c r="A263" s="305" t="s">
        <v>3253</v>
      </c>
      <c r="B263" s="351" t="s">
        <v>496</v>
      </c>
      <c r="C263" s="349" t="s">
        <v>552</v>
      </c>
      <c r="D263" s="349" t="s">
        <v>496</v>
      </c>
      <c r="E263" s="349" t="s">
        <v>521</v>
      </c>
      <c r="F263" s="349" t="s">
        <v>521</v>
      </c>
      <c r="G263" s="351" t="s">
        <v>496</v>
      </c>
      <c r="H263" s="351" t="s">
        <v>521</v>
      </c>
      <c r="I263" s="351" t="s">
        <v>521</v>
      </c>
    </row>
    <row r="264" spans="1:9" x14ac:dyDescent="0.25">
      <c r="A264" s="305" t="s">
        <v>3263</v>
      </c>
      <c r="B264" s="349" t="s">
        <v>523</v>
      </c>
      <c r="C264" s="349" t="s">
        <v>552</v>
      </c>
      <c r="D264" s="350" t="s">
        <v>189</v>
      </c>
      <c r="E264" s="350" t="s">
        <v>189</v>
      </c>
      <c r="F264" s="350" t="s">
        <v>189</v>
      </c>
      <c r="G264" s="349" t="s">
        <v>523</v>
      </c>
      <c r="H264" s="349" t="s">
        <v>523</v>
      </c>
      <c r="I264" s="349" t="s">
        <v>523</v>
      </c>
    </row>
    <row r="265" spans="1:9" x14ac:dyDescent="0.25">
      <c r="A265" s="319" t="s">
        <v>584</v>
      </c>
      <c r="B265" s="349" t="s">
        <v>523</v>
      </c>
      <c r="C265" s="349" t="s">
        <v>552</v>
      </c>
      <c r="D265" s="350" t="s">
        <v>189</v>
      </c>
      <c r="E265" s="350" t="s">
        <v>189</v>
      </c>
      <c r="F265" s="350" t="s">
        <v>189</v>
      </c>
      <c r="G265" s="349" t="s">
        <v>523</v>
      </c>
      <c r="H265" s="349" t="s">
        <v>528</v>
      </c>
      <c r="I265" s="349" t="s">
        <v>528</v>
      </c>
    </row>
    <row r="266" spans="1:9" x14ac:dyDescent="0.25">
      <c r="A266" s="310" t="s">
        <v>585</v>
      </c>
      <c r="B266" s="349" t="s">
        <v>523</v>
      </c>
      <c r="C266" s="349" t="s">
        <v>552</v>
      </c>
      <c r="D266" s="350" t="s">
        <v>189</v>
      </c>
      <c r="E266" s="350" t="s">
        <v>189</v>
      </c>
      <c r="F266" s="350" t="s">
        <v>189</v>
      </c>
      <c r="G266" s="349" t="s">
        <v>523</v>
      </c>
      <c r="H266" s="349" t="s">
        <v>528</v>
      </c>
      <c r="I266" s="349" t="s">
        <v>528</v>
      </c>
    </row>
    <row r="267" spans="1:9" x14ac:dyDescent="0.25">
      <c r="A267" s="316" t="s">
        <v>576</v>
      </c>
      <c r="B267" s="351" t="s">
        <v>523</v>
      </c>
      <c r="C267" s="349" t="s">
        <v>552</v>
      </c>
      <c r="D267" s="349" t="s">
        <v>523</v>
      </c>
      <c r="E267" s="349" t="s">
        <v>496</v>
      </c>
      <c r="F267" s="349" t="s">
        <v>496</v>
      </c>
      <c r="G267" s="351" t="s">
        <v>523</v>
      </c>
      <c r="H267" s="351" t="s">
        <v>496</v>
      </c>
      <c r="I267" s="351" t="s">
        <v>496</v>
      </c>
    </row>
    <row r="268" spans="1:9" x14ac:dyDescent="0.25">
      <c r="A268" s="316" t="s">
        <v>586</v>
      </c>
      <c r="B268" s="351" t="s">
        <v>523</v>
      </c>
      <c r="C268" s="349" t="s">
        <v>552</v>
      </c>
      <c r="D268" s="349" t="s">
        <v>523</v>
      </c>
      <c r="E268" s="349" t="s">
        <v>496</v>
      </c>
      <c r="F268" s="349" t="s">
        <v>496</v>
      </c>
      <c r="G268" s="351" t="s">
        <v>523</v>
      </c>
      <c r="H268" s="351" t="s">
        <v>496</v>
      </c>
      <c r="I268" s="351" t="s">
        <v>496</v>
      </c>
    </row>
    <row r="269" spans="1:9" x14ac:dyDescent="0.25">
      <c r="A269" s="316" t="s">
        <v>587</v>
      </c>
      <c r="B269" s="351" t="s">
        <v>523</v>
      </c>
      <c r="C269" s="349" t="s">
        <v>552</v>
      </c>
      <c r="D269" s="349" t="s">
        <v>523</v>
      </c>
      <c r="E269" s="349" t="s">
        <v>496</v>
      </c>
      <c r="F269" s="349" t="s">
        <v>496</v>
      </c>
      <c r="G269" s="351" t="s">
        <v>523</v>
      </c>
      <c r="H269" s="351" t="s">
        <v>496</v>
      </c>
      <c r="I269" s="351" t="s">
        <v>496</v>
      </c>
    </row>
    <row r="270" spans="1:9" x14ac:dyDescent="0.25">
      <c r="A270" s="316" t="s">
        <v>588</v>
      </c>
      <c r="B270" s="349" t="s">
        <v>523</v>
      </c>
      <c r="C270" s="349" t="s">
        <v>552</v>
      </c>
      <c r="D270" s="350" t="s">
        <v>189</v>
      </c>
      <c r="E270" s="350" t="s">
        <v>189</v>
      </c>
      <c r="F270" s="350" t="s">
        <v>189</v>
      </c>
      <c r="G270" s="349" t="s">
        <v>523</v>
      </c>
      <c r="H270" s="349" t="s">
        <v>496</v>
      </c>
      <c r="I270" s="349" t="s">
        <v>496</v>
      </c>
    </row>
    <row r="271" spans="1:9" x14ac:dyDescent="0.25">
      <c r="A271" s="316" t="s">
        <v>561</v>
      </c>
      <c r="B271" s="351" t="s">
        <v>523</v>
      </c>
      <c r="C271" s="349" t="s">
        <v>552</v>
      </c>
      <c r="D271" s="349" t="s">
        <v>523</v>
      </c>
      <c r="E271" s="349" t="s">
        <v>496</v>
      </c>
      <c r="F271" s="349" t="s">
        <v>496</v>
      </c>
      <c r="G271" s="351" t="s">
        <v>523</v>
      </c>
      <c r="H271" s="351" t="s">
        <v>496</v>
      </c>
      <c r="I271" s="351" t="s">
        <v>496</v>
      </c>
    </row>
    <row r="272" spans="1:9" x14ac:dyDescent="0.25">
      <c r="A272" s="316" t="s">
        <v>92</v>
      </c>
      <c r="B272" s="351" t="s">
        <v>523</v>
      </c>
      <c r="C272" s="349" t="s">
        <v>552</v>
      </c>
      <c r="D272" s="349" t="s">
        <v>523</v>
      </c>
      <c r="E272" s="349" t="s">
        <v>496</v>
      </c>
      <c r="F272" s="349" t="s">
        <v>496</v>
      </c>
      <c r="G272" s="351" t="s">
        <v>523</v>
      </c>
      <c r="H272" s="351" t="s">
        <v>496</v>
      </c>
      <c r="I272" s="351" t="s">
        <v>496</v>
      </c>
    </row>
    <row r="273" spans="1:10" x14ac:dyDescent="0.25">
      <c r="A273" s="316" t="s">
        <v>589</v>
      </c>
      <c r="B273" s="349" t="s">
        <v>523</v>
      </c>
      <c r="C273" s="349" t="s">
        <v>552</v>
      </c>
      <c r="D273" s="350" t="s">
        <v>189</v>
      </c>
      <c r="E273" s="350" t="s">
        <v>189</v>
      </c>
      <c r="F273" s="350" t="s">
        <v>189</v>
      </c>
      <c r="G273" s="349" t="s">
        <v>523</v>
      </c>
      <c r="H273" s="349" t="s">
        <v>494</v>
      </c>
      <c r="I273" s="349" t="s">
        <v>494</v>
      </c>
    </row>
    <row r="274" spans="1:10" x14ac:dyDescent="0.25">
      <c r="A274" s="67" t="s">
        <v>507</v>
      </c>
      <c r="B274" s="349">
        <v>650576.52184247714</v>
      </c>
      <c r="C274" s="349" t="s">
        <v>552</v>
      </c>
      <c r="D274" s="350" t="s">
        <v>189</v>
      </c>
      <c r="E274" s="350" t="s">
        <v>189</v>
      </c>
      <c r="F274" s="350" t="s">
        <v>189</v>
      </c>
      <c r="G274" s="349">
        <v>46055.912865416671</v>
      </c>
      <c r="H274" s="349">
        <v>3.5201759225</v>
      </c>
      <c r="I274" s="349">
        <v>1.1264562951999999</v>
      </c>
    </row>
    <row r="275" spans="1:10" x14ac:dyDescent="0.25">
      <c r="A275" s="305" t="s">
        <v>553</v>
      </c>
      <c r="B275" s="351">
        <v>650576.52184247714</v>
      </c>
      <c r="C275" s="349" t="s">
        <v>552</v>
      </c>
      <c r="D275" s="349">
        <v>70.79246071620166</v>
      </c>
      <c r="E275" s="349">
        <v>5.4108560704444404</v>
      </c>
      <c r="F275" s="349">
        <v>1.7314739425422201</v>
      </c>
      <c r="G275" s="351">
        <v>46055.912865416671</v>
      </c>
      <c r="H275" s="351">
        <v>3.5201759225</v>
      </c>
      <c r="I275" s="351">
        <v>1.1264562951999999</v>
      </c>
    </row>
    <row r="276" spans="1:10" x14ac:dyDescent="0.25">
      <c r="A276" s="305" t="s">
        <v>554</v>
      </c>
      <c r="B276" s="351" t="s">
        <v>523</v>
      </c>
      <c r="C276" s="349" t="s">
        <v>552</v>
      </c>
      <c r="D276" s="349" t="s">
        <v>523</v>
      </c>
      <c r="E276" s="349" t="s">
        <v>523</v>
      </c>
      <c r="F276" s="349" t="s">
        <v>523</v>
      </c>
      <c r="G276" s="351" t="s">
        <v>523</v>
      </c>
      <c r="H276" s="351" t="s">
        <v>523</v>
      </c>
      <c r="I276" s="351" t="s">
        <v>523</v>
      </c>
    </row>
    <row r="277" spans="1:10" x14ac:dyDescent="0.25">
      <c r="A277" s="305" t="s">
        <v>555</v>
      </c>
      <c r="B277" s="351" t="s">
        <v>496</v>
      </c>
      <c r="C277" s="349" t="s">
        <v>552</v>
      </c>
      <c r="D277" s="349" t="s">
        <v>496</v>
      </c>
      <c r="E277" s="349" t="s">
        <v>496</v>
      </c>
      <c r="F277" s="349" t="s">
        <v>496</v>
      </c>
      <c r="G277" s="351" t="s">
        <v>496</v>
      </c>
      <c r="H277" s="351" t="s">
        <v>496</v>
      </c>
      <c r="I277" s="351" t="s">
        <v>496</v>
      </c>
    </row>
    <row r="278" spans="1:10" x14ac:dyDescent="0.25">
      <c r="A278" s="305" t="s">
        <v>3253</v>
      </c>
      <c r="B278" s="351" t="s">
        <v>496</v>
      </c>
      <c r="C278" s="349" t="s">
        <v>552</v>
      </c>
      <c r="D278" s="349" t="s">
        <v>496</v>
      </c>
      <c r="E278" s="349" t="s">
        <v>521</v>
      </c>
      <c r="F278" s="349" t="s">
        <v>521</v>
      </c>
      <c r="G278" s="351" t="s">
        <v>496</v>
      </c>
      <c r="H278" s="351" t="s">
        <v>521</v>
      </c>
      <c r="I278" s="351" t="s">
        <v>521</v>
      </c>
    </row>
    <row r="279" spans="1:10" x14ac:dyDescent="0.25">
      <c r="A279" s="305" t="s">
        <v>3265</v>
      </c>
      <c r="B279" s="349" t="s">
        <v>496</v>
      </c>
      <c r="C279" s="349" t="s">
        <v>552</v>
      </c>
      <c r="D279" s="350" t="s">
        <v>189</v>
      </c>
      <c r="E279" s="350" t="s">
        <v>189</v>
      </c>
      <c r="F279" s="350" t="s">
        <v>189</v>
      </c>
      <c r="G279" s="349" t="s">
        <v>496</v>
      </c>
      <c r="H279" s="349" t="s">
        <v>494</v>
      </c>
      <c r="I279" s="349" t="s">
        <v>494</v>
      </c>
    </row>
    <row r="280" spans="1:10" x14ac:dyDescent="0.25">
      <c r="A280" s="67" t="s">
        <v>3266</v>
      </c>
      <c r="B280" s="349">
        <v>546204.87037064438</v>
      </c>
      <c r="C280" s="349" t="s">
        <v>552</v>
      </c>
      <c r="D280" s="350" t="s">
        <v>189</v>
      </c>
      <c r="E280" s="350" t="s">
        <v>189</v>
      </c>
      <c r="F280" s="350" t="s">
        <v>189</v>
      </c>
      <c r="G280" s="349">
        <v>38024.136018348065</v>
      </c>
      <c r="H280" s="349">
        <v>16.174692701572852</v>
      </c>
      <c r="I280" s="349">
        <v>0.73291389331867995</v>
      </c>
    </row>
    <row r="281" spans="1:10" x14ac:dyDescent="0.25">
      <c r="A281" s="305" t="s">
        <v>590</v>
      </c>
      <c r="B281" s="351">
        <v>270555.52902466076</v>
      </c>
      <c r="C281" s="349" t="s">
        <v>552</v>
      </c>
      <c r="D281" s="349">
        <v>71.174746954728036</v>
      </c>
      <c r="E281" s="349">
        <v>7.2747437896637797</v>
      </c>
      <c r="F281" s="349">
        <v>2.07984266172793</v>
      </c>
      <c r="G281" s="351">
        <v>19256.721315532806</v>
      </c>
      <c r="H281" s="351">
        <v>1.9682221545313501</v>
      </c>
      <c r="I281" s="351">
        <v>0.56271293163185998</v>
      </c>
    </row>
    <row r="282" spans="1:10" x14ac:dyDescent="0.25">
      <c r="A282" s="305" t="s">
        <v>591</v>
      </c>
      <c r="B282" s="351">
        <v>275649.34134598356</v>
      </c>
      <c r="C282" s="349" t="s">
        <v>552</v>
      </c>
      <c r="D282" s="349">
        <v>68.084380725071952</v>
      </c>
      <c r="E282" s="349">
        <v>51.538198777011146</v>
      </c>
      <c r="F282" s="349">
        <v>0.61745462860799005</v>
      </c>
      <c r="G282" s="351">
        <v>18767.414702815262</v>
      </c>
      <c r="H282" s="351">
        <v>14.2064705470415</v>
      </c>
      <c r="I282" s="351">
        <v>0.17020096168682</v>
      </c>
    </row>
    <row r="283" spans="1:10" x14ac:dyDescent="0.25">
      <c r="A283" s="305" t="s">
        <v>576</v>
      </c>
      <c r="B283" s="351" t="s">
        <v>496</v>
      </c>
      <c r="C283" s="349" t="s">
        <v>552</v>
      </c>
      <c r="D283" s="349" t="s">
        <v>496</v>
      </c>
      <c r="E283" s="349" t="s">
        <v>496</v>
      </c>
      <c r="F283" s="349" t="s">
        <v>496</v>
      </c>
      <c r="G283" s="351" t="s">
        <v>496</v>
      </c>
      <c r="H283" s="351" t="s">
        <v>496</v>
      </c>
      <c r="I283" s="351" t="s">
        <v>496</v>
      </c>
    </row>
    <row r="284" spans="1:10" x14ac:dyDescent="0.25">
      <c r="A284" s="305" t="s">
        <v>3267</v>
      </c>
      <c r="B284" s="349" t="s">
        <v>523</v>
      </c>
      <c r="C284" s="349" t="s">
        <v>552</v>
      </c>
      <c r="D284" s="350" t="s">
        <v>189</v>
      </c>
      <c r="E284" s="350" t="s">
        <v>189</v>
      </c>
      <c r="F284" s="350" t="s">
        <v>189</v>
      </c>
      <c r="G284" s="349" t="s">
        <v>523</v>
      </c>
      <c r="H284" s="349" t="s">
        <v>494</v>
      </c>
      <c r="I284" s="349" t="s">
        <v>494</v>
      </c>
    </row>
    <row r="285" spans="1:10" x14ac:dyDescent="0.25">
      <c r="A285" s="305" t="s">
        <v>555</v>
      </c>
      <c r="B285" s="351" t="s">
        <v>521</v>
      </c>
      <c r="C285" s="349" t="s">
        <v>552</v>
      </c>
      <c r="D285" s="349" t="s">
        <v>521</v>
      </c>
      <c r="E285" s="349" t="s">
        <v>496</v>
      </c>
      <c r="F285" s="349" t="s">
        <v>496</v>
      </c>
      <c r="G285" s="351" t="s">
        <v>521</v>
      </c>
      <c r="H285" s="351" t="s">
        <v>496</v>
      </c>
      <c r="I285" s="351" t="s">
        <v>496</v>
      </c>
      <c r="J285" s="65" t="s">
        <v>494</v>
      </c>
    </row>
    <row r="286" spans="1:10" x14ac:dyDescent="0.25">
      <c r="A286" s="305" t="s">
        <v>3253</v>
      </c>
      <c r="B286" s="351" t="s">
        <v>496</v>
      </c>
      <c r="C286" s="349" t="s">
        <v>552</v>
      </c>
      <c r="D286" s="349" t="s">
        <v>496</v>
      </c>
      <c r="E286" s="349" t="s">
        <v>521</v>
      </c>
      <c r="F286" s="349" t="s">
        <v>521</v>
      </c>
      <c r="G286" s="351" t="s">
        <v>496</v>
      </c>
      <c r="H286" s="351" t="s">
        <v>521</v>
      </c>
      <c r="I286" s="351" t="s">
        <v>521</v>
      </c>
      <c r="J286" s="65" t="s">
        <v>494</v>
      </c>
    </row>
    <row r="287" spans="1:10" x14ac:dyDescent="0.25">
      <c r="A287" s="305" t="s">
        <v>3268</v>
      </c>
      <c r="B287" s="349" t="s">
        <v>523</v>
      </c>
      <c r="C287" s="349" t="s">
        <v>552</v>
      </c>
      <c r="D287" s="350" t="s">
        <v>189</v>
      </c>
      <c r="E287" s="350" t="s">
        <v>189</v>
      </c>
      <c r="F287" s="350" t="s">
        <v>189</v>
      </c>
      <c r="G287" s="349" t="s">
        <v>523</v>
      </c>
      <c r="H287" s="349" t="s">
        <v>494</v>
      </c>
      <c r="I287" s="349" t="s">
        <v>494</v>
      </c>
      <c r="J287" s="65" t="s">
        <v>494</v>
      </c>
    </row>
    <row r="288" spans="1:10" x14ac:dyDescent="0.25">
      <c r="A288" s="67" t="s">
        <v>3269</v>
      </c>
      <c r="B288" s="349">
        <v>644614.3919557624</v>
      </c>
      <c r="C288" s="349" t="s">
        <v>552</v>
      </c>
      <c r="D288" s="350" t="s">
        <v>189</v>
      </c>
      <c r="E288" s="350" t="s">
        <v>189</v>
      </c>
      <c r="F288" s="350" t="s">
        <v>189</v>
      </c>
      <c r="G288" s="349">
        <v>32390.631664594664</v>
      </c>
      <c r="H288" s="349">
        <v>42.78562494471668</v>
      </c>
      <c r="I288" s="349">
        <v>22.8286814646106</v>
      </c>
      <c r="J288" s="65" t="s">
        <v>494</v>
      </c>
    </row>
    <row r="289" spans="1:10" x14ac:dyDescent="0.25">
      <c r="A289" s="313" t="s">
        <v>553</v>
      </c>
      <c r="B289" s="349" t="s">
        <v>592</v>
      </c>
      <c r="C289" s="349" t="s">
        <v>552</v>
      </c>
      <c r="D289" s="349" t="s">
        <v>592</v>
      </c>
      <c r="E289" s="349" t="s">
        <v>592</v>
      </c>
      <c r="F289" s="349" t="s">
        <v>592</v>
      </c>
      <c r="G289" s="349" t="s">
        <v>592</v>
      </c>
      <c r="H289" s="349">
        <v>40.930380256173969</v>
      </c>
      <c r="I289" s="349">
        <v>22.744244376797859</v>
      </c>
      <c r="J289" s="65" t="s">
        <v>494</v>
      </c>
    </row>
    <row r="290" spans="1:10" x14ac:dyDescent="0.25">
      <c r="A290" s="313" t="s">
        <v>554</v>
      </c>
      <c r="B290" s="349" t="s">
        <v>523</v>
      </c>
      <c r="C290" s="349" t="s">
        <v>552</v>
      </c>
      <c r="D290" s="349" t="s">
        <v>523</v>
      </c>
      <c r="E290" s="349" t="s">
        <v>523</v>
      </c>
      <c r="F290" s="349" t="s">
        <v>523</v>
      </c>
      <c r="G290" s="349" t="s">
        <v>523</v>
      </c>
      <c r="H290" s="349" t="s">
        <v>523</v>
      </c>
      <c r="I290" s="349" t="s">
        <v>523</v>
      </c>
      <c r="J290" s="65" t="s">
        <v>494</v>
      </c>
    </row>
    <row r="291" spans="1:10" x14ac:dyDescent="0.25">
      <c r="A291" s="313" t="s">
        <v>555</v>
      </c>
      <c r="B291" s="349">
        <v>644614.3919557624</v>
      </c>
      <c r="C291" s="349" t="s">
        <v>552</v>
      </c>
      <c r="D291" s="349">
        <v>50.248073994006511</v>
      </c>
      <c r="E291" s="349">
        <v>2.8780689846434999</v>
      </c>
      <c r="F291" s="349">
        <v>0.13098852409508999</v>
      </c>
      <c r="G291" s="349">
        <v>32390.631664594664</v>
      </c>
      <c r="H291" s="349">
        <v>1.8552446885427101</v>
      </c>
      <c r="I291" s="349">
        <v>8.4437087812739994E-2</v>
      </c>
      <c r="J291" s="65" t="s">
        <v>494</v>
      </c>
    </row>
    <row r="292" spans="1:10" x14ac:dyDescent="0.25">
      <c r="A292" s="313" t="s">
        <v>3256</v>
      </c>
      <c r="B292" s="349" t="s">
        <v>568</v>
      </c>
      <c r="C292" s="349" t="s">
        <v>552</v>
      </c>
      <c r="D292" s="349" t="s">
        <v>568</v>
      </c>
      <c r="E292" s="349" t="s">
        <v>523</v>
      </c>
      <c r="F292" s="349" t="s">
        <v>523</v>
      </c>
      <c r="G292" s="349" t="s">
        <v>568</v>
      </c>
      <c r="H292" s="349" t="s">
        <v>523</v>
      </c>
      <c r="I292" s="349" t="s">
        <v>523</v>
      </c>
      <c r="J292" s="65" t="s">
        <v>494</v>
      </c>
    </row>
    <row r="293" spans="1:10" x14ac:dyDescent="0.25">
      <c r="A293" s="313" t="s">
        <v>3258</v>
      </c>
      <c r="B293" s="349" t="s">
        <v>496</v>
      </c>
      <c r="C293" s="349" t="s">
        <v>552</v>
      </c>
      <c r="D293" s="349" t="s">
        <v>496</v>
      </c>
      <c r="E293" s="349" t="s">
        <v>593</v>
      </c>
      <c r="F293" s="349" t="s">
        <v>593</v>
      </c>
      <c r="G293" s="349" t="s">
        <v>496</v>
      </c>
      <c r="H293" s="349" t="s">
        <v>593</v>
      </c>
      <c r="I293" s="349" t="s">
        <v>593</v>
      </c>
      <c r="J293" s="65" t="s">
        <v>494</v>
      </c>
    </row>
    <row r="294" spans="1:10" x14ac:dyDescent="0.25">
      <c r="A294" s="320" t="s">
        <v>594</v>
      </c>
      <c r="B294" s="349">
        <v>644614.3919557624</v>
      </c>
      <c r="C294" s="349" t="s">
        <v>552</v>
      </c>
      <c r="D294" s="350" t="s">
        <v>189</v>
      </c>
      <c r="E294" s="350" t="s">
        <v>189</v>
      </c>
      <c r="F294" s="350" t="s">
        <v>189</v>
      </c>
      <c r="G294" s="349">
        <v>32390.631664594664</v>
      </c>
      <c r="H294" s="349" t="s">
        <v>593</v>
      </c>
      <c r="I294" s="349" t="s">
        <v>593</v>
      </c>
      <c r="J294" s="65" t="s">
        <v>494</v>
      </c>
    </row>
    <row r="295" spans="1:10" x14ac:dyDescent="0.25">
      <c r="A295" s="313" t="s">
        <v>553</v>
      </c>
      <c r="B295" s="351" t="s">
        <v>521</v>
      </c>
      <c r="C295" s="349" t="s">
        <v>552</v>
      </c>
      <c r="D295" s="349" t="s">
        <v>521</v>
      </c>
      <c r="E295" s="349" t="s">
        <v>521</v>
      </c>
      <c r="F295" s="349" t="s">
        <v>521</v>
      </c>
      <c r="G295" s="351" t="s">
        <v>521</v>
      </c>
      <c r="H295" s="351" t="s">
        <v>521</v>
      </c>
      <c r="I295" s="351" t="s">
        <v>521</v>
      </c>
      <c r="J295" s="65" t="s">
        <v>494</v>
      </c>
    </row>
    <row r="296" spans="1:10" x14ac:dyDescent="0.25">
      <c r="A296" s="313" t="s">
        <v>554</v>
      </c>
      <c r="B296" s="351" t="s">
        <v>523</v>
      </c>
      <c r="C296" s="349" t="s">
        <v>552</v>
      </c>
      <c r="D296" s="349" t="s">
        <v>523</v>
      </c>
      <c r="E296" s="349" t="s">
        <v>523</v>
      </c>
      <c r="F296" s="349" t="s">
        <v>523</v>
      </c>
      <c r="G296" s="351" t="s">
        <v>523</v>
      </c>
      <c r="H296" s="351" t="s">
        <v>523</v>
      </c>
      <c r="I296" s="351" t="s">
        <v>523</v>
      </c>
      <c r="J296" s="65" t="s">
        <v>494</v>
      </c>
    </row>
    <row r="297" spans="1:10" x14ac:dyDescent="0.25">
      <c r="A297" s="313" t="s">
        <v>555</v>
      </c>
      <c r="B297" s="351">
        <v>644614.3919557624</v>
      </c>
      <c r="C297" s="349" t="s">
        <v>552</v>
      </c>
      <c r="D297" s="349">
        <v>50.248073994006511</v>
      </c>
      <c r="E297" s="349" t="s">
        <v>521</v>
      </c>
      <c r="F297" s="349" t="s">
        <v>521</v>
      </c>
      <c r="G297" s="351">
        <v>32390.631664594664</v>
      </c>
      <c r="H297" s="351" t="s">
        <v>521</v>
      </c>
      <c r="I297" s="351" t="s">
        <v>521</v>
      </c>
      <c r="J297" s="65" t="s">
        <v>494</v>
      </c>
    </row>
    <row r="298" spans="1:10" x14ac:dyDescent="0.25">
      <c r="A298" s="313" t="s">
        <v>3256</v>
      </c>
      <c r="B298" s="351" t="s">
        <v>496</v>
      </c>
      <c r="C298" s="349" t="s">
        <v>552</v>
      </c>
      <c r="D298" s="349" t="s">
        <v>496</v>
      </c>
      <c r="E298" s="349" t="s">
        <v>523</v>
      </c>
      <c r="F298" s="349" t="s">
        <v>523</v>
      </c>
      <c r="G298" s="351" t="s">
        <v>496</v>
      </c>
      <c r="H298" s="351" t="s">
        <v>523</v>
      </c>
      <c r="I298" s="351" t="s">
        <v>523</v>
      </c>
      <c r="J298" s="65" t="s">
        <v>494</v>
      </c>
    </row>
    <row r="299" spans="1:10" x14ac:dyDescent="0.25">
      <c r="A299" s="313" t="s">
        <v>3258</v>
      </c>
      <c r="B299" s="351" t="s">
        <v>496</v>
      </c>
      <c r="C299" s="349" t="s">
        <v>552</v>
      </c>
      <c r="D299" s="349" t="s">
        <v>496</v>
      </c>
      <c r="E299" s="349" t="s">
        <v>523</v>
      </c>
      <c r="F299" s="349" t="s">
        <v>523</v>
      </c>
      <c r="G299" s="351" t="s">
        <v>496</v>
      </c>
      <c r="H299" s="351" t="s">
        <v>523</v>
      </c>
      <c r="I299" s="351" t="s">
        <v>523</v>
      </c>
      <c r="J299" s="65" t="s">
        <v>494</v>
      </c>
    </row>
    <row r="300" spans="1:10" x14ac:dyDescent="0.25">
      <c r="A300" s="320" t="s">
        <v>3270</v>
      </c>
      <c r="B300" s="349" t="s">
        <v>568</v>
      </c>
      <c r="C300" s="349" t="s">
        <v>552</v>
      </c>
      <c r="D300" s="350" t="s">
        <v>189</v>
      </c>
      <c r="E300" s="350" t="s">
        <v>189</v>
      </c>
      <c r="F300" s="350" t="s">
        <v>189</v>
      </c>
      <c r="G300" s="349" t="s">
        <v>568</v>
      </c>
      <c r="H300" s="349">
        <v>42.78562494471668</v>
      </c>
      <c r="I300" s="349">
        <v>22.8286814646106</v>
      </c>
      <c r="J300" s="65" t="s">
        <v>494</v>
      </c>
    </row>
    <row r="301" spans="1:10" x14ac:dyDescent="0.25">
      <c r="A301" s="309" t="s">
        <v>595</v>
      </c>
      <c r="B301" s="349" t="s">
        <v>568</v>
      </c>
      <c r="C301" s="349" t="s">
        <v>552</v>
      </c>
      <c r="D301" s="350" t="s">
        <v>189</v>
      </c>
      <c r="E301" s="350" t="s">
        <v>189</v>
      </c>
      <c r="F301" s="350" t="s">
        <v>189</v>
      </c>
      <c r="G301" s="349" t="s">
        <v>568</v>
      </c>
      <c r="H301" s="349">
        <v>42.78562494471668</v>
      </c>
      <c r="I301" s="349">
        <v>22.8286814646106</v>
      </c>
      <c r="J301" s="65" t="s">
        <v>494</v>
      </c>
    </row>
    <row r="302" spans="1:10" x14ac:dyDescent="0.25">
      <c r="A302" s="310" t="s">
        <v>559</v>
      </c>
      <c r="B302" s="351" t="s">
        <v>496</v>
      </c>
      <c r="C302" s="349" t="s">
        <v>552</v>
      </c>
      <c r="D302" s="349" t="s">
        <v>496</v>
      </c>
      <c r="E302" s="349" t="s">
        <v>496</v>
      </c>
      <c r="F302" s="349" t="s">
        <v>496</v>
      </c>
      <c r="G302" s="351" t="s">
        <v>496</v>
      </c>
      <c r="H302" s="351">
        <v>40.930380256173969</v>
      </c>
      <c r="I302" s="351">
        <v>22.744244376797859</v>
      </c>
      <c r="J302" s="65" t="s">
        <v>494</v>
      </c>
    </row>
    <row r="303" spans="1:10" x14ac:dyDescent="0.25">
      <c r="A303" s="310" t="s">
        <v>560</v>
      </c>
      <c r="B303" s="351" t="s">
        <v>523</v>
      </c>
      <c r="C303" s="349" t="s">
        <v>552</v>
      </c>
      <c r="D303" s="349" t="s">
        <v>523</v>
      </c>
      <c r="E303" s="349" t="s">
        <v>523</v>
      </c>
      <c r="F303" s="349" t="s">
        <v>523</v>
      </c>
      <c r="G303" s="351" t="s">
        <v>523</v>
      </c>
      <c r="H303" s="351" t="s">
        <v>523</v>
      </c>
      <c r="I303" s="351" t="s">
        <v>523</v>
      </c>
      <c r="J303" s="65" t="s">
        <v>494</v>
      </c>
    </row>
    <row r="304" spans="1:10" x14ac:dyDescent="0.25">
      <c r="A304" s="310" t="s">
        <v>561</v>
      </c>
      <c r="B304" s="351" t="s">
        <v>496</v>
      </c>
      <c r="C304" s="349" t="s">
        <v>552</v>
      </c>
      <c r="D304" s="349" t="s">
        <v>496</v>
      </c>
      <c r="E304" s="349" t="s">
        <v>496</v>
      </c>
      <c r="F304" s="349" t="s">
        <v>496</v>
      </c>
      <c r="G304" s="351" t="s">
        <v>496</v>
      </c>
      <c r="H304" s="351">
        <v>1.8552446885427101</v>
      </c>
      <c r="I304" s="351">
        <v>8.4437087812739994E-2</v>
      </c>
      <c r="J304" s="65" t="s">
        <v>494</v>
      </c>
    </row>
    <row r="305" spans="1:10" x14ac:dyDescent="0.25">
      <c r="A305" s="310" t="s">
        <v>562</v>
      </c>
      <c r="B305" s="351" t="s">
        <v>523</v>
      </c>
      <c r="C305" s="349" t="s">
        <v>552</v>
      </c>
      <c r="D305" s="349" t="s">
        <v>523</v>
      </c>
      <c r="E305" s="349" t="s">
        <v>523</v>
      </c>
      <c r="F305" s="349" t="s">
        <v>523</v>
      </c>
      <c r="G305" s="351" t="s">
        <v>523</v>
      </c>
      <c r="H305" s="351" t="s">
        <v>523</v>
      </c>
      <c r="I305" s="351" t="s">
        <v>523</v>
      </c>
      <c r="J305" s="65" t="s">
        <v>494</v>
      </c>
    </row>
    <row r="306" spans="1:10" x14ac:dyDescent="0.25">
      <c r="A306" s="310" t="s">
        <v>92</v>
      </c>
      <c r="B306" s="351" t="s">
        <v>496</v>
      </c>
      <c r="C306" s="349" t="s">
        <v>552</v>
      </c>
      <c r="D306" s="349" t="s">
        <v>496</v>
      </c>
      <c r="E306" s="349" t="s">
        <v>521</v>
      </c>
      <c r="F306" s="349" t="s">
        <v>521</v>
      </c>
      <c r="G306" s="351" t="s">
        <v>496</v>
      </c>
      <c r="H306" s="351" t="s">
        <v>521</v>
      </c>
      <c r="I306" s="351" t="s">
        <v>521</v>
      </c>
      <c r="J306" s="65" t="s">
        <v>494</v>
      </c>
    </row>
    <row r="307" spans="1:10" x14ac:dyDescent="0.25">
      <c r="A307" s="306" t="s">
        <v>596</v>
      </c>
      <c r="B307" s="349">
        <v>11350565.440672889</v>
      </c>
      <c r="C307" s="349" t="s">
        <v>552</v>
      </c>
      <c r="D307" s="350" t="s">
        <v>189</v>
      </c>
      <c r="E307" s="350" t="s">
        <v>189</v>
      </c>
      <c r="F307" s="350" t="s">
        <v>189</v>
      </c>
      <c r="G307" s="349">
        <v>586285.4434706961</v>
      </c>
      <c r="H307" s="349">
        <v>205.34813377159594</v>
      </c>
      <c r="I307" s="349">
        <v>4.1002059296026401</v>
      </c>
      <c r="J307" s="349" t="s">
        <v>556</v>
      </c>
    </row>
    <row r="308" spans="1:10" x14ac:dyDescent="0.25">
      <c r="A308" s="305" t="s">
        <v>553</v>
      </c>
      <c r="B308" s="349">
        <v>2244284.3614724921</v>
      </c>
      <c r="C308" s="349" t="s">
        <v>552</v>
      </c>
      <c r="D308" s="349">
        <v>67.197268126614205</v>
      </c>
      <c r="E308" s="349">
        <v>9.4999509612768396</v>
      </c>
      <c r="F308" s="349">
        <v>0.57001685543420999</v>
      </c>
      <c r="G308" s="349">
        <v>150809.77799023423</v>
      </c>
      <c r="H308" s="349">
        <v>21.320591377149189</v>
      </c>
      <c r="I308" s="349">
        <v>1.2792799144267299</v>
      </c>
      <c r="J308" s="349" t="s">
        <v>494</v>
      </c>
    </row>
    <row r="309" spans="1:10" x14ac:dyDescent="0.25">
      <c r="A309" s="305" t="s">
        <v>554</v>
      </c>
      <c r="B309" s="349">
        <v>112366.54296457814</v>
      </c>
      <c r="C309" s="349" t="s">
        <v>552</v>
      </c>
      <c r="D309" s="349">
        <v>90.475845936581024</v>
      </c>
      <c r="E309" s="349">
        <v>31.31951642816826</v>
      </c>
      <c r="F309" s="349">
        <v>1.4249999999999701</v>
      </c>
      <c r="G309" s="349">
        <v>10166.458029689384</v>
      </c>
      <c r="H309" s="349">
        <v>3.5192657883555798</v>
      </c>
      <c r="I309" s="349">
        <v>0.16012232372452001</v>
      </c>
      <c r="J309" s="349" t="s">
        <v>494</v>
      </c>
    </row>
    <row r="310" spans="1:10" x14ac:dyDescent="0.25">
      <c r="A310" s="305" t="s">
        <v>555</v>
      </c>
      <c r="B310" s="349">
        <v>8464063.9996716734</v>
      </c>
      <c r="C310" s="349" t="s">
        <v>552</v>
      </c>
      <c r="D310" s="349">
        <v>50.248817526340829</v>
      </c>
      <c r="E310" s="349">
        <v>4.4986853631150696</v>
      </c>
      <c r="F310" s="349">
        <v>8.9994847365319999E-2</v>
      </c>
      <c r="G310" s="349">
        <v>425309.20745077246</v>
      </c>
      <c r="H310" s="349">
        <v>38.07716082779217</v>
      </c>
      <c r="I310" s="349">
        <v>0.76172214774073999</v>
      </c>
      <c r="J310" s="349" t="s">
        <v>494</v>
      </c>
    </row>
    <row r="311" spans="1:10" x14ac:dyDescent="0.25">
      <c r="A311" s="305" t="s">
        <v>3251</v>
      </c>
      <c r="B311" s="349" t="s">
        <v>523</v>
      </c>
      <c r="C311" s="349" t="s">
        <v>552</v>
      </c>
      <c r="D311" s="349" t="s">
        <v>523</v>
      </c>
      <c r="E311" s="349" t="s">
        <v>523</v>
      </c>
      <c r="F311" s="349" t="s">
        <v>523</v>
      </c>
      <c r="G311" s="349" t="s">
        <v>523</v>
      </c>
      <c r="H311" s="349" t="s">
        <v>523</v>
      </c>
      <c r="I311" s="349" t="s">
        <v>523</v>
      </c>
      <c r="J311" s="349" t="s">
        <v>523</v>
      </c>
    </row>
    <row r="312" spans="1:10" x14ac:dyDescent="0.25">
      <c r="A312" s="305" t="s">
        <v>3252</v>
      </c>
      <c r="B312" s="349" t="s">
        <v>523</v>
      </c>
      <c r="C312" s="349" t="s">
        <v>552</v>
      </c>
      <c r="D312" s="349" t="s">
        <v>523</v>
      </c>
      <c r="E312" s="349" t="s">
        <v>523</v>
      </c>
      <c r="F312" s="349" t="s">
        <v>523</v>
      </c>
      <c r="G312" s="349" t="s">
        <v>523</v>
      </c>
      <c r="H312" s="349" t="s">
        <v>523</v>
      </c>
      <c r="I312" s="349" t="s">
        <v>523</v>
      </c>
      <c r="J312" s="349" t="s">
        <v>523</v>
      </c>
    </row>
    <row r="313" spans="1:10" x14ac:dyDescent="0.25">
      <c r="A313" s="305" t="s">
        <v>3253</v>
      </c>
      <c r="B313" s="349">
        <v>529850.53656414582</v>
      </c>
      <c r="C313" s="349" t="s">
        <v>552</v>
      </c>
      <c r="D313" s="349">
        <v>97.591405250278996</v>
      </c>
      <c r="E313" s="349">
        <v>268.8137615220773</v>
      </c>
      <c r="F313" s="349">
        <v>3.5841834869610198</v>
      </c>
      <c r="G313" s="349">
        <v>51708.858435909322</v>
      </c>
      <c r="H313" s="349">
        <v>142.43111577829899</v>
      </c>
      <c r="I313" s="349">
        <v>1.8990815437106501</v>
      </c>
      <c r="J313" s="349" t="s">
        <v>494</v>
      </c>
    </row>
    <row r="314" spans="1:10" x14ac:dyDescent="0.25">
      <c r="A314" s="318" t="s">
        <v>3271</v>
      </c>
      <c r="B314" s="349">
        <v>4223544.2202831479</v>
      </c>
      <c r="C314" s="349" t="s">
        <v>552</v>
      </c>
      <c r="D314" s="350" t="s">
        <v>189</v>
      </c>
      <c r="E314" s="350" t="s">
        <v>189</v>
      </c>
      <c r="F314" s="350" t="s">
        <v>189</v>
      </c>
      <c r="G314" s="349">
        <v>227130.02298152124</v>
      </c>
      <c r="H314" s="349">
        <v>43.127051806573057</v>
      </c>
      <c r="I314" s="349">
        <v>1.1609958550767701</v>
      </c>
      <c r="J314" s="349" t="s">
        <v>556</v>
      </c>
    </row>
    <row r="315" spans="1:10" x14ac:dyDescent="0.25">
      <c r="A315" s="305" t="s">
        <v>553</v>
      </c>
      <c r="B315" s="349">
        <v>802613.81053188839</v>
      </c>
      <c r="C315" s="349" t="s">
        <v>552</v>
      </c>
      <c r="D315" s="349">
        <v>68.457376341550798</v>
      </c>
      <c r="E315" s="349">
        <v>9.5</v>
      </c>
      <c r="F315" s="349">
        <v>0.56999999999999995</v>
      </c>
      <c r="G315" s="349">
        <v>54944.835684507634</v>
      </c>
      <c r="H315" s="349">
        <v>7.6248312000529399</v>
      </c>
      <c r="I315" s="349">
        <v>0.45748987200317998</v>
      </c>
      <c r="J315" s="349" t="s">
        <v>494</v>
      </c>
    </row>
    <row r="316" spans="1:10" x14ac:dyDescent="0.25">
      <c r="A316" s="305" t="s">
        <v>554</v>
      </c>
      <c r="B316" s="349">
        <v>102339.36264828738</v>
      </c>
      <c r="C316" s="349" t="s">
        <v>552</v>
      </c>
      <c r="D316" s="349">
        <v>90.484267022339296</v>
      </c>
      <c r="E316" s="349">
        <v>9.5</v>
      </c>
      <c r="F316" s="349">
        <v>1.425</v>
      </c>
      <c r="G316" s="349">
        <v>9260.1022167636511</v>
      </c>
      <c r="H316" s="349">
        <v>0.97222394515873001</v>
      </c>
      <c r="I316" s="349">
        <v>0.14583359177381</v>
      </c>
      <c r="J316" s="349" t="s">
        <v>494</v>
      </c>
    </row>
    <row r="317" spans="1:10" x14ac:dyDescent="0.25">
      <c r="A317" s="305" t="s">
        <v>555</v>
      </c>
      <c r="B317" s="349">
        <v>3242414.5271654259</v>
      </c>
      <c r="C317" s="349" t="s">
        <v>552</v>
      </c>
      <c r="D317" s="349">
        <v>50.248073994006511</v>
      </c>
      <c r="E317" s="349">
        <v>4.5</v>
      </c>
      <c r="F317" s="349">
        <v>0.09</v>
      </c>
      <c r="G317" s="349">
        <v>162925.08508024996</v>
      </c>
      <c r="H317" s="349">
        <v>14.590865372244419</v>
      </c>
      <c r="I317" s="349">
        <v>0.29181730744488998</v>
      </c>
      <c r="J317" s="349" t="s">
        <v>494</v>
      </c>
    </row>
    <row r="318" spans="1:10" x14ac:dyDescent="0.25">
      <c r="A318" s="305" t="s">
        <v>3251</v>
      </c>
      <c r="B318" s="349" t="s">
        <v>523</v>
      </c>
      <c r="C318" s="349" t="s">
        <v>552</v>
      </c>
      <c r="D318" s="349" t="s">
        <v>523</v>
      </c>
      <c r="E318" s="349" t="s">
        <v>523</v>
      </c>
      <c r="F318" s="349" t="s">
        <v>523</v>
      </c>
      <c r="G318" s="349" t="s">
        <v>523</v>
      </c>
      <c r="H318" s="349" t="s">
        <v>523</v>
      </c>
      <c r="I318" s="349" t="s">
        <v>523</v>
      </c>
      <c r="J318" s="349" t="s">
        <v>523</v>
      </c>
    </row>
    <row r="319" spans="1:10" x14ac:dyDescent="0.25">
      <c r="A319" s="305" t="s">
        <v>3252</v>
      </c>
      <c r="B319" s="349" t="s">
        <v>523</v>
      </c>
      <c r="C319" s="349" t="s">
        <v>552</v>
      </c>
      <c r="D319" s="349" t="s">
        <v>523</v>
      </c>
      <c r="E319" s="349" t="s">
        <v>523</v>
      </c>
      <c r="F319" s="349" t="s">
        <v>523</v>
      </c>
      <c r="G319" s="349" t="s">
        <v>523</v>
      </c>
      <c r="H319" s="349" t="s">
        <v>523</v>
      </c>
      <c r="I319" s="349" t="s">
        <v>523</v>
      </c>
      <c r="J319" s="349" t="s">
        <v>523</v>
      </c>
    </row>
    <row r="320" spans="1:10" x14ac:dyDescent="0.25">
      <c r="A320" s="305" t="s">
        <v>3253</v>
      </c>
      <c r="B320" s="349">
        <v>76176.519937545774</v>
      </c>
      <c r="C320" s="349" t="s">
        <v>552</v>
      </c>
      <c r="D320" s="349">
        <v>96.731829689896188</v>
      </c>
      <c r="E320" s="349">
        <v>261.74904426540229</v>
      </c>
      <c r="F320" s="349">
        <v>3.4899872568719901</v>
      </c>
      <c r="G320" s="349">
        <v>7368.6941529676596</v>
      </c>
      <c r="H320" s="349">
        <v>19.939131289116968</v>
      </c>
      <c r="I320" s="349">
        <v>0.26585508385488998</v>
      </c>
      <c r="J320" s="349" t="s">
        <v>494</v>
      </c>
    </row>
    <row r="321" spans="1:10" x14ac:dyDescent="0.25">
      <c r="A321" s="310" t="s">
        <v>597</v>
      </c>
      <c r="B321" s="349">
        <v>4223544.2202831479</v>
      </c>
      <c r="C321" s="349" t="s">
        <v>552</v>
      </c>
      <c r="D321" s="350" t="s">
        <v>189</v>
      </c>
      <c r="E321" s="350" t="s">
        <v>189</v>
      </c>
      <c r="F321" s="350" t="s">
        <v>189</v>
      </c>
      <c r="G321" s="349">
        <v>227130.02298152124</v>
      </c>
      <c r="H321" s="349">
        <v>43.127051806573057</v>
      </c>
      <c r="I321" s="349">
        <v>1.1609958550767701</v>
      </c>
      <c r="J321" s="349" t="s">
        <v>556</v>
      </c>
    </row>
    <row r="322" spans="1:10" x14ac:dyDescent="0.25">
      <c r="A322" s="316" t="s">
        <v>559</v>
      </c>
      <c r="B322" s="351">
        <v>802613.81053188839</v>
      </c>
      <c r="C322" s="349" t="s">
        <v>552</v>
      </c>
      <c r="D322" s="349">
        <v>68.457376341550798</v>
      </c>
      <c r="E322" s="349">
        <v>9.5</v>
      </c>
      <c r="F322" s="349">
        <v>0.56999999999999995</v>
      </c>
      <c r="G322" s="351">
        <v>54944.835684507634</v>
      </c>
      <c r="H322" s="351">
        <v>7.6248312000529399</v>
      </c>
      <c r="I322" s="351">
        <v>0.45748987200317998</v>
      </c>
      <c r="J322" s="351" t="s">
        <v>494</v>
      </c>
    </row>
    <row r="323" spans="1:10" x14ac:dyDescent="0.25">
      <c r="A323" s="316" t="s">
        <v>560</v>
      </c>
      <c r="B323" s="351">
        <v>102339.36264828738</v>
      </c>
      <c r="C323" s="349" t="s">
        <v>552</v>
      </c>
      <c r="D323" s="349">
        <v>90.484267022339296</v>
      </c>
      <c r="E323" s="349">
        <v>9.5</v>
      </c>
      <c r="F323" s="349">
        <v>1.425</v>
      </c>
      <c r="G323" s="351">
        <v>9260.1022167636511</v>
      </c>
      <c r="H323" s="351">
        <v>0.97222394515873001</v>
      </c>
      <c r="I323" s="351">
        <v>0.14583359177381</v>
      </c>
      <c r="J323" s="351" t="s">
        <v>494</v>
      </c>
    </row>
    <row r="324" spans="1:10" x14ac:dyDescent="0.25">
      <c r="A324" s="316" t="s">
        <v>561</v>
      </c>
      <c r="B324" s="351">
        <v>3242414.5271654259</v>
      </c>
      <c r="C324" s="349" t="s">
        <v>552</v>
      </c>
      <c r="D324" s="349">
        <v>50.248073994006511</v>
      </c>
      <c r="E324" s="349">
        <v>4.5</v>
      </c>
      <c r="F324" s="349">
        <v>0.09</v>
      </c>
      <c r="G324" s="351">
        <v>162925.08508024996</v>
      </c>
      <c r="H324" s="351">
        <v>14.590865372244419</v>
      </c>
      <c r="I324" s="351">
        <v>0.29181730744488998</v>
      </c>
      <c r="J324" s="351" t="s">
        <v>494</v>
      </c>
    </row>
    <row r="325" spans="1:10" x14ac:dyDescent="0.25">
      <c r="A325" s="316" t="s">
        <v>562</v>
      </c>
      <c r="B325" s="351" t="s">
        <v>523</v>
      </c>
      <c r="C325" s="349" t="s">
        <v>552</v>
      </c>
      <c r="D325" s="349" t="s">
        <v>523</v>
      </c>
      <c r="E325" s="349" t="s">
        <v>523</v>
      </c>
      <c r="F325" s="349" t="s">
        <v>523</v>
      </c>
      <c r="G325" s="351" t="s">
        <v>523</v>
      </c>
      <c r="H325" s="351" t="s">
        <v>523</v>
      </c>
      <c r="I325" s="351" t="s">
        <v>523</v>
      </c>
      <c r="J325" s="351" t="s">
        <v>523</v>
      </c>
    </row>
    <row r="326" spans="1:10" x14ac:dyDescent="0.25">
      <c r="A326" s="316" t="s">
        <v>563</v>
      </c>
      <c r="B326" s="351" t="s">
        <v>523</v>
      </c>
      <c r="C326" s="349" t="s">
        <v>552</v>
      </c>
      <c r="D326" s="349" t="s">
        <v>523</v>
      </c>
      <c r="E326" s="349" t="s">
        <v>523</v>
      </c>
      <c r="F326" s="349" t="s">
        <v>523</v>
      </c>
      <c r="G326" s="351" t="s">
        <v>523</v>
      </c>
      <c r="H326" s="351" t="s">
        <v>523</v>
      </c>
      <c r="I326" s="351" t="s">
        <v>523</v>
      </c>
      <c r="J326" s="351" t="s">
        <v>523</v>
      </c>
    </row>
    <row r="327" spans="1:10" x14ac:dyDescent="0.25">
      <c r="A327" s="316" t="s">
        <v>92</v>
      </c>
      <c r="B327" s="351">
        <v>76176.519937545774</v>
      </c>
      <c r="C327" s="349" t="s">
        <v>552</v>
      </c>
      <c r="D327" s="349">
        <v>96.731829689896188</v>
      </c>
      <c r="E327" s="349">
        <v>261.74904426540229</v>
      </c>
      <c r="F327" s="349">
        <v>3.4899872568719901</v>
      </c>
      <c r="G327" s="351">
        <v>7368.6941529676596</v>
      </c>
      <c r="H327" s="351">
        <v>19.939131289116968</v>
      </c>
      <c r="I327" s="351">
        <v>0.26585508385488998</v>
      </c>
      <c r="J327" s="351" t="s">
        <v>494</v>
      </c>
    </row>
    <row r="328" spans="1:10" x14ac:dyDescent="0.25">
      <c r="A328" s="318" t="s">
        <v>3272</v>
      </c>
      <c r="B328" s="349">
        <v>7122906.3888648106</v>
      </c>
      <c r="C328" s="349" t="s">
        <v>552</v>
      </c>
      <c r="D328" s="350" t="s">
        <v>189</v>
      </c>
      <c r="E328" s="350" t="s">
        <v>189</v>
      </c>
      <c r="F328" s="350" t="s">
        <v>189</v>
      </c>
      <c r="G328" s="349">
        <v>358897.51072027022</v>
      </c>
      <c r="H328" s="349">
        <v>162.20807697148538</v>
      </c>
      <c r="I328" s="349">
        <v>2.9373316220328798</v>
      </c>
      <c r="J328" s="349" t="s">
        <v>556</v>
      </c>
    </row>
    <row r="329" spans="1:10" x14ac:dyDescent="0.25">
      <c r="A329" s="305" t="s">
        <v>553</v>
      </c>
      <c r="B329" s="349">
        <v>1441653.2392910132</v>
      </c>
      <c r="C329" s="349" t="s">
        <v>552</v>
      </c>
      <c r="D329" s="349">
        <v>66.495636541257568</v>
      </c>
      <c r="E329" s="349">
        <v>9.5</v>
      </c>
      <c r="F329" s="349">
        <v>0.56999999999999995</v>
      </c>
      <c r="G329" s="349">
        <v>95863.649818421836</v>
      </c>
      <c r="H329" s="349">
        <v>13.695705773264629</v>
      </c>
      <c r="I329" s="349">
        <v>0.82174234639587995</v>
      </c>
      <c r="J329" s="349" t="s">
        <v>494</v>
      </c>
    </row>
    <row r="330" spans="1:10" x14ac:dyDescent="0.25">
      <c r="A330" s="305" t="s">
        <v>554</v>
      </c>
      <c r="B330" s="349">
        <v>8899.3961168497008</v>
      </c>
      <c r="C330" s="349" t="s">
        <v>552</v>
      </c>
      <c r="D330" s="349">
        <v>90.484267022339282</v>
      </c>
      <c r="E330" s="349">
        <v>284.99999999999949</v>
      </c>
      <c r="F330" s="349">
        <v>1.4249999999999099</v>
      </c>
      <c r="G330" s="349">
        <v>805.25533457459767</v>
      </c>
      <c r="H330" s="349">
        <v>2.5363278933021598</v>
      </c>
      <c r="I330" s="349">
        <v>1.2681639466510001E-2</v>
      </c>
      <c r="J330" s="349" t="s">
        <v>494</v>
      </c>
    </row>
    <row r="331" spans="1:10" x14ac:dyDescent="0.25">
      <c r="A331" s="305" t="s">
        <v>555</v>
      </c>
      <c r="B331" s="349">
        <v>5218679.7368303481</v>
      </c>
      <c r="C331" s="349" t="s">
        <v>552</v>
      </c>
      <c r="D331" s="349">
        <v>50.248073994006518</v>
      </c>
      <c r="E331" s="349">
        <v>4.5</v>
      </c>
      <c r="F331" s="349">
        <v>0.09</v>
      </c>
      <c r="G331" s="349">
        <v>262228.6055672738</v>
      </c>
      <c r="H331" s="349">
        <v>23.484058815736571</v>
      </c>
      <c r="I331" s="349">
        <v>0.46968117631473</v>
      </c>
      <c r="J331" s="349" t="s">
        <v>494</v>
      </c>
    </row>
    <row r="332" spans="1:10" x14ac:dyDescent="0.25">
      <c r="A332" s="305" t="s">
        <v>3251</v>
      </c>
      <c r="B332" s="349" t="s">
        <v>523</v>
      </c>
      <c r="C332" s="349" t="s">
        <v>552</v>
      </c>
      <c r="D332" s="349" t="s">
        <v>523</v>
      </c>
      <c r="E332" s="349" t="s">
        <v>523</v>
      </c>
      <c r="F332" s="349" t="s">
        <v>523</v>
      </c>
      <c r="G332" s="349" t="s">
        <v>523</v>
      </c>
      <c r="H332" s="349" t="s">
        <v>523</v>
      </c>
      <c r="I332" s="349" t="s">
        <v>523</v>
      </c>
      <c r="J332" s="349" t="s">
        <v>523</v>
      </c>
    </row>
    <row r="333" spans="1:10" x14ac:dyDescent="0.25">
      <c r="A333" s="305" t="s">
        <v>3252</v>
      </c>
      <c r="B333" s="349" t="s">
        <v>523</v>
      </c>
      <c r="C333" s="349" t="s">
        <v>552</v>
      </c>
      <c r="D333" s="349" t="s">
        <v>523</v>
      </c>
      <c r="E333" s="349" t="s">
        <v>523</v>
      </c>
      <c r="F333" s="349" t="s">
        <v>523</v>
      </c>
      <c r="G333" s="349" t="s">
        <v>523</v>
      </c>
      <c r="H333" s="349" t="s">
        <v>523</v>
      </c>
      <c r="I333" s="349" t="s">
        <v>523</v>
      </c>
      <c r="J333" s="349" t="s">
        <v>523</v>
      </c>
    </row>
    <row r="334" spans="1:10" x14ac:dyDescent="0.25">
      <c r="A334" s="305" t="s">
        <v>3253</v>
      </c>
      <c r="B334" s="349">
        <v>453674.0166266</v>
      </c>
      <c r="C334" s="349" t="s">
        <v>552</v>
      </c>
      <c r="D334" s="349">
        <v>97.735736802039924</v>
      </c>
      <c r="E334" s="349">
        <v>270.00000000000006</v>
      </c>
      <c r="F334" s="349">
        <v>3.6</v>
      </c>
      <c r="G334" s="349">
        <v>44340.16428294166</v>
      </c>
      <c r="H334" s="349">
        <v>122.49198448918202</v>
      </c>
      <c r="I334" s="349">
        <v>1.63322645985576</v>
      </c>
      <c r="J334" s="349" t="s">
        <v>494</v>
      </c>
    </row>
    <row r="335" spans="1:10" x14ac:dyDescent="0.25">
      <c r="A335" s="309" t="s">
        <v>598</v>
      </c>
      <c r="B335" s="349">
        <v>7122906.3888648106</v>
      </c>
      <c r="C335" s="349" t="s">
        <v>552</v>
      </c>
      <c r="D335" s="350" t="s">
        <v>189</v>
      </c>
      <c r="E335" s="350" t="s">
        <v>189</v>
      </c>
      <c r="F335" s="350" t="s">
        <v>189</v>
      </c>
      <c r="G335" s="349">
        <v>358897.51072027022</v>
      </c>
      <c r="H335" s="349">
        <v>162.20807697148538</v>
      </c>
      <c r="I335" s="349">
        <v>2.9373316220328798</v>
      </c>
      <c r="J335" s="349" t="s">
        <v>556</v>
      </c>
    </row>
    <row r="336" spans="1:10" x14ac:dyDescent="0.25">
      <c r="A336" s="310" t="s">
        <v>599</v>
      </c>
      <c r="B336" s="349">
        <v>7122906.3888648106</v>
      </c>
      <c r="C336" s="349" t="s">
        <v>552</v>
      </c>
      <c r="D336" s="350" t="s">
        <v>189</v>
      </c>
      <c r="E336" s="350" t="s">
        <v>189</v>
      </c>
      <c r="F336" s="350" t="s">
        <v>189</v>
      </c>
      <c r="G336" s="349">
        <v>358897.51072027022</v>
      </c>
      <c r="H336" s="349">
        <v>162.20807697148538</v>
      </c>
      <c r="I336" s="349">
        <v>2.9373316220328798</v>
      </c>
      <c r="J336" s="349" t="s">
        <v>556</v>
      </c>
    </row>
    <row r="337" spans="1:10" x14ac:dyDescent="0.25">
      <c r="A337" s="316" t="s">
        <v>559</v>
      </c>
      <c r="B337" s="351">
        <v>1441653.2392910132</v>
      </c>
      <c r="C337" s="349" t="s">
        <v>552</v>
      </c>
      <c r="D337" s="349">
        <v>66.495636541257568</v>
      </c>
      <c r="E337" s="349">
        <v>9.5</v>
      </c>
      <c r="F337" s="349">
        <v>0.56999999999999995</v>
      </c>
      <c r="G337" s="351">
        <v>95863.649818421836</v>
      </c>
      <c r="H337" s="351">
        <v>13.695705773264629</v>
      </c>
      <c r="I337" s="351">
        <v>0.82174234639587995</v>
      </c>
      <c r="J337" s="351" t="s">
        <v>494</v>
      </c>
    </row>
    <row r="338" spans="1:10" x14ac:dyDescent="0.25">
      <c r="A338" s="316" t="s">
        <v>560</v>
      </c>
      <c r="B338" s="351">
        <v>8899.3961168497008</v>
      </c>
      <c r="C338" s="349" t="s">
        <v>552</v>
      </c>
      <c r="D338" s="349">
        <v>90.484267022339282</v>
      </c>
      <c r="E338" s="349">
        <v>284.99999999999949</v>
      </c>
      <c r="F338" s="349">
        <v>1.4249999999999099</v>
      </c>
      <c r="G338" s="351">
        <v>805.25533457459767</v>
      </c>
      <c r="H338" s="351">
        <v>2.5363278933021598</v>
      </c>
      <c r="I338" s="351">
        <v>1.2681639466510001E-2</v>
      </c>
      <c r="J338" s="351" t="s">
        <v>494</v>
      </c>
    </row>
    <row r="339" spans="1:10" x14ac:dyDescent="0.25">
      <c r="A339" s="316" t="s">
        <v>561</v>
      </c>
      <c r="B339" s="351">
        <v>5218679.7368303481</v>
      </c>
      <c r="C339" s="349" t="s">
        <v>552</v>
      </c>
      <c r="D339" s="349">
        <v>50.248073994006518</v>
      </c>
      <c r="E339" s="349">
        <v>4.5</v>
      </c>
      <c r="F339" s="349">
        <v>0.09</v>
      </c>
      <c r="G339" s="351">
        <v>262228.6055672738</v>
      </c>
      <c r="H339" s="351">
        <v>23.484058815736571</v>
      </c>
      <c r="I339" s="351">
        <v>0.46968117631473</v>
      </c>
      <c r="J339" s="351" t="s">
        <v>494</v>
      </c>
    </row>
    <row r="340" spans="1:10" x14ac:dyDescent="0.25">
      <c r="A340" s="316" t="s">
        <v>562</v>
      </c>
      <c r="B340" s="351" t="s">
        <v>523</v>
      </c>
      <c r="C340" s="349" t="s">
        <v>552</v>
      </c>
      <c r="D340" s="349" t="s">
        <v>523</v>
      </c>
      <c r="E340" s="349" t="s">
        <v>523</v>
      </c>
      <c r="F340" s="349" t="s">
        <v>523</v>
      </c>
      <c r="G340" s="351" t="s">
        <v>523</v>
      </c>
      <c r="H340" s="351" t="s">
        <v>523</v>
      </c>
      <c r="I340" s="351" t="s">
        <v>523</v>
      </c>
      <c r="J340" s="351" t="s">
        <v>523</v>
      </c>
    </row>
    <row r="341" spans="1:10" x14ac:dyDescent="0.25">
      <c r="A341" s="316" t="s">
        <v>563</v>
      </c>
      <c r="B341" s="351" t="s">
        <v>523</v>
      </c>
      <c r="C341" s="349" t="s">
        <v>552</v>
      </c>
      <c r="D341" s="349" t="s">
        <v>523</v>
      </c>
      <c r="E341" s="349" t="s">
        <v>523</v>
      </c>
      <c r="F341" s="349" t="s">
        <v>523</v>
      </c>
      <c r="G341" s="351" t="s">
        <v>523</v>
      </c>
      <c r="H341" s="351" t="s">
        <v>523</v>
      </c>
      <c r="I341" s="351" t="s">
        <v>523</v>
      </c>
      <c r="J341" s="351" t="s">
        <v>523</v>
      </c>
    </row>
    <row r="342" spans="1:10" x14ac:dyDescent="0.25">
      <c r="A342" s="316" t="s">
        <v>92</v>
      </c>
      <c r="B342" s="351">
        <v>453674.0166266</v>
      </c>
      <c r="C342" s="349" t="s">
        <v>552</v>
      </c>
      <c r="D342" s="349">
        <v>97.735736802039924</v>
      </c>
      <c r="E342" s="349">
        <v>270.00000000000006</v>
      </c>
      <c r="F342" s="349">
        <v>3.6</v>
      </c>
      <c r="G342" s="351">
        <v>44340.16428294166</v>
      </c>
      <c r="H342" s="351">
        <v>122.49198448918202</v>
      </c>
      <c r="I342" s="351">
        <v>1.63322645985576</v>
      </c>
      <c r="J342" s="351" t="s">
        <v>494</v>
      </c>
    </row>
    <row r="343" spans="1:10" x14ac:dyDescent="0.25">
      <c r="A343" s="318" t="s">
        <v>513</v>
      </c>
      <c r="B343" s="349">
        <v>4114.8315249317002</v>
      </c>
      <c r="C343" s="349" t="s">
        <v>552</v>
      </c>
      <c r="D343" s="350" t="s">
        <v>189</v>
      </c>
      <c r="E343" s="350" t="s">
        <v>189</v>
      </c>
      <c r="F343" s="350" t="s">
        <v>189</v>
      </c>
      <c r="G343" s="349">
        <v>257.90976890459297</v>
      </c>
      <c r="H343" s="349">
        <v>1.300499353749E-2</v>
      </c>
      <c r="I343" s="349">
        <v>1.87845249299E-3</v>
      </c>
      <c r="J343" s="349" t="s">
        <v>556</v>
      </c>
    </row>
    <row r="344" spans="1:10" x14ac:dyDescent="0.25">
      <c r="A344" s="305" t="s">
        <v>553</v>
      </c>
      <c r="B344" s="349">
        <v>17.3116495903528</v>
      </c>
      <c r="C344" s="349" t="s">
        <v>552</v>
      </c>
      <c r="D344" s="349">
        <v>74.659973794072144</v>
      </c>
      <c r="E344" s="349">
        <v>3.14261395692282</v>
      </c>
      <c r="F344" s="349">
        <v>2.75514054400566</v>
      </c>
      <c r="G344" s="349">
        <v>1.2924873047479</v>
      </c>
      <c r="H344" s="349">
        <v>5.4403831620000003E-5</v>
      </c>
      <c r="I344" s="349">
        <v>4.7696027669999998E-5</v>
      </c>
      <c r="J344" s="349" t="s">
        <v>494</v>
      </c>
    </row>
    <row r="345" spans="1:10" x14ac:dyDescent="0.25">
      <c r="A345" s="305" t="s">
        <v>554</v>
      </c>
      <c r="B345" s="349">
        <v>1127.7841994410535</v>
      </c>
      <c r="C345" s="349" t="s">
        <v>552</v>
      </c>
      <c r="D345" s="349">
        <v>89.645233903118736</v>
      </c>
      <c r="E345" s="349">
        <v>9.4999999999999893</v>
      </c>
      <c r="F345" s="349">
        <v>1.4249999999969001</v>
      </c>
      <c r="G345" s="349">
        <v>101.10047835113475</v>
      </c>
      <c r="H345" s="349">
        <v>1.071394989469E-2</v>
      </c>
      <c r="I345" s="349">
        <v>1.6070924842E-3</v>
      </c>
      <c r="J345" s="349" t="s">
        <v>494</v>
      </c>
    </row>
    <row r="346" spans="1:10" x14ac:dyDescent="0.25">
      <c r="A346" s="305" t="s">
        <v>555</v>
      </c>
      <c r="B346" s="349">
        <v>2969.7356759002942</v>
      </c>
      <c r="C346" s="349" t="s">
        <v>552</v>
      </c>
      <c r="D346" s="349">
        <v>52.367220594999388</v>
      </c>
      <c r="E346" s="349">
        <v>0.75314440585758002</v>
      </c>
      <c r="F346" s="349">
        <v>7.5314440586429998E-2</v>
      </c>
      <c r="G346" s="349">
        <v>155.51680324871032</v>
      </c>
      <c r="H346" s="349">
        <v>2.2366398111799998E-3</v>
      </c>
      <c r="I346" s="349">
        <v>2.2366398112E-4</v>
      </c>
      <c r="J346" s="349" t="s">
        <v>494</v>
      </c>
    </row>
    <row r="347" spans="1:10" x14ac:dyDescent="0.25">
      <c r="A347" s="305" t="s">
        <v>3251</v>
      </c>
      <c r="B347" s="349" t="s">
        <v>523</v>
      </c>
      <c r="C347" s="349" t="s">
        <v>552</v>
      </c>
      <c r="D347" s="349" t="s">
        <v>523</v>
      </c>
      <c r="E347" s="349" t="s">
        <v>523</v>
      </c>
      <c r="F347" s="349" t="s">
        <v>523</v>
      </c>
      <c r="G347" s="349" t="s">
        <v>523</v>
      </c>
      <c r="H347" s="349" t="s">
        <v>523</v>
      </c>
      <c r="I347" s="349" t="s">
        <v>523</v>
      </c>
      <c r="J347" s="349" t="s">
        <v>523</v>
      </c>
    </row>
    <row r="348" spans="1:10" x14ac:dyDescent="0.25">
      <c r="A348" s="305" t="s">
        <v>3252</v>
      </c>
      <c r="B348" s="349" t="s">
        <v>523</v>
      </c>
      <c r="C348" s="349" t="s">
        <v>552</v>
      </c>
      <c r="D348" s="349" t="s">
        <v>523</v>
      </c>
      <c r="E348" s="349" t="s">
        <v>523</v>
      </c>
      <c r="F348" s="349" t="s">
        <v>523</v>
      </c>
      <c r="G348" s="349" t="s">
        <v>523</v>
      </c>
      <c r="H348" s="349" t="s">
        <v>523</v>
      </c>
      <c r="I348" s="349" t="s">
        <v>523</v>
      </c>
      <c r="J348" s="349" t="s">
        <v>523</v>
      </c>
    </row>
    <row r="349" spans="1:10" x14ac:dyDescent="0.25">
      <c r="A349" s="305" t="s">
        <v>3253</v>
      </c>
      <c r="B349" s="349" t="s">
        <v>496</v>
      </c>
      <c r="C349" s="349" t="s">
        <v>552</v>
      </c>
      <c r="D349" s="349" t="s">
        <v>528</v>
      </c>
      <c r="E349" s="349" t="s">
        <v>494</v>
      </c>
      <c r="F349" s="349" t="s">
        <v>494</v>
      </c>
      <c r="G349" s="349" t="s">
        <v>496</v>
      </c>
      <c r="H349" s="349" t="s">
        <v>494</v>
      </c>
      <c r="I349" s="349" t="s">
        <v>494</v>
      </c>
      <c r="J349" s="349" t="s">
        <v>494</v>
      </c>
    </row>
    <row r="350" spans="1:10" x14ac:dyDescent="0.25">
      <c r="A350" s="312" t="s">
        <v>600</v>
      </c>
      <c r="B350" s="349">
        <v>4114.8315249317002</v>
      </c>
      <c r="C350" s="349" t="s">
        <v>552</v>
      </c>
      <c r="D350" s="350" t="s">
        <v>189</v>
      </c>
      <c r="E350" s="350" t="s">
        <v>189</v>
      </c>
      <c r="F350" s="350" t="s">
        <v>189</v>
      </c>
      <c r="G350" s="349">
        <v>257.90976890459297</v>
      </c>
      <c r="H350" s="349">
        <v>1.300499353749E-2</v>
      </c>
      <c r="I350" s="349">
        <v>1.87845249299E-3</v>
      </c>
      <c r="J350" s="349" t="s">
        <v>556</v>
      </c>
    </row>
    <row r="351" spans="1:10" x14ac:dyDescent="0.25">
      <c r="A351" s="305" t="s">
        <v>553</v>
      </c>
      <c r="B351" s="351">
        <v>17.3116495903528</v>
      </c>
      <c r="C351" s="349" t="s">
        <v>552</v>
      </c>
      <c r="D351" s="349">
        <v>74.659973794072144</v>
      </c>
      <c r="E351" s="349">
        <v>3.14261395692282</v>
      </c>
      <c r="F351" s="349">
        <v>2.75514054400566</v>
      </c>
      <c r="G351" s="351">
        <v>1.2924873047479</v>
      </c>
      <c r="H351" s="351">
        <v>5.4403831620000003E-5</v>
      </c>
      <c r="I351" s="351">
        <v>4.7696027669999998E-5</v>
      </c>
      <c r="J351" s="351" t="s">
        <v>494</v>
      </c>
    </row>
    <row r="352" spans="1:10" x14ac:dyDescent="0.25">
      <c r="A352" s="305" t="s">
        <v>554</v>
      </c>
      <c r="B352" s="351">
        <v>1127.7841994410535</v>
      </c>
      <c r="C352" s="349" t="s">
        <v>552</v>
      </c>
      <c r="D352" s="349">
        <v>89.645233903118736</v>
      </c>
      <c r="E352" s="349">
        <v>9.4999999999999893</v>
      </c>
      <c r="F352" s="349">
        <v>1.4249999999969001</v>
      </c>
      <c r="G352" s="351">
        <v>101.10047835113475</v>
      </c>
      <c r="H352" s="351">
        <v>1.071394989469E-2</v>
      </c>
      <c r="I352" s="351">
        <v>1.6070924842E-3</v>
      </c>
      <c r="J352" s="351" t="s">
        <v>494</v>
      </c>
    </row>
    <row r="353" spans="1:10" x14ac:dyDescent="0.25">
      <c r="A353" s="305" t="s">
        <v>555</v>
      </c>
      <c r="B353" s="351">
        <v>2969.7356759002942</v>
      </c>
      <c r="C353" s="349" t="s">
        <v>552</v>
      </c>
      <c r="D353" s="349">
        <v>52.367220594999388</v>
      </c>
      <c r="E353" s="349">
        <v>0.75314440585758002</v>
      </c>
      <c r="F353" s="349">
        <v>7.5314440586429998E-2</v>
      </c>
      <c r="G353" s="351">
        <v>155.51680324871032</v>
      </c>
      <c r="H353" s="351">
        <v>2.2366398111799998E-3</v>
      </c>
      <c r="I353" s="351">
        <v>2.2366398112E-4</v>
      </c>
      <c r="J353" s="351" t="s">
        <v>494</v>
      </c>
    </row>
    <row r="354" spans="1:10" x14ac:dyDescent="0.25">
      <c r="A354" s="305" t="s">
        <v>3251</v>
      </c>
      <c r="B354" s="351" t="s">
        <v>523</v>
      </c>
      <c r="C354" s="349" t="s">
        <v>552</v>
      </c>
      <c r="D354" s="349" t="s">
        <v>523</v>
      </c>
      <c r="E354" s="349" t="s">
        <v>523</v>
      </c>
      <c r="F354" s="349" t="s">
        <v>523</v>
      </c>
      <c r="G354" s="351" t="s">
        <v>523</v>
      </c>
      <c r="H354" s="351" t="s">
        <v>523</v>
      </c>
      <c r="I354" s="351" t="s">
        <v>523</v>
      </c>
      <c r="J354" s="351" t="s">
        <v>523</v>
      </c>
    </row>
    <row r="355" spans="1:10" x14ac:dyDescent="0.25">
      <c r="A355" s="305" t="s">
        <v>3252</v>
      </c>
      <c r="B355" s="351" t="s">
        <v>523</v>
      </c>
      <c r="C355" s="349" t="s">
        <v>552</v>
      </c>
      <c r="D355" s="349" t="s">
        <v>523</v>
      </c>
      <c r="E355" s="349" t="s">
        <v>523</v>
      </c>
      <c r="F355" s="349" t="s">
        <v>523</v>
      </c>
      <c r="G355" s="351" t="s">
        <v>523</v>
      </c>
      <c r="H355" s="351" t="s">
        <v>523</v>
      </c>
      <c r="I355" s="351" t="s">
        <v>523</v>
      </c>
      <c r="J355" s="351" t="s">
        <v>523</v>
      </c>
    </row>
    <row r="356" spans="1:10" x14ac:dyDescent="0.25">
      <c r="A356" s="305" t="s">
        <v>3253</v>
      </c>
      <c r="B356" s="351" t="s">
        <v>496</v>
      </c>
      <c r="C356" s="349" t="s">
        <v>552</v>
      </c>
      <c r="D356" s="349" t="s">
        <v>528</v>
      </c>
      <c r="E356" s="349" t="s">
        <v>494</v>
      </c>
      <c r="F356" s="349" t="s">
        <v>494</v>
      </c>
      <c r="G356" s="351" t="s">
        <v>496</v>
      </c>
      <c r="H356" s="351" t="s">
        <v>494</v>
      </c>
      <c r="I356" s="351" t="s">
        <v>494</v>
      </c>
      <c r="J356" s="351" t="s">
        <v>494</v>
      </c>
    </row>
    <row r="357" spans="1:10" x14ac:dyDescent="0.25">
      <c r="A357" s="312" t="s">
        <v>601</v>
      </c>
      <c r="B357" s="349" t="s">
        <v>568</v>
      </c>
      <c r="C357" s="349" t="s">
        <v>552</v>
      </c>
      <c r="D357" s="350" t="s">
        <v>189</v>
      </c>
      <c r="E357" s="350" t="s">
        <v>189</v>
      </c>
      <c r="F357" s="350" t="s">
        <v>189</v>
      </c>
      <c r="G357" s="349" t="s">
        <v>568</v>
      </c>
      <c r="H357" s="349" t="s">
        <v>3135</v>
      </c>
      <c r="I357" s="349" t="s">
        <v>3135</v>
      </c>
      <c r="J357" s="350" t="s">
        <v>189</v>
      </c>
    </row>
    <row r="358" spans="1:10" x14ac:dyDescent="0.25">
      <c r="A358" s="305" t="s">
        <v>576</v>
      </c>
      <c r="B358" s="351" t="s">
        <v>496</v>
      </c>
      <c r="C358" s="349" t="s">
        <v>552</v>
      </c>
      <c r="D358" s="349" t="s">
        <v>496</v>
      </c>
      <c r="E358" s="349" t="s">
        <v>496</v>
      </c>
      <c r="F358" s="349" t="s">
        <v>496</v>
      </c>
      <c r="G358" s="351" t="s">
        <v>496</v>
      </c>
      <c r="H358" s="351" t="s">
        <v>496</v>
      </c>
      <c r="I358" s="351" t="s">
        <v>496</v>
      </c>
      <c r="J358" s="350" t="s">
        <v>189</v>
      </c>
    </row>
    <row r="359" spans="1:10" x14ac:dyDescent="0.25">
      <c r="A359" s="305" t="s">
        <v>577</v>
      </c>
      <c r="B359" s="351" t="s">
        <v>496</v>
      </c>
      <c r="C359" s="349" t="s">
        <v>552</v>
      </c>
      <c r="D359" s="349" t="s">
        <v>496</v>
      </c>
      <c r="E359" s="349" t="s">
        <v>496</v>
      </c>
      <c r="F359" s="349" t="s">
        <v>496</v>
      </c>
      <c r="G359" s="351" t="s">
        <v>496</v>
      </c>
      <c r="H359" s="351" t="s">
        <v>496</v>
      </c>
      <c r="I359" s="351" t="s">
        <v>496</v>
      </c>
      <c r="J359" s="350" t="s">
        <v>189</v>
      </c>
    </row>
    <row r="360" spans="1:10" x14ac:dyDescent="0.25">
      <c r="A360" s="305" t="s">
        <v>578</v>
      </c>
      <c r="B360" s="351" t="s">
        <v>496</v>
      </c>
      <c r="C360" s="349" t="s">
        <v>552</v>
      </c>
      <c r="D360" s="349" t="s">
        <v>496</v>
      </c>
      <c r="E360" s="349" t="s">
        <v>496</v>
      </c>
      <c r="F360" s="349" t="s">
        <v>496</v>
      </c>
      <c r="G360" s="351" t="s">
        <v>496</v>
      </c>
      <c r="H360" s="351" t="s">
        <v>496</v>
      </c>
      <c r="I360" s="351" t="s">
        <v>496</v>
      </c>
      <c r="J360" s="350" t="s">
        <v>189</v>
      </c>
    </row>
    <row r="361" spans="1:10" x14ac:dyDescent="0.25">
      <c r="A361" s="305" t="s">
        <v>3262</v>
      </c>
      <c r="B361" s="349" t="s">
        <v>496</v>
      </c>
      <c r="C361" s="349" t="s">
        <v>552</v>
      </c>
      <c r="D361" s="350" t="s">
        <v>189</v>
      </c>
      <c r="E361" s="350" t="s">
        <v>189</v>
      </c>
      <c r="F361" s="350" t="s">
        <v>189</v>
      </c>
      <c r="G361" s="349" t="s">
        <v>496</v>
      </c>
      <c r="H361" s="349" t="s">
        <v>523</v>
      </c>
      <c r="I361" s="349" t="s">
        <v>523</v>
      </c>
      <c r="J361" s="350" t="s">
        <v>189</v>
      </c>
    </row>
    <row r="362" spans="1:10" x14ac:dyDescent="0.25">
      <c r="A362" s="305" t="s">
        <v>555</v>
      </c>
      <c r="B362" s="351" t="s">
        <v>496</v>
      </c>
      <c r="C362" s="349" t="s">
        <v>552</v>
      </c>
      <c r="D362" s="349" t="s">
        <v>496</v>
      </c>
      <c r="E362" s="349" t="s">
        <v>496</v>
      </c>
      <c r="F362" s="349" t="s">
        <v>496</v>
      </c>
      <c r="G362" s="351" t="s">
        <v>496</v>
      </c>
      <c r="H362" s="351" t="s">
        <v>496</v>
      </c>
      <c r="I362" s="351" t="s">
        <v>496</v>
      </c>
      <c r="J362" s="350" t="s">
        <v>189</v>
      </c>
    </row>
    <row r="363" spans="1:10" x14ac:dyDescent="0.25">
      <c r="A363" s="305" t="s">
        <v>3253</v>
      </c>
      <c r="B363" s="351" t="s">
        <v>496</v>
      </c>
      <c r="C363" s="349" t="s">
        <v>552</v>
      </c>
      <c r="D363" s="349" t="s">
        <v>496</v>
      </c>
      <c r="E363" s="349" t="s">
        <v>494</v>
      </c>
      <c r="F363" s="349" t="s">
        <v>494</v>
      </c>
      <c r="G363" s="351" t="s">
        <v>496</v>
      </c>
      <c r="H363" s="351" t="s">
        <v>494</v>
      </c>
      <c r="I363" s="351" t="s">
        <v>494</v>
      </c>
      <c r="J363" s="350" t="s">
        <v>189</v>
      </c>
    </row>
    <row r="364" spans="1:10" x14ac:dyDescent="0.25">
      <c r="A364" s="305" t="s">
        <v>3263</v>
      </c>
      <c r="B364" s="349" t="s">
        <v>523</v>
      </c>
      <c r="C364" s="349" t="s">
        <v>552</v>
      </c>
      <c r="D364" s="350" t="s">
        <v>189</v>
      </c>
      <c r="E364" s="350" t="s">
        <v>189</v>
      </c>
      <c r="F364" s="350" t="s">
        <v>189</v>
      </c>
      <c r="G364" s="349" t="s">
        <v>523</v>
      </c>
      <c r="H364" s="349" t="s">
        <v>523</v>
      </c>
      <c r="I364" s="349" t="s">
        <v>523</v>
      </c>
      <c r="J364" s="350" t="s">
        <v>189</v>
      </c>
    </row>
    <row r="365" spans="1:10" x14ac:dyDescent="0.25">
      <c r="A365" s="312" t="s">
        <v>602</v>
      </c>
      <c r="B365" s="349" t="s">
        <v>568</v>
      </c>
      <c r="C365" s="349" t="s">
        <v>552</v>
      </c>
      <c r="D365" s="350" t="s">
        <v>189</v>
      </c>
      <c r="E365" s="350" t="s">
        <v>189</v>
      </c>
      <c r="F365" s="350" t="s">
        <v>189</v>
      </c>
      <c r="G365" s="349" t="s">
        <v>568</v>
      </c>
      <c r="H365" s="349" t="s">
        <v>3135</v>
      </c>
      <c r="I365" s="349" t="s">
        <v>3135</v>
      </c>
      <c r="J365" s="350" t="s">
        <v>189</v>
      </c>
    </row>
    <row r="366" spans="1:10" x14ac:dyDescent="0.25">
      <c r="A366" s="305" t="s">
        <v>590</v>
      </c>
      <c r="B366" s="351" t="s">
        <v>496</v>
      </c>
      <c r="C366" s="349" t="s">
        <v>552</v>
      </c>
      <c r="D366" s="349" t="s">
        <v>496</v>
      </c>
      <c r="E366" s="349" t="s">
        <v>496</v>
      </c>
      <c r="F366" s="349" t="s">
        <v>496</v>
      </c>
      <c r="G366" s="351" t="s">
        <v>496</v>
      </c>
      <c r="H366" s="351" t="s">
        <v>496</v>
      </c>
      <c r="I366" s="351" t="s">
        <v>496</v>
      </c>
      <c r="J366" s="350" t="s">
        <v>189</v>
      </c>
    </row>
    <row r="367" spans="1:10" x14ac:dyDescent="0.25">
      <c r="A367" s="305" t="s">
        <v>591</v>
      </c>
      <c r="B367" s="351" t="s">
        <v>496</v>
      </c>
      <c r="C367" s="349" t="s">
        <v>552</v>
      </c>
      <c r="D367" s="349" t="s">
        <v>496</v>
      </c>
      <c r="E367" s="349" t="s">
        <v>496</v>
      </c>
      <c r="F367" s="349" t="s">
        <v>496</v>
      </c>
      <c r="G367" s="351" t="s">
        <v>496</v>
      </c>
      <c r="H367" s="351" t="s">
        <v>496</v>
      </c>
      <c r="I367" s="351" t="s">
        <v>496</v>
      </c>
      <c r="J367" s="350" t="s">
        <v>189</v>
      </c>
    </row>
    <row r="368" spans="1:10" x14ac:dyDescent="0.25">
      <c r="A368" s="305" t="s">
        <v>576</v>
      </c>
      <c r="B368" s="351" t="s">
        <v>496</v>
      </c>
      <c r="C368" s="349" t="s">
        <v>552</v>
      </c>
      <c r="D368" s="349" t="s">
        <v>496</v>
      </c>
      <c r="E368" s="349" t="s">
        <v>496</v>
      </c>
      <c r="F368" s="349" t="s">
        <v>496</v>
      </c>
      <c r="G368" s="351" t="s">
        <v>496</v>
      </c>
      <c r="H368" s="351" t="s">
        <v>496</v>
      </c>
      <c r="I368" s="351" t="s">
        <v>496</v>
      </c>
      <c r="J368" s="350" t="s">
        <v>189</v>
      </c>
    </row>
    <row r="369" spans="1:10" x14ac:dyDescent="0.25">
      <c r="A369" s="305" t="s">
        <v>3267</v>
      </c>
      <c r="B369" s="349" t="s">
        <v>496</v>
      </c>
      <c r="C369" s="349" t="s">
        <v>552</v>
      </c>
      <c r="D369" s="350" t="s">
        <v>189</v>
      </c>
      <c r="E369" s="350" t="s">
        <v>189</v>
      </c>
      <c r="F369" s="350" t="s">
        <v>189</v>
      </c>
      <c r="G369" s="349" t="s">
        <v>496</v>
      </c>
      <c r="H369" s="349" t="s">
        <v>496</v>
      </c>
      <c r="I369" s="349" t="s">
        <v>496</v>
      </c>
      <c r="J369" s="350" t="s">
        <v>189</v>
      </c>
    </row>
    <row r="370" spans="1:10" x14ac:dyDescent="0.25">
      <c r="A370" s="305" t="s">
        <v>555</v>
      </c>
      <c r="B370" s="351" t="s">
        <v>496</v>
      </c>
      <c r="C370" s="349" t="s">
        <v>552</v>
      </c>
      <c r="D370" s="349" t="s">
        <v>496</v>
      </c>
      <c r="E370" s="349" t="s">
        <v>496</v>
      </c>
      <c r="F370" s="349" t="s">
        <v>496</v>
      </c>
      <c r="G370" s="351" t="s">
        <v>496</v>
      </c>
      <c r="H370" s="351" t="s">
        <v>496</v>
      </c>
      <c r="I370" s="351" t="s">
        <v>496</v>
      </c>
      <c r="J370" s="350" t="s">
        <v>189</v>
      </c>
    </row>
    <row r="371" spans="1:10" x14ac:dyDescent="0.25">
      <c r="A371" s="305" t="s">
        <v>3253</v>
      </c>
      <c r="B371" s="351" t="s">
        <v>496</v>
      </c>
      <c r="C371" s="349" t="s">
        <v>552</v>
      </c>
      <c r="D371" s="349" t="s">
        <v>496</v>
      </c>
      <c r="E371" s="349" t="s">
        <v>494</v>
      </c>
      <c r="F371" s="349" t="s">
        <v>494</v>
      </c>
      <c r="G371" s="351" t="s">
        <v>496</v>
      </c>
      <c r="H371" s="351" t="s">
        <v>494</v>
      </c>
      <c r="I371" s="351" t="s">
        <v>494</v>
      </c>
      <c r="J371" s="350" t="s">
        <v>189</v>
      </c>
    </row>
    <row r="372" spans="1:10" x14ac:dyDescent="0.25">
      <c r="A372" s="305" t="s">
        <v>3268</v>
      </c>
      <c r="B372" s="349" t="s">
        <v>523</v>
      </c>
      <c r="C372" s="349" t="s">
        <v>552</v>
      </c>
      <c r="D372" s="350" t="s">
        <v>189</v>
      </c>
      <c r="E372" s="350" t="s">
        <v>189</v>
      </c>
      <c r="F372" s="350" t="s">
        <v>189</v>
      </c>
      <c r="G372" s="349" t="s">
        <v>523</v>
      </c>
      <c r="H372" s="349" t="s">
        <v>523</v>
      </c>
      <c r="I372" s="349" t="s">
        <v>523</v>
      </c>
      <c r="J372" s="350" t="s">
        <v>189</v>
      </c>
    </row>
    <row r="373" spans="1:10" x14ac:dyDescent="0.25">
      <c r="A373" s="66" t="s">
        <v>603</v>
      </c>
      <c r="B373" s="349">
        <v>7178206.5629088432</v>
      </c>
      <c r="C373" s="349" t="s">
        <v>552</v>
      </c>
      <c r="D373" s="350" t="s">
        <v>189</v>
      </c>
      <c r="E373" s="350" t="s">
        <v>189</v>
      </c>
      <c r="F373" s="350" t="s">
        <v>189</v>
      </c>
      <c r="G373" s="349">
        <v>226133.22271687587</v>
      </c>
      <c r="H373" s="349">
        <v>4.1196270916394298</v>
      </c>
      <c r="I373" s="349">
        <v>2.5601844175807398</v>
      </c>
      <c r="J373" s="349" t="s">
        <v>556</v>
      </c>
    </row>
    <row r="374" spans="1:10" x14ac:dyDescent="0.25">
      <c r="A374" s="67" t="s">
        <v>604</v>
      </c>
      <c r="B374" s="349">
        <v>6789839.4054550147</v>
      </c>
      <c r="C374" s="349" t="s">
        <v>552</v>
      </c>
      <c r="D374" s="350" t="s">
        <v>189</v>
      </c>
      <c r="E374" s="350" t="s">
        <v>189</v>
      </c>
      <c r="F374" s="350" t="s">
        <v>189</v>
      </c>
      <c r="G374" s="349">
        <v>198086.65897924625</v>
      </c>
      <c r="H374" s="349">
        <v>3.6313603130694299</v>
      </c>
      <c r="I374" s="349">
        <v>1.7785747835824199</v>
      </c>
      <c r="J374" s="349" t="s">
        <v>556</v>
      </c>
    </row>
    <row r="375" spans="1:10" x14ac:dyDescent="0.25">
      <c r="A375" s="309" t="s">
        <v>605</v>
      </c>
      <c r="B375" s="349">
        <v>300563.24352238874</v>
      </c>
      <c r="C375" s="349" t="s">
        <v>552</v>
      </c>
      <c r="D375" s="350" t="s">
        <v>189</v>
      </c>
      <c r="E375" s="350" t="s">
        <v>189</v>
      </c>
      <c r="F375" s="350" t="s">
        <v>189</v>
      </c>
      <c r="G375" s="349">
        <v>13282.915919456782</v>
      </c>
      <c r="H375" s="349">
        <v>5.1948184495699996E-3</v>
      </c>
      <c r="I375" s="349">
        <v>1.29867598133739</v>
      </c>
      <c r="J375" s="349" t="s">
        <v>556</v>
      </c>
    </row>
    <row r="376" spans="1:10" x14ac:dyDescent="0.25">
      <c r="A376" s="310" t="s">
        <v>559</v>
      </c>
      <c r="B376" s="351" t="s">
        <v>494</v>
      </c>
      <c r="C376" s="349" t="s">
        <v>552</v>
      </c>
      <c r="D376" s="349" t="s">
        <v>494</v>
      </c>
      <c r="E376" s="349" t="s">
        <v>494</v>
      </c>
      <c r="F376" s="349" t="s">
        <v>494</v>
      </c>
      <c r="G376" s="351" t="s">
        <v>494</v>
      </c>
      <c r="H376" s="351" t="s">
        <v>494</v>
      </c>
      <c r="I376" s="351" t="s">
        <v>494</v>
      </c>
      <c r="J376" s="351" t="s">
        <v>494</v>
      </c>
    </row>
    <row r="377" spans="1:10" x14ac:dyDescent="0.25">
      <c r="A377" s="310" t="s">
        <v>560</v>
      </c>
      <c r="B377" s="351" t="s">
        <v>494</v>
      </c>
      <c r="C377" s="349" t="s">
        <v>552</v>
      </c>
      <c r="D377" s="349" t="s">
        <v>494</v>
      </c>
      <c r="E377" s="349" t="s">
        <v>494</v>
      </c>
      <c r="F377" s="349" t="s">
        <v>494</v>
      </c>
      <c r="G377" s="351" t="s">
        <v>494</v>
      </c>
      <c r="H377" s="351" t="s">
        <v>494</v>
      </c>
      <c r="I377" s="351" t="s">
        <v>494</v>
      </c>
      <c r="J377" s="351" t="s">
        <v>494</v>
      </c>
    </row>
    <row r="378" spans="1:10" x14ac:dyDescent="0.25">
      <c r="A378" s="310" t="s">
        <v>561</v>
      </c>
      <c r="B378" s="351" t="s">
        <v>494</v>
      </c>
      <c r="C378" s="349" t="s">
        <v>552</v>
      </c>
      <c r="D378" s="349" t="s">
        <v>494</v>
      </c>
      <c r="E378" s="349" t="s">
        <v>494</v>
      </c>
      <c r="F378" s="349" t="s">
        <v>494</v>
      </c>
      <c r="G378" s="351" t="s">
        <v>494</v>
      </c>
      <c r="H378" s="351" t="s">
        <v>494</v>
      </c>
      <c r="I378" s="351" t="s">
        <v>494</v>
      </c>
      <c r="J378" s="351" t="s">
        <v>494</v>
      </c>
    </row>
    <row r="379" spans="1:10" x14ac:dyDescent="0.25">
      <c r="A379" s="310" t="s">
        <v>562</v>
      </c>
      <c r="B379" s="351">
        <v>300563.24352238874</v>
      </c>
      <c r="C379" s="349" t="s">
        <v>552</v>
      </c>
      <c r="D379" s="349">
        <v>44.193414217222298</v>
      </c>
      <c r="E379" s="349">
        <v>1.7283611890430001E-2</v>
      </c>
      <c r="F379" s="349">
        <v>4.3208077146021804</v>
      </c>
      <c r="G379" s="351">
        <v>13282.915919456782</v>
      </c>
      <c r="H379" s="351">
        <v>5.1948184495699996E-3</v>
      </c>
      <c r="I379" s="351">
        <v>1.29867598133739</v>
      </c>
      <c r="J379" s="351" t="s">
        <v>494</v>
      </c>
    </row>
    <row r="380" spans="1:10" x14ac:dyDescent="0.25">
      <c r="A380" s="310" t="s">
        <v>563</v>
      </c>
      <c r="B380" s="351" t="s">
        <v>523</v>
      </c>
      <c r="C380" s="349" t="s">
        <v>552</v>
      </c>
      <c r="D380" s="349" t="s">
        <v>523</v>
      </c>
      <c r="E380" s="349" t="s">
        <v>523</v>
      </c>
      <c r="F380" s="349" t="s">
        <v>523</v>
      </c>
      <c r="G380" s="351" t="s">
        <v>523</v>
      </c>
      <c r="H380" s="351" t="s">
        <v>523</v>
      </c>
      <c r="I380" s="351" t="s">
        <v>523</v>
      </c>
      <c r="J380" s="351" t="s">
        <v>523</v>
      </c>
    </row>
    <row r="381" spans="1:10" x14ac:dyDescent="0.25">
      <c r="A381" s="310" t="s">
        <v>92</v>
      </c>
      <c r="B381" s="351" t="s">
        <v>494</v>
      </c>
      <c r="C381" s="349" t="s">
        <v>552</v>
      </c>
      <c r="D381" s="349" t="s">
        <v>494</v>
      </c>
      <c r="E381" s="349" t="s">
        <v>494</v>
      </c>
      <c r="F381" s="349" t="s">
        <v>494</v>
      </c>
      <c r="G381" s="351" t="s">
        <v>494</v>
      </c>
      <c r="H381" s="351" t="s">
        <v>494</v>
      </c>
      <c r="I381" s="351" t="s">
        <v>494</v>
      </c>
      <c r="J381" s="351" t="s">
        <v>494</v>
      </c>
    </row>
    <row r="382" spans="1:10" x14ac:dyDescent="0.25">
      <c r="A382" s="309" t="s">
        <v>606</v>
      </c>
      <c r="B382" s="349">
        <v>811798.30166600703</v>
      </c>
      <c r="C382" s="349" t="s">
        <v>552</v>
      </c>
      <c r="D382" s="350" t="s">
        <v>189</v>
      </c>
      <c r="E382" s="350" t="s">
        <v>189</v>
      </c>
      <c r="F382" s="350" t="s">
        <v>189</v>
      </c>
      <c r="G382" s="349">
        <v>63474.462414260372</v>
      </c>
      <c r="H382" s="349">
        <v>3.62616549461986</v>
      </c>
      <c r="I382" s="349">
        <v>0.47989880224503001</v>
      </c>
      <c r="J382" s="349" t="s">
        <v>556</v>
      </c>
    </row>
    <row r="383" spans="1:10" x14ac:dyDescent="0.25">
      <c r="A383" s="310" t="s">
        <v>559</v>
      </c>
      <c r="B383" s="351">
        <v>751642.169400585</v>
      </c>
      <c r="C383" s="349" t="s">
        <v>552</v>
      </c>
      <c r="D383" s="349">
        <v>78.722669403891274</v>
      </c>
      <c r="E383" s="349">
        <v>4.75</v>
      </c>
      <c r="F383" s="349">
        <v>0.56999999999999995</v>
      </c>
      <c r="G383" s="351">
        <v>59171.278011745897</v>
      </c>
      <c r="H383" s="351">
        <v>3.5703003046527799</v>
      </c>
      <c r="I383" s="351">
        <v>0.42843603655833001</v>
      </c>
      <c r="J383" s="351" t="s">
        <v>494</v>
      </c>
    </row>
    <row r="384" spans="1:10" x14ac:dyDescent="0.25">
      <c r="A384" s="310" t="s">
        <v>560</v>
      </c>
      <c r="B384" s="351">
        <v>34493.418563901811</v>
      </c>
      <c r="C384" s="349" t="s">
        <v>552</v>
      </c>
      <c r="D384" s="349">
        <v>87.369782150481583</v>
      </c>
      <c r="E384" s="349">
        <v>0.95000000000009999</v>
      </c>
      <c r="F384" s="349">
        <v>1.425</v>
      </c>
      <c r="G384" s="351">
        <v>3013.6824655534788</v>
      </c>
      <c r="H384" s="351">
        <v>3.2768747635709999E-2</v>
      </c>
      <c r="I384" s="351">
        <v>4.9153121453560003E-2</v>
      </c>
      <c r="J384" s="351" t="s">
        <v>494</v>
      </c>
    </row>
    <row r="385" spans="1:10" x14ac:dyDescent="0.25">
      <c r="A385" s="310" t="s">
        <v>561</v>
      </c>
      <c r="B385" s="351">
        <v>25662.713701520213</v>
      </c>
      <c r="C385" s="349" t="s">
        <v>552</v>
      </c>
      <c r="D385" s="349">
        <v>50.248073994006532</v>
      </c>
      <c r="E385" s="349">
        <v>0.90000000000006997</v>
      </c>
      <c r="F385" s="349">
        <v>9.0000000000119998E-2</v>
      </c>
      <c r="G385" s="351">
        <v>1289.5019369609929</v>
      </c>
      <c r="H385" s="351">
        <v>2.3096442331369999E-2</v>
      </c>
      <c r="I385" s="351">
        <v>2.3096442331399999E-3</v>
      </c>
      <c r="J385" s="351" t="s">
        <v>494</v>
      </c>
    </row>
    <row r="386" spans="1:10" x14ac:dyDescent="0.25">
      <c r="A386" s="310" t="s">
        <v>562</v>
      </c>
      <c r="B386" s="351" t="s">
        <v>523</v>
      </c>
      <c r="C386" s="349" t="s">
        <v>552</v>
      </c>
      <c r="D386" s="349" t="s">
        <v>523</v>
      </c>
      <c r="E386" s="349" t="s">
        <v>523</v>
      </c>
      <c r="F386" s="349" t="s">
        <v>523</v>
      </c>
      <c r="G386" s="351" t="s">
        <v>523</v>
      </c>
      <c r="H386" s="351" t="s">
        <v>523</v>
      </c>
      <c r="I386" s="351" t="s">
        <v>523</v>
      </c>
      <c r="J386" s="351" t="s">
        <v>523</v>
      </c>
    </row>
    <row r="387" spans="1:10" x14ac:dyDescent="0.25">
      <c r="A387" s="310" t="s">
        <v>563</v>
      </c>
      <c r="B387" s="351" t="s">
        <v>523</v>
      </c>
      <c r="C387" s="349" t="s">
        <v>552</v>
      </c>
      <c r="D387" s="349" t="s">
        <v>523</v>
      </c>
      <c r="E387" s="349" t="s">
        <v>523</v>
      </c>
      <c r="F387" s="349" t="s">
        <v>523</v>
      </c>
      <c r="G387" s="351" t="s">
        <v>523</v>
      </c>
      <c r="H387" s="351" t="s">
        <v>523</v>
      </c>
      <c r="I387" s="351" t="s">
        <v>523</v>
      </c>
      <c r="J387" s="351" t="s">
        <v>523</v>
      </c>
    </row>
    <row r="388" spans="1:10" x14ac:dyDescent="0.25">
      <c r="A388" s="310" t="s">
        <v>92</v>
      </c>
      <c r="B388" s="351" t="s">
        <v>521</v>
      </c>
      <c r="C388" s="349" t="s">
        <v>552</v>
      </c>
      <c r="D388" s="349" t="s">
        <v>517</v>
      </c>
      <c r="E388" s="349" t="s">
        <v>521</v>
      </c>
      <c r="F388" s="349" t="s">
        <v>521</v>
      </c>
      <c r="G388" s="351" t="s">
        <v>521</v>
      </c>
      <c r="H388" s="351" t="s">
        <v>521</v>
      </c>
      <c r="I388" s="351" t="s">
        <v>521</v>
      </c>
      <c r="J388" s="351" t="s">
        <v>494</v>
      </c>
    </row>
    <row r="389" spans="1:10" x14ac:dyDescent="0.25">
      <c r="A389" s="309" t="s">
        <v>607</v>
      </c>
      <c r="B389" s="349">
        <v>5677477.8602666184</v>
      </c>
      <c r="C389" s="349" t="s">
        <v>552</v>
      </c>
      <c r="D389" s="350" t="s">
        <v>189</v>
      </c>
      <c r="E389" s="350" t="s">
        <v>189</v>
      </c>
      <c r="F389" s="350" t="s">
        <v>189</v>
      </c>
      <c r="G389" s="349">
        <v>121329.28064552911</v>
      </c>
      <c r="H389" s="349" t="s">
        <v>556</v>
      </c>
      <c r="I389" s="349" t="s">
        <v>556</v>
      </c>
      <c r="J389" s="349" t="s">
        <v>556</v>
      </c>
    </row>
    <row r="390" spans="1:10" x14ac:dyDescent="0.25">
      <c r="A390" s="310" t="s">
        <v>559</v>
      </c>
      <c r="B390" s="351">
        <v>5122279.9912827471</v>
      </c>
      <c r="C390" s="349" t="s">
        <v>552</v>
      </c>
      <c r="D390" s="349">
        <v>19.402931317907768</v>
      </c>
      <c r="E390" s="349" t="s">
        <v>494</v>
      </c>
      <c r="F390" s="349" t="s">
        <v>494</v>
      </c>
      <c r="G390" s="351">
        <v>99387.246861952342</v>
      </c>
      <c r="H390" s="351" t="s">
        <v>494</v>
      </c>
      <c r="I390" s="351" t="s">
        <v>494</v>
      </c>
      <c r="J390" s="351" t="s">
        <v>494</v>
      </c>
    </row>
    <row r="391" spans="1:10" x14ac:dyDescent="0.25">
      <c r="A391" s="310" t="s">
        <v>560</v>
      </c>
      <c r="B391" s="351">
        <v>208587.74337946158</v>
      </c>
      <c r="C391" s="349" t="s">
        <v>552</v>
      </c>
      <c r="D391" s="349">
        <v>70.948187124442754</v>
      </c>
      <c r="E391" s="349" t="s">
        <v>494</v>
      </c>
      <c r="F391" s="349" t="s">
        <v>494</v>
      </c>
      <c r="G391" s="351">
        <v>14798.922249151285</v>
      </c>
      <c r="H391" s="351" t="s">
        <v>494</v>
      </c>
      <c r="I391" s="351" t="s">
        <v>494</v>
      </c>
      <c r="J391" s="351" t="s">
        <v>494</v>
      </c>
    </row>
    <row r="392" spans="1:10" x14ac:dyDescent="0.25">
      <c r="A392" s="310" t="s">
        <v>561</v>
      </c>
      <c r="B392" s="351">
        <v>346610.12560441019</v>
      </c>
      <c r="C392" s="349" t="s">
        <v>552</v>
      </c>
      <c r="D392" s="349">
        <v>20.608490654938318</v>
      </c>
      <c r="E392" s="349" t="s">
        <v>494</v>
      </c>
      <c r="F392" s="349" t="s">
        <v>494</v>
      </c>
      <c r="G392" s="351">
        <v>7143.1115344254831</v>
      </c>
      <c r="H392" s="351" t="s">
        <v>494</v>
      </c>
      <c r="I392" s="351" t="s">
        <v>494</v>
      </c>
      <c r="J392" s="351" t="s">
        <v>494</v>
      </c>
    </row>
    <row r="393" spans="1:10" x14ac:dyDescent="0.25">
      <c r="A393" s="310" t="s">
        <v>562</v>
      </c>
      <c r="B393" s="351" t="s">
        <v>523</v>
      </c>
      <c r="C393" s="349" t="s">
        <v>552</v>
      </c>
      <c r="D393" s="349" t="s">
        <v>523</v>
      </c>
      <c r="E393" s="349" t="s">
        <v>523</v>
      </c>
      <c r="F393" s="349" t="s">
        <v>523</v>
      </c>
      <c r="G393" s="351" t="s">
        <v>523</v>
      </c>
      <c r="H393" s="351" t="s">
        <v>523</v>
      </c>
      <c r="I393" s="351" t="s">
        <v>523</v>
      </c>
      <c r="J393" s="351" t="s">
        <v>523</v>
      </c>
    </row>
    <row r="394" spans="1:10" x14ac:dyDescent="0.25">
      <c r="A394" s="310" t="s">
        <v>563</v>
      </c>
      <c r="B394" s="351" t="s">
        <v>523</v>
      </c>
      <c r="C394" s="349" t="s">
        <v>552</v>
      </c>
      <c r="D394" s="349" t="s">
        <v>523</v>
      </c>
      <c r="E394" s="349" t="s">
        <v>523</v>
      </c>
      <c r="F394" s="349" t="s">
        <v>523</v>
      </c>
      <c r="G394" s="351" t="s">
        <v>523</v>
      </c>
      <c r="H394" s="351" t="s">
        <v>523</v>
      </c>
      <c r="I394" s="351" t="s">
        <v>523</v>
      </c>
      <c r="J394" s="351" t="s">
        <v>523</v>
      </c>
    </row>
    <row r="395" spans="1:10" x14ac:dyDescent="0.25">
      <c r="A395" s="310" t="s">
        <v>92</v>
      </c>
      <c r="B395" s="351" t="s">
        <v>494</v>
      </c>
      <c r="C395" s="349" t="s">
        <v>552</v>
      </c>
      <c r="D395" s="349" t="s">
        <v>494</v>
      </c>
      <c r="E395" s="349" t="s">
        <v>494</v>
      </c>
      <c r="F395" s="349" t="s">
        <v>494</v>
      </c>
      <c r="G395" s="351" t="s">
        <v>494</v>
      </c>
      <c r="H395" s="351" t="s">
        <v>494</v>
      </c>
      <c r="I395" s="351" t="s">
        <v>494</v>
      </c>
      <c r="J395" s="351" t="s">
        <v>494</v>
      </c>
    </row>
    <row r="396" spans="1:10" x14ac:dyDescent="0.25">
      <c r="A396" s="67" t="s">
        <v>608</v>
      </c>
      <c r="B396" s="349">
        <v>388367.15745382814</v>
      </c>
      <c r="C396" s="349" t="s">
        <v>552</v>
      </c>
      <c r="D396" s="350" t="s">
        <v>189</v>
      </c>
      <c r="E396" s="350" t="s">
        <v>189</v>
      </c>
      <c r="F396" s="350" t="s">
        <v>189</v>
      </c>
      <c r="G396" s="349">
        <v>28046.5637376296</v>
      </c>
      <c r="H396" s="349">
        <v>0.48826677857</v>
      </c>
      <c r="I396" s="349">
        <v>0.78160963399831995</v>
      </c>
      <c r="J396" s="350" t="s">
        <v>189</v>
      </c>
    </row>
    <row r="397" spans="1:10" x14ac:dyDescent="0.25">
      <c r="A397" s="309" t="s">
        <v>609</v>
      </c>
      <c r="B397" s="349">
        <v>388367.15745382814</v>
      </c>
      <c r="C397" s="349" t="s">
        <v>552</v>
      </c>
      <c r="D397" s="350" t="s">
        <v>189</v>
      </c>
      <c r="E397" s="350" t="s">
        <v>189</v>
      </c>
      <c r="F397" s="350" t="s">
        <v>189</v>
      </c>
      <c r="G397" s="349">
        <v>28046.5637376296</v>
      </c>
      <c r="H397" s="349">
        <v>0.48826677857</v>
      </c>
      <c r="I397" s="349">
        <v>0.78160963399831995</v>
      </c>
      <c r="J397" s="350" t="s">
        <v>189</v>
      </c>
    </row>
    <row r="398" spans="1:10" x14ac:dyDescent="0.25">
      <c r="A398" s="310" t="s">
        <v>559</v>
      </c>
      <c r="B398" s="351">
        <v>388367.15745382814</v>
      </c>
      <c r="C398" s="349" t="s">
        <v>552</v>
      </c>
      <c r="D398" s="349">
        <v>72.216620791277833</v>
      </c>
      <c r="E398" s="349">
        <v>1.2572298383084799</v>
      </c>
      <c r="F398" s="349">
        <v>2.0125533763529999</v>
      </c>
      <c r="G398" s="351">
        <v>28046.5637376296</v>
      </c>
      <c r="H398" s="351">
        <v>0.48826677857</v>
      </c>
      <c r="I398" s="351">
        <v>0.78160963399831995</v>
      </c>
      <c r="J398" s="350" t="s">
        <v>189</v>
      </c>
    </row>
    <row r="399" spans="1:10" x14ac:dyDescent="0.25">
      <c r="A399" s="310" t="s">
        <v>560</v>
      </c>
      <c r="B399" s="351" t="s">
        <v>523</v>
      </c>
      <c r="C399" s="349" t="s">
        <v>552</v>
      </c>
      <c r="D399" s="349" t="s">
        <v>523</v>
      </c>
      <c r="E399" s="349" t="s">
        <v>523</v>
      </c>
      <c r="F399" s="349" t="s">
        <v>523</v>
      </c>
      <c r="G399" s="351" t="s">
        <v>523</v>
      </c>
      <c r="H399" s="351" t="s">
        <v>523</v>
      </c>
      <c r="I399" s="351" t="s">
        <v>523</v>
      </c>
      <c r="J399" s="350" t="s">
        <v>189</v>
      </c>
    </row>
    <row r="400" spans="1:10" x14ac:dyDescent="0.25">
      <c r="A400" s="310" t="s">
        <v>561</v>
      </c>
      <c r="B400" s="351" t="s">
        <v>523</v>
      </c>
      <c r="C400" s="349" t="s">
        <v>552</v>
      </c>
      <c r="D400" s="349" t="s">
        <v>523</v>
      </c>
      <c r="E400" s="349" t="s">
        <v>523</v>
      </c>
      <c r="F400" s="349" t="s">
        <v>523</v>
      </c>
      <c r="G400" s="351" t="s">
        <v>523</v>
      </c>
      <c r="H400" s="351" t="s">
        <v>523</v>
      </c>
      <c r="I400" s="351" t="s">
        <v>523</v>
      </c>
      <c r="J400" s="350" t="s">
        <v>189</v>
      </c>
    </row>
    <row r="401" spans="1:13" x14ac:dyDescent="0.25">
      <c r="A401" s="310" t="s">
        <v>562</v>
      </c>
      <c r="B401" s="351" t="s">
        <v>523</v>
      </c>
      <c r="C401" s="349" t="s">
        <v>552</v>
      </c>
      <c r="D401" s="349" t="s">
        <v>523</v>
      </c>
      <c r="E401" s="349" t="s">
        <v>523</v>
      </c>
      <c r="F401" s="349" t="s">
        <v>523</v>
      </c>
      <c r="G401" s="351" t="s">
        <v>523</v>
      </c>
      <c r="H401" s="351" t="s">
        <v>523</v>
      </c>
      <c r="I401" s="351" t="s">
        <v>523</v>
      </c>
      <c r="J401" s="350" t="s">
        <v>189</v>
      </c>
    </row>
    <row r="402" spans="1:13" x14ac:dyDescent="0.25">
      <c r="A402" s="310" t="s">
        <v>92</v>
      </c>
      <c r="B402" s="351" t="s">
        <v>523</v>
      </c>
      <c r="C402" s="349" t="s">
        <v>552</v>
      </c>
      <c r="D402" s="349" t="s">
        <v>523</v>
      </c>
      <c r="E402" s="349" t="s">
        <v>523</v>
      </c>
      <c r="F402" s="349" t="s">
        <v>523</v>
      </c>
      <c r="G402" s="351" t="s">
        <v>523</v>
      </c>
      <c r="H402" s="351" t="s">
        <v>523</v>
      </c>
      <c r="I402" s="351" t="s">
        <v>523</v>
      </c>
      <c r="J402" s="350" t="s">
        <v>189</v>
      </c>
    </row>
    <row r="403" spans="1:13" x14ac:dyDescent="0.25">
      <c r="A403" s="68" t="s">
        <v>610</v>
      </c>
      <c r="B403" s="352"/>
      <c r="C403" s="352"/>
      <c r="D403" s="352"/>
      <c r="E403" s="352"/>
      <c r="F403" s="352"/>
      <c r="G403" s="352"/>
      <c r="H403" s="352"/>
      <c r="I403" s="352"/>
      <c r="J403" s="352"/>
    </row>
    <row r="404" spans="1:13" x14ac:dyDescent="0.25">
      <c r="A404" s="69" t="s">
        <v>611</v>
      </c>
      <c r="B404" s="350" t="s">
        <v>189</v>
      </c>
      <c r="C404" s="350" t="s">
        <v>189</v>
      </c>
      <c r="D404" s="350" t="s">
        <v>189</v>
      </c>
      <c r="E404" s="350" t="s">
        <v>189</v>
      </c>
      <c r="F404" s="350" t="s">
        <v>189</v>
      </c>
      <c r="G404" s="350" t="s">
        <v>189</v>
      </c>
      <c r="H404" s="350" t="s">
        <v>189</v>
      </c>
      <c r="I404" s="350" t="s">
        <v>189</v>
      </c>
      <c r="J404" s="350" t="s">
        <v>189</v>
      </c>
    </row>
    <row r="405" spans="1:13" x14ac:dyDescent="0.25">
      <c r="A405" s="312" t="s">
        <v>3253</v>
      </c>
      <c r="B405" s="351" t="s">
        <v>494</v>
      </c>
      <c r="C405" s="349" t="s">
        <v>552</v>
      </c>
      <c r="D405" s="349" t="s">
        <v>494</v>
      </c>
      <c r="E405" s="349" t="s">
        <v>494</v>
      </c>
      <c r="F405" s="349" t="s">
        <v>494</v>
      </c>
      <c r="G405" s="351" t="s">
        <v>494</v>
      </c>
      <c r="H405" s="351" t="s">
        <v>494</v>
      </c>
      <c r="I405" s="351" t="s">
        <v>494</v>
      </c>
      <c r="J405" s="351" t="s">
        <v>494</v>
      </c>
    </row>
    <row r="406" spans="1:13" x14ac:dyDescent="0.25">
      <c r="A406" s="312" t="s">
        <v>3273</v>
      </c>
      <c r="B406" s="351" t="s">
        <v>494</v>
      </c>
      <c r="C406" s="349" t="s">
        <v>552</v>
      </c>
      <c r="D406" s="349" t="s">
        <v>494</v>
      </c>
      <c r="E406" s="349" t="s">
        <v>494</v>
      </c>
      <c r="F406" s="349" t="s">
        <v>494</v>
      </c>
      <c r="G406" s="351" t="s">
        <v>494</v>
      </c>
      <c r="H406" s="351" t="s">
        <v>494</v>
      </c>
      <c r="I406" s="351" t="s">
        <v>494</v>
      </c>
      <c r="J406" s="351" t="s">
        <v>494</v>
      </c>
    </row>
    <row r="408" spans="1:13" x14ac:dyDescent="0.25">
      <c r="A408" s="58" t="s">
        <v>612</v>
      </c>
      <c r="B408" s="70">
        <f>SUM(B216,B402)</f>
        <v>345378.91663054173</v>
      </c>
      <c r="C408" s="70">
        <f t="shared" ref="C408:J408" si="8">SUM(C216,C402)</f>
        <v>0</v>
      </c>
      <c r="D408" s="70">
        <f t="shared" si="8"/>
        <v>65.065035461819363</v>
      </c>
      <c r="E408" s="70">
        <f t="shared" si="8"/>
        <v>1.358677241335E-2</v>
      </c>
      <c r="F408" s="70">
        <f t="shared" si="8"/>
        <v>1.399403229176E-2</v>
      </c>
      <c r="G408" s="70">
        <f t="shared" si="8"/>
        <v>22472.091458330953</v>
      </c>
      <c r="H408" s="70">
        <f t="shared" si="8"/>
        <v>4.6925847366299997E-3</v>
      </c>
      <c r="I408" s="70">
        <f t="shared" si="8"/>
        <v>4.8332437122200001E-3</v>
      </c>
      <c r="J408" s="70">
        <f t="shared" si="8"/>
        <v>0</v>
      </c>
    </row>
    <row r="410" spans="1:13" ht="15.75" x14ac:dyDescent="0.25">
      <c r="A410" s="409" t="s">
        <v>613</v>
      </c>
      <c r="B410" s="409"/>
      <c r="C410" s="409"/>
      <c r="D410" s="409"/>
      <c r="E410" s="409"/>
      <c r="F410" s="409"/>
      <c r="G410" s="409"/>
      <c r="H410" s="236"/>
      <c r="I410" s="236"/>
      <c r="J410" s="236"/>
      <c r="K410" s="236"/>
      <c r="L410" s="236"/>
      <c r="M410" s="57" t="s">
        <v>478</v>
      </c>
    </row>
    <row r="411" spans="1:13" ht="15.75" x14ac:dyDescent="0.25">
      <c r="A411" s="231" t="s">
        <v>723</v>
      </c>
      <c r="B411" s="60"/>
      <c r="C411" s="60"/>
      <c r="D411" s="60"/>
      <c r="E411" s="60"/>
      <c r="F411" s="60"/>
      <c r="G411" s="60"/>
      <c r="H411" s="236"/>
      <c r="I411" s="236"/>
      <c r="J411" s="236"/>
      <c r="K411" s="236"/>
      <c r="L411" s="236"/>
      <c r="M411" s="57" t="s">
        <v>3427</v>
      </c>
    </row>
    <row r="412" spans="1:13" x14ac:dyDescent="0.25">
      <c r="A412" s="238"/>
      <c r="B412" s="236"/>
      <c r="C412" s="236"/>
      <c r="D412" s="236"/>
      <c r="E412" s="236"/>
      <c r="F412" s="236"/>
      <c r="G412" s="236"/>
      <c r="H412" s="236"/>
      <c r="I412" s="236"/>
      <c r="J412" s="236"/>
      <c r="K412" s="236"/>
      <c r="L412" s="237"/>
      <c r="M412" s="57" t="s">
        <v>479</v>
      </c>
    </row>
    <row r="413" spans="1:13" x14ac:dyDescent="0.25">
      <c r="A413" s="236"/>
      <c r="B413" s="236"/>
      <c r="C413" s="236"/>
      <c r="D413" s="236"/>
      <c r="E413" s="236"/>
      <c r="F413" s="236"/>
      <c r="G413" s="236"/>
      <c r="H413" s="236"/>
      <c r="I413" s="236"/>
      <c r="J413" s="236"/>
      <c r="K413" s="236"/>
      <c r="L413" s="236"/>
      <c r="M413" s="239"/>
    </row>
    <row r="414" spans="1:13" ht="38.25" x14ac:dyDescent="0.25">
      <c r="A414" s="240" t="s">
        <v>480</v>
      </c>
      <c r="B414" s="241" t="s">
        <v>481</v>
      </c>
      <c r="C414" s="242" t="s">
        <v>482</v>
      </c>
      <c r="D414" s="242" t="s">
        <v>483</v>
      </c>
      <c r="E414" s="243" t="s">
        <v>614</v>
      </c>
      <c r="F414" s="243" t="s">
        <v>615</v>
      </c>
      <c r="G414" s="244" t="s">
        <v>616</v>
      </c>
      <c r="H414" s="242" t="s">
        <v>617</v>
      </c>
      <c r="I414" s="71" t="s">
        <v>618</v>
      </c>
      <c r="J414" s="242" t="s">
        <v>619</v>
      </c>
      <c r="K414" s="243" t="s">
        <v>485</v>
      </c>
      <c r="L414" s="243" t="s">
        <v>486</v>
      </c>
      <c r="M414" s="245" t="s">
        <v>620</v>
      </c>
    </row>
    <row r="415" spans="1:13" ht="15.75" thickBot="1" x14ac:dyDescent="0.3">
      <c r="A415" s="246"/>
      <c r="B415" s="432" t="s">
        <v>488</v>
      </c>
      <c r="C415" s="432"/>
      <c r="D415" s="433"/>
      <c r="E415" s="434" t="s">
        <v>621</v>
      </c>
      <c r="F415" s="432"/>
      <c r="G415" s="433"/>
      <c r="H415" s="434" t="s">
        <v>488</v>
      </c>
      <c r="I415" s="435"/>
      <c r="J415" s="435"/>
      <c r="K415" s="435"/>
      <c r="L415" s="435"/>
      <c r="M415" s="436"/>
    </row>
    <row r="416" spans="1:13" ht="15.75" thickTop="1" x14ac:dyDescent="0.25">
      <c r="A416" s="247" t="s">
        <v>622</v>
      </c>
      <c r="B416" s="353">
        <v>194388.53120401071</v>
      </c>
      <c r="C416" s="353">
        <v>4.4228396639999996</v>
      </c>
      <c r="D416" s="353">
        <v>83.655309749766346</v>
      </c>
      <c r="E416" s="353">
        <v>120191.11711244726</v>
      </c>
      <c r="F416" s="353">
        <v>6716.3061943704279</v>
      </c>
      <c r="G416" s="353">
        <v>7230.4559117999988</v>
      </c>
      <c r="H416" s="353">
        <v>0.51771056610323996</v>
      </c>
      <c r="I416" s="353">
        <v>2.8530150025699998E-2</v>
      </c>
      <c r="J416" s="353">
        <v>572.16514495327442</v>
      </c>
      <c r="K416" s="353">
        <v>1557.1939910195872</v>
      </c>
      <c r="L416" s="353">
        <v>5849.2197121443369</v>
      </c>
      <c r="M416" s="353">
        <v>830.75987228203655</v>
      </c>
    </row>
    <row r="417" spans="1:13" x14ac:dyDescent="0.25">
      <c r="A417" s="248" t="s">
        <v>623</v>
      </c>
      <c r="B417" s="353">
        <v>70637.721174907623</v>
      </c>
      <c r="C417" s="350" t="s">
        <v>189</v>
      </c>
      <c r="D417" s="350" t="s">
        <v>189</v>
      </c>
      <c r="E417" s="350" t="s">
        <v>189</v>
      </c>
      <c r="F417" s="350" t="s">
        <v>189</v>
      </c>
      <c r="G417" s="350" t="s">
        <v>189</v>
      </c>
      <c r="H417" s="350" t="s">
        <v>189</v>
      </c>
      <c r="I417" s="350" t="s">
        <v>189</v>
      </c>
      <c r="J417" s="353" t="s">
        <v>494</v>
      </c>
      <c r="K417" s="353" t="s">
        <v>494</v>
      </c>
      <c r="L417" s="353" t="s">
        <v>494</v>
      </c>
      <c r="M417" s="353">
        <v>134.03649648504052</v>
      </c>
    </row>
    <row r="418" spans="1:13" x14ac:dyDescent="0.25">
      <c r="A418" s="321" t="s">
        <v>624</v>
      </c>
      <c r="B418" s="353">
        <v>46194.121028708993</v>
      </c>
      <c r="C418" s="350" t="s">
        <v>189</v>
      </c>
      <c r="D418" s="350" t="s">
        <v>189</v>
      </c>
      <c r="E418" s="350" t="s">
        <v>189</v>
      </c>
      <c r="F418" s="350" t="s">
        <v>189</v>
      </c>
      <c r="G418" s="350" t="s">
        <v>189</v>
      </c>
      <c r="H418" s="350" t="s">
        <v>189</v>
      </c>
      <c r="I418" s="350" t="s">
        <v>189</v>
      </c>
      <c r="J418" s="350" t="s">
        <v>189</v>
      </c>
      <c r="K418" s="350" t="s">
        <v>189</v>
      </c>
      <c r="L418" s="350" t="s">
        <v>189</v>
      </c>
      <c r="M418" s="351">
        <v>134.03649648504052</v>
      </c>
    </row>
    <row r="419" spans="1:13" x14ac:dyDescent="0.25">
      <c r="A419" s="321" t="s">
        <v>625</v>
      </c>
      <c r="B419" s="353">
        <v>14551.955897401811</v>
      </c>
      <c r="C419" s="350" t="s">
        <v>189</v>
      </c>
      <c r="D419" s="350" t="s">
        <v>189</v>
      </c>
      <c r="E419" s="350" t="s">
        <v>189</v>
      </c>
      <c r="F419" s="350" t="s">
        <v>189</v>
      </c>
      <c r="G419" s="350" t="s">
        <v>189</v>
      </c>
      <c r="H419" s="350" t="s">
        <v>189</v>
      </c>
      <c r="I419" s="350" t="s">
        <v>189</v>
      </c>
      <c r="J419" s="350" t="s">
        <v>189</v>
      </c>
      <c r="K419" s="350" t="s">
        <v>189</v>
      </c>
      <c r="L419" s="350" t="s">
        <v>189</v>
      </c>
      <c r="M419" s="350" t="s">
        <v>189</v>
      </c>
    </row>
    <row r="420" spans="1:13" x14ac:dyDescent="0.25">
      <c r="A420" s="321" t="s">
        <v>626</v>
      </c>
      <c r="B420" s="353">
        <v>2432.4049712060923</v>
      </c>
      <c r="C420" s="350" t="s">
        <v>189</v>
      </c>
      <c r="D420" s="350" t="s">
        <v>189</v>
      </c>
      <c r="E420" s="350" t="s">
        <v>189</v>
      </c>
      <c r="F420" s="350" t="s">
        <v>189</v>
      </c>
      <c r="G420" s="350" t="s">
        <v>189</v>
      </c>
      <c r="H420" s="350" t="s">
        <v>189</v>
      </c>
      <c r="I420" s="350" t="s">
        <v>189</v>
      </c>
      <c r="J420" s="350" t="s">
        <v>189</v>
      </c>
      <c r="K420" s="350" t="s">
        <v>189</v>
      </c>
      <c r="L420" s="350" t="s">
        <v>189</v>
      </c>
      <c r="M420" s="350" t="s">
        <v>189</v>
      </c>
    </row>
    <row r="421" spans="1:13" x14ac:dyDescent="0.25">
      <c r="A421" s="321" t="s">
        <v>627</v>
      </c>
      <c r="B421" s="353">
        <v>7459.2392775907283</v>
      </c>
      <c r="C421" s="350" t="s">
        <v>189</v>
      </c>
      <c r="D421" s="350" t="s">
        <v>189</v>
      </c>
      <c r="E421" s="350" t="s">
        <v>189</v>
      </c>
      <c r="F421" s="350" t="s">
        <v>189</v>
      </c>
      <c r="G421" s="350" t="s">
        <v>189</v>
      </c>
      <c r="H421" s="350" t="s">
        <v>189</v>
      </c>
      <c r="I421" s="350" t="s">
        <v>189</v>
      </c>
      <c r="J421" s="353" t="s">
        <v>494</v>
      </c>
      <c r="K421" s="353" t="s">
        <v>494</v>
      </c>
      <c r="L421" s="353" t="s">
        <v>494</v>
      </c>
      <c r="M421" s="353" t="s">
        <v>494</v>
      </c>
    </row>
    <row r="422" spans="1:13" x14ac:dyDescent="0.25">
      <c r="A422" s="249" t="s">
        <v>628</v>
      </c>
      <c r="B422" s="353">
        <v>46553.765996456706</v>
      </c>
      <c r="C422" s="353">
        <v>3.4620000000000002</v>
      </c>
      <c r="D422" s="353">
        <v>69.090317678675007</v>
      </c>
      <c r="E422" s="353">
        <v>20040.325102040817</v>
      </c>
      <c r="F422" s="353" t="s">
        <v>494</v>
      </c>
      <c r="G422" s="353" t="s">
        <v>494</v>
      </c>
      <c r="H422" s="353" t="s">
        <v>494</v>
      </c>
      <c r="I422" s="353" t="s">
        <v>494</v>
      </c>
      <c r="J422" s="353">
        <v>55.249069497127223</v>
      </c>
      <c r="K422" s="353">
        <v>188.72091220254887</v>
      </c>
      <c r="L422" s="353">
        <v>213.37603828081271</v>
      </c>
      <c r="M422" s="353">
        <v>228.15769905799976</v>
      </c>
    </row>
    <row r="423" spans="1:13" x14ac:dyDescent="0.25">
      <c r="A423" s="322" t="s">
        <v>629</v>
      </c>
      <c r="B423" s="353">
        <v>9177.0984327999995</v>
      </c>
      <c r="C423" s="353" t="s">
        <v>494</v>
      </c>
      <c r="D423" s="353" t="s">
        <v>494</v>
      </c>
      <c r="E423" s="350" t="s">
        <v>189</v>
      </c>
      <c r="F423" s="350" t="s">
        <v>189</v>
      </c>
      <c r="G423" s="350" t="s">
        <v>189</v>
      </c>
      <c r="H423" s="350" t="s">
        <v>189</v>
      </c>
      <c r="I423" s="350" t="s">
        <v>189</v>
      </c>
      <c r="J423" s="351" t="s">
        <v>496</v>
      </c>
      <c r="K423" s="351" t="s">
        <v>496</v>
      </c>
      <c r="L423" s="351" t="s">
        <v>496</v>
      </c>
      <c r="M423" s="351" t="s">
        <v>496</v>
      </c>
    </row>
    <row r="424" spans="1:13" x14ac:dyDescent="0.25">
      <c r="A424" s="321" t="s">
        <v>630</v>
      </c>
      <c r="B424" s="350" t="s">
        <v>189</v>
      </c>
      <c r="C424" s="350" t="s">
        <v>189</v>
      </c>
      <c r="D424" s="353">
        <v>37.974850892036372</v>
      </c>
      <c r="E424" s="350" t="s">
        <v>189</v>
      </c>
      <c r="F424" s="350" t="s">
        <v>189</v>
      </c>
      <c r="G424" s="350" t="s">
        <v>189</v>
      </c>
      <c r="H424" s="350" t="s">
        <v>189</v>
      </c>
      <c r="I424" s="350" t="s">
        <v>189</v>
      </c>
      <c r="J424" s="351" t="s">
        <v>496</v>
      </c>
      <c r="K424" s="350" t="s">
        <v>189</v>
      </c>
      <c r="L424" s="350" t="s">
        <v>189</v>
      </c>
      <c r="M424" s="350" t="s">
        <v>189</v>
      </c>
    </row>
    <row r="425" spans="1:13" x14ac:dyDescent="0.25">
      <c r="A425" s="321" t="s">
        <v>631</v>
      </c>
      <c r="B425" s="353" t="s">
        <v>494</v>
      </c>
      <c r="C425" s="350" t="s">
        <v>189</v>
      </c>
      <c r="D425" s="353">
        <v>23.960466786638641</v>
      </c>
      <c r="E425" s="350" t="s">
        <v>189</v>
      </c>
      <c r="F425" s="350" t="s">
        <v>189</v>
      </c>
      <c r="G425" s="350" t="s">
        <v>189</v>
      </c>
      <c r="H425" s="350" t="s">
        <v>189</v>
      </c>
      <c r="I425" s="350" t="s">
        <v>189</v>
      </c>
      <c r="J425" s="351" t="s">
        <v>496</v>
      </c>
      <c r="K425" s="351" t="s">
        <v>496</v>
      </c>
      <c r="L425" s="351" t="s">
        <v>496</v>
      </c>
      <c r="M425" s="350" t="s">
        <v>189</v>
      </c>
    </row>
    <row r="426" spans="1:13" x14ac:dyDescent="0.25">
      <c r="A426" s="321" t="s">
        <v>632</v>
      </c>
      <c r="B426" s="353" t="s">
        <v>517</v>
      </c>
      <c r="C426" s="350" t="s">
        <v>189</v>
      </c>
      <c r="D426" s="353">
        <v>7.1550000000000002</v>
      </c>
      <c r="E426" s="350" t="s">
        <v>189</v>
      </c>
      <c r="F426" s="350" t="s">
        <v>189</v>
      </c>
      <c r="G426" s="350" t="s">
        <v>189</v>
      </c>
      <c r="H426" s="350" t="s">
        <v>189</v>
      </c>
      <c r="I426" s="350" t="s">
        <v>189</v>
      </c>
      <c r="J426" s="350" t="s">
        <v>189</v>
      </c>
      <c r="K426" s="350" t="s">
        <v>189</v>
      </c>
      <c r="L426" s="351" t="s">
        <v>496</v>
      </c>
      <c r="M426" s="351" t="s">
        <v>496</v>
      </c>
    </row>
    <row r="427" spans="1:13" x14ac:dyDescent="0.25">
      <c r="A427" s="321" t="s">
        <v>633</v>
      </c>
      <c r="B427" s="353">
        <v>91.7</v>
      </c>
      <c r="C427" s="353">
        <v>0.40600000000000003</v>
      </c>
      <c r="D427" s="350" t="s">
        <v>189</v>
      </c>
      <c r="E427" s="350" t="s">
        <v>189</v>
      </c>
      <c r="F427" s="350" t="s">
        <v>189</v>
      </c>
      <c r="G427" s="350" t="s">
        <v>189</v>
      </c>
      <c r="H427" s="350" t="s">
        <v>189</v>
      </c>
      <c r="I427" s="350" t="s">
        <v>189</v>
      </c>
      <c r="J427" s="351" t="s">
        <v>496</v>
      </c>
      <c r="K427" s="351" t="s">
        <v>496</v>
      </c>
      <c r="L427" s="351" t="s">
        <v>496</v>
      </c>
      <c r="M427" s="351" t="s">
        <v>496</v>
      </c>
    </row>
    <row r="428" spans="1:13" x14ac:dyDescent="0.25">
      <c r="A428" s="321" t="s">
        <v>634</v>
      </c>
      <c r="B428" s="353">
        <v>1755.3999999999999</v>
      </c>
      <c r="C428" s="350" t="s">
        <v>189</v>
      </c>
      <c r="D428" s="350" t="s">
        <v>189</v>
      </c>
      <c r="E428" s="350" t="s">
        <v>189</v>
      </c>
      <c r="F428" s="350" t="s">
        <v>189</v>
      </c>
      <c r="G428" s="350" t="s">
        <v>189</v>
      </c>
      <c r="H428" s="350" t="s">
        <v>189</v>
      </c>
      <c r="I428" s="350" t="s">
        <v>189</v>
      </c>
      <c r="J428" s="350" t="s">
        <v>189</v>
      </c>
      <c r="K428" s="350" t="s">
        <v>189</v>
      </c>
      <c r="L428" s="350" t="s">
        <v>189</v>
      </c>
      <c r="M428" s="350" t="s">
        <v>189</v>
      </c>
    </row>
    <row r="429" spans="1:13" x14ac:dyDescent="0.25">
      <c r="A429" s="321" t="s">
        <v>635</v>
      </c>
      <c r="B429" s="353">
        <v>1655.306718597858</v>
      </c>
      <c r="C429" s="350" t="s">
        <v>189</v>
      </c>
      <c r="D429" s="350" t="s">
        <v>189</v>
      </c>
      <c r="E429" s="350" t="s">
        <v>189</v>
      </c>
      <c r="F429" s="350" t="s">
        <v>189</v>
      </c>
      <c r="G429" s="350" t="s">
        <v>189</v>
      </c>
      <c r="H429" s="350" t="s">
        <v>189</v>
      </c>
      <c r="I429" s="350" t="s">
        <v>189</v>
      </c>
      <c r="J429" s="350" t="s">
        <v>189</v>
      </c>
      <c r="K429" s="350" t="s">
        <v>189</v>
      </c>
      <c r="L429" s="350" t="s">
        <v>189</v>
      </c>
      <c r="M429" s="350" t="s">
        <v>189</v>
      </c>
    </row>
    <row r="430" spans="1:13" x14ac:dyDescent="0.25">
      <c r="A430" s="321" t="s">
        <v>636</v>
      </c>
      <c r="B430" s="353">
        <v>27383.218865213978</v>
      </c>
      <c r="C430" s="353">
        <v>3.056</v>
      </c>
      <c r="D430" s="350" t="s">
        <v>189</v>
      </c>
      <c r="E430" s="350" t="s">
        <v>189</v>
      </c>
      <c r="F430" s="350" t="s">
        <v>189</v>
      </c>
      <c r="G430" s="350" t="s">
        <v>189</v>
      </c>
      <c r="H430" s="350" t="s">
        <v>189</v>
      </c>
      <c r="I430" s="350" t="s">
        <v>189</v>
      </c>
      <c r="J430" s="351" t="s">
        <v>496</v>
      </c>
      <c r="K430" s="351" t="s">
        <v>496</v>
      </c>
      <c r="L430" s="351" t="s">
        <v>496</v>
      </c>
      <c r="M430" s="351" t="s">
        <v>496</v>
      </c>
    </row>
    <row r="431" spans="1:13" x14ac:dyDescent="0.25">
      <c r="A431" s="321" t="s">
        <v>637</v>
      </c>
      <c r="B431" s="350" t="s">
        <v>189</v>
      </c>
      <c r="C431" s="350" t="s">
        <v>189</v>
      </c>
      <c r="D431" s="350" t="s">
        <v>189</v>
      </c>
      <c r="E431" s="353">
        <v>20040.325102040817</v>
      </c>
      <c r="F431" s="353" t="s">
        <v>494</v>
      </c>
      <c r="G431" s="353" t="s">
        <v>494</v>
      </c>
      <c r="H431" s="353" t="s">
        <v>494</v>
      </c>
      <c r="I431" s="353" t="s">
        <v>494</v>
      </c>
      <c r="J431" s="350" t="s">
        <v>189</v>
      </c>
      <c r="K431" s="350" t="s">
        <v>189</v>
      </c>
      <c r="L431" s="350" t="s">
        <v>189</v>
      </c>
      <c r="M431" s="350" t="s">
        <v>189</v>
      </c>
    </row>
    <row r="432" spans="1:13" x14ac:dyDescent="0.25">
      <c r="A432" s="323" t="s">
        <v>3274</v>
      </c>
      <c r="B432" s="353">
        <v>6491.041979844872</v>
      </c>
      <c r="C432" s="353" t="s">
        <v>556</v>
      </c>
      <c r="D432" s="353" t="s">
        <v>494</v>
      </c>
      <c r="E432" s="353" t="s">
        <v>494</v>
      </c>
      <c r="F432" s="353" t="s">
        <v>494</v>
      </c>
      <c r="G432" s="353" t="s">
        <v>494</v>
      </c>
      <c r="H432" s="353" t="s">
        <v>494</v>
      </c>
      <c r="I432" s="353" t="s">
        <v>494</v>
      </c>
      <c r="J432" s="353">
        <v>55.249069497127223</v>
      </c>
      <c r="K432" s="353">
        <v>188.72091220254887</v>
      </c>
      <c r="L432" s="353">
        <v>213.37603828081271</v>
      </c>
      <c r="M432" s="353">
        <v>228.15769905799976</v>
      </c>
    </row>
    <row r="433" spans="1:13" x14ac:dyDescent="0.25">
      <c r="A433" s="248" t="s">
        <v>638</v>
      </c>
      <c r="B433" s="353">
        <v>77197.044032646372</v>
      </c>
      <c r="C433" s="353">
        <v>0.96083966399999998</v>
      </c>
      <c r="D433" s="353" t="s">
        <v>494</v>
      </c>
      <c r="E433" s="353" t="s">
        <v>556</v>
      </c>
      <c r="F433" s="353">
        <v>3439.7541856200496</v>
      </c>
      <c r="G433" s="353" t="s">
        <v>494</v>
      </c>
      <c r="H433" s="353">
        <v>0.12041830440901</v>
      </c>
      <c r="I433" s="353" t="s">
        <v>494</v>
      </c>
      <c r="J433" s="353">
        <v>60.032090854165958</v>
      </c>
      <c r="K433" s="353">
        <v>752.39490757758881</v>
      </c>
      <c r="L433" s="353">
        <v>44.874287061635293</v>
      </c>
      <c r="M433" s="353">
        <v>158.39225986800554</v>
      </c>
    </row>
    <row r="434" spans="1:13" x14ac:dyDescent="0.25">
      <c r="A434" s="321" t="s">
        <v>639</v>
      </c>
      <c r="B434" s="353">
        <v>70076.465574306625</v>
      </c>
      <c r="C434" s="353">
        <v>0.57413966400000005</v>
      </c>
      <c r="D434" s="350" t="s">
        <v>189</v>
      </c>
      <c r="E434" s="350" t="s">
        <v>189</v>
      </c>
      <c r="F434" s="350" t="s">
        <v>189</v>
      </c>
      <c r="G434" s="350" t="s">
        <v>189</v>
      </c>
      <c r="H434" s="350" t="s">
        <v>189</v>
      </c>
      <c r="I434" s="350" t="s">
        <v>189</v>
      </c>
      <c r="J434" s="351" t="s">
        <v>496</v>
      </c>
      <c r="K434" s="351" t="s">
        <v>496</v>
      </c>
      <c r="L434" s="351" t="s">
        <v>496</v>
      </c>
      <c r="M434" s="351" t="s">
        <v>496</v>
      </c>
    </row>
    <row r="435" spans="1:13" x14ac:dyDescent="0.25">
      <c r="A435" s="321" t="s">
        <v>640</v>
      </c>
      <c r="B435" s="353">
        <v>1391.9</v>
      </c>
      <c r="C435" s="353">
        <v>0.38669999999999999</v>
      </c>
      <c r="D435" s="350" t="s">
        <v>189</v>
      </c>
      <c r="E435" s="350" t="s">
        <v>189</v>
      </c>
      <c r="F435" s="350" t="s">
        <v>189</v>
      </c>
      <c r="G435" s="350" t="s">
        <v>189</v>
      </c>
      <c r="H435" s="350" t="s">
        <v>189</v>
      </c>
      <c r="I435" s="350" t="s">
        <v>189</v>
      </c>
      <c r="J435" s="351" t="s">
        <v>496</v>
      </c>
      <c r="K435" s="351" t="s">
        <v>496</v>
      </c>
      <c r="L435" s="351" t="s">
        <v>496</v>
      </c>
      <c r="M435" s="351" t="s">
        <v>496</v>
      </c>
    </row>
    <row r="436" spans="1:13" x14ac:dyDescent="0.25">
      <c r="A436" s="321" t="s">
        <v>641</v>
      </c>
      <c r="B436" s="353">
        <v>4142.0497045616085</v>
      </c>
      <c r="C436" s="350" t="s">
        <v>189</v>
      </c>
      <c r="D436" s="350" t="s">
        <v>189</v>
      </c>
      <c r="E436" s="350" t="s">
        <v>189</v>
      </c>
      <c r="F436" s="353">
        <v>3439.7541856200496</v>
      </c>
      <c r="G436" s="350" t="s">
        <v>189</v>
      </c>
      <c r="H436" s="353" t="s">
        <v>494</v>
      </c>
      <c r="I436" s="350" t="s">
        <v>189</v>
      </c>
      <c r="J436" s="351" t="s">
        <v>496</v>
      </c>
      <c r="K436" s="351" t="s">
        <v>496</v>
      </c>
      <c r="L436" s="351" t="s">
        <v>496</v>
      </c>
      <c r="M436" s="351" t="s">
        <v>496</v>
      </c>
    </row>
    <row r="437" spans="1:13" x14ac:dyDescent="0.25">
      <c r="A437" s="323" t="s">
        <v>642</v>
      </c>
      <c r="B437" s="353">
        <v>3.2962224463777599</v>
      </c>
      <c r="C437" s="350" t="s">
        <v>189</v>
      </c>
      <c r="D437" s="350" t="s">
        <v>189</v>
      </c>
      <c r="E437" s="353" t="s">
        <v>556</v>
      </c>
      <c r="F437" s="353" t="s">
        <v>494</v>
      </c>
      <c r="G437" s="353" t="s">
        <v>494</v>
      </c>
      <c r="H437" s="353">
        <v>0.12041830440901</v>
      </c>
      <c r="I437" s="350" t="s">
        <v>189</v>
      </c>
      <c r="J437" s="351" t="s">
        <v>496</v>
      </c>
      <c r="K437" s="351" t="s">
        <v>496</v>
      </c>
      <c r="L437" s="351" t="s">
        <v>496</v>
      </c>
      <c r="M437" s="351" t="s">
        <v>496</v>
      </c>
    </row>
    <row r="438" spans="1:13" x14ac:dyDescent="0.25">
      <c r="A438" s="324" t="s">
        <v>643</v>
      </c>
      <c r="B438" s="353">
        <v>553.25</v>
      </c>
      <c r="C438" s="350" t="s">
        <v>189</v>
      </c>
      <c r="D438" s="350" t="s">
        <v>189</v>
      </c>
      <c r="E438" s="350" t="s">
        <v>189</v>
      </c>
      <c r="F438" s="350" t="s">
        <v>189</v>
      </c>
      <c r="G438" s="350" t="s">
        <v>189</v>
      </c>
      <c r="H438" s="350" t="s">
        <v>189</v>
      </c>
      <c r="I438" s="350" t="s">
        <v>189</v>
      </c>
      <c r="J438" s="351" t="s">
        <v>496</v>
      </c>
      <c r="K438" s="351" t="s">
        <v>496</v>
      </c>
      <c r="L438" s="351" t="s">
        <v>496</v>
      </c>
      <c r="M438" s="351" t="s">
        <v>496</v>
      </c>
    </row>
    <row r="439" spans="1:13" x14ac:dyDescent="0.25">
      <c r="A439" s="324" t="s">
        <v>644</v>
      </c>
      <c r="B439" s="353">
        <v>1030.0825313317564</v>
      </c>
      <c r="C439" s="350" t="s">
        <v>189</v>
      </c>
      <c r="D439" s="350" t="s">
        <v>189</v>
      </c>
      <c r="E439" s="350" t="s">
        <v>189</v>
      </c>
      <c r="F439" s="350" t="s">
        <v>189</v>
      </c>
      <c r="G439" s="350" t="s">
        <v>189</v>
      </c>
      <c r="H439" s="350" t="s">
        <v>189</v>
      </c>
      <c r="I439" s="350" t="s">
        <v>189</v>
      </c>
      <c r="J439" s="351" t="s">
        <v>496</v>
      </c>
      <c r="K439" s="351" t="s">
        <v>496</v>
      </c>
      <c r="L439" s="351" t="s">
        <v>496</v>
      </c>
      <c r="M439" s="351" t="s">
        <v>496</v>
      </c>
    </row>
    <row r="440" spans="1:13" x14ac:dyDescent="0.25">
      <c r="A440" s="321" t="s">
        <v>3275</v>
      </c>
      <c r="B440" s="353" t="s">
        <v>494</v>
      </c>
      <c r="C440" s="353" t="s">
        <v>494</v>
      </c>
      <c r="D440" s="353" t="s">
        <v>494</v>
      </c>
      <c r="E440" s="353" t="s">
        <v>494</v>
      </c>
      <c r="F440" s="353" t="s">
        <v>494</v>
      </c>
      <c r="G440" s="353" t="s">
        <v>494</v>
      </c>
      <c r="H440" s="353" t="s">
        <v>494</v>
      </c>
      <c r="I440" s="353" t="s">
        <v>494</v>
      </c>
      <c r="J440" s="353">
        <v>60.032090854165958</v>
      </c>
      <c r="K440" s="353">
        <v>752.39490757758881</v>
      </c>
      <c r="L440" s="353">
        <v>44.874287061635293</v>
      </c>
      <c r="M440" s="353">
        <v>158.39225986800554</v>
      </c>
    </row>
    <row r="441" spans="1:13" x14ac:dyDescent="0.25">
      <c r="A441" s="325" t="s">
        <v>645</v>
      </c>
      <c r="B441" s="353" t="s">
        <v>496</v>
      </c>
      <c r="C441" s="353" t="s">
        <v>494</v>
      </c>
      <c r="D441" s="353" t="s">
        <v>494</v>
      </c>
      <c r="E441" s="350" t="s">
        <v>189</v>
      </c>
      <c r="F441" s="350" t="s">
        <v>189</v>
      </c>
      <c r="G441" s="350" t="s">
        <v>189</v>
      </c>
      <c r="H441" s="350" t="s">
        <v>189</v>
      </c>
      <c r="I441" s="350" t="s">
        <v>189</v>
      </c>
      <c r="J441" s="353" t="s">
        <v>494</v>
      </c>
      <c r="K441" s="353" t="s">
        <v>494</v>
      </c>
      <c r="L441" s="353" t="s">
        <v>494</v>
      </c>
      <c r="M441" s="353" t="s">
        <v>494</v>
      </c>
    </row>
    <row r="442" spans="1:13" x14ac:dyDescent="0.25">
      <c r="A442" s="326" t="s">
        <v>646</v>
      </c>
      <c r="B442" s="353" t="s">
        <v>496</v>
      </c>
      <c r="C442" s="353" t="s">
        <v>494</v>
      </c>
      <c r="D442" s="353" t="s">
        <v>494</v>
      </c>
      <c r="E442" s="350" t="s">
        <v>189</v>
      </c>
      <c r="F442" s="350" t="s">
        <v>189</v>
      </c>
      <c r="G442" s="350" t="s">
        <v>189</v>
      </c>
      <c r="H442" s="350" t="s">
        <v>189</v>
      </c>
      <c r="I442" s="350" t="s">
        <v>189</v>
      </c>
      <c r="J442" s="351" t="s">
        <v>494</v>
      </c>
      <c r="K442" s="351" t="s">
        <v>494</v>
      </c>
      <c r="L442" s="351" t="s">
        <v>494</v>
      </c>
      <c r="M442" s="351" t="s">
        <v>494</v>
      </c>
    </row>
    <row r="443" spans="1:13" x14ac:dyDescent="0.25">
      <c r="A443" s="326" t="s">
        <v>647</v>
      </c>
      <c r="B443" s="353" t="s">
        <v>496</v>
      </c>
      <c r="C443" s="353" t="s">
        <v>494</v>
      </c>
      <c r="D443" s="353" t="s">
        <v>494</v>
      </c>
      <c r="E443" s="350" t="s">
        <v>189</v>
      </c>
      <c r="F443" s="350" t="s">
        <v>189</v>
      </c>
      <c r="G443" s="350" t="s">
        <v>189</v>
      </c>
      <c r="H443" s="350" t="s">
        <v>189</v>
      </c>
      <c r="I443" s="350" t="s">
        <v>189</v>
      </c>
      <c r="J443" s="351" t="s">
        <v>494</v>
      </c>
      <c r="K443" s="351" t="s">
        <v>494</v>
      </c>
      <c r="L443" s="351" t="s">
        <v>494</v>
      </c>
      <c r="M443" s="351" t="s">
        <v>494</v>
      </c>
    </row>
    <row r="444" spans="1:13" x14ac:dyDescent="0.25">
      <c r="A444" s="327" t="s">
        <v>648</v>
      </c>
      <c r="B444" s="353" t="s">
        <v>496</v>
      </c>
      <c r="C444" s="353" t="s">
        <v>494</v>
      </c>
      <c r="D444" s="353" t="s">
        <v>494</v>
      </c>
      <c r="E444" s="350" t="s">
        <v>189</v>
      </c>
      <c r="F444" s="350" t="s">
        <v>189</v>
      </c>
      <c r="G444" s="350" t="s">
        <v>189</v>
      </c>
      <c r="H444" s="350" t="s">
        <v>189</v>
      </c>
      <c r="I444" s="350" t="s">
        <v>189</v>
      </c>
      <c r="J444" s="353" t="s">
        <v>494</v>
      </c>
      <c r="K444" s="353" t="s">
        <v>494</v>
      </c>
      <c r="L444" s="353" t="s">
        <v>494</v>
      </c>
      <c r="M444" s="353" t="s">
        <v>494</v>
      </c>
    </row>
    <row r="445" spans="1:13" x14ac:dyDescent="0.25">
      <c r="A445" s="328" t="s">
        <v>649</v>
      </c>
      <c r="B445" s="350" t="s">
        <v>189</v>
      </c>
      <c r="C445" s="350" t="s">
        <v>189</v>
      </c>
      <c r="D445" s="350" t="s">
        <v>189</v>
      </c>
      <c r="E445" s="353">
        <v>205.03642790644966</v>
      </c>
      <c r="F445" s="353">
        <v>3258.5392489035653</v>
      </c>
      <c r="G445" s="353" t="s">
        <v>593</v>
      </c>
      <c r="H445" s="353">
        <v>3.1103247907929999E-2</v>
      </c>
      <c r="I445" s="353">
        <v>2.8530150025699998E-2</v>
      </c>
      <c r="J445" s="350" t="s">
        <v>189</v>
      </c>
      <c r="K445" s="350" t="s">
        <v>189</v>
      </c>
      <c r="L445" s="350" t="s">
        <v>189</v>
      </c>
      <c r="M445" s="350" t="s">
        <v>189</v>
      </c>
    </row>
    <row r="446" spans="1:13" x14ac:dyDescent="0.25">
      <c r="A446" s="326" t="s">
        <v>650</v>
      </c>
      <c r="B446" s="350" t="s">
        <v>189</v>
      </c>
      <c r="C446" s="350" t="s">
        <v>189</v>
      </c>
      <c r="D446" s="350" t="s">
        <v>189</v>
      </c>
      <c r="E446" s="353">
        <v>203.14150729415826</v>
      </c>
      <c r="F446" s="353">
        <v>3249.4595465139037</v>
      </c>
      <c r="G446" s="353" t="s">
        <v>521</v>
      </c>
      <c r="H446" s="353">
        <v>3.0668042743200001E-2</v>
      </c>
      <c r="I446" s="353">
        <v>2.8530150025699998E-2</v>
      </c>
      <c r="J446" s="350" t="s">
        <v>189</v>
      </c>
      <c r="K446" s="350" t="s">
        <v>189</v>
      </c>
      <c r="L446" s="350" t="s">
        <v>189</v>
      </c>
      <c r="M446" s="350" t="s">
        <v>189</v>
      </c>
    </row>
    <row r="447" spans="1:13" x14ac:dyDescent="0.25">
      <c r="A447" s="326" t="s">
        <v>651</v>
      </c>
      <c r="B447" s="350" t="s">
        <v>189</v>
      </c>
      <c r="C447" s="350" t="s">
        <v>189</v>
      </c>
      <c r="D447" s="350" t="s">
        <v>189</v>
      </c>
      <c r="E447" s="353" t="s">
        <v>521</v>
      </c>
      <c r="F447" s="353" t="s">
        <v>521</v>
      </c>
      <c r="G447" s="353" t="s">
        <v>521</v>
      </c>
      <c r="H447" s="353" t="s">
        <v>521</v>
      </c>
      <c r="I447" s="353" t="s">
        <v>521</v>
      </c>
      <c r="J447" s="350" t="s">
        <v>189</v>
      </c>
      <c r="K447" s="350" t="s">
        <v>189</v>
      </c>
      <c r="L447" s="350" t="s">
        <v>189</v>
      </c>
      <c r="M447" s="350" t="s">
        <v>189</v>
      </c>
    </row>
    <row r="448" spans="1:13" x14ac:dyDescent="0.25">
      <c r="A448" s="326" t="s">
        <v>652</v>
      </c>
      <c r="B448" s="350" t="s">
        <v>189</v>
      </c>
      <c r="C448" s="350" t="s">
        <v>189</v>
      </c>
      <c r="D448" s="350" t="s">
        <v>189</v>
      </c>
      <c r="E448" s="353">
        <v>0.10311480095790999</v>
      </c>
      <c r="F448" s="353">
        <v>3.6569522277920501</v>
      </c>
      <c r="G448" s="353" t="s">
        <v>521</v>
      </c>
      <c r="H448" s="353" t="s">
        <v>523</v>
      </c>
      <c r="I448" s="353" t="s">
        <v>523</v>
      </c>
      <c r="J448" s="350" t="s">
        <v>189</v>
      </c>
      <c r="K448" s="350" t="s">
        <v>189</v>
      </c>
      <c r="L448" s="350" t="s">
        <v>189</v>
      </c>
      <c r="M448" s="350" t="s">
        <v>189</v>
      </c>
    </row>
    <row r="449" spans="1:13" x14ac:dyDescent="0.25">
      <c r="A449" s="326" t="s">
        <v>653</v>
      </c>
      <c r="B449" s="350" t="s">
        <v>189</v>
      </c>
      <c r="C449" s="350" t="s">
        <v>189</v>
      </c>
      <c r="D449" s="350" t="s">
        <v>189</v>
      </c>
      <c r="E449" s="353">
        <v>1.6984600970478201</v>
      </c>
      <c r="F449" s="353">
        <v>3.5883231618697602</v>
      </c>
      <c r="G449" s="353" t="s">
        <v>523</v>
      </c>
      <c r="H449" s="353">
        <v>3.4476945044E-4</v>
      </c>
      <c r="I449" s="353" t="s">
        <v>523</v>
      </c>
      <c r="J449" s="350" t="s">
        <v>189</v>
      </c>
      <c r="K449" s="350" t="s">
        <v>189</v>
      </c>
      <c r="L449" s="350" t="s">
        <v>189</v>
      </c>
      <c r="M449" s="350" t="s">
        <v>189</v>
      </c>
    </row>
    <row r="450" spans="1:13" x14ac:dyDescent="0.25">
      <c r="A450" s="326" t="s">
        <v>3276</v>
      </c>
      <c r="B450" s="350" t="s">
        <v>189</v>
      </c>
      <c r="C450" s="350" t="s">
        <v>189</v>
      </c>
      <c r="D450" s="350" t="s">
        <v>189</v>
      </c>
      <c r="E450" s="353">
        <v>9.3345714285669998E-2</v>
      </c>
      <c r="F450" s="353">
        <v>1.83442699999999</v>
      </c>
      <c r="G450" s="353" t="s">
        <v>521</v>
      </c>
      <c r="H450" s="353">
        <v>9.0435714290000002E-5</v>
      </c>
      <c r="I450" s="353" t="s">
        <v>523</v>
      </c>
      <c r="J450" s="350" t="s">
        <v>189</v>
      </c>
      <c r="K450" s="350" t="s">
        <v>189</v>
      </c>
      <c r="L450" s="350" t="s">
        <v>189</v>
      </c>
      <c r="M450" s="350" t="s">
        <v>189</v>
      </c>
    </row>
    <row r="451" spans="1:13" x14ac:dyDescent="0.25">
      <c r="A451" s="329" t="s">
        <v>654</v>
      </c>
      <c r="B451" s="350" t="s">
        <v>189</v>
      </c>
      <c r="C451" s="350" t="s">
        <v>189</v>
      </c>
      <c r="D451" s="350" t="s">
        <v>189</v>
      </c>
      <c r="E451" s="353">
        <v>99945.755582500002</v>
      </c>
      <c r="F451" s="353">
        <v>15.660888</v>
      </c>
      <c r="G451" s="353">
        <v>7230.4559117999988</v>
      </c>
      <c r="H451" s="353" t="s">
        <v>494</v>
      </c>
      <c r="I451" s="353" t="s">
        <v>494</v>
      </c>
      <c r="J451" s="350" t="s">
        <v>189</v>
      </c>
      <c r="K451" s="350" t="s">
        <v>189</v>
      </c>
      <c r="L451" s="350" t="s">
        <v>189</v>
      </c>
      <c r="M451" s="350" t="s">
        <v>189</v>
      </c>
    </row>
    <row r="452" spans="1:13" x14ac:dyDescent="0.25">
      <c r="A452" s="326" t="s">
        <v>655</v>
      </c>
      <c r="B452" s="350" t="s">
        <v>189</v>
      </c>
      <c r="C452" s="350" t="s">
        <v>189</v>
      </c>
      <c r="D452" s="350" t="s">
        <v>189</v>
      </c>
      <c r="E452" s="353">
        <v>89653.230582500008</v>
      </c>
      <c r="F452" s="353" t="s">
        <v>494</v>
      </c>
      <c r="G452" s="353" t="s">
        <v>3135</v>
      </c>
      <c r="H452" s="353" t="s">
        <v>494</v>
      </c>
      <c r="I452" s="353" t="s">
        <v>494</v>
      </c>
      <c r="J452" s="350" t="s">
        <v>189</v>
      </c>
      <c r="K452" s="350" t="s">
        <v>189</v>
      </c>
      <c r="L452" s="350" t="s">
        <v>189</v>
      </c>
      <c r="M452" s="350" t="s">
        <v>189</v>
      </c>
    </row>
    <row r="453" spans="1:13" x14ac:dyDescent="0.25">
      <c r="A453" s="326" t="s">
        <v>656</v>
      </c>
      <c r="B453" s="350" t="s">
        <v>189</v>
      </c>
      <c r="C453" s="350" t="s">
        <v>189</v>
      </c>
      <c r="D453" s="350" t="s">
        <v>189</v>
      </c>
      <c r="E453" s="353">
        <v>1457.742</v>
      </c>
      <c r="F453" s="353" t="s">
        <v>494</v>
      </c>
      <c r="G453" s="353" t="s">
        <v>496</v>
      </c>
      <c r="H453" s="353" t="s">
        <v>494</v>
      </c>
      <c r="I453" s="353" t="s">
        <v>494</v>
      </c>
      <c r="J453" s="350" t="s">
        <v>189</v>
      </c>
      <c r="K453" s="350" t="s">
        <v>189</v>
      </c>
      <c r="L453" s="350" t="s">
        <v>189</v>
      </c>
      <c r="M453" s="350" t="s">
        <v>189</v>
      </c>
    </row>
    <row r="454" spans="1:13" x14ac:dyDescent="0.25">
      <c r="A454" s="326" t="s">
        <v>657</v>
      </c>
      <c r="B454" s="350" t="s">
        <v>189</v>
      </c>
      <c r="C454" s="350" t="s">
        <v>189</v>
      </c>
      <c r="D454" s="350" t="s">
        <v>189</v>
      </c>
      <c r="E454" s="353">
        <v>301.25799999999998</v>
      </c>
      <c r="F454" s="353">
        <v>15.660888</v>
      </c>
      <c r="G454" s="353" t="s">
        <v>496</v>
      </c>
      <c r="H454" s="353" t="s">
        <v>494</v>
      </c>
      <c r="I454" s="353" t="s">
        <v>494</v>
      </c>
      <c r="J454" s="350" t="s">
        <v>189</v>
      </c>
      <c r="K454" s="350" t="s">
        <v>189</v>
      </c>
      <c r="L454" s="350" t="s">
        <v>189</v>
      </c>
      <c r="M454" s="350" t="s">
        <v>189</v>
      </c>
    </row>
    <row r="455" spans="1:13" x14ac:dyDescent="0.25">
      <c r="A455" s="326" t="s">
        <v>658</v>
      </c>
      <c r="B455" s="350" t="s">
        <v>189</v>
      </c>
      <c r="C455" s="350" t="s">
        <v>189</v>
      </c>
      <c r="D455" s="350" t="s">
        <v>189</v>
      </c>
      <c r="E455" s="353">
        <v>8533.5249999999996</v>
      </c>
      <c r="F455" s="353" t="s">
        <v>494</v>
      </c>
      <c r="G455" s="353" t="s">
        <v>568</v>
      </c>
      <c r="H455" s="353" t="s">
        <v>494</v>
      </c>
      <c r="I455" s="353" t="s">
        <v>494</v>
      </c>
      <c r="J455" s="350" t="s">
        <v>189</v>
      </c>
      <c r="K455" s="350" t="s">
        <v>189</v>
      </c>
      <c r="L455" s="350" t="s">
        <v>189</v>
      </c>
      <c r="M455" s="350" t="s">
        <v>189</v>
      </c>
    </row>
    <row r="456" spans="1:13" x14ac:dyDescent="0.25">
      <c r="A456" s="326" t="s">
        <v>659</v>
      </c>
      <c r="B456" s="350" t="s">
        <v>189</v>
      </c>
      <c r="C456" s="350" t="s">
        <v>189</v>
      </c>
      <c r="D456" s="350" t="s">
        <v>189</v>
      </c>
      <c r="E456" s="353" t="s">
        <v>494</v>
      </c>
      <c r="F456" s="353" t="s">
        <v>494</v>
      </c>
      <c r="G456" s="353" t="s">
        <v>496</v>
      </c>
      <c r="H456" s="353" t="s">
        <v>494</v>
      </c>
      <c r="I456" s="353" t="s">
        <v>494</v>
      </c>
      <c r="J456" s="350" t="s">
        <v>189</v>
      </c>
      <c r="K456" s="350" t="s">
        <v>189</v>
      </c>
      <c r="L456" s="350" t="s">
        <v>189</v>
      </c>
      <c r="M456" s="350" t="s">
        <v>189</v>
      </c>
    </row>
    <row r="457" spans="1:13" x14ac:dyDescent="0.25">
      <c r="A457" s="327" t="s">
        <v>660</v>
      </c>
      <c r="B457" s="350" t="s">
        <v>189</v>
      </c>
      <c r="C457" s="350" t="s">
        <v>189</v>
      </c>
      <c r="D457" s="350" t="s">
        <v>189</v>
      </c>
      <c r="E457" s="353" t="s">
        <v>494</v>
      </c>
      <c r="F457" s="353" t="s">
        <v>494</v>
      </c>
      <c r="G457" s="353">
        <v>7230.4559117999988</v>
      </c>
      <c r="H457" s="353" t="s">
        <v>494</v>
      </c>
      <c r="I457" s="353" t="s">
        <v>494</v>
      </c>
      <c r="J457" s="350" t="s">
        <v>189</v>
      </c>
      <c r="K457" s="350" t="s">
        <v>189</v>
      </c>
      <c r="L457" s="350" t="s">
        <v>189</v>
      </c>
      <c r="M457" s="350" t="s">
        <v>189</v>
      </c>
    </row>
    <row r="458" spans="1:13" x14ac:dyDescent="0.25">
      <c r="A458" s="328" t="s">
        <v>661</v>
      </c>
      <c r="B458" s="353" t="s">
        <v>517</v>
      </c>
      <c r="C458" s="353" t="s">
        <v>517</v>
      </c>
      <c r="D458" s="353">
        <v>14.15208194400004</v>
      </c>
      <c r="E458" s="353" t="s">
        <v>494</v>
      </c>
      <c r="F458" s="353">
        <v>2.3518718468133701</v>
      </c>
      <c r="G458" s="353" t="s">
        <v>494</v>
      </c>
      <c r="H458" s="353">
        <v>0.36618901378629998</v>
      </c>
      <c r="I458" s="353" t="s">
        <v>494</v>
      </c>
      <c r="J458" s="353">
        <v>3.0595650574289701</v>
      </c>
      <c r="K458" s="353">
        <v>2.2218459027463999</v>
      </c>
      <c r="L458" s="353">
        <v>3851.2231308671667</v>
      </c>
      <c r="M458" s="353">
        <v>0.17191986356898001</v>
      </c>
    </row>
    <row r="459" spans="1:13" x14ac:dyDescent="0.25">
      <c r="A459" s="326" t="s">
        <v>662</v>
      </c>
      <c r="B459" s="350" t="s">
        <v>189</v>
      </c>
      <c r="C459" s="350" t="s">
        <v>189</v>
      </c>
      <c r="D459" s="350" t="s">
        <v>189</v>
      </c>
      <c r="E459" s="353" t="s">
        <v>494</v>
      </c>
      <c r="F459" s="353">
        <v>2.3518718468133701</v>
      </c>
      <c r="G459" s="353" t="s">
        <v>494</v>
      </c>
      <c r="H459" s="353">
        <v>0.36618901378629998</v>
      </c>
      <c r="I459" s="353" t="s">
        <v>494</v>
      </c>
      <c r="J459" s="350" t="s">
        <v>189</v>
      </c>
      <c r="K459" s="350" t="s">
        <v>189</v>
      </c>
      <c r="L459" s="350" t="s">
        <v>189</v>
      </c>
      <c r="M459" s="350" t="s">
        <v>189</v>
      </c>
    </row>
    <row r="460" spans="1:13" x14ac:dyDescent="0.25">
      <c r="A460" s="326" t="s">
        <v>3277</v>
      </c>
      <c r="B460" s="350" t="s">
        <v>189</v>
      </c>
      <c r="C460" s="350" t="s">
        <v>189</v>
      </c>
      <c r="D460" s="350" t="s">
        <v>189</v>
      </c>
      <c r="E460" s="350" t="s">
        <v>189</v>
      </c>
      <c r="F460" s="353" t="s">
        <v>494</v>
      </c>
      <c r="G460" s="353" t="s">
        <v>189</v>
      </c>
      <c r="H460" s="353" t="s">
        <v>521</v>
      </c>
      <c r="I460" s="350" t="s">
        <v>189</v>
      </c>
      <c r="J460" s="350" t="s">
        <v>189</v>
      </c>
      <c r="K460" s="350" t="s">
        <v>189</v>
      </c>
      <c r="L460" s="350" t="s">
        <v>189</v>
      </c>
      <c r="M460" s="350" t="s">
        <v>189</v>
      </c>
    </row>
    <row r="461" spans="1:13" x14ac:dyDescent="0.25">
      <c r="A461" s="326" t="s">
        <v>3278</v>
      </c>
      <c r="B461" s="350" t="s">
        <v>189</v>
      </c>
      <c r="C461" s="350" t="s">
        <v>189</v>
      </c>
      <c r="D461" s="353">
        <v>14.15208194400004</v>
      </c>
      <c r="E461" s="350" t="s">
        <v>189</v>
      </c>
      <c r="F461" s="350" t="s">
        <v>189</v>
      </c>
      <c r="G461" s="350" t="s">
        <v>189</v>
      </c>
      <c r="H461" s="350" t="s">
        <v>189</v>
      </c>
      <c r="I461" s="350" t="s">
        <v>189</v>
      </c>
      <c r="J461" s="350" t="s">
        <v>189</v>
      </c>
      <c r="K461" s="350" t="s">
        <v>189</v>
      </c>
      <c r="L461" s="350" t="s">
        <v>189</v>
      </c>
      <c r="M461" s="350" t="s">
        <v>189</v>
      </c>
    </row>
    <row r="462" spans="1:13" x14ac:dyDescent="0.25">
      <c r="A462" s="326" t="s">
        <v>663</v>
      </c>
      <c r="B462" s="353" t="s">
        <v>517</v>
      </c>
      <c r="C462" s="353" t="s">
        <v>517</v>
      </c>
      <c r="D462" s="353" t="s">
        <v>517</v>
      </c>
      <c r="E462" s="353" t="s">
        <v>494</v>
      </c>
      <c r="F462" s="353" t="s">
        <v>494</v>
      </c>
      <c r="G462" s="353" t="s">
        <v>494</v>
      </c>
      <c r="H462" s="353" t="s">
        <v>494</v>
      </c>
      <c r="I462" s="353" t="s">
        <v>494</v>
      </c>
      <c r="J462" s="353">
        <v>3.0595650574289701</v>
      </c>
      <c r="K462" s="353">
        <v>2.2218459027463999</v>
      </c>
      <c r="L462" s="353">
        <v>3851.2231308671667</v>
      </c>
      <c r="M462" s="353">
        <v>0.17191986356898001</v>
      </c>
    </row>
    <row r="463" spans="1:13" x14ac:dyDescent="0.25">
      <c r="A463" s="325" t="s">
        <v>664</v>
      </c>
      <c r="B463" s="353" t="s">
        <v>556</v>
      </c>
      <c r="C463" s="353" t="s">
        <v>494</v>
      </c>
      <c r="D463" s="353">
        <v>0.41291012709129998</v>
      </c>
      <c r="E463" s="353" t="s">
        <v>528</v>
      </c>
      <c r="F463" s="353" t="s">
        <v>528</v>
      </c>
      <c r="G463" s="353" t="s">
        <v>494</v>
      </c>
      <c r="H463" s="353" t="s">
        <v>528</v>
      </c>
      <c r="I463" s="353" t="s">
        <v>528</v>
      </c>
      <c r="J463" s="353">
        <v>453.82441954455231</v>
      </c>
      <c r="K463" s="353">
        <v>613.85632533670321</v>
      </c>
      <c r="L463" s="353">
        <v>1739.7462559347221</v>
      </c>
      <c r="M463" s="353">
        <v>310.00149700742173</v>
      </c>
    </row>
    <row r="465" spans="1:36" x14ac:dyDescent="0.25">
      <c r="A465" s="58" t="s">
        <v>665</v>
      </c>
      <c r="B465" s="70">
        <f>B416</f>
        <v>194388.53120401071</v>
      </c>
      <c r="C465" s="70">
        <f t="shared" ref="C465:M465" si="9">C416</f>
        <v>4.4228396639999996</v>
      </c>
      <c r="D465" s="70">
        <f t="shared" si="9"/>
        <v>83.655309749766346</v>
      </c>
      <c r="E465" s="70">
        <f t="shared" si="9"/>
        <v>120191.11711244726</v>
      </c>
      <c r="F465" s="70">
        <f t="shared" si="9"/>
        <v>6716.3061943704279</v>
      </c>
      <c r="G465" s="70">
        <f t="shared" si="9"/>
        <v>7230.4559117999988</v>
      </c>
      <c r="H465" s="70">
        <f t="shared" si="9"/>
        <v>0.51771056610323996</v>
      </c>
      <c r="I465" s="70">
        <f t="shared" si="9"/>
        <v>2.8530150025699998E-2</v>
      </c>
      <c r="J465" s="70">
        <f t="shared" si="9"/>
        <v>572.16514495327442</v>
      </c>
      <c r="K465" s="70">
        <f t="shared" si="9"/>
        <v>1557.1939910195872</v>
      </c>
      <c r="L465" s="70">
        <f t="shared" si="9"/>
        <v>5849.2197121443369</v>
      </c>
      <c r="M465" s="70">
        <f t="shared" si="9"/>
        <v>830.75987228203655</v>
      </c>
    </row>
    <row r="467" spans="1:36" ht="17.25" x14ac:dyDescent="0.25">
      <c r="A467" s="439" t="s">
        <v>666</v>
      </c>
      <c r="B467" s="439"/>
      <c r="C467" s="439"/>
      <c r="D467" s="439"/>
      <c r="E467" s="439"/>
      <c r="F467" s="439"/>
      <c r="G467" s="439"/>
      <c r="H467" s="439"/>
      <c r="I467" s="439"/>
      <c r="J467" s="439"/>
      <c r="K467" s="439"/>
      <c r="L467" s="439"/>
      <c r="M467" s="439"/>
      <c r="N467" s="439"/>
      <c r="O467" s="439"/>
      <c r="P467" s="439"/>
      <c r="Q467" s="439"/>
      <c r="R467" s="239"/>
      <c r="S467" s="239"/>
      <c r="T467" s="239"/>
      <c r="U467" s="239"/>
      <c r="V467" s="239"/>
      <c r="W467" s="239"/>
      <c r="X467" s="239"/>
      <c r="Y467" s="239"/>
      <c r="Z467" s="239"/>
      <c r="AA467" s="239"/>
      <c r="AB467" s="239"/>
      <c r="AC467" s="239"/>
      <c r="AD467" s="239"/>
      <c r="AE467" s="239"/>
      <c r="AF467" s="250"/>
      <c r="AG467" s="239"/>
      <c r="AH467" s="239"/>
      <c r="AI467" s="57" t="s">
        <v>478</v>
      </c>
      <c r="AJ467" s="237"/>
    </row>
    <row r="468" spans="1:36" ht="15.75" x14ac:dyDescent="0.25">
      <c r="A468" s="251" t="s">
        <v>667</v>
      </c>
      <c r="B468" s="72"/>
      <c r="C468" s="72"/>
      <c r="D468" s="72"/>
      <c r="E468" s="72"/>
      <c r="F468" s="72"/>
      <c r="G468" s="72"/>
      <c r="H468" s="72"/>
      <c r="I468" s="72"/>
      <c r="J468" s="72"/>
      <c r="K468" s="72"/>
      <c r="L468" s="72"/>
      <c r="M468" s="72"/>
      <c r="N468" s="72"/>
      <c r="O468" s="72"/>
      <c r="P468" s="72"/>
      <c r="Q468" s="72"/>
      <c r="R468" s="239"/>
      <c r="S468" s="239"/>
      <c r="T468" s="239"/>
      <c r="U468" s="239"/>
      <c r="V468" s="239"/>
      <c r="W468" s="239"/>
      <c r="X468" s="239"/>
      <c r="Y468" s="239"/>
      <c r="Z468" s="239"/>
      <c r="AA468" s="239"/>
      <c r="AB468" s="239"/>
      <c r="AC468" s="239"/>
      <c r="AD468" s="239"/>
      <c r="AE468" s="239"/>
      <c r="AF468" s="250"/>
      <c r="AG468" s="237"/>
      <c r="AH468" s="237"/>
      <c r="AI468" s="57" t="s">
        <v>3427</v>
      </c>
      <c r="AJ468" s="237"/>
    </row>
    <row r="469" spans="1:36" x14ac:dyDescent="0.25">
      <c r="A469" s="73"/>
      <c r="B469" s="239"/>
      <c r="C469" s="239"/>
      <c r="D469" s="239"/>
      <c r="E469" s="239"/>
      <c r="F469" s="239"/>
      <c r="G469" s="239"/>
      <c r="H469" s="239"/>
      <c r="I469" s="239"/>
      <c r="J469" s="239"/>
      <c r="K469" s="239"/>
      <c r="L469" s="239"/>
      <c r="M469" s="239"/>
      <c r="N469" s="239"/>
      <c r="O469" s="239"/>
      <c r="P469" s="239"/>
      <c r="Q469" s="239"/>
      <c r="R469" s="239"/>
      <c r="S469" s="239"/>
      <c r="T469" s="239"/>
      <c r="U469" s="239"/>
      <c r="V469" s="239"/>
      <c r="W469" s="239"/>
      <c r="X469" s="239"/>
      <c r="Y469" s="239"/>
      <c r="Z469" s="239"/>
      <c r="AA469" s="239"/>
      <c r="AB469" s="239"/>
      <c r="AC469" s="239"/>
      <c r="AD469" s="239"/>
      <c r="AE469" s="239"/>
      <c r="AF469" s="250"/>
      <c r="AG469" s="237"/>
      <c r="AH469" s="237"/>
      <c r="AI469" s="57" t="s">
        <v>479</v>
      </c>
      <c r="AJ469" s="237"/>
    </row>
    <row r="470" spans="1:36" x14ac:dyDescent="0.25">
      <c r="A470" s="252"/>
      <c r="B470" s="239"/>
      <c r="C470" s="239"/>
      <c r="D470" s="239"/>
      <c r="E470" s="239"/>
      <c r="F470" s="239"/>
      <c r="G470" s="239"/>
      <c r="H470" s="239"/>
      <c r="I470" s="239"/>
      <c r="J470" s="239"/>
      <c r="K470" s="239"/>
      <c r="L470" s="239"/>
      <c r="M470" s="239"/>
      <c r="N470" s="239"/>
      <c r="O470" s="239"/>
      <c r="P470" s="239"/>
      <c r="Q470" s="239"/>
      <c r="R470" s="239"/>
      <c r="S470" s="239"/>
      <c r="T470" s="239"/>
      <c r="U470" s="239"/>
      <c r="V470" s="239"/>
      <c r="W470" s="239"/>
      <c r="X470" s="239"/>
      <c r="Y470" s="239"/>
      <c r="Z470" s="239"/>
      <c r="AA470" s="239"/>
      <c r="AB470" s="239"/>
      <c r="AC470" s="239"/>
      <c r="AD470" s="239"/>
      <c r="AE470" s="239"/>
      <c r="AF470" s="239"/>
      <c r="AG470" s="239"/>
      <c r="AH470" s="239"/>
      <c r="AI470" s="239"/>
      <c r="AJ470" s="239"/>
    </row>
    <row r="471" spans="1:36" ht="64.5" customHeight="1" x14ac:dyDescent="0.25">
      <c r="A471" s="454" t="s">
        <v>480</v>
      </c>
      <c r="B471" s="253" t="s">
        <v>668</v>
      </c>
      <c r="C471" s="254" t="s">
        <v>669</v>
      </c>
      <c r="D471" s="254" t="s">
        <v>670</v>
      </c>
      <c r="E471" s="254" t="s">
        <v>671</v>
      </c>
      <c r="F471" s="254" t="s">
        <v>672</v>
      </c>
      <c r="G471" s="254" t="s">
        <v>673</v>
      </c>
      <c r="H471" s="254" t="s">
        <v>674</v>
      </c>
      <c r="I471" s="254" t="s">
        <v>675</v>
      </c>
      <c r="J471" s="254" t="s">
        <v>676</v>
      </c>
      <c r="K471" s="254" t="s">
        <v>677</v>
      </c>
      <c r="L471" s="254" t="s">
        <v>678</v>
      </c>
      <c r="M471" s="254" t="s">
        <v>679</v>
      </c>
      <c r="N471" s="254" t="s">
        <v>680</v>
      </c>
      <c r="O471" s="254" t="s">
        <v>681</v>
      </c>
      <c r="P471" s="254" t="s">
        <v>682</v>
      </c>
      <c r="Q471" s="254" t="s">
        <v>683</v>
      </c>
      <c r="R471" s="254" t="s">
        <v>684</v>
      </c>
      <c r="S471" s="255" t="s">
        <v>685</v>
      </c>
      <c r="T471" s="255" t="s">
        <v>686</v>
      </c>
      <c r="U471" s="256" t="s">
        <v>687</v>
      </c>
      <c r="V471" s="254" t="s">
        <v>688</v>
      </c>
      <c r="W471" s="257" t="s">
        <v>689</v>
      </c>
      <c r="X471" s="257" t="s">
        <v>690</v>
      </c>
      <c r="Y471" s="257" t="s">
        <v>691</v>
      </c>
      <c r="Z471" s="257" t="s">
        <v>692</v>
      </c>
      <c r="AA471" s="257" t="s">
        <v>693</v>
      </c>
      <c r="AB471" s="257" t="s">
        <v>694</v>
      </c>
      <c r="AC471" s="257" t="s">
        <v>695</v>
      </c>
      <c r="AD471" s="258" t="s">
        <v>696</v>
      </c>
      <c r="AE471" s="258" t="s">
        <v>697</v>
      </c>
      <c r="AF471" s="256" t="s">
        <v>698</v>
      </c>
      <c r="AG471" s="254" t="s">
        <v>699</v>
      </c>
      <c r="AH471" s="256" t="s">
        <v>616</v>
      </c>
      <c r="AI471" s="255" t="s">
        <v>617</v>
      </c>
      <c r="AJ471" s="74" t="s">
        <v>700</v>
      </c>
    </row>
    <row r="472" spans="1:36" ht="38.25" thickBot="1" x14ac:dyDescent="0.3">
      <c r="A472" s="455"/>
      <c r="B472" s="434" t="s">
        <v>3137</v>
      </c>
      <c r="C472" s="432"/>
      <c r="D472" s="432"/>
      <c r="E472" s="432"/>
      <c r="F472" s="432"/>
      <c r="G472" s="432"/>
      <c r="H472" s="432"/>
      <c r="I472" s="432"/>
      <c r="J472" s="432"/>
      <c r="K472" s="432"/>
      <c r="L472" s="432"/>
      <c r="M472" s="432"/>
      <c r="N472" s="432"/>
      <c r="O472" s="432"/>
      <c r="P472" s="432"/>
      <c r="Q472" s="432"/>
      <c r="R472" s="433"/>
      <c r="S472" s="286"/>
      <c r="T472" s="286"/>
      <c r="U472" s="440" t="s">
        <v>701</v>
      </c>
      <c r="V472" s="441"/>
      <c r="W472" s="434" t="s">
        <v>3137</v>
      </c>
      <c r="X472" s="432"/>
      <c r="Y472" s="432"/>
      <c r="Z472" s="432"/>
      <c r="AA472" s="432"/>
      <c r="AB472" s="432"/>
      <c r="AC472" s="433"/>
      <c r="AD472" s="286"/>
      <c r="AE472" s="286"/>
      <c r="AF472" s="440" t="s">
        <v>701</v>
      </c>
      <c r="AG472" s="441"/>
      <c r="AH472" s="259" t="s">
        <v>621</v>
      </c>
      <c r="AI472" s="287" t="s">
        <v>3137</v>
      </c>
      <c r="AJ472" s="260" t="s">
        <v>3137</v>
      </c>
    </row>
    <row r="473" spans="1:36" ht="15.75" thickTop="1" x14ac:dyDescent="0.25">
      <c r="A473" s="261" t="s">
        <v>702</v>
      </c>
      <c r="B473" s="353">
        <v>1368.6407622854913</v>
      </c>
      <c r="C473" s="353">
        <v>398.21997774743551</v>
      </c>
      <c r="D473" s="353">
        <v>1.9808273483516601</v>
      </c>
      <c r="E473" s="353" t="s">
        <v>799</v>
      </c>
      <c r="F473" s="353">
        <v>2580.4423400000001</v>
      </c>
      <c r="G473" s="353" t="s">
        <v>519</v>
      </c>
      <c r="H473" s="353">
        <v>56029.164606593971</v>
      </c>
      <c r="I473" s="353" t="s">
        <v>519</v>
      </c>
      <c r="J473" s="353">
        <v>2093.1475999999998</v>
      </c>
      <c r="K473" s="353" t="s">
        <v>519</v>
      </c>
      <c r="L473" s="353" t="s">
        <v>799</v>
      </c>
      <c r="M473" s="353" t="s">
        <v>519</v>
      </c>
      <c r="N473" s="353" t="s">
        <v>519</v>
      </c>
      <c r="O473" s="353" t="s">
        <v>519</v>
      </c>
      <c r="P473" s="353" t="s">
        <v>519</v>
      </c>
      <c r="Q473" s="353">
        <v>117.73</v>
      </c>
      <c r="R473" s="353" t="s">
        <v>519</v>
      </c>
      <c r="S473" s="353" t="s">
        <v>799</v>
      </c>
      <c r="T473" s="353" t="s">
        <v>799</v>
      </c>
      <c r="U473" s="353">
        <v>1.6984600970478201</v>
      </c>
      <c r="V473" s="350" t="s">
        <v>189</v>
      </c>
      <c r="W473" s="353">
        <v>540.06916717032652</v>
      </c>
      <c r="X473" s="353">
        <v>206.85707686944318</v>
      </c>
      <c r="Y473" s="353">
        <v>9.0276703162196608</v>
      </c>
      <c r="Z473" s="353" t="s">
        <v>519</v>
      </c>
      <c r="AA473" s="353">
        <v>11.47912170919709</v>
      </c>
      <c r="AB473" s="353" t="s">
        <v>519</v>
      </c>
      <c r="AC473" s="353" t="s">
        <v>799</v>
      </c>
      <c r="AD473" s="353" t="s">
        <v>519</v>
      </c>
      <c r="AE473" s="353" t="s">
        <v>519</v>
      </c>
      <c r="AF473" s="353">
        <v>3.5894286775586801</v>
      </c>
      <c r="AG473" s="350" t="s">
        <v>189</v>
      </c>
      <c r="AH473" s="353">
        <v>7230.4559117999988</v>
      </c>
      <c r="AI473" s="353">
        <v>517.71056610324001</v>
      </c>
      <c r="AJ473" s="353">
        <v>28.530150025699999</v>
      </c>
    </row>
    <row r="474" spans="1:36" x14ac:dyDescent="0.25">
      <c r="A474" s="261" t="s">
        <v>703</v>
      </c>
      <c r="B474" s="353">
        <v>1354.0760204081632</v>
      </c>
      <c r="C474" s="353" t="s">
        <v>494</v>
      </c>
      <c r="D474" s="353" t="s">
        <v>494</v>
      </c>
      <c r="E474" s="353" t="s">
        <v>494</v>
      </c>
      <c r="F474" s="353" t="s">
        <v>494</v>
      </c>
      <c r="G474" s="353" t="s">
        <v>494</v>
      </c>
      <c r="H474" s="353" t="s">
        <v>494</v>
      </c>
      <c r="I474" s="353" t="s">
        <v>494</v>
      </c>
      <c r="J474" s="353" t="s">
        <v>494</v>
      </c>
      <c r="K474" s="353" t="s">
        <v>494</v>
      </c>
      <c r="L474" s="353" t="s">
        <v>494</v>
      </c>
      <c r="M474" s="353" t="s">
        <v>494</v>
      </c>
      <c r="N474" s="353" t="s">
        <v>494</v>
      </c>
      <c r="O474" s="353" t="s">
        <v>494</v>
      </c>
      <c r="P474" s="353" t="s">
        <v>494</v>
      </c>
      <c r="Q474" s="353" t="s">
        <v>494</v>
      </c>
      <c r="R474" s="353" t="s">
        <v>494</v>
      </c>
      <c r="S474" s="353" t="s">
        <v>494</v>
      </c>
      <c r="T474" s="353" t="s">
        <v>494</v>
      </c>
      <c r="U474" s="353" t="s">
        <v>494</v>
      </c>
      <c r="V474" s="350" t="s">
        <v>189</v>
      </c>
      <c r="W474" s="353" t="s">
        <v>494</v>
      </c>
      <c r="X474" s="353" t="s">
        <v>494</v>
      </c>
      <c r="Y474" s="353" t="s">
        <v>494</v>
      </c>
      <c r="Z474" s="353" t="s">
        <v>494</v>
      </c>
      <c r="AA474" s="353" t="s">
        <v>494</v>
      </c>
      <c r="AB474" s="353" t="s">
        <v>494</v>
      </c>
      <c r="AC474" s="353" t="s">
        <v>494</v>
      </c>
      <c r="AD474" s="353" t="s">
        <v>494</v>
      </c>
      <c r="AE474" s="353" t="s">
        <v>494</v>
      </c>
      <c r="AF474" s="353" t="s">
        <v>494</v>
      </c>
      <c r="AG474" s="350" t="s">
        <v>189</v>
      </c>
      <c r="AH474" s="353" t="s">
        <v>494</v>
      </c>
      <c r="AI474" s="353" t="s">
        <v>494</v>
      </c>
      <c r="AJ474" s="353" t="s">
        <v>494</v>
      </c>
    </row>
    <row r="475" spans="1:36" x14ac:dyDescent="0.25">
      <c r="A475" s="354" t="s">
        <v>704</v>
      </c>
      <c r="B475" s="353">
        <v>1354.0760204081632</v>
      </c>
      <c r="C475" s="353" t="s">
        <v>494</v>
      </c>
      <c r="D475" s="353" t="s">
        <v>494</v>
      </c>
      <c r="E475" s="353" t="s">
        <v>494</v>
      </c>
      <c r="F475" s="353" t="s">
        <v>494</v>
      </c>
      <c r="G475" s="353" t="s">
        <v>494</v>
      </c>
      <c r="H475" s="353" t="s">
        <v>494</v>
      </c>
      <c r="I475" s="353" t="s">
        <v>494</v>
      </c>
      <c r="J475" s="353" t="s">
        <v>494</v>
      </c>
      <c r="K475" s="353" t="s">
        <v>494</v>
      </c>
      <c r="L475" s="353" t="s">
        <v>494</v>
      </c>
      <c r="M475" s="353" t="s">
        <v>494</v>
      </c>
      <c r="N475" s="353" t="s">
        <v>494</v>
      </c>
      <c r="O475" s="353" t="s">
        <v>494</v>
      </c>
      <c r="P475" s="353" t="s">
        <v>494</v>
      </c>
      <c r="Q475" s="353" t="s">
        <v>494</v>
      </c>
      <c r="R475" s="353" t="s">
        <v>494</v>
      </c>
      <c r="S475" s="353" t="s">
        <v>494</v>
      </c>
      <c r="T475" s="353" t="s">
        <v>494</v>
      </c>
      <c r="U475" s="353" t="s">
        <v>494</v>
      </c>
      <c r="V475" s="350" t="s">
        <v>189</v>
      </c>
      <c r="W475" s="353" t="s">
        <v>494</v>
      </c>
      <c r="X475" s="353" t="s">
        <v>494</v>
      </c>
      <c r="Y475" s="353" t="s">
        <v>494</v>
      </c>
      <c r="Z475" s="353" t="s">
        <v>494</v>
      </c>
      <c r="AA475" s="353" t="s">
        <v>494</v>
      </c>
      <c r="AB475" s="353" t="s">
        <v>494</v>
      </c>
      <c r="AC475" s="353" t="s">
        <v>494</v>
      </c>
      <c r="AD475" s="353" t="s">
        <v>494</v>
      </c>
      <c r="AE475" s="353" t="s">
        <v>494</v>
      </c>
      <c r="AF475" s="353" t="s">
        <v>494</v>
      </c>
      <c r="AG475" s="350" t="s">
        <v>189</v>
      </c>
      <c r="AH475" s="353" t="s">
        <v>494</v>
      </c>
      <c r="AI475" s="353" t="s">
        <v>494</v>
      </c>
      <c r="AJ475" s="353" t="s">
        <v>494</v>
      </c>
    </row>
    <row r="476" spans="1:36" x14ac:dyDescent="0.25">
      <c r="A476" s="355" t="s">
        <v>705</v>
      </c>
      <c r="B476" s="353">
        <v>1354.0760204081632</v>
      </c>
      <c r="C476" s="353" t="s">
        <v>494</v>
      </c>
      <c r="D476" s="353" t="s">
        <v>494</v>
      </c>
      <c r="E476" s="353" t="s">
        <v>494</v>
      </c>
      <c r="F476" s="353" t="s">
        <v>494</v>
      </c>
      <c r="G476" s="353" t="s">
        <v>494</v>
      </c>
      <c r="H476" s="353" t="s">
        <v>494</v>
      </c>
      <c r="I476" s="353" t="s">
        <v>494</v>
      </c>
      <c r="J476" s="353" t="s">
        <v>494</v>
      </c>
      <c r="K476" s="353" t="s">
        <v>494</v>
      </c>
      <c r="L476" s="353" t="s">
        <v>494</v>
      </c>
      <c r="M476" s="353" t="s">
        <v>494</v>
      </c>
      <c r="N476" s="353" t="s">
        <v>494</v>
      </c>
      <c r="O476" s="353" t="s">
        <v>494</v>
      </c>
      <c r="P476" s="353" t="s">
        <v>494</v>
      </c>
      <c r="Q476" s="353" t="s">
        <v>494</v>
      </c>
      <c r="R476" s="353" t="s">
        <v>494</v>
      </c>
      <c r="S476" s="353" t="s">
        <v>494</v>
      </c>
      <c r="T476" s="353" t="s">
        <v>494</v>
      </c>
      <c r="U476" s="353" t="s">
        <v>494</v>
      </c>
      <c r="V476" s="350" t="s">
        <v>189</v>
      </c>
      <c r="W476" s="353" t="s">
        <v>494</v>
      </c>
      <c r="X476" s="353" t="s">
        <v>494</v>
      </c>
      <c r="Y476" s="353" t="s">
        <v>494</v>
      </c>
      <c r="Z476" s="353" t="s">
        <v>494</v>
      </c>
      <c r="AA476" s="353" t="s">
        <v>494</v>
      </c>
      <c r="AB476" s="353" t="s">
        <v>494</v>
      </c>
      <c r="AC476" s="353" t="s">
        <v>494</v>
      </c>
      <c r="AD476" s="353" t="s">
        <v>494</v>
      </c>
      <c r="AE476" s="353" t="s">
        <v>494</v>
      </c>
      <c r="AF476" s="353" t="s">
        <v>494</v>
      </c>
      <c r="AG476" s="350" t="s">
        <v>189</v>
      </c>
      <c r="AH476" s="353" t="s">
        <v>494</v>
      </c>
      <c r="AI476" s="353" t="s">
        <v>494</v>
      </c>
      <c r="AJ476" s="353" t="s">
        <v>494</v>
      </c>
    </row>
    <row r="477" spans="1:36" x14ac:dyDescent="0.25">
      <c r="A477" s="355" t="s">
        <v>706</v>
      </c>
      <c r="B477" s="353" t="s">
        <v>494</v>
      </c>
      <c r="C477" s="353" t="s">
        <v>494</v>
      </c>
      <c r="D477" s="353" t="s">
        <v>494</v>
      </c>
      <c r="E477" s="353" t="s">
        <v>494</v>
      </c>
      <c r="F477" s="353" t="s">
        <v>494</v>
      </c>
      <c r="G477" s="353" t="s">
        <v>494</v>
      </c>
      <c r="H477" s="353" t="s">
        <v>494</v>
      </c>
      <c r="I477" s="353" t="s">
        <v>494</v>
      </c>
      <c r="J477" s="353" t="s">
        <v>494</v>
      </c>
      <c r="K477" s="353" t="s">
        <v>494</v>
      </c>
      <c r="L477" s="353" t="s">
        <v>494</v>
      </c>
      <c r="M477" s="353" t="s">
        <v>494</v>
      </c>
      <c r="N477" s="353" t="s">
        <v>494</v>
      </c>
      <c r="O477" s="353" t="s">
        <v>494</v>
      </c>
      <c r="P477" s="353" t="s">
        <v>494</v>
      </c>
      <c r="Q477" s="353" t="s">
        <v>494</v>
      </c>
      <c r="R477" s="353" t="s">
        <v>494</v>
      </c>
      <c r="S477" s="353" t="s">
        <v>494</v>
      </c>
      <c r="T477" s="353" t="s">
        <v>494</v>
      </c>
      <c r="U477" s="353" t="s">
        <v>494</v>
      </c>
      <c r="V477" s="350" t="s">
        <v>189</v>
      </c>
      <c r="W477" s="353" t="s">
        <v>494</v>
      </c>
      <c r="X477" s="353" t="s">
        <v>494</v>
      </c>
      <c r="Y477" s="353" t="s">
        <v>494</v>
      </c>
      <c r="Z477" s="353" t="s">
        <v>494</v>
      </c>
      <c r="AA477" s="353" t="s">
        <v>494</v>
      </c>
      <c r="AB477" s="353" t="s">
        <v>494</v>
      </c>
      <c r="AC477" s="353" t="s">
        <v>494</v>
      </c>
      <c r="AD477" s="353" t="s">
        <v>494</v>
      </c>
      <c r="AE477" s="353" t="s">
        <v>494</v>
      </c>
      <c r="AF477" s="353" t="s">
        <v>494</v>
      </c>
      <c r="AG477" s="350" t="s">
        <v>189</v>
      </c>
      <c r="AH477" s="353" t="s">
        <v>494</v>
      </c>
      <c r="AI477" s="353" t="s">
        <v>494</v>
      </c>
      <c r="AJ477" s="353" t="s">
        <v>494</v>
      </c>
    </row>
    <row r="478" spans="1:36" x14ac:dyDescent="0.25">
      <c r="A478" s="354" t="s">
        <v>707</v>
      </c>
      <c r="B478" s="353" t="s">
        <v>494</v>
      </c>
      <c r="C478" s="353" t="s">
        <v>494</v>
      </c>
      <c r="D478" s="353" t="s">
        <v>494</v>
      </c>
      <c r="E478" s="353" t="s">
        <v>494</v>
      </c>
      <c r="F478" s="353" t="s">
        <v>494</v>
      </c>
      <c r="G478" s="353" t="s">
        <v>494</v>
      </c>
      <c r="H478" s="353" t="s">
        <v>494</v>
      </c>
      <c r="I478" s="353" t="s">
        <v>494</v>
      </c>
      <c r="J478" s="353" t="s">
        <v>494</v>
      </c>
      <c r="K478" s="353" t="s">
        <v>494</v>
      </c>
      <c r="L478" s="353" t="s">
        <v>494</v>
      </c>
      <c r="M478" s="353" t="s">
        <v>494</v>
      </c>
      <c r="N478" s="353" t="s">
        <v>494</v>
      </c>
      <c r="O478" s="353" t="s">
        <v>494</v>
      </c>
      <c r="P478" s="353" t="s">
        <v>494</v>
      </c>
      <c r="Q478" s="353" t="s">
        <v>494</v>
      </c>
      <c r="R478" s="353" t="s">
        <v>494</v>
      </c>
      <c r="S478" s="353" t="s">
        <v>494</v>
      </c>
      <c r="T478" s="353" t="s">
        <v>494</v>
      </c>
      <c r="U478" s="353" t="s">
        <v>494</v>
      </c>
      <c r="V478" s="350" t="s">
        <v>189</v>
      </c>
      <c r="W478" s="353" t="s">
        <v>494</v>
      </c>
      <c r="X478" s="353" t="s">
        <v>494</v>
      </c>
      <c r="Y478" s="353" t="s">
        <v>494</v>
      </c>
      <c r="Z478" s="353" t="s">
        <v>494</v>
      </c>
      <c r="AA478" s="353" t="s">
        <v>494</v>
      </c>
      <c r="AB478" s="353" t="s">
        <v>494</v>
      </c>
      <c r="AC478" s="353" t="s">
        <v>494</v>
      </c>
      <c r="AD478" s="353" t="s">
        <v>494</v>
      </c>
      <c r="AE478" s="353" t="s">
        <v>494</v>
      </c>
      <c r="AF478" s="353" t="s">
        <v>494</v>
      </c>
      <c r="AG478" s="350" t="s">
        <v>189</v>
      </c>
      <c r="AH478" s="353" t="s">
        <v>494</v>
      </c>
      <c r="AI478" s="353" t="s">
        <v>494</v>
      </c>
      <c r="AJ478" s="353" t="s">
        <v>494</v>
      </c>
    </row>
    <row r="479" spans="1:36" x14ac:dyDescent="0.25">
      <c r="A479" s="261" t="s">
        <v>708</v>
      </c>
      <c r="B479" s="353" t="s">
        <v>494</v>
      </c>
      <c r="C479" s="353" t="s">
        <v>494</v>
      </c>
      <c r="D479" s="353" t="s">
        <v>494</v>
      </c>
      <c r="E479" s="353" t="s">
        <v>494</v>
      </c>
      <c r="F479" s="353" t="s">
        <v>494</v>
      </c>
      <c r="G479" s="353" t="s">
        <v>494</v>
      </c>
      <c r="H479" s="353" t="s">
        <v>556</v>
      </c>
      <c r="I479" s="353" t="s">
        <v>494</v>
      </c>
      <c r="J479" s="353" t="s">
        <v>494</v>
      </c>
      <c r="K479" s="353" t="s">
        <v>494</v>
      </c>
      <c r="L479" s="353" t="s">
        <v>494</v>
      </c>
      <c r="M479" s="353" t="s">
        <v>494</v>
      </c>
      <c r="N479" s="353" t="s">
        <v>494</v>
      </c>
      <c r="O479" s="353" t="s">
        <v>494</v>
      </c>
      <c r="P479" s="353" t="s">
        <v>494</v>
      </c>
      <c r="Q479" s="353" t="s">
        <v>494</v>
      </c>
      <c r="R479" s="353" t="s">
        <v>494</v>
      </c>
      <c r="S479" s="353" t="s">
        <v>494</v>
      </c>
      <c r="T479" s="353" t="s">
        <v>494</v>
      </c>
      <c r="U479" s="353" t="s">
        <v>494</v>
      </c>
      <c r="V479" s="350" t="s">
        <v>189</v>
      </c>
      <c r="W479" s="353">
        <v>391.00292248704386</v>
      </c>
      <c r="X479" s="353">
        <v>45.101851511540602</v>
      </c>
      <c r="Y479" s="353" t="s">
        <v>494</v>
      </c>
      <c r="Z479" s="353" t="s">
        <v>494</v>
      </c>
      <c r="AA479" s="353" t="s">
        <v>494</v>
      </c>
      <c r="AB479" s="353" t="s">
        <v>494</v>
      </c>
      <c r="AC479" s="353" t="s">
        <v>494</v>
      </c>
      <c r="AD479" s="353" t="s">
        <v>494</v>
      </c>
      <c r="AE479" s="353" t="s">
        <v>494</v>
      </c>
      <c r="AF479" s="353" t="s">
        <v>494</v>
      </c>
      <c r="AG479" s="350" t="s">
        <v>189</v>
      </c>
      <c r="AH479" s="353" t="s">
        <v>494</v>
      </c>
      <c r="AI479" s="353">
        <v>120.41830440901001</v>
      </c>
      <c r="AJ479" s="353" t="s">
        <v>494</v>
      </c>
    </row>
    <row r="480" spans="1:36" x14ac:dyDescent="0.25">
      <c r="A480" s="354" t="s">
        <v>709</v>
      </c>
      <c r="B480" s="350" t="s">
        <v>189</v>
      </c>
      <c r="C480" s="350" t="s">
        <v>189</v>
      </c>
      <c r="D480" s="350" t="s">
        <v>189</v>
      </c>
      <c r="E480" s="350" t="s">
        <v>189</v>
      </c>
      <c r="F480" s="350" t="s">
        <v>189</v>
      </c>
      <c r="G480" s="350" t="s">
        <v>189</v>
      </c>
      <c r="H480" s="350" t="s">
        <v>189</v>
      </c>
      <c r="I480" s="350" t="s">
        <v>189</v>
      </c>
      <c r="J480" s="350" t="s">
        <v>189</v>
      </c>
      <c r="K480" s="350" t="s">
        <v>189</v>
      </c>
      <c r="L480" s="350" t="s">
        <v>189</v>
      </c>
      <c r="M480" s="350" t="s">
        <v>189</v>
      </c>
      <c r="N480" s="350" t="s">
        <v>189</v>
      </c>
      <c r="O480" s="350" t="s">
        <v>189</v>
      </c>
      <c r="P480" s="350" t="s">
        <v>189</v>
      </c>
      <c r="Q480" s="350" t="s">
        <v>189</v>
      </c>
      <c r="R480" s="350" t="s">
        <v>189</v>
      </c>
      <c r="S480" s="350" t="s">
        <v>189</v>
      </c>
      <c r="T480" s="350" t="s">
        <v>189</v>
      </c>
      <c r="U480" s="350" t="s">
        <v>189</v>
      </c>
      <c r="V480" s="350" t="s">
        <v>189</v>
      </c>
      <c r="W480" s="353">
        <v>391.00292248704386</v>
      </c>
      <c r="X480" s="353">
        <v>45.101851511540602</v>
      </c>
      <c r="Y480" s="353" t="s">
        <v>494</v>
      </c>
      <c r="Z480" s="353" t="s">
        <v>494</v>
      </c>
      <c r="AA480" s="353" t="s">
        <v>494</v>
      </c>
      <c r="AB480" s="353" t="s">
        <v>494</v>
      </c>
      <c r="AC480" s="353" t="s">
        <v>494</v>
      </c>
      <c r="AD480" s="353" t="s">
        <v>494</v>
      </c>
      <c r="AE480" s="353" t="s">
        <v>494</v>
      </c>
      <c r="AF480" s="353" t="s">
        <v>494</v>
      </c>
      <c r="AG480" s="350" t="s">
        <v>189</v>
      </c>
      <c r="AH480" s="350" t="s">
        <v>189</v>
      </c>
      <c r="AI480" s="353" t="s">
        <v>494</v>
      </c>
      <c r="AJ480" s="350" t="s">
        <v>189</v>
      </c>
    </row>
    <row r="481" spans="1:36" x14ac:dyDescent="0.25">
      <c r="A481" s="354" t="s">
        <v>710</v>
      </c>
      <c r="B481" s="353" t="s">
        <v>494</v>
      </c>
      <c r="C481" s="353" t="s">
        <v>494</v>
      </c>
      <c r="D481" s="353" t="s">
        <v>494</v>
      </c>
      <c r="E481" s="353" t="s">
        <v>494</v>
      </c>
      <c r="F481" s="353" t="s">
        <v>494</v>
      </c>
      <c r="G481" s="353" t="s">
        <v>494</v>
      </c>
      <c r="H481" s="353" t="s">
        <v>523</v>
      </c>
      <c r="I481" s="353" t="s">
        <v>494</v>
      </c>
      <c r="J481" s="353" t="s">
        <v>494</v>
      </c>
      <c r="K481" s="353" t="s">
        <v>494</v>
      </c>
      <c r="L481" s="353" t="s">
        <v>494</v>
      </c>
      <c r="M481" s="353" t="s">
        <v>494</v>
      </c>
      <c r="N481" s="353" t="s">
        <v>494</v>
      </c>
      <c r="O481" s="353" t="s">
        <v>494</v>
      </c>
      <c r="P481" s="353" t="s">
        <v>494</v>
      </c>
      <c r="Q481" s="353" t="s">
        <v>494</v>
      </c>
      <c r="R481" s="353" t="s">
        <v>494</v>
      </c>
      <c r="S481" s="353" t="s">
        <v>494</v>
      </c>
      <c r="T481" s="353" t="s">
        <v>494</v>
      </c>
      <c r="U481" s="353" t="s">
        <v>494</v>
      </c>
      <c r="V481" s="350" t="s">
        <v>189</v>
      </c>
      <c r="W481" s="353" t="s">
        <v>494</v>
      </c>
      <c r="X481" s="353" t="s">
        <v>494</v>
      </c>
      <c r="Y481" s="353" t="s">
        <v>494</v>
      </c>
      <c r="Z481" s="353" t="s">
        <v>494</v>
      </c>
      <c r="AA481" s="353" t="s">
        <v>494</v>
      </c>
      <c r="AB481" s="353" t="s">
        <v>494</v>
      </c>
      <c r="AC481" s="353" t="s">
        <v>494</v>
      </c>
      <c r="AD481" s="353" t="s">
        <v>494</v>
      </c>
      <c r="AE481" s="353" t="s">
        <v>494</v>
      </c>
      <c r="AF481" s="353" t="s">
        <v>494</v>
      </c>
      <c r="AG481" s="350" t="s">
        <v>189</v>
      </c>
      <c r="AH481" s="353" t="s">
        <v>494</v>
      </c>
      <c r="AI481" s="353">
        <v>120.41830440900908</v>
      </c>
      <c r="AJ481" s="350" t="s">
        <v>189</v>
      </c>
    </row>
    <row r="482" spans="1:36" x14ac:dyDescent="0.25">
      <c r="A482" s="356" t="s">
        <v>711</v>
      </c>
      <c r="B482" s="353" t="s">
        <v>494</v>
      </c>
      <c r="C482" s="353" t="s">
        <v>494</v>
      </c>
      <c r="D482" s="353" t="s">
        <v>494</v>
      </c>
      <c r="E482" s="353" t="s">
        <v>494</v>
      </c>
      <c r="F482" s="353" t="s">
        <v>494</v>
      </c>
      <c r="G482" s="353" t="s">
        <v>494</v>
      </c>
      <c r="H482" s="353" t="s">
        <v>494</v>
      </c>
      <c r="I482" s="353" t="s">
        <v>494</v>
      </c>
      <c r="J482" s="353" t="s">
        <v>494</v>
      </c>
      <c r="K482" s="353" t="s">
        <v>494</v>
      </c>
      <c r="L482" s="353" t="s">
        <v>494</v>
      </c>
      <c r="M482" s="353" t="s">
        <v>494</v>
      </c>
      <c r="N482" s="353" t="s">
        <v>494</v>
      </c>
      <c r="O482" s="353" t="s">
        <v>494</v>
      </c>
      <c r="P482" s="353" t="s">
        <v>494</v>
      </c>
      <c r="Q482" s="353" t="s">
        <v>494</v>
      </c>
      <c r="R482" s="353" t="s">
        <v>494</v>
      </c>
      <c r="S482" s="353" t="s">
        <v>494</v>
      </c>
      <c r="T482" s="353" t="s">
        <v>494</v>
      </c>
      <c r="U482" s="353" t="s">
        <v>494</v>
      </c>
      <c r="V482" s="350" t="s">
        <v>189</v>
      </c>
      <c r="W482" s="353" t="s">
        <v>494</v>
      </c>
      <c r="X482" s="353" t="s">
        <v>494</v>
      </c>
      <c r="Y482" s="353" t="s">
        <v>494</v>
      </c>
      <c r="Z482" s="353" t="s">
        <v>494</v>
      </c>
      <c r="AA482" s="353" t="s">
        <v>494</v>
      </c>
      <c r="AB482" s="353" t="s">
        <v>494</v>
      </c>
      <c r="AC482" s="353" t="s">
        <v>494</v>
      </c>
      <c r="AD482" s="353" t="s">
        <v>494</v>
      </c>
      <c r="AE482" s="353" t="s">
        <v>494</v>
      </c>
      <c r="AF482" s="353" t="s">
        <v>494</v>
      </c>
      <c r="AG482" s="350" t="s">
        <v>189</v>
      </c>
      <c r="AH482" s="353" t="s">
        <v>494</v>
      </c>
      <c r="AI482" s="353" t="s">
        <v>494</v>
      </c>
      <c r="AJ482" s="353" t="s">
        <v>494</v>
      </c>
    </row>
    <row r="483" spans="1:36" x14ac:dyDescent="0.25">
      <c r="A483" s="357" t="s">
        <v>649</v>
      </c>
      <c r="B483" s="353">
        <v>13.68474187732811</v>
      </c>
      <c r="C483" s="353">
        <v>0.90067774743551998</v>
      </c>
      <c r="D483" s="353">
        <v>1.9808273483516601</v>
      </c>
      <c r="E483" s="353" t="s">
        <v>3134</v>
      </c>
      <c r="F483" s="353" t="s">
        <v>3134</v>
      </c>
      <c r="G483" s="353" t="s">
        <v>593</v>
      </c>
      <c r="H483" s="353">
        <v>9.5065939709600006E-3</v>
      </c>
      <c r="I483" s="353" t="s">
        <v>593</v>
      </c>
      <c r="J483" s="353" t="s">
        <v>3134</v>
      </c>
      <c r="K483" s="353" t="s">
        <v>593</v>
      </c>
      <c r="L483" s="353" t="s">
        <v>3134</v>
      </c>
      <c r="M483" s="353" t="s">
        <v>593</v>
      </c>
      <c r="N483" s="353" t="s">
        <v>593</v>
      </c>
      <c r="O483" s="353" t="s">
        <v>593</v>
      </c>
      <c r="P483" s="353" t="s">
        <v>593</v>
      </c>
      <c r="Q483" s="353" t="s">
        <v>3134</v>
      </c>
      <c r="R483" s="353" t="s">
        <v>593</v>
      </c>
      <c r="S483" s="353" t="s">
        <v>3134</v>
      </c>
      <c r="T483" s="353" t="s">
        <v>3134</v>
      </c>
      <c r="U483" s="353">
        <v>1.6984600970478201</v>
      </c>
      <c r="V483" s="350" t="s">
        <v>189</v>
      </c>
      <c r="W483" s="353">
        <v>146.62879409508059</v>
      </c>
      <c r="X483" s="353">
        <v>161.75522535790259</v>
      </c>
      <c r="Y483" s="353">
        <v>9.0276703162196608</v>
      </c>
      <c r="Z483" s="353" t="s">
        <v>593</v>
      </c>
      <c r="AA483" s="353">
        <v>11.47912170919709</v>
      </c>
      <c r="AB483" s="353" t="s">
        <v>593</v>
      </c>
      <c r="AC483" s="353" t="s">
        <v>3134</v>
      </c>
      <c r="AD483" s="353" t="s">
        <v>593</v>
      </c>
      <c r="AE483" s="353" t="s">
        <v>593</v>
      </c>
      <c r="AF483" s="353">
        <v>3.5894286775586801</v>
      </c>
      <c r="AG483" s="350" t="s">
        <v>189</v>
      </c>
      <c r="AH483" s="353" t="s">
        <v>593</v>
      </c>
      <c r="AI483" s="353">
        <v>31.103247907929191</v>
      </c>
      <c r="AJ483" s="353">
        <v>28.530150025703989</v>
      </c>
    </row>
    <row r="484" spans="1:36" x14ac:dyDescent="0.25">
      <c r="A484" s="354" t="s">
        <v>650</v>
      </c>
      <c r="B484" s="353">
        <v>13.671467518190029</v>
      </c>
      <c r="C484" s="353">
        <v>0.90067774743551998</v>
      </c>
      <c r="D484" s="353">
        <v>1.9808273483516601</v>
      </c>
      <c r="E484" s="353" t="s">
        <v>523</v>
      </c>
      <c r="F484" s="353" t="s">
        <v>523</v>
      </c>
      <c r="G484" s="353" t="s">
        <v>523</v>
      </c>
      <c r="H484" s="353">
        <v>9.5065939709600006E-3</v>
      </c>
      <c r="I484" s="353" t="s">
        <v>523</v>
      </c>
      <c r="J484" s="353" t="s">
        <v>523</v>
      </c>
      <c r="K484" s="353" t="s">
        <v>523</v>
      </c>
      <c r="L484" s="353" t="s">
        <v>523</v>
      </c>
      <c r="M484" s="353" t="s">
        <v>523</v>
      </c>
      <c r="N484" s="353" t="s">
        <v>523</v>
      </c>
      <c r="O484" s="353" t="s">
        <v>523</v>
      </c>
      <c r="P484" s="353" t="s">
        <v>523</v>
      </c>
      <c r="Q484" s="353" t="s">
        <v>523</v>
      </c>
      <c r="R484" s="353" t="s">
        <v>523</v>
      </c>
      <c r="S484" s="353" t="s">
        <v>523</v>
      </c>
      <c r="T484" s="353" t="s">
        <v>523</v>
      </c>
      <c r="U484" s="353" t="s">
        <v>521</v>
      </c>
      <c r="V484" s="350" t="s">
        <v>189</v>
      </c>
      <c r="W484" s="353">
        <v>146.16040121254008</v>
      </c>
      <c r="X484" s="353">
        <v>161.67811829648733</v>
      </c>
      <c r="Y484" s="353">
        <v>8.9719417447910903</v>
      </c>
      <c r="Z484" s="353" t="s">
        <v>523</v>
      </c>
      <c r="AA484" s="353">
        <v>11.42114438969833</v>
      </c>
      <c r="AB484" s="353" t="s">
        <v>523</v>
      </c>
      <c r="AC484" s="353" t="s">
        <v>523</v>
      </c>
      <c r="AD484" s="353" t="s">
        <v>523</v>
      </c>
      <c r="AE484" s="353" t="s">
        <v>523</v>
      </c>
      <c r="AF484" s="353">
        <v>1.1055156889200001E-3</v>
      </c>
      <c r="AG484" s="350" t="s">
        <v>189</v>
      </c>
      <c r="AH484" s="353" t="s">
        <v>521</v>
      </c>
      <c r="AI484" s="353">
        <v>30.668042743204541</v>
      </c>
      <c r="AJ484" s="353">
        <v>28.530150025703989</v>
      </c>
    </row>
    <row r="485" spans="1:36" x14ac:dyDescent="0.25">
      <c r="A485" s="354" t="s">
        <v>651</v>
      </c>
      <c r="B485" s="353" t="s">
        <v>521</v>
      </c>
      <c r="C485" s="353" t="s">
        <v>521</v>
      </c>
      <c r="D485" s="353" t="s">
        <v>521</v>
      </c>
      <c r="E485" s="353" t="s">
        <v>521</v>
      </c>
      <c r="F485" s="353" t="s">
        <v>521</v>
      </c>
      <c r="G485" s="353" t="s">
        <v>521</v>
      </c>
      <c r="H485" s="353" t="s">
        <v>521</v>
      </c>
      <c r="I485" s="353" t="s">
        <v>521</v>
      </c>
      <c r="J485" s="353" t="s">
        <v>521</v>
      </c>
      <c r="K485" s="353" t="s">
        <v>521</v>
      </c>
      <c r="L485" s="353" t="s">
        <v>521</v>
      </c>
      <c r="M485" s="353" t="s">
        <v>521</v>
      </c>
      <c r="N485" s="353" t="s">
        <v>521</v>
      </c>
      <c r="O485" s="353" t="s">
        <v>521</v>
      </c>
      <c r="P485" s="353" t="s">
        <v>521</v>
      </c>
      <c r="Q485" s="353" t="s">
        <v>521</v>
      </c>
      <c r="R485" s="353" t="s">
        <v>521</v>
      </c>
      <c r="S485" s="353" t="s">
        <v>521</v>
      </c>
      <c r="T485" s="353" t="s">
        <v>521</v>
      </c>
      <c r="U485" s="353" t="s">
        <v>521</v>
      </c>
      <c r="V485" s="350" t="s">
        <v>189</v>
      </c>
      <c r="W485" s="353" t="s">
        <v>521</v>
      </c>
      <c r="X485" s="353" t="s">
        <v>521</v>
      </c>
      <c r="Y485" s="353" t="s">
        <v>521</v>
      </c>
      <c r="Z485" s="353" t="s">
        <v>521</v>
      </c>
      <c r="AA485" s="353" t="s">
        <v>521</v>
      </c>
      <c r="AB485" s="353" t="s">
        <v>521</v>
      </c>
      <c r="AC485" s="353" t="s">
        <v>521</v>
      </c>
      <c r="AD485" s="353" t="s">
        <v>521</v>
      </c>
      <c r="AE485" s="353" t="s">
        <v>521</v>
      </c>
      <c r="AF485" s="353" t="s">
        <v>521</v>
      </c>
      <c r="AG485" s="350" t="s">
        <v>189</v>
      </c>
      <c r="AH485" s="353" t="s">
        <v>521</v>
      </c>
      <c r="AI485" s="353" t="s">
        <v>521</v>
      </c>
      <c r="AJ485" s="353" t="s">
        <v>521</v>
      </c>
    </row>
    <row r="486" spans="1:36" x14ac:dyDescent="0.25">
      <c r="A486" s="354" t="s">
        <v>652</v>
      </c>
      <c r="B486" s="353">
        <v>6.9672162809399996E-3</v>
      </c>
      <c r="C486" s="353" t="s">
        <v>521</v>
      </c>
      <c r="D486" s="353" t="s">
        <v>521</v>
      </c>
      <c r="E486" s="353" t="s">
        <v>521</v>
      </c>
      <c r="F486" s="353" t="s">
        <v>521</v>
      </c>
      <c r="G486" s="353" t="s">
        <v>521</v>
      </c>
      <c r="H486" s="353" t="s">
        <v>521</v>
      </c>
      <c r="I486" s="353" t="s">
        <v>521</v>
      </c>
      <c r="J486" s="353" t="s">
        <v>521</v>
      </c>
      <c r="K486" s="353" t="s">
        <v>521</v>
      </c>
      <c r="L486" s="353" t="s">
        <v>521</v>
      </c>
      <c r="M486" s="353" t="s">
        <v>521</v>
      </c>
      <c r="N486" s="353" t="s">
        <v>521</v>
      </c>
      <c r="O486" s="353" t="s">
        <v>521</v>
      </c>
      <c r="P486" s="353" t="s">
        <v>521</v>
      </c>
      <c r="Q486" s="353" t="s">
        <v>521</v>
      </c>
      <c r="R486" s="353" t="s">
        <v>521</v>
      </c>
      <c r="S486" s="353" t="s">
        <v>521</v>
      </c>
      <c r="T486" s="353" t="s">
        <v>521</v>
      </c>
      <c r="U486" s="353" t="s">
        <v>521</v>
      </c>
      <c r="V486" s="350" t="s">
        <v>189</v>
      </c>
      <c r="W486" s="353">
        <v>0.41169288254051001</v>
      </c>
      <c r="X486" s="353">
        <v>5.0035632843830002E-2</v>
      </c>
      <c r="Y486" s="353" t="s">
        <v>521</v>
      </c>
      <c r="Z486" s="353" t="s">
        <v>521</v>
      </c>
      <c r="AA486" s="353">
        <v>3.9874807019000001E-4</v>
      </c>
      <c r="AB486" s="353" t="s">
        <v>521</v>
      </c>
      <c r="AC486" s="353" t="s">
        <v>521</v>
      </c>
      <c r="AD486" s="353" t="s">
        <v>521</v>
      </c>
      <c r="AE486" s="353" t="s">
        <v>521</v>
      </c>
      <c r="AF486" s="353" t="s">
        <v>521</v>
      </c>
      <c r="AG486" s="350" t="s">
        <v>189</v>
      </c>
      <c r="AH486" s="353" t="s">
        <v>521</v>
      </c>
      <c r="AI486" s="353" t="s">
        <v>523</v>
      </c>
      <c r="AJ486" s="353" t="s">
        <v>523</v>
      </c>
    </row>
    <row r="487" spans="1:36" x14ac:dyDescent="0.25">
      <c r="A487" s="354" t="s">
        <v>653</v>
      </c>
      <c r="B487" s="353" t="s">
        <v>496</v>
      </c>
      <c r="C487" s="353" t="s">
        <v>496</v>
      </c>
      <c r="D487" s="353" t="s">
        <v>523</v>
      </c>
      <c r="E487" s="353" t="s">
        <v>496</v>
      </c>
      <c r="F487" s="353" t="s">
        <v>496</v>
      </c>
      <c r="G487" s="353" t="s">
        <v>523</v>
      </c>
      <c r="H487" s="353" t="s">
        <v>496</v>
      </c>
      <c r="I487" s="353" t="s">
        <v>523</v>
      </c>
      <c r="J487" s="353" t="s">
        <v>496</v>
      </c>
      <c r="K487" s="353" t="s">
        <v>523</v>
      </c>
      <c r="L487" s="353" t="s">
        <v>496</v>
      </c>
      <c r="M487" s="353" t="s">
        <v>523</v>
      </c>
      <c r="N487" s="353" t="s">
        <v>523</v>
      </c>
      <c r="O487" s="353" t="s">
        <v>523</v>
      </c>
      <c r="P487" s="353" t="s">
        <v>523</v>
      </c>
      <c r="Q487" s="353" t="s">
        <v>496</v>
      </c>
      <c r="R487" s="353" t="s">
        <v>523</v>
      </c>
      <c r="S487" s="353" t="s">
        <v>496</v>
      </c>
      <c r="T487" s="353" t="s">
        <v>496</v>
      </c>
      <c r="U487" s="353">
        <v>1.6984600970478201</v>
      </c>
      <c r="V487" s="350" t="s">
        <v>189</v>
      </c>
      <c r="W487" s="353" t="s">
        <v>496</v>
      </c>
      <c r="X487" s="353" t="s">
        <v>496</v>
      </c>
      <c r="Y487" s="353" t="s">
        <v>523</v>
      </c>
      <c r="Z487" s="353" t="s">
        <v>523</v>
      </c>
      <c r="AA487" s="353" t="s">
        <v>523</v>
      </c>
      <c r="AB487" s="353" t="s">
        <v>523</v>
      </c>
      <c r="AC487" s="353" t="s">
        <v>496</v>
      </c>
      <c r="AD487" s="353" t="s">
        <v>523</v>
      </c>
      <c r="AE487" s="353" t="s">
        <v>523</v>
      </c>
      <c r="AF487" s="353">
        <v>3.5883231618697602</v>
      </c>
      <c r="AG487" s="350" t="s">
        <v>189</v>
      </c>
      <c r="AH487" s="353" t="s">
        <v>523</v>
      </c>
      <c r="AI487" s="353">
        <v>0.34476945043893997</v>
      </c>
      <c r="AJ487" s="353" t="s">
        <v>523</v>
      </c>
    </row>
    <row r="488" spans="1:36" x14ac:dyDescent="0.25">
      <c r="A488" s="354" t="s">
        <v>3428</v>
      </c>
      <c r="B488" s="353">
        <v>6.3071428571400004E-3</v>
      </c>
      <c r="C488" s="353" t="s">
        <v>521</v>
      </c>
      <c r="D488" s="353" t="s">
        <v>521</v>
      </c>
      <c r="E488" s="353" t="s">
        <v>521</v>
      </c>
      <c r="F488" s="353" t="s">
        <v>521</v>
      </c>
      <c r="G488" s="353" t="s">
        <v>521</v>
      </c>
      <c r="H488" s="353" t="s">
        <v>521</v>
      </c>
      <c r="I488" s="353" t="s">
        <v>521</v>
      </c>
      <c r="J488" s="353" t="s">
        <v>521</v>
      </c>
      <c r="K488" s="353" t="s">
        <v>521</v>
      </c>
      <c r="L488" s="353" t="s">
        <v>521</v>
      </c>
      <c r="M488" s="353" t="s">
        <v>521</v>
      </c>
      <c r="N488" s="353" t="s">
        <v>521</v>
      </c>
      <c r="O488" s="353" t="s">
        <v>521</v>
      </c>
      <c r="P488" s="353" t="s">
        <v>521</v>
      </c>
      <c r="Q488" s="353" t="s">
        <v>521</v>
      </c>
      <c r="R488" s="353" t="s">
        <v>521</v>
      </c>
      <c r="S488" s="353" t="s">
        <v>521</v>
      </c>
      <c r="T488" s="353" t="s">
        <v>521</v>
      </c>
      <c r="U488" s="353" t="s">
        <v>521</v>
      </c>
      <c r="V488" s="350" t="s">
        <v>189</v>
      </c>
      <c r="W488" s="353">
        <v>5.67E-2</v>
      </c>
      <c r="X488" s="353">
        <v>2.7071428571429999E-2</v>
      </c>
      <c r="Y488" s="353">
        <v>5.5728571428570003E-2</v>
      </c>
      <c r="Z488" s="353" t="s">
        <v>521</v>
      </c>
      <c r="AA488" s="353">
        <v>5.7578571428570001E-2</v>
      </c>
      <c r="AB488" s="353" t="s">
        <v>521</v>
      </c>
      <c r="AC488" s="353" t="s">
        <v>521</v>
      </c>
      <c r="AD488" s="353" t="s">
        <v>521</v>
      </c>
      <c r="AE488" s="353" t="s">
        <v>521</v>
      </c>
      <c r="AF488" s="353" t="s">
        <v>521</v>
      </c>
      <c r="AG488" s="350" t="s">
        <v>189</v>
      </c>
      <c r="AH488" s="353" t="s">
        <v>521</v>
      </c>
      <c r="AI488" s="353">
        <v>9.0435714285709998E-2</v>
      </c>
      <c r="AJ488" s="353" t="s">
        <v>523</v>
      </c>
    </row>
    <row r="489" spans="1:36" x14ac:dyDescent="0.25">
      <c r="A489" s="329" t="s">
        <v>654</v>
      </c>
      <c r="B489" s="353">
        <v>0.88</v>
      </c>
      <c r="C489" s="353">
        <v>397.31929999999994</v>
      </c>
      <c r="D489" s="353" t="s">
        <v>494</v>
      </c>
      <c r="E489" s="353" t="s">
        <v>494</v>
      </c>
      <c r="F489" s="353">
        <v>2580.4423400000001</v>
      </c>
      <c r="G489" s="353" t="s">
        <v>494</v>
      </c>
      <c r="H489" s="353">
        <v>56029.155100000004</v>
      </c>
      <c r="I489" s="353" t="s">
        <v>494</v>
      </c>
      <c r="J489" s="353">
        <v>2093.1475999999998</v>
      </c>
      <c r="K489" s="353" t="s">
        <v>494</v>
      </c>
      <c r="L489" s="353" t="s">
        <v>494</v>
      </c>
      <c r="M489" s="353" t="s">
        <v>494</v>
      </c>
      <c r="N489" s="353" t="s">
        <v>494</v>
      </c>
      <c r="O489" s="353" t="s">
        <v>494</v>
      </c>
      <c r="P489" s="353" t="s">
        <v>494</v>
      </c>
      <c r="Q489" s="353">
        <v>117.73</v>
      </c>
      <c r="R489" s="353" t="s">
        <v>494</v>
      </c>
      <c r="S489" s="353" t="s">
        <v>494</v>
      </c>
      <c r="T489" s="353" t="s">
        <v>494</v>
      </c>
      <c r="U489" s="353" t="s">
        <v>494</v>
      </c>
      <c r="V489" s="350" t="s">
        <v>189</v>
      </c>
      <c r="W489" s="353">
        <v>2.1192000000000002</v>
      </c>
      <c r="X489" s="353" t="s">
        <v>494</v>
      </c>
      <c r="Y489" s="353" t="s">
        <v>494</v>
      </c>
      <c r="Z489" s="353" t="s">
        <v>494</v>
      </c>
      <c r="AA489" s="353" t="s">
        <v>494</v>
      </c>
      <c r="AB489" s="353" t="s">
        <v>494</v>
      </c>
      <c r="AC489" s="353" t="s">
        <v>494</v>
      </c>
      <c r="AD489" s="353" t="s">
        <v>494</v>
      </c>
      <c r="AE489" s="353" t="s">
        <v>494</v>
      </c>
      <c r="AF489" s="353" t="s">
        <v>494</v>
      </c>
      <c r="AG489" s="350" t="s">
        <v>189</v>
      </c>
      <c r="AH489" s="353">
        <v>7230.4559117999988</v>
      </c>
      <c r="AI489" s="353" t="s">
        <v>494</v>
      </c>
      <c r="AJ489" s="353" t="s">
        <v>494</v>
      </c>
    </row>
    <row r="490" spans="1:36" x14ac:dyDescent="0.25">
      <c r="A490" s="354" t="s">
        <v>655</v>
      </c>
      <c r="B490" s="353" t="s">
        <v>494</v>
      </c>
      <c r="C490" s="353">
        <v>397.31929999999994</v>
      </c>
      <c r="D490" s="353" t="s">
        <v>494</v>
      </c>
      <c r="E490" s="353" t="s">
        <v>494</v>
      </c>
      <c r="F490" s="353">
        <v>2549.6623400000003</v>
      </c>
      <c r="G490" s="353" t="s">
        <v>494</v>
      </c>
      <c r="H490" s="353">
        <v>49042.255100000002</v>
      </c>
      <c r="I490" s="353" t="s">
        <v>494</v>
      </c>
      <c r="J490" s="353">
        <v>2093.1475999999998</v>
      </c>
      <c r="K490" s="353" t="s">
        <v>494</v>
      </c>
      <c r="L490" s="353" t="s">
        <v>494</v>
      </c>
      <c r="M490" s="353" t="s">
        <v>494</v>
      </c>
      <c r="N490" s="353" t="s">
        <v>494</v>
      </c>
      <c r="O490" s="353" t="s">
        <v>494</v>
      </c>
      <c r="P490" s="353" t="s">
        <v>494</v>
      </c>
      <c r="Q490" s="353">
        <v>99.33</v>
      </c>
      <c r="R490" s="353" t="s">
        <v>494</v>
      </c>
      <c r="S490" s="353" t="s">
        <v>494</v>
      </c>
      <c r="T490" s="353" t="s">
        <v>494</v>
      </c>
      <c r="U490" s="353" t="s">
        <v>494</v>
      </c>
      <c r="V490" s="350" t="s">
        <v>189</v>
      </c>
      <c r="W490" s="353" t="s">
        <v>494</v>
      </c>
      <c r="X490" s="353" t="s">
        <v>494</v>
      </c>
      <c r="Y490" s="353" t="s">
        <v>494</v>
      </c>
      <c r="Z490" s="353" t="s">
        <v>494</v>
      </c>
      <c r="AA490" s="353" t="s">
        <v>494</v>
      </c>
      <c r="AB490" s="353" t="s">
        <v>494</v>
      </c>
      <c r="AC490" s="353" t="s">
        <v>494</v>
      </c>
      <c r="AD490" s="353" t="s">
        <v>494</v>
      </c>
      <c r="AE490" s="353" t="s">
        <v>494</v>
      </c>
      <c r="AF490" s="353" t="s">
        <v>494</v>
      </c>
      <c r="AG490" s="350" t="s">
        <v>189</v>
      </c>
      <c r="AH490" s="353" t="s">
        <v>3135</v>
      </c>
      <c r="AI490" s="353" t="s">
        <v>494</v>
      </c>
      <c r="AJ490" s="353" t="s">
        <v>494</v>
      </c>
    </row>
    <row r="491" spans="1:36" x14ac:dyDescent="0.25">
      <c r="A491" s="354" t="s">
        <v>656</v>
      </c>
      <c r="B491" s="353" t="s">
        <v>494</v>
      </c>
      <c r="C491" s="353" t="s">
        <v>494</v>
      </c>
      <c r="D491" s="353" t="s">
        <v>494</v>
      </c>
      <c r="E491" s="353" t="s">
        <v>494</v>
      </c>
      <c r="F491" s="353" t="s">
        <v>494</v>
      </c>
      <c r="G491" s="353" t="s">
        <v>494</v>
      </c>
      <c r="H491" s="353">
        <v>1019.4</v>
      </c>
      <c r="I491" s="353" t="s">
        <v>494</v>
      </c>
      <c r="J491" s="353" t="s">
        <v>494</v>
      </c>
      <c r="K491" s="353" t="s">
        <v>494</v>
      </c>
      <c r="L491" s="353" t="s">
        <v>494</v>
      </c>
      <c r="M491" s="353" t="s">
        <v>494</v>
      </c>
      <c r="N491" s="353" t="s">
        <v>494</v>
      </c>
      <c r="O491" s="353" t="s">
        <v>494</v>
      </c>
      <c r="P491" s="353" t="s">
        <v>494</v>
      </c>
      <c r="Q491" s="353" t="s">
        <v>494</v>
      </c>
      <c r="R491" s="353" t="s">
        <v>494</v>
      </c>
      <c r="S491" s="353" t="s">
        <v>494</v>
      </c>
      <c r="T491" s="353" t="s">
        <v>494</v>
      </c>
      <c r="U491" s="353" t="s">
        <v>494</v>
      </c>
      <c r="V491" s="350" t="s">
        <v>189</v>
      </c>
      <c r="W491" s="353" t="s">
        <v>494</v>
      </c>
      <c r="X491" s="353" t="s">
        <v>494</v>
      </c>
      <c r="Y491" s="353" t="s">
        <v>494</v>
      </c>
      <c r="Z491" s="353" t="s">
        <v>494</v>
      </c>
      <c r="AA491" s="353" t="s">
        <v>494</v>
      </c>
      <c r="AB491" s="353" t="s">
        <v>494</v>
      </c>
      <c r="AC491" s="353" t="s">
        <v>494</v>
      </c>
      <c r="AD491" s="353" t="s">
        <v>494</v>
      </c>
      <c r="AE491" s="353" t="s">
        <v>494</v>
      </c>
      <c r="AF491" s="353" t="s">
        <v>494</v>
      </c>
      <c r="AG491" s="350" t="s">
        <v>189</v>
      </c>
      <c r="AH491" s="353" t="s">
        <v>496</v>
      </c>
      <c r="AI491" s="353" t="s">
        <v>494</v>
      </c>
      <c r="AJ491" s="353" t="s">
        <v>494</v>
      </c>
    </row>
    <row r="492" spans="1:36" x14ac:dyDescent="0.25">
      <c r="A492" s="354" t="s">
        <v>657</v>
      </c>
      <c r="B492" s="353">
        <v>0.88</v>
      </c>
      <c r="C492" s="353" t="s">
        <v>494</v>
      </c>
      <c r="D492" s="353" t="s">
        <v>494</v>
      </c>
      <c r="E492" s="353" t="s">
        <v>494</v>
      </c>
      <c r="F492" s="353">
        <v>30.78</v>
      </c>
      <c r="G492" s="353" t="s">
        <v>494</v>
      </c>
      <c r="H492" s="353" t="s">
        <v>494</v>
      </c>
      <c r="I492" s="353" t="s">
        <v>494</v>
      </c>
      <c r="J492" s="353" t="s">
        <v>494</v>
      </c>
      <c r="K492" s="353" t="s">
        <v>494</v>
      </c>
      <c r="L492" s="353" t="s">
        <v>494</v>
      </c>
      <c r="M492" s="353" t="s">
        <v>494</v>
      </c>
      <c r="N492" s="353" t="s">
        <v>494</v>
      </c>
      <c r="O492" s="353" t="s">
        <v>494</v>
      </c>
      <c r="P492" s="353" t="s">
        <v>494</v>
      </c>
      <c r="Q492" s="353">
        <v>18.399999999999999</v>
      </c>
      <c r="R492" s="353" t="s">
        <v>494</v>
      </c>
      <c r="S492" s="353" t="s">
        <v>494</v>
      </c>
      <c r="T492" s="353" t="s">
        <v>494</v>
      </c>
      <c r="U492" s="353" t="s">
        <v>494</v>
      </c>
      <c r="V492" s="350" t="s">
        <v>189</v>
      </c>
      <c r="W492" s="353">
        <v>2.1192000000000002</v>
      </c>
      <c r="X492" s="353" t="s">
        <v>494</v>
      </c>
      <c r="Y492" s="353" t="s">
        <v>494</v>
      </c>
      <c r="Z492" s="353" t="s">
        <v>494</v>
      </c>
      <c r="AA492" s="353" t="s">
        <v>494</v>
      </c>
      <c r="AB492" s="353" t="s">
        <v>494</v>
      </c>
      <c r="AC492" s="353" t="s">
        <v>494</v>
      </c>
      <c r="AD492" s="353" t="s">
        <v>494</v>
      </c>
      <c r="AE492" s="353" t="s">
        <v>494</v>
      </c>
      <c r="AF492" s="353" t="s">
        <v>494</v>
      </c>
      <c r="AG492" s="350" t="s">
        <v>189</v>
      </c>
      <c r="AH492" s="353" t="s">
        <v>496</v>
      </c>
      <c r="AI492" s="353" t="s">
        <v>494</v>
      </c>
      <c r="AJ492" s="353" t="s">
        <v>494</v>
      </c>
    </row>
    <row r="493" spans="1:36" x14ac:dyDescent="0.25">
      <c r="A493" s="354" t="s">
        <v>658</v>
      </c>
      <c r="B493" s="353" t="s">
        <v>494</v>
      </c>
      <c r="C493" s="353" t="s">
        <v>494</v>
      </c>
      <c r="D493" s="353" t="s">
        <v>494</v>
      </c>
      <c r="E493" s="353" t="s">
        <v>494</v>
      </c>
      <c r="F493" s="353" t="s">
        <v>494</v>
      </c>
      <c r="G493" s="353" t="s">
        <v>494</v>
      </c>
      <c r="H493" s="353">
        <v>5967.5</v>
      </c>
      <c r="I493" s="353" t="s">
        <v>494</v>
      </c>
      <c r="J493" s="353" t="s">
        <v>494</v>
      </c>
      <c r="K493" s="353" t="s">
        <v>494</v>
      </c>
      <c r="L493" s="353" t="s">
        <v>494</v>
      </c>
      <c r="M493" s="353" t="s">
        <v>494</v>
      </c>
      <c r="N493" s="353" t="s">
        <v>494</v>
      </c>
      <c r="O493" s="353" t="s">
        <v>494</v>
      </c>
      <c r="P493" s="353" t="s">
        <v>494</v>
      </c>
      <c r="Q493" s="353" t="s">
        <v>494</v>
      </c>
      <c r="R493" s="353" t="s">
        <v>494</v>
      </c>
      <c r="S493" s="353" t="s">
        <v>494</v>
      </c>
      <c r="T493" s="353" t="s">
        <v>494</v>
      </c>
      <c r="U493" s="353" t="s">
        <v>494</v>
      </c>
      <c r="V493" s="350" t="s">
        <v>189</v>
      </c>
      <c r="W493" s="353" t="s">
        <v>494</v>
      </c>
      <c r="X493" s="353" t="s">
        <v>494</v>
      </c>
      <c r="Y493" s="353" t="s">
        <v>494</v>
      </c>
      <c r="Z493" s="353" t="s">
        <v>494</v>
      </c>
      <c r="AA493" s="353" t="s">
        <v>494</v>
      </c>
      <c r="AB493" s="353" t="s">
        <v>494</v>
      </c>
      <c r="AC493" s="353" t="s">
        <v>494</v>
      </c>
      <c r="AD493" s="353" t="s">
        <v>494</v>
      </c>
      <c r="AE493" s="353" t="s">
        <v>494</v>
      </c>
      <c r="AF493" s="353" t="s">
        <v>494</v>
      </c>
      <c r="AG493" s="350" t="s">
        <v>189</v>
      </c>
      <c r="AH493" s="353" t="s">
        <v>568</v>
      </c>
      <c r="AI493" s="353" t="s">
        <v>494</v>
      </c>
      <c r="AJ493" s="353" t="s">
        <v>494</v>
      </c>
    </row>
    <row r="494" spans="1:36" x14ac:dyDescent="0.25">
      <c r="A494" s="354" t="s">
        <v>659</v>
      </c>
      <c r="B494" s="353" t="s">
        <v>494</v>
      </c>
      <c r="C494" s="353" t="s">
        <v>494</v>
      </c>
      <c r="D494" s="353" t="s">
        <v>494</v>
      </c>
      <c r="E494" s="353" t="s">
        <v>494</v>
      </c>
      <c r="F494" s="353" t="s">
        <v>494</v>
      </c>
      <c r="G494" s="353" t="s">
        <v>494</v>
      </c>
      <c r="H494" s="353" t="s">
        <v>494</v>
      </c>
      <c r="I494" s="353" t="s">
        <v>494</v>
      </c>
      <c r="J494" s="353" t="s">
        <v>494</v>
      </c>
      <c r="K494" s="353" t="s">
        <v>494</v>
      </c>
      <c r="L494" s="353" t="s">
        <v>494</v>
      </c>
      <c r="M494" s="353" t="s">
        <v>494</v>
      </c>
      <c r="N494" s="353" t="s">
        <v>494</v>
      </c>
      <c r="O494" s="353" t="s">
        <v>494</v>
      </c>
      <c r="P494" s="353" t="s">
        <v>494</v>
      </c>
      <c r="Q494" s="353" t="s">
        <v>494</v>
      </c>
      <c r="R494" s="353" t="s">
        <v>494</v>
      </c>
      <c r="S494" s="353" t="s">
        <v>494</v>
      </c>
      <c r="T494" s="353" t="s">
        <v>494</v>
      </c>
      <c r="U494" s="353" t="s">
        <v>494</v>
      </c>
      <c r="V494" s="350" t="s">
        <v>189</v>
      </c>
      <c r="W494" s="353" t="s">
        <v>494</v>
      </c>
      <c r="X494" s="353" t="s">
        <v>494</v>
      </c>
      <c r="Y494" s="353" t="s">
        <v>494</v>
      </c>
      <c r="Z494" s="353" t="s">
        <v>494</v>
      </c>
      <c r="AA494" s="353" t="s">
        <v>494</v>
      </c>
      <c r="AB494" s="353" t="s">
        <v>494</v>
      </c>
      <c r="AC494" s="353" t="s">
        <v>494</v>
      </c>
      <c r="AD494" s="353" t="s">
        <v>494</v>
      </c>
      <c r="AE494" s="353" t="s">
        <v>494</v>
      </c>
      <c r="AF494" s="353" t="s">
        <v>494</v>
      </c>
      <c r="AG494" s="350" t="s">
        <v>189</v>
      </c>
      <c r="AH494" s="353" t="s">
        <v>496</v>
      </c>
      <c r="AI494" s="353" t="s">
        <v>494</v>
      </c>
      <c r="AJ494" s="353" t="s">
        <v>494</v>
      </c>
    </row>
    <row r="495" spans="1:36" x14ac:dyDescent="0.25">
      <c r="A495" s="356" t="s">
        <v>660</v>
      </c>
      <c r="B495" s="353" t="s">
        <v>494</v>
      </c>
      <c r="C495" s="353" t="s">
        <v>494</v>
      </c>
      <c r="D495" s="353" t="s">
        <v>494</v>
      </c>
      <c r="E495" s="353" t="s">
        <v>494</v>
      </c>
      <c r="F495" s="353" t="s">
        <v>494</v>
      </c>
      <c r="G495" s="353" t="s">
        <v>494</v>
      </c>
      <c r="H495" s="353" t="s">
        <v>494</v>
      </c>
      <c r="I495" s="353" t="s">
        <v>494</v>
      </c>
      <c r="J495" s="353" t="s">
        <v>494</v>
      </c>
      <c r="K495" s="353" t="s">
        <v>494</v>
      </c>
      <c r="L495" s="353" t="s">
        <v>494</v>
      </c>
      <c r="M495" s="353" t="s">
        <v>494</v>
      </c>
      <c r="N495" s="353" t="s">
        <v>494</v>
      </c>
      <c r="O495" s="353" t="s">
        <v>494</v>
      </c>
      <c r="P495" s="353" t="s">
        <v>494</v>
      </c>
      <c r="Q495" s="353" t="s">
        <v>494</v>
      </c>
      <c r="R495" s="353" t="s">
        <v>494</v>
      </c>
      <c r="S495" s="353" t="s">
        <v>494</v>
      </c>
      <c r="T495" s="353" t="s">
        <v>494</v>
      </c>
      <c r="U495" s="353" t="s">
        <v>494</v>
      </c>
      <c r="V495" s="350" t="s">
        <v>189</v>
      </c>
      <c r="W495" s="353" t="s">
        <v>494</v>
      </c>
      <c r="X495" s="353" t="s">
        <v>494</v>
      </c>
      <c r="Y495" s="353" t="s">
        <v>494</v>
      </c>
      <c r="Z495" s="353" t="s">
        <v>494</v>
      </c>
      <c r="AA495" s="353" t="s">
        <v>494</v>
      </c>
      <c r="AB495" s="353" t="s">
        <v>494</v>
      </c>
      <c r="AC495" s="353" t="s">
        <v>494</v>
      </c>
      <c r="AD495" s="353" t="s">
        <v>494</v>
      </c>
      <c r="AE495" s="353" t="s">
        <v>494</v>
      </c>
      <c r="AF495" s="353" t="s">
        <v>494</v>
      </c>
      <c r="AG495" s="350" t="s">
        <v>189</v>
      </c>
      <c r="AH495" s="353">
        <v>7230.4559117999988</v>
      </c>
      <c r="AI495" s="353" t="s">
        <v>494</v>
      </c>
      <c r="AJ495" s="353" t="s">
        <v>494</v>
      </c>
    </row>
    <row r="496" spans="1:36" x14ac:dyDescent="0.25">
      <c r="A496" s="358" t="s">
        <v>661</v>
      </c>
      <c r="B496" s="353" t="s">
        <v>494</v>
      </c>
      <c r="C496" s="353" t="s">
        <v>494</v>
      </c>
      <c r="D496" s="353" t="s">
        <v>494</v>
      </c>
      <c r="E496" s="353" t="s">
        <v>494</v>
      </c>
      <c r="F496" s="353" t="s">
        <v>494</v>
      </c>
      <c r="G496" s="353" t="s">
        <v>494</v>
      </c>
      <c r="H496" s="353" t="s">
        <v>494</v>
      </c>
      <c r="I496" s="353" t="s">
        <v>494</v>
      </c>
      <c r="J496" s="353" t="s">
        <v>494</v>
      </c>
      <c r="K496" s="353" t="s">
        <v>494</v>
      </c>
      <c r="L496" s="353" t="s">
        <v>494</v>
      </c>
      <c r="M496" s="353" t="s">
        <v>494</v>
      </c>
      <c r="N496" s="353" t="s">
        <v>494</v>
      </c>
      <c r="O496" s="353" t="s">
        <v>494</v>
      </c>
      <c r="P496" s="353" t="s">
        <v>494</v>
      </c>
      <c r="Q496" s="353" t="s">
        <v>494</v>
      </c>
      <c r="R496" s="353" t="s">
        <v>494</v>
      </c>
      <c r="S496" s="353" t="s">
        <v>494</v>
      </c>
      <c r="T496" s="353" t="s">
        <v>494</v>
      </c>
      <c r="U496" s="353" t="s">
        <v>494</v>
      </c>
      <c r="V496" s="350" t="s">
        <v>189</v>
      </c>
      <c r="W496" s="353">
        <v>0.31825058820208002</v>
      </c>
      <c r="X496" s="353" t="s">
        <v>494</v>
      </c>
      <c r="Y496" s="353" t="s">
        <v>494</v>
      </c>
      <c r="Z496" s="353" t="s">
        <v>494</v>
      </c>
      <c r="AA496" s="353" t="s">
        <v>494</v>
      </c>
      <c r="AB496" s="353" t="s">
        <v>494</v>
      </c>
      <c r="AC496" s="353" t="s">
        <v>494</v>
      </c>
      <c r="AD496" s="353" t="s">
        <v>494</v>
      </c>
      <c r="AE496" s="353" t="s">
        <v>494</v>
      </c>
      <c r="AF496" s="353" t="s">
        <v>494</v>
      </c>
      <c r="AG496" s="350" t="s">
        <v>189</v>
      </c>
      <c r="AH496" s="353" t="s">
        <v>494</v>
      </c>
      <c r="AI496" s="353">
        <v>366.18901378629999</v>
      </c>
      <c r="AJ496" s="353" t="s">
        <v>494</v>
      </c>
    </row>
    <row r="497" spans="1:36" x14ac:dyDescent="0.25">
      <c r="A497" s="354" t="s">
        <v>662</v>
      </c>
      <c r="B497" s="353" t="s">
        <v>494</v>
      </c>
      <c r="C497" s="353" t="s">
        <v>494</v>
      </c>
      <c r="D497" s="353" t="s">
        <v>494</v>
      </c>
      <c r="E497" s="353" t="s">
        <v>494</v>
      </c>
      <c r="F497" s="353" t="s">
        <v>494</v>
      </c>
      <c r="G497" s="353" t="s">
        <v>494</v>
      </c>
      <c r="H497" s="353" t="s">
        <v>494</v>
      </c>
      <c r="I497" s="353" t="s">
        <v>494</v>
      </c>
      <c r="J497" s="353" t="s">
        <v>494</v>
      </c>
      <c r="K497" s="353" t="s">
        <v>494</v>
      </c>
      <c r="L497" s="353" t="s">
        <v>494</v>
      </c>
      <c r="M497" s="353" t="s">
        <v>494</v>
      </c>
      <c r="N497" s="353" t="s">
        <v>494</v>
      </c>
      <c r="O497" s="353" t="s">
        <v>494</v>
      </c>
      <c r="P497" s="353" t="s">
        <v>494</v>
      </c>
      <c r="Q497" s="353" t="s">
        <v>494</v>
      </c>
      <c r="R497" s="353" t="s">
        <v>494</v>
      </c>
      <c r="S497" s="353" t="s">
        <v>494</v>
      </c>
      <c r="T497" s="353" t="s">
        <v>494</v>
      </c>
      <c r="U497" s="353" t="s">
        <v>494</v>
      </c>
      <c r="V497" s="350" t="s">
        <v>189</v>
      </c>
      <c r="W497" s="353">
        <v>0.31825058820208002</v>
      </c>
      <c r="X497" s="353" t="s">
        <v>494</v>
      </c>
      <c r="Y497" s="353" t="s">
        <v>494</v>
      </c>
      <c r="Z497" s="353" t="s">
        <v>494</v>
      </c>
      <c r="AA497" s="353" t="s">
        <v>494</v>
      </c>
      <c r="AB497" s="353" t="s">
        <v>494</v>
      </c>
      <c r="AC497" s="353" t="s">
        <v>494</v>
      </c>
      <c r="AD497" s="353" t="s">
        <v>494</v>
      </c>
      <c r="AE497" s="353" t="s">
        <v>494</v>
      </c>
      <c r="AF497" s="353" t="s">
        <v>494</v>
      </c>
      <c r="AG497" s="350" t="s">
        <v>189</v>
      </c>
      <c r="AH497" s="353" t="s">
        <v>494</v>
      </c>
      <c r="AI497" s="353">
        <v>366.18901378630005</v>
      </c>
      <c r="AJ497" s="353" t="s">
        <v>494</v>
      </c>
    </row>
    <row r="498" spans="1:36" x14ac:dyDescent="0.25">
      <c r="A498" s="354" t="s">
        <v>3429</v>
      </c>
      <c r="B498" s="350" t="s">
        <v>189</v>
      </c>
      <c r="C498" s="350" t="s">
        <v>189</v>
      </c>
      <c r="D498" s="350" t="s">
        <v>189</v>
      </c>
      <c r="E498" s="350" t="s">
        <v>189</v>
      </c>
      <c r="F498" s="350" t="s">
        <v>189</v>
      </c>
      <c r="G498" s="350" t="s">
        <v>189</v>
      </c>
      <c r="H498" s="350" t="s">
        <v>189</v>
      </c>
      <c r="I498" s="350" t="s">
        <v>189</v>
      </c>
      <c r="J498" s="350" t="s">
        <v>189</v>
      </c>
      <c r="K498" s="350" t="s">
        <v>189</v>
      </c>
      <c r="L498" s="350" t="s">
        <v>189</v>
      </c>
      <c r="M498" s="350" t="s">
        <v>189</v>
      </c>
      <c r="N498" s="350" t="s">
        <v>189</v>
      </c>
      <c r="O498" s="350" t="s">
        <v>189</v>
      </c>
      <c r="P498" s="350" t="s">
        <v>189</v>
      </c>
      <c r="Q498" s="350" t="s">
        <v>189</v>
      </c>
      <c r="R498" s="350" t="s">
        <v>189</v>
      </c>
      <c r="S498" s="350" t="s">
        <v>189</v>
      </c>
      <c r="T498" s="350" t="s">
        <v>189</v>
      </c>
      <c r="U498" s="350" t="s">
        <v>189</v>
      </c>
      <c r="V498" s="350" t="s">
        <v>189</v>
      </c>
      <c r="W498" s="353" t="s">
        <v>494</v>
      </c>
      <c r="X498" s="353" t="s">
        <v>494</v>
      </c>
      <c r="Y498" s="353" t="s">
        <v>494</v>
      </c>
      <c r="Z498" s="353" t="s">
        <v>494</v>
      </c>
      <c r="AA498" s="353" t="s">
        <v>494</v>
      </c>
      <c r="AB498" s="353" t="s">
        <v>494</v>
      </c>
      <c r="AC498" s="353" t="s">
        <v>494</v>
      </c>
      <c r="AD498" s="353" t="s">
        <v>494</v>
      </c>
      <c r="AE498" s="353" t="s">
        <v>494</v>
      </c>
      <c r="AF498" s="353" t="s">
        <v>494</v>
      </c>
      <c r="AG498" s="350" t="s">
        <v>189</v>
      </c>
      <c r="AH498" s="350" t="s">
        <v>189</v>
      </c>
      <c r="AI498" s="353" t="s">
        <v>521</v>
      </c>
      <c r="AJ498" s="350" t="s">
        <v>189</v>
      </c>
    </row>
    <row r="499" spans="1:36" x14ac:dyDescent="0.25">
      <c r="A499" s="354" t="s">
        <v>663</v>
      </c>
      <c r="B499" s="353" t="s">
        <v>494</v>
      </c>
      <c r="C499" s="353" t="s">
        <v>494</v>
      </c>
      <c r="D499" s="353" t="s">
        <v>494</v>
      </c>
      <c r="E499" s="353" t="s">
        <v>494</v>
      </c>
      <c r="F499" s="353" t="s">
        <v>494</v>
      </c>
      <c r="G499" s="353" t="s">
        <v>494</v>
      </c>
      <c r="H499" s="353" t="s">
        <v>494</v>
      </c>
      <c r="I499" s="353" t="s">
        <v>494</v>
      </c>
      <c r="J499" s="353" t="s">
        <v>494</v>
      </c>
      <c r="K499" s="353" t="s">
        <v>494</v>
      </c>
      <c r="L499" s="353" t="s">
        <v>494</v>
      </c>
      <c r="M499" s="353" t="s">
        <v>494</v>
      </c>
      <c r="N499" s="353" t="s">
        <v>494</v>
      </c>
      <c r="O499" s="353" t="s">
        <v>494</v>
      </c>
      <c r="P499" s="353" t="s">
        <v>494</v>
      </c>
      <c r="Q499" s="353" t="s">
        <v>494</v>
      </c>
      <c r="R499" s="353" t="s">
        <v>494</v>
      </c>
      <c r="S499" s="353" t="s">
        <v>494</v>
      </c>
      <c r="T499" s="353" t="s">
        <v>494</v>
      </c>
      <c r="U499" s="353" t="s">
        <v>494</v>
      </c>
      <c r="V499" s="350" t="s">
        <v>189</v>
      </c>
      <c r="W499" s="353" t="s">
        <v>494</v>
      </c>
      <c r="X499" s="353" t="s">
        <v>494</v>
      </c>
      <c r="Y499" s="353" t="s">
        <v>494</v>
      </c>
      <c r="Z499" s="353" t="s">
        <v>494</v>
      </c>
      <c r="AA499" s="353" t="s">
        <v>494</v>
      </c>
      <c r="AB499" s="353" t="s">
        <v>494</v>
      </c>
      <c r="AC499" s="353" t="s">
        <v>494</v>
      </c>
      <c r="AD499" s="353" t="s">
        <v>494</v>
      </c>
      <c r="AE499" s="353" t="s">
        <v>494</v>
      </c>
      <c r="AF499" s="353" t="s">
        <v>494</v>
      </c>
      <c r="AG499" s="350" t="s">
        <v>189</v>
      </c>
      <c r="AH499" s="353" t="s">
        <v>494</v>
      </c>
      <c r="AI499" s="353" t="s">
        <v>494</v>
      </c>
      <c r="AJ499" s="353" t="s">
        <v>494</v>
      </c>
    </row>
    <row r="500" spans="1:36" x14ac:dyDescent="0.25">
      <c r="A500" s="262" t="s">
        <v>712</v>
      </c>
      <c r="B500" s="353" t="s">
        <v>528</v>
      </c>
      <c r="C500" s="353" t="s">
        <v>494</v>
      </c>
      <c r="D500" s="353" t="s">
        <v>494</v>
      </c>
      <c r="E500" s="353" t="s">
        <v>494</v>
      </c>
      <c r="F500" s="353" t="s">
        <v>494</v>
      </c>
      <c r="G500" s="353" t="s">
        <v>494</v>
      </c>
      <c r="H500" s="353" t="s">
        <v>494</v>
      </c>
      <c r="I500" s="353" t="s">
        <v>494</v>
      </c>
      <c r="J500" s="353" t="s">
        <v>494</v>
      </c>
      <c r="K500" s="353" t="s">
        <v>494</v>
      </c>
      <c r="L500" s="353" t="s">
        <v>494</v>
      </c>
      <c r="M500" s="353" t="s">
        <v>494</v>
      </c>
      <c r="N500" s="353" t="s">
        <v>494</v>
      </c>
      <c r="O500" s="353" t="s">
        <v>494</v>
      </c>
      <c r="P500" s="353" t="s">
        <v>494</v>
      </c>
      <c r="Q500" s="353" t="s">
        <v>494</v>
      </c>
      <c r="R500" s="353" t="s">
        <v>494</v>
      </c>
      <c r="S500" s="353" t="s">
        <v>494</v>
      </c>
      <c r="T500" s="353" t="s">
        <v>494</v>
      </c>
      <c r="U500" s="353" t="s">
        <v>494</v>
      </c>
      <c r="V500" s="350" t="s">
        <v>189</v>
      </c>
      <c r="W500" s="353" t="s">
        <v>528</v>
      </c>
      <c r="X500" s="353" t="s">
        <v>528</v>
      </c>
      <c r="Y500" s="353" t="s">
        <v>528</v>
      </c>
      <c r="Z500" s="353" t="s">
        <v>494</v>
      </c>
      <c r="AA500" s="353" t="s">
        <v>528</v>
      </c>
      <c r="AB500" s="353" t="s">
        <v>494</v>
      </c>
      <c r="AC500" s="353" t="s">
        <v>494</v>
      </c>
      <c r="AD500" s="353" t="s">
        <v>494</v>
      </c>
      <c r="AE500" s="353" t="s">
        <v>494</v>
      </c>
      <c r="AF500" s="353" t="s">
        <v>494</v>
      </c>
      <c r="AG500" s="350" t="s">
        <v>189</v>
      </c>
      <c r="AH500" s="353" t="s">
        <v>494</v>
      </c>
      <c r="AI500" s="353" t="s">
        <v>528</v>
      </c>
      <c r="AJ500" s="353" t="s">
        <v>528</v>
      </c>
    </row>
    <row r="501" spans="1:36" x14ac:dyDescent="0.25">
      <c r="A501" s="359" t="s">
        <v>713</v>
      </c>
      <c r="B501" s="353" t="s">
        <v>528</v>
      </c>
      <c r="C501" s="353" t="s">
        <v>494</v>
      </c>
      <c r="D501" s="353" t="s">
        <v>494</v>
      </c>
      <c r="E501" s="353" t="s">
        <v>494</v>
      </c>
      <c r="F501" s="353" t="s">
        <v>494</v>
      </c>
      <c r="G501" s="353" t="s">
        <v>494</v>
      </c>
      <c r="H501" s="353" t="s">
        <v>494</v>
      </c>
      <c r="I501" s="353" t="s">
        <v>494</v>
      </c>
      <c r="J501" s="353" t="s">
        <v>494</v>
      </c>
      <c r="K501" s="353" t="s">
        <v>494</v>
      </c>
      <c r="L501" s="353" t="s">
        <v>494</v>
      </c>
      <c r="M501" s="353" t="s">
        <v>494</v>
      </c>
      <c r="N501" s="353" t="s">
        <v>494</v>
      </c>
      <c r="O501" s="353" t="s">
        <v>494</v>
      </c>
      <c r="P501" s="353" t="s">
        <v>494</v>
      </c>
      <c r="Q501" s="353" t="s">
        <v>494</v>
      </c>
      <c r="R501" s="353" t="s">
        <v>494</v>
      </c>
      <c r="S501" s="353" t="s">
        <v>494</v>
      </c>
      <c r="T501" s="353" t="s">
        <v>494</v>
      </c>
      <c r="U501" s="353" t="s">
        <v>494</v>
      </c>
      <c r="V501" s="350" t="s">
        <v>189</v>
      </c>
      <c r="W501" s="353" t="s">
        <v>528</v>
      </c>
      <c r="X501" s="353" t="s">
        <v>528</v>
      </c>
      <c r="Y501" s="353" t="s">
        <v>528</v>
      </c>
      <c r="Z501" s="353" t="s">
        <v>494</v>
      </c>
      <c r="AA501" s="353" t="s">
        <v>528</v>
      </c>
      <c r="AB501" s="353" t="s">
        <v>494</v>
      </c>
      <c r="AC501" s="353" t="s">
        <v>494</v>
      </c>
      <c r="AD501" s="353" t="s">
        <v>494</v>
      </c>
      <c r="AE501" s="353" t="s">
        <v>494</v>
      </c>
      <c r="AF501" s="353" t="s">
        <v>494</v>
      </c>
      <c r="AG501" s="350" t="s">
        <v>189</v>
      </c>
      <c r="AH501" s="353" t="s">
        <v>494</v>
      </c>
      <c r="AI501" s="353" t="s">
        <v>528</v>
      </c>
      <c r="AJ501" s="353" t="s">
        <v>528</v>
      </c>
    </row>
    <row r="502" spans="1:36" ht="15.75" customHeight="1" thickBot="1" x14ac:dyDescent="0.3">
      <c r="A502" s="263" t="s">
        <v>714</v>
      </c>
      <c r="B502" s="440" t="s">
        <v>701</v>
      </c>
      <c r="C502" s="442"/>
      <c r="D502" s="442"/>
      <c r="E502" s="442"/>
      <c r="F502" s="442"/>
      <c r="G502" s="442"/>
      <c r="H502" s="442"/>
      <c r="I502" s="442"/>
      <c r="J502" s="442"/>
      <c r="K502" s="442"/>
      <c r="L502" s="442"/>
      <c r="M502" s="442"/>
      <c r="N502" s="442"/>
      <c r="O502" s="442"/>
      <c r="P502" s="442"/>
      <c r="Q502" s="442"/>
      <c r="R502" s="442"/>
      <c r="S502" s="442"/>
      <c r="T502" s="442"/>
      <c r="U502" s="442"/>
      <c r="V502" s="442"/>
      <c r="W502" s="442"/>
      <c r="X502" s="442"/>
      <c r="Y502" s="442"/>
      <c r="Z502" s="442"/>
      <c r="AA502" s="442"/>
      <c r="AB502" s="442"/>
      <c r="AC502" s="442"/>
      <c r="AD502" s="442"/>
      <c r="AE502" s="442"/>
      <c r="AF502" s="442"/>
      <c r="AG502" s="442"/>
      <c r="AH502" s="442"/>
      <c r="AI502" s="442"/>
      <c r="AJ502" s="443"/>
    </row>
    <row r="503" spans="1:36" ht="15.75" thickTop="1" x14ac:dyDescent="0.25">
      <c r="A503" s="261" t="s">
        <v>715</v>
      </c>
      <c r="B503" s="353">
        <v>20255.88328182527</v>
      </c>
      <c r="C503" s="353">
        <v>268.79848497951895</v>
      </c>
      <c r="D503" s="353">
        <v>0.18223611604834999</v>
      </c>
      <c r="E503" s="353" t="s">
        <v>799</v>
      </c>
      <c r="F503" s="353">
        <v>9031.5481900000013</v>
      </c>
      <c r="G503" s="353" t="s">
        <v>519</v>
      </c>
      <c r="H503" s="353">
        <v>80121.705387429378</v>
      </c>
      <c r="I503" s="353" t="s">
        <v>519</v>
      </c>
      <c r="J503" s="353">
        <v>9356.369772</v>
      </c>
      <c r="K503" s="353" t="s">
        <v>519</v>
      </c>
      <c r="L503" s="353" t="s">
        <v>799</v>
      </c>
      <c r="M503" s="353" t="s">
        <v>519</v>
      </c>
      <c r="N503" s="353" t="s">
        <v>519</v>
      </c>
      <c r="O503" s="353" t="s">
        <v>519</v>
      </c>
      <c r="P503" s="353" t="s">
        <v>519</v>
      </c>
      <c r="Q503" s="353">
        <v>1154.9313</v>
      </c>
      <c r="R503" s="353" t="s">
        <v>519</v>
      </c>
      <c r="S503" s="353" t="s">
        <v>799</v>
      </c>
      <c r="T503" s="353" t="s">
        <v>799</v>
      </c>
      <c r="U503" s="353">
        <v>1.6984600970478201</v>
      </c>
      <c r="V503" s="350" t="s">
        <v>189</v>
      </c>
      <c r="W503" s="353">
        <v>3991.1111453887138</v>
      </c>
      <c r="X503" s="353">
        <v>2523.6563378072069</v>
      </c>
      <c r="Y503" s="353">
        <v>79.714328892219598</v>
      </c>
      <c r="Z503" s="353" t="s">
        <v>519</v>
      </c>
      <c r="AA503" s="353">
        <v>118.23495360473002</v>
      </c>
      <c r="AB503" s="353" t="s">
        <v>519</v>
      </c>
      <c r="AC503" s="353" t="s">
        <v>799</v>
      </c>
      <c r="AD503" s="353" t="s">
        <v>519</v>
      </c>
      <c r="AE503" s="353" t="s">
        <v>519</v>
      </c>
      <c r="AF503" s="353">
        <v>3.5894286775586801</v>
      </c>
      <c r="AG503" s="350" t="s">
        <v>189</v>
      </c>
      <c r="AH503" s="353">
        <v>7230.4559117999988</v>
      </c>
      <c r="AI503" s="353">
        <v>11803.800907153873</v>
      </c>
      <c r="AJ503" s="353">
        <v>490.71858044203998</v>
      </c>
    </row>
    <row r="504" spans="1:36" x14ac:dyDescent="0.25">
      <c r="A504" s="360" t="s">
        <v>716</v>
      </c>
      <c r="B504" s="353">
        <v>20040.325102040817</v>
      </c>
      <c r="C504" s="353" t="s">
        <v>494</v>
      </c>
      <c r="D504" s="353" t="s">
        <v>494</v>
      </c>
      <c r="E504" s="353" t="s">
        <v>494</v>
      </c>
      <c r="F504" s="353" t="s">
        <v>494</v>
      </c>
      <c r="G504" s="353" t="s">
        <v>494</v>
      </c>
      <c r="H504" s="353" t="s">
        <v>494</v>
      </c>
      <c r="I504" s="353" t="s">
        <v>494</v>
      </c>
      <c r="J504" s="353" t="s">
        <v>494</v>
      </c>
      <c r="K504" s="353" t="s">
        <v>494</v>
      </c>
      <c r="L504" s="353" t="s">
        <v>494</v>
      </c>
      <c r="M504" s="353" t="s">
        <v>494</v>
      </c>
      <c r="N504" s="353" t="s">
        <v>494</v>
      </c>
      <c r="O504" s="353" t="s">
        <v>494</v>
      </c>
      <c r="P504" s="353" t="s">
        <v>494</v>
      </c>
      <c r="Q504" s="353" t="s">
        <v>494</v>
      </c>
      <c r="R504" s="353" t="s">
        <v>494</v>
      </c>
      <c r="S504" s="353" t="s">
        <v>494</v>
      </c>
      <c r="T504" s="353" t="s">
        <v>494</v>
      </c>
      <c r="U504" s="353" t="s">
        <v>494</v>
      </c>
      <c r="V504" s="350" t="s">
        <v>189</v>
      </c>
      <c r="W504" s="353" t="s">
        <v>494</v>
      </c>
      <c r="X504" s="353" t="s">
        <v>494</v>
      </c>
      <c r="Y504" s="353" t="s">
        <v>494</v>
      </c>
      <c r="Z504" s="353" t="s">
        <v>494</v>
      </c>
      <c r="AA504" s="353" t="s">
        <v>494</v>
      </c>
      <c r="AB504" s="353" t="s">
        <v>494</v>
      </c>
      <c r="AC504" s="353" t="s">
        <v>494</v>
      </c>
      <c r="AD504" s="353" t="s">
        <v>494</v>
      </c>
      <c r="AE504" s="353" t="s">
        <v>494</v>
      </c>
      <c r="AF504" s="353" t="s">
        <v>494</v>
      </c>
      <c r="AG504" s="350" t="s">
        <v>189</v>
      </c>
      <c r="AH504" s="353" t="s">
        <v>494</v>
      </c>
      <c r="AI504" s="353" t="s">
        <v>494</v>
      </c>
      <c r="AJ504" s="353" t="s">
        <v>494</v>
      </c>
    </row>
    <row r="505" spans="1:36" x14ac:dyDescent="0.25">
      <c r="A505" s="361" t="s">
        <v>717</v>
      </c>
      <c r="B505" s="353" t="s">
        <v>494</v>
      </c>
      <c r="C505" s="353" t="s">
        <v>494</v>
      </c>
      <c r="D505" s="353" t="s">
        <v>494</v>
      </c>
      <c r="E505" s="353" t="s">
        <v>494</v>
      </c>
      <c r="F505" s="353" t="s">
        <v>494</v>
      </c>
      <c r="G505" s="353" t="s">
        <v>494</v>
      </c>
      <c r="H505" s="353" t="s">
        <v>556</v>
      </c>
      <c r="I505" s="353" t="s">
        <v>494</v>
      </c>
      <c r="J505" s="353" t="s">
        <v>494</v>
      </c>
      <c r="K505" s="353" t="s">
        <v>494</v>
      </c>
      <c r="L505" s="353" t="s">
        <v>494</v>
      </c>
      <c r="M505" s="353" t="s">
        <v>494</v>
      </c>
      <c r="N505" s="353" t="s">
        <v>494</v>
      </c>
      <c r="O505" s="353" t="s">
        <v>494</v>
      </c>
      <c r="P505" s="353" t="s">
        <v>494</v>
      </c>
      <c r="Q505" s="353" t="s">
        <v>494</v>
      </c>
      <c r="R505" s="353" t="s">
        <v>494</v>
      </c>
      <c r="S505" s="353" t="s">
        <v>494</v>
      </c>
      <c r="T505" s="353" t="s">
        <v>494</v>
      </c>
      <c r="U505" s="353" t="s">
        <v>494</v>
      </c>
      <c r="V505" s="350" t="s">
        <v>189</v>
      </c>
      <c r="W505" s="353">
        <v>2889.5115971792543</v>
      </c>
      <c r="X505" s="353">
        <v>550.24258844079532</v>
      </c>
      <c r="Y505" s="353" t="s">
        <v>494</v>
      </c>
      <c r="Z505" s="353" t="s">
        <v>494</v>
      </c>
      <c r="AA505" s="353" t="s">
        <v>494</v>
      </c>
      <c r="AB505" s="353" t="s">
        <v>494</v>
      </c>
      <c r="AC505" s="353" t="s">
        <v>494</v>
      </c>
      <c r="AD505" s="353" t="s">
        <v>494</v>
      </c>
      <c r="AE505" s="353" t="s">
        <v>494</v>
      </c>
      <c r="AF505" s="353" t="s">
        <v>494</v>
      </c>
      <c r="AG505" s="350" t="s">
        <v>189</v>
      </c>
      <c r="AH505" s="353" t="s">
        <v>494</v>
      </c>
      <c r="AI505" s="353">
        <v>2745.5373405254281</v>
      </c>
      <c r="AJ505" s="353" t="s">
        <v>494</v>
      </c>
    </row>
    <row r="506" spans="1:36" x14ac:dyDescent="0.25">
      <c r="A506" s="362" t="s">
        <v>718</v>
      </c>
      <c r="B506" s="353">
        <v>202.53417978445603</v>
      </c>
      <c r="C506" s="353">
        <v>0.60795747951898005</v>
      </c>
      <c r="D506" s="353">
        <v>0.18223611604834999</v>
      </c>
      <c r="E506" s="353" t="s">
        <v>3134</v>
      </c>
      <c r="F506" s="353" t="s">
        <v>3134</v>
      </c>
      <c r="G506" s="353" t="s">
        <v>593</v>
      </c>
      <c r="H506" s="353">
        <v>1.359442937847E-2</v>
      </c>
      <c r="I506" s="353" t="s">
        <v>593</v>
      </c>
      <c r="J506" s="353" t="s">
        <v>3134</v>
      </c>
      <c r="K506" s="353" t="s">
        <v>593</v>
      </c>
      <c r="L506" s="353" t="s">
        <v>3134</v>
      </c>
      <c r="M506" s="353" t="s">
        <v>593</v>
      </c>
      <c r="N506" s="353" t="s">
        <v>593</v>
      </c>
      <c r="O506" s="353" t="s">
        <v>593</v>
      </c>
      <c r="P506" s="353" t="s">
        <v>593</v>
      </c>
      <c r="Q506" s="353" t="s">
        <v>3134</v>
      </c>
      <c r="R506" s="353" t="s">
        <v>593</v>
      </c>
      <c r="S506" s="353" t="s">
        <v>3134</v>
      </c>
      <c r="T506" s="353" t="s">
        <v>3134</v>
      </c>
      <c r="U506" s="353">
        <v>1.6984600970478201</v>
      </c>
      <c r="V506" s="350" t="s">
        <v>189</v>
      </c>
      <c r="W506" s="353">
        <v>1083.5867883626456</v>
      </c>
      <c r="X506" s="353">
        <v>1973.4137493664118</v>
      </c>
      <c r="Y506" s="353">
        <v>79.714328892219598</v>
      </c>
      <c r="Z506" s="353" t="s">
        <v>593</v>
      </c>
      <c r="AA506" s="353">
        <v>118.23495360473002</v>
      </c>
      <c r="AB506" s="353" t="s">
        <v>593</v>
      </c>
      <c r="AC506" s="353" t="s">
        <v>3134</v>
      </c>
      <c r="AD506" s="353" t="s">
        <v>593</v>
      </c>
      <c r="AE506" s="353" t="s">
        <v>593</v>
      </c>
      <c r="AF506" s="353">
        <v>3.5894286775586801</v>
      </c>
      <c r="AG506" s="350" t="s">
        <v>189</v>
      </c>
      <c r="AH506" s="353" t="s">
        <v>593</v>
      </c>
      <c r="AI506" s="353">
        <v>709.15405230078557</v>
      </c>
      <c r="AJ506" s="353">
        <v>490.71858044210865</v>
      </c>
    </row>
    <row r="507" spans="1:36" x14ac:dyDescent="0.25">
      <c r="A507" s="363" t="s">
        <v>3430</v>
      </c>
      <c r="B507" s="353">
        <v>13.023999999999999</v>
      </c>
      <c r="C507" s="353">
        <v>268.19052749999997</v>
      </c>
      <c r="D507" s="353" t="s">
        <v>494</v>
      </c>
      <c r="E507" s="353" t="s">
        <v>494</v>
      </c>
      <c r="F507" s="353">
        <v>9031.5481900000013</v>
      </c>
      <c r="G507" s="353" t="s">
        <v>494</v>
      </c>
      <c r="H507" s="353">
        <v>80121.691793000005</v>
      </c>
      <c r="I507" s="353" t="s">
        <v>494</v>
      </c>
      <c r="J507" s="353">
        <v>9356.369772</v>
      </c>
      <c r="K507" s="353" t="s">
        <v>494</v>
      </c>
      <c r="L507" s="353" t="s">
        <v>494</v>
      </c>
      <c r="M507" s="353" t="s">
        <v>494</v>
      </c>
      <c r="N507" s="353" t="s">
        <v>494</v>
      </c>
      <c r="O507" s="353" t="s">
        <v>494</v>
      </c>
      <c r="P507" s="353" t="s">
        <v>494</v>
      </c>
      <c r="Q507" s="353">
        <v>1154.9313</v>
      </c>
      <c r="R507" s="353" t="s">
        <v>494</v>
      </c>
      <c r="S507" s="353" t="s">
        <v>494</v>
      </c>
      <c r="T507" s="353" t="s">
        <v>494</v>
      </c>
      <c r="U507" s="353" t="s">
        <v>494</v>
      </c>
      <c r="V507" s="350" t="s">
        <v>189</v>
      </c>
      <c r="W507" s="353">
        <v>15.660888</v>
      </c>
      <c r="X507" s="353" t="s">
        <v>494</v>
      </c>
      <c r="Y507" s="353" t="s">
        <v>494</v>
      </c>
      <c r="Z507" s="353" t="s">
        <v>494</v>
      </c>
      <c r="AA507" s="353" t="s">
        <v>494</v>
      </c>
      <c r="AB507" s="353" t="s">
        <v>494</v>
      </c>
      <c r="AC507" s="353" t="s">
        <v>494</v>
      </c>
      <c r="AD507" s="353" t="s">
        <v>494</v>
      </c>
      <c r="AE507" s="353" t="s">
        <v>494</v>
      </c>
      <c r="AF507" s="353" t="s">
        <v>494</v>
      </c>
      <c r="AG507" s="350" t="s">
        <v>189</v>
      </c>
      <c r="AH507" s="353">
        <v>7230.4559117999988</v>
      </c>
      <c r="AI507" s="353" t="s">
        <v>494</v>
      </c>
      <c r="AJ507" s="353" t="s">
        <v>494</v>
      </c>
    </row>
    <row r="508" spans="1:36" x14ac:dyDescent="0.25">
      <c r="A508" s="362" t="s">
        <v>719</v>
      </c>
      <c r="B508" s="353" t="s">
        <v>494</v>
      </c>
      <c r="C508" s="353" t="s">
        <v>494</v>
      </c>
      <c r="D508" s="353" t="s">
        <v>494</v>
      </c>
      <c r="E508" s="353" t="s">
        <v>494</v>
      </c>
      <c r="F508" s="353" t="s">
        <v>494</v>
      </c>
      <c r="G508" s="353" t="s">
        <v>494</v>
      </c>
      <c r="H508" s="353" t="s">
        <v>494</v>
      </c>
      <c r="I508" s="353" t="s">
        <v>494</v>
      </c>
      <c r="J508" s="353" t="s">
        <v>494</v>
      </c>
      <c r="K508" s="353" t="s">
        <v>494</v>
      </c>
      <c r="L508" s="353" t="s">
        <v>494</v>
      </c>
      <c r="M508" s="353" t="s">
        <v>494</v>
      </c>
      <c r="N508" s="353" t="s">
        <v>494</v>
      </c>
      <c r="O508" s="353" t="s">
        <v>494</v>
      </c>
      <c r="P508" s="353" t="s">
        <v>494</v>
      </c>
      <c r="Q508" s="353" t="s">
        <v>494</v>
      </c>
      <c r="R508" s="353" t="s">
        <v>494</v>
      </c>
      <c r="S508" s="353" t="s">
        <v>494</v>
      </c>
      <c r="T508" s="353" t="s">
        <v>494</v>
      </c>
      <c r="U508" s="353" t="s">
        <v>494</v>
      </c>
      <c r="V508" s="350" t="s">
        <v>189</v>
      </c>
      <c r="W508" s="353">
        <v>2.3518718468133701</v>
      </c>
      <c r="X508" s="353" t="s">
        <v>494</v>
      </c>
      <c r="Y508" s="353" t="s">
        <v>494</v>
      </c>
      <c r="Z508" s="353" t="s">
        <v>494</v>
      </c>
      <c r="AA508" s="353" t="s">
        <v>494</v>
      </c>
      <c r="AB508" s="353" t="s">
        <v>494</v>
      </c>
      <c r="AC508" s="353" t="s">
        <v>494</v>
      </c>
      <c r="AD508" s="353" t="s">
        <v>494</v>
      </c>
      <c r="AE508" s="353" t="s">
        <v>494</v>
      </c>
      <c r="AF508" s="353" t="s">
        <v>494</v>
      </c>
      <c r="AG508" s="350" t="s">
        <v>189</v>
      </c>
      <c r="AH508" s="353" t="s">
        <v>494</v>
      </c>
      <c r="AI508" s="353">
        <v>8349.1095143276398</v>
      </c>
      <c r="AJ508" s="353" t="s">
        <v>494</v>
      </c>
    </row>
    <row r="509" spans="1:36" x14ac:dyDescent="0.25">
      <c r="A509" s="364" t="s">
        <v>720</v>
      </c>
      <c r="B509" s="353" t="s">
        <v>528</v>
      </c>
      <c r="C509" s="353" t="s">
        <v>494</v>
      </c>
      <c r="D509" s="353" t="s">
        <v>494</v>
      </c>
      <c r="E509" s="353" t="s">
        <v>494</v>
      </c>
      <c r="F509" s="353" t="s">
        <v>494</v>
      </c>
      <c r="G509" s="353" t="s">
        <v>494</v>
      </c>
      <c r="H509" s="353" t="s">
        <v>494</v>
      </c>
      <c r="I509" s="353" t="s">
        <v>494</v>
      </c>
      <c r="J509" s="353" t="s">
        <v>494</v>
      </c>
      <c r="K509" s="353" t="s">
        <v>494</v>
      </c>
      <c r="L509" s="353" t="s">
        <v>494</v>
      </c>
      <c r="M509" s="353" t="s">
        <v>494</v>
      </c>
      <c r="N509" s="353" t="s">
        <v>494</v>
      </c>
      <c r="O509" s="353" t="s">
        <v>494</v>
      </c>
      <c r="P509" s="353" t="s">
        <v>494</v>
      </c>
      <c r="Q509" s="353" t="s">
        <v>494</v>
      </c>
      <c r="R509" s="353" t="s">
        <v>494</v>
      </c>
      <c r="S509" s="353" t="s">
        <v>494</v>
      </c>
      <c r="T509" s="353" t="s">
        <v>494</v>
      </c>
      <c r="U509" s="353" t="s">
        <v>494</v>
      </c>
      <c r="V509" s="350" t="s">
        <v>189</v>
      </c>
      <c r="W509" s="353" t="s">
        <v>528</v>
      </c>
      <c r="X509" s="353" t="s">
        <v>528</v>
      </c>
      <c r="Y509" s="353" t="s">
        <v>528</v>
      </c>
      <c r="Z509" s="353" t="s">
        <v>494</v>
      </c>
      <c r="AA509" s="353" t="s">
        <v>528</v>
      </c>
      <c r="AB509" s="353" t="s">
        <v>494</v>
      </c>
      <c r="AC509" s="353" t="s">
        <v>494</v>
      </c>
      <c r="AD509" s="353" t="s">
        <v>494</v>
      </c>
      <c r="AE509" s="353" t="s">
        <v>494</v>
      </c>
      <c r="AF509" s="353" t="s">
        <v>494</v>
      </c>
      <c r="AG509" s="350" t="s">
        <v>189</v>
      </c>
      <c r="AH509" s="353" t="s">
        <v>494</v>
      </c>
      <c r="AI509" s="353" t="s">
        <v>528</v>
      </c>
      <c r="AJ509" s="353" t="s">
        <v>528</v>
      </c>
    </row>
    <row r="511" spans="1:36" ht="30" x14ac:dyDescent="0.25">
      <c r="A511" s="58" t="s">
        <v>721</v>
      </c>
      <c r="B511" s="70">
        <f>B473</f>
        <v>1368.6407622854913</v>
      </c>
      <c r="C511" s="70">
        <f t="shared" ref="C511:AJ511" si="10">C473</f>
        <v>398.21997774743551</v>
      </c>
      <c r="D511" s="70">
        <f t="shared" si="10"/>
        <v>1.9808273483516601</v>
      </c>
      <c r="E511" s="70" t="str">
        <f t="shared" si="10"/>
        <v>NO,NE,IE,NA</v>
      </c>
      <c r="F511" s="70">
        <f t="shared" si="10"/>
        <v>2580.4423400000001</v>
      </c>
      <c r="G511" s="70" t="str">
        <f t="shared" si="10"/>
        <v>NO,NE,NA</v>
      </c>
      <c r="H511" s="70">
        <f t="shared" si="10"/>
        <v>56029.164606593971</v>
      </c>
      <c r="I511" s="70" t="str">
        <f t="shared" si="10"/>
        <v>NO,NE,NA</v>
      </c>
      <c r="J511" s="70">
        <f t="shared" si="10"/>
        <v>2093.1475999999998</v>
      </c>
      <c r="K511" s="70" t="str">
        <f t="shared" si="10"/>
        <v>NO,NE,NA</v>
      </c>
      <c r="L511" s="70" t="str">
        <f t="shared" si="10"/>
        <v>NO,NE,IE,NA</v>
      </c>
      <c r="M511" s="70" t="str">
        <f t="shared" si="10"/>
        <v>NO,NE,NA</v>
      </c>
      <c r="N511" s="70" t="str">
        <f t="shared" si="10"/>
        <v>NO,NE,NA</v>
      </c>
      <c r="O511" s="70" t="str">
        <f t="shared" si="10"/>
        <v>NO,NE,NA</v>
      </c>
      <c r="P511" s="70" t="str">
        <f t="shared" si="10"/>
        <v>NO,NE,NA</v>
      </c>
      <c r="Q511" s="70">
        <f t="shared" si="10"/>
        <v>117.73</v>
      </c>
      <c r="R511" s="70" t="str">
        <f t="shared" si="10"/>
        <v>NO,NE,NA</v>
      </c>
      <c r="S511" s="70" t="str">
        <f t="shared" si="10"/>
        <v>NO,NE,IE,NA</v>
      </c>
      <c r="T511" s="70" t="str">
        <f t="shared" si="10"/>
        <v>NO,NE,IE,NA</v>
      </c>
      <c r="U511" s="70">
        <f t="shared" si="10"/>
        <v>1.6984600970478201</v>
      </c>
      <c r="V511" s="70" t="str">
        <f t="shared" si="10"/>
        <v/>
      </c>
      <c r="W511" s="70">
        <f t="shared" si="10"/>
        <v>540.06916717032652</v>
      </c>
      <c r="X511" s="70">
        <f t="shared" si="10"/>
        <v>206.85707686944318</v>
      </c>
      <c r="Y511" s="70">
        <f t="shared" si="10"/>
        <v>9.0276703162196608</v>
      </c>
      <c r="Z511" s="70" t="str">
        <f t="shared" si="10"/>
        <v>NO,NE,NA</v>
      </c>
      <c r="AA511" s="70">
        <f t="shared" si="10"/>
        <v>11.47912170919709</v>
      </c>
      <c r="AB511" s="70" t="str">
        <f t="shared" si="10"/>
        <v>NO,NE,NA</v>
      </c>
      <c r="AC511" s="70" t="str">
        <f t="shared" si="10"/>
        <v>NO,NE,IE,NA</v>
      </c>
      <c r="AD511" s="70" t="str">
        <f t="shared" si="10"/>
        <v>NO,NE,NA</v>
      </c>
      <c r="AE511" s="70" t="str">
        <f t="shared" si="10"/>
        <v>NO,NE,NA</v>
      </c>
      <c r="AF511" s="70">
        <f t="shared" si="10"/>
        <v>3.5894286775586801</v>
      </c>
      <c r="AG511" s="70" t="str">
        <f t="shared" si="10"/>
        <v/>
      </c>
      <c r="AH511" s="70">
        <f t="shared" si="10"/>
        <v>7230.4559117999988</v>
      </c>
      <c r="AI511" s="70">
        <f t="shared" si="10"/>
        <v>517.71056610324001</v>
      </c>
      <c r="AJ511" s="70">
        <f t="shared" si="10"/>
        <v>28.530150025699999</v>
      </c>
    </row>
    <row r="514" spans="1:7" ht="15.75" x14ac:dyDescent="0.25">
      <c r="A514" s="251" t="s">
        <v>722</v>
      </c>
      <c r="B514" s="236"/>
      <c r="C514" s="236"/>
      <c r="D514" s="236"/>
      <c r="E514" s="236"/>
      <c r="F514" s="237"/>
      <c r="G514" s="57" t="s">
        <v>478</v>
      </c>
    </row>
    <row r="515" spans="1:7" ht="15.75" x14ac:dyDescent="0.25">
      <c r="A515" s="251" t="s">
        <v>723</v>
      </c>
      <c r="B515" s="236"/>
      <c r="C515" s="236"/>
      <c r="D515" s="236"/>
      <c r="E515" s="236"/>
      <c r="F515" s="237"/>
      <c r="G515" s="57" t="s">
        <v>3427</v>
      </c>
    </row>
    <row r="516" spans="1:7" x14ac:dyDescent="0.25">
      <c r="A516" s="236"/>
      <c r="B516" s="236"/>
      <c r="C516" s="236"/>
      <c r="D516" s="236"/>
      <c r="E516" s="236"/>
      <c r="F516" s="237"/>
      <c r="G516" s="57" t="s">
        <v>479</v>
      </c>
    </row>
    <row r="517" spans="1:7" x14ac:dyDescent="0.25">
      <c r="A517" s="236"/>
      <c r="B517" s="236"/>
      <c r="C517" s="236"/>
      <c r="D517" s="236"/>
      <c r="E517" s="236"/>
      <c r="F517" s="250"/>
      <c r="G517" s="236"/>
    </row>
    <row r="518" spans="1:7" x14ac:dyDescent="0.25">
      <c r="A518" s="330" t="s">
        <v>724</v>
      </c>
      <c r="B518" s="331" t="s">
        <v>481</v>
      </c>
      <c r="C518" s="245" t="s">
        <v>482</v>
      </c>
      <c r="D518" s="245" t="s">
        <v>483</v>
      </c>
      <c r="E518" s="245" t="s">
        <v>619</v>
      </c>
      <c r="F518" s="264" t="s">
        <v>485</v>
      </c>
      <c r="G518" s="264" t="s">
        <v>486</v>
      </c>
    </row>
    <row r="519" spans="1:7" ht="15.75" thickBot="1" x14ac:dyDescent="0.3">
      <c r="A519" s="332" t="s">
        <v>725</v>
      </c>
      <c r="B519" s="432" t="s">
        <v>488</v>
      </c>
      <c r="C519" s="432"/>
      <c r="D519" s="432"/>
      <c r="E519" s="432"/>
      <c r="F519" s="432"/>
      <c r="G519" s="433"/>
    </row>
    <row r="520" spans="1:7" ht="15.75" thickTop="1" x14ac:dyDescent="0.25">
      <c r="A520" s="333" t="s">
        <v>726</v>
      </c>
      <c r="B520" s="353">
        <v>7853.7090592547993</v>
      </c>
      <c r="C520" s="353">
        <v>9418.7606550076798</v>
      </c>
      <c r="D520" s="353">
        <v>1108.4205949512345</v>
      </c>
      <c r="E520" s="353">
        <v>14.91067980114685</v>
      </c>
      <c r="F520" s="353">
        <v>363.40666610922074</v>
      </c>
      <c r="G520" s="353" t="s">
        <v>494</v>
      </c>
    </row>
    <row r="521" spans="1:7" x14ac:dyDescent="0.25">
      <c r="A521" s="358" t="s">
        <v>727</v>
      </c>
      <c r="B521" s="350" t="s">
        <v>189</v>
      </c>
      <c r="C521" s="353">
        <v>8681.5577516158737</v>
      </c>
      <c r="D521" s="353">
        <v>54.694930480826123</v>
      </c>
      <c r="E521" s="350" t="s">
        <v>189</v>
      </c>
      <c r="F521" s="350" t="s">
        <v>189</v>
      </c>
      <c r="G521" s="353" t="s">
        <v>494</v>
      </c>
    </row>
    <row r="522" spans="1:7" x14ac:dyDescent="0.25">
      <c r="A522" s="358" t="s">
        <v>728</v>
      </c>
      <c r="B522" s="350" t="s">
        <v>189</v>
      </c>
      <c r="C522" s="353">
        <v>6721.72746699257</v>
      </c>
      <c r="D522" s="350" t="s">
        <v>189</v>
      </c>
      <c r="E522" s="350" t="s">
        <v>189</v>
      </c>
      <c r="F522" s="350" t="s">
        <v>189</v>
      </c>
      <c r="G522" s="350" t="s">
        <v>189</v>
      </c>
    </row>
    <row r="523" spans="1:7" x14ac:dyDescent="0.25">
      <c r="A523" s="365" t="s">
        <v>3431</v>
      </c>
      <c r="B523" s="350" t="s">
        <v>189</v>
      </c>
      <c r="C523" s="353">
        <v>6459.5584610062451</v>
      </c>
      <c r="D523" s="350" t="s">
        <v>189</v>
      </c>
      <c r="E523" s="350" t="s">
        <v>189</v>
      </c>
      <c r="F523" s="350" t="s">
        <v>189</v>
      </c>
      <c r="G523" s="350" t="s">
        <v>189</v>
      </c>
    </row>
    <row r="524" spans="1:7" x14ac:dyDescent="0.25">
      <c r="A524" s="366" t="s">
        <v>729</v>
      </c>
      <c r="B524" s="350" t="s">
        <v>189</v>
      </c>
      <c r="C524" s="350" t="s">
        <v>189</v>
      </c>
      <c r="D524" s="350" t="s">
        <v>189</v>
      </c>
      <c r="E524" s="350" t="s">
        <v>189</v>
      </c>
      <c r="F524" s="350" t="s">
        <v>189</v>
      </c>
      <c r="G524" s="350" t="s">
        <v>189</v>
      </c>
    </row>
    <row r="525" spans="1:7" x14ac:dyDescent="0.25">
      <c r="A525" s="367" t="s">
        <v>730</v>
      </c>
      <c r="B525" s="350" t="s">
        <v>189</v>
      </c>
      <c r="C525" s="353" t="s">
        <v>189</v>
      </c>
      <c r="D525" s="350" t="s">
        <v>189</v>
      </c>
      <c r="E525" s="350" t="s">
        <v>189</v>
      </c>
      <c r="F525" s="350" t="s">
        <v>189</v>
      </c>
      <c r="G525" s="350" t="s">
        <v>189</v>
      </c>
    </row>
    <row r="526" spans="1:7" x14ac:dyDescent="0.25">
      <c r="A526" s="367" t="s">
        <v>731</v>
      </c>
      <c r="B526" s="350" t="s">
        <v>189</v>
      </c>
      <c r="C526" s="353" t="s">
        <v>189</v>
      </c>
      <c r="D526" s="350" t="s">
        <v>189</v>
      </c>
      <c r="E526" s="350" t="s">
        <v>189</v>
      </c>
      <c r="F526" s="350" t="s">
        <v>189</v>
      </c>
      <c r="G526" s="350" t="s">
        <v>189</v>
      </c>
    </row>
    <row r="527" spans="1:7" x14ac:dyDescent="0.25">
      <c r="A527" s="366" t="s">
        <v>732</v>
      </c>
      <c r="B527" s="350" t="s">
        <v>189</v>
      </c>
      <c r="C527" s="350" t="s">
        <v>189</v>
      </c>
      <c r="D527" s="350" t="s">
        <v>189</v>
      </c>
      <c r="E527" s="350" t="s">
        <v>189</v>
      </c>
      <c r="F527" s="350" t="s">
        <v>189</v>
      </c>
      <c r="G527" s="350" t="s">
        <v>189</v>
      </c>
    </row>
    <row r="528" spans="1:7" x14ac:dyDescent="0.25">
      <c r="A528" s="367" t="s">
        <v>733</v>
      </c>
      <c r="B528" s="350" t="s">
        <v>189</v>
      </c>
      <c r="C528" s="353" t="s">
        <v>189</v>
      </c>
      <c r="D528" s="350" t="s">
        <v>189</v>
      </c>
      <c r="E528" s="350" t="s">
        <v>189</v>
      </c>
      <c r="F528" s="350" t="s">
        <v>189</v>
      </c>
      <c r="G528" s="350" t="s">
        <v>189</v>
      </c>
    </row>
    <row r="529" spans="1:7" x14ac:dyDescent="0.25">
      <c r="A529" s="367" t="s">
        <v>734</v>
      </c>
      <c r="B529" s="350" t="s">
        <v>189</v>
      </c>
      <c r="C529" s="353" t="s">
        <v>189</v>
      </c>
      <c r="D529" s="350" t="s">
        <v>189</v>
      </c>
      <c r="E529" s="350" t="s">
        <v>189</v>
      </c>
      <c r="F529" s="350" t="s">
        <v>189</v>
      </c>
      <c r="G529" s="350" t="s">
        <v>189</v>
      </c>
    </row>
    <row r="530" spans="1:7" x14ac:dyDescent="0.25">
      <c r="A530" s="367" t="s">
        <v>735</v>
      </c>
      <c r="B530" s="350" t="s">
        <v>189</v>
      </c>
      <c r="C530" s="353" t="s">
        <v>189</v>
      </c>
      <c r="D530" s="350" t="s">
        <v>189</v>
      </c>
      <c r="E530" s="350" t="s">
        <v>189</v>
      </c>
      <c r="F530" s="350" t="s">
        <v>189</v>
      </c>
      <c r="G530" s="350" t="s">
        <v>189</v>
      </c>
    </row>
    <row r="531" spans="1:7" x14ac:dyDescent="0.25">
      <c r="A531" s="366" t="s">
        <v>736</v>
      </c>
      <c r="B531" s="350" t="s">
        <v>189</v>
      </c>
      <c r="C531" s="350" t="s">
        <v>189</v>
      </c>
      <c r="D531" s="350" t="s">
        <v>189</v>
      </c>
      <c r="E531" s="350" t="s">
        <v>189</v>
      </c>
      <c r="F531" s="350" t="s">
        <v>189</v>
      </c>
      <c r="G531" s="350" t="s">
        <v>189</v>
      </c>
    </row>
    <row r="532" spans="1:7" x14ac:dyDescent="0.25">
      <c r="A532" s="367" t="s">
        <v>3432</v>
      </c>
      <c r="B532" s="350" t="s">
        <v>189</v>
      </c>
      <c r="C532" s="353">
        <v>6459.5584610062451</v>
      </c>
      <c r="D532" s="350" t="s">
        <v>189</v>
      </c>
      <c r="E532" s="350" t="s">
        <v>189</v>
      </c>
      <c r="F532" s="350" t="s">
        <v>189</v>
      </c>
      <c r="G532" s="350" t="s">
        <v>189</v>
      </c>
    </row>
    <row r="533" spans="1:7" x14ac:dyDescent="0.25">
      <c r="A533" s="368" t="s">
        <v>739</v>
      </c>
      <c r="B533" s="350" t="s">
        <v>189</v>
      </c>
      <c r="C533" s="353">
        <v>473.19623090020355</v>
      </c>
      <c r="D533" s="350"/>
      <c r="E533" s="350" t="s">
        <v>189</v>
      </c>
      <c r="F533" s="350" t="s">
        <v>189</v>
      </c>
      <c r="G533" s="350"/>
    </row>
    <row r="534" spans="1:7" x14ac:dyDescent="0.25">
      <c r="A534" s="368" t="s">
        <v>740</v>
      </c>
      <c r="B534" s="350" t="s">
        <v>189</v>
      </c>
      <c r="C534" s="353">
        <v>299.39799460361405</v>
      </c>
      <c r="D534" s="350"/>
      <c r="E534" s="350" t="s">
        <v>189</v>
      </c>
      <c r="F534" s="350" t="s">
        <v>189</v>
      </c>
      <c r="G534" s="350"/>
    </row>
    <row r="535" spans="1:7" x14ac:dyDescent="0.25">
      <c r="A535" s="368" t="s">
        <v>741</v>
      </c>
      <c r="B535" s="350" t="s">
        <v>189</v>
      </c>
      <c r="C535" s="353">
        <v>3035.0507480212009</v>
      </c>
      <c r="D535" s="350"/>
      <c r="E535" s="350" t="s">
        <v>189</v>
      </c>
      <c r="F535" s="350" t="s">
        <v>189</v>
      </c>
      <c r="G535" s="350"/>
    </row>
    <row r="536" spans="1:7" x14ac:dyDescent="0.25">
      <c r="A536" s="368" t="s">
        <v>742</v>
      </c>
      <c r="B536" s="350" t="s">
        <v>189</v>
      </c>
      <c r="C536" s="353">
        <v>251.93525163617798</v>
      </c>
      <c r="D536" s="350"/>
      <c r="E536" s="350" t="s">
        <v>189</v>
      </c>
      <c r="F536" s="350" t="s">
        <v>189</v>
      </c>
      <c r="G536" s="350"/>
    </row>
    <row r="537" spans="1:7" x14ac:dyDescent="0.25">
      <c r="A537" s="368" t="s">
        <v>743</v>
      </c>
      <c r="B537" s="350" t="s">
        <v>189</v>
      </c>
      <c r="C537" s="353">
        <v>297.36246326322032</v>
      </c>
      <c r="D537" s="350"/>
      <c r="E537" s="350" t="s">
        <v>189</v>
      </c>
      <c r="F537" s="350" t="s">
        <v>189</v>
      </c>
      <c r="G537" s="350"/>
    </row>
    <row r="538" spans="1:7" x14ac:dyDescent="0.25">
      <c r="A538" s="368" t="s">
        <v>744</v>
      </c>
      <c r="B538" s="350" t="s">
        <v>189</v>
      </c>
      <c r="C538" s="353">
        <v>309.95636595734669</v>
      </c>
      <c r="D538" s="350"/>
      <c r="E538" s="350" t="s">
        <v>189</v>
      </c>
      <c r="F538" s="350" t="s">
        <v>189</v>
      </c>
      <c r="G538" s="350"/>
    </row>
    <row r="539" spans="1:7" x14ac:dyDescent="0.25">
      <c r="A539" s="368" t="s">
        <v>745</v>
      </c>
      <c r="B539" s="350" t="s">
        <v>189</v>
      </c>
      <c r="C539" s="353">
        <v>178.40438707912745</v>
      </c>
      <c r="D539" s="350"/>
      <c r="E539" s="350" t="s">
        <v>189</v>
      </c>
      <c r="F539" s="350" t="s">
        <v>189</v>
      </c>
      <c r="G539" s="350"/>
    </row>
    <row r="540" spans="1:7" x14ac:dyDescent="0.25">
      <c r="A540" s="368" t="s">
        <v>746</v>
      </c>
      <c r="B540" s="350" t="s">
        <v>189</v>
      </c>
      <c r="C540" s="353">
        <v>214.11005793654462</v>
      </c>
      <c r="D540" s="350"/>
      <c r="E540" s="350" t="s">
        <v>189</v>
      </c>
      <c r="F540" s="350" t="s">
        <v>189</v>
      </c>
      <c r="G540" s="350"/>
    </row>
    <row r="541" spans="1:7" x14ac:dyDescent="0.25">
      <c r="A541" s="368" t="s">
        <v>747</v>
      </c>
      <c r="B541" s="350" t="s">
        <v>189</v>
      </c>
      <c r="C541" s="353">
        <v>1167.114207479091</v>
      </c>
      <c r="D541" s="350"/>
      <c r="E541" s="350" t="s">
        <v>189</v>
      </c>
      <c r="F541" s="350" t="s">
        <v>189</v>
      </c>
      <c r="G541" s="350"/>
    </row>
    <row r="542" spans="1:7" x14ac:dyDescent="0.25">
      <c r="A542" s="368" t="s">
        <v>3138</v>
      </c>
      <c r="B542" s="350" t="s">
        <v>189</v>
      </c>
      <c r="C542" s="353">
        <v>178.70274178817721</v>
      </c>
      <c r="D542" s="350"/>
      <c r="E542" s="350" t="s">
        <v>189</v>
      </c>
      <c r="F542" s="350" t="s">
        <v>189</v>
      </c>
      <c r="G542" s="350"/>
    </row>
    <row r="543" spans="1:7" x14ac:dyDescent="0.25">
      <c r="A543" s="368" t="s">
        <v>3139</v>
      </c>
      <c r="B543" s="350" t="s">
        <v>189</v>
      </c>
      <c r="C543" s="353">
        <v>54.328012341541672</v>
      </c>
      <c r="D543" s="350"/>
      <c r="E543" s="350" t="s">
        <v>189</v>
      </c>
      <c r="F543" s="350" t="s">
        <v>189</v>
      </c>
      <c r="G543" s="350"/>
    </row>
    <row r="544" spans="1:7" x14ac:dyDescent="0.25">
      <c r="A544" s="365" t="s">
        <v>748</v>
      </c>
      <c r="B544" s="350" t="s">
        <v>189</v>
      </c>
      <c r="C544" s="353">
        <v>55.215000000000003</v>
      </c>
      <c r="D544" s="350" t="s">
        <v>189</v>
      </c>
      <c r="E544" s="350" t="s">
        <v>189</v>
      </c>
      <c r="F544" s="350" t="s">
        <v>189</v>
      </c>
      <c r="G544" s="350" t="s">
        <v>189</v>
      </c>
    </row>
    <row r="545" spans="1:7" x14ac:dyDescent="0.25">
      <c r="A545" s="365" t="s">
        <v>749</v>
      </c>
      <c r="B545" s="350" t="s">
        <v>189</v>
      </c>
      <c r="C545" s="353">
        <v>91.609200000000001</v>
      </c>
      <c r="D545" s="350" t="s">
        <v>189</v>
      </c>
      <c r="E545" s="350" t="s">
        <v>189</v>
      </c>
      <c r="F545" s="350" t="s">
        <v>189</v>
      </c>
      <c r="G545" s="350" t="s">
        <v>189</v>
      </c>
    </row>
    <row r="546" spans="1:7" x14ac:dyDescent="0.25">
      <c r="A546" s="365" t="s">
        <v>750</v>
      </c>
      <c r="B546" s="350" t="s">
        <v>189</v>
      </c>
      <c r="C546" s="353">
        <v>115.34480598632427</v>
      </c>
      <c r="D546" s="350" t="s">
        <v>189</v>
      </c>
      <c r="E546" s="350" t="s">
        <v>189</v>
      </c>
      <c r="F546" s="350" t="s">
        <v>189</v>
      </c>
      <c r="G546" s="350" t="s">
        <v>189</v>
      </c>
    </row>
    <row r="547" spans="1:7" x14ac:dyDescent="0.25">
      <c r="A547" s="369" t="s">
        <v>751</v>
      </c>
      <c r="B547" s="350" t="s">
        <v>189</v>
      </c>
      <c r="C547" s="353" t="s">
        <v>521</v>
      </c>
      <c r="D547" s="350"/>
      <c r="E547" s="350" t="s">
        <v>189</v>
      </c>
      <c r="F547" s="350" t="s">
        <v>189</v>
      </c>
      <c r="G547" s="350"/>
    </row>
    <row r="548" spans="1:7" x14ac:dyDescent="0.25">
      <c r="A548" s="369" t="s">
        <v>752</v>
      </c>
      <c r="B548" s="350" t="s">
        <v>189</v>
      </c>
      <c r="C548" s="353">
        <v>26.068534199999998</v>
      </c>
      <c r="D548" s="350"/>
      <c r="E548" s="350" t="s">
        <v>189</v>
      </c>
      <c r="F548" s="350" t="s">
        <v>189</v>
      </c>
      <c r="G548" s="350"/>
    </row>
    <row r="549" spans="1:7" x14ac:dyDescent="0.25">
      <c r="A549" s="369" t="s">
        <v>753</v>
      </c>
      <c r="B549" s="350" t="s">
        <v>189</v>
      </c>
      <c r="C549" s="353">
        <v>69.750133199999993</v>
      </c>
      <c r="D549" s="350"/>
      <c r="E549" s="350" t="s">
        <v>189</v>
      </c>
      <c r="F549" s="350" t="s">
        <v>189</v>
      </c>
      <c r="G549" s="350"/>
    </row>
    <row r="550" spans="1:7" x14ac:dyDescent="0.25">
      <c r="A550" s="369" t="s">
        <v>754</v>
      </c>
      <c r="B550" s="350" t="s">
        <v>189</v>
      </c>
      <c r="C550" s="353">
        <v>2.1242679999999998</v>
      </c>
      <c r="D550" s="350"/>
      <c r="E550" s="350" t="s">
        <v>189</v>
      </c>
      <c r="F550" s="350" t="s">
        <v>189</v>
      </c>
      <c r="G550" s="350"/>
    </row>
    <row r="551" spans="1:7" x14ac:dyDescent="0.25">
      <c r="A551" s="369" t="s">
        <v>755</v>
      </c>
      <c r="B551" s="350" t="s">
        <v>189</v>
      </c>
      <c r="C551" s="353" t="s">
        <v>521</v>
      </c>
      <c r="D551" s="350"/>
      <c r="E551" s="350" t="s">
        <v>189</v>
      </c>
      <c r="F551" s="350" t="s">
        <v>189</v>
      </c>
      <c r="G551" s="350"/>
    </row>
    <row r="552" spans="1:7" x14ac:dyDescent="0.25">
      <c r="A552" s="370" t="s">
        <v>756</v>
      </c>
      <c r="B552" s="350" t="s">
        <v>189</v>
      </c>
      <c r="C552" s="353">
        <v>17.401870586324279</v>
      </c>
      <c r="D552" s="350" t="s">
        <v>189</v>
      </c>
      <c r="E552" s="350" t="s">
        <v>189</v>
      </c>
      <c r="F552" s="350" t="s">
        <v>189</v>
      </c>
      <c r="G552" s="350" t="s">
        <v>189</v>
      </c>
    </row>
    <row r="553" spans="1:7" x14ac:dyDescent="0.25">
      <c r="A553" s="371" t="s">
        <v>757</v>
      </c>
      <c r="B553" s="350" t="s">
        <v>189</v>
      </c>
      <c r="C553" s="353">
        <v>17.401870586324279</v>
      </c>
      <c r="D553" s="350"/>
      <c r="E553" s="350" t="s">
        <v>189</v>
      </c>
      <c r="F553" s="350" t="s">
        <v>189</v>
      </c>
      <c r="G553" s="350"/>
    </row>
    <row r="554" spans="1:7" x14ac:dyDescent="0.25">
      <c r="A554" s="358" t="s">
        <v>758</v>
      </c>
      <c r="B554" s="350" t="s">
        <v>189</v>
      </c>
      <c r="C554" s="353">
        <v>1959.8302846233032</v>
      </c>
      <c r="D554" s="353">
        <v>54.694930480826123</v>
      </c>
      <c r="E554" s="350" t="s">
        <v>189</v>
      </c>
      <c r="F554" s="350" t="s">
        <v>189</v>
      </c>
      <c r="G554" s="353" t="s">
        <v>494</v>
      </c>
    </row>
    <row r="555" spans="1:7" x14ac:dyDescent="0.25">
      <c r="A555" s="372" t="s">
        <v>3433</v>
      </c>
      <c r="B555" s="350" t="s">
        <v>189</v>
      </c>
      <c r="C555" s="353">
        <v>1009.8520195503449</v>
      </c>
      <c r="D555" s="353">
        <v>42.152764039128421</v>
      </c>
      <c r="E555" s="350" t="s">
        <v>189</v>
      </c>
      <c r="F555" s="350" t="s">
        <v>189</v>
      </c>
      <c r="G555" s="353" t="s">
        <v>494</v>
      </c>
    </row>
    <row r="556" spans="1:7" x14ac:dyDescent="0.25">
      <c r="A556" s="366" t="s">
        <v>729</v>
      </c>
      <c r="B556" s="350" t="s">
        <v>189</v>
      </c>
      <c r="C556" s="350" t="s">
        <v>189</v>
      </c>
      <c r="D556" s="350" t="s">
        <v>189</v>
      </c>
      <c r="E556" s="350" t="s">
        <v>189</v>
      </c>
      <c r="F556" s="350" t="s">
        <v>189</v>
      </c>
      <c r="G556" s="350" t="s">
        <v>189</v>
      </c>
    </row>
    <row r="557" spans="1:7" x14ac:dyDescent="0.25">
      <c r="A557" s="367" t="s">
        <v>730</v>
      </c>
      <c r="B557" s="350" t="s">
        <v>189</v>
      </c>
      <c r="C557" s="353" t="s">
        <v>189</v>
      </c>
      <c r="D557" s="353" t="s">
        <v>189</v>
      </c>
      <c r="E557" s="350" t="s">
        <v>189</v>
      </c>
      <c r="F557" s="350" t="s">
        <v>189</v>
      </c>
      <c r="G557" s="351" t="s">
        <v>189</v>
      </c>
    </row>
    <row r="558" spans="1:7" x14ac:dyDescent="0.25">
      <c r="A558" s="367" t="s">
        <v>731</v>
      </c>
      <c r="B558" s="350" t="s">
        <v>189</v>
      </c>
      <c r="C558" s="353" t="s">
        <v>189</v>
      </c>
      <c r="D558" s="353" t="s">
        <v>189</v>
      </c>
      <c r="E558" s="350" t="s">
        <v>189</v>
      </c>
      <c r="F558" s="350" t="s">
        <v>189</v>
      </c>
      <c r="G558" s="351" t="s">
        <v>189</v>
      </c>
    </row>
    <row r="559" spans="1:7" x14ac:dyDescent="0.25">
      <c r="A559" s="366" t="s">
        <v>732</v>
      </c>
      <c r="B559" s="350" t="s">
        <v>189</v>
      </c>
      <c r="C559" s="350" t="s">
        <v>189</v>
      </c>
      <c r="D559" s="350" t="s">
        <v>189</v>
      </c>
      <c r="E559" s="350" t="s">
        <v>189</v>
      </c>
      <c r="F559" s="350" t="s">
        <v>189</v>
      </c>
      <c r="G559" s="350" t="s">
        <v>189</v>
      </c>
    </row>
    <row r="560" spans="1:7" x14ac:dyDescent="0.25">
      <c r="A560" s="367" t="s">
        <v>733</v>
      </c>
      <c r="B560" s="350" t="s">
        <v>189</v>
      </c>
      <c r="C560" s="353" t="s">
        <v>189</v>
      </c>
      <c r="D560" s="353" t="s">
        <v>189</v>
      </c>
      <c r="E560" s="350" t="s">
        <v>189</v>
      </c>
      <c r="F560" s="350" t="s">
        <v>189</v>
      </c>
      <c r="G560" s="351" t="s">
        <v>189</v>
      </c>
    </row>
    <row r="561" spans="1:7" x14ac:dyDescent="0.25">
      <c r="A561" s="367" t="s">
        <v>734</v>
      </c>
      <c r="B561" s="350" t="s">
        <v>189</v>
      </c>
      <c r="C561" s="353" t="s">
        <v>189</v>
      </c>
      <c r="D561" s="353" t="s">
        <v>189</v>
      </c>
      <c r="E561" s="350" t="s">
        <v>189</v>
      </c>
      <c r="F561" s="350" t="s">
        <v>189</v>
      </c>
      <c r="G561" s="351" t="s">
        <v>189</v>
      </c>
    </row>
    <row r="562" spans="1:7" x14ac:dyDescent="0.25">
      <c r="A562" s="367" t="s">
        <v>735</v>
      </c>
      <c r="B562" s="350" t="s">
        <v>189</v>
      </c>
      <c r="C562" s="353" t="s">
        <v>189</v>
      </c>
      <c r="D562" s="353" t="s">
        <v>189</v>
      </c>
      <c r="E562" s="350" t="s">
        <v>189</v>
      </c>
      <c r="F562" s="350" t="s">
        <v>189</v>
      </c>
      <c r="G562" s="351" t="s">
        <v>189</v>
      </c>
    </row>
    <row r="563" spans="1:7" x14ac:dyDescent="0.25">
      <c r="A563" s="366" t="s">
        <v>736</v>
      </c>
      <c r="B563" s="350" t="s">
        <v>189</v>
      </c>
      <c r="C563" s="350" t="s">
        <v>189</v>
      </c>
      <c r="D563" s="350" t="s">
        <v>189</v>
      </c>
      <c r="E563" s="350" t="s">
        <v>189</v>
      </c>
      <c r="F563" s="350" t="s">
        <v>189</v>
      </c>
      <c r="G563" s="350" t="s">
        <v>189</v>
      </c>
    </row>
    <row r="564" spans="1:7" x14ac:dyDescent="0.25">
      <c r="A564" s="367" t="s">
        <v>3434</v>
      </c>
      <c r="B564" s="350" t="s">
        <v>189</v>
      </c>
      <c r="C564" s="353">
        <v>1009.8520195503449</v>
      </c>
      <c r="D564" s="353">
        <v>42.152764039128421</v>
      </c>
      <c r="E564" s="350" t="s">
        <v>189</v>
      </c>
      <c r="F564" s="350" t="s">
        <v>189</v>
      </c>
      <c r="G564" s="351" t="s">
        <v>494</v>
      </c>
    </row>
    <row r="565" spans="1:7" x14ac:dyDescent="0.25">
      <c r="A565" s="368" t="s">
        <v>737</v>
      </c>
      <c r="B565" s="350" t="s">
        <v>189</v>
      </c>
      <c r="C565" s="353" t="s">
        <v>496</v>
      </c>
      <c r="D565" s="353" t="s">
        <v>496</v>
      </c>
      <c r="E565" s="350" t="s">
        <v>189</v>
      </c>
      <c r="F565" s="350" t="s">
        <v>189</v>
      </c>
      <c r="G565" s="351" t="s">
        <v>494</v>
      </c>
    </row>
    <row r="566" spans="1:7" x14ac:dyDescent="0.25">
      <c r="A566" s="368" t="s">
        <v>738</v>
      </c>
      <c r="B566" s="350" t="s">
        <v>189</v>
      </c>
      <c r="C566" s="353" t="s">
        <v>496</v>
      </c>
      <c r="D566" s="353" t="s">
        <v>496</v>
      </c>
      <c r="E566" s="350" t="s">
        <v>189</v>
      </c>
      <c r="F566" s="350" t="s">
        <v>189</v>
      </c>
      <c r="G566" s="351" t="s">
        <v>494</v>
      </c>
    </row>
    <row r="567" spans="1:7" x14ac:dyDescent="0.25">
      <c r="A567" s="368" t="s">
        <v>739</v>
      </c>
      <c r="B567" s="350" t="s">
        <v>189</v>
      </c>
      <c r="C567" s="353">
        <v>4.2126418231888598</v>
      </c>
      <c r="D567" s="353" t="s">
        <v>496</v>
      </c>
      <c r="E567" s="350" t="s">
        <v>189</v>
      </c>
      <c r="F567" s="350" t="s">
        <v>189</v>
      </c>
      <c r="G567" s="351" t="s">
        <v>494</v>
      </c>
    </row>
    <row r="568" spans="1:7" x14ac:dyDescent="0.25">
      <c r="A568" s="368" t="s">
        <v>740</v>
      </c>
      <c r="B568" s="350" t="s">
        <v>189</v>
      </c>
      <c r="C568" s="353">
        <v>2.7902546389271099</v>
      </c>
      <c r="D568" s="353" t="s">
        <v>496</v>
      </c>
      <c r="E568" s="350" t="s">
        <v>189</v>
      </c>
      <c r="F568" s="350" t="s">
        <v>189</v>
      </c>
      <c r="G568" s="351" t="s">
        <v>494</v>
      </c>
    </row>
    <row r="569" spans="1:7" x14ac:dyDescent="0.25">
      <c r="A569" s="368" t="s">
        <v>741</v>
      </c>
      <c r="B569" s="350" t="s">
        <v>189</v>
      </c>
      <c r="C569" s="353">
        <v>28.497717298240602</v>
      </c>
      <c r="D569" s="353" t="s">
        <v>496</v>
      </c>
      <c r="E569" s="350" t="s">
        <v>189</v>
      </c>
      <c r="F569" s="350" t="s">
        <v>189</v>
      </c>
      <c r="G569" s="351" t="s">
        <v>494</v>
      </c>
    </row>
    <row r="570" spans="1:7" x14ac:dyDescent="0.25">
      <c r="A570" s="368" t="s">
        <v>742</v>
      </c>
      <c r="B570" s="350" t="s">
        <v>189</v>
      </c>
      <c r="C570" s="353">
        <v>6.66034512616306</v>
      </c>
      <c r="D570" s="353">
        <v>7.8425112598720697</v>
      </c>
      <c r="E570" s="350" t="s">
        <v>189</v>
      </c>
      <c r="F570" s="350" t="s">
        <v>189</v>
      </c>
      <c r="G570" s="351" t="s">
        <v>494</v>
      </c>
    </row>
    <row r="571" spans="1:7" x14ac:dyDescent="0.25">
      <c r="A571" s="368" t="s">
        <v>743</v>
      </c>
      <c r="B571" s="350" t="s">
        <v>189</v>
      </c>
      <c r="C571" s="353">
        <v>2.52263043402202</v>
      </c>
      <c r="D571" s="353" t="s">
        <v>496</v>
      </c>
      <c r="E571" s="350" t="s">
        <v>189</v>
      </c>
      <c r="F571" s="350" t="s">
        <v>189</v>
      </c>
      <c r="G571" s="351" t="s">
        <v>494</v>
      </c>
    </row>
    <row r="572" spans="1:7" x14ac:dyDescent="0.25">
      <c r="A572" s="368" t="s">
        <v>744</v>
      </c>
      <c r="B572" s="350" t="s">
        <v>189</v>
      </c>
      <c r="C572" s="353">
        <v>15.278275422757799</v>
      </c>
      <c r="D572" s="353">
        <v>15.52463493848146</v>
      </c>
      <c r="E572" s="350" t="s">
        <v>189</v>
      </c>
      <c r="F572" s="350" t="s">
        <v>189</v>
      </c>
      <c r="G572" s="351" t="s">
        <v>494</v>
      </c>
    </row>
    <row r="573" spans="1:7" x14ac:dyDescent="0.25">
      <c r="A573" s="368" t="s">
        <v>745</v>
      </c>
      <c r="B573" s="350" t="s">
        <v>189</v>
      </c>
      <c r="C573" s="353">
        <v>8.8016924452317706</v>
      </c>
      <c r="D573" s="353">
        <v>8.4893956827476593</v>
      </c>
      <c r="E573" s="350" t="s">
        <v>189</v>
      </c>
      <c r="F573" s="350" t="s">
        <v>189</v>
      </c>
      <c r="G573" s="351" t="s">
        <v>494</v>
      </c>
    </row>
    <row r="574" spans="1:7" x14ac:dyDescent="0.25">
      <c r="A574" s="368" t="s">
        <v>746</v>
      </c>
      <c r="B574" s="350" t="s">
        <v>189</v>
      </c>
      <c r="C574" s="353">
        <v>2.0137792152480598</v>
      </c>
      <c r="D574" s="353" t="s">
        <v>496</v>
      </c>
      <c r="E574" s="350" t="s">
        <v>189</v>
      </c>
      <c r="F574" s="350" t="s">
        <v>189</v>
      </c>
      <c r="G574" s="351" t="s">
        <v>494</v>
      </c>
    </row>
    <row r="575" spans="1:7" x14ac:dyDescent="0.25">
      <c r="A575" s="368" t="s">
        <v>747</v>
      </c>
      <c r="B575" s="350" t="s">
        <v>189</v>
      </c>
      <c r="C575" s="353">
        <v>935.45098734337898</v>
      </c>
      <c r="D575" s="353">
        <v>10.296222158027231</v>
      </c>
      <c r="E575" s="350" t="s">
        <v>189</v>
      </c>
      <c r="F575" s="350" t="s">
        <v>189</v>
      </c>
      <c r="G575" s="351" t="s">
        <v>494</v>
      </c>
    </row>
    <row r="576" spans="1:7" x14ac:dyDescent="0.25">
      <c r="A576" s="368" t="s">
        <v>3138</v>
      </c>
      <c r="B576" s="350" t="s">
        <v>189</v>
      </c>
      <c r="C576" s="353">
        <v>2.84526374758499</v>
      </c>
      <c r="D576" s="353" t="s">
        <v>496</v>
      </c>
      <c r="E576" s="350" t="s">
        <v>189</v>
      </c>
      <c r="F576" s="350" t="s">
        <v>189</v>
      </c>
      <c r="G576" s="351" t="s">
        <v>494</v>
      </c>
    </row>
    <row r="577" spans="1:7" x14ac:dyDescent="0.25">
      <c r="A577" s="368" t="s">
        <v>3139</v>
      </c>
      <c r="B577" s="350" t="s">
        <v>189</v>
      </c>
      <c r="C577" s="353">
        <v>0.77843205560164996</v>
      </c>
      <c r="D577" s="353" t="s">
        <v>496</v>
      </c>
      <c r="E577" s="350" t="s">
        <v>189</v>
      </c>
      <c r="F577" s="350" t="s">
        <v>189</v>
      </c>
      <c r="G577" s="351" t="s">
        <v>494</v>
      </c>
    </row>
    <row r="578" spans="1:7" x14ac:dyDescent="0.25">
      <c r="A578" s="365" t="s">
        <v>748</v>
      </c>
      <c r="B578" s="350" t="s">
        <v>189</v>
      </c>
      <c r="C578" s="353">
        <v>2.33929947528482</v>
      </c>
      <c r="D578" s="353">
        <v>1.16065025717818</v>
      </c>
      <c r="E578" s="350" t="s">
        <v>189</v>
      </c>
      <c r="F578" s="350" t="s">
        <v>189</v>
      </c>
      <c r="G578" s="351" t="s">
        <v>494</v>
      </c>
    </row>
    <row r="579" spans="1:7" x14ac:dyDescent="0.25">
      <c r="A579" s="365" t="s">
        <v>749</v>
      </c>
      <c r="B579" s="350" t="s">
        <v>189</v>
      </c>
      <c r="C579" s="353">
        <v>811.93514606186397</v>
      </c>
      <c r="D579" s="353">
        <v>5.4580785736261301</v>
      </c>
      <c r="E579" s="350" t="s">
        <v>189</v>
      </c>
      <c r="F579" s="350" t="s">
        <v>189</v>
      </c>
      <c r="G579" s="351" t="s">
        <v>494</v>
      </c>
    </row>
    <row r="580" spans="1:7" x14ac:dyDescent="0.25">
      <c r="A580" s="365" t="s">
        <v>750</v>
      </c>
      <c r="B580" s="350" t="s">
        <v>189</v>
      </c>
      <c r="C580" s="353">
        <v>135.7038195358096</v>
      </c>
      <c r="D580" s="353">
        <v>5.9234376108933899</v>
      </c>
      <c r="E580" s="350" t="s">
        <v>189</v>
      </c>
      <c r="F580" s="350" t="s">
        <v>189</v>
      </c>
      <c r="G580" s="353" t="s">
        <v>494</v>
      </c>
    </row>
    <row r="581" spans="1:7" x14ac:dyDescent="0.25">
      <c r="A581" s="369" t="s">
        <v>751</v>
      </c>
      <c r="B581" s="350" t="s">
        <v>189</v>
      </c>
      <c r="C581" s="353" t="s">
        <v>521</v>
      </c>
      <c r="D581" s="353" t="s">
        <v>521</v>
      </c>
      <c r="E581" s="350" t="s">
        <v>189</v>
      </c>
      <c r="F581" s="350" t="s">
        <v>189</v>
      </c>
      <c r="G581" s="351" t="s">
        <v>494</v>
      </c>
    </row>
    <row r="582" spans="1:7" x14ac:dyDescent="0.25">
      <c r="A582" s="369" t="s">
        <v>752</v>
      </c>
      <c r="B582" s="350" t="s">
        <v>189</v>
      </c>
      <c r="C582" s="353">
        <v>0.39070037091767001</v>
      </c>
      <c r="D582" s="353">
        <v>8.605344306328E-2</v>
      </c>
      <c r="E582" s="350" t="s">
        <v>189</v>
      </c>
      <c r="F582" s="350" t="s">
        <v>189</v>
      </c>
      <c r="G582" s="351" t="s">
        <v>494</v>
      </c>
    </row>
    <row r="583" spans="1:7" x14ac:dyDescent="0.25">
      <c r="A583" s="369" t="s">
        <v>753</v>
      </c>
      <c r="B583" s="350" t="s">
        <v>189</v>
      </c>
      <c r="C583" s="353">
        <v>5.3420648053523196</v>
      </c>
      <c r="D583" s="353">
        <v>0.46691353425823001</v>
      </c>
      <c r="E583" s="350" t="s">
        <v>189</v>
      </c>
      <c r="F583" s="350" t="s">
        <v>189</v>
      </c>
      <c r="G583" s="351" t="s">
        <v>494</v>
      </c>
    </row>
    <row r="584" spans="1:7" x14ac:dyDescent="0.25">
      <c r="A584" s="369" t="s">
        <v>754</v>
      </c>
      <c r="B584" s="350" t="s">
        <v>189</v>
      </c>
      <c r="C584" s="353">
        <v>8.5169405120220004E-2</v>
      </c>
      <c r="D584" s="353">
        <v>8.4830813865599992E-3</v>
      </c>
      <c r="E584" s="350" t="s">
        <v>189</v>
      </c>
      <c r="F584" s="350" t="s">
        <v>189</v>
      </c>
      <c r="G584" s="351" t="s">
        <v>494</v>
      </c>
    </row>
    <row r="585" spans="1:7" x14ac:dyDescent="0.25">
      <c r="A585" s="369" t="s">
        <v>755</v>
      </c>
      <c r="B585" s="350" t="s">
        <v>189</v>
      </c>
      <c r="C585" s="353">
        <v>129.698664250798</v>
      </c>
      <c r="D585" s="353">
        <v>5.3619875521853197</v>
      </c>
      <c r="E585" s="350" t="s">
        <v>189</v>
      </c>
      <c r="F585" s="350" t="s">
        <v>189</v>
      </c>
      <c r="G585" s="351" t="s">
        <v>494</v>
      </c>
    </row>
    <row r="586" spans="1:7" x14ac:dyDescent="0.25">
      <c r="A586" s="370" t="s">
        <v>756</v>
      </c>
      <c r="B586" s="350" t="s">
        <v>189</v>
      </c>
      <c r="C586" s="353">
        <v>0.18722070362137999</v>
      </c>
      <c r="D586" s="353" t="s">
        <v>496</v>
      </c>
      <c r="E586" s="350" t="s">
        <v>189</v>
      </c>
      <c r="F586" s="350" t="s">
        <v>189</v>
      </c>
      <c r="G586" s="353" t="s">
        <v>494</v>
      </c>
    </row>
    <row r="587" spans="1:7" x14ac:dyDescent="0.25">
      <c r="A587" s="371" t="s">
        <v>757</v>
      </c>
      <c r="B587" s="350" t="s">
        <v>189</v>
      </c>
      <c r="C587" s="353">
        <v>0.18722070362137999</v>
      </c>
      <c r="D587" s="353" t="s">
        <v>496</v>
      </c>
      <c r="E587" s="350" t="s">
        <v>189</v>
      </c>
      <c r="F587" s="350" t="s">
        <v>189</v>
      </c>
      <c r="G587" s="351" t="s">
        <v>494</v>
      </c>
    </row>
    <row r="588" spans="1:7" ht="15.75" thickBot="1" x14ac:dyDescent="0.3">
      <c r="A588" s="365" t="s">
        <v>3435</v>
      </c>
      <c r="B588" s="350" t="s">
        <v>189</v>
      </c>
      <c r="C588" s="350" t="s">
        <v>189</v>
      </c>
      <c r="D588" s="353" t="s">
        <v>496</v>
      </c>
      <c r="E588" s="350" t="s">
        <v>189</v>
      </c>
      <c r="F588" s="350" t="s">
        <v>189</v>
      </c>
      <c r="G588" s="350" t="s">
        <v>189</v>
      </c>
    </row>
    <row r="589" spans="1:7" s="265" customFormat="1" ht="12.75" customHeight="1" thickTop="1" x14ac:dyDescent="0.2">
      <c r="A589" s="75" t="s">
        <v>759</v>
      </c>
      <c r="B589" s="350" t="s">
        <v>189</v>
      </c>
      <c r="C589" s="353">
        <v>719.88457694084161</v>
      </c>
      <c r="D589" s="350" t="s">
        <v>189</v>
      </c>
      <c r="E589" s="350" t="s">
        <v>189</v>
      </c>
      <c r="F589" s="350" t="s">
        <v>189</v>
      </c>
      <c r="G589" s="353" t="s">
        <v>494</v>
      </c>
    </row>
    <row r="590" spans="1:7" s="265" customFormat="1" ht="12.75" customHeight="1" x14ac:dyDescent="0.2">
      <c r="A590" s="76" t="s">
        <v>760</v>
      </c>
      <c r="B590" s="350" t="s">
        <v>189</v>
      </c>
      <c r="C590" s="351" t="s">
        <v>494</v>
      </c>
      <c r="D590" s="353">
        <v>1053.0935979415153</v>
      </c>
      <c r="E590" s="351" t="s">
        <v>494</v>
      </c>
      <c r="F590" s="351" t="s">
        <v>494</v>
      </c>
      <c r="G590" s="351" t="s">
        <v>494</v>
      </c>
    </row>
    <row r="591" spans="1:7" s="265" customFormat="1" ht="12.75" customHeight="1" x14ac:dyDescent="0.2">
      <c r="A591" s="76" t="s">
        <v>761</v>
      </c>
      <c r="B591" s="350" t="s">
        <v>189</v>
      </c>
      <c r="C591" s="353" t="s">
        <v>496</v>
      </c>
      <c r="D591" s="353" t="s">
        <v>496</v>
      </c>
      <c r="E591" s="351" t="s">
        <v>496</v>
      </c>
      <c r="F591" s="351" t="s">
        <v>496</v>
      </c>
      <c r="G591" s="351" t="s">
        <v>494</v>
      </c>
    </row>
    <row r="592" spans="1:7" s="265" customFormat="1" ht="12.75" customHeight="1" x14ac:dyDescent="0.2">
      <c r="A592" s="76" t="s">
        <v>762</v>
      </c>
      <c r="B592" s="350" t="s">
        <v>189</v>
      </c>
      <c r="C592" s="353">
        <v>17.318326450965749</v>
      </c>
      <c r="D592" s="353">
        <v>0.63206652889299997</v>
      </c>
      <c r="E592" s="351">
        <v>14.91067980114685</v>
      </c>
      <c r="F592" s="351">
        <v>363.40666610922074</v>
      </c>
      <c r="G592" s="351" t="s">
        <v>494</v>
      </c>
    </row>
    <row r="593" spans="1:7" s="265" customFormat="1" ht="14.25" customHeight="1" x14ac:dyDescent="0.2">
      <c r="A593" s="328" t="s">
        <v>763</v>
      </c>
      <c r="B593" s="353">
        <v>4349.248664685867</v>
      </c>
      <c r="C593" s="350" t="s">
        <v>189</v>
      </c>
      <c r="D593" s="350" t="s">
        <v>189</v>
      </c>
      <c r="E593" s="350" t="s">
        <v>189</v>
      </c>
      <c r="F593" s="350" t="s">
        <v>189</v>
      </c>
      <c r="G593" s="350" t="s">
        <v>189</v>
      </c>
    </row>
    <row r="594" spans="1:7" s="265" customFormat="1" ht="12" customHeight="1" x14ac:dyDescent="0.2">
      <c r="A594" s="328" t="s">
        <v>764</v>
      </c>
      <c r="B594" s="353">
        <v>3504.4603945689328</v>
      </c>
      <c r="C594" s="350" t="s">
        <v>189</v>
      </c>
      <c r="D594" s="350" t="s">
        <v>189</v>
      </c>
      <c r="E594" s="350" t="s">
        <v>189</v>
      </c>
      <c r="F594" s="350" t="s">
        <v>189</v>
      </c>
      <c r="G594" s="350" t="s">
        <v>189</v>
      </c>
    </row>
    <row r="595" spans="1:7" s="265" customFormat="1" ht="12" customHeight="1" x14ac:dyDescent="0.2">
      <c r="A595" s="325" t="s">
        <v>765</v>
      </c>
      <c r="B595" s="353" t="s">
        <v>494</v>
      </c>
      <c r="C595" s="350" t="s">
        <v>189</v>
      </c>
      <c r="D595" s="350" t="s">
        <v>189</v>
      </c>
      <c r="E595" s="350" t="s">
        <v>189</v>
      </c>
      <c r="F595" s="350" t="s">
        <v>189</v>
      </c>
      <c r="G595" s="350" t="s">
        <v>189</v>
      </c>
    </row>
    <row r="596" spans="1:7" s="265" customFormat="1" ht="13.5" customHeight="1" x14ac:dyDescent="0.2">
      <c r="A596" s="77" t="s">
        <v>766</v>
      </c>
      <c r="B596" s="353" t="s">
        <v>494</v>
      </c>
      <c r="C596" s="353" t="s">
        <v>494</v>
      </c>
      <c r="D596" s="353" t="s">
        <v>494</v>
      </c>
      <c r="E596" s="353" t="s">
        <v>494</v>
      </c>
      <c r="F596" s="353" t="s">
        <v>494</v>
      </c>
      <c r="G596" s="353" t="s">
        <v>494</v>
      </c>
    </row>
    <row r="597" spans="1:7" x14ac:dyDescent="0.25">
      <c r="A597"/>
      <c r="B597"/>
      <c r="C597"/>
      <c r="D597"/>
      <c r="E597"/>
    </row>
    <row r="598" spans="1:7" x14ac:dyDescent="0.25">
      <c r="A598" s="78" t="s">
        <v>767</v>
      </c>
      <c r="B598" s="79">
        <f>B520</f>
        <v>7853.7090592547993</v>
      </c>
      <c r="C598" s="79">
        <f t="shared" ref="C598:G598" si="11">C520</f>
        <v>9418.7606550076798</v>
      </c>
      <c r="D598" s="79">
        <f t="shared" si="11"/>
        <v>1108.4205949512345</v>
      </c>
      <c r="E598" s="79">
        <f t="shared" si="11"/>
        <v>14.91067980114685</v>
      </c>
      <c r="F598" s="79">
        <f t="shared" si="11"/>
        <v>363.40666610922074</v>
      </c>
      <c r="G598" s="79" t="str">
        <f t="shared" si="11"/>
        <v>NA</v>
      </c>
    </row>
    <row r="599" spans="1:7" x14ac:dyDescent="0.25">
      <c r="A599"/>
      <c r="B599"/>
      <c r="C599"/>
      <c r="D599"/>
      <c r="E599"/>
    </row>
    <row r="601" spans="1:7" ht="15.75" x14ac:dyDescent="0.25">
      <c r="A601" s="231" t="s">
        <v>768</v>
      </c>
      <c r="B601" s="236"/>
      <c r="C601" s="236"/>
      <c r="D601" s="236"/>
      <c r="E601" s="236"/>
      <c r="F601" s="236"/>
      <c r="G601" s="57" t="s">
        <v>478</v>
      </c>
    </row>
    <row r="602" spans="1:7" ht="15.75" x14ac:dyDescent="0.25">
      <c r="A602" s="231" t="s">
        <v>667</v>
      </c>
      <c r="B602" s="236"/>
      <c r="C602" s="236"/>
      <c r="D602" s="236"/>
      <c r="E602" s="236"/>
      <c r="F602" s="236"/>
      <c r="G602" s="57" t="s">
        <v>3427</v>
      </c>
    </row>
    <row r="603" spans="1:7" x14ac:dyDescent="0.25">
      <c r="A603" s="236"/>
      <c r="B603" s="236"/>
      <c r="C603" s="236"/>
      <c r="D603" s="236"/>
      <c r="E603" s="236"/>
      <c r="F603" s="236"/>
      <c r="G603" s="57" t="s">
        <v>479</v>
      </c>
    </row>
    <row r="604" spans="1:7" x14ac:dyDescent="0.25">
      <c r="A604" s="236"/>
      <c r="B604" s="236"/>
      <c r="C604" s="236"/>
      <c r="D604" s="236"/>
      <c r="E604" s="236"/>
      <c r="F604" s="236"/>
      <c r="G604" s="266"/>
    </row>
    <row r="605" spans="1:7" ht="54" customHeight="1" x14ac:dyDescent="0.25">
      <c r="A605" s="449" t="s">
        <v>480</v>
      </c>
      <c r="B605" s="80" t="s">
        <v>769</v>
      </c>
      <c r="C605" s="80" t="s">
        <v>770</v>
      </c>
      <c r="D605" s="80" t="s">
        <v>771</v>
      </c>
      <c r="E605" s="80" t="s">
        <v>619</v>
      </c>
      <c r="F605" s="80" t="s">
        <v>485</v>
      </c>
      <c r="G605" s="80" t="s">
        <v>486</v>
      </c>
    </row>
    <row r="606" spans="1:7" ht="15.75" thickBot="1" x14ac:dyDescent="0.3">
      <c r="A606" s="450"/>
      <c r="B606" s="451" t="s">
        <v>488</v>
      </c>
      <c r="C606" s="452"/>
      <c r="D606" s="452"/>
      <c r="E606" s="452"/>
      <c r="F606" s="452"/>
      <c r="G606" s="453"/>
    </row>
    <row r="607" spans="1:7" ht="15.75" thickTop="1" x14ac:dyDescent="0.25">
      <c r="A607" s="81" t="s">
        <v>772</v>
      </c>
      <c r="B607" s="353">
        <v>-831125.53638504399</v>
      </c>
      <c r="C607" s="353">
        <v>1234.7394602571119</v>
      </c>
      <c r="D607" s="353">
        <v>35.11369899647039</v>
      </c>
      <c r="E607" s="353">
        <v>141.59499629999999</v>
      </c>
      <c r="F607" s="353">
        <v>7641.6606409999995</v>
      </c>
      <c r="G607" s="353" t="s">
        <v>517</v>
      </c>
    </row>
    <row r="608" spans="1:7" x14ac:dyDescent="0.25">
      <c r="A608" s="82" t="s">
        <v>773</v>
      </c>
      <c r="B608" s="353">
        <v>-680293.34243705962</v>
      </c>
      <c r="C608" s="353">
        <v>260.14196732065915</v>
      </c>
      <c r="D608" s="353">
        <v>22.501521677555012</v>
      </c>
      <c r="E608" s="353">
        <v>120.1226453</v>
      </c>
      <c r="F608" s="353">
        <v>7283.7881829999997</v>
      </c>
      <c r="G608" s="353" t="s">
        <v>517</v>
      </c>
    </row>
    <row r="609" spans="1:7" x14ac:dyDescent="0.25">
      <c r="A609" s="373" t="s">
        <v>774</v>
      </c>
      <c r="B609" s="353">
        <v>-581225.21712432243</v>
      </c>
      <c r="C609" s="353">
        <v>259.58656569999999</v>
      </c>
      <c r="D609" s="353">
        <v>22.303775677555009</v>
      </c>
      <c r="E609" s="351">
        <v>120.1226453</v>
      </c>
      <c r="F609" s="351">
        <v>7283.7881829999997</v>
      </c>
      <c r="G609" s="351" t="s">
        <v>521</v>
      </c>
    </row>
    <row r="610" spans="1:7" x14ac:dyDescent="0.25">
      <c r="A610" s="374" t="s">
        <v>775</v>
      </c>
      <c r="B610" s="353">
        <v>-99068.125312737131</v>
      </c>
      <c r="C610" s="353" t="s">
        <v>496</v>
      </c>
      <c r="D610" s="353" t="s">
        <v>3134</v>
      </c>
      <c r="E610" s="351" t="s">
        <v>494</v>
      </c>
      <c r="F610" s="351" t="s">
        <v>494</v>
      </c>
      <c r="G610" s="351" t="s">
        <v>494</v>
      </c>
    </row>
    <row r="611" spans="1:7" x14ac:dyDescent="0.25">
      <c r="A611" s="375" t="s">
        <v>776</v>
      </c>
      <c r="B611" s="353">
        <v>23030.524805171535</v>
      </c>
      <c r="C611" s="353" t="s">
        <v>3140</v>
      </c>
      <c r="D611" s="353" t="s">
        <v>3140</v>
      </c>
      <c r="E611" s="353" t="s">
        <v>494</v>
      </c>
      <c r="F611" s="353" t="s">
        <v>494</v>
      </c>
      <c r="G611" s="353" t="s">
        <v>494</v>
      </c>
    </row>
    <row r="612" spans="1:7" x14ac:dyDescent="0.25">
      <c r="A612" s="373" t="s">
        <v>777</v>
      </c>
      <c r="B612" s="353">
        <v>-29001.50383515003</v>
      </c>
      <c r="C612" s="353" t="s">
        <v>592</v>
      </c>
      <c r="D612" s="353" t="s">
        <v>592</v>
      </c>
      <c r="E612" s="351" t="s">
        <v>494</v>
      </c>
      <c r="F612" s="351" t="s">
        <v>494</v>
      </c>
      <c r="G612" s="351" t="s">
        <v>494</v>
      </c>
    </row>
    <row r="613" spans="1:7" x14ac:dyDescent="0.25">
      <c r="A613" s="373" t="s">
        <v>778</v>
      </c>
      <c r="B613" s="353">
        <v>52032.028640321565</v>
      </c>
      <c r="C613" s="353" t="s">
        <v>592</v>
      </c>
      <c r="D613" s="353" t="s">
        <v>592</v>
      </c>
      <c r="E613" s="351" t="s">
        <v>494</v>
      </c>
      <c r="F613" s="351" t="s">
        <v>494</v>
      </c>
      <c r="G613" s="351" t="s">
        <v>494</v>
      </c>
    </row>
    <row r="614" spans="1:7" x14ac:dyDescent="0.25">
      <c r="A614" s="82" t="s">
        <v>779</v>
      </c>
      <c r="B614" s="353">
        <v>-28216.102686357408</v>
      </c>
      <c r="C614" s="353">
        <v>12.663181</v>
      </c>
      <c r="D614" s="353">
        <v>1.1562030000000001</v>
      </c>
      <c r="E614" s="353">
        <v>21.472351</v>
      </c>
      <c r="F614" s="353">
        <v>357.87245800000005</v>
      </c>
      <c r="G614" s="353" t="s">
        <v>494</v>
      </c>
    </row>
    <row r="615" spans="1:7" x14ac:dyDescent="0.25">
      <c r="A615" s="373" t="s">
        <v>780</v>
      </c>
      <c r="B615" s="353">
        <v>8734.4840051914307</v>
      </c>
      <c r="C615" s="353">
        <v>12.663181</v>
      </c>
      <c r="D615" s="353">
        <v>1.1562030000000001</v>
      </c>
      <c r="E615" s="351">
        <v>21.472351</v>
      </c>
      <c r="F615" s="351">
        <v>357.87245800000005</v>
      </c>
      <c r="G615" s="351" t="s">
        <v>494</v>
      </c>
    </row>
    <row r="616" spans="1:7" x14ac:dyDescent="0.25">
      <c r="A616" s="374" t="s">
        <v>781</v>
      </c>
      <c r="B616" s="353">
        <v>-36950.586691548837</v>
      </c>
      <c r="C616" s="353" t="s">
        <v>521</v>
      </c>
      <c r="D616" s="353" t="s">
        <v>592</v>
      </c>
      <c r="E616" s="351" t="s">
        <v>494</v>
      </c>
      <c r="F616" s="351" t="s">
        <v>494</v>
      </c>
      <c r="G616" s="351" t="s">
        <v>494</v>
      </c>
    </row>
    <row r="617" spans="1:7" x14ac:dyDescent="0.25">
      <c r="A617" s="375" t="s">
        <v>782</v>
      </c>
      <c r="B617" s="353">
        <v>-5742.2251556353804</v>
      </c>
      <c r="C617" s="353">
        <v>961.93431193645267</v>
      </c>
      <c r="D617" s="353">
        <v>0.59525414428571</v>
      </c>
      <c r="E617" s="353" t="s">
        <v>494</v>
      </c>
      <c r="F617" s="353" t="s">
        <v>494</v>
      </c>
      <c r="G617" s="353" t="s">
        <v>494</v>
      </c>
    </row>
    <row r="618" spans="1:7" x14ac:dyDescent="0.25">
      <c r="A618" s="373" t="s">
        <v>783</v>
      </c>
      <c r="B618" s="353">
        <v>-10133.615543726639</v>
      </c>
      <c r="C618" s="353" t="s">
        <v>521</v>
      </c>
      <c r="D618" s="353">
        <v>0.59215403</v>
      </c>
      <c r="E618" s="351" t="s">
        <v>494</v>
      </c>
      <c r="F618" s="351" t="s">
        <v>494</v>
      </c>
      <c r="G618" s="351" t="s">
        <v>494</v>
      </c>
    </row>
    <row r="619" spans="1:7" x14ac:dyDescent="0.25">
      <c r="A619" s="373" t="s">
        <v>784</v>
      </c>
      <c r="B619" s="353">
        <v>469.44060909762544</v>
      </c>
      <c r="C619" s="353" t="s">
        <v>521</v>
      </c>
      <c r="D619" s="353" t="s">
        <v>517</v>
      </c>
      <c r="E619" s="351" t="s">
        <v>494</v>
      </c>
      <c r="F619" s="351" t="s">
        <v>494</v>
      </c>
      <c r="G619" s="351" t="s">
        <v>494</v>
      </c>
    </row>
    <row r="620" spans="1:7" x14ac:dyDescent="0.25">
      <c r="A620" s="82" t="s">
        <v>785</v>
      </c>
      <c r="B620" s="353">
        <v>-33858.519844496128</v>
      </c>
      <c r="C620" s="353" t="s">
        <v>521</v>
      </c>
      <c r="D620" s="353">
        <v>6.0475778530394004</v>
      </c>
      <c r="E620" s="353" t="s">
        <v>521</v>
      </c>
      <c r="F620" s="353" t="s">
        <v>521</v>
      </c>
      <c r="G620" s="353" t="s">
        <v>494</v>
      </c>
    </row>
    <row r="621" spans="1:7" x14ac:dyDescent="0.25">
      <c r="A621" s="373" t="s">
        <v>786</v>
      </c>
      <c r="B621" s="353">
        <v>-116642.3750794526</v>
      </c>
      <c r="C621" s="353" t="s">
        <v>521</v>
      </c>
      <c r="D621" s="353">
        <v>6.0475778530394004</v>
      </c>
      <c r="E621" s="351" t="s">
        <v>521</v>
      </c>
      <c r="F621" s="351" t="s">
        <v>521</v>
      </c>
      <c r="G621" s="351" t="s">
        <v>494</v>
      </c>
    </row>
    <row r="622" spans="1:7" x14ac:dyDescent="0.25">
      <c r="A622" s="374" t="s">
        <v>787</v>
      </c>
      <c r="B622" s="353">
        <v>82783.855234956471</v>
      </c>
      <c r="C622" s="353" t="s">
        <v>521</v>
      </c>
      <c r="D622" s="353" t="s">
        <v>592</v>
      </c>
      <c r="E622" s="351" t="s">
        <v>521</v>
      </c>
      <c r="F622" s="351" t="s">
        <v>521</v>
      </c>
      <c r="G622" s="351" t="s">
        <v>494</v>
      </c>
    </row>
    <row r="623" spans="1:7" x14ac:dyDescent="0.25">
      <c r="A623" s="375" t="s">
        <v>788</v>
      </c>
      <c r="B623" s="353" t="s">
        <v>521</v>
      </c>
      <c r="C623" s="353" t="s">
        <v>521</v>
      </c>
      <c r="D623" s="353" t="s">
        <v>521</v>
      </c>
      <c r="E623" s="353" t="s">
        <v>494</v>
      </c>
      <c r="F623" s="353" t="s">
        <v>494</v>
      </c>
      <c r="G623" s="353" t="s">
        <v>494</v>
      </c>
    </row>
    <row r="624" spans="1:7" x14ac:dyDescent="0.25">
      <c r="A624" s="373" t="s">
        <v>789</v>
      </c>
      <c r="B624" s="350" t="s">
        <v>189</v>
      </c>
      <c r="C624" s="350" t="s">
        <v>189</v>
      </c>
      <c r="D624" s="350" t="s">
        <v>189</v>
      </c>
      <c r="E624" s="350" t="s">
        <v>189</v>
      </c>
      <c r="F624" s="350" t="s">
        <v>189</v>
      </c>
      <c r="G624" s="350" t="s">
        <v>189</v>
      </c>
    </row>
    <row r="625" spans="1:8" x14ac:dyDescent="0.25">
      <c r="A625" s="373" t="s">
        <v>790</v>
      </c>
      <c r="B625" s="353" t="s">
        <v>521</v>
      </c>
      <c r="C625" s="353" t="s">
        <v>521</v>
      </c>
      <c r="D625" s="353" t="s">
        <v>521</v>
      </c>
      <c r="E625" s="351" t="s">
        <v>494</v>
      </c>
      <c r="F625" s="351" t="s">
        <v>494</v>
      </c>
      <c r="G625" s="351" t="s">
        <v>494</v>
      </c>
    </row>
    <row r="626" spans="1:8" x14ac:dyDescent="0.25">
      <c r="A626" s="82" t="s">
        <v>791</v>
      </c>
      <c r="B626" s="353">
        <v>-106045.87106666707</v>
      </c>
      <c r="C626" s="350" t="s">
        <v>189</v>
      </c>
      <c r="D626" s="350" t="s">
        <v>189</v>
      </c>
      <c r="E626" s="350" t="s">
        <v>189</v>
      </c>
      <c r="F626" s="350" t="s">
        <v>189</v>
      </c>
      <c r="G626" s="350" t="s">
        <v>189</v>
      </c>
    </row>
    <row r="627" spans="1:8" x14ac:dyDescent="0.25">
      <c r="A627" s="376" t="s">
        <v>792</v>
      </c>
      <c r="B627" s="353" t="s">
        <v>3140</v>
      </c>
      <c r="C627" s="353" t="s">
        <v>517</v>
      </c>
      <c r="D627" s="353">
        <v>2.41583792</v>
      </c>
      <c r="E627" s="353" t="s">
        <v>494</v>
      </c>
      <c r="F627" s="353" t="s">
        <v>494</v>
      </c>
      <c r="G627" s="353" t="s">
        <v>494</v>
      </c>
    </row>
    <row r="628" spans="1:8" x14ac:dyDescent="0.25">
      <c r="A628" s="359" t="s">
        <v>793</v>
      </c>
      <c r="B628" s="353" t="s">
        <v>3140</v>
      </c>
      <c r="C628" s="353" t="s">
        <v>517</v>
      </c>
      <c r="D628" s="353">
        <v>2.41583792</v>
      </c>
      <c r="E628" s="353" t="s">
        <v>494</v>
      </c>
      <c r="F628" s="353" t="s">
        <v>494</v>
      </c>
      <c r="G628" s="353" t="s">
        <v>494</v>
      </c>
    </row>
    <row r="630" spans="1:8" x14ac:dyDescent="0.25">
      <c r="A630" s="58" t="s">
        <v>794</v>
      </c>
      <c r="B630" s="59">
        <f>B607</f>
        <v>-831125.53638504399</v>
      </c>
      <c r="C630" s="70">
        <f t="shared" ref="C630:G630" si="12">C607</f>
        <v>1234.7394602571119</v>
      </c>
      <c r="D630" s="70">
        <f t="shared" si="12"/>
        <v>35.11369899647039</v>
      </c>
      <c r="E630" s="70">
        <f t="shared" si="12"/>
        <v>141.59499629999999</v>
      </c>
      <c r="F630" s="70">
        <f t="shared" si="12"/>
        <v>7641.6606409999995</v>
      </c>
      <c r="G630" s="70" t="str">
        <f t="shared" si="12"/>
        <v>NE,NA</v>
      </c>
    </row>
    <row r="633" spans="1:8" ht="15.75" x14ac:dyDescent="0.25">
      <c r="A633" s="456" t="s">
        <v>795</v>
      </c>
      <c r="B633" s="456"/>
      <c r="C633" s="236"/>
      <c r="D633" s="236"/>
      <c r="E633" s="236"/>
      <c r="F633" s="236"/>
      <c r="G633" s="236"/>
      <c r="H633" s="57" t="s">
        <v>478</v>
      </c>
    </row>
    <row r="634" spans="1:8" ht="15.75" x14ac:dyDescent="0.25">
      <c r="A634" s="251" t="s">
        <v>667</v>
      </c>
      <c r="B634" s="60"/>
      <c r="C634" s="236"/>
      <c r="D634" s="236"/>
      <c r="E634" s="236"/>
      <c r="F634" s="236"/>
      <c r="G634" s="236"/>
      <c r="H634" s="57" t="s">
        <v>3427</v>
      </c>
    </row>
    <row r="635" spans="1:8" x14ac:dyDescent="0.25">
      <c r="A635" s="236"/>
      <c r="B635" s="236"/>
      <c r="C635" s="236"/>
      <c r="D635" s="236"/>
      <c r="E635" s="236"/>
      <c r="F635" s="236"/>
      <c r="G635" s="236"/>
      <c r="H635" s="57" t="s">
        <v>479</v>
      </c>
    </row>
    <row r="636" spans="1:8" x14ac:dyDescent="0.25">
      <c r="A636" s="236"/>
      <c r="B636" s="236"/>
      <c r="C636" s="236"/>
      <c r="D636" s="236"/>
      <c r="E636" s="236"/>
      <c r="F636" s="236"/>
      <c r="G636" s="236"/>
      <c r="H636" s="267"/>
    </row>
    <row r="637" spans="1:8" x14ac:dyDescent="0.25">
      <c r="A637" s="444" t="s">
        <v>796</v>
      </c>
      <c r="B637" s="268" t="s">
        <v>797</v>
      </c>
      <c r="C637" s="269" t="s">
        <v>482</v>
      </c>
      <c r="D637" s="269" t="s">
        <v>483</v>
      </c>
      <c r="E637" s="269" t="s">
        <v>619</v>
      </c>
      <c r="F637" s="270" t="s">
        <v>485</v>
      </c>
      <c r="G637" s="271" t="s">
        <v>486</v>
      </c>
      <c r="H637" s="270" t="s">
        <v>620</v>
      </c>
    </row>
    <row r="638" spans="1:8" ht="15.75" thickBot="1" x14ac:dyDescent="0.3">
      <c r="A638" s="445"/>
      <c r="B638" s="446" t="s">
        <v>488</v>
      </c>
      <c r="C638" s="447"/>
      <c r="D638" s="447"/>
      <c r="E638" s="447"/>
      <c r="F638" s="447"/>
      <c r="G638" s="447"/>
      <c r="H638" s="448"/>
    </row>
    <row r="639" spans="1:8" ht="15.75" thickTop="1" x14ac:dyDescent="0.25">
      <c r="A639" s="272" t="s">
        <v>798</v>
      </c>
      <c r="B639" s="353" t="s">
        <v>3135</v>
      </c>
      <c r="C639" s="353">
        <v>6143.8266127488378</v>
      </c>
      <c r="D639" s="353">
        <v>73.757520658580603</v>
      </c>
      <c r="E639" s="353">
        <v>2.3460190219567099</v>
      </c>
      <c r="F639" s="353">
        <v>6.5483463597946603</v>
      </c>
      <c r="G639" s="353">
        <v>114.39560414851302</v>
      </c>
      <c r="H639" s="353">
        <v>0.74349333311907995</v>
      </c>
    </row>
    <row r="640" spans="1:8" x14ac:dyDescent="0.25">
      <c r="A640" s="377" t="s">
        <v>800</v>
      </c>
      <c r="B640" s="353" t="s">
        <v>556</v>
      </c>
      <c r="C640" s="353">
        <v>5261.8993888836258</v>
      </c>
      <c r="D640" s="350" t="s">
        <v>189</v>
      </c>
      <c r="E640" s="353">
        <v>2.3460190219567099</v>
      </c>
      <c r="F640" s="353">
        <v>6.1117899358083498</v>
      </c>
      <c r="G640" s="353">
        <v>21.695718028166269</v>
      </c>
      <c r="H640" s="350" t="s">
        <v>189</v>
      </c>
    </row>
    <row r="641" spans="1:8" x14ac:dyDescent="0.25">
      <c r="A641" s="354" t="s">
        <v>801</v>
      </c>
      <c r="B641" s="353" t="s">
        <v>556</v>
      </c>
      <c r="C641" s="353">
        <v>5261.8993888836258</v>
      </c>
      <c r="D641" s="350" t="s">
        <v>189</v>
      </c>
      <c r="E641" s="351">
        <v>2.3460190219567099</v>
      </c>
      <c r="F641" s="351">
        <v>6.1117899358083498</v>
      </c>
      <c r="G641" s="351">
        <v>21.695718028166269</v>
      </c>
      <c r="H641" s="350" t="s">
        <v>189</v>
      </c>
    </row>
    <row r="642" spans="1:8" x14ac:dyDescent="0.25">
      <c r="A642" s="354" t="s">
        <v>802</v>
      </c>
      <c r="B642" s="353" t="s">
        <v>523</v>
      </c>
      <c r="C642" s="353" t="s">
        <v>523</v>
      </c>
      <c r="D642" s="350" t="s">
        <v>189</v>
      </c>
      <c r="E642" s="351" t="s">
        <v>523</v>
      </c>
      <c r="F642" s="351" t="s">
        <v>523</v>
      </c>
      <c r="G642" s="351" t="s">
        <v>523</v>
      </c>
      <c r="H642" s="350" t="s">
        <v>189</v>
      </c>
    </row>
    <row r="643" spans="1:8" x14ac:dyDescent="0.25">
      <c r="A643" s="378" t="s">
        <v>803</v>
      </c>
      <c r="B643" s="353" t="s">
        <v>523</v>
      </c>
      <c r="C643" s="353" t="s">
        <v>523</v>
      </c>
      <c r="D643" s="350" t="s">
        <v>189</v>
      </c>
      <c r="E643" s="353" t="s">
        <v>523</v>
      </c>
      <c r="F643" s="353" t="s">
        <v>523</v>
      </c>
      <c r="G643" s="353" t="s">
        <v>523</v>
      </c>
      <c r="H643" s="350" t="s">
        <v>189</v>
      </c>
    </row>
    <row r="644" spans="1:8" x14ac:dyDescent="0.25">
      <c r="A644" s="377" t="s">
        <v>804</v>
      </c>
      <c r="B644" s="350" t="s">
        <v>189</v>
      </c>
      <c r="C644" s="353">
        <v>76.365222930707887</v>
      </c>
      <c r="D644" s="353">
        <v>5.5964614607999996</v>
      </c>
      <c r="E644" s="353" t="s">
        <v>521</v>
      </c>
      <c r="F644" s="353" t="s">
        <v>521</v>
      </c>
      <c r="G644" s="353" t="s">
        <v>521</v>
      </c>
      <c r="H644" s="350" t="s">
        <v>189</v>
      </c>
    </row>
    <row r="645" spans="1:8" x14ac:dyDescent="0.25">
      <c r="A645" s="379" t="s">
        <v>805</v>
      </c>
      <c r="B645" s="350" t="s">
        <v>189</v>
      </c>
      <c r="C645" s="353">
        <v>74.619486144000007</v>
      </c>
      <c r="D645" s="353">
        <v>5.5964614607999996</v>
      </c>
      <c r="E645" s="351" t="s">
        <v>521</v>
      </c>
      <c r="F645" s="351" t="s">
        <v>521</v>
      </c>
      <c r="G645" s="351" t="s">
        <v>521</v>
      </c>
      <c r="H645" s="350" t="s">
        <v>189</v>
      </c>
    </row>
    <row r="646" spans="1:8" x14ac:dyDescent="0.25">
      <c r="A646" s="379" t="s">
        <v>806</v>
      </c>
      <c r="B646" s="350" t="s">
        <v>189</v>
      </c>
      <c r="C646" s="353">
        <v>1.7457367867078699</v>
      </c>
      <c r="D646" s="353" t="s">
        <v>568</v>
      </c>
      <c r="E646" s="351" t="s">
        <v>521</v>
      </c>
      <c r="F646" s="351" t="s">
        <v>521</v>
      </c>
      <c r="G646" s="351" t="s">
        <v>521</v>
      </c>
      <c r="H646" s="350" t="s">
        <v>189</v>
      </c>
    </row>
    <row r="647" spans="1:8" x14ac:dyDescent="0.25">
      <c r="A647" s="377" t="s">
        <v>807</v>
      </c>
      <c r="B647" s="353" t="s">
        <v>528</v>
      </c>
      <c r="C647" s="353" t="s">
        <v>528</v>
      </c>
      <c r="D647" s="353" t="s">
        <v>528</v>
      </c>
      <c r="E647" s="353" t="s">
        <v>528</v>
      </c>
      <c r="F647" s="353" t="s">
        <v>528</v>
      </c>
      <c r="G647" s="353" t="s">
        <v>528</v>
      </c>
      <c r="H647" s="353" t="s">
        <v>528</v>
      </c>
    </row>
    <row r="648" spans="1:8" x14ac:dyDescent="0.25">
      <c r="A648" s="354" t="s">
        <v>808</v>
      </c>
      <c r="B648" s="353" t="s">
        <v>496</v>
      </c>
      <c r="C648" s="353" t="s">
        <v>528</v>
      </c>
      <c r="D648" s="353" t="s">
        <v>528</v>
      </c>
      <c r="E648" s="351" t="s">
        <v>496</v>
      </c>
      <c r="F648" s="351" t="s">
        <v>496</v>
      </c>
      <c r="G648" s="351" t="s">
        <v>496</v>
      </c>
      <c r="H648" s="351" t="s">
        <v>496</v>
      </c>
    </row>
    <row r="649" spans="1:8" x14ac:dyDescent="0.25">
      <c r="A649" s="354" t="s">
        <v>809</v>
      </c>
      <c r="B649" s="353" t="s">
        <v>494</v>
      </c>
      <c r="C649" s="353" t="s">
        <v>494</v>
      </c>
      <c r="D649" s="353" t="s">
        <v>494</v>
      </c>
      <c r="E649" s="351" t="s">
        <v>494</v>
      </c>
      <c r="F649" s="351" t="s">
        <v>494</v>
      </c>
      <c r="G649" s="351" t="s">
        <v>494</v>
      </c>
      <c r="H649" s="351" t="s">
        <v>494</v>
      </c>
    </row>
    <row r="650" spans="1:8" x14ac:dyDescent="0.25">
      <c r="A650" s="377" t="s">
        <v>810</v>
      </c>
      <c r="B650" s="350" t="s">
        <v>189</v>
      </c>
      <c r="C650" s="353">
        <v>805.56200093450445</v>
      </c>
      <c r="D650" s="353">
        <v>68.161059197780617</v>
      </c>
      <c r="E650" s="353" t="s">
        <v>568</v>
      </c>
      <c r="F650" s="353">
        <v>0.43655642398631</v>
      </c>
      <c r="G650" s="353">
        <v>49.308450064014231</v>
      </c>
      <c r="H650" s="350" t="s">
        <v>189</v>
      </c>
    </row>
    <row r="651" spans="1:8" x14ac:dyDescent="0.25">
      <c r="A651" s="354" t="s">
        <v>811</v>
      </c>
      <c r="B651" s="350" t="s">
        <v>189</v>
      </c>
      <c r="C651" s="353">
        <v>566.94660201297143</v>
      </c>
      <c r="D651" s="353">
        <v>66.504112399504038</v>
      </c>
      <c r="E651" s="351" t="s">
        <v>523</v>
      </c>
      <c r="F651" s="351">
        <v>0.43655642398631</v>
      </c>
      <c r="G651" s="351">
        <v>33.529746043529677</v>
      </c>
      <c r="H651" s="350" t="s">
        <v>189</v>
      </c>
    </row>
    <row r="652" spans="1:8" x14ac:dyDescent="0.25">
      <c r="A652" s="354" t="s">
        <v>812</v>
      </c>
      <c r="B652" s="350" t="s">
        <v>189</v>
      </c>
      <c r="C652" s="353">
        <v>238.61539892153306</v>
      </c>
      <c r="D652" s="353">
        <v>1.65694679827657</v>
      </c>
      <c r="E652" s="351" t="s">
        <v>523</v>
      </c>
      <c r="F652" s="351" t="s">
        <v>523</v>
      </c>
      <c r="G652" s="351">
        <v>15.77870402048455</v>
      </c>
      <c r="H652" s="350" t="s">
        <v>189</v>
      </c>
    </row>
    <row r="653" spans="1:8" x14ac:dyDescent="0.25">
      <c r="A653" s="354" t="s">
        <v>3436</v>
      </c>
      <c r="B653" s="350" t="s">
        <v>189</v>
      </c>
      <c r="C653" s="353" t="s">
        <v>496</v>
      </c>
      <c r="D653" s="353" t="s">
        <v>496</v>
      </c>
      <c r="E653" s="353" t="s">
        <v>496</v>
      </c>
      <c r="F653" s="353" t="s">
        <v>496</v>
      </c>
      <c r="G653" s="353" t="s">
        <v>496</v>
      </c>
      <c r="H653" s="350" t="s">
        <v>189</v>
      </c>
    </row>
    <row r="654" spans="1:8" x14ac:dyDescent="0.25">
      <c r="A654" s="377" t="s">
        <v>3437</v>
      </c>
      <c r="B654" s="353" t="s">
        <v>494</v>
      </c>
      <c r="C654" s="353" t="s">
        <v>494</v>
      </c>
      <c r="D654" s="353" t="s">
        <v>494</v>
      </c>
      <c r="E654" s="353" t="s">
        <v>523</v>
      </c>
      <c r="F654" s="353" t="s">
        <v>523</v>
      </c>
      <c r="G654" s="353">
        <v>43.391436056332523</v>
      </c>
      <c r="H654" s="353">
        <v>0.74349333311907995</v>
      </c>
    </row>
    <row r="655" spans="1:8" x14ac:dyDescent="0.25">
      <c r="A655" s="359" t="s">
        <v>572</v>
      </c>
      <c r="B655" s="351" t="s">
        <v>494</v>
      </c>
      <c r="C655" s="351" t="s">
        <v>494</v>
      </c>
      <c r="D655" s="351" t="s">
        <v>494</v>
      </c>
      <c r="E655" s="351" t="s">
        <v>523</v>
      </c>
      <c r="F655" s="351" t="s">
        <v>523</v>
      </c>
      <c r="G655" s="351">
        <v>43.391436056332523</v>
      </c>
      <c r="H655" s="351">
        <v>0.74349333311907995</v>
      </c>
    </row>
    <row r="656" spans="1:8" x14ac:dyDescent="0.25">
      <c r="A656" s="377" t="s">
        <v>813</v>
      </c>
      <c r="B656" s="350" t="s">
        <v>189</v>
      </c>
      <c r="C656" s="350" t="s">
        <v>189</v>
      </c>
      <c r="D656" s="350" t="s">
        <v>189</v>
      </c>
      <c r="E656" s="350" t="s">
        <v>189</v>
      </c>
      <c r="F656" s="350" t="s">
        <v>189</v>
      </c>
      <c r="G656" s="350" t="s">
        <v>189</v>
      </c>
      <c r="H656" s="350" t="s">
        <v>189</v>
      </c>
    </row>
    <row r="657" spans="1:8" x14ac:dyDescent="0.25">
      <c r="A657" s="379" t="s">
        <v>814</v>
      </c>
      <c r="B657" s="351">
        <v>11397.929630279281</v>
      </c>
      <c r="C657" s="350" t="s">
        <v>189</v>
      </c>
      <c r="D657" s="350" t="s">
        <v>189</v>
      </c>
      <c r="E657" s="350" t="s">
        <v>189</v>
      </c>
      <c r="F657" s="350" t="s">
        <v>189</v>
      </c>
      <c r="G657" s="350" t="s">
        <v>189</v>
      </c>
      <c r="H657" s="350" t="s">
        <v>189</v>
      </c>
    </row>
    <row r="658" spans="1:8" x14ac:dyDescent="0.25">
      <c r="A658" s="379" t="s">
        <v>815</v>
      </c>
      <c r="B658" s="351" t="s">
        <v>494</v>
      </c>
      <c r="C658" s="350" t="s">
        <v>189</v>
      </c>
      <c r="D658" s="350" t="s">
        <v>189</v>
      </c>
      <c r="E658" s="350" t="s">
        <v>189</v>
      </c>
      <c r="F658" s="350" t="s">
        <v>189</v>
      </c>
      <c r="G658" s="350" t="s">
        <v>189</v>
      </c>
      <c r="H658" s="350" t="s">
        <v>189</v>
      </c>
    </row>
    <row r="659" spans="1:8" x14ac:dyDescent="0.25">
      <c r="A659" s="380" t="s">
        <v>3438</v>
      </c>
      <c r="B659" s="351" t="s">
        <v>494</v>
      </c>
      <c r="C659" s="350" t="s">
        <v>189</v>
      </c>
      <c r="D659" s="350" t="s">
        <v>189</v>
      </c>
      <c r="E659" s="350" t="s">
        <v>189</v>
      </c>
      <c r="F659" s="350" t="s">
        <v>189</v>
      </c>
      <c r="G659" s="350" t="s">
        <v>189</v>
      </c>
      <c r="H659" s="350" t="s">
        <v>189</v>
      </c>
    </row>
    <row r="661" spans="1:8" x14ac:dyDescent="0.25">
      <c r="A661" s="58" t="s">
        <v>816</v>
      </c>
      <c r="B661" s="70" t="str">
        <f>B639</f>
        <v>NO,IE,NA</v>
      </c>
      <c r="C661" s="70">
        <f t="shared" ref="C661:H661" si="13">C639</f>
        <v>6143.8266127488378</v>
      </c>
      <c r="D661" s="70">
        <f t="shared" si="13"/>
        <v>73.757520658580603</v>
      </c>
      <c r="E661" s="70">
        <f t="shared" si="13"/>
        <v>2.3460190219567099</v>
      </c>
      <c r="F661" s="70">
        <f t="shared" si="13"/>
        <v>6.5483463597946603</v>
      </c>
      <c r="G661" s="70">
        <f t="shared" si="13"/>
        <v>114.39560414851302</v>
      </c>
      <c r="H661" s="70">
        <f t="shared" si="13"/>
        <v>0.74349333311907995</v>
      </c>
    </row>
    <row r="664" spans="1:8" ht="18" x14ac:dyDescent="0.25">
      <c r="A664" s="58" t="s">
        <v>817</v>
      </c>
      <c r="B664" s="83" t="s">
        <v>818</v>
      </c>
      <c r="C664" s="83" t="s">
        <v>819</v>
      </c>
      <c r="D664" s="83" t="s">
        <v>820</v>
      </c>
      <c r="E664" s="83" t="s">
        <v>821</v>
      </c>
      <c r="F664" s="83" t="s">
        <v>485</v>
      </c>
      <c r="G664" s="83" t="s">
        <v>486</v>
      </c>
      <c r="H664" s="83" t="s">
        <v>822</v>
      </c>
    </row>
    <row r="665" spans="1:8" x14ac:dyDescent="0.25">
      <c r="A665" s="229" t="s">
        <v>3713</v>
      </c>
      <c r="B665" s="230">
        <f t="shared" ref="B665:B672" si="14">B59</f>
        <v>5935361.2048846316</v>
      </c>
      <c r="C665" s="230">
        <f t="shared" ref="C665:H665" si="15">C59</f>
        <v>12331.35516763239</v>
      </c>
      <c r="D665" s="230">
        <f t="shared" si="15"/>
        <v>255.41813011993699</v>
      </c>
      <c r="E665" s="230">
        <f t="shared" si="15"/>
        <v>16601.736021301014</v>
      </c>
      <c r="F665" s="230">
        <f t="shared" si="15"/>
        <v>64984.511311122282</v>
      </c>
      <c r="G665" s="230">
        <f t="shared" si="15"/>
        <v>7345.4310275876951</v>
      </c>
      <c r="H665" s="230">
        <f t="shared" si="15"/>
        <v>12364.091048770906</v>
      </c>
    </row>
    <row r="666" spans="1:8" s="9" customFormat="1" x14ac:dyDescent="0.25">
      <c r="A666" s="229" t="s">
        <v>823</v>
      </c>
      <c r="B666" s="230">
        <f t="shared" si="14"/>
        <v>6048689.0414711749</v>
      </c>
      <c r="C666" s="230">
        <f t="shared" ref="C666:H672" si="16">C60</f>
        <v>12336.648060651123</v>
      </c>
      <c r="D666" s="230">
        <f t="shared" si="16"/>
        <v>258.66228519992751</v>
      </c>
      <c r="E666" s="230">
        <f t="shared" si="16"/>
        <v>18301.073699767901</v>
      </c>
      <c r="F666" s="230">
        <f t="shared" si="16"/>
        <v>65115.232968226752</v>
      </c>
      <c r="G666" s="230">
        <f t="shared" si="16"/>
        <v>7399.0875263533071</v>
      </c>
      <c r="H666" s="230">
        <f t="shared" si="16"/>
        <v>12364.091048770906</v>
      </c>
    </row>
    <row r="667" spans="1:8" s="3" customFormat="1" x14ac:dyDescent="0.25">
      <c r="A667" s="228" t="s">
        <v>93</v>
      </c>
      <c r="B667" s="84">
        <f t="shared" si="14"/>
        <v>2400057.4856406469</v>
      </c>
      <c r="C667" s="84">
        <f t="shared" si="16"/>
        <v>34.823479419570468</v>
      </c>
      <c r="D667" s="84">
        <f t="shared" si="16"/>
        <v>100.86538569159121</v>
      </c>
      <c r="E667" s="84">
        <f t="shared" si="16"/>
        <v>3434.4290996747714</v>
      </c>
      <c r="F667" s="84">
        <f t="shared" si="16"/>
        <v>581.83867235005948</v>
      </c>
      <c r="G667" s="84">
        <f t="shared" si="16"/>
        <v>43.701395420034459</v>
      </c>
      <c r="H667" s="84">
        <f t="shared" si="16"/>
        <v>9439.0432746602182</v>
      </c>
    </row>
    <row r="668" spans="1:8" s="3" customFormat="1" x14ac:dyDescent="0.25">
      <c r="A668" s="228" t="s">
        <v>4</v>
      </c>
      <c r="B668" s="84">
        <f t="shared" si="14"/>
        <v>1911442.8105552257</v>
      </c>
      <c r="C668" s="84">
        <f t="shared" si="16"/>
        <v>165.57291285866268</v>
      </c>
      <c r="D668" s="84">
        <f t="shared" si="16"/>
        <v>141.22138300660743</v>
      </c>
      <c r="E668" s="84">
        <f t="shared" si="16"/>
        <v>11993.96820796089</v>
      </c>
      <c r="F668" s="84">
        <f t="shared" si="16"/>
        <v>58745.519506243923</v>
      </c>
      <c r="G668" s="84">
        <f t="shared" si="16"/>
        <v>5777.2545334153529</v>
      </c>
      <c r="H668" s="84">
        <f t="shared" si="16"/>
        <v>618.63077203361581</v>
      </c>
    </row>
    <row r="669" spans="1:8" s="3" customFormat="1" x14ac:dyDescent="0.25">
      <c r="A669" s="228" t="s">
        <v>2429</v>
      </c>
      <c r="B669" s="84">
        <f t="shared" si="14"/>
        <v>586027.53370179143</v>
      </c>
      <c r="C669" s="84">
        <f t="shared" si="16"/>
        <v>205.33512877805845</v>
      </c>
      <c r="D669" s="84">
        <f t="shared" si="16"/>
        <v>4.0983274771096498</v>
      </c>
      <c r="E669" s="84">
        <f t="shared" si="16"/>
        <v>908.26373148672474</v>
      </c>
      <c r="F669" s="84">
        <f t="shared" si="16"/>
        <v>3021.64543736223</v>
      </c>
      <c r="G669" s="84">
        <f t="shared" si="16"/>
        <v>706.60096524296171</v>
      </c>
      <c r="H669" s="84">
        <f t="shared" si="16"/>
        <v>527.57585355553215</v>
      </c>
    </row>
    <row r="670" spans="1:8" s="3" customFormat="1" x14ac:dyDescent="0.25">
      <c r="A670" s="228" t="s">
        <v>9</v>
      </c>
      <c r="B670" s="84">
        <f t="shared" si="14"/>
        <v>1137620.3858851495</v>
      </c>
      <c r="C670" s="84">
        <f t="shared" si="16"/>
        <v>11930.898339782843</v>
      </c>
      <c r="D670" s="84">
        <f t="shared" si="16"/>
        <v>11.176634590788881</v>
      </c>
      <c r="E670" s="84">
        <f t="shared" si="16"/>
        <v>1964.4126606455166</v>
      </c>
      <c r="F670" s="84">
        <f t="shared" si="16"/>
        <v>2766.2293522705422</v>
      </c>
      <c r="G670" s="84">
        <f t="shared" si="16"/>
        <v>871.53063227495795</v>
      </c>
      <c r="H670" s="84">
        <f t="shared" si="16"/>
        <v>1778.8411485215402</v>
      </c>
    </row>
    <row r="671" spans="1:8" s="3" customFormat="1" x14ac:dyDescent="0.25">
      <c r="A671" s="228" t="s">
        <v>132</v>
      </c>
      <c r="B671" s="84">
        <f t="shared" si="14"/>
        <v>257.90976890459297</v>
      </c>
      <c r="C671" s="84">
        <f t="shared" si="16"/>
        <v>1.300499353749E-2</v>
      </c>
      <c r="D671" s="84">
        <f t="shared" si="16"/>
        <v>1.87845249299E-3</v>
      </c>
      <c r="E671" s="84" t="str">
        <f t="shared" si="16"/>
        <v>IE</v>
      </c>
      <c r="F671" s="84" t="str">
        <f t="shared" si="16"/>
        <v>IE</v>
      </c>
      <c r="G671" s="84" t="str">
        <f t="shared" si="16"/>
        <v>IE</v>
      </c>
      <c r="H671" s="84" t="str">
        <f t="shared" si="16"/>
        <v>IE</v>
      </c>
    </row>
    <row r="672" spans="1:8" s="3" customFormat="1" x14ac:dyDescent="0.25">
      <c r="A672" s="228" t="s">
        <v>3129</v>
      </c>
      <c r="B672" s="84">
        <f t="shared" si="14"/>
        <v>13282.915919456782</v>
      </c>
      <c r="C672" s="84">
        <f t="shared" si="16"/>
        <v>5.1948184495699996E-3</v>
      </c>
      <c r="D672" s="84">
        <f t="shared" si="16"/>
        <v>1.29867598133739</v>
      </c>
      <c r="E672" s="84">
        <f t="shared" si="16"/>
        <v>0</v>
      </c>
      <c r="F672" s="84">
        <f t="shared" si="16"/>
        <v>0</v>
      </c>
      <c r="G672" s="84">
        <f t="shared" si="16"/>
        <v>0</v>
      </c>
      <c r="H672" s="84">
        <f t="shared" si="16"/>
        <v>0</v>
      </c>
    </row>
    <row r="673" spans="1:36" x14ac:dyDescent="0.25">
      <c r="A673" s="229" t="s">
        <v>824</v>
      </c>
      <c r="B673" s="84">
        <f>G408</f>
        <v>22472.091458330953</v>
      </c>
      <c r="C673" s="84">
        <f>H408</f>
        <v>4.6925847366299997E-3</v>
      </c>
      <c r="D673" s="84">
        <f>I408</f>
        <v>4.8332437122200001E-3</v>
      </c>
      <c r="E673" s="84"/>
      <c r="F673" s="85"/>
      <c r="G673" s="85"/>
      <c r="H673" s="85"/>
    </row>
    <row r="674" spans="1:36" x14ac:dyDescent="0.25">
      <c r="A674" s="229" t="s">
        <v>825</v>
      </c>
      <c r="B674" s="84">
        <f>B465</f>
        <v>194388.53120401071</v>
      </c>
      <c r="C674" s="84">
        <f>C465</f>
        <v>4.4228396639999996</v>
      </c>
      <c r="D674" s="84">
        <f>D465</f>
        <v>83.655309749766346</v>
      </c>
      <c r="E674" s="84">
        <f>J465</f>
        <v>572.16514495327442</v>
      </c>
      <c r="F674" s="84">
        <f>K465</f>
        <v>1557.1939910195872</v>
      </c>
      <c r="G674" s="84">
        <f>L465</f>
        <v>5849.2197121443369</v>
      </c>
      <c r="H674" s="84">
        <f>M465</f>
        <v>830.75987228203655</v>
      </c>
    </row>
    <row r="675" spans="1:36" x14ac:dyDescent="0.25">
      <c r="A675" s="229" t="s">
        <v>826</v>
      </c>
      <c r="B675" s="84">
        <f t="shared" ref="B675:H675" si="17">B598</f>
        <v>7853.7090592547993</v>
      </c>
      <c r="C675" s="84">
        <f t="shared" si="17"/>
        <v>9418.7606550076798</v>
      </c>
      <c r="D675" s="84">
        <f t="shared" si="17"/>
        <v>1108.4205949512345</v>
      </c>
      <c r="E675" s="84">
        <f t="shared" si="17"/>
        <v>14.91067980114685</v>
      </c>
      <c r="F675" s="84">
        <f t="shared" si="17"/>
        <v>363.40666610922074</v>
      </c>
      <c r="G675" s="84" t="str">
        <f t="shared" si="17"/>
        <v>NA</v>
      </c>
      <c r="H675" s="84">
        <f t="shared" si="17"/>
        <v>0</v>
      </c>
    </row>
    <row r="676" spans="1:36" x14ac:dyDescent="0.25">
      <c r="A676" s="229" t="s">
        <v>827</v>
      </c>
      <c r="B676" s="84">
        <f>B630</f>
        <v>-831125.53638504399</v>
      </c>
      <c r="C676" s="84">
        <f t="shared" ref="C676:H676" si="18">C630</f>
        <v>1234.7394602571119</v>
      </c>
      <c r="D676" s="84">
        <f t="shared" si="18"/>
        <v>35.11369899647039</v>
      </c>
      <c r="E676" s="84">
        <f t="shared" si="18"/>
        <v>141.59499629999999</v>
      </c>
      <c r="F676" s="84">
        <f t="shared" si="18"/>
        <v>7641.6606409999995</v>
      </c>
      <c r="G676" s="84" t="str">
        <f t="shared" si="18"/>
        <v>NE,NA</v>
      </c>
      <c r="H676" s="84">
        <f t="shared" si="18"/>
        <v>0</v>
      </c>
    </row>
    <row r="677" spans="1:36" x14ac:dyDescent="0.25">
      <c r="A677" s="229" t="s">
        <v>828</v>
      </c>
      <c r="B677" s="86" t="str">
        <f>B661</f>
        <v>NO,IE,NA</v>
      </c>
      <c r="C677" s="86">
        <f t="shared" ref="C677:H677" si="19">C661</f>
        <v>6143.8266127488378</v>
      </c>
      <c r="D677" s="86">
        <f t="shared" si="19"/>
        <v>73.757520658580603</v>
      </c>
      <c r="E677" s="86">
        <f t="shared" si="19"/>
        <v>2.3460190219567099</v>
      </c>
      <c r="F677" s="86">
        <f t="shared" si="19"/>
        <v>6.5483463597946603</v>
      </c>
      <c r="G677" s="86">
        <f t="shared" si="19"/>
        <v>114.39560414851302</v>
      </c>
      <c r="H677" s="86">
        <f t="shared" si="19"/>
        <v>0.74349333311907995</v>
      </c>
    </row>
    <row r="678" spans="1:36" x14ac:dyDescent="0.25">
      <c r="A678" s="229" t="s">
        <v>3716</v>
      </c>
      <c r="B678" s="87">
        <f>B679-(B666-B665)</f>
        <v>5306477.9087628527</v>
      </c>
      <c r="C678" s="87">
        <f t="shared" ref="C678:H678" si="20">C679-(C666-C665)</f>
        <v>29133.104735310018</v>
      </c>
      <c r="D678" s="87">
        <f t="shared" si="20"/>
        <v>1556.3652544759889</v>
      </c>
      <c r="E678" s="87">
        <f t="shared" si="20"/>
        <v>17332.752861377387</v>
      </c>
      <c r="F678" s="87">
        <f t="shared" si="20"/>
        <v>74553.320955610878</v>
      </c>
      <c r="G678" s="87">
        <f t="shared" si="20"/>
        <v>13309.046343880545</v>
      </c>
      <c r="H678" s="87">
        <f t="shared" si="20"/>
        <v>13195.594414386062</v>
      </c>
    </row>
    <row r="679" spans="1:36" x14ac:dyDescent="0.25">
      <c r="A679" s="3" t="s">
        <v>829</v>
      </c>
      <c r="B679" s="87">
        <f>SUM(B666,B674:B677)</f>
        <v>5419805.745349396</v>
      </c>
      <c r="C679" s="87">
        <f t="shared" ref="C679:H679" si="21">SUM(C666,C674:C677)</f>
        <v>29138.397628328752</v>
      </c>
      <c r="D679" s="87">
        <f t="shared" si="21"/>
        <v>1559.6094095559795</v>
      </c>
      <c r="E679" s="87">
        <f t="shared" si="21"/>
        <v>19032.090539844274</v>
      </c>
      <c r="F679" s="87">
        <f t="shared" si="21"/>
        <v>74684.042612715348</v>
      </c>
      <c r="G679" s="87">
        <f t="shared" si="21"/>
        <v>13362.702842646157</v>
      </c>
      <c r="H679" s="87">
        <f t="shared" si="21"/>
        <v>13195.594414386062</v>
      </c>
    </row>
    <row r="681" spans="1:36" x14ac:dyDescent="0.25">
      <c r="A681" s="58" t="s">
        <v>830</v>
      </c>
      <c r="B681" s="58" t="s">
        <v>668</v>
      </c>
      <c r="C681" s="58" t="s">
        <v>669</v>
      </c>
      <c r="D681" s="58" t="s">
        <v>670</v>
      </c>
      <c r="E681" s="58" t="s">
        <v>671</v>
      </c>
      <c r="F681" s="88" t="s">
        <v>672</v>
      </c>
      <c r="G681" s="88" t="s">
        <v>673</v>
      </c>
      <c r="H681" s="88" t="s">
        <v>674</v>
      </c>
      <c r="I681" s="88" t="s">
        <v>675</v>
      </c>
      <c r="J681" s="88" t="s">
        <v>676</v>
      </c>
      <c r="K681" s="88" t="s">
        <v>677</v>
      </c>
      <c r="L681" s="88" t="s">
        <v>678</v>
      </c>
      <c r="M681" s="88" t="s">
        <v>679</v>
      </c>
      <c r="N681" s="88" t="s">
        <v>680</v>
      </c>
      <c r="O681" s="88" t="s">
        <v>681</v>
      </c>
      <c r="P681" s="88" t="s">
        <v>682</v>
      </c>
      <c r="Q681" s="88" t="s">
        <v>683</v>
      </c>
      <c r="R681" s="88" t="s">
        <v>684</v>
      </c>
      <c r="S681" s="88" t="s">
        <v>685</v>
      </c>
      <c r="T681" s="88" t="s">
        <v>686</v>
      </c>
      <c r="U681" s="88" t="s">
        <v>831</v>
      </c>
      <c r="V681" s="88" t="s">
        <v>688</v>
      </c>
      <c r="W681" s="88" t="s">
        <v>832</v>
      </c>
      <c r="X681" s="88" t="s">
        <v>833</v>
      </c>
      <c r="Y681" s="88" t="s">
        <v>834</v>
      </c>
      <c r="Z681" s="88" t="s">
        <v>835</v>
      </c>
      <c r="AA681" s="88" t="s">
        <v>836</v>
      </c>
      <c r="AB681" s="88" t="s">
        <v>837</v>
      </c>
      <c r="AC681" s="88" t="s">
        <v>838</v>
      </c>
      <c r="AD681" s="88" t="s">
        <v>839</v>
      </c>
      <c r="AE681" s="88" t="s">
        <v>840</v>
      </c>
      <c r="AF681" s="88" t="s">
        <v>841</v>
      </c>
      <c r="AG681" s="88" t="s">
        <v>699</v>
      </c>
      <c r="AH681" s="88" t="s">
        <v>842</v>
      </c>
      <c r="AI681" s="88" t="s">
        <v>843</v>
      </c>
      <c r="AJ681" s="88" t="s">
        <v>844</v>
      </c>
    </row>
    <row r="682" spans="1:36" x14ac:dyDescent="0.25">
      <c r="A682" s="1" t="s">
        <v>845</v>
      </c>
      <c r="B682" s="89">
        <f>B473</f>
        <v>1368.6407622854913</v>
      </c>
      <c r="C682" s="89">
        <f>C473</f>
        <v>398.21997774743551</v>
      </c>
      <c r="D682" s="89">
        <v>0</v>
      </c>
      <c r="E682" s="89">
        <v>0</v>
      </c>
      <c r="F682" s="89">
        <f>F473</f>
        <v>2580.4423400000001</v>
      </c>
      <c r="G682" s="89">
        <v>0</v>
      </c>
      <c r="H682" s="89">
        <f>H473</f>
        <v>56029.164606593971</v>
      </c>
      <c r="I682" s="89">
        <v>0</v>
      </c>
      <c r="J682" s="89">
        <f>J473</f>
        <v>2093.1475999999998</v>
      </c>
      <c r="K682" s="89">
        <v>0</v>
      </c>
      <c r="L682" s="89">
        <v>0</v>
      </c>
      <c r="M682" s="89">
        <v>0</v>
      </c>
      <c r="N682" s="89">
        <v>0</v>
      </c>
      <c r="O682" s="89">
        <v>0</v>
      </c>
      <c r="P682" s="89">
        <v>0</v>
      </c>
      <c r="Q682" s="89">
        <f>Q473</f>
        <v>117.73</v>
      </c>
      <c r="R682" s="89">
        <v>0</v>
      </c>
      <c r="S682" s="89">
        <v>0</v>
      </c>
      <c r="T682" s="89">
        <v>0</v>
      </c>
      <c r="U682" s="89">
        <v>0</v>
      </c>
      <c r="V682" s="89" t="str">
        <f>V473</f>
        <v/>
      </c>
      <c r="W682" s="89">
        <f>W473</f>
        <v>540.06916717032652</v>
      </c>
      <c r="X682" s="89">
        <f>X473</f>
        <v>206.85707686944318</v>
      </c>
      <c r="Y682" s="89">
        <f>Y473</f>
        <v>9.0276703162196608</v>
      </c>
      <c r="Z682" s="89">
        <v>0</v>
      </c>
      <c r="AA682" s="89">
        <f>AA473</f>
        <v>11.47912170919709</v>
      </c>
      <c r="AB682" s="89">
        <v>0</v>
      </c>
      <c r="AC682" s="89">
        <v>0</v>
      </c>
      <c r="AD682" s="89">
        <v>0</v>
      </c>
      <c r="AE682" s="89">
        <v>0</v>
      </c>
      <c r="AF682" s="89">
        <v>0</v>
      </c>
      <c r="AG682" s="89" t="str">
        <f>AG473</f>
        <v/>
      </c>
      <c r="AH682" s="89">
        <f>AH473</f>
        <v>7230.4559117999988</v>
      </c>
      <c r="AI682" s="89">
        <f>AI473</f>
        <v>517.71056610324001</v>
      </c>
      <c r="AJ682" s="89">
        <f>AJ473</f>
        <v>28.530150025699999</v>
      </c>
    </row>
    <row r="683" spans="1:36" x14ac:dyDescent="0.25">
      <c r="A683" s="1" t="s">
        <v>846</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829</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8" t="s">
        <v>3279</v>
      </c>
      <c r="B687" s="83" t="s">
        <v>818</v>
      </c>
      <c r="C687" s="83" t="s">
        <v>819</v>
      </c>
      <c r="D687" s="83" t="s">
        <v>820</v>
      </c>
      <c r="E687" s="83" t="s">
        <v>821</v>
      </c>
      <c r="F687" s="83" t="s">
        <v>485</v>
      </c>
      <c r="G687" s="83" t="s">
        <v>486</v>
      </c>
      <c r="H687" s="83" t="s">
        <v>822</v>
      </c>
      <c r="I687" s="83" t="s">
        <v>847</v>
      </c>
      <c r="J687" s="83" t="s">
        <v>2570</v>
      </c>
      <c r="K687" s="1"/>
      <c r="L687" s="1"/>
      <c r="M687" s="1"/>
      <c r="N687" s="1"/>
      <c r="O687" s="1"/>
      <c r="P687" s="1"/>
      <c r="Q687" s="1"/>
      <c r="R687" s="1"/>
      <c r="S687" s="1"/>
      <c r="T687" s="1"/>
      <c r="U687" s="1"/>
      <c r="V687" s="1"/>
      <c r="W687" s="1"/>
      <c r="X687" s="1"/>
      <c r="Y687" s="1"/>
      <c r="Z687" s="1"/>
      <c r="AA687" s="1"/>
      <c r="AB687" s="1"/>
    </row>
    <row r="688" spans="1:36" x14ac:dyDescent="0.25">
      <c r="A688" s="1" t="s">
        <v>3715</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35">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848</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35">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35">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35">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2429</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35">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35">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132</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35">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2439</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35">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3128</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35">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3717</v>
      </c>
      <c r="B698" s="5"/>
      <c r="C698" s="5"/>
      <c r="D698" s="5"/>
      <c r="E698" s="5"/>
      <c r="F698" s="5"/>
      <c r="G698" s="5"/>
      <c r="H698" s="5"/>
      <c r="I698" s="5"/>
      <c r="K698" s="1"/>
      <c r="L698" s="1"/>
      <c r="M698" s="1"/>
      <c r="N698" s="1"/>
      <c r="O698" s="1"/>
      <c r="P698" s="1"/>
      <c r="Q698" s="1"/>
      <c r="R698" s="1"/>
      <c r="S698" s="1"/>
      <c r="T698" s="1"/>
      <c r="U698" s="1"/>
      <c r="V698" s="1"/>
      <c r="W698" s="1"/>
      <c r="X698" s="1"/>
      <c r="Y698" s="1"/>
      <c r="Z698" s="1"/>
      <c r="AA698" s="1"/>
      <c r="AB698" s="1"/>
    </row>
    <row r="699" spans="1:28" ht="30.75" thickBot="1" x14ac:dyDescent="0.3">
      <c r="A699" s="90" t="s">
        <v>849</v>
      </c>
      <c r="B699" s="91">
        <f>SUM(B689:D689,I689)</f>
        <v>6784.1546601877326</v>
      </c>
      <c r="C699" s="5"/>
      <c r="D699" s="5" t="s">
        <v>3719</v>
      </c>
      <c r="E699" s="5" t="s">
        <v>3720</v>
      </c>
      <c r="F699" s="5" t="s">
        <v>3739</v>
      </c>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90" t="s">
        <v>3714</v>
      </c>
      <c r="B700" s="91">
        <f>SUM(B688:D688,I688)</f>
        <v>6669.8189215004677</v>
      </c>
      <c r="C700" s="5"/>
      <c r="D700" s="5">
        <f>B700*0.48</f>
        <v>3201.5130823202244</v>
      </c>
      <c r="E700" s="5">
        <f>B700*0.5</f>
        <v>3334.9094607502338</v>
      </c>
      <c r="F700" s="5">
        <f>B700*0.1</f>
        <v>666.98189215004686</v>
      </c>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5"/>
      <c r="K701" s="1"/>
      <c r="L701" s="1"/>
      <c r="M701" s="1"/>
      <c r="N701" s="1"/>
      <c r="O701" s="1"/>
      <c r="P701" s="1"/>
      <c r="Q701" s="1"/>
      <c r="R701" s="1"/>
      <c r="S701" s="1"/>
      <c r="T701" s="1"/>
      <c r="U701" s="1"/>
      <c r="V701" s="1"/>
      <c r="W701" s="1"/>
      <c r="X701" s="1"/>
      <c r="Y701" s="1"/>
      <c r="Z701" s="1"/>
      <c r="AA701" s="1"/>
      <c r="AB701" s="1"/>
    </row>
    <row r="702" spans="1:28" ht="15.75" thickBot="1" x14ac:dyDescent="0.3">
      <c r="A702" s="1" t="s">
        <v>3718</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90" t="s">
        <v>849</v>
      </c>
      <c r="B703" s="91">
        <f>SUM(B689:I689)</f>
        <v>6829.3363086771278</v>
      </c>
      <c r="D703" s="334"/>
      <c r="K703" s="1"/>
      <c r="L703" s="1"/>
      <c r="M703" s="1"/>
      <c r="N703" s="1"/>
      <c r="O703" s="1"/>
      <c r="P703" s="1"/>
      <c r="Q703" s="1"/>
      <c r="R703" s="1"/>
      <c r="S703" s="1"/>
      <c r="T703" s="1"/>
      <c r="U703" s="1"/>
      <c r="V703" s="1"/>
      <c r="W703" s="1"/>
      <c r="X703" s="1"/>
      <c r="Y703" s="1"/>
      <c r="Z703" s="1"/>
      <c r="AA703" s="1"/>
      <c r="AB703" s="1"/>
    </row>
    <row r="704" spans="1:28" ht="30.75" thickBot="1" x14ac:dyDescent="0.3">
      <c r="A704" s="90" t="s">
        <v>3714</v>
      </c>
      <c r="B704" s="91">
        <f>SUM(B688:I688)</f>
        <v>6728.4315574766761</v>
      </c>
      <c r="D704" s="334"/>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2429</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132</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2439</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3128</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92" t="s">
        <v>850</v>
      </c>
      <c r="B716" s="93"/>
      <c r="C716" s="93"/>
      <c r="D716" s="93"/>
      <c r="E716" s="93"/>
      <c r="F716" s="93"/>
      <c r="G716" s="93"/>
      <c r="H716" s="93"/>
      <c r="I716" s="93"/>
      <c r="J716" s="93"/>
      <c r="K716" s="93"/>
      <c r="L716" s="93"/>
      <c r="M716" s="93"/>
      <c r="N716" s="93"/>
    </row>
    <row r="717" spans="1:28" x14ac:dyDescent="0.25">
      <c r="A717" s="93" t="s">
        <v>851</v>
      </c>
      <c r="B717" s="93"/>
      <c r="C717" s="93"/>
      <c r="D717" s="93"/>
      <c r="E717" s="93"/>
      <c r="F717" s="93"/>
      <c r="G717" s="93"/>
      <c r="H717" s="93"/>
      <c r="I717" s="93"/>
      <c r="J717" s="93"/>
      <c r="K717" s="93"/>
      <c r="L717" s="93"/>
      <c r="M717" s="93"/>
      <c r="N717" s="93"/>
    </row>
    <row r="718" spans="1:28" x14ac:dyDescent="0.25">
      <c r="A718" s="93" t="s">
        <v>852</v>
      </c>
      <c r="B718" s="93"/>
      <c r="C718" s="93"/>
      <c r="D718" s="93"/>
      <c r="E718" s="93"/>
      <c r="F718" s="93"/>
      <c r="G718" s="93"/>
      <c r="H718" s="93"/>
      <c r="I718" s="93"/>
      <c r="J718" s="93"/>
      <c r="K718" s="93"/>
      <c r="L718" s="93"/>
      <c r="M718" s="93"/>
      <c r="N718" s="93"/>
    </row>
    <row r="719" spans="1:28" ht="33.75" x14ac:dyDescent="0.25">
      <c r="A719" s="94" t="s">
        <v>853</v>
      </c>
      <c r="B719" s="95" t="s">
        <v>854</v>
      </c>
      <c r="C719" s="96" t="s">
        <v>855</v>
      </c>
      <c r="D719" s="97" t="s">
        <v>856</v>
      </c>
      <c r="E719" s="97" t="s">
        <v>857</v>
      </c>
      <c r="F719" s="98" t="s">
        <v>858</v>
      </c>
      <c r="G719" s="97" t="s">
        <v>859</v>
      </c>
      <c r="H719" s="98" t="s">
        <v>860</v>
      </c>
      <c r="I719" s="97" t="s">
        <v>861</v>
      </c>
      <c r="J719" s="98" t="s">
        <v>862</v>
      </c>
      <c r="K719" s="97" t="s">
        <v>863</v>
      </c>
      <c r="L719" s="98" t="s">
        <v>864</v>
      </c>
      <c r="M719" s="98" t="s">
        <v>865</v>
      </c>
      <c r="N719" s="98" t="s">
        <v>866</v>
      </c>
    </row>
    <row r="720" spans="1:28" x14ac:dyDescent="0.25">
      <c r="A720" s="99" t="s">
        <v>867</v>
      </c>
      <c r="B720" s="100" t="s">
        <v>868</v>
      </c>
      <c r="C720" s="101" t="s">
        <v>869</v>
      </c>
      <c r="D720" s="99" t="s">
        <v>870</v>
      </c>
      <c r="E720" s="99" t="s">
        <v>871</v>
      </c>
      <c r="F720" s="102">
        <v>1</v>
      </c>
      <c r="G720" s="99" t="s">
        <v>872</v>
      </c>
      <c r="H720" s="102">
        <v>1</v>
      </c>
      <c r="I720" s="99" t="s">
        <v>873</v>
      </c>
      <c r="J720" s="102">
        <v>1</v>
      </c>
      <c r="K720" s="99" t="s">
        <v>874</v>
      </c>
      <c r="L720" s="102">
        <v>1</v>
      </c>
      <c r="M720" s="99" t="s">
        <v>875</v>
      </c>
      <c r="N720" s="102">
        <v>1</v>
      </c>
    </row>
    <row r="721" spans="1:14" x14ac:dyDescent="0.25">
      <c r="A721" s="103" t="s">
        <v>876</v>
      </c>
      <c r="B721" s="104" t="s">
        <v>877</v>
      </c>
      <c r="C721" s="104" t="s">
        <v>878</v>
      </c>
      <c r="D721" s="103" t="s">
        <v>879</v>
      </c>
      <c r="E721" s="103" t="s">
        <v>880</v>
      </c>
      <c r="F721" s="105">
        <v>84</v>
      </c>
      <c r="G721" s="103" t="s">
        <v>881</v>
      </c>
      <c r="H721" s="105">
        <v>28</v>
      </c>
      <c r="I721" s="103" t="s">
        <v>882</v>
      </c>
      <c r="J721" s="105">
        <v>67</v>
      </c>
      <c r="K721" s="103" t="s">
        <v>883</v>
      </c>
      <c r="L721" s="105">
        <v>14</v>
      </c>
      <c r="M721" s="103" t="s">
        <v>884</v>
      </c>
      <c r="N721" s="105">
        <v>4</v>
      </c>
    </row>
    <row r="722" spans="1:14" x14ac:dyDescent="0.25">
      <c r="A722" s="106" t="s">
        <v>885</v>
      </c>
      <c r="B722" s="107" t="s">
        <v>877</v>
      </c>
      <c r="C722" s="107" t="s">
        <v>878</v>
      </c>
      <c r="D722" s="106" t="s">
        <v>879</v>
      </c>
      <c r="E722" s="106" t="s">
        <v>886</v>
      </c>
      <c r="F722" s="108">
        <v>85</v>
      </c>
      <c r="G722" s="106" t="s">
        <v>887</v>
      </c>
      <c r="H722" s="108">
        <v>30</v>
      </c>
      <c r="I722" s="106" t="s">
        <v>888</v>
      </c>
      <c r="J722" s="108">
        <v>68</v>
      </c>
      <c r="K722" s="106" t="s">
        <v>889</v>
      </c>
      <c r="L722" s="108">
        <v>15</v>
      </c>
      <c r="M722" s="106" t="s">
        <v>890</v>
      </c>
      <c r="N722" s="108">
        <v>6</v>
      </c>
    </row>
    <row r="723" spans="1:14" x14ac:dyDescent="0.25">
      <c r="A723" s="109" t="s">
        <v>891</v>
      </c>
      <c r="B723" s="110" t="s">
        <v>892</v>
      </c>
      <c r="C723" s="110" t="s">
        <v>893</v>
      </c>
      <c r="D723" s="109" t="s">
        <v>894</v>
      </c>
      <c r="E723" s="109" t="s">
        <v>895</v>
      </c>
      <c r="F723" s="111">
        <v>264</v>
      </c>
      <c r="G723" s="109" t="s">
        <v>896</v>
      </c>
      <c r="H723" s="111">
        <v>265</v>
      </c>
      <c r="I723" s="109" t="s">
        <v>897</v>
      </c>
      <c r="J723" s="111">
        <v>277</v>
      </c>
      <c r="K723" s="109" t="s">
        <v>898</v>
      </c>
      <c r="L723" s="111">
        <v>282</v>
      </c>
      <c r="M723" s="109" t="s">
        <v>899</v>
      </c>
      <c r="N723" s="111">
        <v>234</v>
      </c>
    </row>
    <row r="724" spans="1:14" x14ac:dyDescent="0.25">
      <c r="A724" s="99" t="s">
        <v>900</v>
      </c>
      <c r="B724" s="100" t="s">
        <v>901</v>
      </c>
      <c r="C724" s="112">
        <v>45</v>
      </c>
      <c r="D724" s="113">
        <v>0.26</v>
      </c>
      <c r="E724" s="99" t="s">
        <v>902</v>
      </c>
      <c r="F724" s="102">
        <v>6900</v>
      </c>
      <c r="G724" s="99" t="s">
        <v>903</v>
      </c>
      <c r="H724" s="102">
        <v>4660</v>
      </c>
      <c r="I724" s="99" t="s">
        <v>904</v>
      </c>
      <c r="J724" s="102">
        <v>6890</v>
      </c>
      <c r="K724" s="99" t="s">
        <v>905</v>
      </c>
      <c r="L724" s="102">
        <v>4890</v>
      </c>
      <c r="M724" s="99" t="s">
        <v>906</v>
      </c>
      <c r="N724" s="102">
        <v>2340</v>
      </c>
    </row>
    <row r="725" spans="1:14" x14ac:dyDescent="0.25">
      <c r="A725" s="103" t="s">
        <v>907</v>
      </c>
      <c r="B725" s="104" t="s">
        <v>908</v>
      </c>
      <c r="C725" s="114">
        <v>100</v>
      </c>
      <c r="D725" s="115">
        <v>0.32</v>
      </c>
      <c r="E725" s="103" t="s">
        <v>909</v>
      </c>
      <c r="F725" s="116">
        <v>10800</v>
      </c>
      <c r="G725" s="103" t="s">
        <v>910</v>
      </c>
      <c r="H725" s="116">
        <v>10200</v>
      </c>
      <c r="I725" s="103" t="s">
        <v>911</v>
      </c>
      <c r="J725" s="116">
        <v>11300</v>
      </c>
      <c r="K725" s="103" t="s">
        <v>912</v>
      </c>
      <c r="L725" s="116">
        <v>11000</v>
      </c>
      <c r="M725" s="103" t="s">
        <v>913</v>
      </c>
      <c r="N725" s="105">
        <v>8450</v>
      </c>
    </row>
    <row r="726" spans="1:14" x14ac:dyDescent="0.25">
      <c r="A726" s="106" t="s">
        <v>914</v>
      </c>
      <c r="B726" s="107" t="s">
        <v>915</v>
      </c>
      <c r="C726" s="117">
        <v>640</v>
      </c>
      <c r="D726" s="118">
        <v>0.25</v>
      </c>
      <c r="E726" s="106" t="s">
        <v>916</v>
      </c>
      <c r="F726" s="119">
        <v>10900</v>
      </c>
      <c r="G726" s="106" t="s">
        <v>917</v>
      </c>
      <c r="H726" s="119">
        <v>13900</v>
      </c>
      <c r="I726" s="106" t="s">
        <v>918</v>
      </c>
      <c r="J726" s="119">
        <v>11700</v>
      </c>
      <c r="K726" s="106" t="s">
        <v>919</v>
      </c>
      <c r="L726" s="119">
        <v>14200</v>
      </c>
      <c r="M726" s="106" t="s">
        <v>920</v>
      </c>
      <c r="N726" s="119">
        <v>15900</v>
      </c>
    </row>
    <row r="727" spans="1:14" x14ac:dyDescent="0.25">
      <c r="A727" s="103" t="s">
        <v>921</v>
      </c>
      <c r="B727" s="120" t="s">
        <v>922</v>
      </c>
      <c r="C727" s="121">
        <v>85</v>
      </c>
      <c r="D727" s="115">
        <v>0.3</v>
      </c>
      <c r="E727" s="103" t="s">
        <v>923</v>
      </c>
      <c r="F727" s="105">
        <v>6490</v>
      </c>
      <c r="G727" s="103" t="s">
        <v>924</v>
      </c>
      <c r="H727" s="105">
        <v>5820</v>
      </c>
      <c r="I727" s="103" t="s">
        <v>925</v>
      </c>
      <c r="J727" s="105">
        <v>6730</v>
      </c>
      <c r="K727" s="103" t="s">
        <v>926</v>
      </c>
      <c r="L727" s="105">
        <v>6250</v>
      </c>
      <c r="M727" s="103" t="s">
        <v>927</v>
      </c>
      <c r="N727" s="105">
        <v>4470</v>
      </c>
    </row>
    <row r="728" spans="1:14" x14ac:dyDescent="0.25">
      <c r="A728" s="106" t="s">
        <v>928</v>
      </c>
      <c r="B728" s="122" t="s">
        <v>929</v>
      </c>
      <c r="C728" s="117">
        <v>190</v>
      </c>
      <c r="D728" s="118">
        <v>0.31</v>
      </c>
      <c r="E728" s="106" t="s">
        <v>930</v>
      </c>
      <c r="F728" s="108">
        <v>7710</v>
      </c>
      <c r="G728" s="106" t="s">
        <v>931</v>
      </c>
      <c r="H728" s="108">
        <v>8590</v>
      </c>
      <c r="I728" s="106" t="s">
        <v>932</v>
      </c>
      <c r="J728" s="108">
        <v>8190</v>
      </c>
      <c r="K728" s="106" t="s">
        <v>933</v>
      </c>
      <c r="L728" s="108">
        <v>9020</v>
      </c>
      <c r="M728" s="106" t="s">
        <v>934</v>
      </c>
      <c r="N728" s="108">
        <v>8550</v>
      </c>
    </row>
    <row r="729" spans="1:14" x14ac:dyDescent="0.25">
      <c r="A729" s="109" t="s">
        <v>935</v>
      </c>
      <c r="B729" s="123" t="s">
        <v>936</v>
      </c>
      <c r="C729" s="124">
        <v>1020</v>
      </c>
      <c r="D729" s="125">
        <v>0.2</v>
      </c>
      <c r="E729" s="109" t="s">
        <v>937</v>
      </c>
      <c r="F729" s="111">
        <v>5860</v>
      </c>
      <c r="G729" s="109" t="s">
        <v>938</v>
      </c>
      <c r="H729" s="111">
        <v>7670</v>
      </c>
      <c r="I729" s="109" t="s">
        <v>939</v>
      </c>
      <c r="J729" s="111">
        <v>6310</v>
      </c>
      <c r="K729" s="109" t="s">
        <v>940</v>
      </c>
      <c r="L729" s="111">
        <v>7810</v>
      </c>
      <c r="M729" s="109" t="s">
        <v>941</v>
      </c>
      <c r="N729" s="111">
        <v>8980</v>
      </c>
    </row>
    <row r="730" spans="1:14" x14ac:dyDescent="0.25">
      <c r="A730" s="99" t="s">
        <v>942</v>
      </c>
      <c r="B730" s="100" t="s">
        <v>943</v>
      </c>
      <c r="C730" s="112">
        <v>1.7</v>
      </c>
      <c r="D730" s="113">
        <v>0.15</v>
      </c>
      <c r="E730" s="99" t="s">
        <v>944</v>
      </c>
      <c r="F730" s="102">
        <v>543</v>
      </c>
      <c r="G730" s="99" t="s">
        <v>944</v>
      </c>
      <c r="H730" s="102">
        <v>148</v>
      </c>
      <c r="I730" s="99" t="s">
        <v>945</v>
      </c>
      <c r="J730" s="102">
        <v>192</v>
      </c>
      <c r="K730" s="99" t="s">
        <v>946</v>
      </c>
      <c r="L730" s="102">
        <v>26</v>
      </c>
      <c r="M730" s="99" t="s">
        <v>947</v>
      </c>
      <c r="N730" s="102">
        <v>20</v>
      </c>
    </row>
    <row r="731" spans="1:14" x14ac:dyDescent="0.25">
      <c r="A731" s="103" t="s">
        <v>948</v>
      </c>
      <c r="B731" s="104" t="s">
        <v>949</v>
      </c>
      <c r="C731" s="121">
        <v>11.9</v>
      </c>
      <c r="D731" s="115">
        <v>0.21</v>
      </c>
      <c r="E731" s="103" t="s">
        <v>950</v>
      </c>
      <c r="F731" s="105">
        <v>5280</v>
      </c>
      <c r="G731" s="103" t="s">
        <v>923</v>
      </c>
      <c r="H731" s="105">
        <v>1760</v>
      </c>
      <c r="I731" s="103" t="s">
        <v>951</v>
      </c>
      <c r="J731" s="105">
        <v>4200</v>
      </c>
      <c r="K731" s="103" t="s">
        <v>952</v>
      </c>
      <c r="L731" s="105">
        <v>832</v>
      </c>
      <c r="M731" s="103" t="s">
        <v>953</v>
      </c>
      <c r="N731" s="105">
        <v>262</v>
      </c>
    </row>
    <row r="732" spans="1:14" x14ac:dyDescent="0.25">
      <c r="A732" s="106" t="s">
        <v>954</v>
      </c>
      <c r="B732" s="122" t="s">
        <v>955</v>
      </c>
      <c r="C732" s="126">
        <v>1</v>
      </c>
      <c r="D732" s="118">
        <v>0.17</v>
      </c>
      <c r="E732" s="106" t="s">
        <v>956</v>
      </c>
      <c r="F732" s="108">
        <v>218</v>
      </c>
      <c r="G732" s="106" t="s">
        <v>956</v>
      </c>
      <c r="H732" s="108">
        <v>59</v>
      </c>
      <c r="I732" s="106" t="s">
        <v>957</v>
      </c>
      <c r="J732" s="108">
        <v>70</v>
      </c>
      <c r="K732" s="106" t="s">
        <v>958</v>
      </c>
      <c r="L732" s="108">
        <v>10</v>
      </c>
      <c r="M732" s="106" t="s">
        <v>959</v>
      </c>
      <c r="N732" s="108">
        <v>8</v>
      </c>
    </row>
    <row r="733" spans="1:14" x14ac:dyDescent="0.25">
      <c r="A733" s="103" t="s">
        <v>960</v>
      </c>
      <c r="B733" s="120" t="s">
        <v>961</v>
      </c>
      <c r="C733" s="121">
        <v>3.4</v>
      </c>
      <c r="D733" s="115">
        <v>0.21</v>
      </c>
      <c r="E733" s="103" t="s">
        <v>962</v>
      </c>
      <c r="F733" s="105">
        <v>945</v>
      </c>
      <c r="G733" s="103" t="s">
        <v>963</v>
      </c>
      <c r="H733" s="105">
        <v>258</v>
      </c>
      <c r="I733" s="103" t="s">
        <v>964</v>
      </c>
      <c r="J733" s="105">
        <v>426</v>
      </c>
      <c r="K733" s="103" t="s">
        <v>965</v>
      </c>
      <c r="L733" s="105">
        <v>48</v>
      </c>
      <c r="M733" s="103" t="s">
        <v>966</v>
      </c>
      <c r="N733" s="105">
        <v>36</v>
      </c>
    </row>
    <row r="734" spans="1:14" x14ac:dyDescent="0.25">
      <c r="A734" s="106" t="s">
        <v>967</v>
      </c>
      <c r="B734" s="122" t="s">
        <v>968</v>
      </c>
      <c r="C734" s="126">
        <v>1.3</v>
      </c>
      <c r="D734" s="118">
        <v>0.15</v>
      </c>
      <c r="E734" s="106" t="s">
        <v>969</v>
      </c>
      <c r="F734" s="108">
        <v>292</v>
      </c>
      <c r="G734" s="106" t="s">
        <v>969</v>
      </c>
      <c r="H734" s="108">
        <v>79</v>
      </c>
      <c r="I734" s="106" t="s">
        <v>970</v>
      </c>
      <c r="J734" s="108">
        <v>98</v>
      </c>
      <c r="K734" s="106" t="s">
        <v>971</v>
      </c>
      <c r="L734" s="108">
        <v>14</v>
      </c>
      <c r="M734" s="106" t="s">
        <v>972</v>
      </c>
      <c r="N734" s="108">
        <v>11</v>
      </c>
    </row>
    <row r="735" spans="1:14" x14ac:dyDescent="0.25">
      <c r="A735" s="103" t="s">
        <v>973</v>
      </c>
      <c r="B735" s="120" t="s">
        <v>974</v>
      </c>
      <c r="C735" s="121">
        <v>4</v>
      </c>
      <c r="D735" s="115">
        <v>0.23</v>
      </c>
      <c r="E735" s="103" t="s">
        <v>975</v>
      </c>
      <c r="F735" s="105">
        <v>1350</v>
      </c>
      <c r="G735" s="103" t="s">
        <v>976</v>
      </c>
      <c r="H735" s="105">
        <v>370</v>
      </c>
      <c r="I735" s="103" t="s">
        <v>977</v>
      </c>
      <c r="J735" s="105">
        <v>659</v>
      </c>
      <c r="K735" s="103" t="s">
        <v>978</v>
      </c>
      <c r="L735" s="105">
        <v>72</v>
      </c>
      <c r="M735" s="103" t="s">
        <v>979</v>
      </c>
      <c r="N735" s="105">
        <v>51</v>
      </c>
    </row>
    <row r="736" spans="1:14" x14ac:dyDescent="0.25">
      <c r="A736" s="106" t="s">
        <v>980</v>
      </c>
      <c r="B736" s="122" t="s">
        <v>981</v>
      </c>
      <c r="C736" s="126">
        <v>5.9</v>
      </c>
      <c r="D736" s="118">
        <v>0.2</v>
      </c>
      <c r="E736" s="106" t="s">
        <v>982</v>
      </c>
      <c r="F736" s="108">
        <v>1870</v>
      </c>
      <c r="G736" s="106" t="s">
        <v>983</v>
      </c>
      <c r="H736" s="108">
        <v>527</v>
      </c>
      <c r="I736" s="106" t="s">
        <v>984</v>
      </c>
      <c r="J736" s="108">
        <v>1120</v>
      </c>
      <c r="K736" s="106" t="s">
        <v>985</v>
      </c>
      <c r="L736" s="108">
        <v>121</v>
      </c>
      <c r="M736" s="106" t="s">
        <v>986</v>
      </c>
      <c r="N736" s="108">
        <v>74</v>
      </c>
    </row>
    <row r="737" spans="1:14" x14ac:dyDescent="0.25">
      <c r="A737" s="103" t="s">
        <v>987</v>
      </c>
      <c r="B737" s="120" t="s">
        <v>988</v>
      </c>
      <c r="C737" s="121">
        <v>4.3</v>
      </c>
      <c r="D737" s="115">
        <v>0.17</v>
      </c>
      <c r="E737" s="103" t="s">
        <v>989</v>
      </c>
      <c r="F737" s="105">
        <v>1230</v>
      </c>
      <c r="G737" s="103" t="s">
        <v>990</v>
      </c>
      <c r="H737" s="105">
        <v>338</v>
      </c>
      <c r="I737" s="103" t="s">
        <v>991</v>
      </c>
      <c r="J737" s="105">
        <v>624</v>
      </c>
      <c r="K737" s="103" t="s">
        <v>992</v>
      </c>
      <c r="L737" s="105">
        <v>67</v>
      </c>
      <c r="M737" s="103" t="s">
        <v>993</v>
      </c>
      <c r="N737" s="105">
        <v>47</v>
      </c>
    </row>
    <row r="738" spans="1:14" x14ac:dyDescent="0.25">
      <c r="A738" s="106" t="s">
        <v>994</v>
      </c>
      <c r="B738" s="122" t="s">
        <v>995</v>
      </c>
      <c r="C738" s="126">
        <v>9.1999999999999993</v>
      </c>
      <c r="D738" s="118">
        <v>0.16</v>
      </c>
      <c r="E738" s="106" t="s">
        <v>996</v>
      </c>
      <c r="F738" s="108">
        <v>2550</v>
      </c>
      <c r="G738" s="106" t="s">
        <v>997</v>
      </c>
      <c r="H738" s="108">
        <v>782</v>
      </c>
      <c r="I738" s="106" t="s">
        <v>998</v>
      </c>
      <c r="J738" s="108">
        <v>1850</v>
      </c>
      <c r="K738" s="106" t="s">
        <v>999</v>
      </c>
      <c r="L738" s="108">
        <v>271</v>
      </c>
      <c r="M738" s="106" t="s">
        <v>1000</v>
      </c>
      <c r="N738" s="108">
        <v>111</v>
      </c>
    </row>
    <row r="739" spans="1:14" x14ac:dyDescent="0.25">
      <c r="A739" s="103" t="s">
        <v>1001</v>
      </c>
      <c r="B739" s="120" t="s">
        <v>1002</v>
      </c>
      <c r="C739" s="121">
        <v>17.2</v>
      </c>
      <c r="D739" s="115">
        <v>0.19</v>
      </c>
      <c r="E739" s="103" t="s">
        <v>1003</v>
      </c>
      <c r="F739" s="105">
        <v>5020</v>
      </c>
      <c r="G739" s="103" t="s">
        <v>1004</v>
      </c>
      <c r="H739" s="105">
        <v>1980</v>
      </c>
      <c r="I739" s="103" t="s">
        <v>905</v>
      </c>
      <c r="J739" s="105">
        <v>4390</v>
      </c>
      <c r="K739" s="103" t="s">
        <v>1005</v>
      </c>
      <c r="L739" s="105">
        <v>1370</v>
      </c>
      <c r="M739" s="103" t="s">
        <v>1006</v>
      </c>
      <c r="N739" s="105">
        <v>356</v>
      </c>
    </row>
    <row r="740" spans="1:14" x14ac:dyDescent="0.25">
      <c r="A740" s="106" t="s">
        <v>1007</v>
      </c>
      <c r="B740" s="122" t="s">
        <v>1008</v>
      </c>
      <c r="C740" s="126">
        <v>1.9</v>
      </c>
      <c r="D740" s="118">
        <v>0.22</v>
      </c>
      <c r="E740" s="106" t="s">
        <v>1009</v>
      </c>
      <c r="F740" s="108">
        <v>469</v>
      </c>
      <c r="G740" s="106" t="s">
        <v>1009</v>
      </c>
      <c r="H740" s="108">
        <v>127</v>
      </c>
      <c r="I740" s="106" t="s">
        <v>1010</v>
      </c>
      <c r="J740" s="108">
        <v>170</v>
      </c>
      <c r="K740" s="106" t="s">
        <v>1011</v>
      </c>
      <c r="L740" s="108">
        <v>22</v>
      </c>
      <c r="M740" s="106" t="s">
        <v>1012</v>
      </c>
      <c r="N740" s="108">
        <v>18</v>
      </c>
    </row>
    <row r="741" spans="1:14" x14ac:dyDescent="0.25">
      <c r="A741" s="103" t="s">
        <v>1013</v>
      </c>
      <c r="B741" s="120" t="s">
        <v>1014</v>
      </c>
      <c r="C741" s="121">
        <v>5.9</v>
      </c>
      <c r="D741" s="115">
        <v>0.28999999999999998</v>
      </c>
      <c r="E741" s="103" t="s">
        <v>1015</v>
      </c>
      <c r="F741" s="105">
        <v>1860</v>
      </c>
      <c r="G741" s="103" t="s">
        <v>1016</v>
      </c>
      <c r="H741" s="105">
        <v>525</v>
      </c>
      <c r="I741" s="103" t="s">
        <v>1017</v>
      </c>
      <c r="J741" s="105">
        <v>1110</v>
      </c>
      <c r="K741" s="103" t="s">
        <v>1018</v>
      </c>
      <c r="L741" s="105">
        <v>120</v>
      </c>
      <c r="M741" s="103" t="s">
        <v>1019</v>
      </c>
      <c r="N741" s="105">
        <v>73</v>
      </c>
    </row>
    <row r="742" spans="1:14" ht="18" x14ac:dyDescent="0.25">
      <c r="A742" s="127" t="s">
        <v>1020</v>
      </c>
      <c r="B742" s="127" t="s">
        <v>1021</v>
      </c>
      <c r="C742" s="128" t="s">
        <v>1022</v>
      </c>
      <c r="D742" s="129">
        <v>0.04</v>
      </c>
      <c r="E742" s="128" t="s">
        <v>1023</v>
      </c>
      <c r="F742" s="130">
        <v>5</v>
      </c>
      <c r="G742" s="128" t="s">
        <v>1023</v>
      </c>
      <c r="H742" s="130">
        <v>1</v>
      </c>
      <c r="I742" s="128" t="s">
        <v>1024</v>
      </c>
      <c r="J742" s="130">
        <v>2</v>
      </c>
      <c r="K742" s="128" t="s">
        <v>1025</v>
      </c>
      <c r="L742" s="131" t="s">
        <v>1026</v>
      </c>
      <c r="M742" s="128" t="s">
        <v>1027</v>
      </c>
      <c r="N742" s="131" t="s">
        <v>1026</v>
      </c>
    </row>
    <row r="743" spans="1:14" x14ac:dyDescent="0.25">
      <c r="A743" s="99" t="s">
        <v>1028</v>
      </c>
      <c r="B743" s="100" t="s">
        <v>1029</v>
      </c>
      <c r="C743" s="132">
        <v>222</v>
      </c>
      <c r="D743" s="113">
        <v>0.18</v>
      </c>
      <c r="E743" s="99" t="s">
        <v>1030</v>
      </c>
      <c r="F743" s="133">
        <v>10800</v>
      </c>
      <c r="G743" s="99" t="s">
        <v>1031</v>
      </c>
      <c r="H743" s="133">
        <v>12400</v>
      </c>
      <c r="I743" s="99" t="s">
        <v>1032</v>
      </c>
      <c r="J743" s="133">
        <v>11500</v>
      </c>
      <c r="K743" s="99" t="s">
        <v>918</v>
      </c>
      <c r="L743" s="133">
        <v>13000</v>
      </c>
      <c r="M743" s="99" t="s">
        <v>1033</v>
      </c>
      <c r="N743" s="133">
        <v>12700</v>
      </c>
    </row>
    <row r="744" spans="1:14" x14ac:dyDescent="0.25">
      <c r="A744" s="103" t="s">
        <v>1034</v>
      </c>
      <c r="B744" s="104" t="s">
        <v>1035</v>
      </c>
      <c r="C744" s="121">
        <v>5.2</v>
      </c>
      <c r="D744" s="115">
        <v>0.11</v>
      </c>
      <c r="E744" s="103" t="s">
        <v>1036</v>
      </c>
      <c r="F744" s="134">
        <v>2430</v>
      </c>
      <c r="G744" s="103" t="s">
        <v>1037</v>
      </c>
      <c r="H744" s="134">
        <v>677</v>
      </c>
      <c r="I744" s="103" t="s">
        <v>1038</v>
      </c>
      <c r="J744" s="135">
        <v>1360</v>
      </c>
      <c r="K744" s="103" t="s">
        <v>1039</v>
      </c>
      <c r="L744" s="134">
        <v>145</v>
      </c>
      <c r="M744" s="103" t="s">
        <v>1040</v>
      </c>
      <c r="N744" s="134">
        <v>94</v>
      </c>
    </row>
    <row r="745" spans="1:14" x14ac:dyDescent="0.25">
      <c r="A745" s="106" t="s">
        <v>1041</v>
      </c>
      <c r="B745" s="107" t="s">
        <v>1042</v>
      </c>
      <c r="C745" s="126">
        <v>2.8</v>
      </c>
      <c r="D745" s="118">
        <v>0.02</v>
      </c>
      <c r="E745" s="106" t="s">
        <v>1043</v>
      </c>
      <c r="F745" s="136">
        <v>427</v>
      </c>
      <c r="G745" s="106" t="s">
        <v>1043</v>
      </c>
      <c r="H745" s="136">
        <v>116</v>
      </c>
      <c r="I745" s="106" t="s">
        <v>1044</v>
      </c>
      <c r="J745" s="136">
        <v>177</v>
      </c>
      <c r="K745" s="106" t="s">
        <v>1045</v>
      </c>
      <c r="L745" s="136">
        <v>21</v>
      </c>
      <c r="M745" s="106" t="s">
        <v>1046</v>
      </c>
      <c r="N745" s="136">
        <v>16</v>
      </c>
    </row>
    <row r="746" spans="1:14" x14ac:dyDescent="0.25">
      <c r="A746" s="103" t="s">
        <v>1047</v>
      </c>
      <c r="B746" s="120" t="s">
        <v>1048</v>
      </c>
      <c r="C746" s="121">
        <v>28.2</v>
      </c>
      <c r="D746" s="115">
        <v>0.23</v>
      </c>
      <c r="E746" s="103" t="s">
        <v>1049</v>
      </c>
      <c r="F746" s="134">
        <v>6090</v>
      </c>
      <c r="G746" s="103" t="s">
        <v>1050</v>
      </c>
      <c r="H746" s="135">
        <v>3170</v>
      </c>
      <c r="I746" s="103" t="s">
        <v>1051</v>
      </c>
      <c r="J746" s="135">
        <v>5800</v>
      </c>
      <c r="K746" s="103" t="s">
        <v>1052</v>
      </c>
      <c r="L746" s="134">
        <v>2980</v>
      </c>
      <c r="M746" s="103" t="s">
        <v>1053</v>
      </c>
      <c r="N746" s="134">
        <v>967</v>
      </c>
    </row>
    <row r="747" spans="1:14" x14ac:dyDescent="0.25">
      <c r="A747" s="106" t="s">
        <v>1054</v>
      </c>
      <c r="B747" s="122" t="s">
        <v>1055</v>
      </c>
      <c r="C747" s="126">
        <v>9.6999999999999993</v>
      </c>
      <c r="D747" s="118">
        <v>0.19</v>
      </c>
      <c r="E747" s="106" t="s">
        <v>1056</v>
      </c>
      <c r="F747" s="136">
        <v>3580</v>
      </c>
      <c r="G747" s="106" t="s">
        <v>1057</v>
      </c>
      <c r="H747" s="137">
        <v>1120</v>
      </c>
      <c r="I747" s="106" t="s">
        <v>1058</v>
      </c>
      <c r="J747" s="137">
        <v>2660</v>
      </c>
      <c r="K747" s="106" t="s">
        <v>1059</v>
      </c>
      <c r="L747" s="136">
        <v>412</v>
      </c>
      <c r="M747" s="106" t="s">
        <v>1060</v>
      </c>
      <c r="N747" s="136">
        <v>160</v>
      </c>
    </row>
    <row r="748" spans="1:14" x14ac:dyDescent="0.25">
      <c r="A748" s="103" t="s">
        <v>1061</v>
      </c>
      <c r="B748" s="120" t="s">
        <v>1062</v>
      </c>
      <c r="C748" s="121">
        <v>13.4</v>
      </c>
      <c r="D748" s="115">
        <v>0.16</v>
      </c>
      <c r="E748" s="103" t="s">
        <v>1063</v>
      </c>
      <c r="F748" s="134">
        <v>3710</v>
      </c>
      <c r="G748" s="103" t="s">
        <v>1064</v>
      </c>
      <c r="H748" s="135">
        <v>1300</v>
      </c>
      <c r="I748" s="103" t="s">
        <v>880</v>
      </c>
      <c r="J748" s="135">
        <v>3050</v>
      </c>
      <c r="K748" s="103" t="s">
        <v>1065</v>
      </c>
      <c r="L748" s="134">
        <v>703</v>
      </c>
      <c r="M748" s="103" t="s">
        <v>1066</v>
      </c>
      <c r="N748" s="134">
        <v>201</v>
      </c>
    </row>
    <row r="749" spans="1:14" x14ac:dyDescent="0.25">
      <c r="A749" s="106" t="s">
        <v>1067</v>
      </c>
      <c r="B749" s="122" t="s">
        <v>1068</v>
      </c>
      <c r="C749" s="126">
        <v>3.5</v>
      </c>
      <c r="D749" s="118">
        <v>0.13</v>
      </c>
      <c r="E749" s="106" t="s">
        <v>1069</v>
      </c>
      <c r="F749" s="136">
        <v>1200</v>
      </c>
      <c r="G749" s="106" t="s">
        <v>1070</v>
      </c>
      <c r="H749" s="136">
        <v>328</v>
      </c>
      <c r="I749" s="106" t="s">
        <v>1071</v>
      </c>
      <c r="J749" s="136">
        <v>549</v>
      </c>
      <c r="K749" s="106" t="s">
        <v>1072</v>
      </c>
      <c r="L749" s="136">
        <v>62</v>
      </c>
      <c r="M749" s="106" t="s">
        <v>871</v>
      </c>
      <c r="N749" s="136">
        <v>46</v>
      </c>
    </row>
    <row r="750" spans="1:14" x14ac:dyDescent="0.25">
      <c r="A750" s="103" t="s">
        <v>1073</v>
      </c>
      <c r="B750" s="104" t="s">
        <v>1074</v>
      </c>
      <c r="C750" s="121">
        <v>47.1</v>
      </c>
      <c r="D750" s="115">
        <v>0.16</v>
      </c>
      <c r="E750" s="103" t="s">
        <v>1075</v>
      </c>
      <c r="F750" s="134">
        <v>6940</v>
      </c>
      <c r="G750" s="103" t="s">
        <v>1076</v>
      </c>
      <c r="H750" s="135">
        <v>4800</v>
      </c>
      <c r="I750" s="103" t="s">
        <v>1077</v>
      </c>
      <c r="J750" s="135">
        <v>6960</v>
      </c>
      <c r="K750" s="103" t="s">
        <v>1078</v>
      </c>
      <c r="L750" s="134">
        <v>5060</v>
      </c>
      <c r="M750" s="103" t="s">
        <v>1079</v>
      </c>
      <c r="N750" s="135">
        <v>2500</v>
      </c>
    </row>
    <row r="751" spans="1:14" x14ac:dyDescent="0.25">
      <c r="A751" s="106" t="s">
        <v>1080</v>
      </c>
      <c r="B751" s="122" t="s">
        <v>1081</v>
      </c>
      <c r="C751" s="126">
        <v>0.4</v>
      </c>
      <c r="D751" s="118">
        <v>0.04</v>
      </c>
      <c r="E751" s="106" t="s">
        <v>1082</v>
      </c>
      <c r="F751" s="136">
        <v>60</v>
      </c>
      <c r="G751" s="106" t="s">
        <v>1082</v>
      </c>
      <c r="H751" s="136">
        <v>16</v>
      </c>
      <c r="I751" s="106" t="s">
        <v>1083</v>
      </c>
      <c r="J751" s="136">
        <v>18</v>
      </c>
      <c r="K751" s="106" t="s">
        <v>1084</v>
      </c>
      <c r="L751" s="136">
        <v>3</v>
      </c>
      <c r="M751" s="106" t="s">
        <v>1085</v>
      </c>
      <c r="N751" s="136">
        <v>2</v>
      </c>
    </row>
    <row r="752" spans="1:14" x14ac:dyDescent="0.25">
      <c r="A752" s="103" t="s">
        <v>1086</v>
      </c>
      <c r="B752" s="120" t="s">
        <v>1087</v>
      </c>
      <c r="C752" s="121">
        <v>1.5</v>
      </c>
      <c r="D752" s="115">
        <v>0.1</v>
      </c>
      <c r="E752" s="103" t="s">
        <v>1088</v>
      </c>
      <c r="F752" s="134">
        <v>506</v>
      </c>
      <c r="G752" s="103" t="s">
        <v>1088</v>
      </c>
      <c r="H752" s="134">
        <v>138</v>
      </c>
      <c r="I752" s="103" t="s">
        <v>1089</v>
      </c>
      <c r="J752" s="134">
        <v>174</v>
      </c>
      <c r="K752" s="103" t="s">
        <v>1090</v>
      </c>
      <c r="L752" s="134">
        <v>24</v>
      </c>
      <c r="M752" s="103" t="s">
        <v>1091</v>
      </c>
      <c r="N752" s="134">
        <v>19</v>
      </c>
    </row>
    <row r="753" spans="1:14" x14ac:dyDescent="0.25">
      <c r="A753" s="106" t="s">
        <v>1092</v>
      </c>
      <c r="B753" s="122" t="s">
        <v>1093</v>
      </c>
      <c r="C753" s="106" t="s">
        <v>1094</v>
      </c>
      <c r="D753" s="118">
        <v>0.02</v>
      </c>
      <c r="E753" s="106" t="s">
        <v>1095</v>
      </c>
      <c r="F753" s="136">
        <v>13</v>
      </c>
      <c r="G753" s="106" t="s">
        <v>1095</v>
      </c>
      <c r="H753" s="136">
        <v>4</v>
      </c>
      <c r="I753" s="106" t="s">
        <v>1096</v>
      </c>
      <c r="J753" s="136">
        <v>4</v>
      </c>
      <c r="K753" s="106" t="s">
        <v>1097</v>
      </c>
      <c r="L753" s="138" t="s">
        <v>1098</v>
      </c>
      <c r="M753" s="106" t="s">
        <v>1099</v>
      </c>
      <c r="N753" s="138" t="s">
        <v>1098</v>
      </c>
    </row>
    <row r="754" spans="1:14" x14ac:dyDescent="0.25">
      <c r="A754" s="103" t="s">
        <v>1100</v>
      </c>
      <c r="B754" s="120" t="s">
        <v>1101</v>
      </c>
      <c r="C754" s="121">
        <v>28.2</v>
      </c>
      <c r="D754" s="115">
        <v>0.27</v>
      </c>
      <c r="E754" s="103" t="s">
        <v>1102</v>
      </c>
      <c r="F754" s="134">
        <v>5080</v>
      </c>
      <c r="G754" s="103" t="s">
        <v>1103</v>
      </c>
      <c r="H754" s="135">
        <v>2640</v>
      </c>
      <c r="I754" s="103" t="s">
        <v>1104</v>
      </c>
      <c r="J754" s="135">
        <v>4830</v>
      </c>
      <c r="K754" s="103" t="s">
        <v>1105</v>
      </c>
      <c r="L754" s="134">
        <v>2480</v>
      </c>
      <c r="M754" s="103" t="s">
        <v>1106</v>
      </c>
      <c r="N754" s="134">
        <v>806</v>
      </c>
    </row>
    <row r="755" spans="1:14" x14ac:dyDescent="0.25">
      <c r="A755" s="106" t="s">
        <v>1107</v>
      </c>
      <c r="B755" s="122" t="s">
        <v>1108</v>
      </c>
      <c r="C755" s="126">
        <v>38.9</v>
      </c>
      <c r="D755" s="118">
        <v>0.26</v>
      </c>
      <c r="E755" s="106" t="s">
        <v>1109</v>
      </c>
      <c r="F755" s="136">
        <v>5360</v>
      </c>
      <c r="G755" s="106" t="s">
        <v>1110</v>
      </c>
      <c r="H755" s="137">
        <v>3350</v>
      </c>
      <c r="I755" s="106" t="s">
        <v>1111</v>
      </c>
      <c r="J755" s="137">
        <v>5280</v>
      </c>
      <c r="K755" s="106" t="s">
        <v>1112</v>
      </c>
      <c r="L755" s="136">
        <v>3440</v>
      </c>
      <c r="M755" s="106" t="s">
        <v>1113</v>
      </c>
      <c r="N755" s="137">
        <v>1460</v>
      </c>
    </row>
    <row r="756" spans="1:14" x14ac:dyDescent="0.25">
      <c r="A756" s="103" t="s">
        <v>1114</v>
      </c>
      <c r="B756" s="120" t="s">
        <v>1115</v>
      </c>
      <c r="C756" s="121">
        <v>13.1</v>
      </c>
      <c r="D756" s="115">
        <v>0.23</v>
      </c>
      <c r="E756" s="103" t="s">
        <v>1116</v>
      </c>
      <c r="F756" s="134">
        <v>3480</v>
      </c>
      <c r="G756" s="103" t="s">
        <v>1117</v>
      </c>
      <c r="H756" s="135">
        <v>1210</v>
      </c>
      <c r="I756" s="103" t="s">
        <v>1118</v>
      </c>
      <c r="J756" s="135">
        <v>2840</v>
      </c>
      <c r="K756" s="103" t="s">
        <v>1119</v>
      </c>
      <c r="L756" s="134">
        <v>636</v>
      </c>
      <c r="M756" s="103" t="s">
        <v>1120</v>
      </c>
      <c r="N756" s="134">
        <v>185</v>
      </c>
    </row>
    <row r="757" spans="1:14" x14ac:dyDescent="0.25">
      <c r="A757" s="106" t="s">
        <v>1121</v>
      </c>
      <c r="B757" s="122" t="s">
        <v>1122</v>
      </c>
      <c r="C757" s="126">
        <v>11</v>
      </c>
      <c r="D757" s="107" t="s">
        <v>1123</v>
      </c>
      <c r="E757" s="106" t="s">
        <v>1124</v>
      </c>
      <c r="F757" s="136">
        <v>4110</v>
      </c>
      <c r="G757" s="106" t="s">
        <v>1125</v>
      </c>
      <c r="H757" s="137">
        <v>1330</v>
      </c>
      <c r="I757" s="106" t="s">
        <v>1126</v>
      </c>
      <c r="J757" s="137">
        <v>3190</v>
      </c>
      <c r="K757" s="106" t="s">
        <v>1127</v>
      </c>
      <c r="L757" s="136">
        <v>573</v>
      </c>
      <c r="M757" s="106" t="s">
        <v>1128</v>
      </c>
      <c r="N757" s="136">
        <v>195</v>
      </c>
    </row>
    <row r="758" spans="1:14" x14ac:dyDescent="0.25">
      <c r="A758" s="103" t="s">
        <v>1129</v>
      </c>
      <c r="B758" s="120" t="s">
        <v>1130</v>
      </c>
      <c r="C758" s="114">
        <v>242</v>
      </c>
      <c r="D758" s="115">
        <v>0.24</v>
      </c>
      <c r="E758" s="103" t="s">
        <v>1075</v>
      </c>
      <c r="F758" s="134">
        <v>6940</v>
      </c>
      <c r="G758" s="103" t="s">
        <v>1131</v>
      </c>
      <c r="H758" s="135">
        <v>8060</v>
      </c>
      <c r="I758" s="103" t="s">
        <v>1132</v>
      </c>
      <c r="J758" s="135">
        <v>7400</v>
      </c>
      <c r="K758" s="103" t="s">
        <v>1133</v>
      </c>
      <c r="L758" s="134">
        <v>8400</v>
      </c>
      <c r="M758" s="103" t="s">
        <v>1134</v>
      </c>
      <c r="N758" s="135">
        <v>8380</v>
      </c>
    </row>
    <row r="759" spans="1:14" x14ac:dyDescent="0.25">
      <c r="A759" s="106" t="s">
        <v>1135</v>
      </c>
      <c r="B759" s="122" t="s">
        <v>1136</v>
      </c>
      <c r="C759" s="126">
        <v>6.5</v>
      </c>
      <c r="D759" s="107" t="s">
        <v>1137</v>
      </c>
      <c r="E759" s="106" t="s">
        <v>1138</v>
      </c>
      <c r="F759" s="136">
        <v>2510</v>
      </c>
      <c r="G759" s="106" t="s">
        <v>1139</v>
      </c>
      <c r="H759" s="136">
        <v>716</v>
      </c>
      <c r="I759" s="106" t="s">
        <v>1140</v>
      </c>
      <c r="J759" s="137">
        <v>1570</v>
      </c>
      <c r="K759" s="106" t="s">
        <v>1141</v>
      </c>
      <c r="L759" s="136">
        <v>176</v>
      </c>
      <c r="M759" s="106" t="s">
        <v>1142</v>
      </c>
      <c r="N759" s="136">
        <v>100</v>
      </c>
    </row>
    <row r="760" spans="1:14" x14ac:dyDescent="0.25">
      <c r="A760" s="103" t="s">
        <v>1143</v>
      </c>
      <c r="B760" s="120" t="s">
        <v>1144</v>
      </c>
      <c r="C760" s="121">
        <v>47.1</v>
      </c>
      <c r="D760" s="115">
        <v>0.24</v>
      </c>
      <c r="E760" s="103" t="s">
        <v>1145</v>
      </c>
      <c r="F760" s="134">
        <v>6680</v>
      </c>
      <c r="G760" s="103" t="s">
        <v>1146</v>
      </c>
      <c r="H760" s="135">
        <v>4620</v>
      </c>
      <c r="I760" s="103" t="s">
        <v>1134</v>
      </c>
      <c r="J760" s="135">
        <v>6690</v>
      </c>
      <c r="K760" s="103" t="s">
        <v>1147</v>
      </c>
      <c r="L760" s="134">
        <v>4870</v>
      </c>
      <c r="M760" s="103" t="s">
        <v>1148</v>
      </c>
      <c r="N760" s="135">
        <v>2410</v>
      </c>
    </row>
    <row r="761" spans="1:14" x14ac:dyDescent="0.25">
      <c r="A761" s="106" t="s">
        <v>1149</v>
      </c>
      <c r="B761" s="122" t="s">
        <v>1150</v>
      </c>
      <c r="C761" s="126">
        <v>3.2</v>
      </c>
      <c r="D761" s="107" t="s">
        <v>1151</v>
      </c>
      <c r="E761" s="106" t="s">
        <v>1152</v>
      </c>
      <c r="F761" s="136">
        <v>863</v>
      </c>
      <c r="G761" s="106" t="s">
        <v>1153</v>
      </c>
      <c r="H761" s="136">
        <v>235</v>
      </c>
      <c r="I761" s="106" t="s">
        <v>1154</v>
      </c>
      <c r="J761" s="136">
        <v>378</v>
      </c>
      <c r="K761" s="106" t="s">
        <v>1155</v>
      </c>
      <c r="L761" s="136">
        <v>44</v>
      </c>
      <c r="M761" s="106" t="s">
        <v>1156</v>
      </c>
      <c r="N761" s="136">
        <v>33</v>
      </c>
    </row>
    <row r="762" spans="1:14" x14ac:dyDescent="0.25">
      <c r="A762" s="103" t="s">
        <v>1157</v>
      </c>
      <c r="B762" s="120" t="s">
        <v>1158</v>
      </c>
      <c r="C762" s="121">
        <v>3.1</v>
      </c>
      <c r="D762" s="104" t="s">
        <v>1159</v>
      </c>
      <c r="E762" s="103" t="s">
        <v>1160</v>
      </c>
      <c r="F762" s="134">
        <v>1070</v>
      </c>
      <c r="G762" s="103" t="s">
        <v>1160</v>
      </c>
      <c r="H762" s="134">
        <v>290</v>
      </c>
      <c r="I762" s="103" t="s">
        <v>1161</v>
      </c>
      <c r="J762" s="134">
        <v>460</v>
      </c>
      <c r="K762" s="103" t="s">
        <v>1162</v>
      </c>
      <c r="L762" s="134">
        <v>54</v>
      </c>
      <c r="M762" s="103" t="s">
        <v>1163</v>
      </c>
      <c r="N762" s="134">
        <v>40</v>
      </c>
    </row>
    <row r="763" spans="1:14" x14ac:dyDescent="0.25">
      <c r="A763" s="106" t="s">
        <v>1164</v>
      </c>
      <c r="B763" s="122" t="s">
        <v>1165</v>
      </c>
      <c r="C763" s="126">
        <v>7.7</v>
      </c>
      <c r="D763" s="118">
        <v>0.24</v>
      </c>
      <c r="E763" s="106" t="s">
        <v>1166</v>
      </c>
      <c r="F763" s="136">
        <v>2920</v>
      </c>
      <c r="G763" s="106" t="s">
        <v>1167</v>
      </c>
      <c r="H763" s="136">
        <v>858</v>
      </c>
      <c r="I763" s="106" t="s">
        <v>1168</v>
      </c>
      <c r="J763" s="137">
        <v>1970</v>
      </c>
      <c r="K763" s="106" t="s">
        <v>1169</v>
      </c>
      <c r="L763" s="136">
        <v>245</v>
      </c>
      <c r="M763" s="106" t="s">
        <v>1170</v>
      </c>
      <c r="N763" s="136">
        <v>121</v>
      </c>
    </row>
    <row r="764" spans="1:14" x14ac:dyDescent="0.25">
      <c r="A764" s="103" t="s">
        <v>1171</v>
      </c>
      <c r="B764" s="120" t="s">
        <v>1172</v>
      </c>
      <c r="C764" s="121">
        <v>1.2</v>
      </c>
      <c r="D764" s="104" t="s">
        <v>1173</v>
      </c>
      <c r="E764" s="103" t="s">
        <v>1174</v>
      </c>
      <c r="F764" s="134">
        <v>278</v>
      </c>
      <c r="G764" s="103" t="s">
        <v>1174</v>
      </c>
      <c r="H764" s="134">
        <v>76</v>
      </c>
      <c r="I764" s="103" t="s">
        <v>1175</v>
      </c>
      <c r="J764" s="134">
        <v>92</v>
      </c>
      <c r="K764" s="103" t="s">
        <v>1176</v>
      </c>
      <c r="L764" s="134">
        <v>13</v>
      </c>
      <c r="M764" s="103" t="s">
        <v>1177</v>
      </c>
      <c r="N764" s="134">
        <v>10</v>
      </c>
    </row>
    <row r="765" spans="1:14" x14ac:dyDescent="0.25">
      <c r="A765" s="106" t="s">
        <v>1178</v>
      </c>
      <c r="B765" s="122" t="s">
        <v>1179</v>
      </c>
      <c r="C765" s="126">
        <v>2.6</v>
      </c>
      <c r="D765" s="118">
        <v>7.0000000000000007E-2</v>
      </c>
      <c r="E765" s="106" t="s">
        <v>1180</v>
      </c>
      <c r="F765" s="136">
        <v>530</v>
      </c>
      <c r="G765" s="106" t="s">
        <v>1180</v>
      </c>
      <c r="H765" s="136">
        <v>144</v>
      </c>
      <c r="I765" s="106" t="s">
        <v>1181</v>
      </c>
      <c r="J765" s="136">
        <v>213</v>
      </c>
      <c r="K765" s="106" t="s">
        <v>1182</v>
      </c>
      <c r="L765" s="136">
        <v>26</v>
      </c>
      <c r="M765" s="106" t="s">
        <v>1183</v>
      </c>
      <c r="N765" s="136">
        <v>20</v>
      </c>
    </row>
    <row r="766" spans="1:14" x14ac:dyDescent="0.25">
      <c r="A766" s="103" t="s">
        <v>1184</v>
      </c>
      <c r="B766" s="120" t="s">
        <v>1185</v>
      </c>
      <c r="C766" s="121">
        <v>28.4</v>
      </c>
      <c r="D766" s="115">
        <v>0.31</v>
      </c>
      <c r="E766" s="103" t="s">
        <v>1186</v>
      </c>
      <c r="F766" s="134">
        <v>4510</v>
      </c>
      <c r="G766" s="103" t="s">
        <v>1187</v>
      </c>
      <c r="H766" s="135">
        <v>2360</v>
      </c>
      <c r="I766" s="103" t="s">
        <v>1188</v>
      </c>
      <c r="J766" s="135">
        <v>4290</v>
      </c>
      <c r="K766" s="103" t="s">
        <v>1079</v>
      </c>
      <c r="L766" s="134">
        <v>2220</v>
      </c>
      <c r="M766" s="103" t="s">
        <v>1189</v>
      </c>
      <c r="N766" s="134">
        <v>725</v>
      </c>
    </row>
    <row r="767" spans="1:14" x14ac:dyDescent="0.25">
      <c r="A767" s="106" t="s">
        <v>1190</v>
      </c>
      <c r="B767" s="122" t="s">
        <v>1191</v>
      </c>
      <c r="C767" s="126">
        <v>8.6999999999999993</v>
      </c>
      <c r="D767" s="118">
        <v>0.22</v>
      </c>
      <c r="E767" s="106" t="s">
        <v>1192</v>
      </c>
      <c r="F767" s="136">
        <v>2660</v>
      </c>
      <c r="G767" s="106" t="s">
        <v>1193</v>
      </c>
      <c r="H767" s="136">
        <v>804</v>
      </c>
      <c r="I767" s="106" t="s">
        <v>1194</v>
      </c>
      <c r="J767" s="137">
        <v>1890</v>
      </c>
      <c r="K767" s="106" t="s">
        <v>1195</v>
      </c>
      <c r="L767" s="136">
        <v>262</v>
      </c>
      <c r="M767" s="106" t="s">
        <v>1196</v>
      </c>
      <c r="N767" s="136">
        <v>114</v>
      </c>
    </row>
    <row r="768" spans="1:14" ht="18" x14ac:dyDescent="0.25">
      <c r="A768" s="103" t="s">
        <v>1197</v>
      </c>
      <c r="B768" s="120" t="s">
        <v>1198</v>
      </c>
      <c r="C768" s="121">
        <v>16.100000000000001</v>
      </c>
      <c r="D768" s="104" t="s">
        <v>1199</v>
      </c>
      <c r="E768" s="103" t="s">
        <v>1200</v>
      </c>
      <c r="F768" s="134">
        <v>4310</v>
      </c>
      <c r="G768" s="103" t="s">
        <v>1201</v>
      </c>
      <c r="H768" s="135">
        <v>1650</v>
      </c>
      <c r="I768" s="103" t="s">
        <v>1202</v>
      </c>
      <c r="J768" s="135">
        <v>3720</v>
      </c>
      <c r="K768" s="103" t="s">
        <v>1203</v>
      </c>
      <c r="L768" s="134">
        <v>1070</v>
      </c>
      <c r="M768" s="103" t="s">
        <v>1204</v>
      </c>
      <c r="N768" s="134">
        <v>281</v>
      </c>
    </row>
    <row r="769" spans="1:14" x14ac:dyDescent="0.25">
      <c r="A769" s="106" t="s">
        <v>1205</v>
      </c>
      <c r="B769" s="122" t="s">
        <v>1206</v>
      </c>
      <c r="C769" s="106" t="s">
        <v>1207</v>
      </c>
      <c r="D769" s="122" t="s">
        <v>1208</v>
      </c>
      <c r="E769" s="106" t="s">
        <v>1209</v>
      </c>
      <c r="F769" s="138" t="s">
        <v>1098</v>
      </c>
      <c r="G769" s="106" t="s">
        <v>1209</v>
      </c>
      <c r="H769" s="138" t="s">
        <v>1098</v>
      </c>
      <c r="I769" s="106" t="s">
        <v>1210</v>
      </c>
      <c r="J769" s="138" t="s">
        <v>1098</v>
      </c>
      <c r="K769" s="106" t="s">
        <v>1211</v>
      </c>
      <c r="L769" s="138" t="s">
        <v>1098</v>
      </c>
      <c r="M769" s="106" t="s">
        <v>1212</v>
      </c>
      <c r="N769" s="138" t="s">
        <v>1098</v>
      </c>
    </row>
    <row r="770" spans="1:14" x14ac:dyDescent="0.25">
      <c r="A770" s="103" t="s">
        <v>1213</v>
      </c>
      <c r="B770" s="120" t="s">
        <v>1214</v>
      </c>
      <c r="C770" s="103" t="s">
        <v>1215</v>
      </c>
      <c r="D770" s="120" t="s">
        <v>1216</v>
      </c>
      <c r="E770" s="103" t="s">
        <v>1217</v>
      </c>
      <c r="F770" s="139" t="s">
        <v>1098</v>
      </c>
      <c r="G770" s="103" t="s">
        <v>1217</v>
      </c>
      <c r="H770" s="139" t="s">
        <v>1098</v>
      </c>
      <c r="I770" s="103" t="s">
        <v>1218</v>
      </c>
      <c r="J770" s="139" t="s">
        <v>1098</v>
      </c>
      <c r="K770" s="103" t="s">
        <v>1219</v>
      </c>
      <c r="L770" s="139" t="s">
        <v>1098</v>
      </c>
      <c r="M770" s="103" t="s">
        <v>1220</v>
      </c>
      <c r="N770" s="139" t="s">
        <v>1098</v>
      </c>
    </row>
    <row r="771" spans="1:14" x14ac:dyDescent="0.25">
      <c r="A771" s="106" t="s">
        <v>1221</v>
      </c>
      <c r="B771" s="122" t="s">
        <v>1222</v>
      </c>
      <c r="C771" s="106" t="s">
        <v>1223</v>
      </c>
      <c r="D771" s="118">
        <v>0.02</v>
      </c>
      <c r="E771" s="106" t="s">
        <v>1224</v>
      </c>
      <c r="F771" s="138" t="s">
        <v>1098</v>
      </c>
      <c r="G771" s="106" t="s">
        <v>1224</v>
      </c>
      <c r="H771" s="138" t="s">
        <v>1098</v>
      </c>
      <c r="I771" s="106" t="s">
        <v>1225</v>
      </c>
      <c r="J771" s="138" t="s">
        <v>1098</v>
      </c>
      <c r="K771" s="106" t="s">
        <v>1226</v>
      </c>
      <c r="L771" s="138" t="s">
        <v>1098</v>
      </c>
      <c r="M771" s="106" t="s">
        <v>1227</v>
      </c>
      <c r="N771" s="138" t="s">
        <v>1098</v>
      </c>
    </row>
    <row r="772" spans="1:14" x14ac:dyDescent="0.25">
      <c r="A772" s="103" t="s">
        <v>1228</v>
      </c>
      <c r="B772" s="120" t="s">
        <v>1229</v>
      </c>
      <c r="C772" s="103" t="s">
        <v>1230</v>
      </c>
      <c r="D772" s="115">
        <v>0.01</v>
      </c>
      <c r="E772" s="103" t="s">
        <v>1231</v>
      </c>
      <c r="F772" s="139" t="s">
        <v>1098</v>
      </c>
      <c r="G772" s="103" t="s">
        <v>1231</v>
      </c>
      <c r="H772" s="139" t="s">
        <v>1098</v>
      </c>
      <c r="I772" s="103" t="s">
        <v>1232</v>
      </c>
      <c r="J772" s="139" t="s">
        <v>1098</v>
      </c>
      <c r="K772" s="103" t="s">
        <v>1233</v>
      </c>
      <c r="L772" s="139" t="s">
        <v>1098</v>
      </c>
      <c r="M772" s="103" t="s">
        <v>1234</v>
      </c>
      <c r="N772" s="139" t="s">
        <v>1098</v>
      </c>
    </row>
    <row r="773" spans="1:14" x14ac:dyDescent="0.25">
      <c r="A773" s="106" t="s">
        <v>1235</v>
      </c>
      <c r="B773" s="122" t="s">
        <v>1236</v>
      </c>
      <c r="C773" s="106" t="s">
        <v>1237</v>
      </c>
      <c r="D773" s="118">
        <v>0.02</v>
      </c>
      <c r="E773" s="106" t="s">
        <v>1238</v>
      </c>
      <c r="F773" s="136">
        <v>1</v>
      </c>
      <c r="G773" s="106" t="s">
        <v>1238</v>
      </c>
      <c r="H773" s="138" t="s">
        <v>1098</v>
      </c>
      <c r="I773" s="106" t="s">
        <v>1239</v>
      </c>
      <c r="J773" s="138" t="s">
        <v>1098</v>
      </c>
      <c r="K773" s="106" t="s">
        <v>1240</v>
      </c>
      <c r="L773" s="138" t="s">
        <v>1098</v>
      </c>
      <c r="M773" s="106" t="s">
        <v>1241</v>
      </c>
      <c r="N773" s="138" t="s">
        <v>1098</v>
      </c>
    </row>
    <row r="774" spans="1:14" x14ac:dyDescent="0.25">
      <c r="A774" s="103" t="s">
        <v>1242</v>
      </c>
      <c r="B774" s="120" t="s">
        <v>1243</v>
      </c>
      <c r="C774" s="103" t="s">
        <v>1244</v>
      </c>
      <c r="D774" s="115">
        <v>0.02</v>
      </c>
      <c r="E774" s="103" t="s">
        <v>1245</v>
      </c>
      <c r="F774" s="134">
        <v>1</v>
      </c>
      <c r="G774" s="103" t="s">
        <v>1245</v>
      </c>
      <c r="H774" s="139" t="s">
        <v>1098</v>
      </c>
      <c r="I774" s="103" t="s">
        <v>1246</v>
      </c>
      <c r="J774" s="139" t="s">
        <v>1098</v>
      </c>
      <c r="K774" s="103" t="s">
        <v>1247</v>
      </c>
      <c r="L774" s="139" t="s">
        <v>1098</v>
      </c>
      <c r="M774" s="103" t="s">
        <v>1248</v>
      </c>
      <c r="N774" s="139" t="s">
        <v>1098</v>
      </c>
    </row>
    <row r="775" spans="1:14" x14ac:dyDescent="0.25">
      <c r="A775" s="106" t="s">
        <v>1249</v>
      </c>
      <c r="B775" s="122" t="s">
        <v>1250</v>
      </c>
      <c r="C775" s="106" t="s">
        <v>1251</v>
      </c>
      <c r="D775" s="118">
        <v>0.04</v>
      </c>
      <c r="E775" s="106" t="s">
        <v>1252</v>
      </c>
      <c r="F775" s="136">
        <v>4</v>
      </c>
      <c r="G775" s="106" t="s">
        <v>1252</v>
      </c>
      <c r="H775" s="138" t="s">
        <v>1098</v>
      </c>
      <c r="I775" s="106" t="s">
        <v>1253</v>
      </c>
      <c r="J775" s="138" t="s">
        <v>1098</v>
      </c>
      <c r="K775" s="106" t="s">
        <v>1254</v>
      </c>
      <c r="L775" s="138" t="s">
        <v>1098</v>
      </c>
      <c r="M775" s="106" t="s">
        <v>1255</v>
      </c>
      <c r="N775" s="138" t="s">
        <v>1098</v>
      </c>
    </row>
    <row r="776" spans="1:14" x14ac:dyDescent="0.25">
      <c r="A776" s="109" t="s">
        <v>1256</v>
      </c>
      <c r="B776" s="123" t="s">
        <v>1257</v>
      </c>
      <c r="C776" s="109" t="s">
        <v>1258</v>
      </c>
      <c r="D776" s="110" t="s">
        <v>1259</v>
      </c>
      <c r="E776" s="109" t="s">
        <v>1204</v>
      </c>
      <c r="F776" s="140">
        <v>6</v>
      </c>
      <c r="G776" s="109" t="s">
        <v>1204</v>
      </c>
      <c r="H776" s="140">
        <v>2</v>
      </c>
      <c r="I776" s="109" t="s">
        <v>1260</v>
      </c>
      <c r="J776" s="140">
        <v>2</v>
      </c>
      <c r="K776" s="109" t="s">
        <v>1261</v>
      </c>
      <c r="L776" s="141" t="s">
        <v>1098</v>
      </c>
      <c r="M776" s="109" t="s">
        <v>1262</v>
      </c>
      <c r="N776" s="141" t="s">
        <v>1098</v>
      </c>
    </row>
    <row r="777" spans="1:14" x14ac:dyDescent="0.25">
      <c r="A777" s="99" t="s">
        <v>1263</v>
      </c>
      <c r="B777" s="142" t="s">
        <v>1264</v>
      </c>
      <c r="C777" s="99" t="s">
        <v>1265</v>
      </c>
      <c r="D777" s="143">
        <v>0.01</v>
      </c>
      <c r="E777" s="99" t="s">
        <v>1266</v>
      </c>
      <c r="F777" s="144">
        <v>1</v>
      </c>
      <c r="G777" s="99" t="s">
        <v>1266</v>
      </c>
      <c r="H777" s="145" t="s">
        <v>1098</v>
      </c>
      <c r="I777" s="99" t="s">
        <v>1267</v>
      </c>
      <c r="J777" s="145" t="s">
        <v>1098</v>
      </c>
      <c r="K777" s="99" t="s">
        <v>1268</v>
      </c>
      <c r="L777" s="145" t="s">
        <v>1098</v>
      </c>
      <c r="M777" s="99" t="s">
        <v>1269</v>
      </c>
      <c r="N777" s="145" t="s">
        <v>1098</v>
      </c>
    </row>
    <row r="778" spans="1:14" x14ac:dyDescent="0.25">
      <c r="A778" s="103" t="s">
        <v>1270</v>
      </c>
      <c r="B778" s="120" t="s">
        <v>1271</v>
      </c>
      <c r="C778" s="103" t="s">
        <v>1272</v>
      </c>
      <c r="D778" s="146">
        <v>0.01</v>
      </c>
      <c r="E778" s="103" t="s">
        <v>1273</v>
      </c>
      <c r="F778" s="139" t="s">
        <v>1098</v>
      </c>
      <c r="G778" s="103" t="s">
        <v>1273</v>
      </c>
      <c r="H778" s="139" t="s">
        <v>1098</v>
      </c>
      <c r="I778" s="103" t="s">
        <v>1274</v>
      </c>
      <c r="J778" s="139" t="s">
        <v>1098</v>
      </c>
      <c r="K778" s="103" t="s">
        <v>1275</v>
      </c>
      <c r="L778" s="139" t="s">
        <v>1098</v>
      </c>
      <c r="M778" s="103" t="s">
        <v>1276</v>
      </c>
      <c r="N778" s="139" t="s">
        <v>1098</v>
      </c>
    </row>
    <row r="779" spans="1:14" x14ac:dyDescent="0.25">
      <c r="A779" s="106" t="s">
        <v>1277</v>
      </c>
      <c r="B779" s="122" t="s">
        <v>1278</v>
      </c>
      <c r="C779" s="106" t="s">
        <v>1272</v>
      </c>
      <c r="D779" s="147">
        <v>0.03</v>
      </c>
      <c r="E779" s="106" t="s">
        <v>1083</v>
      </c>
      <c r="F779" s="138" t="s">
        <v>1098</v>
      </c>
      <c r="G779" s="106" t="s">
        <v>1083</v>
      </c>
      <c r="H779" s="138" t="s">
        <v>1098</v>
      </c>
      <c r="I779" s="106" t="s">
        <v>1279</v>
      </c>
      <c r="J779" s="138" t="s">
        <v>1098</v>
      </c>
      <c r="K779" s="106" t="s">
        <v>1280</v>
      </c>
      <c r="L779" s="138" t="s">
        <v>1098</v>
      </c>
      <c r="M779" s="106" t="s">
        <v>1281</v>
      </c>
      <c r="N779" s="138" t="s">
        <v>1098</v>
      </c>
    </row>
    <row r="780" spans="1:14" x14ac:dyDescent="0.25">
      <c r="A780" s="103" t="s">
        <v>1282</v>
      </c>
      <c r="B780" s="120" t="s">
        <v>1283</v>
      </c>
      <c r="C780" s="103" t="s">
        <v>1272</v>
      </c>
      <c r="D780" s="146">
        <v>0.03</v>
      </c>
      <c r="E780" s="103" t="s">
        <v>1284</v>
      </c>
      <c r="F780" s="139" t="s">
        <v>1098</v>
      </c>
      <c r="G780" s="103" t="s">
        <v>1284</v>
      </c>
      <c r="H780" s="139" t="s">
        <v>1098</v>
      </c>
      <c r="I780" s="103" t="s">
        <v>1285</v>
      </c>
      <c r="J780" s="139" t="s">
        <v>1098</v>
      </c>
      <c r="K780" s="103" t="s">
        <v>1286</v>
      </c>
      <c r="L780" s="139" t="s">
        <v>1098</v>
      </c>
      <c r="M780" s="103" t="s">
        <v>1287</v>
      </c>
      <c r="N780" s="139" t="s">
        <v>1098</v>
      </c>
    </row>
    <row r="781" spans="1:14" ht="18" x14ac:dyDescent="0.25">
      <c r="A781" s="127" t="s">
        <v>1288</v>
      </c>
      <c r="B781" s="127" t="s">
        <v>1289</v>
      </c>
      <c r="C781" s="128" t="s">
        <v>1272</v>
      </c>
      <c r="D781" s="148">
        <v>0.03</v>
      </c>
      <c r="E781" s="128" t="s">
        <v>1290</v>
      </c>
      <c r="F781" s="149" t="s">
        <v>1098</v>
      </c>
      <c r="G781" s="128" t="s">
        <v>1290</v>
      </c>
      <c r="H781" s="149" t="s">
        <v>1098</v>
      </c>
      <c r="I781" s="128" t="s">
        <v>1291</v>
      </c>
      <c r="J781" s="149" t="s">
        <v>1098</v>
      </c>
      <c r="K781" s="128" t="s">
        <v>1292</v>
      </c>
      <c r="L781" s="149" t="s">
        <v>1098</v>
      </c>
      <c r="M781" s="128" t="s">
        <v>1293</v>
      </c>
      <c r="N781" s="149" t="s">
        <v>1098</v>
      </c>
    </row>
    <row r="782" spans="1:14" x14ac:dyDescent="0.25">
      <c r="A782" s="99" t="s">
        <v>1294</v>
      </c>
      <c r="B782" s="100" t="s">
        <v>1295</v>
      </c>
      <c r="C782" s="112">
        <v>5</v>
      </c>
      <c r="D782" s="143">
        <v>7.0000000000000007E-2</v>
      </c>
      <c r="E782" s="99" t="s">
        <v>1296</v>
      </c>
      <c r="F782" s="144">
        <v>578</v>
      </c>
      <c r="G782" s="99" t="s">
        <v>1297</v>
      </c>
      <c r="H782" s="144">
        <v>160</v>
      </c>
      <c r="I782" s="99" t="s">
        <v>1298</v>
      </c>
      <c r="J782" s="144">
        <v>317</v>
      </c>
      <c r="K782" s="99" t="s">
        <v>1299</v>
      </c>
      <c r="L782" s="144">
        <v>34</v>
      </c>
      <c r="M782" s="99" t="s">
        <v>1300</v>
      </c>
      <c r="N782" s="144">
        <v>22</v>
      </c>
    </row>
    <row r="783" spans="1:14" x14ac:dyDescent="0.25">
      <c r="A783" s="103" t="s">
        <v>1301</v>
      </c>
      <c r="B783" s="104" t="s">
        <v>1302</v>
      </c>
      <c r="C783" s="114">
        <v>26</v>
      </c>
      <c r="D783" s="146">
        <v>0.17</v>
      </c>
      <c r="E783" s="103" t="s">
        <v>1303</v>
      </c>
      <c r="F783" s="135">
        <v>3480</v>
      </c>
      <c r="G783" s="103" t="s">
        <v>1304</v>
      </c>
      <c r="H783" s="135">
        <v>1730</v>
      </c>
      <c r="I783" s="103" t="s">
        <v>1305</v>
      </c>
      <c r="J783" s="135">
        <v>3280</v>
      </c>
      <c r="K783" s="103" t="s">
        <v>1306</v>
      </c>
      <c r="L783" s="135">
        <v>1570</v>
      </c>
      <c r="M783" s="103" t="s">
        <v>1307</v>
      </c>
      <c r="N783" s="134">
        <v>479</v>
      </c>
    </row>
    <row r="784" spans="1:14" x14ac:dyDescent="0.25">
      <c r="A784" s="106" t="s">
        <v>1308</v>
      </c>
      <c r="B784" s="107" t="s">
        <v>1309</v>
      </c>
      <c r="C784" s="126">
        <v>1</v>
      </c>
      <c r="D784" s="122" t="s">
        <v>1310</v>
      </c>
      <c r="E784" s="106" t="s">
        <v>1311</v>
      </c>
      <c r="F784" s="136">
        <v>45</v>
      </c>
      <c r="G784" s="106" t="s">
        <v>1311</v>
      </c>
      <c r="H784" s="136">
        <v>12</v>
      </c>
      <c r="I784" s="106" t="s">
        <v>1312</v>
      </c>
      <c r="J784" s="136">
        <v>15</v>
      </c>
      <c r="K784" s="106" t="s">
        <v>1313</v>
      </c>
      <c r="L784" s="136">
        <v>2</v>
      </c>
      <c r="M784" s="106" t="s">
        <v>1314</v>
      </c>
      <c r="N784" s="136">
        <v>2</v>
      </c>
    </row>
    <row r="785" spans="1:14" x14ac:dyDescent="0.25">
      <c r="A785" s="103" t="s">
        <v>1315</v>
      </c>
      <c r="B785" s="104" t="s">
        <v>1316</v>
      </c>
      <c r="C785" s="121">
        <v>0.4</v>
      </c>
      <c r="D785" s="120" t="s">
        <v>1317</v>
      </c>
      <c r="E785" s="103" t="s">
        <v>1318</v>
      </c>
      <c r="F785" s="134">
        <v>33</v>
      </c>
      <c r="G785" s="103" t="s">
        <v>1318</v>
      </c>
      <c r="H785" s="134">
        <v>9</v>
      </c>
      <c r="I785" s="103" t="s">
        <v>1319</v>
      </c>
      <c r="J785" s="134">
        <v>10</v>
      </c>
      <c r="K785" s="103" t="s">
        <v>1320</v>
      </c>
      <c r="L785" s="134">
        <v>2</v>
      </c>
      <c r="M785" s="103" t="s">
        <v>1321</v>
      </c>
      <c r="N785" s="134">
        <v>1</v>
      </c>
    </row>
    <row r="786" spans="1:14" x14ac:dyDescent="0.25">
      <c r="A786" s="106" t="s">
        <v>1322</v>
      </c>
      <c r="B786" s="107" t="s">
        <v>1323</v>
      </c>
      <c r="C786" s="126">
        <v>0.4</v>
      </c>
      <c r="D786" s="147">
        <v>0.08</v>
      </c>
      <c r="E786" s="106" t="s">
        <v>1324</v>
      </c>
      <c r="F786" s="136">
        <v>60</v>
      </c>
      <c r="G786" s="106" t="s">
        <v>1324</v>
      </c>
      <c r="H786" s="136">
        <v>16</v>
      </c>
      <c r="I786" s="106" t="s">
        <v>1083</v>
      </c>
      <c r="J786" s="136">
        <v>18</v>
      </c>
      <c r="K786" s="106" t="s">
        <v>1325</v>
      </c>
      <c r="L786" s="136">
        <v>3</v>
      </c>
      <c r="M786" s="106" t="s">
        <v>1085</v>
      </c>
      <c r="N786" s="136">
        <v>2</v>
      </c>
    </row>
    <row r="787" spans="1:14" x14ac:dyDescent="0.25">
      <c r="A787" s="109" t="s">
        <v>1326</v>
      </c>
      <c r="B787" s="123" t="s">
        <v>1327</v>
      </c>
      <c r="C787" s="109" t="s">
        <v>1328</v>
      </c>
      <c r="D787" s="150">
        <v>0.01</v>
      </c>
      <c r="E787" s="109" t="s">
        <v>1329</v>
      </c>
      <c r="F787" s="140">
        <v>3</v>
      </c>
      <c r="G787" s="109" t="s">
        <v>1329</v>
      </c>
      <c r="H787" s="141" t="s">
        <v>1098</v>
      </c>
      <c r="I787" s="109" t="s">
        <v>1330</v>
      </c>
      <c r="J787" s="141" t="s">
        <v>1098</v>
      </c>
      <c r="K787" s="109" t="s">
        <v>1331</v>
      </c>
      <c r="L787" s="141" t="s">
        <v>1098</v>
      </c>
      <c r="M787" s="109" t="s">
        <v>1332</v>
      </c>
      <c r="N787" s="141" t="s">
        <v>1098</v>
      </c>
    </row>
    <row r="788" spans="1:14" x14ac:dyDescent="0.25">
      <c r="A788" s="99" t="s">
        <v>1333</v>
      </c>
      <c r="B788" s="100" t="s">
        <v>1334</v>
      </c>
      <c r="C788" s="112">
        <v>0.8</v>
      </c>
      <c r="D788" s="151">
        <v>4.0000000000000001E-3</v>
      </c>
      <c r="E788" s="99" t="s">
        <v>1335</v>
      </c>
      <c r="F788" s="144">
        <v>9</v>
      </c>
      <c r="G788" s="99" t="s">
        <v>1335</v>
      </c>
      <c r="H788" s="144">
        <v>2</v>
      </c>
      <c r="I788" s="99" t="s">
        <v>1336</v>
      </c>
      <c r="J788" s="144">
        <v>3</v>
      </c>
      <c r="K788" s="99" t="s">
        <v>1337</v>
      </c>
      <c r="L788" s="145" t="s">
        <v>1098</v>
      </c>
      <c r="M788" s="99" t="s">
        <v>1338</v>
      </c>
      <c r="N788" s="145" t="s">
        <v>1098</v>
      </c>
    </row>
    <row r="789" spans="1:14" x14ac:dyDescent="0.25">
      <c r="A789" s="103" t="s">
        <v>1339</v>
      </c>
      <c r="B789" s="104" t="s">
        <v>1340</v>
      </c>
      <c r="C789" s="121">
        <v>0.3</v>
      </c>
      <c r="D789" s="146">
        <v>0.01</v>
      </c>
      <c r="E789" s="103" t="s">
        <v>1341</v>
      </c>
      <c r="F789" s="134">
        <v>4</v>
      </c>
      <c r="G789" s="103" t="s">
        <v>1341</v>
      </c>
      <c r="H789" s="134">
        <v>1</v>
      </c>
      <c r="I789" s="103" t="s">
        <v>1342</v>
      </c>
      <c r="J789" s="134">
        <v>1</v>
      </c>
      <c r="K789" s="103" t="s">
        <v>1343</v>
      </c>
      <c r="L789" s="139" t="s">
        <v>1098</v>
      </c>
      <c r="M789" s="103" t="s">
        <v>1344</v>
      </c>
      <c r="N789" s="139" t="s">
        <v>1098</v>
      </c>
    </row>
    <row r="790" spans="1:14" x14ac:dyDescent="0.25">
      <c r="A790" s="106" t="s">
        <v>1345</v>
      </c>
      <c r="B790" s="107" t="s">
        <v>1346</v>
      </c>
      <c r="C790" s="126">
        <v>5.2</v>
      </c>
      <c r="D790" s="147">
        <v>0.15</v>
      </c>
      <c r="E790" s="106" t="s">
        <v>975</v>
      </c>
      <c r="F790" s="137">
        <v>1350</v>
      </c>
      <c r="G790" s="106" t="s">
        <v>1347</v>
      </c>
      <c r="H790" s="136">
        <v>376</v>
      </c>
      <c r="I790" s="106" t="s">
        <v>1348</v>
      </c>
      <c r="J790" s="136">
        <v>756</v>
      </c>
      <c r="K790" s="106" t="s">
        <v>1349</v>
      </c>
      <c r="L790" s="136">
        <v>80</v>
      </c>
      <c r="M790" s="106" t="s">
        <v>1350</v>
      </c>
      <c r="N790" s="136">
        <v>52</v>
      </c>
    </row>
    <row r="791" spans="1:14" x14ac:dyDescent="0.25">
      <c r="A791" s="103" t="s">
        <v>1351</v>
      </c>
      <c r="B791" s="104" t="s">
        <v>1352</v>
      </c>
      <c r="C791" s="121">
        <v>2.9</v>
      </c>
      <c r="D791" s="146">
        <v>0.27</v>
      </c>
      <c r="E791" s="103" t="s">
        <v>1353</v>
      </c>
      <c r="F791" s="134">
        <v>848</v>
      </c>
      <c r="G791" s="103" t="s">
        <v>1353</v>
      </c>
      <c r="H791" s="134">
        <v>231</v>
      </c>
      <c r="I791" s="103" t="s">
        <v>1354</v>
      </c>
      <c r="J791" s="134">
        <v>356</v>
      </c>
      <c r="K791" s="103" t="s">
        <v>1238</v>
      </c>
      <c r="L791" s="134">
        <v>42</v>
      </c>
      <c r="M791" s="103" t="s">
        <v>1355</v>
      </c>
      <c r="N791" s="134">
        <v>32</v>
      </c>
    </row>
    <row r="792" spans="1:14" x14ac:dyDescent="0.25">
      <c r="A792" s="106" t="s">
        <v>1356</v>
      </c>
      <c r="B792" s="107" t="s">
        <v>1357</v>
      </c>
      <c r="C792" s="117">
        <v>16</v>
      </c>
      <c r="D792" s="147">
        <v>0.28999999999999998</v>
      </c>
      <c r="E792" s="106" t="s">
        <v>1358</v>
      </c>
      <c r="F792" s="137">
        <v>4590</v>
      </c>
      <c r="G792" s="106" t="s">
        <v>1359</v>
      </c>
      <c r="H792" s="137">
        <v>1750</v>
      </c>
      <c r="I792" s="106" t="s">
        <v>1360</v>
      </c>
      <c r="J792" s="137">
        <v>3950</v>
      </c>
      <c r="K792" s="106" t="s">
        <v>1361</v>
      </c>
      <c r="L792" s="137">
        <v>1130</v>
      </c>
      <c r="M792" s="106" t="s">
        <v>1195</v>
      </c>
      <c r="N792" s="136">
        <v>297</v>
      </c>
    </row>
    <row r="793" spans="1:14" x14ac:dyDescent="0.25">
      <c r="A793" s="103" t="s">
        <v>1362</v>
      </c>
      <c r="B793" s="104" t="s">
        <v>1363</v>
      </c>
      <c r="C793" s="114">
        <v>65</v>
      </c>
      <c r="D793" s="146">
        <v>0.3</v>
      </c>
      <c r="E793" s="103" t="s">
        <v>1364</v>
      </c>
      <c r="F793" s="135">
        <v>7800</v>
      </c>
      <c r="G793" s="103" t="s">
        <v>1365</v>
      </c>
      <c r="H793" s="135">
        <v>6290</v>
      </c>
      <c r="I793" s="103" t="s">
        <v>1366</v>
      </c>
      <c r="J793" s="135">
        <v>7990</v>
      </c>
      <c r="K793" s="103" t="s">
        <v>1367</v>
      </c>
      <c r="L793" s="135">
        <v>6750</v>
      </c>
      <c r="M793" s="103" t="s">
        <v>1368</v>
      </c>
      <c r="N793" s="134">
        <v>4170</v>
      </c>
    </row>
    <row r="794" spans="1:14" x14ac:dyDescent="0.25">
      <c r="A794" s="106" t="s">
        <v>1369</v>
      </c>
      <c r="B794" s="122" t="s">
        <v>1370</v>
      </c>
      <c r="C794" s="126">
        <v>3.4</v>
      </c>
      <c r="D794" s="147">
        <v>0.14000000000000001</v>
      </c>
      <c r="E794" s="106" t="s">
        <v>1371</v>
      </c>
      <c r="F794" s="136">
        <v>635</v>
      </c>
      <c r="G794" s="106" t="s">
        <v>1371</v>
      </c>
      <c r="H794" s="136">
        <v>173</v>
      </c>
      <c r="I794" s="106" t="s">
        <v>1372</v>
      </c>
      <c r="J794" s="136">
        <v>286</v>
      </c>
      <c r="K794" s="106" t="s">
        <v>1373</v>
      </c>
      <c r="L794" s="136">
        <v>33</v>
      </c>
      <c r="M794" s="106" t="s">
        <v>1374</v>
      </c>
      <c r="N794" s="136">
        <v>24</v>
      </c>
    </row>
    <row r="795" spans="1:14" x14ac:dyDescent="0.25">
      <c r="A795" s="103" t="s">
        <v>1375</v>
      </c>
      <c r="B795" s="120" t="s">
        <v>1376</v>
      </c>
      <c r="C795" s="121">
        <v>1</v>
      </c>
      <c r="D795" s="146">
        <v>0.13</v>
      </c>
      <c r="E795" s="103" t="s">
        <v>1377</v>
      </c>
      <c r="F795" s="134">
        <v>151</v>
      </c>
      <c r="G795" s="103" t="s">
        <v>1377</v>
      </c>
      <c r="H795" s="134">
        <v>41</v>
      </c>
      <c r="I795" s="103" t="s">
        <v>1378</v>
      </c>
      <c r="J795" s="134">
        <v>49</v>
      </c>
      <c r="K795" s="103" t="s">
        <v>1379</v>
      </c>
      <c r="L795" s="134">
        <v>7</v>
      </c>
      <c r="M795" s="103" t="s">
        <v>1380</v>
      </c>
      <c r="N795" s="134">
        <v>6</v>
      </c>
    </row>
    <row r="796" spans="1:14" x14ac:dyDescent="0.25">
      <c r="A796" s="106" t="s">
        <v>1381</v>
      </c>
      <c r="B796" s="122" t="s">
        <v>1382</v>
      </c>
      <c r="C796" s="126">
        <v>2.9</v>
      </c>
      <c r="D796" s="147">
        <v>0.19</v>
      </c>
      <c r="E796" s="106" t="s">
        <v>1383</v>
      </c>
      <c r="F796" s="136">
        <v>674</v>
      </c>
      <c r="G796" s="106" t="s">
        <v>1383</v>
      </c>
      <c r="H796" s="136">
        <v>184</v>
      </c>
      <c r="I796" s="106" t="s">
        <v>1384</v>
      </c>
      <c r="J796" s="136">
        <v>283</v>
      </c>
      <c r="K796" s="106" t="s">
        <v>1299</v>
      </c>
      <c r="L796" s="136">
        <v>34</v>
      </c>
      <c r="M796" s="106" t="s">
        <v>1385</v>
      </c>
      <c r="N796" s="136">
        <v>25</v>
      </c>
    </row>
    <row r="797" spans="1:14" x14ac:dyDescent="0.25">
      <c r="A797" s="109" t="s">
        <v>1386</v>
      </c>
      <c r="B797" s="123" t="s">
        <v>1387</v>
      </c>
      <c r="C797" s="152">
        <v>20</v>
      </c>
      <c r="D797" s="150">
        <v>0.31</v>
      </c>
      <c r="E797" s="109" t="s">
        <v>1388</v>
      </c>
      <c r="F797" s="153">
        <v>3440</v>
      </c>
      <c r="G797" s="109" t="s">
        <v>1389</v>
      </c>
      <c r="H797" s="153">
        <v>1470</v>
      </c>
      <c r="I797" s="109" t="s">
        <v>1112</v>
      </c>
      <c r="J797" s="153">
        <v>3100</v>
      </c>
      <c r="K797" s="109" t="s">
        <v>1390</v>
      </c>
      <c r="L797" s="153">
        <v>1150</v>
      </c>
      <c r="M797" s="109" t="s">
        <v>1391</v>
      </c>
      <c r="N797" s="140">
        <v>304</v>
      </c>
    </row>
    <row r="798" spans="1:14" x14ac:dyDescent="0.25">
      <c r="A798" s="99" t="s">
        <v>1392</v>
      </c>
      <c r="B798" s="100" t="s">
        <v>1393</v>
      </c>
      <c r="C798" s="132">
        <v>500</v>
      </c>
      <c r="D798" s="143">
        <v>0.2</v>
      </c>
      <c r="E798" s="99" t="s">
        <v>1394</v>
      </c>
      <c r="F798" s="133">
        <v>12800</v>
      </c>
      <c r="G798" s="99" t="s">
        <v>1395</v>
      </c>
      <c r="H798" s="133">
        <v>16100</v>
      </c>
      <c r="I798" s="99" t="s">
        <v>1396</v>
      </c>
      <c r="J798" s="133">
        <v>13700</v>
      </c>
      <c r="K798" s="99" t="s">
        <v>1397</v>
      </c>
      <c r="L798" s="133">
        <v>16500</v>
      </c>
      <c r="M798" s="99" t="s">
        <v>1398</v>
      </c>
      <c r="N798" s="133">
        <v>18100</v>
      </c>
    </row>
    <row r="799" spans="1:14" x14ac:dyDescent="0.25">
      <c r="A799" s="103" t="s">
        <v>1399</v>
      </c>
      <c r="B799" s="104" t="s">
        <v>1400</v>
      </c>
      <c r="C799" s="154">
        <v>3200</v>
      </c>
      <c r="D799" s="146">
        <v>0.56999999999999995</v>
      </c>
      <c r="E799" s="103" t="s">
        <v>1401</v>
      </c>
      <c r="F799" s="155">
        <v>17500</v>
      </c>
      <c r="G799" s="103" t="s">
        <v>1402</v>
      </c>
      <c r="H799" s="155">
        <v>23500</v>
      </c>
      <c r="I799" s="103" t="s">
        <v>1403</v>
      </c>
      <c r="J799" s="155">
        <v>18900</v>
      </c>
      <c r="K799" s="103" t="s">
        <v>1297</v>
      </c>
      <c r="L799" s="155">
        <v>23800</v>
      </c>
      <c r="M799" s="103" t="s">
        <v>1404</v>
      </c>
      <c r="N799" s="155">
        <v>28200</v>
      </c>
    </row>
    <row r="800" spans="1:14" x14ac:dyDescent="0.25">
      <c r="A800" s="106" t="s">
        <v>1405</v>
      </c>
      <c r="B800" s="107" t="s">
        <v>1406</v>
      </c>
      <c r="C800" s="117">
        <v>800</v>
      </c>
      <c r="D800" s="147">
        <v>0.59</v>
      </c>
      <c r="E800" s="106" t="s">
        <v>1407</v>
      </c>
      <c r="F800" s="156">
        <v>13500</v>
      </c>
      <c r="G800" s="106" t="s">
        <v>1408</v>
      </c>
      <c r="H800" s="156">
        <v>17400</v>
      </c>
      <c r="I800" s="106" t="s">
        <v>1409</v>
      </c>
      <c r="J800" s="156">
        <v>14500</v>
      </c>
      <c r="K800" s="106" t="s">
        <v>1410</v>
      </c>
      <c r="L800" s="156">
        <v>17800</v>
      </c>
      <c r="M800" s="106" t="s">
        <v>1411</v>
      </c>
      <c r="N800" s="156">
        <v>20200</v>
      </c>
    </row>
    <row r="801" spans="1:14" x14ac:dyDescent="0.25">
      <c r="A801" s="103" t="s">
        <v>1412</v>
      </c>
      <c r="B801" s="104" t="s">
        <v>1413</v>
      </c>
      <c r="C801" s="114">
        <v>36</v>
      </c>
      <c r="D801" s="146">
        <v>0.2</v>
      </c>
      <c r="E801" s="103" t="s">
        <v>1414</v>
      </c>
      <c r="F801" s="135">
        <v>6840</v>
      </c>
      <c r="G801" s="103" t="s">
        <v>1415</v>
      </c>
      <c r="H801" s="135">
        <v>4090</v>
      </c>
      <c r="I801" s="103" t="s">
        <v>1134</v>
      </c>
      <c r="J801" s="135">
        <v>6690</v>
      </c>
      <c r="K801" s="103" t="s">
        <v>1416</v>
      </c>
      <c r="L801" s="135">
        <v>4140</v>
      </c>
      <c r="M801" s="103" t="s">
        <v>1417</v>
      </c>
      <c r="N801" s="134">
        <v>1650</v>
      </c>
    </row>
    <row r="802" spans="1:14" x14ac:dyDescent="0.25">
      <c r="A802" s="106" t="s">
        <v>1418</v>
      </c>
      <c r="B802" s="107" t="s">
        <v>1419</v>
      </c>
      <c r="C802" s="157">
        <v>50000</v>
      </c>
      <c r="D802" s="147">
        <v>0.09</v>
      </c>
      <c r="E802" s="106" t="s">
        <v>1125</v>
      </c>
      <c r="F802" s="137">
        <v>4880</v>
      </c>
      <c r="G802" s="106" t="s">
        <v>1420</v>
      </c>
      <c r="H802" s="137">
        <v>6630</v>
      </c>
      <c r="I802" s="106" t="s">
        <v>1111</v>
      </c>
      <c r="J802" s="137">
        <v>5270</v>
      </c>
      <c r="K802" s="106" t="s">
        <v>1421</v>
      </c>
      <c r="L802" s="137">
        <v>6690</v>
      </c>
      <c r="M802" s="106" t="s">
        <v>1422</v>
      </c>
      <c r="N802" s="136">
        <v>8040</v>
      </c>
    </row>
    <row r="803" spans="1:14" x14ac:dyDescent="0.25">
      <c r="A803" s="103" t="s">
        <v>1423</v>
      </c>
      <c r="B803" s="104" t="s">
        <v>1424</v>
      </c>
      <c r="C803" s="154">
        <v>10000</v>
      </c>
      <c r="D803" s="146">
        <v>0.25</v>
      </c>
      <c r="E803" s="103" t="s">
        <v>1425</v>
      </c>
      <c r="F803" s="135">
        <v>8210</v>
      </c>
      <c r="G803" s="103" t="s">
        <v>1426</v>
      </c>
      <c r="H803" s="155">
        <v>11100</v>
      </c>
      <c r="I803" s="103" t="s">
        <v>1427</v>
      </c>
      <c r="J803" s="135">
        <v>8880</v>
      </c>
      <c r="K803" s="103" t="s">
        <v>1174</v>
      </c>
      <c r="L803" s="155">
        <v>11200</v>
      </c>
      <c r="M803" s="103" t="s">
        <v>1428</v>
      </c>
      <c r="N803" s="155">
        <v>13500</v>
      </c>
    </row>
    <row r="804" spans="1:14" x14ac:dyDescent="0.25">
      <c r="A804" s="106" t="s">
        <v>1429</v>
      </c>
      <c r="B804" s="107" t="s">
        <v>1430</v>
      </c>
      <c r="C804" s="157">
        <v>3000</v>
      </c>
      <c r="D804" s="122" t="s">
        <v>1431</v>
      </c>
      <c r="E804" s="106" t="s">
        <v>1414</v>
      </c>
      <c r="F804" s="137">
        <v>6850</v>
      </c>
      <c r="G804" s="106" t="s">
        <v>1432</v>
      </c>
      <c r="H804" s="137">
        <v>9200</v>
      </c>
      <c r="I804" s="106" t="s">
        <v>1132</v>
      </c>
      <c r="J804" s="137">
        <v>7400</v>
      </c>
      <c r="K804" s="106" t="s">
        <v>1433</v>
      </c>
      <c r="L804" s="137">
        <v>9310</v>
      </c>
      <c r="M804" s="106" t="s">
        <v>1434</v>
      </c>
      <c r="N804" s="156">
        <v>11000</v>
      </c>
    </row>
    <row r="805" spans="1:14" x14ac:dyDescent="0.25">
      <c r="A805" s="103" t="s">
        <v>1435</v>
      </c>
      <c r="B805" s="104" t="s">
        <v>1436</v>
      </c>
      <c r="C805" s="154">
        <v>2600</v>
      </c>
      <c r="D805" s="146">
        <v>0.28000000000000003</v>
      </c>
      <c r="E805" s="103" t="s">
        <v>1437</v>
      </c>
      <c r="F805" s="135">
        <v>6640</v>
      </c>
      <c r="G805" s="103" t="s">
        <v>1438</v>
      </c>
      <c r="H805" s="135">
        <v>8900</v>
      </c>
      <c r="I805" s="103" t="s">
        <v>941</v>
      </c>
      <c r="J805" s="135">
        <v>7180</v>
      </c>
      <c r="K805" s="103" t="s">
        <v>933</v>
      </c>
      <c r="L805" s="135">
        <v>9010</v>
      </c>
      <c r="M805" s="103" t="s">
        <v>1439</v>
      </c>
      <c r="N805" s="155">
        <v>10700</v>
      </c>
    </row>
    <row r="806" spans="1:14" x14ac:dyDescent="0.25">
      <c r="A806" s="128" t="s">
        <v>1440</v>
      </c>
      <c r="B806" s="158" t="s">
        <v>1441</v>
      </c>
      <c r="C806" s="159">
        <v>3200</v>
      </c>
      <c r="D806" s="148">
        <v>0.32</v>
      </c>
      <c r="E806" s="128" t="s">
        <v>1442</v>
      </c>
      <c r="F806" s="160">
        <v>7110</v>
      </c>
      <c r="G806" s="128" t="s">
        <v>1443</v>
      </c>
      <c r="H806" s="160">
        <v>9540</v>
      </c>
      <c r="I806" s="128" t="s">
        <v>1444</v>
      </c>
      <c r="J806" s="160">
        <v>7680</v>
      </c>
      <c r="K806" s="128" t="s">
        <v>1445</v>
      </c>
      <c r="L806" s="160">
        <v>9660</v>
      </c>
      <c r="M806" s="128" t="s">
        <v>1446</v>
      </c>
      <c r="N806" s="161">
        <v>11500</v>
      </c>
    </row>
    <row r="807" spans="1:14" x14ac:dyDescent="0.25">
      <c r="A807" s="99" t="s">
        <v>1447</v>
      </c>
      <c r="B807" s="100" t="s">
        <v>1448</v>
      </c>
      <c r="C807" s="162">
        <v>2600</v>
      </c>
      <c r="D807" s="143">
        <v>0.36</v>
      </c>
      <c r="E807" s="99" t="s">
        <v>1414</v>
      </c>
      <c r="F807" s="163">
        <v>6870</v>
      </c>
      <c r="G807" s="99" t="s">
        <v>1432</v>
      </c>
      <c r="H807" s="163">
        <v>9200</v>
      </c>
      <c r="I807" s="99" t="s">
        <v>1449</v>
      </c>
      <c r="J807" s="163">
        <v>7420</v>
      </c>
      <c r="K807" s="99" t="s">
        <v>1450</v>
      </c>
      <c r="L807" s="163">
        <v>9320</v>
      </c>
      <c r="M807" s="99" t="s">
        <v>1451</v>
      </c>
      <c r="N807" s="133">
        <v>11000</v>
      </c>
    </row>
    <row r="808" spans="1:14" x14ac:dyDescent="0.25">
      <c r="A808" s="103" t="s">
        <v>1452</v>
      </c>
      <c r="B808" s="104" t="s">
        <v>1453</v>
      </c>
      <c r="C808" s="103" t="s">
        <v>1454</v>
      </c>
      <c r="D808" s="120" t="s">
        <v>1455</v>
      </c>
      <c r="E808" s="103" t="s">
        <v>1456</v>
      </c>
      <c r="F808" s="134">
        <v>7</v>
      </c>
      <c r="G808" s="103" t="s">
        <v>1456</v>
      </c>
      <c r="H808" s="134">
        <v>2</v>
      </c>
      <c r="I808" s="103" t="s">
        <v>1457</v>
      </c>
      <c r="J808" s="134">
        <v>2</v>
      </c>
      <c r="K808" s="103" t="s">
        <v>1458</v>
      </c>
      <c r="L808" s="139" t="s">
        <v>1098</v>
      </c>
      <c r="M808" s="103" t="s">
        <v>1459</v>
      </c>
      <c r="N808" s="139" t="s">
        <v>1098</v>
      </c>
    </row>
    <row r="809" spans="1:14" x14ac:dyDescent="0.25">
      <c r="A809" s="106" t="s">
        <v>1460</v>
      </c>
      <c r="B809" s="107" t="s">
        <v>1461</v>
      </c>
      <c r="C809" s="157">
        <v>4100</v>
      </c>
      <c r="D809" s="147">
        <v>0.41</v>
      </c>
      <c r="E809" s="106" t="s">
        <v>1462</v>
      </c>
      <c r="F809" s="137">
        <v>6350</v>
      </c>
      <c r="G809" s="106" t="s">
        <v>1463</v>
      </c>
      <c r="H809" s="137">
        <v>8550</v>
      </c>
      <c r="I809" s="106" t="s">
        <v>1464</v>
      </c>
      <c r="J809" s="137">
        <v>6860</v>
      </c>
      <c r="K809" s="106" t="s">
        <v>1465</v>
      </c>
      <c r="L809" s="137">
        <v>8650</v>
      </c>
      <c r="M809" s="106" t="s">
        <v>1466</v>
      </c>
      <c r="N809" s="156">
        <v>10300</v>
      </c>
    </row>
    <row r="810" spans="1:14" x14ac:dyDescent="0.25">
      <c r="A810" s="103" t="s">
        <v>1467</v>
      </c>
      <c r="B810" s="104" t="s">
        <v>1468</v>
      </c>
      <c r="C810" s="154">
        <v>3100</v>
      </c>
      <c r="D810" s="146">
        <v>0.44</v>
      </c>
      <c r="E810" s="103" t="s">
        <v>1469</v>
      </c>
      <c r="F810" s="135">
        <v>5890</v>
      </c>
      <c r="G810" s="103" t="s">
        <v>1470</v>
      </c>
      <c r="H810" s="135">
        <v>7910</v>
      </c>
      <c r="I810" s="103" t="s">
        <v>1471</v>
      </c>
      <c r="J810" s="135">
        <v>6370</v>
      </c>
      <c r="K810" s="103" t="s">
        <v>1472</v>
      </c>
      <c r="L810" s="135">
        <v>8010</v>
      </c>
      <c r="M810" s="103" t="s">
        <v>1473</v>
      </c>
      <c r="N810" s="134">
        <v>9490</v>
      </c>
    </row>
    <row r="811" spans="1:14" x14ac:dyDescent="0.25">
      <c r="A811" s="106" t="s">
        <v>1474</v>
      </c>
      <c r="B811" s="107" t="s">
        <v>1475</v>
      </c>
      <c r="C811" s="157">
        <v>3000</v>
      </c>
      <c r="D811" s="147">
        <v>0.5</v>
      </c>
      <c r="E811" s="106" t="s">
        <v>1476</v>
      </c>
      <c r="F811" s="137">
        <v>5830</v>
      </c>
      <c r="G811" s="106" t="s">
        <v>1477</v>
      </c>
      <c r="H811" s="137">
        <v>7820</v>
      </c>
      <c r="I811" s="106" t="s">
        <v>1478</v>
      </c>
      <c r="J811" s="137">
        <v>6290</v>
      </c>
      <c r="K811" s="106" t="s">
        <v>1479</v>
      </c>
      <c r="L811" s="137">
        <v>7920</v>
      </c>
      <c r="M811" s="106" t="s">
        <v>1480</v>
      </c>
      <c r="N811" s="136">
        <v>9380</v>
      </c>
    </row>
    <row r="812" spans="1:14" x14ac:dyDescent="0.25">
      <c r="A812" s="103" t="s">
        <v>1481</v>
      </c>
      <c r="B812" s="104" t="s">
        <v>1482</v>
      </c>
      <c r="C812" s="154">
        <v>3000</v>
      </c>
      <c r="D812" s="146">
        <v>0.55000000000000004</v>
      </c>
      <c r="E812" s="103" t="s">
        <v>1483</v>
      </c>
      <c r="F812" s="135">
        <v>5680</v>
      </c>
      <c r="G812" s="103" t="s">
        <v>1484</v>
      </c>
      <c r="H812" s="135">
        <v>7620</v>
      </c>
      <c r="I812" s="103" t="s">
        <v>1485</v>
      </c>
      <c r="J812" s="135">
        <v>6130</v>
      </c>
      <c r="K812" s="103" t="s">
        <v>1077</v>
      </c>
      <c r="L812" s="135">
        <v>7710</v>
      </c>
      <c r="M812" s="103" t="s">
        <v>1486</v>
      </c>
      <c r="N812" s="134">
        <v>9140</v>
      </c>
    </row>
    <row r="813" spans="1:14" x14ac:dyDescent="0.25">
      <c r="A813" s="106" t="s">
        <v>1487</v>
      </c>
      <c r="B813" s="107" t="s">
        <v>1488</v>
      </c>
      <c r="C813" s="157">
        <v>2000</v>
      </c>
      <c r="D813" s="147">
        <v>0.55000000000000004</v>
      </c>
      <c r="E813" s="106" t="s">
        <v>1109</v>
      </c>
      <c r="F813" s="137">
        <v>5390</v>
      </c>
      <c r="G813" s="106" t="s">
        <v>1489</v>
      </c>
      <c r="H813" s="137">
        <v>7190</v>
      </c>
      <c r="I813" s="106" t="s">
        <v>1490</v>
      </c>
      <c r="J813" s="137">
        <v>5820</v>
      </c>
      <c r="K813" s="106" t="s">
        <v>1491</v>
      </c>
      <c r="L813" s="137">
        <v>7290</v>
      </c>
      <c r="M813" s="106" t="s">
        <v>934</v>
      </c>
      <c r="N813" s="136">
        <v>8570</v>
      </c>
    </row>
    <row r="814" spans="1:14" x14ac:dyDescent="0.25">
      <c r="A814" s="103" t="s">
        <v>1492</v>
      </c>
      <c r="B814" s="104" t="s">
        <v>1493</v>
      </c>
      <c r="C814" s="154">
        <v>2000</v>
      </c>
      <c r="D814" s="146">
        <v>0.56000000000000005</v>
      </c>
      <c r="E814" s="103" t="s">
        <v>1389</v>
      </c>
      <c r="F814" s="135">
        <v>5430</v>
      </c>
      <c r="G814" s="103" t="s">
        <v>1494</v>
      </c>
      <c r="H814" s="135">
        <v>7240</v>
      </c>
      <c r="I814" s="103" t="s">
        <v>1495</v>
      </c>
      <c r="J814" s="135">
        <v>5860</v>
      </c>
      <c r="K814" s="103" t="s">
        <v>1496</v>
      </c>
      <c r="L814" s="135">
        <v>7340</v>
      </c>
      <c r="M814" s="103" t="s">
        <v>1497</v>
      </c>
      <c r="N814" s="134">
        <v>8630</v>
      </c>
    </row>
    <row r="815" spans="1:14" x14ac:dyDescent="0.25">
      <c r="A815" s="106" t="s">
        <v>1498</v>
      </c>
      <c r="B815" s="107" t="s">
        <v>1499</v>
      </c>
      <c r="C815" s="157">
        <v>2000</v>
      </c>
      <c r="D815" s="147">
        <v>0.48</v>
      </c>
      <c r="E815" s="106" t="s">
        <v>1500</v>
      </c>
      <c r="F815" s="137">
        <v>4720</v>
      </c>
      <c r="G815" s="106" t="s">
        <v>1365</v>
      </c>
      <c r="H815" s="137">
        <v>6290</v>
      </c>
      <c r="I815" s="106" t="s">
        <v>1501</v>
      </c>
      <c r="J815" s="137">
        <v>5090</v>
      </c>
      <c r="K815" s="106" t="s">
        <v>1502</v>
      </c>
      <c r="L815" s="137">
        <v>6380</v>
      </c>
      <c r="M815" s="106" t="s">
        <v>1503</v>
      </c>
      <c r="N815" s="136">
        <v>7500</v>
      </c>
    </row>
    <row r="816" spans="1:14" x14ac:dyDescent="0.25">
      <c r="A816" s="103" t="s">
        <v>1504</v>
      </c>
      <c r="B816" s="104" t="s">
        <v>1505</v>
      </c>
      <c r="C816" s="103" t="s">
        <v>1506</v>
      </c>
      <c r="D816" s="164">
        <v>2E-3</v>
      </c>
      <c r="E816" s="103" t="s">
        <v>1507</v>
      </c>
      <c r="F816" s="139" t="s">
        <v>1098</v>
      </c>
      <c r="G816" s="103" t="s">
        <v>1507</v>
      </c>
      <c r="H816" s="139" t="s">
        <v>1098</v>
      </c>
      <c r="I816" s="103" t="s">
        <v>1508</v>
      </c>
      <c r="J816" s="139" t="s">
        <v>1098</v>
      </c>
      <c r="K816" s="103" t="s">
        <v>1509</v>
      </c>
      <c r="L816" s="139" t="s">
        <v>1098</v>
      </c>
      <c r="M816" s="103" t="s">
        <v>1510</v>
      </c>
      <c r="N816" s="139" t="s">
        <v>1098</v>
      </c>
    </row>
    <row r="817" spans="1:14" x14ac:dyDescent="0.25">
      <c r="A817" s="106" t="s">
        <v>1511</v>
      </c>
      <c r="B817" s="122" t="s">
        <v>1512</v>
      </c>
      <c r="C817" s="106" t="s">
        <v>1230</v>
      </c>
      <c r="D817" s="147">
        <v>0.01</v>
      </c>
      <c r="E817" s="106" t="s">
        <v>1513</v>
      </c>
      <c r="F817" s="138" t="s">
        <v>1098</v>
      </c>
      <c r="G817" s="106" t="s">
        <v>1513</v>
      </c>
      <c r="H817" s="138" t="s">
        <v>1098</v>
      </c>
      <c r="I817" s="106" t="s">
        <v>1514</v>
      </c>
      <c r="J817" s="138" t="s">
        <v>1098</v>
      </c>
      <c r="K817" s="106" t="s">
        <v>1515</v>
      </c>
      <c r="L817" s="138" t="s">
        <v>1098</v>
      </c>
      <c r="M817" s="106" t="s">
        <v>1516</v>
      </c>
      <c r="N817" s="138" t="s">
        <v>1098</v>
      </c>
    </row>
    <row r="818" spans="1:14" x14ac:dyDescent="0.25">
      <c r="A818" s="103" t="s">
        <v>1517</v>
      </c>
      <c r="B818" s="120" t="s">
        <v>1518</v>
      </c>
      <c r="C818" s="103" t="s">
        <v>1506</v>
      </c>
      <c r="D818" s="164">
        <v>3.0000000000000001E-3</v>
      </c>
      <c r="E818" s="103" t="s">
        <v>1519</v>
      </c>
      <c r="F818" s="139" t="s">
        <v>1098</v>
      </c>
      <c r="G818" s="103" t="s">
        <v>1519</v>
      </c>
      <c r="H818" s="139" t="s">
        <v>1098</v>
      </c>
      <c r="I818" s="103" t="s">
        <v>1520</v>
      </c>
      <c r="J818" s="139" t="s">
        <v>1098</v>
      </c>
      <c r="K818" s="103" t="s">
        <v>1521</v>
      </c>
      <c r="L818" s="139" t="s">
        <v>1098</v>
      </c>
      <c r="M818" s="103" t="s">
        <v>1522</v>
      </c>
      <c r="N818" s="139" t="s">
        <v>1098</v>
      </c>
    </row>
    <row r="819" spans="1:14" x14ac:dyDescent="0.25">
      <c r="A819" s="106" t="s">
        <v>1523</v>
      </c>
      <c r="B819" s="122" t="s">
        <v>1524</v>
      </c>
      <c r="C819" s="106" t="s">
        <v>1525</v>
      </c>
      <c r="D819" s="147">
        <v>0.02</v>
      </c>
      <c r="E819" s="106" t="s">
        <v>1526</v>
      </c>
      <c r="F819" s="138" t="s">
        <v>1098</v>
      </c>
      <c r="G819" s="106" t="s">
        <v>1526</v>
      </c>
      <c r="H819" s="138" t="s">
        <v>1098</v>
      </c>
      <c r="I819" s="106" t="s">
        <v>1527</v>
      </c>
      <c r="J819" s="138" t="s">
        <v>1098</v>
      </c>
      <c r="K819" s="106" t="s">
        <v>1528</v>
      </c>
      <c r="L819" s="138" t="s">
        <v>1098</v>
      </c>
      <c r="M819" s="106" t="s">
        <v>1529</v>
      </c>
      <c r="N819" s="138" t="s">
        <v>1098</v>
      </c>
    </row>
    <row r="820" spans="1:14" x14ac:dyDescent="0.25">
      <c r="A820" s="109" t="s">
        <v>1530</v>
      </c>
      <c r="B820" s="123" t="s">
        <v>1531</v>
      </c>
      <c r="C820" s="109" t="s">
        <v>1454</v>
      </c>
      <c r="D820" s="150">
        <v>7.0000000000000007E-2</v>
      </c>
      <c r="E820" s="109" t="s">
        <v>1195</v>
      </c>
      <c r="F820" s="140">
        <v>6</v>
      </c>
      <c r="G820" s="109" t="s">
        <v>1195</v>
      </c>
      <c r="H820" s="140">
        <v>2</v>
      </c>
      <c r="I820" s="109" t="s">
        <v>1532</v>
      </c>
      <c r="J820" s="140">
        <v>2</v>
      </c>
      <c r="K820" s="109" t="s">
        <v>1533</v>
      </c>
      <c r="L820" s="141" t="s">
        <v>1098</v>
      </c>
      <c r="M820" s="109" t="s">
        <v>1534</v>
      </c>
      <c r="N820" s="141" t="s">
        <v>1098</v>
      </c>
    </row>
    <row r="821" spans="1:14" x14ac:dyDescent="0.25">
      <c r="A821" s="99" t="s">
        <v>1535</v>
      </c>
      <c r="B821" s="142" t="s">
        <v>1536</v>
      </c>
      <c r="C821" s="132">
        <v>119</v>
      </c>
      <c r="D821" s="143">
        <v>0.41</v>
      </c>
      <c r="E821" s="99" t="s">
        <v>1537</v>
      </c>
      <c r="F821" s="133">
        <v>12400</v>
      </c>
      <c r="G821" s="99" t="s">
        <v>1031</v>
      </c>
      <c r="H821" s="133">
        <v>12400</v>
      </c>
      <c r="I821" s="99" t="s">
        <v>1538</v>
      </c>
      <c r="J821" s="133">
        <v>13000</v>
      </c>
      <c r="K821" s="99" t="s">
        <v>1539</v>
      </c>
      <c r="L821" s="133">
        <v>13200</v>
      </c>
      <c r="M821" s="99" t="s">
        <v>1540</v>
      </c>
      <c r="N821" s="133">
        <v>10900</v>
      </c>
    </row>
    <row r="822" spans="1:14" x14ac:dyDescent="0.25">
      <c r="A822" s="103" t="s">
        <v>1541</v>
      </c>
      <c r="B822" s="120" t="s">
        <v>1542</v>
      </c>
      <c r="C822" s="114">
        <v>24.4</v>
      </c>
      <c r="D822" s="146">
        <v>0.44</v>
      </c>
      <c r="E822" s="103" t="s">
        <v>1543</v>
      </c>
      <c r="F822" s="155">
        <v>11600</v>
      </c>
      <c r="G822" s="103" t="s">
        <v>1544</v>
      </c>
      <c r="H822" s="135">
        <v>5560</v>
      </c>
      <c r="I822" s="103" t="s">
        <v>1545</v>
      </c>
      <c r="J822" s="155">
        <v>10800</v>
      </c>
      <c r="K822" s="103" t="s">
        <v>1546</v>
      </c>
      <c r="L822" s="135">
        <v>4900</v>
      </c>
      <c r="M822" s="103" t="s">
        <v>1547</v>
      </c>
      <c r="N822" s="134">
        <v>1430</v>
      </c>
    </row>
    <row r="823" spans="1:14" x14ac:dyDescent="0.25">
      <c r="A823" s="106" t="s">
        <v>1548</v>
      </c>
      <c r="B823" s="107" t="s">
        <v>1549</v>
      </c>
      <c r="C823" s="126">
        <v>4.8</v>
      </c>
      <c r="D823" s="147">
        <v>0.18</v>
      </c>
      <c r="E823" s="106" t="s">
        <v>1550</v>
      </c>
      <c r="F823" s="137">
        <v>1890</v>
      </c>
      <c r="G823" s="106" t="s">
        <v>1551</v>
      </c>
      <c r="H823" s="136">
        <v>523</v>
      </c>
      <c r="I823" s="106" t="s">
        <v>1552</v>
      </c>
      <c r="J823" s="137">
        <v>1020</v>
      </c>
      <c r="K823" s="106" t="s">
        <v>1553</v>
      </c>
      <c r="L823" s="136">
        <v>108</v>
      </c>
      <c r="M823" s="106" t="s">
        <v>1554</v>
      </c>
      <c r="N823" s="136">
        <v>73</v>
      </c>
    </row>
    <row r="824" spans="1:14" x14ac:dyDescent="0.25">
      <c r="A824" s="103" t="s">
        <v>1555</v>
      </c>
      <c r="B824" s="120" t="s">
        <v>1556</v>
      </c>
      <c r="C824" s="114">
        <v>51.6</v>
      </c>
      <c r="D824" s="146">
        <v>0.44</v>
      </c>
      <c r="E824" s="103" t="s">
        <v>1557</v>
      </c>
      <c r="F824" s="135">
        <v>8900</v>
      </c>
      <c r="G824" s="103" t="s">
        <v>1558</v>
      </c>
      <c r="H824" s="135">
        <v>6450</v>
      </c>
      <c r="I824" s="103" t="s">
        <v>1559</v>
      </c>
      <c r="J824" s="135">
        <v>8980</v>
      </c>
      <c r="K824" s="103" t="s">
        <v>1560</v>
      </c>
      <c r="L824" s="135">
        <v>6850</v>
      </c>
      <c r="M824" s="103" t="s">
        <v>1561</v>
      </c>
      <c r="N824" s="134">
        <v>3630</v>
      </c>
    </row>
    <row r="825" spans="1:14" x14ac:dyDescent="0.25">
      <c r="A825" s="106" t="s">
        <v>1562</v>
      </c>
      <c r="B825" s="122" t="s">
        <v>1563</v>
      </c>
      <c r="C825" s="126">
        <v>4.3</v>
      </c>
      <c r="D825" s="147">
        <v>0.41</v>
      </c>
      <c r="E825" s="106" t="s">
        <v>1564</v>
      </c>
      <c r="F825" s="137">
        <v>2120</v>
      </c>
      <c r="G825" s="106" t="s">
        <v>1565</v>
      </c>
      <c r="H825" s="136">
        <v>583</v>
      </c>
      <c r="I825" s="106" t="s">
        <v>1566</v>
      </c>
      <c r="J825" s="137">
        <v>1080</v>
      </c>
      <c r="K825" s="106" t="s">
        <v>1567</v>
      </c>
      <c r="L825" s="136">
        <v>116</v>
      </c>
      <c r="M825" s="106" t="s">
        <v>978</v>
      </c>
      <c r="N825" s="136">
        <v>81</v>
      </c>
    </row>
    <row r="826" spans="1:14" x14ac:dyDescent="0.25">
      <c r="A826" s="103" t="s">
        <v>1568</v>
      </c>
      <c r="B826" s="120" t="s">
        <v>1569</v>
      </c>
      <c r="C826" s="121">
        <v>3.5</v>
      </c>
      <c r="D826" s="146">
        <v>0.42</v>
      </c>
      <c r="E826" s="103" t="s">
        <v>1570</v>
      </c>
      <c r="F826" s="135">
        <v>1800</v>
      </c>
      <c r="G826" s="103" t="s">
        <v>1571</v>
      </c>
      <c r="H826" s="134">
        <v>491</v>
      </c>
      <c r="I826" s="103" t="s">
        <v>1572</v>
      </c>
      <c r="J826" s="134">
        <v>822</v>
      </c>
      <c r="K826" s="103" t="s">
        <v>1573</v>
      </c>
      <c r="L826" s="134">
        <v>93</v>
      </c>
      <c r="M826" s="103" t="s">
        <v>1574</v>
      </c>
      <c r="N826" s="134">
        <v>68</v>
      </c>
    </row>
    <row r="827" spans="1:14" x14ac:dyDescent="0.25">
      <c r="A827" s="106" t="s">
        <v>1575</v>
      </c>
      <c r="B827" s="122" t="s">
        <v>1576</v>
      </c>
      <c r="C827" s="117">
        <v>20.8</v>
      </c>
      <c r="D827" s="122" t="s">
        <v>1577</v>
      </c>
      <c r="E827" s="106" t="s">
        <v>1103</v>
      </c>
      <c r="F827" s="137">
        <v>9710</v>
      </c>
      <c r="G827" s="106" t="s">
        <v>1578</v>
      </c>
      <c r="H827" s="137">
        <v>4240</v>
      </c>
      <c r="I827" s="106" t="s">
        <v>1434</v>
      </c>
      <c r="J827" s="137">
        <v>8820</v>
      </c>
      <c r="K827" s="106" t="s">
        <v>1579</v>
      </c>
      <c r="L827" s="137">
        <v>3400</v>
      </c>
      <c r="M827" s="106" t="s">
        <v>1580</v>
      </c>
      <c r="N827" s="136">
        <v>912</v>
      </c>
    </row>
    <row r="828" spans="1:14" x14ac:dyDescent="0.25">
      <c r="A828" s="103" t="s">
        <v>1581</v>
      </c>
      <c r="B828" s="120" t="s">
        <v>1582</v>
      </c>
      <c r="C828" s="114">
        <v>10.8</v>
      </c>
      <c r="D828" s="146">
        <v>0.45</v>
      </c>
      <c r="E828" s="103" t="s">
        <v>1583</v>
      </c>
      <c r="F828" s="135">
        <v>5550</v>
      </c>
      <c r="G828" s="103" t="s">
        <v>1584</v>
      </c>
      <c r="H828" s="135">
        <v>1790</v>
      </c>
      <c r="I828" s="103" t="s">
        <v>1585</v>
      </c>
      <c r="J828" s="135">
        <v>4280</v>
      </c>
      <c r="K828" s="103" t="s">
        <v>1586</v>
      </c>
      <c r="L828" s="134">
        <v>753</v>
      </c>
      <c r="M828" s="103" t="s">
        <v>1587</v>
      </c>
      <c r="N828" s="134">
        <v>260</v>
      </c>
    </row>
    <row r="829" spans="1:14" x14ac:dyDescent="0.25">
      <c r="A829" s="106" t="s">
        <v>1588</v>
      </c>
      <c r="B829" s="122" t="s">
        <v>1589</v>
      </c>
      <c r="C829" s="126">
        <v>7.5</v>
      </c>
      <c r="D829" s="147">
        <v>0.36</v>
      </c>
      <c r="E829" s="106" t="s">
        <v>1590</v>
      </c>
      <c r="F829" s="137">
        <v>3350</v>
      </c>
      <c r="G829" s="106" t="s">
        <v>1591</v>
      </c>
      <c r="H829" s="136">
        <v>979</v>
      </c>
      <c r="I829" s="106" t="s">
        <v>1105</v>
      </c>
      <c r="J829" s="137">
        <v>2240</v>
      </c>
      <c r="K829" s="106" t="s">
        <v>1592</v>
      </c>
      <c r="L829" s="136">
        <v>273</v>
      </c>
      <c r="M829" s="106" t="s">
        <v>1593</v>
      </c>
      <c r="N829" s="136">
        <v>138</v>
      </c>
    </row>
    <row r="830" spans="1:14" x14ac:dyDescent="0.25">
      <c r="A830" s="103" t="s">
        <v>1594</v>
      </c>
      <c r="B830" s="120" t="s">
        <v>1595</v>
      </c>
      <c r="C830" s="121">
        <v>4.9000000000000004</v>
      </c>
      <c r="D830" s="146">
        <v>0.33</v>
      </c>
      <c r="E830" s="103" t="s">
        <v>1596</v>
      </c>
      <c r="F830" s="135">
        <v>2360</v>
      </c>
      <c r="G830" s="103" t="s">
        <v>1597</v>
      </c>
      <c r="H830" s="134">
        <v>654</v>
      </c>
      <c r="I830" s="103" t="s">
        <v>1598</v>
      </c>
      <c r="J830" s="135">
        <v>1280</v>
      </c>
      <c r="K830" s="103" t="s">
        <v>1599</v>
      </c>
      <c r="L830" s="134">
        <v>136</v>
      </c>
      <c r="M830" s="103" t="s">
        <v>1600</v>
      </c>
      <c r="N830" s="134">
        <v>91</v>
      </c>
    </row>
    <row r="831" spans="1:14" x14ac:dyDescent="0.25">
      <c r="A831" s="106" t="s">
        <v>1601</v>
      </c>
      <c r="B831" s="122" t="s">
        <v>1602</v>
      </c>
      <c r="C831" s="126">
        <v>6.6</v>
      </c>
      <c r="D831" s="147">
        <v>0.31</v>
      </c>
      <c r="E831" s="106" t="s">
        <v>1603</v>
      </c>
      <c r="F831" s="137">
        <v>2900</v>
      </c>
      <c r="G831" s="106" t="s">
        <v>1604</v>
      </c>
      <c r="H831" s="136">
        <v>828</v>
      </c>
      <c r="I831" s="106" t="s">
        <v>1605</v>
      </c>
      <c r="J831" s="137">
        <v>1820</v>
      </c>
      <c r="K831" s="106" t="s">
        <v>1606</v>
      </c>
      <c r="L831" s="136">
        <v>206</v>
      </c>
      <c r="M831" s="106" t="s">
        <v>1607</v>
      </c>
      <c r="N831" s="136">
        <v>116</v>
      </c>
    </row>
    <row r="832" spans="1:14" x14ac:dyDescent="0.25">
      <c r="A832" s="103" t="s">
        <v>1608</v>
      </c>
      <c r="B832" s="120" t="s">
        <v>1609</v>
      </c>
      <c r="C832" s="121">
        <v>5.5</v>
      </c>
      <c r="D832" s="146">
        <v>0.36</v>
      </c>
      <c r="E832" s="103" t="s">
        <v>1610</v>
      </c>
      <c r="F832" s="135">
        <v>2910</v>
      </c>
      <c r="G832" s="103" t="s">
        <v>1611</v>
      </c>
      <c r="H832" s="134">
        <v>812</v>
      </c>
      <c r="I832" s="103" t="s">
        <v>1612</v>
      </c>
      <c r="J832" s="135">
        <v>1670</v>
      </c>
      <c r="K832" s="103" t="s">
        <v>1066</v>
      </c>
      <c r="L832" s="134">
        <v>179</v>
      </c>
      <c r="M832" s="103" t="s">
        <v>1613</v>
      </c>
      <c r="N832" s="134">
        <v>114</v>
      </c>
    </row>
    <row r="833" spans="1:14" x14ac:dyDescent="0.25">
      <c r="A833" s="106" t="s">
        <v>1614</v>
      </c>
      <c r="B833" s="122" t="s">
        <v>1615</v>
      </c>
      <c r="C833" s="126">
        <v>0.3</v>
      </c>
      <c r="D833" s="147">
        <v>0.14000000000000001</v>
      </c>
      <c r="E833" s="106" t="s">
        <v>1616</v>
      </c>
      <c r="F833" s="136">
        <v>69</v>
      </c>
      <c r="G833" s="106" t="s">
        <v>1616</v>
      </c>
      <c r="H833" s="136">
        <v>19</v>
      </c>
      <c r="I833" s="106" t="s">
        <v>1617</v>
      </c>
      <c r="J833" s="136">
        <v>21</v>
      </c>
      <c r="K833" s="106" t="s">
        <v>1618</v>
      </c>
      <c r="L833" s="136">
        <v>3</v>
      </c>
      <c r="M833" s="106" t="s">
        <v>1619</v>
      </c>
      <c r="N833" s="136">
        <v>3</v>
      </c>
    </row>
    <row r="834" spans="1:14" x14ac:dyDescent="0.25">
      <c r="A834" s="103" t="s">
        <v>1620</v>
      </c>
      <c r="B834" s="120" t="s">
        <v>1621</v>
      </c>
      <c r="C834" s="121">
        <v>2.5</v>
      </c>
      <c r="D834" s="146">
        <v>0.26</v>
      </c>
      <c r="E834" s="103" t="s">
        <v>1622</v>
      </c>
      <c r="F834" s="135">
        <v>1110</v>
      </c>
      <c r="G834" s="103" t="s">
        <v>1622</v>
      </c>
      <c r="H834" s="134">
        <v>301</v>
      </c>
      <c r="I834" s="103" t="s">
        <v>1623</v>
      </c>
      <c r="J834" s="134">
        <v>438</v>
      </c>
      <c r="K834" s="103" t="s">
        <v>1624</v>
      </c>
      <c r="L834" s="134">
        <v>54</v>
      </c>
      <c r="M834" s="103" t="s">
        <v>1625</v>
      </c>
      <c r="N834" s="134">
        <v>42</v>
      </c>
    </row>
    <row r="835" spans="1:14" x14ac:dyDescent="0.25">
      <c r="A835" s="106" t="s">
        <v>1626</v>
      </c>
      <c r="B835" s="122" t="s">
        <v>1627</v>
      </c>
      <c r="C835" s="106" t="s">
        <v>1628</v>
      </c>
      <c r="D835" s="147">
        <v>0.04</v>
      </c>
      <c r="E835" s="106" t="s">
        <v>1629</v>
      </c>
      <c r="F835" s="136">
        <v>5</v>
      </c>
      <c r="G835" s="106" t="s">
        <v>1629</v>
      </c>
      <c r="H835" s="136">
        <v>1</v>
      </c>
      <c r="I835" s="106" t="s">
        <v>1630</v>
      </c>
      <c r="J835" s="136">
        <v>1</v>
      </c>
      <c r="K835" s="106" t="s">
        <v>1631</v>
      </c>
      <c r="L835" s="138" t="s">
        <v>1098</v>
      </c>
      <c r="M835" s="106" t="s">
        <v>1632</v>
      </c>
      <c r="N835" s="138" t="s">
        <v>1098</v>
      </c>
    </row>
    <row r="836" spans="1:14" x14ac:dyDescent="0.25">
      <c r="A836" s="103" t="s">
        <v>1633</v>
      </c>
      <c r="B836" s="120" t="s">
        <v>1634</v>
      </c>
      <c r="C836" s="121">
        <v>0.4</v>
      </c>
      <c r="D836" s="146">
        <v>0.13</v>
      </c>
      <c r="E836" s="103" t="s">
        <v>1360</v>
      </c>
      <c r="F836" s="134">
        <v>108</v>
      </c>
      <c r="G836" s="103" t="s">
        <v>1360</v>
      </c>
      <c r="H836" s="134">
        <v>29</v>
      </c>
      <c r="I836" s="103" t="s">
        <v>1635</v>
      </c>
      <c r="J836" s="134">
        <v>33</v>
      </c>
      <c r="K836" s="103" t="s">
        <v>1636</v>
      </c>
      <c r="L836" s="134">
        <v>5</v>
      </c>
      <c r="M836" s="103" t="s">
        <v>1637</v>
      </c>
      <c r="N836" s="134">
        <v>4</v>
      </c>
    </row>
    <row r="837" spans="1:14" x14ac:dyDescent="0.25">
      <c r="A837" s="106" t="s">
        <v>1638</v>
      </c>
      <c r="B837" s="122" t="s">
        <v>1639</v>
      </c>
      <c r="C837" s="106" t="s">
        <v>1640</v>
      </c>
      <c r="D837" s="147">
        <v>0.02</v>
      </c>
      <c r="E837" s="106" t="s">
        <v>1641</v>
      </c>
      <c r="F837" s="136">
        <v>1</v>
      </c>
      <c r="G837" s="106" t="s">
        <v>1641</v>
      </c>
      <c r="H837" s="138" t="s">
        <v>1098</v>
      </c>
      <c r="I837" s="106" t="s">
        <v>1642</v>
      </c>
      <c r="J837" s="138" t="s">
        <v>1098</v>
      </c>
      <c r="K837" s="106" t="s">
        <v>1643</v>
      </c>
      <c r="L837" s="138" t="s">
        <v>1098</v>
      </c>
      <c r="M837" s="106" t="s">
        <v>1240</v>
      </c>
      <c r="N837" s="138" t="s">
        <v>1098</v>
      </c>
    </row>
    <row r="838" spans="1:14" x14ac:dyDescent="0.25">
      <c r="A838" s="103" t="s">
        <v>1644</v>
      </c>
      <c r="B838" s="120" t="s">
        <v>1645</v>
      </c>
      <c r="C838" s="114">
        <v>22.5</v>
      </c>
      <c r="D838" s="146">
        <v>0.53</v>
      </c>
      <c r="E838" s="103" t="s">
        <v>1646</v>
      </c>
      <c r="F838" s="135">
        <v>6720</v>
      </c>
      <c r="G838" s="103" t="s">
        <v>1647</v>
      </c>
      <c r="H838" s="135">
        <v>3070</v>
      </c>
      <c r="I838" s="103" t="s">
        <v>1648</v>
      </c>
      <c r="J838" s="135">
        <v>6180</v>
      </c>
      <c r="K838" s="103" t="s">
        <v>1649</v>
      </c>
      <c r="L838" s="135">
        <v>2580</v>
      </c>
      <c r="M838" s="103" t="s">
        <v>1650</v>
      </c>
      <c r="N838" s="134">
        <v>718</v>
      </c>
    </row>
    <row r="839" spans="1:14" x14ac:dyDescent="0.25">
      <c r="A839" s="128" t="s">
        <v>1651</v>
      </c>
      <c r="B839" s="127" t="s">
        <v>1652</v>
      </c>
      <c r="C839" s="165">
        <v>21.2</v>
      </c>
      <c r="D839" s="148">
        <v>0.44</v>
      </c>
      <c r="E839" s="128" t="s">
        <v>1653</v>
      </c>
      <c r="F839" s="160">
        <v>5940</v>
      </c>
      <c r="G839" s="128" t="s">
        <v>1654</v>
      </c>
      <c r="H839" s="160">
        <v>2620</v>
      </c>
      <c r="I839" s="128" t="s">
        <v>1655</v>
      </c>
      <c r="J839" s="160">
        <v>5410</v>
      </c>
      <c r="K839" s="128" t="s">
        <v>1656</v>
      </c>
      <c r="L839" s="160">
        <v>2130</v>
      </c>
      <c r="M839" s="128" t="s">
        <v>1657</v>
      </c>
      <c r="N839" s="166">
        <v>575</v>
      </c>
    </row>
    <row r="840" spans="1:14" x14ac:dyDescent="0.25">
      <c r="A840" s="99" t="s">
        <v>1658</v>
      </c>
      <c r="B840" s="142" t="s">
        <v>1659</v>
      </c>
      <c r="C840" s="112">
        <v>7.5</v>
      </c>
      <c r="D840" s="143">
        <v>0.44</v>
      </c>
      <c r="E840" s="99" t="s">
        <v>1660</v>
      </c>
      <c r="F840" s="163">
        <v>3180</v>
      </c>
      <c r="G840" s="99" t="s">
        <v>1661</v>
      </c>
      <c r="H840" s="144">
        <v>929</v>
      </c>
      <c r="I840" s="99" t="s">
        <v>1662</v>
      </c>
      <c r="J840" s="163">
        <v>2120</v>
      </c>
      <c r="K840" s="99" t="s">
        <v>1663</v>
      </c>
      <c r="L840" s="144">
        <v>259</v>
      </c>
      <c r="M840" s="99" t="s">
        <v>1664</v>
      </c>
      <c r="N840" s="144">
        <v>131</v>
      </c>
    </row>
    <row r="841" spans="1:14" x14ac:dyDescent="0.25">
      <c r="A841" s="103" t="s">
        <v>1665</v>
      </c>
      <c r="B841" s="120" t="s">
        <v>1666</v>
      </c>
      <c r="C841" s="121">
        <v>2.2000000000000002</v>
      </c>
      <c r="D841" s="146">
        <v>0.32</v>
      </c>
      <c r="E841" s="103" t="s">
        <v>1667</v>
      </c>
      <c r="F841" s="134">
        <v>795</v>
      </c>
      <c r="G841" s="103" t="s">
        <v>1667</v>
      </c>
      <c r="H841" s="134">
        <v>216</v>
      </c>
      <c r="I841" s="103" t="s">
        <v>1668</v>
      </c>
      <c r="J841" s="134">
        <v>302</v>
      </c>
      <c r="K841" s="103" t="s">
        <v>1669</v>
      </c>
      <c r="L841" s="134">
        <v>38</v>
      </c>
      <c r="M841" s="103" t="s">
        <v>1670</v>
      </c>
      <c r="N841" s="134">
        <v>30</v>
      </c>
    </row>
    <row r="842" spans="1:14" x14ac:dyDescent="0.25">
      <c r="A842" s="106" t="s">
        <v>1671</v>
      </c>
      <c r="B842" s="122" t="s">
        <v>1672</v>
      </c>
      <c r="C842" s="126">
        <v>5</v>
      </c>
      <c r="D842" s="147">
        <v>0.35</v>
      </c>
      <c r="E842" s="106" t="s">
        <v>1673</v>
      </c>
      <c r="F842" s="137">
        <v>1910</v>
      </c>
      <c r="G842" s="106" t="s">
        <v>1674</v>
      </c>
      <c r="H842" s="136">
        <v>530</v>
      </c>
      <c r="I842" s="106" t="s">
        <v>1675</v>
      </c>
      <c r="J842" s="137">
        <v>1050</v>
      </c>
      <c r="K842" s="106" t="s">
        <v>1676</v>
      </c>
      <c r="L842" s="136">
        <v>111</v>
      </c>
      <c r="M842" s="106" t="s">
        <v>1677</v>
      </c>
      <c r="N842" s="136">
        <v>74</v>
      </c>
    </row>
    <row r="843" spans="1:14" x14ac:dyDescent="0.25">
      <c r="A843" s="103" t="s">
        <v>1678</v>
      </c>
      <c r="B843" s="120" t="s">
        <v>1679</v>
      </c>
      <c r="C843" s="121">
        <v>6.6</v>
      </c>
      <c r="D843" s="146">
        <v>0.42</v>
      </c>
      <c r="E843" s="103" t="s">
        <v>1611</v>
      </c>
      <c r="F843" s="135">
        <v>2990</v>
      </c>
      <c r="G843" s="103" t="s">
        <v>1680</v>
      </c>
      <c r="H843" s="134">
        <v>854</v>
      </c>
      <c r="I843" s="103" t="s">
        <v>1681</v>
      </c>
      <c r="J843" s="135">
        <v>1880</v>
      </c>
      <c r="K843" s="103" t="s">
        <v>945</v>
      </c>
      <c r="L843" s="134">
        <v>212</v>
      </c>
      <c r="M843" s="103" t="s">
        <v>1682</v>
      </c>
      <c r="N843" s="134">
        <v>120</v>
      </c>
    </row>
    <row r="844" spans="1:14" x14ac:dyDescent="0.25">
      <c r="A844" s="106" t="s">
        <v>1683</v>
      </c>
      <c r="B844" s="122" t="s">
        <v>1684</v>
      </c>
      <c r="C844" s="126">
        <v>6</v>
      </c>
      <c r="D844" s="122" t="s">
        <v>1685</v>
      </c>
      <c r="E844" s="106" t="s">
        <v>1686</v>
      </c>
      <c r="F844" s="137">
        <v>3150</v>
      </c>
      <c r="G844" s="106" t="s">
        <v>1687</v>
      </c>
      <c r="H844" s="136">
        <v>889</v>
      </c>
      <c r="I844" s="106" t="s">
        <v>1194</v>
      </c>
      <c r="J844" s="137">
        <v>1900</v>
      </c>
      <c r="K844" s="106" t="s">
        <v>1606</v>
      </c>
      <c r="L844" s="136">
        <v>206</v>
      </c>
      <c r="M844" s="106" t="s">
        <v>1688</v>
      </c>
      <c r="N844" s="136">
        <v>124</v>
      </c>
    </row>
    <row r="845" spans="1:14" x14ac:dyDescent="0.25">
      <c r="A845" s="103" t="s">
        <v>1689</v>
      </c>
      <c r="B845" s="120" t="s">
        <v>1690</v>
      </c>
      <c r="C845" s="121">
        <v>3.7</v>
      </c>
      <c r="D845" s="146">
        <v>0.32</v>
      </c>
      <c r="E845" s="103" t="s">
        <v>1691</v>
      </c>
      <c r="F845" s="135">
        <v>1330</v>
      </c>
      <c r="G845" s="103" t="s">
        <v>1692</v>
      </c>
      <c r="H845" s="134">
        <v>363</v>
      </c>
      <c r="I845" s="103" t="s">
        <v>991</v>
      </c>
      <c r="J845" s="134">
        <v>624</v>
      </c>
      <c r="K845" s="103" t="s">
        <v>1693</v>
      </c>
      <c r="L845" s="134">
        <v>69</v>
      </c>
      <c r="M845" s="103" t="s">
        <v>1694</v>
      </c>
      <c r="N845" s="134">
        <v>51</v>
      </c>
    </row>
    <row r="846" spans="1:14" x14ac:dyDescent="0.25">
      <c r="A846" s="106" t="s">
        <v>1695</v>
      </c>
      <c r="B846" s="122" t="s">
        <v>1696</v>
      </c>
      <c r="C846" s="126">
        <v>3.8</v>
      </c>
      <c r="D846" s="147">
        <v>0.3</v>
      </c>
      <c r="E846" s="106" t="s">
        <v>1697</v>
      </c>
      <c r="F846" s="137">
        <v>1410</v>
      </c>
      <c r="G846" s="106" t="s">
        <v>1698</v>
      </c>
      <c r="H846" s="136">
        <v>387</v>
      </c>
      <c r="I846" s="106" t="s">
        <v>1699</v>
      </c>
      <c r="J846" s="136">
        <v>673</v>
      </c>
      <c r="K846" s="106" t="s">
        <v>1700</v>
      </c>
      <c r="L846" s="136">
        <v>74</v>
      </c>
      <c r="M846" s="106" t="s">
        <v>1701</v>
      </c>
      <c r="N846" s="136">
        <v>54</v>
      </c>
    </row>
    <row r="847" spans="1:14" ht="18" x14ac:dyDescent="0.25">
      <c r="A847" s="103" t="s">
        <v>1702</v>
      </c>
      <c r="B847" s="120" t="s">
        <v>1703</v>
      </c>
      <c r="C847" s="120" t="s">
        <v>1704</v>
      </c>
      <c r="D847" s="146">
        <v>0.17</v>
      </c>
      <c r="E847" s="103" t="s">
        <v>1705</v>
      </c>
      <c r="F847" s="134">
        <v>62</v>
      </c>
      <c r="G847" s="103" t="s">
        <v>1705</v>
      </c>
      <c r="H847" s="134">
        <v>17</v>
      </c>
      <c r="I847" s="103" t="s">
        <v>1706</v>
      </c>
      <c r="J847" s="134">
        <v>18</v>
      </c>
      <c r="K847" s="103" t="s">
        <v>1707</v>
      </c>
      <c r="L847" s="134">
        <v>3</v>
      </c>
      <c r="M847" s="103" t="s">
        <v>1708</v>
      </c>
      <c r="N847" s="134">
        <v>2</v>
      </c>
    </row>
    <row r="848" spans="1:14" ht="18" x14ac:dyDescent="0.25">
      <c r="A848" s="106" t="s">
        <v>1709</v>
      </c>
      <c r="B848" s="122" t="s">
        <v>1710</v>
      </c>
      <c r="C848" s="126">
        <v>5.7</v>
      </c>
      <c r="D848" s="147">
        <v>0.37</v>
      </c>
      <c r="E848" s="106" t="s">
        <v>1711</v>
      </c>
      <c r="F848" s="137">
        <v>2560</v>
      </c>
      <c r="G848" s="106" t="s">
        <v>1712</v>
      </c>
      <c r="H848" s="136">
        <v>719</v>
      </c>
      <c r="I848" s="106" t="s">
        <v>1713</v>
      </c>
      <c r="J848" s="137">
        <v>1500</v>
      </c>
      <c r="K848" s="106" t="s">
        <v>1714</v>
      </c>
      <c r="L848" s="136">
        <v>162</v>
      </c>
      <c r="M848" s="106" t="s">
        <v>1715</v>
      </c>
      <c r="N848" s="136">
        <v>101</v>
      </c>
    </row>
    <row r="849" spans="1:14" ht="18" x14ac:dyDescent="0.25">
      <c r="A849" s="103" t="s">
        <v>1716</v>
      </c>
      <c r="B849" s="120" t="s">
        <v>1717</v>
      </c>
      <c r="C849" s="121">
        <v>3.5</v>
      </c>
      <c r="D849" s="146">
        <v>0.38</v>
      </c>
      <c r="E849" s="103" t="s">
        <v>1718</v>
      </c>
      <c r="F849" s="135">
        <v>1640</v>
      </c>
      <c r="G849" s="103" t="s">
        <v>1719</v>
      </c>
      <c r="H849" s="134">
        <v>446</v>
      </c>
      <c r="I849" s="103" t="s">
        <v>1720</v>
      </c>
      <c r="J849" s="134">
        <v>747</v>
      </c>
      <c r="K849" s="103" t="s">
        <v>1721</v>
      </c>
      <c r="L849" s="134">
        <v>84</v>
      </c>
      <c r="M849" s="103" t="s">
        <v>1722</v>
      </c>
      <c r="N849" s="134">
        <v>62</v>
      </c>
    </row>
    <row r="850" spans="1:14" x14ac:dyDescent="0.25">
      <c r="A850" s="106" t="s">
        <v>1723</v>
      </c>
      <c r="B850" s="122" t="s">
        <v>1724</v>
      </c>
      <c r="C850" s="126">
        <v>3.8</v>
      </c>
      <c r="D850" s="147">
        <v>0.32</v>
      </c>
      <c r="E850" s="106" t="s">
        <v>1725</v>
      </c>
      <c r="F850" s="137">
        <v>1510</v>
      </c>
      <c r="G850" s="106" t="s">
        <v>1726</v>
      </c>
      <c r="H850" s="136">
        <v>413</v>
      </c>
      <c r="I850" s="106" t="s">
        <v>1727</v>
      </c>
      <c r="J850" s="136">
        <v>718</v>
      </c>
      <c r="K850" s="106" t="s">
        <v>1728</v>
      </c>
      <c r="L850" s="136">
        <v>79</v>
      </c>
      <c r="M850" s="106" t="s">
        <v>1729</v>
      </c>
      <c r="N850" s="136">
        <v>57</v>
      </c>
    </row>
    <row r="851" spans="1:14" x14ac:dyDescent="0.25">
      <c r="A851" s="103" t="s">
        <v>1730</v>
      </c>
      <c r="B851" s="120" t="s">
        <v>1731</v>
      </c>
      <c r="C851" s="103" t="s">
        <v>1732</v>
      </c>
      <c r="D851" s="146">
        <v>0.15</v>
      </c>
      <c r="E851" s="103" t="s">
        <v>1605</v>
      </c>
      <c r="F851" s="134">
        <v>50</v>
      </c>
      <c r="G851" s="103" t="s">
        <v>1605</v>
      </c>
      <c r="H851" s="134">
        <v>14</v>
      </c>
      <c r="I851" s="103" t="s">
        <v>1733</v>
      </c>
      <c r="J851" s="134">
        <v>15</v>
      </c>
      <c r="K851" s="103" t="s">
        <v>1734</v>
      </c>
      <c r="L851" s="134">
        <v>2</v>
      </c>
      <c r="M851" s="103" t="s">
        <v>1735</v>
      </c>
      <c r="N851" s="134">
        <v>2</v>
      </c>
    </row>
    <row r="852" spans="1:14" x14ac:dyDescent="0.25">
      <c r="A852" s="106" t="s">
        <v>1736</v>
      </c>
      <c r="B852" s="122" t="s">
        <v>1737</v>
      </c>
      <c r="C852" s="106" t="s">
        <v>1738</v>
      </c>
      <c r="D852" s="147">
        <v>0.05</v>
      </c>
      <c r="E852" s="106" t="s">
        <v>1739</v>
      </c>
      <c r="F852" s="136">
        <v>3</v>
      </c>
      <c r="G852" s="106" t="s">
        <v>1739</v>
      </c>
      <c r="H852" s="138" t="s">
        <v>1098</v>
      </c>
      <c r="I852" s="106" t="s">
        <v>1740</v>
      </c>
      <c r="J852" s="138" t="s">
        <v>1098</v>
      </c>
      <c r="K852" s="106" t="s">
        <v>1741</v>
      </c>
      <c r="L852" s="138" t="s">
        <v>1098</v>
      </c>
      <c r="M852" s="106" t="s">
        <v>1742</v>
      </c>
      <c r="N852" s="138" t="s">
        <v>1098</v>
      </c>
    </row>
    <row r="853" spans="1:14" x14ac:dyDescent="0.25">
      <c r="A853" s="103" t="s">
        <v>1743</v>
      </c>
      <c r="B853" s="120" t="s">
        <v>1744</v>
      </c>
      <c r="C853" s="121">
        <v>0.6</v>
      </c>
      <c r="D853" s="120" t="s">
        <v>1745</v>
      </c>
      <c r="E853" s="103" t="s">
        <v>1746</v>
      </c>
      <c r="F853" s="134">
        <v>215</v>
      </c>
      <c r="G853" s="103" t="s">
        <v>1746</v>
      </c>
      <c r="H853" s="134">
        <v>58</v>
      </c>
      <c r="I853" s="103" t="s">
        <v>1747</v>
      </c>
      <c r="J853" s="134">
        <v>66</v>
      </c>
      <c r="K853" s="103" t="s">
        <v>1748</v>
      </c>
      <c r="L853" s="134">
        <v>10</v>
      </c>
      <c r="M853" s="103" t="s">
        <v>1749</v>
      </c>
      <c r="N853" s="134">
        <v>8</v>
      </c>
    </row>
    <row r="854" spans="1:14" x14ac:dyDescent="0.25">
      <c r="A854" s="106" t="s">
        <v>1750</v>
      </c>
      <c r="B854" s="122" t="s">
        <v>1751</v>
      </c>
      <c r="C854" s="126">
        <v>5</v>
      </c>
      <c r="D854" s="147">
        <v>0.3</v>
      </c>
      <c r="E854" s="106" t="s">
        <v>1752</v>
      </c>
      <c r="F854" s="137">
        <v>2260</v>
      </c>
      <c r="G854" s="106" t="s">
        <v>1753</v>
      </c>
      <c r="H854" s="136">
        <v>627</v>
      </c>
      <c r="I854" s="106" t="s">
        <v>1754</v>
      </c>
      <c r="J854" s="137">
        <v>1240</v>
      </c>
      <c r="K854" s="106" t="s">
        <v>1755</v>
      </c>
      <c r="L854" s="136">
        <v>132</v>
      </c>
      <c r="M854" s="106" t="s">
        <v>1756</v>
      </c>
      <c r="N854" s="136">
        <v>88</v>
      </c>
    </row>
    <row r="855" spans="1:14" x14ac:dyDescent="0.25">
      <c r="A855" s="103" t="s">
        <v>1757</v>
      </c>
      <c r="B855" s="120" t="s">
        <v>1758</v>
      </c>
      <c r="C855" s="103" t="s">
        <v>1207</v>
      </c>
      <c r="D855" s="146">
        <v>0.01</v>
      </c>
      <c r="E855" s="103" t="s">
        <v>1759</v>
      </c>
      <c r="F855" s="139" t="s">
        <v>1098</v>
      </c>
      <c r="G855" s="103" t="s">
        <v>1759</v>
      </c>
      <c r="H855" s="139" t="s">
        <v>1098</v>
      </c>
      <c r="I855" s="103" t="s">
        <v>1760</v>
      </c>
      <c r="J855" s="139" t="s">
        <v>1098</v>
      </c>
      <c r="K855" s="103" t="s">
        <v>1761</v>
      </c>
      <c r="L855" s="139" t="s">
        <v>1098</v>
      </c>
      <c r="M855" s="103" t="s">
        <v>1762</v>
      </c>
      <c r="N855" s="139" t="s">
        <v>1098</v>
      </c>
    </row>
    <row r="856" spans="1:14" x14ac:dyDescent="0.25">
      <c r="A856" s="106" t="s">
        <v>1763</v>
      </c>
      <c r="B856" s="122" t="s">
        <v>1764</v>
      </c>
      <c r="C856" s="126">
        <v>0.3</v>
      </c>
      <c r="D856" s="147">
        <v>0.16</v>
      </c>
      <c r="E856" s="106" t="s">
        <v>1765</v>
      </c>
      <c r="F856" s="136">
        <v>47</v>
      </c>
      <c r="G856" s="106" t="s">
        <v>1765</v>
      </c>
      <c r="H856" s="136">
        <v>13</v>
      </c>
      <c r="I856" s="106" t="s">
        <v>1766</v>
      </c>
      <c r="J856" s="136">
        <v>14</v>
      </c>
      <c r="K856" s="106" t="s">
        <v>1767</v>
      </c>
      <c r="L856" s="136">
        <v>2</v>
      </c>
      <c r="M856" s="106" t="s">
        <v>1768</v>
      </c>
      <c r="N856" s="136">
        <v>2</v>
      </c>
    </row>
    <row r="857" spans="1:14" ht="18" x14ac:dyDescent="0.25">
      <c r="A857" s="103" t="s">
        <v>1769</v>
      </c>
      <c r="B857" s="120" t="s">
        <v>1770</v>
      </c>
      <c r="C857" s="114">
        <v>13.5</v>
      </c>
      <c r="D857" s="146">
        <v>1.02</v>
      </c>
      <c r="E857" s="103" t="s">
        <v>1771</v>
      </c>
      <c r="F857" s="135">
        <v>8010</v>
      </c>
      <c r="G857" s="103" t="s">
        <v>1772</v>
      </c>
      <c r="H857" s="135">
        <v>2820</v>
      </c>
      <c r="I857" s="103" t="s">
        <v>1496</v>
      </c>
      <c r="J857" s="135">
        <v>6600</v>
      </c>
      <c r="K857" s="103" t="s">
        <v>1773</v>
      </c>
      <c r="L857" s="135">
        <v>1530</v>
      </c>
      <c r="M857" s="103" t="s">
        <v>1774</v>
      </c>
      <c r="N857" s="134">
        <v>436</v>
      </c>
    </row>
    <row r="858" spans="1:14" x14ac:dyDescent="0.25">
      <c r="A858" s="106" t="s">
        <v>1775</v>
      </c>
      <c r="B858" s="122" t="s">
        <v>1776</v>
      </c>
      <c r="C858" s="126">
        <v>4.7</v>
      </c>
      <c r="D858" s="147">
        <v>0.36</v>
      </c>
      <c r="E858" s="106" t="s">
        <v>1777</v>
      </c>
      <c r="F858" s="137">
        <v>1530</v>
      </c>
      <c r="G858" s="106" t="s">
        <v>1778</v>
      </c>
      <c r="H858" s="136">
        <v>421</v>
      </c>
      <c r="I858" s="106" t="s">
        <v>1779</v>
      </c>
      <c r="J858" s="136">
        <v>809</v>
      </c>
      <c r="K858" s="106" t="s">
        <v>1780</v>
      </c>
      <c r="L858" s="136">
        <v>86</v>
      </c>
      <c r="M858" s="106" t="s">
        <v>1781</v>
      </c>
      <c r="N858" s="136">
        <v>59</v>
      </c>
    </row>
    <row r="859" spans="1:14" x14ac:dyDescent="0.25">
      <c r="A859" s="103" t="s">
        <v>1782</v>
      </c>
      <c r="B859" s="120" t="s">
        <v>1783</v>
      </c>
      <c r="C859" s="121">
        <v>4.7</v>
      </c>
      <c r="D859" s="146">
        <v>0.42</v>
      </c>
      <c r="E859" s="103" t="s">
        <v>1784</v>
      </c>
      <c r="F859" s="135">
        <v>1760</v>
      </c>
      <c r="G859" s="103" t="s">
        <v>1785</v>
      </c>
      <c r="H859" s="134">
        <v>486</v>
      </c>
      <c r="I859" s="103" t="s">
        <v>1786</v>
      </c>
      <c r="J859" s="134">
        <v>934</v>
      </c>
      <c r="K859" s="103" t="s">
        <v>1787</v>
      </c>
      <c r="L859" s="134">
        <v>99</v>
      </c>
      <c r="M859" s="103" t="s">
        <v>1788</v>
      </c>
      <c r="N859" s="134">
        <v>68</v>
      </c>
    </row>
    <row r="860" spans="1:14" x14ac:dyDescent="0.25">
      <c r="A860" s="106" t="s">
        <v>1789</v>
      </c>
      <c r="B860" s="122" t="s">
        <v>1790</v>
      </c>
      <c r="C860" s="126">
        <v>4.7</v>
      </c>
      <c r="D860" s="147">
        <v>0.35</v>
      </c>
      <c r="E860" s="106" t="s">
        <v>1791</v>
      </c>
      <c r="F860" s="137">
        <v>1480</v>
      </c>
      <c r="G860" s="106" t="s">
        <v>1792</v>
      </c>
      <c r="H860" s="136">
        <v>407</v>
      </c>
      <c r="I860" s="106" t="s">
        <v>1793</v>
      </c>
      <c r="J860" s="136">
        <v>783</v>
      </c>
      <c r="K860" s="106" t="s">
        <v>1794</v>
      </c>
      <c r="L860" s="136">
        <v>83</v>
      </c>
      <c r="M860" s="106" t="s">
        <v>1795</v>
      </c>
      <c r="N860" s="136">
        <v>57</v>
      </c>
    </row>
    <row r="861" spans="1:14" x14ac:dyDescent="0.25">
      <c r="A861" s="103" t="s">
        <v>1796</v>
      </c>
      <c r="B861" s="120" t="s">
        <v>1797</v>
      </c>
      <c r="C861" s="121">
        <v>0.8</v>
      </c>
      <c r="D861" s="146">
        <v>0.3</v>
      </c>
      <c r="E861" s="103" t="s">
        <v>1798</v>
      </c>
      <c r="F861" s="134">
        <v>209</v>
      </c>
      <c r="G861" s="103" t="s">
        <v>1798</v>
      </c>
      <c r="H861" s="134">
        <v>57</v>
      </c>
      <c r="I861" s="103" t="s">
        <v>1799</v>
      </c>
      <c r="J861" s="134">
        <v>66</v>
      </c>
      <c r="K861" s="103" t="s">
        <v>1800</v>
      </c>
      <c r="L861" s="134">
        <v>10</v>
      </c>
      <c r="M861" s="103" t="s">
        <v>1801</v>
      </c>
      <c r="N861" s="134">
        <v>8</v>
      </c>
    </row>
    <row r="862" spans="1:14" x14ac:dyDescent="0.25">
      <c r="A862" s="106" t="s">
        <v>1802</v>
      </c>
      <c r="B862" s="122" t="s">
        <v>1803</v>
      </c>
      <c r="C862" s="126">
        <v>0.8</v>
      </c>
      <c r="D862" s="122" t="s">
        <v>1804</v>
      </c>
      <c r="E862" s="106" t="s">
        <v>1805</v>
      </c>
      <c r="F862" s="136">
        <v>237</v>
      </c>
      <c r="G862" s="106" t="s">
        <v>1805</v>
      </c>
      <c r="H862" s="136">
        <v>65</v>
      </c>
      <c r="I862" s="106" t="s">
        <v>1794</v>
      </c>
      <c r="J862" s="136">
        <v>75</v>
      </c>
      <c r="K862" s="106" t="s">
        <v>1319</v>
      </c>
      <c r="L862" s="136">
        <v>11</v>
      </c>
      <c r="M862" s="106" t="s">
        <v>1806</v>
      </c>
      <c r="N862" s="136">
        <v>9</v>
      </c>
    </row>
    <row r="863" spans="1:14" x14ac:dyDescent="0.25">
      <c r="A863" s="103" t="s">
        <v>1807</v>
      </c>
      <c r="B863" s="120" t="s">
        <v>1808</v>
      </c>
      <c r="C863" s="121">
        <v>0.8</v>
      </c>
      <c r="D863" s="146">
        <v>0.24</v>
      </c>
      <c r="E863" s="103" t="s">
        <v>1809</v>
      </c>
      <c r="F863" s="134">
        <v>163</v>
      </c>
      <c r="G863" s="103" t="s">
        <v>1809</v>
      </c>
      <c r="H863" s="134">
        <v>44</v>
      </c>
      <c r="I863" s="103" t="s">
        <v>1810</v>
      </c>
      <c r="J863" s="134">
        <v>52</v>
      </c>
      <c r="K863" s="103" t="s">
        <v>1811</v>
      </c>
      <c r="L863" s="134">
        <v>8</v>
      </c>
      <c r="M863" s="103" t="s">
        <v>1812</v>
      </c>
      <c r="N863" s="134">
        <v>6</v>
      </c>
    </row>
    <row r="864" spans="1:14" x14ac:dyDescent="0.25">
      <c r="A864" s="106" t="s">
        <v>1813</v>
      </c>
      <c r="B864" s="122" t="s">
        <v>1814</v>
      </c>
      <c r="C864" s="117">
        <v>25</v>
      </c>
      <c r="D864" s="147">
        <v>0.65</v>
      </c>
      <c r="E864" s="106" t="s">
        <v>1815</v>
      </c>
      <c r="F864" s="156">
        <v>11000</v>
      </c>
      <c r="G864" s="106" t="s">
        <v>1816</v>
      </c>
      <c r="H864" s="137">
        <v>5350</v>
      </c>
      <c r="I864" s="106" t="s">
        <v>1817</v>
      </c>
      <c r="J864" s="156">
        <v>10300</v>
      </c>
      <c r="K864" s="106" t="s">
        <v>1188</v>
      </c>
      <c r="L864" s="137">
        <v>4770</v>
      </c>
      <c r="M864" s="106" t="s">
        <v>1818</v>
      </c>
      <c r="N864" s="136">
        <v>1420</v>
      </c>
    </row>
    <row r="865" spans="1:14" ht="18" x14ac:dyDescent="0.25">
      <c r="A865" s="103" t="s">
        <v>1819</v>
      </c>
      <c r="B865" s="120" t="s">
        <v>1820</v>
      </c>
      <c r="C865" s="114">
        <v>12.9</v>
      </c>
      <c r="D865" s="146">
        <v>0.86</v>
      </c>
      <c r="E865" s="103" t="s">
        <v>1821</v>
      </c>
      <c r="F865" s="135">
        <v>8430</v>
      </c>
      <c r="G865" s="103" t="s">
        <v>1822</v>
      </c>
      <c r="H865" s="135">
        <v>2910</v>
      </c>
      <c r="I865" s="103" t="s">
        <v>1464</v>
      </c>
      <c r="J865" s="135">
        <v>6860</v>
      </c>
      <c r="K865" s="103" t="s">
        <v>1823</v>
      </c>
      <c r="L865" s="135">
        <v>1500</v>
      </c>
      <c r="M865" s="103" t="s">
        <v>1824</v>
      </c>
      <c r="N865" s="134">
        <v>442</v>
      </c>
    </row>
    <row r="866" spans="1:14" x14ac:dyDescent="0.25">
      <c r="A866" s="106" t="s">
        <v>1825</v>
      </c>
      <c r="B866" s="122" t="s">
        <v>1826</v>
      </c>
      <c r="C866" s="126">
        <v>1.9</v>
      </c>
      <c r="D866" s="147">
        <v>0.26</v>
      </c>
      <c r="E866" s="106" t="s">
        <v>1827</v>
      </c>
      <c r="F866" s="136">
        <v>668</v>
      </c>
      <c r="G866" s="106" t="s">
        <v>1827</v>
      </c>
      <c r="H866" s="136">
        <v>182</v>
      </c>
      <c r="I866" s="106" t="s">
        <v>1391</v>
      </c>
      <c r="J866" s="136">
        <v>243</v>
      </c>
      <c r="K866" s="106" t="s">
        <v>1828</v>
      </c>
      <c r="L866" s="136">
        <v>32</v>
      </c>
      <c r="M866" s="106" t="s">
        <v>1011</v>
      </c>
      <c r="N866" s="136">
        <v>25</v>
      </c>
    </row>
    <row r="867" spans="1:14" ht="18" x14ac:dyDescent="0.25">
      <c r="A867" s="103" t="s">
        <v>1829</v>
      </c>
      <c r="B867" s="120" t="s">
        <v>1830</v>
      </c>
      <c r="C867" s="114">
        <v>12.9</v>
      </c>
      <c r="D867" s="120" t="s">
        <v>1831</v>
      </c>
      <c r="E867" s="103" t="s">
        <v>1832</v>
      </c>
      <c r="F867" s="135">
        <v>7900</v>
      </c>
      <c r="G867" s="103" t="s">
        <v>1833</v>
      </c>
      <c r="H867" s="135">
        <v>2730</v>
      </c>
      <c r="I867" s="103" t="s">
        <v>1422</v>
      </c>
      <c r="J867" s="135">
        <v>6430</v>
      </c>
      <c r="K867" s="103" t="s">
        <v>1834</v>
      </c>
      <c r="L867" s="135">
        <v>1410</v>
      </c>
      <c r="M867" s="103" t="s">
        <v>1835</v>
      </c>
      <c r="N867" s="134">
        <v>415</v>
      </c>
    </row>
    <row r="868" spans="1:14" ht="18" x14ac:dyDescent="0.25">
      <c r="A868" s="106" t="s">
        <v>1836</v>
      </c>
      <c r="B868" s="122" t="s">
        <v>1837</v>
      </c>
      <c r="C868" s="117">
        <v>12.9</v>
      </c>
      <c r="D868" s="122" t="s">
        <v>1838</v>
      </c>
      <c r="E868" s="106" t="s">
        <v>1839</v>
      </c>
      <c r="F868" s="137">
        <v>8270</v>
      </c>
      <c r="G868" s="106" t="s">
        <v>1840</v>
      </c>
      <c r="H868" s="137">
        <v>2850</v>
      </c>
      <c r="I868" s="106" t="s">
        <v>925</v>
      </c>
      <c r="J868" s="137">
        <v>6730</v>
      </c>
      <c r="K868" s="106" t="s">
        <v>1841</v>
      </c>
      <c r="L868" s="137">
        <v>1480</v>
      </c>
      <c r="M868" s="106" t="s">
        <v>1842</v>
      </c>
      <c r="N868" s="136">
        <v>434</v>
      </c>
    </row>
    <row r="869" spans="1:14" ht="18" x14ac:dyDescent="0.25">
      <c r="A869" s="103" t="s">
        <v>1843</v>
      </c>
      <c r="B869" s="120" t="s">
        <v>1844</v>
      </c>
      <c r="C869" s="114">
        <v>25</v>
      </c>
      <c r="D869" s="120" t="s">
        <v>1845</v>
      </c>
      <c r="E869" s="103" t="s">
        <v>1846</v>
      </c>
      <c r="F869" s="155">
        <v>10900</v>
      </c>
      <c r="G869" s="103" t="s">
        <v>1847</v>
      </c>
      <c r="H869" s="135">
        <v>5300</v>
      </c>
      <c r="I869" s="103" t="s">
        <v>1848</v>
      </c>
      <c r="J869" s="155">
        <v>10200</v>
      </c>
      <c r="K869" s="103" t="s">
        <v>1849</v>
      </c>
      <c r="L869" s="135">
        <v>4730</v>
      </c>
      <c r="M869" s="103" t="s">
        <v>1850</v>
      </c>
      <c r="N869" s="134">
        <v>1400</v>
      </c>
    </row>
    <row r="870" spans="1:14" ht="18" x14ac:dyDescent="0.25">
      <c r="A870" s="128" t="s">
        <v>1851</v>
      </c>
      <c r="B870" s="127" t="s">
        <v>1852</v>
      </c>
      <c r="C870" s="165">
        <v>13.5</v>
      </c>
      <c r="D870" s="127" t="s">
        <v>1853</v>
      </c>
      <c r="E870" s="128" t="s">
        <v>1854</v>
      </c>
      <c r="F870" s="161">
        <v>11100</v>
      </c>
      <c r="G870" s="128" t="s">
        <v>1855</v>
      </c>
      <c r="H870" s="160">
        <v>3890</v>
      </c>
      <c r="I870" s="128" t="s">
        <v>1856</v>
      </c>
      <c r="J870" s="160">
        <v>9110</v>
      </c>
      <c r="K870" s="128" t="s">
        <v>1656</v>
      </c>
      <c r="L870" s="160">
        <v>2120</v>
      </c>
      <c r="M870" s="128" t="s">
        <v>1857</v>
      </c>
      <c r="N870" s="166">
        <v>602</v>
      </c>
    </row>
    <row r="871" spans="1:14" ht="18" x14ac:dyDescent="0.25">
      <c r="A871" s="99" t="s">
        <v>1858</v>
      </c>
      <c r="B871" s="142" t="s">
        <v>1859</v>
      </c>
      <c r="C871" s="132">
        <v>25</v>
      </c>
      <c r="D871" s="142" t="s">
        <v>1860</v>
      </c>
      <c r="E871" s="99" t="s">
        <v>1861</v>
      </c>
      <c r="F871" s="133">
        <v>15100</v>
      </c>
      <c r="G871" s="99" t="s">
        <v>1862</v>
      </c>
      <c r="H871" s="163">
        <v>7330</v>
      </c>
      <c r="I871" s="99" t="s">
        <v>1863</v>
      </c>
      <c r="J871" s="133">
        <v>14100</v>
      </c>
      <c r="K871" s="99" t="s">
        <v>1864</v>
      </c>
      <c r="L871" s="163">
        <v>6530</v>
      </c>
      <c r="M871" s="99" t="s">
        <v>1865</v>
      </c>
      <c r="N871" s="144">
        <v>1940</v>
      </c>
    </row>
    <row r="872" spans="1:14" ht="18" x14ac:dyDescent="0.25">
      <c r="A872" s="103" t="s">
        <v>1866</v>
      </c>
      <c r="B872" s="120" t="s">
        <v>1867</v>
      </c>
      <c r="C872" s="121">
        <v>0.8</v>
      </c>
      <c r="D872" s="120" t="s">
        <v>1868</v>
      </c>
      <c r="E872" s="103" t="s">
        <v>933</v>
      </c>
      <c r="F872" s="134">
        <v>223</v>
      </c>
      <c r="G872" s="103" t="s">
        <v>933</v>
      </c>
      <c r="H872" s="134">
        <v>61</v>
      </c>
      <c r="I872" s="103" t="s">
        <v>1869</v>
      </c>
      <c r="J872" s="134">
        <v>70</v>
      </c>
      <c r="K872" s="103" t="s">
        <v>1870</v>
      </c>
      <c r="L872" s="134">
        <v>10</v>
      </c>
      <c r="M872" s="103" t="s">
        <v>1871</v>
      </c>
      <c r="N872" s="134">
        <v>8</v>
      </c>
    </row>
    <row r="873" spans="1:14" x14ac:dyDescent="0.25">
      <c r="A873" s="106" t="s">
        <v>1872</v>
      </c>
      <c r="B873" s="122" t="s">
        <v>1873</v>
      </c>
      <c r="C873" s="106" t="s">
        <v>1874</v>
      </c>
      <c r="D873" s="122" t="s">
        <v>1875</v>
      </c>
      <c r="E873" s="106" t="s">
        <v>1876</v>
      </c>
      <c r="F873" s="138" t="s">
        <v>1098</v>
      </c>
      <c r="G873" s="106" t="s">
        <v>1876</v>
      </c>
      <c r="H873" s="138" t="s">
        <v>1098</v>
      </c>
      <c r="I873" s="106" t="s">
        <v>1877</v>
      </c>
      <c r="J873" s="138" t="s">
        <v>1098</v>
      </c>
      <c r="K873" s="106" t="s">
        <v>1878</v>
      </c>
      <c r="L873" s="138" t="s">
        <v>1098</v>
      </c>
      <c r="M873" s="106" t="s">
        <v>1879</v>
      </c>
      <c r="N873" s="138" t="s">
        <v>1098</v>
      </c>
    </row>
    <row r="874" spans="1:14" x14ac:dyDescent="0.25">
      <c r="A874" s="103" t="s">
        <v>1880</v>
      </c>
      <c r="B874" s="120" t="s">
        <v>1881</v>
      </c>
      <c r="C874" s="121">
        <v>6.2</v>
      </c>
      <c r="D874" s="120" t="s">
        <v>1882</v>
      </c>
      <c r="E874" s="103" t="s">
        <v>1883</v>
      </c>
      <c r="F874" s="135">
        <v>3080</v>
      </c>
      <c r="G874" s="103" t="s">
        <v>1884</v>
      </c>
      <c r="H874" s="134">
        <v>871</v>
      </c>
      <c r="I874" s="103" t="s">
        <v>1681</v>
      </c>
      <c r="J874" s="135">
        <v>1880</v>
      </c>
      <c r="K874" s="103" t="s">
        <v>899</v>
      </c>
      <c r="L874" s="134">
        <v>207</v>
      </c>
      <c r="M874" s="103" t="s">
        <v>1885</v>
      </c>
      <c r="N874" s="134">
        <v>122</v>
      </c>
    </row>
    <row r="875" spans="1:14" ht="18" x14ac:dyDescent="0.25">
      <c r="A875" s="106" t="s">
        <v>1886</v>
      </c>
      <c r="B875" s="122" t="s">
        <v>1887</v>
      </c>
      <c r="C875" s="126">
        <v>1</v>
      </c>
      <c r="D875" s="122" t="s">
        <v>1888</v>
      </c>
      <c r="E875" s="106" t="s">
        <v>1889</v>
      </c>
      <c r="F875" s="136">
        <v>204</v>
      </c>
      <c r="G875" s="106" t="s">
        <v>1889</v>
      </c>
      <c r="H875" s="136">
        <v>56</v>
      </c>
      <c r="I875" s="106" t="s">
        <v>1747</v>
      </c>
      <c r="J875" s="136">
        <v>66</v>
      </c>
      <c r="K875" s="106" t="s">
        <v>1890</v>
      </c>
      <c r="L875" s="136">
        <v>10</v>
      </c>
      <c r="M875" s="106" t="s">
        <v>1891</v>
      </c>
      <c r="N875" s="136">
        <v>8</v>
      </c>
    </row>
    <row r="876" spans="1:14" x14ac:dyDescent="0.25">
      <c r="A876" s="103" t="s">
        <v>1892</v>
      </c>
      <c r="B876" s="120" t="s">
        <v>1893</v>
      </c>
      <c r="C876" s="103" t="s">
        <v>1894</v>
      </c>
      <c r="D876" s="120" t="s">
        <v>1895</v>
      </c>
      <c r="E876" s="103" t="s">
        <v>1612</v>
      </c>
      <c r="F876" s="134">
        <v>46</v>
      </c>
      <c r="G876" s="103" t="s">
        <v>1612</v>
      </c>
      <c r="H876" s="134">
        <v>13</v>
      </c>
      <c r="I876" s="103" t="s">
        <v>1896</v>
      </c>
      <c r="J876" s="134">
        <v>14</v>
      </c>
      <c r="K876" s="103" t="s">
        <v>1532</v>
      </c>
      <c r="L876" s="134">
        <v>2</v>
      </c>
      <c r="M876" s="103" t="s">
        <v>1897</v>
      </c>
      <c r="N876" s="134">
        <v>2</v>
      </c>
    </row>
    <row r="877" spans="1:14" x14ac:dyDescent="0.25">
      <c r="A877" s="106" t="s">
        <v>1898</v>
      </c>
      <c r="B877" s="122" t="s">
        <v>1899</v>
      </c>
      <c r="C877" s="126">
        <v>1.1000000000000001</v>
      </c>
      <c r="D877" s="122" t="s">
        <v>1900</v>
      </c>
      <c r="E877" s="106" t="s">
        <v>1180</v>
      </c>
      <c r="F877" s="136">
        <v>528</v>
      </c>
      <c r="G877" s="106" t="s">
        <v>1180</v>
      </c>
      <c r="H877" s="136">
        <v>144</v>
      </c>
      <c r="I877" s="106" t="s">
        <v>1901</v>
      </c>
      <c r="J877" s="136">
        <v>173</v>
      </c>
      <c r="K877" s="106" t="s">
        <v>1902</v>
      </c>
      <c r="L877" s="136">
        <v>25</v>
      </c>
      <c r="M877" s="106" t="s">
        <v>1903</v>
      </c>
      <c r="N877" s="136">
        <v>20</v>
      </c>
    </row>
    <row r="878" spans="1:14" x14ac:dyDescent="0.25">
      <c r="A878" s="103" t="s">
        <v>1904</v>
      </c>
      <c r="B878" s="120" t="s">
        <v>1905</v>
      </c>
      <c r="C878" s="121">
        <v>0.9</v>
      </c>
      <c r="D878" s="120" t="s">
        <v>1906</v>
      </c>
      <c r="E878" s="103" t="s">
        <v>1907</v>
      </c>
      <c r="F878" s="134">
        <v>479</v>
      </c>
      <c r="G878" s="103" t="s">
        <v>1907</v>
      </c>
      <c r="H878" s="134">
        <v>130</v>
      </c>
      <c r="I878" s="103" t="s">
        <v>1908</v>
      </c>
      <c r="J878" s="134">
        <v>153</v>
      </c>
      <c r="K878" s="103" t="s">
        <v>1266</v>
      </c>
      <c r="L878" s="134">
        <v>22</v>
      </c>
      <c r="M878" s="103" t="s">
        <v>1909</v>
      </c>
      <c r="N878" s="134">
        <v>18</v>
      </c>
    </row>
    <row r="879" spans="1:14" x14ac:dyDescent="0.25">
      <c r="A879" s="106" t="s">
        <v>1910</v>
      </c>
      <c r="B879" s="122" t="s">
        <v>1911</v>
      </c>
      <c r="C879" s="126">
        <v>3.3</v>
      </c>
      <c r="D879" s="122" t="s">
        <v>1912</v>
      </c>
      <c r="E879" s="106" t="s">
        <v>1752</v>
      </c>
      <c r="F879" s="137">
        <v>2260</v>
      </c>
      <c r="G879" s="106" t="s">
        <v>1913</v>
      </c>
      <c r="H879" s="136">
        <v>617</v>
      </c>
      <c r="I879" s="106" t="s">
        <v>1914</v>
      </c>
      <c r="J879" s="137">
        <v>1010</v>
      </c>
      <c r="K879" s="106" t="s">
        <v>1915</v>
      </c>
      <c r="L879" s="136">
        <v>115</v>
      </c>
      <c r="M879" s="106" t="s">
        <v>1916</v>
      </c>
      <c r="N879" s="136">
        <v>86</v>
      </c>
    </row>
    <row r="880" spans="1:14" x14ac:dyDescent="0.25">
      <c r="A880" s="103" t="s">
        <v>1917</v>
      </c>
      <c r="B880" s="120" t="s">
        <v>1918</v>
      </c>
      <c r="C880" s="121">
        <v>4.4000000000000004</v>
      </c>
      <c r="D880" s="120" t="s">
        <v>1919</v>
      </c>
      <c r="E880" s="103" t="s">
        <v>1920</v>
      </c>
      <c r="F880" s="135">
        <v>2730</v>
      </c>
      <c r="G880" s="103" t="s">
        <v>1921</v>
      </c>
      <c r="H880" s="134">
        <v>751</v>
      </c>
      <c r="I880" s="103" t="s">
        <v>1922</v>
      </c>
      <c r="J880" s="135">
        <v>1400</v>
      </c>
      <c r="K880" s="103" t="s">
        <v>1923</v>
      </c>
      <c r="L880" s="134">
        <v>150</v>
      </c>
      <c r="M880" s="103" t="s">
        <v>1573</v>
      </c>
      <c r="N880" s="134">
        <v>105</v>
      </c>
    </row>
    <row r="881" spans="1:14" x14ac:dyDescent="0.25">
      <c r="A881" s="106" t="s">
        <v>1924</v>
      </c>
      <c r="B881" s="122" t="s">
        <v>1925</v>
      </c>
      <c r="C881" s="126">
        <v>2</v>
      </c>
      <c r="D881" s="147">
        <v>0.28999999999999998</v>
      </c>
      <c r="E881" s="106" t="s">
        <v>1926</v>
      </c>
      <c r="F881" s="136">
        <v>815</v>
      </c>
      <c r="G881" s="106" t="s">
        <v>1926</v>
      </c>
      <c r="H881" s="136">
        <v>222</v>
      </c>
      <c r="I881" s="106" t="s">
        <v>1668</v>
      </c>
      <c r="J881" s="136">
        <v>301</v>
      </c>
      <c r="K881" s="106" t="s">
        <v>1927</v>
      </c>
      <c r="L881" s="136">
        <v>39</v>
      </c>
      <c r="M881" s="106" t="s">
        <v>1928</v>
      </c>
      <c r="N881" s="136">
        <v>31</v>
      </c>
    </row>
    <row r="882" spans="1:14" ht="18" x14ac:dyDescent="0.25">
      <c r="A882" s="103" t="s">
        <v>1929</v>
      </c>
      <c r="B882" s="120" t="s">
        <v>1930</v>
      </c>
      <c r="C882" s="121">
        <v>2</v>
      </c>
      <c r="D882" s="146">
        <v>0.56000000000000005</v>
      </c>
      <c r="E882" s="103" t="s">
        <v>1153</v>
      </c>
      <c r="F882" s="134">
        <v>868</v>
      </c>
      <c r="G882" s="103" t="s">
        <v>1153</v>
      </c>
      <c r="H882" s="134">
        <v>236</v>
      </c>
      <c r="I882" s="103" t="s">
        <v>1931</v>
      </c>
      <c r="J882" s="134">
        <v>320</v>
      </c>
      <c r="K882" s="103" t="s">
        <v>1932</v>
      </c>
      <c r="L882" s="134">
        <v>42</v>
      </c>
      <c r="M882" s="103" t="s">
        <v>1156</v>
      </c>
      <c r="N882" s="134">
        <v>33</v>
      </c>
    </row>
    <row r="883" spans="1:14" ht="18" x14ac:dyDescent="0.25">
      <c r="A883" s="106" t="s">
        <v>1933</v>
      </c>
      <c r="B883" s="122" t="s">
        <v>1934</v>
      </c>
      <c r="C883" s="126">
        <v>2</v>
      </c>
      <c r="D883" s="147">
        <v>0.76</v>
      </c>
      <c r="E883" s="106" t="s">
        <v>1926</v>
      </c>
      <c r="F883" s="136">
        <v>812</v>
      </c>
      <c r="G883" s="106" t="s">
        <v>1926</v>
      </c>
      <c r="H883" s="136">
        <v>221</v>
      </c>
      <c r="I883" s="106" t="s">
        <v>1935</v>
      </c>
      <c r="J883" s="136">
        <v>299</v>
      </c>
      <c r="K883" s="106" t="s">
        <v>1936</v>
      </c>
      <c r="L883" s="136">
        <v>39</v>
      </c>
      <c r="M883" s="106" t="s">
        <v>1937</v>
      </c>
      <c r="N883" s="136">
        <v>31</v>
      </c>
    </row>
    <row r="884" spans="1:14" x14ac:dyDescent="0.25">
      <c r="A884" s="103" t="s">
        <v>1938</v>
      </c>
      <c r="B884" s="120" t="s">
        <v>1939</v>
      </c>
      <c r="C884" s="114">
        <v>40</v>
      </c>
      <c r="D884" s="146">
        <v>0.48</v>
      </c>
      <c r="E884" s="103" t="s">
        <v>1940</v>
      </c>
      <c r="F884" s="135">
        <v>7170</v>
      </c>
      <c r="G884" s="103" t="s">
        <v>1941</v>
      </c>
      <c r="H884" s="135">
        <v>4550</v>
      </c>
      <c r="I884" s="103" t="s">
        <v>1942</v>
      </c>
      <c r="J884" s="135">
        <v>7090</v>
      </c>
      <c r="K884" s="103" t="s">
        <v>1943</v>
      </c>
      <c r="L884" s="135">
        <v>4690</v>
      </c>
      <c r="M884" s="103" t="s">
        <v>1311</v>
      </c>
      <c r="N884" s="134">
        <v>2040</v>
      </c>
    </row>
    <row r="885" spans="1:14" ht="18" x14ac:dyDescent="0.25">
      <c r="A885" s="106" t="s">
        <v>1944</v>
      </c>
      <c r="B885" s="122" t="s">
        <v>1945</v>
      </c>
      <c r="C885" s="106" t="s">
        <v>1946</v>
      </c>
      <c r="D885" s="147">
        <v>0.06</v>
      </c>
      <c r="E885" s="106" t="s">
        <v>1947</v>
      </c>
      <c r="F885" s="136">
        <v>2</v>
      </c>
      <c r="G885" s="106" t="s">
        <v>1947</v>
      </c>
      <c r="H885" s="138" t="s">
        <v>1098</v>
      </c>
      <c r="I885" s="106" t="s">
        <v>1948</v>
      </c>
      <c r="J885" s="138" t="s">
        <v>1098</v>
      </c>
      <c r="K885" s="106" t="s">
        <v>1949</v>
      </c>
      <c r="L885" s="138" t="s">
        <v>1098</v>
      </c>
      <c r="M885" s="106" t="s">
        <v>1950</v>
      </c>
      <c r="N885" s="138" t="s">
        <v>1098</v>
      </c>
    </row>
    <row r="886" spans="1:14" ht="18" x14ac:dyDescent="0.25">
      <c r="A886" s="103" t="s">
        <v>1951</v>
      </c>
      <c r="B886" s="120" t="s">
        <v>1952</v>
      </c>
      <c r="C886" s="103" t="s">
        <v>1946</v>
      </c>
      <c r="D886" s="146">
        <v>7.0000000000000007E-2</v>
      </c>
      <c r="E886" s="103" t="s">
        <v>1953</v>
      </c>
      <c r="F886" s="134">
        <v>1</v>
      </c>
      <c r="G886" s="103" t="s">
        <v>1953</v>
      </c>
      <c r="H886" s="139" t="s">
        <v>1098</v>
      </c>
      <c r="I886" s="103" t="s">
        <v>1954</v>
      </c>
      <c r="J886" s="139" t="s">
        <v>1098</v>
      </c>
      <c r="K886" s="103" t="s">
        <v>1955</v>
      </c>
      <c r="L886" s="139" t="s">
        <v>1098</v>
      </c>
      <c r="M886" s="103" t="s">
        <v>1956</v>
      </c>
      <c r="N886" s="139" t="s">
        <v>1098</v>
      </c>
    </row>
    <row r="887" spans="1:14" ht="18" x14ac:dyDescent="0.25">
      <c r="A887" s="122" t="s">
        <v>1957</v>
      </c>
      <c r="B887" s="122" t="s">
        <v>1958</v>
      </c>
      <c r="C887" s="106" t="s">
        <v>1946</v>
      </c>
      <c r="D887" s="147">
        <v>0.05</v>
      </c>
      <c r="E887" s="106" t="s">
        <v>1959</v>
      </c>
      <c r="F887" s="138" t="s">
        <v>1098</v>
      </c>
      <c r="G887" s="106" t="s">
        <v>1959</v>
      </c>
      <c r="H887" s="138" t="s">
        <v>1098</v>
      </c>
      <c r="I887" s="106" t="s">
        <v>1631</v>
      </c>
      <c r="J887" s="138" t="s">
        <v>1098</v>
      </c>
      <c r="K887" s="106" t="s">
        <v>1960</v>
      </c>
      <c r="L887" s="138" t="s">
        <v>1098</v>
      </c>
      <c r="M887" s="106" t="s">
        <v>1961</v>
      </c>
      <c r="N887" s="138" t="s">
        <v>1098</v>
      </c>
    </row>
    <row r="888" spans="1:14" x14ac:dyDescent="0.25">
      <c r="A888" s="103" t="s">
        <v>1962</v>
      </c>
      <c r="B888" s="120" t="s">
        <v>1963</v>
      </c>
      <c r="C888" s="121">
        <v>1.4</v>
      </c>
      <c r="D888" s="146">
        <v>0.21</v>
      </c>
      <c r="E888" s="103" t="s">
        <v>1964</v>
      </c>
      <c r="F888" s="134">
        <v>449</v>
      </c>
      <c r="G888" s="103" t="s">
        <v>1964</v>
      </c>
      <c r="H888" s="134">
        <v>122</v>
      </c>
      <c r="I888" s="103" t="s">
        <v>1908</v>
      </c>
      <c r="J888" s="134">
        <v>153</v>
      </c>
      <c r="K888" s="103" t="s">
        <v>1045</v>
      </c>
      <c r="L888" s="134">
        <v>21</v>
      </c>
      <c r="M888" s="103" t="s">
        <v>1965</v>
      </c>
      <c r="N888" s="134">
        <v>17</v>
      </c>
    </row>
    <row r="889" spans="1:14" ht="18" x14ac:dyDescent="0.25">
      <c r="A889" s="106" t="s">
        <v>1966</v>
      </c>
      <c r="B889" s="122" t="s">
        <v>1967</v>
      </c>
      <c r="C889" s="117">
        <v>800</v>
      </c>
      <c r="D889" s="147">
        <v>0.65</v>
      </c>
      <c r="E889" s="106" t="s">
        <v>1968</v>
      </c>
      <c r="F889" s="137">
        <v>7500</v>
      </c>
      <c r="G889" s="106" t="s">
        <v>1969</v>
      </c>
      <c r="H889" s="137">
        <v>9710</v>
      </c>
      <c r="I889" s="106" t="s">
        <v>1970</v>
      </c>
      <c r="J889" s="137">
        <v>8070</v>
      </c>
      <c r="K889" s="106" t="s">
        <v>1971</v>
      </c>
      <c r="L889" s="137">
        <v>9910</v>
      </c>
      <c r="M889" s="106" t="s">
        <v>1559</v>
      </c>
      <c r="N889" s="156">
        <v>11300</v>
      </c>
    </row>
    <row r="890" spans="1:14" x14ac:dyDescent="0.25">
      <c r="A890" s="103" t="s">
        <v>1972</v>
      </c>
      <c r="B890" s="120" t="s">
        <v>1973</v>
      </c>
      <c r="C890" s="103" t="s">
        <v>1974</v>
      </c>
      <c r="D890" s="146">
        <v>0.02</v>
      </c>
      <c r="E890" s="103" t="s">
        <v>1975</v>
      </c>
      <c r="F890" s="139" t="s">
        <v>1098</v>
      </c>
      <c r="G890" s="103" t="s">
        <v>1975</v>
      </c>
      <c r="H890" s="139" t="s">
        <v>1098</v>
      </c>
      <c r="I890" s="103" t="s">
        <v>1976</v>
      </c>
      <c r="J890" s="139" t="s">
        <v>1098</v>
      </c>
      <c r="K890" s="103" t="s">
        <v>1977</v>
      </c>
      <c r="L890" s="139" t="s">
        <v>1098</v>
      </c>
      <c r="M890" s="103" t="s">
        <v>1978</v>
      </c>
      <c r="N890" s="139" t="s">
        <v>1098</v>
      </c>
    </row>
    <row r="891" spans="1:14" x14ac:dyDescent="0.25">
      <c r="A891" s="106" t="s">
        <v>1979</v>
      </c>
      <c r="B891" s="122" t="s">
        <v>1980</v>
      </c>
      <c r="C891" s="126">
        <v>3.5</v>
      </c>
      <c r="D891" s="122" t="s">
        <v>1981</v>
      </c>
      <c r="E891" s="106" t="s">
        <v>1982</v>
      </c>
      <c r="F891" s="137">
        <v>2150</v>
      </c>
      <c r="G891" s="106" t="s">
        <v>1983</v>
      </c>
      <c r="H891" s="136">
        <v>588</v>
      </c>
      <c r="I891" s="106" t="s">
        <v>1984</v>
      </c>
      <c r="J891" s="136">
        <v>984</v>
      </c>
      <c r="K891" s="106" t="s">
        <v>1985</v>
      </c>
      <c r="L891" s="136">
        <v>111</v>
      </c>
      <c r="M891" s="106" t="s">
        <v>1986</v>
      </c>
      <c r="N891" s="136">
        <v>82</v>
      </c>
    </row>
    <row r="892" spans="1:14" x14ac:dyDescent="0.25">
      <c r="A892" s="103" t="s">
        <v>1987</v>
      </c>
      <c r="B892" s="120" t="s">
        <v>1988</v>
      </c>
      <c r="C892" s="121">
        <v>3.5</v>
      </c>
      <c r="D892" s="120" t="s">
        <v>1989</v>
      </c>
      <c r="E892" s="103" t="s">
        <v>1564</v>
      </c>
      <c r="F892" s="135">
        <v>2130</v>
      </c>
      <c r="G892" s="103" t="s">
        <v>1990</v>
      </c>
      <c r="H892" s="134">
        <v>580</v>
      </c>
      <c r="I892" s="103" t="s">
        <v>1991</v>
      </c>
      <c r="J892" s="134">
        <v>971</v>
      </c>
      <c r="K892" s="103" t="s">
        <v>1992</v>
      </c>
      <c r="L892" s="134">
        <v>110</v>
      </c>
      <c r="M892" s="103" t="s">
        <v>1993</v>
      </c>
      <c r="N892" s="134">
        <v>81</v>
      </c>
    </row>
    <row r="893" spans="1:14" x14ac:dyDescent="0.25">
      <c r="A893" s="106" t="s">
        <v>1994</v>
      </c>
      <c r="B893" s="122" t="s">
        <v>1995</v>
      </c>
      <c r="C893" s="126">
        <v>2.6</v>
      </c>
      <c r="D893" s="122" t="s">
        <v>1996</v>
      </c>
      <c r="E893" s="106" t="s">
        <v>1347</v>
      </c>
      <c r="F893" s="137">
        <v>1380</v>
      </c>
      <c r="G893" s="106" t="s">
        <v>1347</v>
      </c>
      <c r="H893" s="136">
        <v>376</v>
      </c>
      <c r="I893" s="106" t="s">
        <v>1997</v>
      </c>
      <c r="J893" s="136">
        <v>555</v>
      </c>
      <c r="K893" s="106" t="s">
        <v>1998</v>
      </c>
      <c r="L893" s="136">
        <v>68</v>
      </c>
      <c r="M893" s="106" t="s">
        <v>1999</v>
      </c>
      <c r="N893" s="136">
        <v>52</v>
      </c>
    </row>
    <row r="894" spans="1:14" ht="18" x14ac:dyDescent="0.25">
      <c r="A894" s="103" t="s">
        <v>2000</v>
      </c>
      <c r="B894" s="120" t="s">
        <v>2001</v>
      </c>
      <c r="C894" s="121">
        <v>3</v>
      </c>
      <c r="D894" s="120" t="s">
        <v>2002</v>
      </c>
      <c r="E894" s="103" t="s">
        <v>2003</v>
      </c>
      <c r="F894" s="135">
        <v>1440</v>
      </c>
      <c r="G894" s="103" t="s">
        <v>2003</v>
      </c>
      <c r="H894" s="134">
        <v>392</v>
      </c>
      <c r="I894" s="103" t="s">
        <v>2004</v>
      </c>
      <c r="J894" s="134">
        <v>613</v>
      </c>
      <c r="K894" s="103" t="s">
        <v>2005</v>
      </c>
      <c r="L894" s="134">
        <v>72</v>
      </c>
      <c r="M894" s="103" t="s">
        <v>2006</v>
      </c>
      <c r="N894" s="134">
        <v>54</v>
      </c>
    </row>
    <row r="895" spans="1:14" x14ac:dyDescent="0.25">
      <c r="A895" s="106" t="s">
        <v>2007</v>
      </c>
      <c r="B895" s="122" t="s">
        <v>2008</v>
      </c>
      <c r="C895" s="126">
        <v>0.4</v>
      </c>
      <c r="D895" s="122" t="s">
        <v>2009</v>
      </c>
      <c r="E895" s="106" t="s">
        <v>2010</v>
      </c>
      <c r="F895" s="136">
        <v>123</v>
      </c>
      <c r="G895" s="106" t="s">
        <v>2010</v>
      </c>
      <c r="H895" s="136">
        <v>33</v>
      </c>
      <c r="I895" s="106" t="s">
        <v>2011</v>
      </c>
      <c r="J895" s="136">
        <v>37</v>
      </c>
      <c r="K895" s="106" t="s">
        <v>2012</v>
      </c>
      <c r="L895" s="136">
        <v>6</v>
      </c>
      <c r="M895" s="106" t="s">
        <v>2013</v>
      </c>
      <c r="N895" s="136">
        <v>5</v>
      </c>
    </row>
    <row r="896" spans="1:14" x14ac:dyDescent="0.25">
      <c r="A896" s="103" t="s">
        <v>2014</v>
      </c>
      <c r="B896" s="120" t="s">
        <v>2015</v>
      </c>
      <c r="C896" s="121">
        <v>0.3</v>
      </c>
      <c r="D896" s="120" t="s">
        <v>2016</v>
      </c>
      <c r="E896" s="103" t="s">
        <v>2017</v>
      </c>
      <c r="F896" s="134">
        <v>64</v>
      </c>
      <c r="G896" s="103" t="s">
        <v>2017</v>
      </c>
      <c r="H896" s="134">
        <v>17</v>
      </c>
      <c r="I896" s="103" t="s">
        <v>1045</v>
      </c>
      <c r="J896" s="134">
        <v>19</v>
      </c>
      <c r="K896" s="103" t="s">
        <v>2018</v>
      </c>
      <c r="L896" s="134">
        <v>3</v>
      </c>
      <c r="M896" s="103" t="s">
        <v>2019</v>
      </c>
      <c r="N896" s="134">
        <v>2</v>
      </c>
    </row>
    <row r="897" spans="1:14" x14ac:dyDescent="0.25">
      <c r="A897" s="106" t="s">
        <v>2020</v>
      </c>
      <c r="B897" s="122" t="s">
        <v>2021</v>
      </c>
      <c r="C897" s="126">
        <v>3.2</v>
      </c>
      <c r="D897" s="122" t="s">
        <v>1804</v>
      </c>
      <c r="E897" s="106" t="s">
        <v>2022</v>
      </c>
      <c r="F897" s="137">
        <v>1720</v>
      </c>
      <c r="G897" s="106" t="s">
        <v>2023</v>
      </c>
      <c r="H897" s="136">
        <v>470</v>
      </c>
      <c r="I897" s="106" t="s">
        <v>1348</v>
      </c>
      <c r="J897" s="136">
        <v>755</v>
      </c>
      <c r="K897" s="106" t="s">
        <v>2024</v>
      </c>
      <c r="L897" s="136">
        <v>87</v>
      </c>
      <c r="M897" s="106" t="s">
        <v>1641</v>
      </c>
      <c r="N897" s="136">
        <v>65</v>
      </c>
    </row>
    <row r="898" spans="1:14" x14ac:dyDescent="0.25">
      <c r="A898" s="103" t="s">
        <v>2025</v>
      </c>
      <c r="B898" s="120" t="s">
        <v>2026</v>
      </c>
      <c r="C898" s="121">
        <v>3.2</v>
      </c>
      <c r="D898" s="120" t="s">
        <v>2027</v>
      </c>
      <c r="E898" s="103" t="s">
        <v>2028</v>
      </c>
      <c r="F898" s="135">
        <v>1220</v>
      </c>
      <c r="G898" s="103" t="s">
        <v>2028</v>
      </c>
      <c r="H898" s="134">
        <v>333</v>
      </c>
      <c r="I898" s="103" t="s">
        <v>2029</v>
      </c>
      <c r="J898" s="134">
        <v>535</v>
      </c>
      <c r="K898" s="103" t="s">
        <v>2030</v>
      </c>
      <c r="L898" s="134">
        <v>62</v>
      </c>
      <c r="M898" s="103" t="s">
        <v>2031</v>
      </c>
      <c r="N898" s="134">
        <v>46</v>
      </c>
    </row>
    <row r="899" spans="1:14" ht="18" x14ac:dyDescent="0.25">
      <c r="A899" s="106" t="s">
        <v>2032</v>
      </c>
      <c r="B899" s="122" t="s">
        <v>2033</v>
      </c>
      <c r="C899" s="106" t="s">
        <v>2034</v>
      </c>
      <c r="D899" s="122" t="s">
        <v>2035</v>
      </c>
      <c r="E899" s="106" t="s">
        <v>2036</v>
      </c>
      <c r="F899" s="136">
        <v>6</v>
      </c>
      <c r="G899" s="106" t="s">
        <v>2036</v>
      </c>
      <c r="H899" s="136">
        <v>2</v>
      </c>
      <c r="I899" s="106" t="s">
        <v>2037</v>
      </c>
      <c r="J899" s="136">
        <v>2</v>
      </c>
      <c r="K899" s="106" t="s">
        <v>2038</v>
      </c>
      <c r="L899" s="138" t="s">
        <v>1098</v>
      </c>
      <c r="M899" s="106" t="s">
        <v>2039</v>
      </c>
      <c r="N899" s="138" t="s">
        <v>1098</v>
      </c>
    </row>
    <row r="900" spans="1:14" ht="18" x14ac:dyDescent="0.25">
      <c r="A900" s="103" t="s">
        <v>2040</v>
      </c>
      <c r="B900" s="120" t="s">
        <v>2041</v>
      </c>
      <c r="C900" s="103" t="s">
        <v>2034</v>
      </c>
      <c r="D900" s="120" t="s">
        <v>2042</v>
      </c>
      <c r="E900" s="103" t="s">
        <v>2043</v>
      </c>
      <c r="F900" s="134">
        <v>6</v>
      </c>
      <c r="G900" s="103" t="s">
        <v>2043</v>
      </c>
      <c r="H900" s="134">
        <v>2</v>
      </c>
      <c r="I900" s="103" t="s">
        <v>2044</v>
      </c>
      <c r="J900" s="134">
        <v>2</v>
      </c>
      <c r="K900" s="103" t="s">
        <v>1338</v>
      </c>
      <c r="L900" s="139" t="s">
        <v>1098</v>
      </c>
      <c r="M900" s="103" t="s">
        <v>2045</v>
      </c>
      <c r="N900" s="139" t="s">
        <v>1098</v>
      </c>
    </row>
    <row r="901" spans="1:14" x14ac:dyDescent="0.25">
      <c r="A901" s="106" t="s">
        <v>2046</v>
      </c>
      <c r="B901" s="122" t="s">
        <v>2047</v>
      </c>
      <c r="C901" s="106" t="s">
        <v>2034</v>
      </c>
      <c r="D901" s="122" t="s">
        <v>2048</v>
      </c>
      <c r="E901" s="106" t="s">
        <v>897</v>
      </c>
      <c r="F901" s="136">
        <v>8</v>
      </c>
      <c r="G901" s="106" t="s">
        <v>897</v>
      </c>
      <c r="H901" s="136">
        <v>2</v>
      </c>
      <c r="I901" s="106" t="s">
        <v>2049</v>
      </c>
      <c r="J901" s="136">
        <v>2</v>
      </c>
      <c r="K901" s="106" t="s">
        <v>2050</v>
      </c>
      <c r="L901" s="138" t="s">
        <v>1098</v>
      </c>
      <c r="M901" s="106" t="s">
        <v>2051</v>
      </c>
      <c r="N901" s="138" t="s">
        <v>1098</v>
      </c>
    </row>
    <row r="902" spans="1:14" x14ac:dyDescent="0.25">
      <c r="A902" s="109" t="s">
        <v>2052</v>
      </c>
      <c r="B902" s="123" t="s">
        <v>2053</v>
      </c>
      <c r="C902" s="109" t="s">
        <v>2034</v>
      </c>
      <c r="D902" s="123" t="s">
        <v>2054</v>
      </c>
      <c r="E902" s="109" t="s">
        <v>2055</v>
      </c>
      <c r="F902" s="140">
        <v>8</v>
      </c>
      <c r="G902" s="109" t="s">
        <v>2055</v>
      </c>
      <c r="H902" s="140">
        <v>2</v>
      </c>
      <c r="I902" s="109" t="s">
        <v>2056</v>
      </c>
      <c r="J902" s="140">
        <v>2</v>
      </c>
      <c r="K902" s="109" t="s">
        <v>2057</v>
      </c>
      <c r="L902" s="141" t="s">
        <v>1098</v>
      </c>
      <c r="M902" s="109" t="s">
        <v>2058</v>
      </c>
      <c r="N902" s="141" t="s">
        <v>1098</v>
      </c>
    </row>
    <row r="903" spans="1:14" x14ac:dyDescent="0.25">
      <c r="A903" s="99" t="s">
        <v>2059</v>
      </c>
      <c r="B903" s="142" t="s">
        <v>2060</v>
      </c>
      <c r="C903" s="112">
        <v>1.8</v>
      </c>
      <c r="D903" s="142" t="s">
        <v>2054</v>
      </c>
      <c r="E903" s="99" t="s">
        <v>2061</v>
      </c>
      <c r="F903" s="144">
        <v>350</v>
      </c>
      <c r="G903" s="99" t="s">
        <v>2061</v>
      </c>
      <c r="H903" s="144">
        <v>95</v>
      </c>
      <c r="I903" s="99" t="s">
        <v>2062</v>
      </c>
      <c r="J903" s="144">
        <v>126</v>
      </c>
      <c r="K903" s="99" t="s">
        <v>2063</v>
      </c>
      <c r="L903" s="144">
        <v>17</v>
      </c>
      <c r="M903" s="99" t="s">
        <v>2064</v>
      </c>
      <c r="N903" s="144">
        <v>13</v>
      </c>
    </row>
    <row r="904" spans="1:14" x14ac:dyDescent="0.25">
      <c r="A904" s="103" t="s">
        <v>2065</v>
      </c>
      <c r="B904" s="120" t="s">
        <v>2066</v>
      </c>
      <c r="C904" s="121">
        <v>0.3</v>
      </c>
      <c r="D904" s="120" t="s">
        <v>2067</v>
      </c>
      <c r="E904" s="103" t="s">
        <v>2068</v>
      </c>
      <c r="F904" s="134">
        <v>99</v>
      </c>
      <c r="G904" s="103" t="s">
        <v>2068</v>
      </c>
      <c r="H904" s="134">
        <v>27</v>
      </c>
      <c r="I904" s="103" t="s">
        <v>2069</v>
      </c>
      <c r="J904" s="134">
        <v>30</v>
      </c>
      <c r="K904" s="103" t="s">
        <v>2070</v>
      </c>
      <c r="L904" s="134">
        <v>5</v>
      </c>
      <c r="M904" s="103" t="s">
        <v>2071</v>
      </c>
      <c r="N904" s="134">
        <v>4</v>
      </c>
    </row>
    <row r="905" spans="1:14" x14ac:dyDescent="0.25">
      <c r="A905" s="106" t="s">
        <v>2072</v>
      </c>
      <c r="B905" s="122" t="s">
        <v>2073</v>
      </c>
      <c r="C905" s="126">
        <v>0.3</v>
      </c>
      <c r="D905" s="122" t="s">
        <v>2074</v>
      </c>
      <c r="E905" s="106" t="s">
        <v>2075</v>
      </c>
      <c r="F905" s="136">
        <v>113</v>
      </c>
      <c r="G905" s="106" t="s">
        <v>2075</v>
      </c>
      <c r="H905" s="136">
        <v>31</v>
      </c>
      <c r="I905" s="106" t="s">
        <v>2076</v>
      </c>
      <c r="J905" s="136">
        <v>34</v>
      </c>
      <c r="K905" s="106" t="s">
        <v>2077</v>
      </c>
      <c r="L905" s="136">
        <v>5</v>
      </c>
      <c r="M905" s="106" t="s">
        <v>2078</v>
      </c>
      <c r="N905" s="136">
        <v>4</v>
      </c>
    </row>
    <row r="906" spans="1:14" x14ac:dyDescent="0.25">
      <c r="A906" s="103" t="s">
        <v>2079</v>
      </c>
      <c r="B906" s="120" t="s">
        <v>2080</v>
      </c>
      <c r="C906" s="103" t="s">
        <v>2034</v>
      </c>
      <c r="D906" s="120" t="s">
        <v>2081</v>
      </c>
      <c r="E906" s="103" t="s">
        <v>2082</v>
      </c>
      <c r="F906" s="134">
        <v>5</v>
      </c>
      <c r="G906" s="103" t="s">
        <v>2082</v>
      </c>
      <c r="H906" s="134">
        <v>1</v>
      </c>
      <c r="I906" s="103" t="s">
        <v>2083</v>
      </c>
      <c r="J906" s="134">
        <v>1</v>
      </c>
      <c r="K906" s="103" t="s">
        <v>2084</v>
      </c>
      <c r="L906" s="139" t="s">
        <v>1098</v>
      </c>
      <c r="M906" s="103" t="s">
        <v>2085</v>
      </c>
      <c r="N906" s="139" t="s">
        <v>1098</v>
      </c>
    </row>
    <row r="907" spans="1:14" x14ac:dyDescent="0.25">
      <c r="A907" s="106" t="s">
        <v>2086</v>
      </c>
      <c r="B907" s="122" t="s">
        <v>2087</v>
      </c>
      <c r="C907" s="106" t="s">
        <v>2088</v>
      </c>
      <c r="D907" s="122" t="s">
        <v>2089</v>
      </c>
      <c r="E907" s="106" t="s">
        <v>2090</v>
      </c>
      <c r="F907" s="136">
        <v>25</v>
      </c>
      <c r="G907" s="106" t="s">
        <v>2090</v>
      </c>
      <c r="H907" s="136">
        <v>7</v>
      </c>
      <c r="I907" s="106" t="s">
        <v>2091</v>
      </c>
      <c r="J907" s="136">
        <v>7</v>
      </c>
      <c r="K907" s="106" t="s">
        <v>2092</v>
      </c>
      <c r="L907" s="136">
        <v>1</v>
      </c>
      <c r="M907" s="106" t="s">
        <v>2093</v>
      </c>
      <c r="N907" s="138" t="s">
        <v>1098</v>
      </c>
    </row>
    <row r="908" spans="1:14" x14ac:dyDescent="0.25">
      <c r="A908" s="103" t="s">
        <v>2094</v>
      </c>
      <c r="B908" s="120" t="s">
        <v>2095</v>
      </c>
      <c r="C908" s="121">
        <v>0.6</v>
      </c>
      <c r="D908" s="120" t="s">
        <v>2096</v>
      </c>
      <c r="E908" s="103" t="s">
        <v>2097</v>
      </c>
      <c r="F908" s="134">
        <v>192</v>
      </c>
      <c r="G908" s="103" t="s">
        <v>2097</v>
      </c>
      <c r="H908" s="134">
        <v>52</v>
      </c>
      <c r="I908" s="103" t="s">
        <v>2098</v>
      </c>
      <c r="J908" s="134">
        <v>60</v>
      </c>
      <c r="K908" s="103" t="s">
        <v>2099</v>
      </c>
      <c r="L908" s="134">
        <v>9</v>
      </c>
      <c r="M908" s="103" t="s">
        <v>2100</v>
      </c>
      <c r="N908" s="134">
        <v>7</v>
      </c>
    </row>
    <row r="909" spans="1:14" x14ac:dyDescent="0.25">
      <c r="A909" s="106" t="s">
        <v>2101</v>
      </c>
      <c r="B909" s="122" t="s">
        <v>2102</v>
      </c>
      <c r="C909" s="106" t="s">
        <v>2103</v>
      </c>
      <c r="D909" s="122" t="s">
        <v>2081</v>
      </c>
      <c r="E909" s="106" t="s">
        <v>2104</v>
      </c>
      <c r="F909" s="136">
        <v>12</v>
      </c>
      <c r="G909" s="106" t="s">
        <v>2104</v>
      </c>
      <c r="H909" s="136">
        <v>3</v>
      </c>
      <c r="I909" s="106" t="s">
        <v>2105</v>
      </c>
      <c r="J909" s="136">
        <v>4</v>
      </c>
      <c r="K909" s="106" t="s">
        <v>2106</v>
      </c>
      <c r="L909" s="138" t="s">
        <v>1098</v>
      </c>
      <c r="M909" s="106" t="s">
        <v>1337</v>
      </c>
      <c r="N909" s="138" t="s">
        <v>1098</v>
      </c>
    </row>
    <row r="910" spans="1:14" x14ac:dyDescent="0.25">
      <c r="A910" s="103" t="s">
        <v>2107</v>
      </c>
      <c r="B910" s="120" t="s">
        <v>2108</v>
      </c>
      <c r="C910" s="121">
        <v>0.3</v>
      </c>
      <c r="D910" s="120" t="s">
        <v>2109</v>
      </c>
      <c r="E910" s="103" t="s">
        <v>2110</v>
      </c>
      <c r="F910" s="134">
        <v>99</v>
      </c>
      <c r="G910" s="103" t="s">
        <v>2110</v>
      </c>
      <c r="H910" s="134">
        <v>27</v>
      </c>
      <c r="I910" s="103" t="s">
        <v>2111</v>
      </c>
      <c r="J910" s="134">
        <v>30</v>
      </c>
      <c r="K910" s="103" t="s">
        <v>2112</v>
      </c>
      <c r="L910" s="134">
        <v>5</v>
      </c>
      <c r="M910" s="103" t="s">
        <v>2113</v>
      </c>
      <c r="N910" s="134">
        <v>4</v>
      </c>
    </row>
    <row r="911" spans="1:14" x14ac:dyDescent="0.25">
      <c r="A911" s="106" t="s">
        <v>2114</v>
      </c>
      <c r="B911" s="122" t="s">
        <v>2115</v>
      </c>
      <c r="C911" s="126">
        <v>0.6</v>
      </c>
      <c r="D911" s="147">
        <v>0.2</v>
      </c>
      <c r="E911" s="106" t="s">
        <v>2116</v>
      </c>
      <c r="F911" s="136">
        <v>124</v>
      </c>
      <c r="G911" s="106" t="s">
        <v>2116</v>
      </c>
      <c r="H911" s="136">
        <v>34</v>
      </c>
      <c r="I911" s="106" t="s">
        <v>1238</v>
      </c>
      <c r="J911" s="136">
        <v>38</v>
      </c>
      <c r="K911" s="106" t="s">
        <v>2117</v>
      </c>
      <c r="L911" s="136">
        <v>6</v>
      </c>
      <c r="M911" s="106" t="s">
        <v>2118</v>
      </c>
      <c r="N911" s="136">
        <v>5</v>
      </c>
    </row>
    <row r="912" spans="1:14" x14ac:dyDescent="0.25">
      <c r="A912" s="103" t="s">
        <v>2119</v>
      </c>
      <c r="B912" s="120" t="s">
        <v>2120</v>
      </c>
      <c r="C912" s="121">
        <v>9.8000000000000007</v>
      </c>
      <c r="D912" s="146">
        <v>0.35</v>
      </c>
      <c r="E912" s="103" t="s">
        <v>2121</v>
      </c>
      <c r="F912" s="135">
        <v>3970</v>
      </c>
      <c r="G912" s="103" t="s">
        <v>2122</v>
      </c>
      <c r="H912" s="135">
        <v>1240</v>
      </c>
      <c r="I912" s="103" t="s">
        <v>2123</v>
      </c>
      <c r="J912" s="135">
        <v>2960</v>
      </c>
      <c r="K912" s="103" t="s">
        <v>2124</v>
      </c>
      <c r="L912" s="134">
        <v>467</v>
      </c>
      <c r="M912" s="103" t="s">
        <v>2125</v>
      </c>
      <c r="N912" s="134">
        <v>178</v>
      </c>
    </row>
    <row r="913" spans="1:14" ht="18" x14ac:dyDescent="0.25">
      <c r="A913" s="106" t="s">
        <v>2126</v>
      </c>
      <c r="B913" s="122" t="s">
        <v>2127</v>
      </c>
      <c r="C913" s="126">
        <v>0.4</v>
      </c>
      <c r="D913" s="147">
        <v>0.19</v>
      </c>
      <c r="E913" s="106" t="s">
        <v>2128</v>
      </c>
      <c r="F913" s="136">
        <v>86</v>
      </c>
      <c r="G913" s="106" t="s">
        <v>2128</v>
      </c>
      <c r="H913" s="136">
        <v>23</v>
      </c>
      <c r="I913" s="106" t="s">
        <v>2129</v>
      </c>
      <c r="J913" s="136">
        <v>26</v>
      </c>
      <c r="K913" s="106" t="s">
        <v>2130</v>
      </c>
      <c r="L913" s="136">
        <v>4</v>
      </c>
      <c r="M913" s="106" t="s">
        <v>2131</v>
      </c>
      <c r="N913" s="136">
        <v>3</v>
      </c>
    </row>
    <row r="914" spans="1:14" ht="18" x14ac:dyDescent="0.25">
      <c r="A914" s="120" t="s">
        <v>2132</v>
      </c>
      <c r="B914" s="120" t="s">
        <v>2133</v>
      </c>
      <c r="C914" s="114">
        <v>67</v>
      </c>
      <c r="D914" s="146">
        <v>0.57999999999999996</v>
      </c>
      <c r="E914" s="103" t="s">
        <v>2134</v>
      </c>
      <c r="F914" s="135">
        <v>7940</v>
      </c>
      <c r="G914" s="103" t="s">
        <v>2135</v>
      </c>
      <c r="H914" s="135">
        <v>6490</v>
      </c>
      <c r="I914" s="103" t="s">
        <v>2136</v>
      </c>
      <c r="J914" s="135">
        <v>8140</v>
      </c>
      <c r="K914" s="103" t="s">
        <v>2137</v>
      </c>
      <c r="L914" s="135">
        <v>6960</v>
      </c>
      <c r="M914" s="103" t="s">
        <v>2138</v>
      </c>
      <c r="N914" s="134">
        <v>4380</v>
      </c>
    </row>
    <row r="915" spans="1:14" x14ac:dyDescent="0.25">
      <c r="A915" s="106" t="s">
        <v>2139</v>
      </c>
      <c r="B915" s="122" t="s">
        <v>2140</v>
      </c>
      <c r="C915" s="106" t="s">
        <v>2141</v>
      </c>
      <c r="D915" s="147">
        <v>0.11</v>
      </c>
      <c r="E915" s="106" t="s">
        <v>2142</v>
      </c>
      <c r="F915" s="136">
        <v>48</v>
      </c>
      <c r="G915" s="106" t="s">
        <v>2142</v>
      </c>
      <c r="H915" s="136">
        <v>13</v>
      </c>
      <c r="I915" s="106" t="s">
        <v>2143</v>
      </c>
      <c r="J915" s="136">
        <v>14</v>
      </c>
      <c r="K915" s="106" t="s">
        <v>2144</v>
      </c>
      <c r="L915" s="136">
        <v>2</v>
      </c>
      <c r="M915" s="106" t="s">
        <v>2145</v>
      </c>
      <c r="N915" s="136">
        <v>2</v>
      </c>
    </row>
    <row r="916" spans="1:14" ht="18" x14ac:dyDescent="0.25">
      <c r="A916" s="103" t="s">
        <v>2146</v>
      </c>
      <c r="B916" s="120" t="s">
        <v>2147</v>
      </c>
      <c r="C916" s="103" t="s">
        <v>2148</v>
      </c>
      <c r="D916" s="146">
        <v>0.19</v>
      </c>
      <c r="E916" s="103" t="s">
        <v>2149</v>
      </c>
      <c r="F916" s="134">
        <v>63</v>
      </c>
      <c r="G916" s="103" t="s">
        <v>2149</v>
      </c>
      <c r="H916" s="134">
        <v>17</v>
      </c>
      <c r="I916" s="103" t="s">
        <v>2150</v>
      </c>
      <c r="J916" s="134">
        <v>19</v>
      </c>
      <c r="K916" s="103" t="s">
        <v>2131</v>
      </c>
      <c r="L916" s="134">
        <v>3</v>
      </c>
      <c r="M916" s="103" t="s">
        <v>2151</v>
      </c>
      <c r="N916" s="134">
        <v>2</v>
      </c>
    </row>
    <row r="917" spans="1:14" x14ac:dyDescent="0.25">
      <c r="A917" s="106" t="s">
        <v>2152</v>
      </c>
      <c r="B917" s="122" t="s">
        <v>2153</v>
      </c>
      <c r="C917" s="126">
        <v>0.3</v>
      </c>
      <c r="D917" s="147">
        <v>0.16</v>
      </c>
      <c r="E917" s="106" t="s">
        <v>2154</v>
      </c>
      <c r="F917" s="136">
        <v>60</v>
      </c>
      <c r="G917" s="106" t="s">
        <v>2154</v>
      </c>
      <c r="H917" s="136">
        <v>16</v>
      </c>
      <c r="I917" s="106" t="s">
        <v>2155</v>
      </c>
      <c r="J917" s="136">
        <v>18</v>
      </c>
      <c r="K917" s="106" t="s">
        <v>2156</v>
      </c>
      <c r="L917" s="136">
        <v>3</v>
      </c>
      <c r="M917" s="106" t="s">
        <v>1260</v>
      </c>
      <c r="N917" s="136">
        <v>2</v>
      </c>
    </row>
    <row r="918" spans="1:14" x14ac:dyDescent="0.25">
      <c r="A918" s="103" t="s">
        <v>2157</v>
      </c>
      <c r="B918" s="120" t="s">
        <v>2158</v>
      </c>
      <c r="C918" s="103" t="s">
        <v>2159</v>
      </c>
      <c r="D918" s="146">
        <v>0.03</v>
      </c>
      <c r="E918" s="103" t="s">
        <v>2160</v>
      </c>
      <c r="F918" s="134">
        <v>2</v>
      </c>
      <c r="G918" s="103" t="s">
        <v>2160</v>
      </c>
      <c r="H918" s="139" t="s">
        <v>1098</v>
      </c>
      <c r="I918" s="103" t="s">
        <v>2161</v>
      </c>
      <c r="J918" s="139" t="s">
        <v>1098</v>
      </c>
      <c r="K918" s="103" t="s">
        <v>2162</v>
      </c>
      <c r="L918" s="139" t="s">
        <v>1098</v>
      </c>
      <c r="M918" s="103" t="s">
        <v>2163</v>
      </c>
      <c r="N918" s="139" t="s">
        <v>1098</v>
      </c>
    </row>
    <row r="919" spans="1:14" ht="18" x14ac:dyDescent="0.25">
      <c r="A919" s="106" t="s">
        <v>2164</v>
      </c>
      <c r="B919" s="122" t="s">
        <v>2165</v>
      </c>
      <c r="C919" s="106" t="s">
        <v>1265</v>
      </c>
      <c r="D919" s="147">
        <v>0.03</v>
      </c>
      <c r="E919" s="106" t="s">
        <v>2166</v>
      </c>
      <c r="F919" s="138" t="s">
        <v>1098</v>
      </c>
      <c r="G919" s="106" t="s">
        <v>2166</v>
      </c>
      <c r="H919" s="138" t="s">
        <v>1098</v>
      </c>
      <c r="I919" s="106" t="s">
        <v>2167</v>
      </c>
      <c r="J919" s="138" t="s">
        <v>1098</v>
      </c>
      <c r="K919" s="106" t="s">
        <v>2168</v>
      </c>
      <c r="L919" s="138" t="s">
        <v>1098</v>
      </c>
      <c r="M919" s="106" t="s">
        <v>2169</v>
      </c>
      <c r="N919" s="138" t="s">
        <v>1098</v>
      </c>
    </row>
    <row r="920" spans="1:14" x14ac:dyDescent="0.25">
      <c r="A920" s="103" t="s">
        <v>2170</v>
      </c>
      <c r="B920" s="120" t="s">
        <v>2171</v>
      </c>
      <c r="C920" s="103" t="s">
        <v>2172</v>
      </c>
      <c r="D920" s="164">
        <v>4.0000000000000001E-3</v>
      </c>
      <c r="E920" s="103" t="s">
        <v>2173</v>
      </c>
      <c r="F920" s="139" t="s">
        <v>1098</v>
      </c>
      <c r="G920" s="103" t="s">
        <v>2173</v>
      </c>
      <c r="H920" s="139" t="s">
        <v>1098</v>
      </c>
      <c r="I920" s="103" t="s">
        <v>2174</v>
      </c>
      <c r="J920" s="139" t="s">
        <v>1098</v>
      </c>
      <c r="K920" s="103" t="s">
        <v>2175</v>
      </c>
      <c r="L920" s="139" t="s">
        <v>1098</v>
      </c>
      <c r="M920" s="103" t="s">
        <v>2176</v>
      </c>
      <c r="N920" s="139" t="s">
        <v>1098</v>
      </c>
    </row>
    <row r="921" spans="1:14" x14ac:dyDescent="0.25">
      <c r="A921" s="106" t="s">
        <v>2177</v>
      </c>
      <c r="B921" s="122" t="s">
        <v>2178</v>
      </c>
      <c r="C921" s="106" t="s">
        <v>2179</v>
      </c>
      <c r="D921" s="147">
        <v>0.02</v>
      </c>
      <c r="E921" s="106" t="s">
        <v>2180</v>
      </c>
      <c r="F921" s="136">
        <v>3</v>
      </c>
      <c r="G921" s="106" t="s">
        <v>2180</v>
      </c>
      <c r="H921" s="138" t="s">
        <v>1098</v>
      </c>
      <c r="I921" s="106" t="s">
        <v>2181</v>
      </c>
      <c r="J921" s="138" t="s">
        <v>1098</v>
      </c>
      <c r="K921" s="106" t="s">
        <v>2182</v>
      </c>
      <c r="L921" s="138" t="s">
        <v>1098</v>
      </c>
      <c r="M921" s="106" t="s">
        <v>2183</v>
      </c>
      <c r="N921" s="138" t="s">
        <v>1098</v>
      </c>
    </row>
    <row r="922" spans="1:14" x14ac:dyDescent="0.25">
      <c r="A922" s="103" t="s">
        <v>2184</v>
      </c>
      <c r="B922" s="120" t="s">
        <v>2185</v>
      </c>
      <c r="C922" s="103" t="s">
        <v>2186</v>
      </c>
      <c r="D922" s="146">
        <v>0.04</v>
      </c>
      <c r="E922" s="103" t="s">
        <v>2187</v>
      </c>
      <c r="F922" s="134">
        <v>11</v>
      </c>
      <c r="G922" s="103" t="s">
        <v>2187</v>
      </c>
      <c r="H922" s="134">
        <v>3</v>
      </c>
      <c r="I922" s="103" t="s">
        <v>2188</v>
      </c>
      <c r="J922" s="134">
        <v>3</v>
      </c>
      <c r="K922" s="103" t="s">
        <v>1948</v>
      </c>
      <c r="L922" s="139" t="s">
        <v>1098</v>
      </c>
      <c r="M922" s="103" t="s">
        <v>2189</v>
      </c>
      <c r="N922" s="139" t="s">
        <v>1098</v>
      </c>
    </row>
    <row r="923" spans="1:14" x14ac:dyDescent="0.25">
      <c r="A923" s="106" t="s">
        <v>2190</v>
      </c>
      <c r="B923" s="122" t="s">
        <v>2191</v>
      </c>
      <c r="C923" s="126">
        <v>0.3</v>
      </c>
      <c r="D923" s="147">
        <v>0.1</v>
      </c>
      <c r="E923" s="106" t="s">
        <v>2192</v>
      </c>
      <c r="F923" s="136">
        <v>73</v>
      </c>
      <c r="G923" s="106" t="s">
        <v>2192</v>
      </c>
      <c r="H923" s="136">
        <v>20</v>
      </c>
      <c r="I923" s="106" t="s">
        <v>2193</v>
      </c>
      <c r="J923" s="136">
        <v>22</v>
      </c>
      <c r="K923" s="106" t="s">
        <v>2194</v>
      </c>
      <c r="L923" s="136">
        <v>3</v>
      </c>
      <c r="M923" s="106" t="s">
        <v>2195</v>
      </c>
      <c r="N923" s="136">
        <v>3</v>
      </c>
    </row>
    <row r="924" spans="1:14" ht="18" x14ac:dyDescent="0.25">
      <c r="A924" s="103" t="s">
        <v>2196</v>
      </c>
      <c r="B924" s="120" t="s">
        <v>2197</v>
      </c>
      <c r="C924" s="114">
        <v>26</v>
      </c>
      <c r="D924" s="120" t="s">
        <v>2198</v>
      </c>
      <c r="E924" s="103" t="s">
        <v>2199</v>
      </c>
      <c r="F924" s="135">
        <v>9910</v>
      </c>
      <c r="G924" s="103" t="s">
        <v>2200</v>
      </c>
      <c r="H924" s="135">
        <v>4920</v>
      </c>
      <c r="I924" s="103" t="s">
        <v>2201</v>
      </c>
      <c r="J924" s="135">
        <v>9320</v>
      </c>
      <c r="K924" s="103" t="s">
        <v>2202</v>
      </c>
      <c r="L924" s="135">
        <v>4460</v>
      </c>
      <c r="M924" s="103" t="s">
        <v>2203</v>
      </c>
      <c r="N924" s="134">
        <v>1360</v>
      </c>
    </row>
    <row r="925" spans="1:14" ht="18" x14ac:dyDescent="0.25">
      <c r="A925" s="122" t="s">
        <v>2204</v>
      </c>
      <c r="B925" s="122" t="s">
        <v>2205</v>
      </c>
      <c r="C925" s="117">
        <v>26</v>
      </c>
      <c r="D925" s="122" t="s">
        <v>2206</v>
      </c>
      <c r="E925" s="106" t="s">
        <v>2207</v>
      </c>
      <c r="F925" s="137">
        <v>9050</v>
      </c>
      <c r="G925" s="106" t="s">
        <v>2208</v>
      </c>
      <c r="H925" s="137">
        <v>4490</v>
      </c>
      <c r="I925" s="106" t="s">
        <v>1439</v>
      </c>
      <c r="J925" s="137">
        <v>8520</v>
      </c>
      <c r="K925" s="106" t="s">
        <v>2209</v>
      </c>
      <c r="L925" s="137">
        <v>4080</v>
      </c>
      <c r="M925" s="106" t="s">
        <v>2210</v>
      </c>
      <c r="N925" s="136">
        <v>1250</v>
      </c>
    </row>
    <row r="926" spans="1:14" ht="18" x14ac:dyDescent="0.25">
      <c r="A926" s="123" t="s">
        <v>2211</v>
      </c>
      <c r="B926" s="123" t="s">
        <v>2212</v>
      </c>
      <c r="C926" s="152">
        <v>26</v>
      </c>
      <c r="D926" s="123" t="s">
        <v>2213</v>
      </c>
      <c r="E926" s="109" t="s">
        <v>2214</v>
      </c>
      <c r="F926" s="153">
        <v>7320</v>
      </c>
      <c r="G926" s="109" t="s">
        <v>2215</v>
      </c>
      <c r="H926" s="153">
        <v>3630</v>
      </c>
      <c r="I926" s="109" t="s">
        <v>904</v>
      </c>
      <c r="J926" s="153">
        <v>6880</v>
      </c>
      <c r="K926" s="109" t="s">
        <v>2123</v>
      </c>
      <c r="L926" s="153">
        <v>3300</v>
      </c>
      <c r="M926" s="109" t="s">
        <v>2216</v>
      </c>
      <c r="N926" s="140">
        <v>1010</v>
      </c>
    </row>
    <row r="927" spans="1:14" x14ac:dyDescent="0.25">
      <c r="A927"/>
      <c r="B927"/>
      <c r="C927"/>
      <c r="D927"/>
      <c r="E927"/>
    </row>
    <row r="928" spans="1:14" x14ac:dyDescent="0.25">
      <c r="A928" s="167"/>
      <c r="B928" s="168" t="s">
        <v>2217</v>
      </c>
      <c r="C928" s="168" t="s">
        <v>2218</v>
      </c>
      <c r="D928" s="42" t="s">
        <v>2219</v>
      </c>
      <c r="E928"/>
    </row>
    <row r="929" spans="1:5" x14ac:dyDescent="0.25">
      <c r="A929" t="s">
        <v>2220</v>
      </c>
      <c r="B929" s="169">
        <v>1</v>
      </c>
      <c r="C929" s="169">
        <v>1</v>
      </c>
      <c r="D929" t="s">
        <v>2221</v>
      </c>
      <c r="E929"/>
    </row>
    <row r="930" spans="1:5" x14ac:dyDescent="0.25">
      <c r="A930" t="s">
        <v>2222</v>
      </c>
      <c r="B930" s="169">
        <v>16.2</v>
      </c>
      <c r="C930" s="169">
        <v>5</v>
      </c>
      <c r="D930" t="s">
        <v>2223</v>
      </c>
      <c r="E930"/>
    </row>
    <row r="931" spans="1:5" x14ac:dyDescent="0.25">
      <c r="A931" t="s">
        <v>485</v>
      </c>
      <c r="B931" s="169">
        <v>5.6</v>
      </c>
      <c r="C931" s="169">
        <v>1.8</v>
      </c>
      <c r="D931" t="s">
        <v>2224</v>
      </c>
      <c r="E931"/>
    </row>
    <row r="932" spans="1:5" x14ac:dyDescent="0.25">
      <c r="A932" t="s">
        <v>2225</v>
      </c>
      <c r="B932" s="169">
        <v>-2.4</v>
      </c>
      <c r="C932" s="169">
        <v>-8.1999999999999993</v>
      </c>
      <c r="D932" t="s">
        <v>2226</v>
      </c>
      <c r="E932"/>
    </row>
    <row r="933" spans="1:5" x14ac:dyDescent="0.25">
      <c r="A933" t="s">
        <v>2227</v>
      </c>
      <c r="B933" s="169">
        <v>0</v>
      </c>
      <c r="C933" s="169">
        <v>0</v>
      </c>
      <c r="D933" t="s">
        <v>2228</v>
      </c>
      <c r="E933"/>
    </row>
    <row r="934" spans="1:5" x14ac:dyDescent="0.25">
      <c r="A934" t="s">
        <v>2229</v>
      </c>
      <c r="B934" s="169">
        <v>0</v>
      </c>
      <c r="C934" s="169">
        <v>0</v>
      </c>
      <c r="D934" t="s">
        <v>2228</v>
      </c>
      <c r="E934"/>
    </row>
    <row r="935" spans="1:5" x14ac:dyDescent="0.25">
      <c r="A935" t="s">
        <v>2230</v>
      </c>
      <c r="B935" s="169">
        <v>0</v>
      </c>
      <c r="C935" s="169">
        <v>0</v>
      </c>
      <c r="D935" t="s">
        <v>2231</v>
      </c>
      <c r="E935"/>
    </row>
    <row r="936" spans="1:5" x14ac:dyDescent="0.25">
      <c r="A936" t="s">
        <v>2232</v>
      </c>
      <c r="B936" s="169">
        <v>1200</v>
      </c>
      <c r="C936" s="169">
        <v>345</v>
      </c>
      <c r="D936" t="s">
        <v>2233</v>
      </c>
      <c r="E936"/>
    </row>
    <row r="937" spans="1:5" x14ac:dyDescent="0.25">
      <c r="A937" t="s">
        <v>2234</v>
      </c>
      <c r="B937" s="169">
        <v>-160</v>
      </c>
      <c r="C937" s="169">
        <v>-46</v>
      </c>
      <c r="D937" t="s">
        <v>2235</v>
      </c>
      <c r="E937"/>
    </row>
    <row r="938" spans="1:5" x14ac:dyDescent="0.25">
      <c r="A938" t="s">
        <v>2236</v>
      </c>
      <c r="B938" s="169">
        <v>84</v>
      </c>
      <c r="C938" s="169">
        <v>28</v>
      </c>
      <c r="D938" t="s">
        <v>2237</v>
      </c>
      <c r="E938"/>
    </row>
    <row r="939" spans="1:5" x14ac:dyDescent="0.25">
      <c r="A939" t="s">
        <v>2238</v>
      </c>
      <c r="B939" s="169">
        <v>264</v>
      </c>
      <c r="C939" s="169">
        <v>265</v>
      </c>
      <c r="D939" t="s">
        <v>2239</v>
      </c>
      <c r="E939"/>
    </row>
    <row r="940" spans="1:5" x14ac:dyDescent="0.25">
      <c r="A940" t="s">
        <v>2240</v>
      </c>
      <c r="B940" s="169">
        <v>1</v>
      </c>
      <c r="C940" s="169">
        <v>1</v>
      </c>
      <c r="D940" t="s">
        <v>2241</v>
      </c>
      <c r="E940"/>
    </row>
    <row r="941" spans="1:5" x14ac:dyDescent="0.25">
      <c r="A941"/>
      <c r="B941"/>
      <c r="C941"/>
      <c r="D941" t="s">
        <v>2242</v>
      </c>
      <c r="E941"/>
    </row>
    <row r="942" spans="1:5" x14ac:dyDescent="0.25">
      <c r="A942"/>
      <c r="B942"/>
      <c r="C942"/>
      <c r="D942" t="s">
        <v>2243</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49" zoomScale="85" zoomScaleNormal="85" zoomScalePageLayoutView="85" workbookViewId="0">
      <selection activeCell="B160" sqref="B160"/>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57" t="s">
        <v>11</v>
      </c>
      <c r="B1" s="457"/>
      <c r="C1" s="457"/>
      <c r="D1" s="457"/>
      <c r="E1" s="457"/>
    </row>
    <row r="2" spans="1:5" x14ac:dyDescent="0.25">
      <c r="A2" s="458" t="s">
        <v>154</v>
      </c>
      <c r="B2" s="458"/>
      <c r="C2" s="458"/>
      <c r="D2" s="458"/>
      <c r="E2" s="458"/>
    </row>
    <row r="19" spans="1:5" x14ac:dyDescent="0.25">
      <c r="A19" t="s">
        <v>155</v>
      </c>
    </row>
    <row r="20" spans="1:5" x14ac:dyDescent="0.25">
      <c r="A20">
        <v>155400</v>
      </c>
      <c r="B20" t="s">
        <v>156</v>
      </c>
    </row>
    <row r="21" spans="1:5" x14ac:dyDescent="0.25">
      <c r="A21" s="458" t="s">
        <v>157</v>
      </c>
      <c r="B21" s="458"/>
      <c r="C21" s="458"/>
      <c r="D21" s="458"/>
      <c r="E21" s="458"/>
    </row>
    <row r="38" spans="1:5" x14ac:dyDescent="0.25">
      <c r="A38" t="s">
        <v>155</v>
      </c>
    </row>
    <row r="39" spans="1:5" x14ac:dyDescent="0.25">
      <c r="A39">
        <v>100800</v>
      </c>
      <c r="B39" t="s">
        <v>156</v>
      </c>
    </row>
    <row r="40" spans="1:5" x14ac:dyDescent="0.25">
      <c r="A40" s="458" t="s">
        <v>158</v>
      </c>
      <c r="B40" s="458"/>
      <c r="C40" s="458"/>
      <c r="D40" s="458"/>
      <c r="E40" s="458"/>
    </row>
    <row r="57" spans="1:5" ht="15.75" thickBot="1" x14ac:dyDescent="0.3">
      <c r="A57" t="s">
        <v>155</v>
      </c>
    </row>
    <row r="58" spans="1:5" ht="15.75" thickBot="1" x14ac:dyDescent="0.3">
      <c r="A58" s="7">
        <v>194000</v>
      </c>
      <c r="B58" t="s">
        <v>159</v>
      </c>
    </row>
    <row r="60" spans="1:5" x14ac:dyDescent="0.25">
      <c r="A60" s="457" t="s">
        <v>160</v>
      </c>
      <c r="B60" s="457"/>
      <c r="C60" s="457"/>
      <c r="D60" s="457"/>
      <c r="E60" s="457"/>
    </row>
    <row r="85" spans="1:37" s="8" customFormat="1" x14ac:dyDescent="0.25">
      <c r="A85" t="s">
        <v>360</v>
      </c>
      <c r="B85">
        <v>55.1</v>
      </c>
      <c r="C85" t="s">
        <v>361</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362</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363</v>
      </c>
      <c r="B88" s="10">
        <f>(B86-B85)/B85</f>
        <v>1.0254083484573502</v>
      </c>
    </row>
    <row r="89" spans="1:37" x14ac:dyDescent="0.25">
      <c r="A89" s="457" t="s">
        <v>161</v>
      </c>
      <c r="B89" s="457"/>
      <c r="C89" s="457"/>
      <c r="D89" s="457"/>
      <c r="E89" s="457"/>
    </row>
    <row r="90" spans="1:37" x14ac:dyDescent="0.25">
      <c r="A90">
        <v>6.6290250000000004</v>
      </c>
      <c r="B90" t="s">
        <v>366</v>
      </c>
      <c r="E90" t="s">
        <v>371</v>
      </c>
    </row>
    <row r="91" spans="1:37" x14ac:dyDescent="0.25">
      <c r="A91">
        <f>1/A90</f>
        <v>0.15085174667466181</v>
      </c>
      <c r="B91" t="s">
        <v>367</v>
      </c>
      <c r="E91" t="s">
        <v>166</v>
      </c>
    </row>
    <row r="92" spans="1:37" x14ac:dyDescent="0.25">
      <c r="A92" s="11">
        <v>0.5</v>
      </c>
      <c r="B92" t="s">
        <v>368</v>
      </c>
      <c r="E92" t="s">
        <v>372</v>
      </c>
    </row>
    <row r="93" spans="1:37" x14ac:dyDescent="0.25">
      <c r="A93">
        <f>A92*A91</f>
        <v>7.5425873337330904E-2</v>
      </c>
      <c r="B93" t="s">
        <v>369</v>
      </c>
      <c r="E93" t="s">
        <v>166</v>
      </c>
    </row>
    <row r="94" spans="1:37" x14ac:dyDescent="0.25">
      <c r="A94">
        <f>1/A93</f>
        <v>13.258050000000001</v>
      </c>
      <c r="B94" t="s">
        <v>370</v>
      </c>
      <c r="E94" t="s">
        <v>166</v>
      </c>
      <c r="J94" s="11"/>
    </row>
    <row r="95" spans="1:37" ht="15.75" thickBot="1" x14ac:dyDescent="0.3">
      <c r="A95">
        <v>8.0274920000000005</v>
      </c>
      <c r="B95" t="s">
        <v>364</v>
      </c>
      <c r="E95" t="s">
        <v>373</v>
      </c>
      <c r="J95" s="11"/>
    </row>
    <row r="96" spans="1:37" ht="15.75" thickBot="1" x14ac:dyDescent="0.3">
      <c r="A96" s="12">
        <f>(A94-A95)/A95</f>
        <v>0.65158059329115492</v>
      </c>
      <c r="B96" t="s">
        <v>365</v>
      </c>
      <c r="C96" s="13"/>
      <c r="E96" t="s">
        <v>166</v>
      </c>
    </row>
    <row r="98" spans="1:5" x14ac:dyDescent="0.25">
      <c r="A98" s="457" t="s">
        <v>162</v>
      </c>
      <c r="B98" s="457"/>
      <c r="C98" s="457"/>
      <c r="D98" s="457"/>
      <c r="E98" s="457"/>
    </row>
    <row r="99" spans="1:5" x14ac:dyDescent="0.25">
      <c r="A99" s="13">
        <v>0.3</v>
      </c>
      <c r="B99" s="11" t="s">
        <v>375</v>
      </c>
    </row>
    <row r="100" spans="1:5" x14ac:dyDescent="0.25">
      <c r="A100">
        <v>63.5</v>
      </c>
      <c r="B100" t="s">
        <v>376</v>
      </c>
    </row>
    <row r="101" spans="1:5" x14ac:dyDescent="0.25">
      <c r="A101">
        <f>1/A100</f>
        <v>1.5748031496062992E-2</v>
      </c>
      <c r="B101" t="s">
        <v>374</v>
      </c>
    </row>
    <row r="102" spans="1:5" x14ac:dyDescent="0.25">
      <c r="A102" s="14">
        <f>A101*(1-A99)</f>
        <v>1.1023622047244094E-2</v>
      </c>
      <c r="B102" t="s">
        <v>377</v>
      </c>
    </row>
    <row r="103" spans="1:5" x14ac:dyDescent="0.25">
      <c r="A103" s="14">
        <f>1/A102</f>
        <v>90.714285714285722</v>
      </c>
      <c r="B103" t="s">
        <v>381</v>
      </c>
    </row>
    <row r="104" spans="1:5" x14ac:dyDescent="0.25">
      <c r="A104" s="13">
        <v>0.35</v>
      </c>
      <c r="B104" t="s">
        <v>378</v>
      </c>
    </row>
    <row r="105" spans="1:5" x14ac:dyDescent="0.25">
      <c r="A105">
        <f>A102*(1-A104)</f>
        <v>7.1653543307086615E-3</v>
      </c>
      <c r="B105" t="s">
        <v>379</v>
      </c>
    </row>
    <row r="106" spans="1:5" ht="15.75" thickBot="1" x14ac:dyDescent="0.3">
      <c r="A106">
        <f>1/A105</f>
        <v>139.56043956043956</v>
      </c>
      <c r="B106" t="s">
        <v>380</v>
      </c>
    </row>
    <row r="107" spans="1:5" ht="15.75" thickBot="1" x14ac:dyDescent="0.3">
      <c r="A107" s="12">
        <f>(A106-A103)/A103</f>
        <v>0.53846153846153832</v>
      </c>
      <c r="B107" t="s">
        <v>382</v>
      </c>
    </row>
    <row r="108" spans="1:5" x14ac:dyDescent="0.25">
      <c r="A108" s="15"/>
    </row>
    <row r="109" spans="1:5" x14ac:dyDescent="0.25">
      <c r="A109" s="457" t="s">
        <v>164</v>
      </c>
      <c r="B109" s="457"/>
      <c r="C109" s="457"/>
      <c r="D109" s="457"/>
      <c r="E109" s="457"/>
    </row>
    <row r="110" spans="1:5" ht="15.75" thickBot="1" x14ac:dyDescent="0.3"/>
    <row r="111" spans="1:5" ht="15.75" thickBot="1" x14ac:dyDescent="0.3">
      <c r="A111" s="12">
        <f>A122</f>
        <v>0.20481927710843381</v>
      </c>
      <c r="B111" t="s">
        <v>384</v>
      </c>
    </row>
    <row r="113" spans="1:12" x14ac:dyDescent="0.25">
      <c r="A113" s="457" t="s">
        <v>163</v>
      </c>
      <c r="B113" s="457"/>
      <c r="C113" s="457"/>
      <c r="D113" s="457"/>
      <c r="E113" s="457"/>
    </row>
    <row r="114" spans="1:12" x14ac:dyDescent="0.25">
      <c r="A114" s="13">
        <v>0.2</v>
      </c>
      <c r="B114" s="11" t="s">
        <v>375</v>
      </c>
    </row>
    <row r="115" spans="1:12" x14ac:dyDescent="0.25">
      <c r="A115">
        <v>1.95</v>
      </c>
      <c r="B115" t="s">
        <v>383</v>
      </c>
    </row>
    <row r="116" spans="1:12" x14ac:dyDescent="0.25">
      <c r="A116">
        <f>1/A115</f>
        <v>0.51282051282051289</v>
      </c>
      <c r="B116" t="s">
        <v>374</v>
      </c>
    </row>
    <row r="117" spans="1:12" x14ac:dyDescent="0.25">
      <c r="A117" s="14">
        <f>A116*(1-A114)</f>
        <v>0.41025641025641035</v>
      </c>
      <c r="B117" t="s">
        <v>377</v>
      </c>
    </row>
    <row r="118" spans="1:12" x14ac:dyDescent="0.25">
      <c r="A118" s="14">
        <f>1/A117</f>
        <v>2.4374999999999996</v>
      </c>
      <c r="B118" t="s">
        <v>381</v>
      </c>
    </row>
    <row r="119" spans="1:12" x14ac:dyDescent="0.25">
      <c r="A119" s="13">
        <v>0.17</v>
      </c>
      <c r="B119" t="s">
        <v>378</v>
      </c>
    </row>
    <row r="120" spans="1:12" x14ac:dyDescent="0.25">
      <c r="A120">
        <f>A117*(1-A119)</f>
        <v>0.34051282051282056</v>
      </c>
      <c r="B120" t="s">
        <v>379</v>
      </c>
    </row>
    <row r="121" spans="1:12" ht="15.75" thickBot="1" x14ac:dyDescent="0.3">
      <c r="A121">
        <f>1/A120</f>
        <v>2.9367469879518069</v>
      </c>
      <c r="B121" t="s">
        <v>380</v>
      </c>
    </row>
    <row r="122" spans="1:12" ht="15.75" thickBot="1" x14ac:dyDescent="0.3">
      <c r="A122" s="12">
        <f>(A121-A118)/A118</f>
        <v>0.20481927710843381</v>
      </c>
      <c r="B122" t="s">
        <v>382</v>
      </c>
    </row>
    <row r="124" spans="1:12" x14ac:dyDescent="0.25">
      <c r="A124" s="457" t="s">
        <v>385</v>
      </c>
      <c r="B124" s="457"/>
      <c r="C124" s="457"/>
      <c r="D124" s="457"/>
      <c r="E124" s="457"/>
      <c r="J124" s="16"/>
    </row>
    <row r="125" spans="1:12" x14ac:dyDescent="0.25">
      <c r="A125" s="17">
        <v>4.4824543659231753E-4</v>
      </c>
      <c r="B125" t="s">
        <v>387</v>
      </c>
      <c r="K125" s="11"/>
      <c r="L125" s="11"/>
    </row>
    <row r="126" spans="1:12" x14ac:dyDescent="0.25">
      <c r="A126">
        <v>1.27</v>
      </c>
      <c r="B126" t="s">
        <v>391</v>
      </c>
      <c r="F126" s="18"/>
      <c r="J126" s="1"/>
      <c r="K126" s="17"/>
      <c r="L126" s="17"/>
    </row>
    <row r="127" spans="1:12" x14ac:dyDescent="0.25">
      <c r="A127">
        <f>(1/CONVERT(A125/A126,"mi","km")*0.00105505585)</f>
        <v>1.857438352962903</v>
      </c>
      <c r="B127" t="s">
        <v>388</v>
      </c>
      <c r="K127" s="17"/>
      <c r="L127" s="17"/>
    </row>
    <row r="128" spans="1:12" x14ac:dyDescent="0.25">
      <c r="A128">
        <f>1/A127</f>
        <v>0.53837587578874124</v>
      </c>
      <c r="B128" t="s">
        <v>389</v>
      </c>
      <c r="F128" s="18"/>
      <c r="K128" s="13"/>
      <c r="L128" s="11"/>
    </row>
    <row r="129" spans="1:12" x14ac:dyDescent="0.25">
      <c r="A129">
        <v>1.07</v>
      </c>
      <c r="B129" t="s">
        <v>386</v>
      </c>
      <c r="F129" s="18"/>
      <c r="K129" s="13"/>
      <c r="L129" s="11"/>
    </row>
    <row r="130" spans="1:12" ht="15.75" thickBot="1" x14ac:dyDescent="0.3">
      <c r="A130">
        <f>1/A129</f>
        <v>0.93457943925233644</v>
      </c>
      <c r="B130" t="s">
        <v>390</v>
      </c>
      <c r="F130" s="18"/>
      <c r="K130" s="11"/>
      <c r="L130" s="11"/>
    </row>
    <row r="131" spans="1:12" ht="15.75" thickBot="1" x14ac:dyDescent="0.3">
      <c r="A131" s="12">
        <f>(A130-A128)/A128</f>
        <v>0.73592369435785332</v>
      </c>
      <c r="B131" t="s">
        <v>382</v>
      </c>
      <c r="F131" s="18"/>
    </row>
    <row r="133" spans="1:12" x14ac:dyDescent="0.25">
      <c r="A133" s="16"/>
      <c r="B133" s="11"/>
      <c r="C133" s="11"/>
    </row>
    <row r="134" spans="1:12" x14ac:dyDescent="0.25">
      <c r="A134" s="457" t="s">
        <v>100</v>
      </c>
      <c r="B134" s="457"/>
      <c r="C134" s="457"/>
      <c r="D134" s="457"/>
      <c r="E134" s="457"/>
    </row>
    <row r="135" spans="1:12" x14ac:dyDescent="0.25">
      <c r="A135" s="19" t="s">
        <v>402</v>
      </c>
      <c r="B135" s="20"/>
      <c r="C135" s="20"/>
      <c r="D135" s="20"/>
      <c r="E135" s="20"/>
      <c r="F135" s="20"/>
      <c r="G135" s="20"/>
    </row>
    <row r="136" spans="1:12" ht="15.75" x14ac:dyDescent="0.3">
      <c r="A136" s="21"/>
      <c r="B136" s="460" t="s">
        <v>403</v>
      </c>
      <c r="C136" s="461"/>
      <c r="D136" s="461"/>
      <c r="E136" s="462"/>
      <c r="F136" s="20"/>
      <c r="G136" s="20"/>
    </row>
    <row r="137" spans="1:12" ht="15.75" x14ac:dyDescent="0.3">
      <c r="A137" s="22"/>
      <c r="B137" s="460" t="s">
        <v>404</v>
      </c>
      <c r="C137" s="462"/>
      <c r="D137" s="460" t="s">
        <v>405</v>
      </c>
      <c r="E137" s="462"/>
      <c r="F137" s="20"/>
      <c r="G137" s="20"/>
    </row>
    <row r="138" spans="1:12" ht="15.75" x14ac:dyDescent="0.3">
      <c r="A138" s="23" t="s">
        <v>406</v>
      </c>
      <c r="B138" s="24" t="s">
        <v>407</v>
      </c>
      <c r="C138" s="24" t="s">
        <v>408</v>
      </c>
      <c r="D138" s="24" t="s">
        <v>407</v>
      </c>
      <c r="E138" s="24" t="s">
        <v>408</v>
      </c>
      <c r="F138" s="20"/>
      <c r="G138" s="25" t="s">
        <v>409</v>
      </c>
    </row>
    <row r="139" spans="1:12" x14ac:dyDescent="0.25">
      <c r="A139" s="26" t="s">
        <v>410</v>
      </c>
      <c r="B139" s="27">
        <v>95</v>
      </c>
      <c r="C139" s="28">
        <v>95</v>
      </c>
      <c r="D139" s="27">
        <v>50</v>
      </c>
      <c r="E139" s="28">
        <v>50</v>
      </c>
      <c r="F139" s="25" t="s">
        <v>125</v>
      </c>
      <c r="G139" s="20">
        <f>(C139-E139)/C139</f>
        <v>0.47368421052631576</v>
      </c>
    </row>
    <row r="140" spans="1:12" x14ac:dyDescent="0.25">
      <c r="A140" s="29" t="s">
        <v>411</v>
      </c>
      <c r="B140" s="30">
        <v>100</v>
      </c>
      <c r="C140" s="31">
        <v>100</v>
      </c>
      <c r="D140" s="30">
        <v>70</v>
      </c>
      <c r="E140" s="31">
        <v>70</v>
      </c>
      <c r="F140" s="25" t="s">
        <v>125</v>
      </c>
      <c r="G140" s="20">
        <f t="shared" ref="G140:G156" si="0">(C140-E140)/C140</f>
        <v>0.3</v>
      </c>
    </row>
    <row r="141" spans="1:12" x14ac:dyDescent="0.25">
      <c r="A141" s="29" t="s">
        <v>412</v>
      </c>
      <c r="B141" s="30">
        <v>95</v>
      </c>
      <c r="C141" s="31">
        <v>95</v>
      </c>
      <c r="D141" s="30">
        <v>50</v>
      </c>
      <c r="E141" s="31">
        <v>50</v>
      </c>
      <c r="F141" s="25" t="s">
        <v>125</v>
      </c>
      <c r="G141" s="20">
        <f t="shared" si="0"/>
        <v>0.47368421052631576</v>
      </c>
    </row>
    <row r="142" spans="1:12" x14ac:dyDescent="0.25">
      <c r="A142" s="29" t="s">
        <v>413</v>
      </c>
      <c r="B142" s="30">
        <v>105</v>
      </c>
      <c r="C142" s="31">
        <v>105</v>
      </c>
      <c r="D142" s="30">
        <v>110</v>
      </c>
      <c r="E142" s="31">
        <v>110</v>
      </c>
      <c r="F142" s="32" t="s">
        <v>429</v>
      </c>
      <c r="G142" s="20">
        <f t="shared" si="0"/>
        <v>-4.7619047619047616E-2</v>
      </c>
    </row>
    <row r="143" spans="1:12" x14ac:dyDescent="0.25">
      <c r="A143" s="29" t="s">
        <v>414</v>
      </c>
      <c r="B143" s="30">
        <v>80</v>
      </c>
      <c r="C143" s="31">
        <v>80</v>
      </c>
      <c r="D143" s="30">
        <v>35</v>
      </c>
      <c r="E143" s="31">
        <v>35</v>
      </c>
      <c r="F143" s="25" t="s">
        <v>125</v>
      </c>
      <c r="G143" s="20">
        <f t="shared" si="0"/>
        <v>0.5625</v>
      </c>
    </row>
    <row r="144" spans="1:12" x14ac:dyDescent="0.25">
      <c r="A144" s="29" t="s">
        <v>415</v>
      </c>
      <c r="B144" s="30">
        <v>70</v>
      </c>
      <c r="C144" s="31">
        <v>70</v>
      </c>
      <c r="D144" s="30">
        <v>50</v>
      </c>
      <c r="E144" s="31">
        <v>50</v>
      </c>
      <c r="F144" s="25" t="s">
        <v>125</v>
      </c>
      <c r="G144" s="20">
        <f t="shared" si="0"/>
        <v>0.2857142857142857</v>
      </c>
    </row>
    <row r="145" spans="1:9" x14ac:dyDescent="0.25">
      <c r="A145" s="29" t="s">
        <v>416</v>
      </c>
      <c r="B145" s="30">
        <v>90</v>
      </c>
      <c r="C145" s="31">
        <v>90</v>
      </c>
      <c r="D145" s="30">
        <v>80</v>
      </c>
      <c r="E145" s="31">
        <v>80</v>
      </c>
      <c r="F145" s="25" t="s">
        <v>417</v>
      </c>
      <c r="G145" s="20">
        <f t="shared" si="0"/>
        <v>0.1111111111111111</v>
      </c>
    </row>
    <row r="146" spans="1:9" x14ac:dyDescent="0.25">
      <c r="A146" s="29" t="s">
        <v>418</v>
      </c>
      <c r="B146" s="30">
        <v>100</v>
      </c>
      <c r="C146" s="31">
        <v>100</v>
      </c>
      <c r="D146" s="30">
        <v>90</v>
      </c>
      <c r="E146" s="31">
        <v>90</v>
      </c>
      <c r="F146" s="25" t="s">
        <v>125</v>
      </c>
      <c r="G146" s="20">
        <f t="shared" si="0"/>
        <v>0.1</v>
      </c>
    </row>
    <row r="147" spans="1:9" x14ac:dyDescent="0.25">
      <c r="A147" s="29" t="s">
        <v>419</v>
      </c>
      <c r="B147" s="30">
        <v>80</v>
      </c>
      <c r="C147" s="31">
        <v>80</v>
      </c>
      <c r="D147" s="30">
        <v>40</v>
      </c>
      <c r="E147" s="31">
        <v>40</v>
      </c>
      <c r="F147" s="25" t="s">
        <v>125</v>
      </c>
      <c r="G147" s="20">
        <f t="shared" si="0"/>
        <v>0.5</v>
      </c>
    </row>
    <row r="148" spans="1:9" x14ac:dyDescent="0.25">
      <c r="A148" s="29" t="s">
        <v>420</v>
      </c>
      <c r="B148" s="30">
        <v>80</v>
      </c>
      <c r="C148" s="31">
        <v>80</v>
      </c>
      <c r="D148" s="30">
        <v>50</v>
      </c>
      <c r="E148" s="31">
        <v>50</v>
      </c>
      <c r="F148" s="25" t="s">
        <v>125</v>
      </c>
      <c r="G148" s="20">
        <f t="shared" si="0"/>
        <v>0.375</v>
      </c>
    </row>
    <row r="149" spans="1:9" x14ac:dyDescent="0.25">
      <c r="A149" s="29" t="s">
        <v>421</v>
      </c>
      <c r="B149" s="30">
        <v>90</v>
      </c>
      <c r="C149" s="31">
        <v>90</v>
      </c>
      <c r="D149" s="30">
        <v>80</v>
      </c>
      <c r="E149" s="31">
        <v>80</v>
      </c>
      <c r="F149" s="25" t="s">
        <v>417</v>
      </c>
      <c r="G149" s="20">
        <f t="shared" si="0"/>
        <v>0.1111111111111111</v>
      </c>
    </row>
    <row r="150" spans="1:9" x14ac:dyDescent="0.25">
      <c r="A150" s="29" t="s">
        <v>422</v>
      </c>
      <c r="B150" s="30">
        <v>95</v>
      </c>
      <c r="C150" s="31">
        <v>95</v>
      </c>
      <c r="D150" s="30">
        <v>90</v>
      </c>
      <c r="E150" s="31">
        <v>90</v>
      </c>
      <c r="F150" s="32" t="s">
        <v>429</v>
      </c>
      <c r="G150" s="20">
        <f t="shared" si="0"/>
        <v>5.2631578947368418E-2</v>
      </c>
    </row>
    <row r="151" spans="1:9" x14ac:dyDescent="0.25">
      <c r="A151" s="29" t="s">
        <v>423</v>
      </c>
      <c r="B151" s="30">
        <v>95</v>
      </c>
      <c r="C151" s="31">
        <v>95</v>
      </c>
      <c r="D151" s="30">
        <v>90</v>
      </c>
      <c r="E151" s="31">
        <v>90</v>
      </c>
      <c r="F151" s="32" t="s">
        <v>429</v>
      </c>
      <c r="G151" s="20">
        <f t="shared" si="0"/>
        <v>5.2631578947368418E-2</v>
      </c>
    </row>
    <row r="152" spans="1:9" x14ac:dyDescent="0.25">
      <c r="A152" s="29" t="s">
        <v>424</v>
      </c>
      <c r="B152" s="30">
        <v>80</v>
      </c>
      <c r="C152" s="31">
        <v>50</v>
      </c>
      <c r="D152" s="30">
        <v>30</v>
      </c>
      <c r="E152" s="31">
        <v>30</v>
      </c>
      <c r="F152" s="25" t="s">
        <v>124</v>
      </c>
      <c r="G152" s="20">
        <f>(C152-E152)/C152</f>
        <v>0.4</v>
      </c>
    </row>
    <row r="153" spans="1:9" x14ac:dyDescent="0.25">
      <c r="A153" s="29" t="s">
        <v>425</v>
      </c>
      <c r="B153" s="30">
        <v>90</v>
      </c>
      <c r="C153" s="31">
        <v>90</v>
      </c>
      <c r="D153" s="30">
        <v>70</v>
      </c>
      <c r="E153" s="31">
        <v>70</v>
      </c>
      <c r="F153" s="25" t="s">
        <v>121</v>
      </c>
      <c r="G153" s="20">
        <f t="shared" si="0"/>
        <v>0.22222222222222221</v>
      </c>
    </row>
    <row r="154" spans="1:9" x14ac:dyDescent="0.25">
      <c r="A154" s="29" t="s">
        <v>426</v>
      </c>
      <c r="B154" s="30">
        <v>95</v>
      </c>
      <c r="C154" s="31">
        <v>90</v>
      </c>
      <c r="D154" s="30">
        <v>80</v>
      </c>
      <c r="E154" s="31">
        <v>80</v>
      </c>
      <c r="F154" s="32" t="s">
        <v>429</v>
      </c>
      <c r="G154" s="20">
        <f t="shared" si="0"/>
        <v>0.1111111111111111</v>
      </c>
      <c r="I154" s="33"/>
    </row>
    <row r="155" spans="1:9" x14ac:dyDescent="0.25">
      <c r="A155" s="29" t="s">
        <v>427</v>
      </c>
      <c r="B155" s="30">
        <v>80</v>
      </c>
      <c r="C155" s="31">
        <v>65</v>
      </c>
      <c r="D155" s="30">
        <v>60</v>
      </c>
      <c r="E155" s="31">
        <v>30</v>
      </c>
      <c r="F155" s="25" t="s">
        <v>122</v>
      </c>
      <c r="G155" s="20">
        <f t="shared" si="0"/>
        <v>0.53846153846153844</v>
      </c>
    </row>
    <row r="156" spans="1:9" x14ac:dyDescent="0.25">
      <c r="A156" s="34" t="s">
        <v>428</v>
      </c>
      <c r="B156" s="35">
        <v>90</v>
      </c>
      <c r="C156" s="36">
        <v>90</v>
      </c>
      <c r="D156" s="35">
        <v>70</v>
      </c>
      <c r="E156" s="36">
        <v>70</v>
      </c>
      <c r="F156" s="25" t="s">
        <v>122</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125</v>
      </c>
      <c r="B159" s="20">
        <f>AVERAGEIF(F139:F156,A159,G139:G156)</f>
        <v>0.38382283834586467</v>
      </c>
      <c r="C159" s="20"/>
      <c r="D159" s="20"/>
      <c r="E159" s="20"/>
      <c r="F159" s="20"/>
      <c r="G159" s="20"/>
    </row>
    <row r="160" spans="1:9" x14ac:dyDescent="0.25">
      <c r="A160" s="20" t="s">
        <v>417</v>
      </c>
      <c r="B160" s="20">
        <f>AVERAGEIF(F139:F156,A160,G139:G156)</f>
        <v>0.1111111111111111</v>
      </c>
      <c r="C160" s="20"/>
      <c r="D160" s="20"/>
      <c r="E160" s="20"/>
      <c r="F160" s="20"/>
      <c r="G160" s="20"/>
    </row>
    <row r="161" spans="1:7" x14ac:dyDescent="0.25">
      <c r="A161" s="20" t="s">
        <v>124</v>
      </c>
      <c r="B161" s="20">
        <f>AVERAGEIF(F139:F156,A161,G139:G156)</f>
        <v>0.4</v>
      </c>
      <c r="C161" s="20"/>
      <c r="D161" s="20"/>
      <c r="E161" s="20"/>
      <c r="F161" s="20"/>
      <c r="G161" s="20"/>
    </row>
    <row r="162" spans="1:7" x14ac:dyDescent="0.25">
      <c r="A162" s="20" t="s">
        <v>121</v>
      </c>
      <c r="B162" s="20">
        <f>AVERAGEIF(F139:F156,A162,G139:G156)</f>
        <v>0.22222222222222221</v>
      </c>
      <c r="C162" s="20"/>
      <c r="D162" s="20"/>
      <c r="E162" s="20"/>
      <c r="F162" s="20"/>
      <c r="G162" s="20"/>
    </row>
    <row r="163" spans="1:7" x14ac:dyDescent="0.25">
      <c r="A163" s="20" t="s">
        <v>122</v>
      </c>
      <c r="B163" s="20">
        <f>AVERAGEIF(F139:F156,A163,G139:G156)</f>
        <v>0.38034188034188032</v>
      </c>
      <c r="C163" s="20"/>
      <c r="D163" s="20"/>
      <c r="E163" s="20"/>
      <c r="F163" s="20"/>
      <c r="G163" s="20"/>
    </row>
    <row r="165" spans="1:7" x14ac:dyDescent="0.25">
      <c r="A165" s="457" t="s">
        <v>167</v>
      </c>
      <c r="B165" s="457"/>
      <c r="C165" s="457"/>
      <c r="D165" s="457"/>
      <c r="E165" s="457"/>
    </row>
    <row r="166" spans="1:7" ht="15.75" thickBot="1" x14ac:dyDescent="0.3">
      <c r="A166" t="s">
        <v>168</v>
      </c>
      <c r="B166" s="13">
        <v>0.4</v>
      </c>
    </row>
    <row r="167" spans="1:7" ht="15.75" thickBot="1" x14ac:dyDescent="0.3">
      <c r="A167" t="s">
        <v>169</v>
      </c>
      <c r="B167" s="37">
        <f>(1+B166)^(1/(2020-2010))-1</f>
        <v>3.4219694129380196E-2</v>
      </c>
    </row>
    <row r="168" spans="1:7" x14ac:dyDescent="0.25">
      <c r="B168" s="38"/>
    </row>
    <row r="169" spans="1:7" x14ac:dyDescent="0.25">
      <c r="A169" s="457" t="s">
        <v>392</v>
      </c>
      <c r="B169" s="457"/>
    </row>
    <row r="170" spans="1:7" x14ac:dyDescent="0.25">
      <c r="A170" t="s">
        <v>393</v>
      </c>
      <c r="B170" s="39">
        <v>972.7</v>
      </c>
    </row>
    <row r="171" spans="1:7" ht="15.75" thickBot="1" x14ac:dyDescent="0.3">
      <c r="A171" t="s">
        <v>394</v>
      </c>
      <c r="B171" s="40">
        <f>400.9+53.5+276.5+255.7+63.5+462.5+B170+975.4+227.6+436.5</f>
        <v>4124.8</v>
      </c>
    </row>
    <row r="172" spans="1:7" ht="15.75" thickBot="1" x14ac:dyDescent="0.3">
      <c r="A172" t="s">
        <v>395</v>
      </c>
      <c r="B172" s="37">
        <f>B170/B171</f>
        <v>0.23581749418153608</v>
      </c>
    </row>
    <row r="173" spans="1:7" x14ac:dyDescent="0.25">
      <c r="B173" s="38"/>
    </row>
    <row r="174" spans="1:7" x14ac:dyDescent="0.25">
      <c r="A174" s="457" t="s">
        <v>174</v>
      </c>
      <c r="B174" s="457"/>
      <c r="C174" s="457"/>
      <c r="D174" s="457"/>
      <c r="E174" s="457"/>
    </row>
    <row r="175" spans="1:7" ht="15.75" thickBot="1" x14ac:dyDescent="0.3">
      <c r="A175" t="s">
        <v>401</v>
      </c>
      <c r="B175" s="38">
        <v>0.1246</v>
      </c>
    </row>
    <row r="176" spans="1:7" ht="15.75" thickBot="1" x14ac:dyDescent="0.3">
      <c r="A176" t="s">
        <v>397</v>
      </c>
      <c r="B176" s="37">
        <f>1-B175</f>
        <v>0.87539999999999996</v>
      </c>
    </row>
    <row r="178" spans="1:5" x14ac:dyDescent="0.25">
      <c r="A178" s="457" t="s">
        <v>170</v>
      </c>
      <c r="B178" s="457"/>
      <c r="C178" s="457"/>
      <c r="D178" s="457"/>
      <c r="E178" s="457"/>
    </row>
    <row r="179" spans="1:5" x14ac:dyDescent="0.25">
      <c r="A179" t="s">
        <v>399</v>
      </c>
      <c r="B179">
        <v>197000</v>
      </c>
    </row>
    <row r="180" spans="1:5" ht="15.75" thickBot="1" x14ac:dyDescent="0.3">
      <c r="A180" t="s">
        <v>400</v>
      </c>
      <c r="B180">
        <v>175000</v>
      </c>
    </row>
    <row r="181" spans="1:5" ht="15.75" thickBot="1" x14ac:dyDescent="0.3">
      <c r="A181" t="s">
        <v>171</v>
      </c>
      <c r="B181" s="12">
        <f>B179/B180</f>
        <v>1.1257142857142857</v>
      </c>
    </row>
    <row r="183" spans="1:5" x14ac:dyDescent="0.25">
      <c r="A183" s="457" t="s">
        <v>172</v>
      </c>
      <c r="B183" s="457"/>
      <c r="C183" s="457"/>
      <c r="D183" s="457"/>
      <c r="E183" s="457"/>
    </row>
    <row r="184" spans="1:5" x14ac:dyDescent="0.25">
      <c r="A184" t="s">
        <v>2251</v>
      </c>
      <c r="B184" s="170">
        <v>1.2E-2</v>
      </c>
    </row>
    <row r="185" spans="1:5" x14ac:dyDescent="0.25">
      <c r="A185" t="s">
        <v>2252</v>
      </c>
      <c r="B185" s="170">
        <v>2.4E-2</v>
      </c>
    </row>
    <row r="186" spans="1:5" x14ac:dyDescent="0.25">
      <c r="A186" t="s">
        <v>2253</v>
      </c>
      <c r="B186">
        <f>2050-2018+1</f>
        <v>33</v>
      </c>
    </row>
    <row r="187" spans="1:5" x14ac:dyDescent="0.25">
      <c r="A187" t="s">
        <v>2254</v>
      </c>
      <c r="B187" s="11">
        <f>(1-B184)^B186</f>
        <v>0.67139665221009714</v>
      </c>
    </row>
    <row r="188" spans="1:5" ht="15.75" thickBot="1" x14ac:dyDescent="0.3">
      <c r="A188" t="s">
        <v>2255</v>
      </c>
      <c r="B188" s="11">
        <f>(1-B185)^B186</f>
        <v>0.44858421050781644</v>
      </c>
    </row>
    <row r="189" spans="1:5" ht="15.75" thickBot="1" x14ac:dyDescent="0.3">
      <c r="A189" t="s">
        <v>2256</v>
      </c>
      <c r="B189" s="12">
        <f>(B187-B188)/B187</f>
        <v>0.33186409400289502</v>
      </c>
    </row>
    <row r="191" spans="1:5" x14ac:dyDescent="0.25">
      <c r="A191" s="457" t="s">
        <v>184</v>
      </c>
      <c r="B191" s="457"/>
      <c r="C191" s="457"/>
      <c r="D191" s="457"/>
      <c r="E191" s="457"/>
    </row>
    <row r="192" spans="1:5" x14ac:dyDescent="0.25">
      <c r="A192" s="16" t="s">
        <v>176</v>
      </c>
      <c r="B192" s="16" t="s">
        <v>177</v>
      </c>
      <c r="C192" s="16"/>
    </row>
    <row r="193" spans="1:9" x14ac:dyDescent="0.25">
      <c r="A193" t="s">
        <v>178</v>
      </c>
      <c r="B193" s="17">
        <v>15277777.777777778</v>
      </c>
      <c r="C193" t="s">
        <v>179</v>
      </c>
    </row>
    <row r="194" spans="1:9" x14ac:dyDescent="0.25">
      <c r="A194" t="s">
        <v>180</v>
      </c>
      <c r="B194" s="17">
        <f>3.4*10^6</f>
        <v>3400000</v>
      </c>
      <c r="C194" s="41"/>
    </row>
    <row r="195" spans="1:9" x14ac:dyDescent="0.25">
      <c r="A195" t="s">
        <v>181</v>
      </c>
      <c r="B195">
        <v>2</v>
      </c>
    </row>
    <row r="196" spans="1:9" ht="15.75" thickBot="1" x14ac:dyDescent="0.3">
      <c r="A196" t="s">
        <v>182</v>
      </c>
      <c r="B196" s="17">
        <f>B195*B194</f>
        <v>6800000</v>
      </c>
    </row>
    <row r="197" spans="1:9" ht="15.75" thickBot="1" x14ac:dyDescent="0.3">
      <c r="A197" t="s">
        <v>183</v>
      </c>
      <c r="B197" s="12">
        <f>B196/B193</f>
        <v>0.44509090909090909</v>
      </c>
    </row>
    <row r="199" spans="1:9" x14ac:dyDescent="0.25">
      <c r="A199" s="219" t="s">
        <v>2994</v>
      </c>
    </row>
    <row r="201" spans="1:9" x14ac:dyDescent="0.25">
      <c r="A201" s="220" t="s">
        <v>3015</v>
      </c>
      <c r="B201" s="459" t="s">
        <v>2998</v>
      </c>
      <c r="C201" s="459"/>
      <c r="D201" s="459"/>
      <c r="E201" s="459"/>
      <c r="F201" s="459"/>
      <c r="G201" s="459"/>
      <c r="H201" s="459"/>
      <c r="I201" s="459"/>
    </row>
    <row r="202" spans="1:9" x14ac:dyDescent="0.25">
      <c r="A202" s="42" t="s">
        <v>2999</v>
      </c>
      <c r="B202" s="42" t="s">
        <v>3000</v>
      </c>
      <c r="C202" s="42" t="s">
        <v>3001</v>
      </c>
      <c r="D202" s="42" t="s">
        <v>3002</v>
      </c>
      <c r="E202" s="42" t="s">
        <v>2346</v>
      </c>
      <c r="F202" s="42" t="s">
        <v>86</v>
      </c>
      <c r="G202" s="42" t="s">
        <v>3003</v>
      </c>
      <c r="H202" s="42" t="s">
        <v>3004</v>
      </c>
      <c r="I202" s="42" t="s">
        <v>3005</v>
      </c>
    </row>
    <row r="203" spans="1:9" x14ac:dyDescent="0.25">
      <c r="A203" s="42" t="s">
        <v>3006</v>
      </c>
      <c r="B203">
        <v>0</v>
      </c>
      <c r="C203">
        <v>6</v>
      </c>
      <c r="D203">
        <v>9</v>
      </c>
      <c r="E203">
        <v>25</v>
      </c>
      <c r="F203">
        <v>21</v>
      </c>
      <c r="G203">
        <v>215</v>
      </c>
      <c r="H203">
        <v>81</v>
      </c>
      <c r="I203">
        <v>134</v>
      </c>
    </row>
    <row r="204" spans="1:9" x14ac:dyDescent="0.25">
      <c r="A204" s="42" t="s">
        <v>3007</v>
      </c>
      <c r="B204">
        <v>4</v>
      </c>
      <c r="C204">
        <v>3</v>
      </c>
      <c r="D204">
        <v>15</v>
      </c>
      <c r="E204">
        <v>40</v>
      </c>
      <c r="F204">
        <v>43</v>
      </c>
      <c r="G204">
        <v>163</v>
      </c>
      <c r="H204">
        <v>56</v>
      </c>
      <c r="I204">
        <v>94</v>
      </c>
    </row>
    <row r="205" spans="1:9" ht="15.75" thickBot="1" x14ac:dyDescent="0.3">
      <c r="A205" s="42" t="s">
        <v>3008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3009</v>
      </c>
      <c r="B206" s="12">
        <f>SUM(G205:H205)/SUM(G203:H203)</f>
        <v>-0.26013513513513514</v>
      </c>
    </row>
    <row r="207" spans="1:9" ht="15.75" thickBot="1" x14ac:dyDescent="0.3">
      <c r="A207" t="s">
        <v>3010</v>
      </c>
      <c r="B207" s="12">
        <f>I205/I203</f>
        <v>-0.29850746268656714</v>
      </c>
    </row>
    <row r="209" spans="1:9" x14ac:dyDescent="0.25">
      <c r="A209" s="220" t="s">
        <v>3016</v>
      </c>
      <c r="B209" s="459" t="s">
        <v>2998</v>
      </c>
      <c r="C209" s="459"/>
      <c r="D209" s="459"/>
      <c r="E209" s="459"/>
      <c r="F209" s="459"/>
      <c r="G209" s="459"/>
      <c r="H209" s="459"/>
      <c r="I209" s="459"/>
    </row>
    <row r="210" spans="1:9" x14ac:dyDescent="0.25">
      <c r="A210" s="42" t="s">
        <v>2999</v>
      </c>
      <c r="B210" s="42" t="s">
        <v>3000</v>
      </c>
      <c r="C210" s="42" t="s">
        <v>3001</v>
      </c>
      <c r="D210" s="42" t="s">
        <v>3002</v>
      </c>
      <c r="E210" s="42" t="s">
        <v>2346</v>
      </c>
      <c r="F210" s="42" t="s">
        <v>86</v>
      </c>
      <c r="G210" s="42" t="s">
        <v>3003</v>
      </c>
      <c r="H210" s="42" t="s">
        <v>3004</v>
      </c>
      <c r="I210" s="42" t="s">
        <v>3005</v>
      </c>
    </row>
    <row r="211" spans="1:9" x14ac:dyDescent="0.25">
      <c r="A211" s="42" t="s">
        <v>3006</v>
      </c>
      <c r="B211">
        <v>0</v>
      </c>
      <c r="C211">
        <v>17</v>
      </c>
      <c r="D211">
        <v>18</v>
      </c>
      <c r="E211">
        <v>22</v>
      </c>
      <c r="F211">
        <v>12</v>
      </c>
      <c r="G211">
        <v>73</v>
      </c>
      <c r="H211">
        <v>21</v>
      </c>
      <c r="I211">
        <v>21</v>
      </c>
    </row>
    <row r="212" spans="1:9" x14ac:dyDescent="0.25">
      <c r="A212" s="42" t="s">
        <v>3007</v>
      </c>
      <c r="B212">
        <v>0</v>
      </c>
      <c r="C212">
        <v>15</v>
      </c>
      <c r="D212">
        <v>22</v>
      </c>
      <c r="E212">
        <v>39</v>
      </c>
      <c r="F212">
        <v>23</v>
      </c>
      <c r="G212">
        <v>51</v>
      </c>
      <c r="H212">
        <v>17</v>
      </c>
      <c r="I212">
        <v>19</v>
      </c>
    </row>
    <row r="213" spans="1:9" ht="15.75" thickBot="1" x14ac:dyDescent="0.3">
      <c r="A213" s="42" t="s">
        <v>3008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3009</v>
      </c>
      <c r="B214" s="12">
        <f>SUM(G213:H213)/SUM(G211:H211)</f>
        <v>-0.27659574468085107</v>
      </c>
    </row>
    <row r="215" spans="1:9" ht="15.75" thickBot="1" x14ac:dyDescent="0.3">
      <c r="A215" t="s">
        <v>3010</v>
      </c>
      <c r="B215" s="12">
        <f>I213/I211</f>
        <v>-9.5238095238095233E-2</v>
      </c>
    </row>
    <row r="217" spans="1:9" x14ac:dyDescent="0.25">
      <c r="A217" s="220" t="s">
        <v>3017</v>
      </c>
      <c r="B217" s="459" t="s">
        <v>2998</v>
      </c>
      <c r="C217" s="459"/>
      <c r="D217" s="459"/>
      <c r="E217" s="459"/>
    </row>
    <row r="218" spans="1:9" x14ac:dyDescent="0.25">
      <c r="A218" s="42" t="s">
        <v>2999</v>
      </c>
      <c r="B218" s="42" t="s">
        <v>3011</v>
      </c>
      <c r="C218" s="42" t="s">
        <v>3012</v>
      </c>
      <c r="D218" s="42" t="s">
        <v>3013</v>
      </c>
      <c r="E218" s="42" t="s">
        <v>86</v>
      </c>
    </row>
    <row r="219" spans="1:9" x14ac:dyDescent="0.25">
      <c r="A219" s="42" t="s">
        <v>3006</v>
      </c>
      <c r="B219">
        <v>112</v>
      </c>
      <c r="C219">
        <v>16</v>
      </c>
      <c r="D219">
        <v>9</v>
      </c>
      <c r="E219">
        <v>134</v>
      </c>
    </row>
    <row r="220" spans="1:9" x14ac:dyDescent="0.25">
      <c r="A220" s="42" t="s">
        <v>3007</v>
      </c>
      <c r="B220">
        <v>87</v>
      </c>
      <c r="C220">
        <v>17</v>
      </c>
      <c r="D220">
        <v>9</v>
      </c>
      <c r="E220">
        <v>151</v>
      </c>
    </row>
    <row r="221" spans="1:9" ht="15.75" thickBot="1" x14ac:dyDescent="0.3">
      <c r="A221" s="42" t="s">
        <v>3008</v>
      </c>
      <c r="B221">
        <f>B220-B219</f>
        <v>-25</v>
      </c>
      <c r="C221">
        <f t="shared" ref="C221:E221" si="9">C220-C219</f>
        <v>1</v>
      </c>
      <c r="D221">
        <f t="shared" si="9"/>
        <v>0</v>
      </c>
      <c r="E221">
        <f t="shared" si="9"/>
        <v>17</v>
      </c>
    </row>
    <row r="222" spans="1:9" ht="15.75" thickBot="1" x14ac:dyDescent="0.3">
      <c r="A222" t="s">
        <v>3014</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ignoredErrors>
    <ignoredError sqref="B206"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2024-02-21T21:11:37Z</dcterms:modified>
</cp:coreProperties>
</file>