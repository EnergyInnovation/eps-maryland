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State Models\eps-maryland\InputData\trans\BESP\"/>
    </mc:Choice>
  </mc:AlternateContent>
  <xr:revisionPtr revIDLastSave="0" documentId="13_ncr:1_{8F06C96E-F650-40AA-AB4E-417D6B5DAC99}" xr6:coauthVersionLast="47" xr6:coauthVersionMax="47" xr10:uidLastSave="{00000000-0000-0000-0000-000000000000}"/>
  <bookViews>
    <workbookView xWindow="61320" yWindow="1935" windowWidth="23100" windowHeight="13305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1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2" l="1"/>
  <c r="J25" i="2" s="1"/>
  <c r="J24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I35" i="2" l="1"/>
  <c r="I33" i="2"/>
  <c r="M2" i="6" s="1"/>
  <c r="J33" i="2"/>
  <c r="N2" i="6" s="1"/>
  <c r="K33" i="2"/>
  <c r="L33" i="2"/>
  <c r="M33" i="2"/>
  <c r="Q2" i="6" s="1"/>
  <c r="N33" i="2"/>
  <c r="O33" i="2"/>
  <c r="P33" i="2"/>
  <c r="T2" i="6" s="1"/>
  <c r="Q33" i="2"/>
  <c r="U2" i="6" s="1"/>
  <c r="R33" i="2"/>
  <c r="V2" i="6" s="1"/>
  <c r="S33" i="2"/>
  <c r="T33" i="2"/>
  <c r="U33" i="2"/>
  <c r="Y2" i="6" s="1"/>
  <c r="V33" i="2"/>
  <c r="W33" i="2"/>
  <c r="X33" i="2"/>
  <c r="AB2" i="6" s="1"/>
  <c r="Y33" i="2"/>
  <c r="AC2" i="6" s="1"/>
  <c r="Z33" i="2"/>
  <c r="AD2" i="6" s="1"/>
  <c r="AA33" i="2"/>
  <c r="O2" i="6"/>
  <c r="P2" i="6"/>
  <c r="R2" i="6"/>
  <c r="S2" i="6"/>
  <c r="W2" i="6"/>
  <c r="X2" i="6"/>
  <c r="Z2" i="6"/>
  <c r="AA2" i="6"/>
  <c r="AE2" i="6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C11" i="3" s="1"/>
  <c r="D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D40" i="2"/>
  <c r="E40" i="2" s="1"/>
  <c r="F40" i="2" s="1"/>
  <c r="G40" i="2" s="1"/>
  <c r="H40" i="2" s="1"/>
  <c r="I40" i="2" s="1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D22" i="2"/>
  <c r="E22" i="2" s="1"/>
  <c r="F22" i="2" s="1"/>
  <c r="G22" i="2" s="1"/>
  <c r="H22" i="2" s="1"/>
  <c r="I22" i="2" s="1"/>
  <c r="C19" i="2"/>
  <c r="B2" i="1"/>
  <c r="C21" i="2" s="1"/>
  <c r="G23" i="2" s="1"/>
  <c r="F33" i="2" l="1"/>
  <c r="J2" i="6" s="1"/>
  <c r="G25" i="2"/>
  <c r="F23" i="2"/>
  <c r="I23" i="2"/>
  <c r="C23" i="2"/>
  <c r="C25" i="2" s="1"/>
  <c r="H23" i="2"/>
  <c r="C10" i="3"/>
  <c r="C7" i="3"/>
  <c r="D7" i="3" s="1"/>
  <c r="C9" i="3"/>
  <c r="D9" i="3" s="1"/>
  <c r="C79" i="3" s="1"/>
  <c r="C15" i="3"/>
  <c r="D15" i="3" s="1"/>
  <c r="C85" i="3" s="1"/>
  <c r="C4" i="3"/>
  <c r="D4" i="3" s="1"/>
  <c r="C74" i="3" s="1"/>
  <c r="C18" i="3"/>
  <c r="D18" i="3" s="1"/>
  <c r="C88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4" i="2"/>
  <c r="E35" i="2" s="1"/>
  <c r="I3" i="6" s="1"/>
  <c r="E23" i="2"/>
  <c r="E25" i="2" s="1"/>
  <c r="E24" i="2"/>
  <c r="D35" i="2" s="1"/>
  <c r="H3" i="6" s="1"/>
  <c r="D23" i="2"/>
  <c r="D25" i="2" s="1"/>
  <c r="D24" i="2"/>
  <c r="C35" i="2" s="1"/>
  <c r="G3" i="6" s="1"/>
  <c r="C24" i="2"/>
  <c r="B35" i="2" s="1"/>
  <c r="F3" i="6" s="1"/>
  <c r="I24" i="2"/>
  <c r="H35" i="2" s="1"/>
  <c r="L3" i="6" s="1"/>
  <c r="H24" i="2"/>
  <c r="G35" i="2" s="1"/>
  <c r="K3" i="6" s="1"/>
  <c r="E4" i="3"/>
  <c r="C77" i="3"/>
  <c r="E7" i="3"/>
  <c r="C81" i="3"/>
  <c r="E11" i="3"/>
  <c r="E15" i="3"/>
  <c r="E5" i="3"/>
  <c r="E13" i="3"/>
  <c r="G33" i="2" l="1"/>
  <c r="K2" i="6" s="1"/>
  <c r="H25" i="2"/>
  <c r="H33" i="2"/>
  <c r="L2" i="6" s="1"/>
  <c r="I25" i="2"/>
  <c r="E33" i="2"/>
  <c r="I2" i="6" s="1"/>
  <c r="F25" i="2"/>
  <c r="D19" i="3"/>
  <c r="C89" i="3" s="1"/>
  <c r="E9" i="3"/>
  <c r="E8" i="3"/>
  <c r="F8" i="3" s="1"/>
  <c r="E12" i="3"/>
  <c r="E18" i="3"/>
  <c r="D88" i="3" s="1"/>
  <c r="E16" i="3"/>
  <c r="F16" i="3" s="1"/>
  <c r="E10" i="3"/>
  <c r="F10" i="3" s="1"/>
  <c r="C76" i="3"/>
  <c r="C84" i="3"/>
  <c r="E17" i="3"/>
  <c r="F17" i="3" s="1"/>
  <c r="D81" i="3"/>
  <c r="F11" i="3"/>
  <c r="D78" i="3"/>
  <c r="D82" i="3"/>
  <c r="F12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E19" i="3" l="1"/>
  <c r="D89" i="3" s="1"/>
  <c r="F18" i="3"/>
  <c r="G18" i="3" s="1"/>
  <c r="D86" i="3"/>
  <c r="D80" i="3"/>
  <c r="D87" i="3"/>
  <c r="C92" i="3"/>
  <c r="A3" i="2" s="1"/>
  <c r="A33" i="2" s="1"/>
  <c r="E2" i="6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77" i="3"/>
  <c r="G7" i="3"/>
  <c r="E81" i="3"/>
  <c r="G11" i="3"/>
  <c r="E84" i="3"/>
  <c r="G14" i="3"/>
  <c r="E75" i="3"/>
  <c r="G5" i="3"/>
  <c r="E74" i="3"/>
  <c r="G4" i="3"/>
  <c r="F19" i="3"/>
  <c r="E79" i="3"/>
  <c r="G9" i="3"/>
  <c r="E85" i="3"/>
  <c r="G15" i="3"/>
  <c r="E86" i="3"/>
  <c r="G16" i="3"/>
  <c r="E88" i="3" l="1"/>
  <c r="D2" i="6"/>
  <c r="C2" i="6" s="1"/>
  <c r="B2" i="6" s="1"/>
  <c r="D92" i="3"/>
  <c r="B3" i="2" s="1"/>
  <c r="B33" i="2" s="1"/>
  <c r="F2" i="6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92" i="3" l="1"/>
  <c r="C3" i="2" s="1"/>
  <c r="C33" i="2" s="1"/>
  <c r="G2" i="6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2" i="6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H80" i="3" l="1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L88" i="3"/>
  <c r="N18" i="3"/>
  <c r="L85" i="3"/>
  <c r="N15" i="3"/>
  <c r="L78" i="3"/>
  <c r="N8" i="3"/>
  <c r="K92" i="3" l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P92" i="3" l="1"/>
  <c r="R84" i="3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T3" i="3"/>
  <c r="S87" i="3"/>
  <c r="U17" i="3"/>
  <c r="Q92" i="3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U92" i="3" l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Z3" i="3"/>
  <c r="Y77" i="3"/>
  <c r="AA7" i="3"/>
  <c r="Y82" i="3"/>
  <c r="AA12" i="3"/>
  <c r="Y84" i="3"/>
  <c r="AA14" i="3"/>
  <c r="W92" i="3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3" i="2" s="1"/>
  <c r="AF2" i="6" s="1"/>
  <c r="AG84" i="3" l="1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3" i="2" s="1"/>
  <c r="AG2" i="6" s="1"/>
  <c r="AF92" i="3" l="1"/>
  <c r="AD33" i="2" s="1"/>
  <c r="AH2" i="6" s="1"/>
  <c r="AG89" i="3"/>
  <c r="AI19" i="3"/>
  <c r="AH89" i="3" s="1"/>
  <c r="AG73" i="3"/>
  <c r="AI3" i="3"/>
  <c r="AH73" i="3" s="1"/>
  <c r="AH92" i="3" s="1"/>
  <c r="AF33" i="2" s="1"/>
  <c r="AJ2" i="6" s="1"/>
  <c r="AG92" i="3" l="1"/>
  <c r="AE33" i="2" s="1"/>
  <c r="AI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<sst xmlns="http://schemas.openxmlformats.org/spreadsheetml/2006/main" count="556" uniqueCount="285">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</sst>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  <numFmt numFmtId="167" formatCode="0.000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1"/>
    <xf numFmtId="0" fontId="1" fillId="0" borderId="1"/>
  </cellStyleXfs>
  <cellXfs count="56"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167" fontId="6" fillId="2" borderId="1" xfId="0" applyNumberFormat="1" applyFont="1" applyFill="1"/>
    <xf numFmtId="167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2">
    <cellStyle name="Normal" xfId="0" builtinId="0"/>
    <cellStyle name="Normal 6" xfId="1" xr:uid="{4B3EBD47-761B-4AFA-833C-3C8E79092ADC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el O'Brien" refreshedDate="44993.366300347225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11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11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27" workbookViewId="0">
      <selection activeCell="B40" sqref="B40"/>
    </sheetView>
  </sheetViews>
  <sheetFormatPr defaultColWidth="12.6640625" defaultRowHeight="15" customHeight="1" x14ac:dyDescent="0.3"/>
  <cols>
    <col min="1" max="1" width="7.6640625" customWidth="1"/>
    <col min="2" max="2" width="62" customWidth="1"/>
    <col min="3" max="26" width="7.6640625" customWidth="1"/>
  </cols>
  <sheetData>
    <row r="1" spans="1:7" ht="14.5" x14ac:dyDescent="0.35">
      <c r="A1" s="1" t="s">
        <v>0</v>
      </c>
      <c r="B1" s="2" t="s">
        <v>55</v>
      </c>
      <c r="C1" s="41">
        <v>44819</v>
      </c>
      <c r="F1" s="3" t="s">
        <v>2</v>
      </c>
      <c r="G1" s="3" t="s">
        <v>2</v>
      </c>
    </row>
    <row r="2" spans="1:7" ht="14.5" x14ac:dyDescent="0.35">
      <c r="B2" s="4" t="str">
        <f>LOOKUP(B1,F2:G51,G2:G51)</f>
        <v>MD</v>
      </c>
      <c r="F2" s="5" t="s">
        <v>3</v>
      </c>
      <c r="G2" s="5" t="s">
        <v>4</v>
      </c>
    </row>
    <row r="3" spans="1:7" ht="14.5" x14ac:dyDescent="0.35">
      <c r="A3" s="1" t="s">
        <v>5</v>
      </c>
      <c r="B3" s="6" t="s">
        <v>6</v>
      </c>
      <c r="F3" s="5" t="s">
        <v>7</v>
      </c>
      <c r="G3" s="5" t="s">
        <v>8</v>
      </c>
    </row>
    <row r="4" spans="1:7" ht="14.5" x14ac:dyDescent="0.35">
      <c r="B4" s="4" t="s">
        <v>9</v>
      </c>
      <c r="F4" s="5" t="s">
        <v>10</v>
      </c>
      <c r="G4" s="5" t="s">
        <v>11</v>
      </c>
    </row>
    <row r="5" spans="1:7" ht="14.5" x14ac:dyDescent="0.35">
      <c r="B5" s="4">
        <v>2019</v>
      </c>
      <c r="F5" s="5" t="s">
        <v>12</v>
      </c>
      <c r="G5" s="5" t="s">
        <v>13</v>
      </c>
    </row>
    <row r="6" spans="1:7" ht="14.5" x14ac:dyDescent="0.35">
      <c r="B6" s="4" t="s">
        <v>14</v>
      </c>
      <c r="F6" s="5" t="s">
        <v>15</v>
      </c>
      <c r="G6" s="5" t="s">
        <v>16</v>
      </c>
    </row>
    <row r="7" spans="1:7" ht="14.5" x14ac:dyDescent="0.35">
      <c r="B7" s="7" t="s">
        <v>17</v>
      </c>
      <c r="F7" s="5" t="s">
        <v>18</v>
      </c>
      <c r="G7" s="5" t="s">
        <v>19</v>
      </c>
    </row>
    <row r="8" spans="1:7" ht="14.5" x14ac:dyDescent="0.35">
      <c r="B8" s="4"/>
      <c r="F8" s="5" t="s">
        <v>20</v>
      </c>
      <c r="G8" s="5" t="s">
        <v>21</v>
      </c>
    </row>
    <row r="9" spans="1:7" ht="14.5" x14ac:dyDescent="0.35">
      <c r="B9" s="6" t="s">
        <v>22</v>
      </c>
      <c r="F9" s="5" t="s">
        <v>23</v>
      </c>
      <c r="G9" s="5" t="s">
        <v>24</v>
      </c>
    </row>
    <row r="10" spans="1:7" ht="14.5" x14ac:dyDescent="0.35">
      <c r="B10" s="4" t="s">
        <v>25</v>
      </c>
      <c r="F10" s="5" t="s">
        <v>26</v>
      </c>
      <c r="G10" s="5" t="s">
        <v>27</v>
      </c>
    </row>
    <row r="11" spans="1:7" ht="14.5" x14ac:dyDescent="0.35">
      <c r="B11" s="4">
        <v>2019</v>
      </c>
      <c r="F11" s="5" t="s">
        <v>28</v>
      </c>
      <c r="G11" s="5" t="s">
        <v>29</v>
      </c>
    </row>
    <row r="12" spans="1:7" ht="14.5" x14ac:dyDescent="0.35">
      <c r="B12" s="4" t="s">
        <v>30</v>
      </c>
      <c r="F12" s="5" t="s">
        <v>31</v>
      </c>
      <c r="G12" s="5" t="s">
        <v>32</v>
      </c>
    </row>
    <row r="13" spans="1:7" ht="14.5" x14ac:dyDescent="0.35">
      <c r="B13" s="7" t="s">
        <v>33</v>
      </c>
      <c r="F13" s="5" t="s">
        <v>34</v>
      </c>
      <c r="G13" s="5" t="s">
        <v>35</v>
      </c>
    </row>
    <row r="14" spans="1:7" ht="14.5" x14ac:dyDescent="0.35">
      <c r="B14" s="4"/>
      <c r="F14" s="5" t="s">
        <v>36</v>
      </c>
      <c r="G14" s="5" t="s">
        <v>37</v>
      </c>
    </row>
    <row r="15" spans="1:7" ht="14.5" x14ac:dyDescent="0.35">
      <c r="B15" s="6" t="s">
        <v>38</v>
      </c>
      <c r="F15" s="5" t="s">
        <v>39</v>
      </c>
      <c r="G15" s="5" t="s">
        <v>40</v>
      </c>
    </row>
    <row r="16" spans="1:7" ht="14.5" x14ac:dyDescent="0.35">
      <c r="B16" s="4" t="s">
        <v>41</v>
      </c>
      <c r="F16" s="5" t="s">
        <v>42</v>
      </c>
      <c r="G16" s="5" t="s">
        <v>43</v>
      </c>
    </row>
    <row r="17" spans="2:7" ht="14.5" x14ac:dyDescent="0.35">
      <c r="B17" s="4">
        <v>2019</v>
      </c>
      <c r="F17" s="5" t="s">
        <v>44</v>
      </c>
      <c r="G17" s="5" t="s">
        <v>45</v>
      </c>
    </row>
    <row r="18" spans="2:7" ht="14.5" x14ac:dyDescent="0.35">
      <c r="B18" s="8" t="s">
        <v>46</v>
      </c>
      <c r="F18" s="5" t="s">
        <v>47</v>
      </c>
      <c r="G18" s="5" t="s">
        <v>48</v>
      </c>
    </row>
    <row r="19" spans="2:7" ht="14.5" x14ac:dyDescent="0.35">
      <c r="B19" s="7" t="s">
        <v>49</v>
      </c>
      <c r="F19" s="5" t="s">
        <v>50</v>
      </c>
      <c r="G19" s="5" t="s">
        <v>51</v>
      </c>
    </row>
    <row r="20" spans="2:7" ht="14.5" x14ac:dyDescent="0.35">
      <c r="B20" s="9"/>
      <c r="F20" s="5" t="s">
        <v>52</v>
      </c>
      <c r="G20" s="5" t="s">
        <v>53</v>
      </c>
    </row>
    <row r="21" spans="2:7" ht="15.75" customHeight="1" x14ac:dyDescent="0.35">
      <c r="B21" s="6" t="s">
        <v>54</v>
      </c>
      <c r="F21" s="5" t="s">
        <v>55</v>
      </c>
      <c r="G21" s="5" t="s">
        <v>56</v>
      </c>
    </row>
    <row r="22" spans="2:7" ht="15.75" customHeight="1" x14ac:dyDescent="0.35">
      <c r="B22" s="4" t="s">
        <v>57</v>
      </c>
      <c r="F22" s="5" t="s">
        <v>58</v>
      </c>
      <c r="G22" s="5" t="s">
        <v>59</v>
      </c>
    </row>
    <row r="23" spans="2:7" ht="15.75" customHeight="1" x14ac:dyDescent="0.35">
      <c r="B23" s="4">
        <v>2017</v>
      </c>
      <c r="F23" s="5" t="s">
        <v>60</v>
      </c>
      <c r="G23" s="5" t="s">
        <v>61</v>
      </c>
    </row>
    <row r="24" spans="2:7" ht="15.75" customHeight="1" x14ac:dyDescent="0.35">
      <c r="B24" s="4" t="s">
        <v>62</v>
      </c>
      <c r="F24" s="5" t="s">
        <v>1</v>
      </c>
      <c r="G24" s="5" t="s">
        <v>63</v>
      </c>
    </row>
    <row r="25" spans="2:7" ht="15.75" customHeight="1" x14ac:dyDescent="0.35">
      <c r="B25" s="4" t="s">
        <v>64</v>
      </c>
      <c r="F25" s="5" t="s">
        <v>65</v>
      </c>
      <c r="G25" s="5" t="s">
        <v>66</v>
      </c>
    </row>
    <row r="26" spans="2:7" ht="15.75" customHeight="1" x14ac:dyDescent="0.35">
      <c r="B26" s="4"/>
      <c r="F26" s="5" t="s">
        <v>67</v>
      </c>
      <c r="G26" s="5" t="s">
        <v>68</v>
      </c>
    </row>
    <row r="27" spans="2:7" ht="15.75" customHeight="1" x14ac:dyDescent="0.35">
      <c r="B27" s="6" t="s">
        <v>69</v>
      </c>
      <c r="F27" s="5" t="s">
        <v>70</v>
      </c>
      <c r="G27" s="5" t="s">
        <v>71</v>
      </c>
    </row>
    <row r="28" spans="2:7" ht="15.75" customHeight="1" x14ac:dyDescent="0.35">
      <c r="B28" s="4" t="s">
        <v>72</v>
      </c>
      <c r="F28" s="5" t="s">
        <v>73</v>
      </c>
      <c r="G28" s="5" t="s">
        <v>74</v>
      </c>
    </row>
    <row r="29" spans="2:7" ht="15.75" customHeight="1" x14ac:dyDescent="0.35">
      <c r="B29" s="4">
        <v>2017</v>
      </c>
      <c r="F29" s="5" t="s">
        <v>75</v>
      </c>
      <c r="G29" s="5" t="s">
        <v>76</v>
      </c>
    </row>
    <row r="30" spans="2:7" ht="15.75" customHeight="1" x14ac:dyDescent="0.35">
      <c r="B30" s="4" t="s">
        <v>77</v>
      </c>
      <c r="F30" s="5" t="s">
        <v>78</v>
      </c>
      <c r="G30" s="5" t="s">
        <v>79</v>
      </c>
    </row>
    <row r="31" spans="2:7" ht="15.75" customHeight="1" x14ac:dyDescent="0.35">
      <c r="B31" s="4" t="s">
        <v>80</v>
      </c>
      <c r="F31" s="5" t="s">
        <v>81</v>
      </c>
      <c r="G31" s="5" t="s">
        <v>82</v>
      </c>
    </row>
    <row r="32" spans="2:7" ht="15.75" customHeight="1" x14ac:dyDescent="0.35">
      <c r="B32" s="4"/>
      <c r="F32" s="5" t="s">
        <v>83</v>
      </c>
      <c r="G32" s="5" t="s">
        <v>84</v>
      </c>
    </row>
    <row r="33" spans="1:7" ht="15.75" customHeight="1" x14ac:dyDescent="0.35">
      <c r="A33" s="1" t="s">
        <v>85</v>
      </c>
      <c r="B33" s="4"/>
      <c r="F33" s="5" t="s">
        <v>86</v>
      </c>
      <c r="G33" s="5" t="s">
        <v>87</v>
      </c>
    </row>
    <row r="34" spans="1:7" ht="15.75" customHeight="1" x14ac:dyDescent="0.35">
      <c r="A34" s="10" t="s">
        <v>88</v>
      </c>
      <c r="B34" s="4"/>
      <c r="F34" s="5" t="s">
        <v>89</v>
      </c>
      <c r="G34" s="5" t="s">
        <v>90</v>
      </c>
    </row>
    <row r="35" spans="1:7" ht="15.75" customHeight="1" x14ac:dyDescent="0.35">
      <c r="A35" s="8" t="s">
        <v>91</v>
      </c>
      <c r="B35" s="4"/>
      <c r="F35" s="5" t="s">
        <v>92</v>
      </c>
      <c r="G35" s="5" t="s">
        <v>93</v>
      </c>
    </row>
    <row r="36" spans="1:7" ht="15.75" customHeight="1" x14ac:dyDescent="0.35">
      <c r="A36" s="8" t="s">
        <v>94</v>
      </c>
      <c r="B36" s="4"/>
      <c r="F36" s="5" t="s">
        <v>95</v>
      </c>
      <c r="G36" s="5" t="s">
        <v>96</v>
      </c>
    </row>
    <row r="37" spans="1:7" ht="15.75" customHeight="1" x14ac:dyDescent="0.35">
      <c r="B37" s="4"/>
      <c r="F37" s="5" t="s">
        <v>97</v>
      </c>
      <c r="G37" s="5" t="s">
        <v>98</v>
      </c>
    </row>
    <row r="38" spans="1:7" ht="15.75" customHeight="1" x14ac:dyDescent="0.35">
      <c r="A38" s="8" t="s">
        <v>99</v>
      </c>
      <c r="B38" s="4"/>
      <c r="F38" s="5" t="s">
        <v>100</v>
      </c>
      <c r="G38" s="5" t="s">
        <v>101</v>
      </c>
    </row>
    <row r="39" spans="1:7" ht="15.75" customHeight="1" x14ac:dyDescent="0.35">
      <c r="B39" s="4"/>
      <c r="F39" s="5" t="s">
        <v>102</v>
      </c>
      <c r="G39" s="5" t="s">
        <v>103</v>
      </c>
    </row>
    <row r="40" spans="1:7" ht="15.75" customHeight="1" x14ac:dyDescent="0.35">
      <c r="A40" s="43" t="s">
        <v>282</v>
      </c>
      <c r="B40" s="4"/>
      <c r="F40" s="5" t="s">
        <v>104</v>
      </c>
      <c r="G40" s="5" t="s">
        <v>105</v>
      </c>
    </row>
    <row r="41" spans="1:7" ht="15.75" customHeight="1" x14ac:dyDescent="0.35">
      <c r="A41" s="40" t="s">
        <v>283</v>
      </c>
      <c r="B41" s="4"/>
      <c r="F41" s="5" t="s">
        <v>106</v>
      </c>
      <c r="G41" s="5" t="s">
        <v>107</v>
      </c>
    </row>
    <row r="42" spans="1:7" ht="15.75" customHeight="1" x14ac:dyDescent="0.35">
      <c r="B42" s="4"/>
      <c r="F42" s="5" t="s">
        <v>108</v>
      </c>
      <c r="G42" s="5" t="s">
        <v>109</v>
      </c>
    </row>
    <row r="43" spans="1:7" ht="15.75" customHeight="1" x14ac:dyDescent="0.35">
      <c r="B43" s="4"/>
      <c r="F43" s="5" t="s">
        <v>110</v>
      </c>
      <c r="G43" s="5" t="s">
        <v>111</v>
      </c>
    </row>
    <row r="44" spans="1:7" ht="15.75" customHeight="1" x14ac:dyDescent="0.35">
      <c r="B44" s="4"/>
      <c r="F44" s="5" t="s">
        <v>112</v>
      </c>
      <c r="G44" s="5" t="s">
        <v>113</v>
      </c>
    </row>
    <row r="45" spans="1:7" ht="15.75" customHeight="1" x14ac:dyDescent="0.35">
      <c r="B45" s="4"/>
      <c r="F45" s="5" t="s">
        <v>114</v>
      </c>
      <c r="G45" s="5" t="s">
        <v>115</v>
      </c>
    </row>
    <row r="46" spans="1:7" ht="15.75" customHeight="1" x14ac:dyDescent="0.35">
      <c r="A46" s="44">
        <v>0.88711067149387013</v>
      </c>
      <c r="B46" s="4" t="s">
        <v>284</v>
      </c>
      <c r="F46" s="5" t="s">
        <v>116</v>
      </c>
      <c r="G46" s="5" t="s">
        <v>117</v>
      </c>
    </row>
    <row r="47" spans="1:7" ht="15.75" customHeight="1" x14ac:dyDescent="0.35">
      <c r="B47" s="4"/>
      <c r="F47" s="5" t="s">
        <v>118</v>
      </c>
      <c r="G47" s="5" t="s">
        <v>119</v>
      </c>
    </row>
    <row r="48" spans="1:7" ht="15.75" customHeight="1" x14ac:dyDescent="0.35">
      <c r="B48" s="4"/>
      <c r="F48" s="5" t="s">
        <v>120</v>
      </c>
      <c r="G48" s="5" t="s">
        <v>121</v>
      </c>
    </row>
    <row r="49" spans="2:7" ht="15.75" customHeight="1" x14ac:dyDescent="0.35">
      <c r="B49" s="4"/>
      <c r="F49" s="5" t="s">
        <v>122</v>
      </c>
      <c r="G49" s="5" t="s">
        <v>123</v>
      </c>
    </row>
    <row r="50" spans="2:7" ht="15.75" customHeight="1" x14ac:dyDescent="0.35">
      <c r="B50" s="4"/>
      <c r="F50" s="5" t="s">
        <v>124</v>
      </c>
      <c r="G50" s="5" t="s">
        <v>125</v>
      </c>
    </row>
    <row r="51" spans="2:7" ht="15.75" customHeight="1" x14ac:dyDescent="0.35">
      <c r="B51" s="4"/>
      <c r="F51" s="5" t="s">
        <v>126</v>
      </c>
      <c r="G51" s="5" t="s">
        <v>127</v>
      </c>
    </row>
    <row r="52" spans="2:7" ht="15.75" customHeight="1" x14ac:dyDescent="0.35">
      <c r="B52" s="4"/>
    </row>
    <row r="53" spans="2:7" ht="15.75" customHeight="1" x14ac:dyDescent="0.35">
      <c r="B53" s="4"/>
    </row>
    <row r="54" spans="2:7" ht="15.75" customHeight="1" x14ac:dyDescent="0.35">
      <c r="B54" s="4"/>
    </row>
    <row r="55" spans="2:7" ht="15.75" customHeight="1" x14ac:dyDescent="0.35">
      <c r="B55" s="4"/>
    </row>
    <row r="56" spans="2:7" ht="15.75" customHeight="1" x14ac:dyDescent="0.35">
      <c r="B56" s="4"/>
    </row>
    <row r="57" spans="2:7" ht="15.75" customHeight="1" x14ac:dyDescent="0.35">
      <c r="B57" s="4"/>
    </row>
    <row r="58" spans="2:7" ht="15.75" customHeight="1" x14ac:dyDescent="0.35">
      <c r="B58" s="4"/>
    </row>
    <row r="59" spans="2:7" ht="15.75" customHeight="1" x14ac:dyDescent="0.35">
      <c r="B59" s="4"/>
    </row>
    <row r="60" spans="2:7" ht="15.75" customHeight="1" x14ac:dyDescent="0.35">
      <c r="B60" s="4"/>
    </row>
    <row r="61" spans="2:7" ht="15.75" customHeight="1" x14ac:dyDescent="0.35">
      <c r="B61" s="4"/>
    </row>
    <row r="62" spans="2:7" ht="15.75" customHeight="1" x14ac:dyDescent="0.35">
      <c r="B62" s="4"/>
    </row>
    <row r="63" spans="2:7" ht="15.75" customHeight="1" x14ac:dyDescent="0.35">
      <c r="B63" s="4"/>
    </row>
    <row r="64" spans="2:7" ht="15.75" customHeight="1" x14ac:dyDescent="0.35">
      <c r="B64" s="4"/>
    </row>
    <row r="65" spans="2:2" ht="15.75" customHeight="1" x14ac:dyDescent="0.35">
      <c r="B65" s="4"/>
    </row>
    <row r="66" spans="2:2" ht="15.75" customHeight="1" x14ac:dyDescent="0.35">
      <c r="B66" s="4"/>
    </row>
    <row r="67" spans="2:2" ht="15.75" customHeight="1" x14ac:dyDescent="0.35">
      <c r="B67" s="4"/>
    </row>
    <row r="68" spans="2:2" ht="15.75" customHeight="1" x14ac:dyDescent="0.35">
      <c r="B68" s="4"/>
    </row>
    <row r="69" spans="2:2" ht="15.75" customHeight="1" x14ac:dyDescent="0.35">
      <c r="B69" s="4"/>
    </row>
    <row r="70" spans="2:2" ht="15.75" customHeight="1" x14ac:dyDescent="0.35">
      <c r="B70" s="4"/>
    </row>
    <row r="71" spans="2:2" ht="15.75" customHeight="1" x14ac:dyDescent="0.35">
      <c r="B71" s="4"/>
    </row>
    <row r="72" spans="2:2" ht="15.75" customHeight="1" x14ac:dyDescent="0.35">
      <c r="B72" s="4"/>
    </row>
    <row r="73" spans="2:2" ht="15.75" customHeight="1" x14ac:dyDescent="0.35">
      <c r="B73" s="4"/>
    </row>
    <row r="74" spans="2:2" ht="15.75" customHeight="1" x14ac:dyDescent="0.35">
      <c r="B74" s="4"/>
    </row>
    <row r="75" spans="2:2" ht="15.75" customHeight="1" x14ac:dyDescent="0.35">
      <c r="B75" s="4"/>
    </row>
    <row r="76" spans="2:2" ht="15.75" customHeight="1" x14ac:dyDescent="0.35">
      <c r="B76" s="4"/>
    </row>
    <row r="77" spans="2:2" ht="15.75" customHeight="1" x14ac:dyDescent="0.35">
      <c r="B77" s="4"/>
    </row>
    <row r="78" spans="2:2" ht="15.75" customHeight="1" x14ac:dyDescent="0.35">
      <c r="B78" s="4"/>
    </row>
    <row r="79" spans="2:2" ht="15.75" customHeight="1" x14ac:dyDescent="0.35">
      <c r="B79" s="4"/>
    </row>
    <row r="80" spans="2:2" ht="15.75" customHeight="1" x14ac:dyDescent="0.35">
      <c r="B80" s="4"/>
    </row>
    <row r="81" spans="2:2" ht="15.75" customHeight="1" x14ac:dyDescent="0.35">
      <c r="B81" s="4"/>
    </row>
    <row r="82" spans="2:2" ht="15.75" customHeight="1" x14ac:dyDescent="0.35">
      <c r="B82" s="4"/>
    </row>
    <row r="83" spans="2:2" ht="15.75" customHeight="1" x14ac:dyDescent="0.35">
      <c r="B83" s="4"/>
    </row>
    <row r="84" spans="2:2" ht="15.75" customHeight="1" x14ac:dyDescent="0.35">
      <c r="B84" s="4"/>
    </row>
    <row r="85" spans="2:2" ht="15.75" customHeight="1" x14ac:dyDescent="0.35">
      <c r="B85" s="4"/>
    </row>
    <row r="86" spans="2:2" ht="15.75" customHeight="1" x14ac:dyDescent="0.35">
      <c r="B86" s="4"/>
    </row>
    <row r="87" spans="2:2" ht="15.75" customHeight="1" x14ac:dyDescent="0.35">
      <c r="B87" s="4"/>
    </row>
    <row r="88" spans="2:2" ht="15.75" customHeight="1" x14ac:dyDescent="0.35">
      <c r="B88" s="4"/>
    </row>
    <row r="89" spans="2:2" ht="15.75" customHeight="1" x14ac:dyDescent="0.35">
      <c r="B89" s="4"/>
    </row>
    <row r="90" spans="2:2" ht="15.75" customHeight="1" x14ac:dyDescent="0.35">
      <c r="B90" s="4"/>
    </row>
    <row r="91" spans="2:2" ht="15.75" customHeight="1" x14ac:dyDescent="0.35">
      <c r="B91" s="4"/>
    </row>
    <row r="92" spans="2:2" ht="15.75" customHeight="1" x14ac:dyDescent="0.35">
      <c r="B92" s="4"/>
    </row>
    <row r="93" spans="2:2" ht="15.75" customHeight="1" x14ac:dyDescent="0.35">
      <c r="B93" s="4"/>
    </row>
    <row r="94" spans="2:2" ht="15.75" customHeight="1" x14ac:dyDescent="0.35">
      <c r="B94" s="4"/>
    </row>
    <row r="95" spans="2:2" ht="15.75" customHeight="1" x14ac:dyDescent="0.35">
      <c r="B95" s="4"/>
    </row>
    <row r="96" spans="2:2" ht="15.75" customHeight="1" x14ac:dyDescent="0.35">
      <c r="B96" s="4"/>
    </row>
    <row r="97" spans="2:2" ht="15.75" customHeight="1" x14ac:dyDescent="0.35">
      <c r="B97" s="4"/>
    </row>
    <row r="98" spans="2:2" ht="15.75" customHeight="1" x14ac:dyDescent="0.35">
      <c r="B98" s="4"/>
    </row>
    <row r="99" spans="2:2" ht="15.75" customHeight="1" x14ac:dyDescent="0.35">
      <c r="B99" s="4"/>
    </row>
    <row r="100" spans="2:2" ht="15.75" customHeight="1" x14ac:dyDescent="0.35">
      <c r="B100" s="4"/>
    </row>
    <row r="101" spans="2:2" ht="15.75" customHeight="1" x14ac:dyDescent="0.35">
      <c r="B101" s="4"/>
    </row>
    <row r="102" spans="2:2" ht="15.75" customHeight="1" x14ac:dyDescent="0.35">
      <c r="B102" s="4"/>
    </row>
    <row r="103" spans="2:2" ht="15.75" customHeight="1" x14ac:dyDescent="0.35">
      <c r="B103" s="4"/>
    </row>
    <row r="104" spans="2:2" ht="15.75" customHeight="1" x14ac:dyDescent="0.35">
      <c r="B104" s="4"/>
    </row>
    <row r="105" spans="2:2" ht="15.75" customHeight="1" x14ac:dyDescent="0.35">
      <c r="B105" s="4"/>
    </row>
    <row r="106" spans="2:2" ht="15.75" customHeight="1" x14ac:dyDescent="0.35">
      <c r="B106" s="4"/>
    </row>
    <row r="107" spans="2:2" ht="15.75" customHeight="1" x14ac:dyDescent="0.35">
      <c r="B107" s="4"/>
    </row>
    <row r="108" spans="2:2" ht="15.75" customHeight="1" x14ac:dyDescent="0.35">
      <c r="B108" s="4"/>
    </row>
    <row r="109" spans="2:2" ht="15.75" customHeight="1" x14ac:dyDescent="0.35">
      <c r="B109" s="4"/>
    </row>
    <row r="110" spans="2:2" ht="15.75" customHeight="1" x14ac:dyDescent="0.35">
      <c r="B110" s="4"/>
    </row>
    <row r="111" spans="2:2" ht="15.75" customHeight="1" x14ac:dyDescent="0.35">
      <c r="B111" s="4"/>
    </row>
    <row r="112" spans="2:2" ht="15.75" customHeight="1" x14ac:dyDescent="0.35">
      <c r="B112" s="4"/>
    </row>
    <row r="113" spans="2:2" ht="15.75" customHeight="1" x14ac:dyDescent="0.35">
      <c r="B113" s="4"/>
    </row>
    <row r="114" spans="2:2" ht="15.75" customHeight="1" x14ac:dyDescent="0.35">
      <c r="B114" s="4"/>
    </row>
    <row r="115" spans="2:2" ht="15.75" customHeight="1" x14ac:dyDescent="0.35">
      <c r="B115" s="4"/>
    </row>
    <row r="116" spans="2:2" ht="15.75" customHeight="1" x14ac:dyDescent="0.35">
      <c r="B116" s="4"/>
    </row>
    <row r="117" spans="2:2" ht="15.75" customHeight="1" x14ac:dyDescent="0.35">
      <c r="B117" s="4"/>
    </row>
    <row r="118" spans="2:2" ht="15.75" customHeight="1" x14ac:dyDescent="0.35">
      <c r="B118" s="4"/>
    </row>
    <row r="119" spans="2:2" ht="15.75" customHeight="1" x14ac:dyDescent="0.35">
      <c r="B119" s="4"/>
    </row>
    <row r="120" spans="2:2" ht="15.75" customHeight="1" x14ac:dyDescent="0.35">
      <c r="B120" s="4"/>
    </row>
    <row r="121" spans="2:2" ht="15.75" customHeight="1" x14ac:dyDescent="0.35">
      <c r="B121" s="4"/>
    </row>
    <row r="122" spans="2:2" ht="15.75" customHeight="1" x14ac:dyDescent="0.35">
      <c r="B122" s="4"/>
    </row>
    <row r="123" spans="2:2" ht="15.75" customHeight="1" x14ac:dyDescent="0.35">
      <c r="B123" s="4"/>
    </row>
    <row r="124" spans="2:2" ht="15.75" customHeight="1" x14ac:dyDescent="0.35">
      <c r="B124" s="4"/>
    </row>
    <row r="125" spans="2:2" ht="15.75" customHeight="1" x14ac:dyDescent="0.35">
      <c r="B125" s="4"/>
    </row>
    <row r="126" spans="2:2" ht="15.75" customHeight="1" x14ac:dyDescent="0.35">
      <c r="B126" s="4"/>
    </row>
    <row r="127" spans="2:2" ht="15.75" customHeight="1" x14ac:dyDescent="0.35">
      <c r="B127" s="4"/>
    </row>
    <row r="128" spans="2:2" ht="15.75" customHeight="1" x14ac:dyDescent="0.35">
      <c r="B128" s="4"/>
    </row>
    <row r="129" spans="2:2" ht="15.75" customHeight="1" x14ac:dyDescent="0.35">
      <c r="B129" s="4"/>
    </row>
    <row r="130" spans="2:2" ht="15.75" customHeight="1" x14ac:dyDescent="0.35">
      <c r="B130" s="4"/>
    </row>
    <row r="131" spans="2:2" ht="15.75" customHeight="1" x14ac:dyDescent="0.35">
      <c r="B131" s="4"/>
    </row>
    <row r="132" spans="2:2" ht="15.75" customHeight="1" x14ac:dyDescent="0.35">
      <c r="B132" s="4"/>
    </row>
    <row r="133" spans="2:2" ht="15.75" customHeight="1" x14ac:dyDescent="0.35">
      <c r="B133" s="4"/>
    </row>
    <row r="134" spans="2:2" ht="15.75" customHeight="1" x14ac:dyDescent="0.35">
      <c r="B134" s="4"/>
    </row>
    <row r="135" spans="2:2" ht="15.75" customHeight="1" x14ac:dyDescent="0.35">
      <c r="B135" s="4"/>
    </row>
    <row r="136" spans="2:2" ht="15.75" customHeight="1" x14ac:dyDescent="0.35">
      <c r="B136" s="4"/>
    </row>
    <row r="137" spans="2:2" ht="15.75" customHeight="1" x14ac:dyDescent="0.35">
      <c r="B137" s="4"/>
    </row>
    <row r="138" spans="2:2" ht="15.75" customHeight="1" x14ac:dyDescent="0.35">
      <c r="B138" s="4"/>
    </row>
    <row r="139" spans="2:2" ht="15.75" customHeight="1" x14ac:dyDescent="0.35">
      <c r="B139" s="4"/>
    </row>
    <row r="140" spans="2:2" ht="15.75" customHeight="1" x14ac:dyDescent="0.35">
      <c r="B140" s="4"/>
    </row>
    <row r="141" spans="2:2" ht="15.75" customHeight="1" x14ac:dyDescent="0.35">
      <c r="B141" s="4"/>
    </row>
    <row r="142" spans="2:2" ht="15.75" customHeight="1" x14ac:dyDescent="0.35">
      <c r="B142" s="4"/>
    </row>
    <row r="143" spans="2:2" ht="15.75" customHeight="1" x14ac:dyDescent="0.35">
      <c r="B143" s="4"/>
    </row>
    <row r="144" spans="2:2" ht="15.75" customHeight="1" x14ac:dyDescent="0.35">
      <c r="B144" s="4"/>
    </row>
    <row r="145" spans="2:2" ht="15.75" customHeight="1" x14ac:dyDescent="0.35">
      <c r="B145" s="4"/>
    </row>
    <row r="146" spans="2:2" ht="15.75" customHeight="1" x14ac:dyDescent="0.35">
      <c r="B146" s="4"/>
    </row>
    <row r="147" spans="2:2" ht="15.75" customHeight="1" x14ac:dyDescent="0.35">
      <c r="B147" s="4"/>
    </row>
    <row r="148" spans="2:2" ht="15.75" customHeight="1" x14ac:dyDescent="0.35">
      <c r="B148" s="4"/>
    </row>
    <row r="149" spans="2:2" ht="15.75" customHeight="1" x14ac:dyDescent="0.35">
      <c r="B149" s="4"/>
    </row>
    <row r="150" spans="2:2" ht="15.75" customHeight="1" x14ac:dyDescent="0.35">
      <c r="B150" s="4"/>
    </row>
    <row r="151" spans="2:2" ht="15.75" customHeight="1" x14ac:dyDescent="0.35">
      <c r="B151" s="4"/>
    </row>
    <row r="152" spans="2:2" ht="15.75" customHeight="1" x14ac:dyDescent="0.35">
      <c r="B152" s="4"/>
    </row>
    <row r="153" spans="2:2" ht="15.75" customHeight="1" x14ac:dyDescent="0.35">
      <c r="B153" s="4"/>
    </row>
    <row r="154" spans="2:2" ht="15.75" customHeight="1" x14ac:dyDescent="0.35">
      <c r="B154" s="4"/>
    </row>
    <row r="155" spans="2:2" ht="15.75" customHeight="1" x14ac:dyDescent="0.35">
      <c r="B155" s="4"/>
    </row>
    <row r="156" spans="2:2" ht="15.75" customHeight="1" x14ac:dyDescent="0.35">
      <c r="B156" s="4"/>
    </row>
    <row r="157" spans="2:2" ht="15.75" customHeight="1" x14ac:dyDescent="0.35">
      <c r="B157" s="4"/>
    </row>
    <row r="158" spans="2:2" ht="15.75" customHeight="1" x14ac:dyDescent="0.35">
      <c r="B158" s="4"/>
    </row>
    <row r="159" spans="2:2" ht="15.75" customHeight="1" x14ac:dyDescent="0.35">
      <c r="B159" s="4"/>
    </row>
    <row r="160" spans="2:2" ht="15.75" customHeight="1" x14ac:dyDescent="0.35">
      <c r="B160" s="4"/>
    </row>
    <row r="161" spans="2:2" ht="15.75" customHeight="1" x14ac:dyDescent="0.35">
      <c r="B161" s="4"/>
    </row>
    <row r="162" spans="2:2" ht="15.75" customHeight="1" x14ac:dyDescent="0.35">
      <c r="B162" s="4"/>
    </row>
    <row r="163" spans="2:2" ht="15.75" customHeight="1" x14ac:dyDescent="0.35">
      <c r="B163" s="4"/>
    </row>
    <row r="164" spans="2:2" ht="15.75" customHeight="1" x14ac:dyDescent="0.35">
      <c r="B164" s="4"/>
    </row>
    <row r="165" spans="2:2" ht="15.75" customHeight="1" x14ac:dyDescent="0.35">
      <c r="B165" s="4"/>
    </row>
    <row r="166" spans="2:2" ht="15.75" customHeight="1" x14ac:dyDescent="0.35">
      <c r="B166" s="4"/>
    </row>
    <row r="167" spans="2:2" ht="15.75" customHeight="1" x14ac:dyDescent="0.35">
      <c r="B167" s="4"/>
    </row>
    <row r="168" spans="2:2" ht="15.75" customHeight="1" x14ac:dyDescent="0.35">
      <c r="B168" s="4"/>
    </row>
    <row r="169" spans="2:2" ht="15.75" customHeight="1" x14ac:dyDescent="0.35">
      <c r="B169" s="4"/>
    </row>
    <row r="170" spans="2:2" ht="15.75" customHeight="1" x14ac:dyDescent="0.35">
      <c r="B170" s="4"/>
    </row>
    <row r="171" spans="2:2" ht="15.75" customHeight="1" x14ac:dyDescent="0.35">
      <c r="B171" s="4"/>
    </row>
    <row r="172" spans="2:2" ht="15.75" customHeight="1" x14ac:dyDescent="0.35">
      <c r="B172" s="4"/>
    </row>
    <row r="173" spans="2:2" ht="15.75" customHeight="1" x14ac:dyDescent="0.35">
      <c r="B173" s="4"/>
    </row>
    <row r="174" spans="2:2" ht="15.75" customHeight="1" x14ac:dyDescent="0.35">
      <c r="B174" s="4"/>
    </row>
    <row r="175" spans="2:2" ht="15.75" customHeight="1" x14ac:dyDescent="0.35">
      <c r="B175" s="4"/>
    </row>
    <row r="176" spans="2:2" ht="15.75" customHeight="1" x14ac:dyDescent="0.35">
      <c r="B176" s="4"/>
    </row>
    <row r="177" spans="2:2" ht="15.75" customHeight="1" x14ac:dyDescent="0.35">
      <c r="B177" s="4"/>
    </row>
    <row r="178" spans="2:2" ht="15.75" customHeight="1" x14ac:dyDescent="0.35">
      <c r="B178" s="4"/>
    </row>
    <row r="179" spans="2:2" ht="15.75" customHeight="1" x14ac:dyDescent="0.35">
      <c r="B179" s="4"/>
    </row>
    <row r="180" spans="2:2" ht="15.75" customHeight="1" x14ac:dyDescent="0.35">
      <c r="B180" s="4"/>
    </row>
    <row r="181" spans="2:2" ht="15.75" customHeight="1" x14ac:dyDescent="0.35">
      <c r="B181" s="4"/>
    </row>
    <row r="182" spans="2:2" ht="15.75" customHeight="1" x14ac:dyDescent="0.35">
      <c r="B182" s="4"/>
    </row>
    <row r="183" spans="2:2" ht="15.75" customHeight="1" x14ac:dyDescent="0.35">
      <c r="B183" s="4"/>
    </row>
    <row r="184" spans="2:2" ht="15.75" customHeight="1" x14ac:dyDescent="0.35">
      <c r="B184" s="4"/>
    </row>
    <row r="185" spans="2:2" ht="15.75" customHeight="1" x14ac:dyDescent="0.35">
      <c r="B185" s="4"/>
    </row>
    <row r="186" spans="2:2" ht="15.75" customHeight="1" x14ac:dyDescent="0.35">
      <c r="B186" s="4"/>
    </row>
    <row r="187" spans="2:2" ht="15.75" customHeight="1" x14ac:dyDescent="0.35">
      <c r="B187" s="4"/>
    </row>
    <row r="188" spans="2:2" ht="15.75" customHeight="1" x14ac:dyDescent="0.35">
      <c r="B188" s="4"/>
    </row>
    <row r="189" spans="2:2" ht="15.75" customHeight="1" x14ac:dyDescent="0.35">
      <c r="B189" s="4"/>
    </row>
    <row r="190" spans="2:2" ht="15.75" customHeight="1" x14ac:dyDescent="0.35">
      <c r="B190" s="4"/>
    </row>
    <row r="191" spans="2:2" ht="15.75" customHeight="1" x14ac:dyDescent="0.35">
      <c r="B191" s="4"/>
    </row>
    <row r="192" spans="2:2" ht="15.75" customHeight="1" x14ac:dyDescent="0.35">
      <c r="B192" s="4"/>
    </row>
    <row r="193" spans="2:2" ht="15.75" customHeight="1" x14ac:dyDescent="0.35">
      <c r="B193" s="4"/>
    </row>
    <row r="194" spans="2:2" ht="15.75" customHeight="1" x14ac:dyDescent="0.35">
      <c r="B194" s="4"/>
    </row>
    <row r="195" spans="2:2" ht="15.75" customHeight="1" x14ac:dyDescent="0.35">
      <c r="B195" s="4"/>
    </row>
    <row r="196" spans="2:2" ht="15.75" customHeight="1" x14ac:dyDescent="0.35">
      <c r="B196" s="4"/>
    </row>
    <row r="197" spans="2:2" ht="15.75" customHeight="1" x14ac:dyDescent="0.35">
      <c r="B197" s="4"/>
    </row>
    <row r="198" spans="2:2" ht="15.75" customHeight="1" x14ac:dyDescent="0.35">
      <c r="B198" s="4"/>
    </row>
    <row r="199" spans="2:2" ht="15.75" customHeight="1" x14ac:dyDescent="0.35">
      <c r="B199" s="4"/>
    </row>
    <row r="200" spans="2:2" ht="15.75" customHeight="1" x14ac:dyDescent="0.35">
      <c r="B200" s="4"/>
    </row>
    <row r="201" spans="2:2" ht="15.75" customHeight="1" x14ac:dyDescent="0.35">
      <c r="B201" s="4"/>
    </row>
    <row r="202" spans="2:2" ht="15.75" customHeight="1" x14ac:dyDescent="0.35">
      <c r="B202" s="4"/>
    </row>
    <row r="203" spans="2:2" ht="15.75" customHeight="1" x14ac:dyDescent="0.35">
      <c r="B203" s="4"/>
    </row>
    <row r="204" spans="2:2" ht="15.75" customHeight="1" x14ac:dyDescent="0.35">
      <c r="B204" s="4"/>
    </row>
    <row r="205" spans="2:2" ht="15.75" customHeight="1" x14ac:dyDescent="0.35">
      <c r="B205" s="4"/>
    </row>
    <row r="206" spans="2:2" ht="15.75" customHeight="1" x14ac:dyDescent="0.35">
      <c r="B206" s="4"/>
    </row>
    <row r="207" spans="2:2" ht="15.75" customHeight="1" x14ac:dyDescent="0.35">
      <c r="B207" s="4"/>
    </row>
    <row r="208" spans="2:2" ht="15.75" customHeight="1" x14ac:dyDescent="0.35">
      <c r="B208" s="4"/>
    </row>
    <row r="209" spans="2:2" ht="15.75" customHeight="1" x14ac:dyDescent="0.35">
      <c r="B209" s="4"/>
    </row>
    <row r="210" spans="2:2" ht="15.75" customHeight="1" x14ac:dyDescent="0.35">
      <c r="B210" s="4"/>
    </row>
    <row r="211" spans="2:2" ht="15.75" customHeight="1" x14ac:dyDescent="0.35">
      <c r="B211" s="4"/>
    </row>
    <row r="212" spans="2:2" ht="15.75" customHeight="1" x14ac:dyDescent="0.35">
      <c r="B212" s="4"/>
    </row>
    <row r="213" spans="2:2" ht="15.75" customHeight="1" x14ac:dyDescent="0.35">
      <c r="B213" s="4"/>
    </row>
    <row r="214" spans="2:2" ht="15.75" customHeight="1" x14ac:dyDescent="0.35">
      <c r="B214" s="4"/>
    </row>
    <row r="215" spans="2:2" ht="15.75" customHeight="1" x14ac:dyDescent="0.35">
      <c r="B215" s="4"/>
    </row>
    <row r="216" spans="2:2" ht="15.75" customHeight="1" x14ac:dyDescent="0.35">
      <c r="B216" s="4"/>
    </row>
    <row r="217" spans="2:2" ht="15.75" customHeight="1" x14ac:dyDescent="0.35">
      <c r="B217" s="4"/>
    </row>
    <row r="218" spans="2:2" ht="15.75" customHeight="1" x14ac:dyDescent="0.35">
      <c r="B218" s="4"/>
    </row>
    <row r="219" spans="2:2" ht="15.75" customHeight="1" x14ac:dyDescent="0.35">
      <c r="B219" s="4"/>
    </row>
    <row r="220" spans="2:2" ht="15.75" customHeight="1" x14ac:dyDescent="0.35">
      <c r="B220" s="4"/>
    </row>
    <row r="221" spans="2:2" ht="15.75" customHeight="1" x14ac:dyDescent="0.35">
      <c r="B221" s="4"/>
    </row>
    <row r="222" spans="2:2" ht="15.75" customHeight="1" x14ac:dyDescent="0.35">
      <c r="B222" s="4"/>
    </row>
    <row r="223" spans="2:2" ht="15.75" customHeight="1" x14ac:dyDescent="0.35">
      <c r="B223" s="4"/>
    </row>
    <row r="224" spans="2:2" ht="15.75" customHeight="1" x14ac:dyDescent="0.35">
      <c r="B224" s="4"/>
    </row>
    <row r="225" spans="2:2" ht="15.75" customHeight="1" x14ac:dyDescent="0.35">
      <c r="B225" s="4"/>
    </row>
    <row r="226" spans="2:2" ht="15.75" customHeight="1" x14ac:dyDescent="0.35">
      <c r="B226" s="4"/>
    </row>
    <row r="227" spans="2:2" ht="15.75" customHeight="1" x14ac:dyDescent="0.35">
      <c r="B227" s="4"/>
    </row>
    <row r="228" spans="2:2" ht="15.75" customHeight="1" x14ac:dyDescent="0.35">
      <c r="B228" s="4"/>
    </row>
    <row r="229" spans="2:2" ht="15.75" customHeight="1" x14ac:dyDescent="0.35">
      <c r="B229" s="4"/>
    </row>
    <row r="230" spans="2:2" ht="15.75" customHeight="1" x14ac:dyDescent="0.35">
      <c r="B230" s="4"/>
    </row>
    <row r="231" spans="2:2" ht="15.75" customHeight="1" x14ac:dyDescent="0.35">
      <c r="B231" s="4"/>
    </row>
    <row r="232" spans="2:2" ht="15.75" customHeight="1" x14ac:dyDescent="0.35">
      <c r="B232" s="4"/>
    </row>
    <row r="233" spans="2:2" ht="15.75" customHeight="1" x14ac:dyDescent="0.35">
      <c r="B233" s="4"/>
    </row>
    <row r="234" spans="2:2" ht="15.75" customHeight="1" x14ac:dyDescent="0.35">
      <c r="B234" s="4"/>
    </row>
    <row r="235" spans="2:2" ht="15.75" customHeight="1" x14ac:dyDescent="0.35">
      <c r="B235" s="4"/>
    </row>
    <row r="236" spans="2:2" ht="15.75" customHeight="1" x14ac:dyDescent="0.35">
      <c r="B236" s="4"/>
    </row>
    <row r="237" spans="2:2" ht="15.75" customHeight="1" x14ac:dyDescent="0.35">
      <c r="B237" s="4"/>
    </row>
    <row r="238" spans="2:2" ht="15.75" customHeight="1" x14ac:dyDescent="0.35">
      <c r="B238" s="4"/>
    </row>
    <row r="239" spans="2:2" ht="15.75" customHeight="1" x14ac:dyDescent="0.35">
      <c r="B239" s="4"/>
    </row>
    <row r="240" spans="2:2" ht="15.75" customHeight="1" x14ac:dyDescent="0.35">
      <c r="B240" s="4"/>
    </row>
    <row r="241" spans="2:2" ht="15.75" customHeight="1" x14ac:dyDescent="0.35">
      <c r="B241" s="4"/>
    </row>
    <row r="242" spans="2:2" ht="15.75" customHeight="1" x14ac:dyDescent="0.35">
      <c r="B242" s="4"/>
    </row>
    <row r="243" spans="2:2" ht="15.75" customHeight="1" x14ac:dyDescent="0.35">
      <c r="B243" s="4"/>
    </row>
    <row r="244" spans="2:2" ht="15.75" customHeight="1" x14ac:dyDescent="0.35">
      <c r="B244" s="4"/>
    </row>
    <row r="245" spans="2:2" ht="15.75" customHeight="1" x14ac:dyDescent="0.35">
      <c r="B245" s="4"/>
    </row>
    <row r="246" spans="2:2" ht="15.75" customHeight="1" x14ac:dyDescent="0.35">
      <c r="B246" s="4"/>
    </row>
    <row r="247" spans="2:2" ht="15.75" customHeight="1" x14ac:dyDescent="0.35">
      <c r="B247" s="4"/>
    </row>
    <row r="248" spans="2:2" ht="15.75" customHeight="1" x14ac:dyDescent="0.35">
      <c r="B248" s="4"/>
    </row>
    <row r="249" spans="2:2" ht="15.75" customHeight="1" x14ac:dyDescent="0.35">
      <c r="B249" s="4"/>
    </row>
    <row r="250" spans="2:2" ht="15.75" customHeight="1" x14ac:dyDescent="0.35">
      <c r="B250" s="4"/>
    </row>
    <row r="251" spans="2:2" ht="15.75" customHeight="1" x14ac:dyDescent="0.35">
      <c r="B251" s="4"/>
    </row>
    <row r="252" spans="2:2" ht="15.75" customHeight="1" x14ac:dyDescent="0.35">
      <c r="B252" s="4"/>
    </row>
    <row r="253" spans="2:2" ht="15.75" customHeight="1" x14ac:dyDescent="0.35">
      <c r="B253" s="4"/>
    </row>
    <row r="254" spans="2:2" ht="15.75" customHeight="1" x14ac:dyDescent="0.35">
      <c r="B254" s="4"/>
    </row>
    <row r="255" spans="2:2" ht="15.75" customHeight="1" x14ac:dyDescent="0.35">
      <c r="B255" s="4"/>
    </row>
    <row r="256" spans="2:2" ht="15.75" customHeight="1" x14ac:dyDescent="0.35">
      <c r="B256" s="4"/>
    </row>
    <row r="257" spans="2:2" ht="15.75" customHeight="1" x14ac:dyDescent="0.35">
      <c r="B257" s="4"/>
    </row>
    <row r="258" spans="2:2" ht="15.75" customHeight="1" x14ac:dyDescent="0.35">
      <c r="B258" s="4"/>
    </row>
    <row r="259" spans="2:2" ht="15.75" customHeight="1" x14ac:dyDescent="0.35">
      <c r="B259" s="4"/>
    </row>
    <row r="260" spans="2:2" ht="15.75" customHeight="1" x14ac:dyDescent="0.35">
      <c r="B260" s="4"/>
    </row>
    <row r="261" spans="2:2" ht="15.75" customHeight="1" x14ac:dyDescent="0.35">
      <c r="B261" s="4"/>
    </row>
    <row r="262" spans="2:2" ht="15.75" customHeight="1" x14ac:dyDescent="0.35">
      <c r="B262" s="4"/>
    </row>
    <row r="263" spans="2:2" ht="15.75" customHeight="1" x14ac:dyDescent="0.35">
      <c r="B263" s="4"/>
    </row>
    <row r="264" spans="2:2" ht="15.75" customHeight="1" x14ac:dyDescent="0.35">
      <c r="B264" s="4"/>
    </row>
    <row r="265" spans="2:2" ht="15.75" customHeight="1" x14ac:dyDescent="0.35">
      <c r="B265" s="4"/>
    </row>
    <row r="266" spans="2:2" ht="15.75" customHeight="1" x14ac:dyDescent="0.35">
      <c r="B266" s="4"/>
    </row>
    <row r="267" spans="2:2" ht="15.75" customHeight="1" x14ac:dyDescent="0.35">
      <c r="B267" s="4"/>
    </row>
    <row r="268" spans="2:2" ht="15.75" customHeight="1" x14ac:dyDescent="0.35">
      <c r="B268" s="4"/>
    </row>
    <row r="269" spans="2:2" ht="15.75" customHeight="1" x14ac:dyDescent="0.35">
      <c r="B269" s="4"/>
    </row>
    <row r="270" spans="2:2" ht="15.75" customHeight="1" x14ac:dyDescent="0.35">
      <c r="B270" s="4"/>
    </row>
    <row r="271" spans="2:2" ht="15.75" customHeight="1" x14ac:dyDescent="0.35">
      <c r="B271" s="4"/>
    </row>
    <row r="272" spans="2:2" ht="15.75" customHeight="1" x14ac:dyDescent="0.35">
      <c r="B272" s="4"/>
    </row>
    <row r="273" spans="2:2" ht="15.75" customHeight="1" x14ac:dyDescent="0.35">
      <c r="B273" s="4"/>
    </row>
    <row r="274" spans="2:2" ht="15.75" customHeight="1" x14ac:dyDescent="0.35">
      <c r="B274" s="4"/>
    </row>
    <row r="275" spans="2:2" ht="15.75" customHeight="1" x14ac:dyDescent="0.35">
      <c r="B275" s="4"/>
    </row>
    <row r="276" spans="2:2" ht="15.75" customHeight="1" x14ac:dyDescent="0.35">
      <c r="B276" s="4"/>
    </row>
    <row r="277" spans="2:2" ht="15.75" customHeight="1" x14ac:dyDescent="0.35">
      <c r="B277" s="4"/>
    </row>
    <row r="278" spans="2:2" ht="15.75" customHeight="1" x14ac:dyDescent="0.35">
      <c r="B278" s="4"/>
    </row>
    <row r="279" spans="2:2" ht="15.75" customHeight="1" x14ac:dyDescent="0.35">
      <c r="B279" s="4"/>
    </row>
    <row r="280" spans="2:2" ht="15.75" customHeight="1" x14ac:dyDescent="0.35">
      <c r="B280" s="4"/>
    </row>
    <row r="281" spans="2:2" ht="15.75" customHeight="1" x14ac:dyDescent="0.35">
      <c r="B281" s="4"/>
    </row>
    <row r="282" spans="2:2" ht="15.75" customHeight="1" x14ac:dyDescent="0.35">
      <c r="B282" s="4"/>
    </row>
    <row r="283" spans="2:2" ht="15.75" customHeight="1" x14ac:dyDescent="0.35">
      <c r="B283" s="4"/>
    </row>
    <row r="284" spans="2:2" ht="15.75" customHeight="1" x14ac:dyDescent="0.35">
      <c r="B284" s="4"/>
    </row>
    <row r="285" spans="2:2" ht="15.75" customHeight="1" x14ac:dyDescent="0.35">
      <c r="B285" s="4"/>
    </row>
    <row r="286" spans="2:2" ht="15.75" customHeight="1" x14ac:dyDescent="0.35">
      <c r="B286" s="4"/>
    </row>
    <row r="287" spans="2:2" ht="15.75" customHeight="1" x14ac:dyDescent="0.35">
      <c r="B287" s="4"/>
    </row>
    <row r="288" spans="2:2" ht="15.75" customHeight="1" x14ac:dyDescent="0.35">
      <c r="B288" s="4"/>
    </row>
    <row r="289" spans="2:2" ht="15.75" customHeight="1" x14ac:dyDescent="0.35">
      <c r="B289" s="4"/>
    </row>
    <row r="290" spans="2:2" ht="15.75" customHeight="1" x14ac:dyDescent="0.35">
      <c r="B290" s="4"/>
    </row>
    <row r="291" spans="2:2" ht="15.75" customHeight="1" x14ac:dyDescent="0.35">
      <c r="B291" s="4"/>
    </row>
    <row r="292" spans="2:2" ht="15.75" customHeight="1" x14ac:dyDescent="0.35">
      <c r="B292" s="4"/>
    </row>
    <row r="293" spans="2:2" ht="15.75" customHeight="1" x14ac:dyDescent="0.35">
      <c r="B293" s="4"/>
    </row>
    <row r="294" spans="2:2" ht="15.75" customHeight="1" x14ac:dyDescent="0.35">
      <c r="B294" s="4"/>
    </row>
    <row r="295" spans="2:2" ht="15.75" customHeight="1" x14ac:dyDescent="0.35">
      <c r="B295" s="4"/>
    </row>
    <row r="296" spans="2:2" ht="15.75" customHeight="1" x14ac:dyDescent="0.35">
      <c r="B296" s="4"/>
    </row>
    <row r="297" spans="2:2" ht="15.75" customHeight="1" x14ac:dyDescent="0.35">
      <c r="B297" s="4"/>
    </row>
    <row r="298" spans="2:2" ht="15.75" customHeight="1" x14ac:dyDescent="0.35">
      <c r="B298" s="4"/>
    </row>
    <row r="299" spans="2:2" ht="15.75" customHeight="1" x14ac:dyDescent="0.35">
      <c r="B299" s="4"/>
    </row>
    <row r="300" spans="2:2" ht="15.75" customHeight="1" x14ac:dyDescent="0.35">
      <c r="B300" s="4"/>
    </row>
    <row r="301" spans="2:2" ht="15.75" customHeight="1" x14ac:dyDescent="0.35">
      <c r="B301" s="4"/>
    </row>
    <row r="302" spans="2:2" ht="15.75" customHeight="1" x14ac:dyDescent="0.35">
      <c r="B302" s="4"/>
    </row>
    <row r="303" spans="2:2" ht="15.75" customHeight="1" x14ac:dyDescent="0.35">
      <c r="B303" s="4"/>
    </row>
    <row r="304" spans="2:2" ht="15.75" customHeight="1" x14ac:dyDescent="0.35">
      <c r="B304" s="4"/>
    </row>
    <row r="305" spans="2:2" ht="15.75" customHeight="1" x14ac:dyDescent="0.35">
      <c r="B305" s="4"/>
    </row>
    <row r="306" spans="2:2" ht="15.75" customHeight="1" x14ac:dyDescent="0.35">
      <c r="B306" s="4"/>
    </row>
    <row r="307" spans="2:2" ht="15.75" customHeight="1" x14ac:dyDescent="0.35">
      <c r="B307" s="4"/>
    </row>
    <row r="308" spans="2:2" ht="15.75" customHeight="1" x14ac:dyDescent="0.35">
      <c r="B308" s="4"/>
    </row>
    <row r="309" spans="2:2" ht="15.75" customHeight="1" x14ac:dyDescent="0.35">
      <c r="B309" s="4"/>
    </row>
    <row r="310" spans="2:2" ht="15.75" customHeight="1" x14ac:dyDescent="0.35">
      <c r="B310" s="4"/>
    </row>
    <row r="311" spans="2:2" ht="15.75" customHeight="1" x14ac:dyDescent="0.35">
      <c r="B311" s="4"/>
    </row>
    <row r="312" spans="2:2" ht="15.75" customHeight="1" x14ac:dyDescent="0.35">
      <c r="B312" s="4"/>
    </row>
    <row r="313" spans="2:2" ht="15.75" customHeight="1" x14ac:dyDescent="0.35">
      <c r="B313" s="4"/>
    </row>
    <row r="314" spans="2:2" ht="15.75" customHeight="1" x14ac:dyDescent="0.35">
      <c r="B314" s="4"/>
    </row>
    <row r="315" spans="2:2" ht="15.75" customHeight="1" x14ac:dyDescent="0.35">
      <c r="B315" s="4"/>
    </row>
    <row r="316" spans="2:2" ht="15.75" customHeight="1" x14ac:dyDescent="0.35">
      <c r="B316" s="4"/>
    </row>
    <row r="317" spans="2:2" ht="15.75" customHeight="1" x14ac:dyDescent="0.35">
      <c r="B317" s="4"/>
    </row>
    <row r="318" spans="2:2" ht="15.75" customHeight="1" x14ac:dyDescent="0.35">
      <c r="B318" s="4"/>
    </row>
    <row r="319" spans="2:2" ht="15.75" customHeight="1" x14ac:dyDescent="0.35">
      <c r="B319" s="4"/>
    </row>
    <row r="320" spans="2:2" ht="15.75" customHeight="1" x14ac:dyDescent="0.35">
      <c r="B320" s="4"/>
    </row>
    <row r="321" spans="2:2" ht="15.75" customHeight="1" x14ac:dyDescent="0.35">
      <c r="B321" s="4"/>
    </row>
    <row r="322" spans="2:2" ht="15.75" customHeight="1" x14ac:dyDescent="0.35">
      <c r="B322" s="4"/>
    </row>
    <row r="323" spans="2:2" ht="15.75" customHeight="1" x14ac:dyDescent="0.35">
      <c r="B323" s="4"/>
    </row>
    <row r="324" spans="2:2" ht="15.75" customHeight="1" x14ac:dyDescent="0.35">
      <c r="B324" s="4"/>
    </row>
    <row r="325" spans="2:2" ht="15.75" customHeight="1" x14ac:dyDescent="0.35">
      <c r="B325" s="4"/>
    </row>
    <row r="326" spans="2:2" ht="15.75" customHeight="1" x14ac:dyDescent="0.35">
      <c r="B326" s="4"/>
    </row>
    <row r="327" spans="2:2" ht="15.75" customHeight="1" x14ac:dyDescent="0.35">
      <c r="B327" s="4"/>
    </row>
    <row r="328" spans="2:2" ht="15.75" customHeight="1" x14ac:dyDescent="0.35">
      <c r="B328" s="4"/>
    </row>
    <row r="329" spans="2:2" ht="15.75" customHeight="1" x14ac:dyDescent="0.35">
      <c r="B329" s="4"/>
    </row>
    <row r="330" spans="2:2" ht="15.75" customHeight="1" x14ac:dyDescent="0.35">
      <c r="B330" s="4"/>
    </row>
    <row r="331" spans="2:2" ht="15.75" customHeight="1" x14ac:dyDescent="0.35">
      <c r="B331" s="4"/>
    </row>
    <row r="332" spans="2:2" ht="15.75" customHeight="1" x14ac:dyDescent="0.35">
      <c r="B332" s="4"/>
    </row>
    <row r="333" spans="2:2" ht="15.75" customHeight="1" x14ac:dyDescent="0.35">
      <c r="B333" s="4"/>
    </row>
    <row r="334" spans="2:2" ht="15.75" customHeight="1" x14ac:dyDescent="0.35">
      <c r="B334" s="4"/>
    </row>
    <row r="335" spans="2:2" ht="15.75" customHeight="1" x14ac:dyDescent="0.35">
      <c r="B335" s="4"/>
    </row>
    <row r="336" spans="2:2" ht="15.75" customHeight="1" x14ac:dyDescent="0.35">
      <c r="B336" s="4"/>
    </row>
    <row r="337" spans="2:2" ht="15.75" customHeight="1" x14ac:dyDescent="0.35">
      <c r="B337" s="4"/>
    </row>
    <row r="338" spans="2:2" ht="15.75" customHeight="1" x14ac:dyDescent="0.35">
      <c r="B338" s="4"/>
    </row>
    <row r="339" spans="2:2" ht="15.75" customHeight="1" x14ac:dyDescent="0.35">
      <c r="B339" s="4"/>
    </row>
    <row r="340" spans="2:2" ht="15.75" customHeight="1" x14ac:dyDescent="0.35">
      <c r="B340" s="4"/>
    </row>
    <row r="341" spans="2:2" ht="15.75" customHeight="1" x14ac:dyDescent="0.35">
      <c r="B341" s="4"/>
    </row>
    <row r="342" spans="2:2" ht="15.75" customHeight="1" x14ac:dyDescent="0.35">
      <c r="B342" s="4"/>
    </row>
    <row r="343" spans="2:2" ht="15.75" customHeight="1" x14ac:dyDescent="0.35">
      <c r="B343" s="4"/>
    </row>
    <row r="344" spans="2:2" ht="15.75" customHeight="1" x14ac:dyDescent="0.35">
      <c r="B344" s="4"/>
    </row>
    <row r="345" spans="2:2" ht="15.75" customHeight="1" x14ac:dyDescent="0.35">
      <c r="B345" s="4"/>
    </row>
    <row r="346" spans="2:2" ht="15.75" customHeight="1" x14ac:dyDescent="0.35">
      <c r="B346" s="4"/>
    </row>
    <row r="347" spans="2:2" ht="15.75" customHeight="1" x14ac:dyDescent="0.35">
      <c r="B347" s="4"/>
    </row>
    <row r="348" spans="2:2" ht="15.75" customHeight="1" x14ac:dyDescent="0.35">
      <c r="B348" s="4"/>
    </row>
    <row r="349" spans="2:2" ht="15.75" customHeight="1" x14ac:dyDescent="0.35">
      <c r="B349" s="4"/>
    </row>
    <row r="350" spans="2:2" ht="15.75" customHeight="1" x14ac:dyDescent="0.35">
      <c r="B350" s="4"/>
    </row>
    <row r="351" spans="2:2" ht="15.75" customHeight="1" x14ac:dyDescent="0.35">
      <c r="B351" s="4"/>
    </row>
    <row r="352" spans="2:2" ht="15.75" customHeight="1" x14ac:dyDescent="0.35">
      <c r="B352" s="4"/>
    </row>
    <row r="353" spans="2:2" ht="15.75" customHeight="1" x14ac:dyDescent="0.35">
      <c r="B353" s="4"/>
    </row>
    <row r="354" spans="2:2" ht="15.75" customHeight="1" x14ac:dyDescent="0.35">
      <c r="B354" s="4"/>
    </row>
    <row r="355" spans="2:2" ht="15.75" customHeight="1" x14ac:dyDescent="0.35">
      <c r="B355" s="4"/>
    </row>
    <row r="356" spans="2:2" ht="15.75" customHeight="1" x14ac:dyDescent="0.35">
      <c r="B356" s="4"/>
    </row>
    <row r="357" spans="2:2" ht="15.75" customHeight="1" x14ac:dyDescent="0.35">
      <c r="B357" s="4"/>
    </row>
    <row r="358" spans="2:2" ht="15.75" customHeight="1" x14ac:dyDescent="0.35">
      <c r="B358" s="4"/>
    </row>
    <row r="359" spans="2:2" ht="15.75" customHeight="1" x14ac:dyDescent="0.35">
      <c r="B359" s="4"/>
    </row>
    <row r="360" spans="2:2" ht="15.75" customHeight="1" x14ac:dyDescent="0.35">
      <c r="B360" s="4"/>
    </row>
    <row r="361" spans="2:2" ht="15.75" customHeight="1" x14ac:dyDescent="0.35">
      <c r="B361" s="4"/>
    </row>
    <row r="362" spans="2:2" ht="15.75" customHeight="1" x14ac:dyDescent="0.35">
      <c r="B362" s="4"/>
    </row>
    <row r="363" spans="2:2" ht="15.75" customHeight="1" x14ac:dyDescent="0.35">
      <c r="B363" s="4"/>
    </row>
    <row r="364" spans="2:2" ht="15.75" customHeight="1" x14ac:dyDescent="0.35">
      <c r="B364" s="4"/>
    </row>
    <row r="365" spans="2:2" ht="15.75" customHeight="1" x14ac:dyDescent="0.35">
      <c r="B365" s="4"/>
    </row>
    <row r="366" spans="2:2" ht="15.75" customHeight="1" x14ac:dyDescent="0.35">
      <c r="B366" s="4"/>
    </row>
    <row r="367" spans="2:2" ht="15.75" customHeight="1" x14ac:dyDescent="0.35">
      <c r="B367" s="4"/>
    </row>
    <row r="368" spans="2:2" ht="15.75" customHeight="1" x14ac:dyDescent="0.35">
      <c r="B368" s="4"/>
    </row>
    <row r="369" spans="2:2" ht="15.75" customHeight="1" x14ac:dyDescent="0.35">
      <c r="B369" s="4"/>
    </row>
    <row r="370" spans="2:2" ht="15.75" customHeight="1" x14ac:dyDescent="0.35">
      <c r="B370" s="4"/>
    </row>
    <row r="371" spans="2:2" ht="15.75" customHeight="1" x14ac:dyDescent="0.35">
      <c r="B371" s="4"/>
    </row>
    <row r="372" spans="2:2" ht="15.75" customHeight="1" x14ac:dyDescent="0.35">
      <c r="B372" s="4"/>
    </row>
    <row r="373" spans="2:2" ht="15.75" customHeight="1" x14ac:dyDescent="0.35">
      <c r="B373" s="4"/>
    </row>
    <row r="374" spans="2:2" ht="15.75" customHeight="1" x14ac:dyDescent="0.35">
      <c r="B374" s="4"/>
    </row>
    <row r="375" spans="2:2" ht="15.75" customHeight="1" x14ac:dyDescent="0.35">
      <c r="B375" s="4"/>
    </row>
    <row r="376" spans="2:2" ht="15.75" customHeight="1" x14ac:dyDescent="0.35">
      <c r="B376" s="4"/>
    </row>
    <row r="377" spans="2:2" ht="15.75" customHeight="1" x14ac:dyDescent="0.35">
      <c r="B377" s="4"/>
    </row>
    <row r="378" spans="2:2" ht="15.75" customHeight="1" x14ac:dyDescent="0.35">
      <c r="B378" s="4"/>
    </row>
    <row r="379" spans="2:2" ht="15.75" customHeight="1" x14ac:dyDescent="0.35">
      <c r="B379" s="4"/>
    </row>
    <row r="380" spans="2:2" ht="15.75" customHeight="1" x14ac:dyDescent="0.35">
      <c r="B380" s="4"/>
    </row>
    <row r="381" spans="2:2" ht="15.75" customHeight="1" x14ac:dyDescent="0.35">
      <c r="B381" s="4"/>
    </row>
    <row r="382" spans="2:2" ht="15.75" customHeight="1" x14ac:dyDescent="0.35">
      <c r="B382" s="4"/>
    </row>
    <row r="383" spans="2:2" ht="15.75" customHeight="1" x14ac:dyDescent="0.35">
      <c r="B383" s="4"/>
    </row>
    <row r="384" spans="2:2" ht="15.75" customHeight="1" x14ac:dyDescent="0.35">
      <c r="B384" s="4"/>
    </row>
    <row r="385" spans="2:2" ht="15.75" customHeight="1" x14ac:dyDescent="0.35">
      <c r="B385" s="4"/>
    </row>
    <row r="386" spans="2:2" ht="15.75" customHeight="1" x14ac:dyDescent="0.35">
      <c r="B386" s="4"/>
    </row>
    <row r="387" spans="2:2" ht="15.75" customHeight="1" x14ac:dyDescent="0.35">
      <c r="B387" s="4"/>
    </row>
    <row r="388" spans="2:2" ht="15.75" customHeight="1" x14ac:dyDescent="0.35">
      <c r="B388" s="4"/>
    </row>
    <row r="389" spans="2:2" ht="15.75" customHeight="1" x14ac:dyDescent="0.35">
      <c r="B389" s="4"/>
    </row>
    <row r="390" spans="2:2" ht="15.75" customHeight="1" x14ac:dyDescent="0.35">
      <c r="B390" s="4"/>
    </row>
    <row r="391" spans="2:2" ht="15.75" customHeight="1" x14ac:dyDescent="0.35">
      <c r="B391" s="4"/>
    </row>
    <row r="392" spans="2:2" ht="15.75" customHeight="1" x14ac:dyDescent="0.35">
      <c r="B392" s="4"/>
    </row>
    <row r="393" spans="2:2" ht="15.75" customHeight="1" x14ac:dyDescent="0.35">
      <c r="B393" s="4"/>
    </row>
    <row r="394" spans="2:2" ht="15.75" customHeight="1" x14ac:dyDescent="0.35">
      <c r="B394" s="4"/>
    </row>
    <row r="395" spans="2:2" ht="15.75" customHeight="1" x14ac:dyDescent="0.35">
      <c r="B395" s="4"/>
    </row>
    <row r="396" spans="2:2" ht="15.75" customHeight="1" x14ac:dyDescent="0.35">
      <c r="B396" s="4"/>
    </row>
    <row r="397" spans="2:2" ht="15.75" customHeight="1" x14ac:dyDescent="0.35">
      <c r="B397" s="4"/>
    </row>
    <row r="398" spans="2:2" ht="15.75" customHeight="1" x14ac:dyDescent="0.35">
      <c r="B398" s="4"/>
    </row>
    <row r="399" spans="2:2" ht="15.75" customHeight="1" x14ac:dyDescent="0.35">
      <c r="B399" s="4"/>
    </row>
    <row r="400" spans="2:2" ht="15.75" customHeight="1" x14ac:dyDescent="0.35">
      <c r="B400" s="4"/>
    </row>
    <row r="401" spans="2:2" ht="15.75" customHeight="1" x14ac:dyDescent="0.35">
      <c r="B401" s="4"/>
    </row>
    <row r="402" spans="2:2" ht="15.75" customHeight="1" x14ac:dyDescent="0.35">
      <c r="B402" s="4"/>
    </row>
    <row r="403" spans="2:2" ht="15.75" customHeight="1" x14ac:dyDescent="0.35">
      <c r="B403" s="4"/>
    </row>
    <row r="404" spans="2:2" ht="15.75" customHeight="1" x14ac:dyDescent="0.35">
      <c r="B404" s="4"/>
    </row>
    <row r="405" spans="2:2" ht="15.75" customHeight="1" x14ac:dyDescent="0.35">
      <c r="B405" s="4"/>
    </row>
    <row r="406" spans="2:2" ht="15.75" customHeight="1" x14ac:dyDescent="0.35">
      <c r="B406" s="4"/>
    </row>
    <row r="407" spans="2:2" ht="15.75" customHeight="1" x14ac:dyDescent="0.35">
      <c r="B407" s="4"/>
    </row>
    <row r="408" spans="2:2" ht="15.75" customHeight="1" x14ac:dyDescent="0.35">
      <c r="B408" s="4"/>
    </row>
    <row r="409" spans="2:2" ht="15.75" customHeight="1" x14ac:dyDescent="0.35">
      <c r="B409" s="4"/>
    </row>
    <row r="410" spans="2:2" ht="15.75" customHeight="1" x14ac:dyDescent="0.35">
      <c r="B410" s="4"/>
    </row>
    <row r="411" spans="2:2" ht="15.75" customHeight="1" x14ac:dyDescent="0.35">
      <c r="B411" s="4"/>
    </row>
    <row r="412" spans="2:2" ht="15.75" customHeight="1" x14ac:dyDescent="0.35">
      <c r="B412" s="4"/>
    </row>
    <row r="413" spans="2:2" ht="15.75" customHeight="1" x14ac:dyDescent="0.35">
      <c r="B413" s="4"/>
    </row>
    <row r="414" spans="2:2" ht="15.75" customHeight="1" x14ac:dyDescent="0.35">
      <c r="B414" s="4"/>
    </row>
    <row r="415" spans="2:2" ht="15.75" customHeight="1" x14ac:dyDescent="0.35">
      <c r="B415" s="4"/>
    </row>
    <row r="416" spans="2:2" ht="15.75" customHeight="1" x14ac:dyDescent="0.35">
      <c r="B416" s="4"/>
    </row>
    <row r="417" spans="2:2" ht="15.75" customHeight="1" x14ac:dyDescent="0.35">
      <c r="B417" s="4"/>
    </row>
    <row r="418" spans="2:2" ht="15.75" customHeight="1" x14ac:dyDescent="0.35">
      <c r="B418" s="4"/>
    </row>
    <row r="419" spans="2:2" ht="15.75" customHeight="1" x14ac:dyDescent="0.35">
      <c r="B419" s="4"/>
    </row>
    <row r="420" spans="2:2" ht="15.75" customHeight="1" x14ac:dyDescent="0.35">
      <c r="B420" s="4"/>
    </row>
    <row r="421" spans="2:2" ht="15.75" customHeight="1" x14ac:dyDescent="0.35">
      <c r="B421" s="4"/>
    </row>
    <row r="422" spans="2:2" ht="15.75" customHeight="1" x14ac:dyDescent="0.35">
      <c r="B422" s="4"/>
    </row>
    <row r="423" spans="2:2" ht="15.75" customHeight="1" x14ac:dyDescent="0.35">
      <c r="B423" s="4"/>
    </row>
    <row r="424" spans="2:2" ht="15.75" customHeight="1" x14ac:dyDescent="0.35">
      <c r="B424" s="4"/>
    </row>
    <row r="425" spans="2:2" ht="15.75" customHeight="1" x14ac:dyDescent="0.35">
      <c r="B425" s="4"/>
    </row>
    <row r="426" spans="2:2" ht="15.75" customHeight="1" x14ac:dyDescent="0.35">
      <c r="B426" s="4"/>
    </row>
    <row r="427" spans="2:2" ht="15.75" customHeight="1" x14ac:dyDescent="0.35">
      <c r="B427" s="4"/>
    </row>
    <row r="428" spans="2:2" ht="15.75" customHeight="1" x14ac:dyDescent="0.35">
      <c r="B428" s="4"/>
    </row>
    <row r="429" spans="2:2" ht="15.75" customHeight="1" x14ac:dyDescent="0.35">
      <c r="B429" s="4"/>
    </row>
    <row r="430" spans="2:2" ht="15.75" customHeight="1" x14ac:dyDescent="0.35">
      <c r="B430" s="4"/>
    </row>
    <row r="431" spans="2:2" ht="15.75" customHeight="1" x14ac:dyDescent="0.35">
      <c r="B431" s="4"/>
    </row>
    <row r="432" spans="2:2" ht="15.75" customHeight="1" x14ac:dyDescent="0.35">
      <c r="B432" s="4"/>
    </row>
    <row r="433" spans="2:2" ht="15.75" customHeight="1" x14ac:dyDescent="0.35">
      <c r="B433" s="4"/>
    </row>
    <row r="434" spans="2:2" ht="15.75" customHeight="1" x14ac:dyDescent="0.35">
      <c r="B434" s="4"/>
    </row>
    <row r="435" spans="2:2" ht="15.75" customHeight="1" x14ac:dyDescent="0.35">
      <c r="B435" s="4"/>
    </row>
    <row r="436" spans="2:2" ht="15.75" customHeight="1" x14ac:dyDescent="0.35">
      <c r="B436" s="4"/>
    </row>
    <row r="437" spans="2:2" ht="15.75" customHeight="1" x14ac:dyDescent="0.35">
      <c r="B437" s="4"/>
    </row>
    <row r="438" spans="2:2" ht="15.75" customHeight="1" x14ac:dyDescent="0.35">
      <c r="B438" s="4"/>
    </row>
    <row r="439" spans="2:2" ht="15.75" customHeight="1" x14ac:dyDescent="0.35">
      <c r="B439" s="4"/>
    </row>
    <row r="440" spans="2:2" ht="15.75" customHeight="1" x14ac:dyDescent="0.35">
      <c r="B440" s="4"/>
    </row>
    <row r="441" spans="2:2" ht="15.75" customHeight="1" x14ac:dyDescent="0.35">
      <c r="B441" s="4"/>
    </row>
    <row r="442" spans="2:2" ht="15.75" customHeight="1" x14ac:dyDescent="0.35">
      <c r="B442" s="4"/>
    </row>
    <row r="443" spans="2:2" ht="15.75" customHeight="1" x14ac:dyDescent="0.35">
      <c r="B443" s="4"/>
    </row>
    <row r="444" spans="2:2" ht="15.75" customHeight="1" x14ac:dyDescent="0.35">
      <c r="B444" s="4"/>
    </row>
    <row r="445" spans="2:2" ht="15.75" customHeight="1" x14ac:dyDescent="0.35">
      <c r="B445" s="4"/>
    </row>
    <row r="446" spans="2:2" ht="15.75" customHeight="1" x14ac:dyDescent="0.35">
      <c r="B446" s="4"/>
    </row>
    <row r="447" spans="2:2" ht="15.75" customHeight="1" x14ac:dyDescent="0.35">
      <c r="B447" s="4"/>
    </row>
    <row r="448" spans="2:2" ht="15.75" customHeight="1" x14ac:dyDescent="0.35">
      <c r="B448" s="4"/>
    </row>
    <row r="449" spans="2:2" ht="15.75" customHeight="1" x14ac:dyDescent="0.35">
      <c r="B449" s="4"/>
    </row>
    <row r="450" spans="2:2" ht="15.75" customHeight="1" x14ac:dyDescent="0.35">
      <c r="B450" s="4"/>
    </row>
    <row r="451" spans="2:2" ht="15.75" customHeight="1" x14ac:dyDescent="0.35">
      <c r="B451" s="4"/>
    </row>
    <row r="452" spans="2:2" ht="15.75" customHeight="1" x14ac:dyDescent="0.35">
      <c r="B452" s="4"/>
    </row>
    <row r="453" spans="2:2" ht="15.75" customHeight="1" x14ac:dyDescent="0.35">
      <c r="B453" s="4"/>
    </row>
    <row r="454" spans="2:2" ht="15.75" customHeight="1" x14ac:dyDescent="0.35">
      <c r="B454" s="4"/>
    </row>
    <row r="455" spans="2:2" ht="15.75" customHeight="1" x14ac:dyDescent="0.35">
      <c r="B455" s="4"/>
    </row>
    <row r="456" spans="2:2" ht="15.75" customHeight="1" x14ac:dyDescent="0.35">
      <c r="B456" s="4"/>
    </row>
    <row r="457" spans="2:2" ht="15.75" customHeight="1" x14ac:dyDescent="0.35">
      <c r="B457" s="4"/>
    </row>
    <row r="458" spans="2:2" ht="15.75" customHeight="1" x14ac:dyDescent="0.35">
      <c r="B458" s="4"/>
    </row>
    <row r="459" spans="2:2" ht="15.75" customHeight="1" x14ac:dyDescent="0.35">
      <c r="B459" s="4"/>
    </row>
    <row r="460" spans="2:2" ht="15.75" customHeight="1" x14ac:dyDescent="0.35">
      <c r="B460" s="4"/>
    </row>
    <row r="461" spans="2:2" ht="15.75" customHeight="1" x14ac:dyDescent="0.35">
      <c r="B461" s="4"/>
    </row>
    <row r="462" spans="2:2" ht="15.75" customHeight="1" x14ac:dyDescent="0.35">
      <c r="B462" s="4"/>
    </row>
    <row r="463" spans="2:2" ht="15.75" customHeight="1" x14ac:dyDescent="0.35">
      <c r="B463" s="4"/>
    </row>
    <row r="464" spans="2:2" ht="15.75" customHeight="1" x14ac:dyDescent="0.35">
      <c r="B464" s="4"/>
    </row>
    <row r="465" spans="2:2" ht="15.75" customHeight="1" x14ac:dyDescent="0.35">
      <c r="B465" s="4"/>
    </row>
    <row r="466" spans="2:2" ht="15.75" customHeight="1" x14ac:dyDescent="0.35">
      <c r="B466" s="4"/>
    </row>
    <row r="467" spans="2:2" ht="15.75" customHeight="1" x14ac:dyDescent="0.35">
      <c r="B467" s="4"/>
    </row>
    <row r="468" spans="2:2" ht="15.75" customHeight="1" x14ac:dyDescent="0.35">
      <c r="B468" s="4"/>
    </row>
    <row r="469" spans="2:2" ht="15.75" customHeight="1" x14ac:dyDescent="0.35">
      <c r="B469" s="4"/>
    </row>
    <row r="470" spans="2:2" ht="15.75" customHeight="1" x14ac:dyDescent="0.35">
      <c r="B470" s="4"/>
    </row>
    <row r="471" spans="2:2" ht="15.75" customHeight="1" x14ac:dyDescent="0.35">
      <c r="B471" s="4"/>
    </row>
    <row r="472" spans="2:2" ht="15.75" customHeight="1" x14ac:dyDescent="0.35">
      <c r="B472" s="4"/>
    </row>
    <row r="473" spans="2:2" ht="15.75" customHeight="1" x14ac:dyDescent="0.35">
      <c r="B473" s="4"/>
    </row>
    <row r="474" spans="2:2" ht="15.75" customHeight="1" x14ac:dyDescent="0.35">
      <c r="B474" s="4"/>
    </row>
    <row r="475" spans="2:2" ht="15.75" customHeight="1" x14ac:dyDescent="0.35">
      <c r="B475" s="4"/>
    </row>
    <row r="476" spans="2:2" ht="15.75" customHeight="1" x14ac:dyDescent="0.35">
      <c r="B476" s="4"/>
    </row>
    <row r="477" spans="2:2" ht="15.75" customHeight="1" x14ac:dyDescent="0.35">
      <c r="B477" s="4"/>
    </row>
    <row r="478" spans="2:2" ht="15.75" customHeight="1" x14ac:dyDescent="0.35">
      <c r="B478" s="4"/>
    </row>
    <row r="479" spans="2:2" ht="15.75" customHeight="1" x14ac:dyDescent="0.35">
      <c r="B479" s="4"/>
    </row>
    <row r="480" spans="2:2" ht="15.75" customHeight="1" x14ac:dyDescent="0.35">
      <c r="B480" s="4"/>
    </row>
    <row r="481" spans="2:2" ht="15.75" customHeight="1" x14ac:dyDescent="0.35">
      <c r="B481" s="4"/>
    </row>
    <row r="482" spans="2:2" ht="15.75" customHeight="1" x14ac:dyDescent="0.35">
      <c r="B482" s="4"/>
    </row>
    <row r="483" spans="2:2" ht="15.75" customHeight="1" x14ac:dyDescent="0.35">
      <c r="B483" s="4"/>
    </row>
    <row r="484" spans="2:2" ht="15.75" customHeight="1" x14ac:dyDescent="0.35">
      <c r="B484" s="4"/>
    </row>
    <row r="485" spans="2:2" ht="15.75" customHeight="1" x14ac:dyDescent="0.35">
      <c r="B485" s="4"/>
    </row>
    <row r="486" spans="2:2" ht="15.75" customHeight="1" x14ac:dyDescent="0.35">
      <c r="B486" s="4"/>
    </row>
    <row r="487" spans="2:2" ht="15.75" customHeight="1" x14ac:dyDescent="0.35">
      <c r="B487" s="4"/>
    </row>
    <row r="488" spans="2:2" ht="15.75" customHeight="1" x14ac:dyDescent="0.35">
      <c r="B488" s="4"/>
    </row>
    <row r="489" spans="2:2" ht="15.75" customHeight="1" x14ac:dyDescent="0.35">
      <c r="B489" s="4"/>
    </row>
    <row r="490" spans="2:2" ht="15.75" customHeight="1" x14ac:dyDescent="0.35">
      <c r="B490" s="4"/>
    </row>
    <row r="491" spans="2:2" ht="15.75" customHeight="1" x14ac:dyDescent="0.35">
      <c r="B491" s="4"/>
    </row>
    <row r="492" spans="2:2" ht="15.75" customHeight="1" x14ac:dyDescent="0.35">
      <c r="B492" s="4"/>
    </row>
    <row r="493" spans="2:2" ht="15.75" customHeight="1" x14ac:dyDescent="0.35">
      <c r="B493" s="4"/>
    </row>
    <row r="494" spans="2:2" ht="15.75" customHeight="1" x14ac:dyDescent="0.35">
      <c r="B494" s="4"/>
    </row>
    <row r="495" spans="2:2" ht="15.75" customHeight="1" x14ac:dyDescent="0.35">
      <c r="B495" s="4"/>
    </row>
    <row r="496" spans="2:2" ht="15.75" customHeight="1" x14ac:dyDescent="0.35">
      <c r="B496" s="4"/>
    </row>
    <row r="497" spans="2:2" ht="15.75" customHeight="1" x14ac:dyDescent="0.35">
      <c r="B497" s="4"/>
    </row>
    <row r="498" spans="2:2" ht="15.75" customHeight="1" x14ac:dyDescent="0.35">
      <c r="B498" s="4"/>
    </row>
    <row r="499" spans="2:2" ht="15.75" customHeight="1" x14ac:dyDescent="0.35">
      <c r="B499" s="4"/>
    </row>
    <row r="500" spans="2:2" ht="15.75" customHeight="1" x14ac:dyDescent="0.35">
      <c r="B500" s="4"/>
    </row>
    <row r="501" spans="2:2" ht="15.75" customHeight="1" x14ac:dyDescent="0.35">
      <c r="B501" s="4"/>
    </row>
    <row r="502" spans="2:2" ht="15.75" customHeight="1" x14ac:dyDescent="0.35">
      <c r="B502" s="4"/>
    </row>
    <row r="503" spans="2:2" ht="15.75" customHeight="1" x14ac:dyDescent="0.35">
      <c r="B503" s="4"/>
    </row>
    <row r="504" spans="2:2" ht="15.75" customHeight="1" x14ac:dyDescent="0.35">
      <c r="B504" s="4"/>
    </row>
    <row r="505" spans="2:2" ht="15.75" customHeight="1" x14ac:dyDescent="0.35">
      <c r="B505" s="4"/>
    </row>
    <row r="506" spans="2:2" ht="15.75" customHeight="1" x14ac:dyDescent="0.35">
      <c r="B506" s="4"/>
    </row>
    <row r="507" spans="2:2" ht="15.75" customHeight="1" x14ac:dyDescent="0.35">
      <c r="B507" s="4"/>
    </row>
    <row r="508" spans="2:2" ht="15.75" customHeight="1" x14ac:dyDescent="0.35">
      <c r="B508" s="4"/>
    </row>
    <row r="509" spans="2:2" ht="15.75" customHeight="1" x14ac:dyDescent="0.35">
      <c r="B509" s="4"/>
    </row>
    <row r="510" spans="2:2" ht="15.75" customHeight="1" x14ac:dyDescent="0.35">
      <c r="B510" s="4"/>
    </row>
    <row r="511" spans="2:2" ht="15.75" customHeight="1" x14ac:dyDescent="0.35">
      <c r="B511" s="4"/>
    </row>
    <row r="512" spans="2:2" ht="15.75" customHeight="1" x14ac:dyDescent="0.35">
      <c r="B512" s="4"/>
    </row>
    <row r="513" spans="2:2" ht="15.75" customHeight="1" x14ac:dyDescent="0.35">
      <c r="B513" s="4"/>
    </row>
    <row r="514" spans="2:2" ht="15.75" customHeight="1" x14ac:dyDescent="0.35">
      <c r="B514" s="4"/>
    </row>
    <row r="515" spans="2:2" ht="15.75" customHeight="1" x14ac:dyDescent="0.35">
      <c r="B515" s="4"/>
    </row>
    <row r="516" spans="2:2" ht="15.75" customHeight="1" x14ac:dyDescent="0.35">
      <c r="B516" s="4"/>
    </row>
    <row r="517" spans="2:2" ht="15.75" customHeight="1" x14ac:dyDescent="0.35">
      <c r="B517" s="4"/>
    </row>
    <row r="518" spans="2:2" ht="15.75" customHeight="1" x14ac:dyDescent="0.35">
      <c r="B518" s="4"/>
    </row>
    <row r="519" spans="2:2" ht="15.75" customHeight="1" x14ac:dyDescent="0.35">
      <c r="B519" s="4"/>
    </row>
    <row r="520" spans="2:2" ht="15.75" customHeight="1" x14ac:dyDescent="0.35">
      <c r="B520" s="4"/>
    </row>
    <row r="521" spans="2:2" ht="15.75" customHeight="1" x14ac:dyDescent="0.35">
      <c r="B521" s="4"/>
    </row>
    <row r="522" spans="2:2" ht="15.75" customHeight="1" x14ac:dyDescent="0.35">
      <c r="B522" s="4"/>
    </row>
    <row r="523" spans="2:2" ht="15.75" customHeight="1" x14ac:dyDescent="0.35">
      <c r="B523" s="4"/>
    </row>
    <row r="524" spans="2:2" ht="15.75" customHeight="1" x14ac:dyDescent="0.35">
      <c r="B524" s="4"/>
    </row>
    <row r="525" spans="2:2" ht="15.75" customHeight="1" x14ac:dyDescent="0.35">
      <c r="B525" s="4"/>
    </row>
    <row r="526" spans="2:2" ht="15.75" customHeight="1" x14ac:dyDescent="0.35">
      <c r="B526" s="4"/>
    </row>
    <row r="527" spans="2:2" ht="15.75" customHeight="1" x14ac:dyDescent="0.35">
      <c r="B527" s="4"/>
    </row>
    <row r="528" spans="2:2" ht="15.75" customHeight="1" x14ac:dyDescent="0.35">
      <c r="B528" s="4"/>
    </row>
    <row r="529" spans="2:2" ht="15.75" customHeight="1" x14ac:dyDescent="0.35">
      <c r="B529" s="4"/>
    </row>
    <row r="530" spans="2:2" ht="15.75" customHeight="1" x14ac:dyDescent="0.35">
      <c r="B530" s="4"/>
    </row>
    <row r="531" spans="2:2" ht="15.75" customHeight="1" x14ac:dyDescent="0.35">
      <c r="B531" s="4"/>
    </row>
    <row r="532" spans="2:2" ht="15.75" customHeight="1" x14ac:dyDescent="0.35">
      <c r="B532" s="4"/>
    </row>
    <row r="533" spans="2:2" ht="15.75" customHeight="1" x14ac:dyDescent="0.35">
      <c r="B533" s="4"/>
    </row>
    <row r="534" spans="2:2" ht="15.75" customHeight="1" x14ac:dyDescent="0.35">
      <c r="B534" s="4"/>
    </row>
    <row r="535" spans="2:2" ht="15.75" customHeight="1" x14ac:dyDescent="0.35">
      <c r="B535" s="4"/>
    </row>
    <row r="536" spans="2:2" ht="15.75" customHeight="1" x14ac:dyDescent="0.35">
      <c r="B536" s="4"/>
    </row>
    <row r="537" spans="2:2" ht="15.75" customHeight="1" x14ac:dyDescent="0.35">
      <c r="B537" s="4"/>
    </row>
    <row r="538" spans="2:2" ht="15.75" customHeight="1" x14ac:dyDescent="0.35">
      <c r="B538" s="4"/>
    </row>
    <row r="539" spans="2:2" ht="15.75" customHeight="1" x14ac:dyDescent="0.35">
      <c r="B539" s="4"/>
    </row>
    <row r="540" spans="2:2" ht="15.75" customHeight="1" x14ac:dyDescent="0.35">
      <c r="B540" s="4"/>
    </row>
    <row r="541" spans="2:2" ht="15.75" customHeight="1" x14ac:dyDescent="0.35">
      <c r="B541" s="4"/>
    </row>
    <row r="542" spans="2:2" ht="15.75" customHeight="1" x14ac:dyDescent="0.35">
      <c r="B542" s="4"/>
    </row>
    <row r="543" spans="2:2" ht="15.75" customHeight="1" x14ac:dyDescent="0.35">
      <c r="B543" s="4"/>
    </row>
    <row r="544" spans="2:2" ht="15.75" customHeight="1" x14ac:dyDescent="0.35">
      <c r="B544" s="4"/>
    </row>
    <row r="545" spans="2:2" ht="15.75" customHeight="1" x14ac:dyDescent="0.35">
      <c r="B545" s="4"/>
    </row>
    <row r="546" spans="2:2" ht="15.75" customHeight="1" x14ac:dyDescent="0.35">
      <c r="B546" s="4"/>
    </row>
    <row r="547" spans="2:2" ht="15.75" customHeight="1" x14ac:dyDescent="0.35">
      <c r="B547" s="4"/>
    </row>
    <row r="548" spans="2:2" ht="15.75" customHeight="1" x14ac:dyDescent="0.35">
      <c r="B548" s="4"/>
    </row>
    <row r="549" spans="2:2" ht="15.75" customHeight="1" x14ac:dyDescent="0.35">
      <c r="B549" s="4"/>
    </row>
    <row r="550" spans="2:2" ht="15.75" customHeight="1" x14ac:dyDescent="0.35">
      <c r="B550" s="4"/>
    </row>
    <row r="551" spans="2:2" ht="15.75" customHeight="1" x14ac:dyDescent="0.35">
      <c r="B551" s="4"/>
    </row>
    <row r="552" spans="2:2" ht="15.75" customHeight="1" x14ac:dyDescent="0.35">
      <c r="B552" s="4"/>
    </row>
    <row r="553" spans="2:2" ht="15.75" customHeight="1" x14ac:dyDescent="0.35">
      <c r="B553" s="4"/>
    </row>
    <row r="554" spans="2:2" ht="15.75" customHeight="1" x14ac:dyDescent="0.35">
      <c r="B554" s="4"/>
    </row>
    <row r="555" spans="2:2" ht="15.75" customHeight="1" x14ac:dyDescent="0.35">
      <c r="B555" s="4"/>
    </row>
    <row r="556" spans="2:2" ht="15.75" customHeight="1" x14ac:dyDescent="0.35">
      <c r="B556" s="4"/>
    </row>
    <row r="557" spans="2:2" ht="15.75" customHeight="1" x14ac:dyDescent="0.35">
      <c r="B557" s="4"/>
    </row>
    <row r="558" spans="2:2" ht="15.75" customHeight="1" x14ac:dyDescent="0.35">
      <c r="B558" s="4"/>
    </row>
    <row r="559" spans="2:2" ht="15.75" customHeight="1" x14ac:dyDescent="0.35">
      <c r="B559" s="4"/>
    </row>
    <row r="560" spans="2:2" ht="15.75" customHeight="1" x14ac:dyDescent="0.35">
      <c r="B560" s="4"/>
    </row>
    <row r="561" spans="2:2" ht="15.75" customHeight="1" x14ac:dyDescent="0.35">
      <c r="B561" s="4"/>
    </row>
    <row r="562" spans="2:2" ht="15.75" customHeight="1" x14ac:dyDescent="0.35">
      <c r="B562" s="4"/>
    </row>
    <row r="563" spans="2:2" ht="15.75" customHeight="1" x14ac:dyDescent="0.35">
      <c r="B563" s="4"/>
    </row>
    <row r="564" spans="2:2" ht="15.75" customHeight="1" x14ac:dyDescent="0.35">
      <c r="B564" s="4"/>
    </row>
    <row r="565" spans="2:2" ht="15.75" customHeight="1" x14ac:dyDescent="0.35">
      <c r="B565" s="4"/>
    </row>
    <row r="566" spans="2:2" ht="15.75" customHeight="1" x14ac:dyDescent="0.35">
      <c r="B566" s="4"/>
    </row>
    <row r="567" spans="2:2" ht="15.75" customHeight="1" x14ac:dyDescent="0.35">
      <c r="B567" s="4"/>
    </row>
    <row r="568" spans="2:2" ht="15.75" customHeight="1" x14ac:dyDescent="0.35">
      <c r="B568" s="4"/>
    </row>
    <row r="569" spans="2:2" ht="15.75" customHeight="1" x14ac:dyDescent="0.35">
      <c r="B569" s="4"/>
    </row>
    <row r="570" spans="2:2" ht="15.75" customHeight="1" x14ac:dyDescent="0.35">
      <c r="B570" s="4"/>
    </row>
    <row r="571" spans="2:2" ht="15.75" customHeight="1" x14ac:dyDescent="0.35">
      <c r="B571" s="4"/>
    </row>
    <row r="572" spans="2:2" ht="15.75" customHeight="1" x14ac:dyDescent="0.35">
      <c r="B572" s="4"/>
    </row>
    <row r="573" spans="2:2" ht="15.75" customHeight="1" x14ac:dyDescent="0.35">
      <c r="B573" s="4"/>
    </row>
    <row r="574" spans="2:2" ht="15.75" customHeight="1" x14ac:dyDescent="0.35">
      <c r="B574" s="4"/>
    </row>
    <row r="575" spans="2:2" ht="15.75" customHeight="1" x14ac:dyDescent="0.35">
      <c r="B575" s="4"/>
    </row>
    <row r="576" spans="2:2" ht="15.75" customHeight="1" x14ac:dyDescent="0.35">
      <c r="B576" s="4"/>
    </row>
    <row r="577" spans="2:2" ht="15.75" customHeight="1" x14ac:dyDescent="0.35">
      <c r="B577" s="4"/>
    </row>
    <row r="578" spans="2:2" ht="15.75" customHeight="1" x14ac:dyDescent="0.35">
      <c r="B578" s="4"/>
    </row>
    <row r="579" spans="2:2" ht="15.75" customHeight="1" x14ac:dyDescent="0.35">
      <c r="B579" s="4"/>
    </row>
    <row r="580" spans="2:2" ht="15.75" customHeight="1" x14ac:dyDescent="0.35">
      <c r="B580" s="4"/>
    </row>
    <row r="581" spans="2:2" ht="15.75" customHeight="1" x14ac:dyDescent="0.35">
      <c r="B581" s="4"/>
    </row>
    <row r="582" spans="2:2" ht="15.75" customHeight="1" x14ac:dyDescent="0.35">
      <c r="B582" s="4"/>
    </row>
    <row r="583" spans="2:2" ht="15.75" customHeight="1" x14ac:dyDescent="0.35">
      <c r="B583" s="4"/>
    </row>
    <row r="584" spans="2:2" ht="15.75" customHeight="1" x14ac:dyDescent="0.35">
      <c r="B584" s="4"/>
    </row>
    <row r="585" spans="2:2" ht="15.75" customHeight="1" x14ac:dyDescent="0.35">
      <c r="B585" s="4"/>
    </row>
    <row r="586" spans="2:2" ht="15.75" customHeight="1" x14ac:dyDescent="0.35">
      <c r="B586" s="4"/>
    </row>
    <row r="587" spans="2:2" ht="15.75" customHeight="1" x14ac:dyDescent="0.35">
      <c r="B587" s="4"/>
    </row>
    <row r="588" spans="2:2" ht="15.75" customHeight="1" x14ac:dyDescent="0.35">
      <c r="B588" s="4"/>
    </row>
    <row r="589" spans="2:2" ht="15.75" customHeight="1" x14ac:dyDescent="0.35">
      <c r="B589" s="4"/>
    </row>
    <row r="590" spans="2:2" ht="15.75" customHeight="1" x14ac:dyDescent="0.35">
      <c r="B590" s="4"/>
    </row>
    <row r="591" spans="2:2" ht="15.75" customHeight="1" x14ac:dyDescent="0.35">
      <c r="B591" s="4"/>
    </row>
    <row r="592" spans="2:2" ht="15.75" customHeight="1" x14ac:dyDescent="0.35">
      <c r="B592" s="4"/>
    </row>
    <row r="593" spans="2:2" ht="15.75" customHeight="1" x14ac:dyDescent="0.35">
      <c r="B593" s="4"/>
    </row>
    <row r="594" spans="2:2" ht="15.75" customHeight="1" x14ac:dyDescent="0.35">
      <c r="B594" s="4"/>
    </row>
    <row r="595" spans="2:2" ht="15.75" customHeight="1" x14ac:dyDescent="0.35">
      <c r="B595" s="4"/>
    </row>
    <row r="596" spans="2:2" ht="15.75" customHeight="1" x14ac:dyDescent="0.35">
      <c r="B596" s="4"/>
    </row>
    <row r="597" spans="2:2" ht="15.75" customHeight="1" x14ac:dyDescent="0.35">
      <c r="B597" s="4"/>
    </row>
    <row r="598" spans="2:2" ht="15.75" customHeight="1" x14ac:dyDescent="0.35">
      <c r="B598" s="4"/>
    </row>
    <row r="599" spans="2:2" ht="15.75" customHeight="1" x14ac:dyDescent="0.35">
      <c r="B599" s="4"/>
    </row>
    <row r="600" spans="2:2" ht="15.75" customHeight="1" x14ac:dyDescent="0.35">
      <c r="B600" s="4"/>
    </row>
    <row r="601" spans="2:2" ht="15.75" customHeight="1" x14ac:dyDescent="0.35">
      <c r="B601" s="4"/>
    </row>
    <row r="602" spans="2:2" ht="15.75" customHeight="1" x14ac:dyDescent="0.35">
      <c r="B602" s="4"/>
    </row>
    <row r="603" spans="2:2" ht="15.75" customHeight="1" x14ac:dyDescent="0.35">
      <c r="B603" s="4"/>
    </row>
    <row r="604" spans="2:2" ht="15.75" customHeight="1" x14ac:dyDescent="0.35">
      <c r="B604" s="4"/>
    </row>
    <row r="605" spans="2:2" ht="15.75" customHeight="1" x14ac:dyDescent="0.35">
      <c r="B605" s="4"/>
    </row>
    <row r="606" spans="2:2" ht="15.75" customHeight="1" x14ac:dyDescent="0.35">
      <c r="B606" s="4"/>
    </row>
    <row r="607" spans="2:2" ht="15.75" customHeight="1" x14ac:dyDescent="0.35">
      <c r="B607" s="4"/>
    </row>
    <row r="608" spans="2:2" ht="15.75" customHeight="1" x14ac:dyDescent="0.35">
      <c r="B608" s="4"/>
    </row>
    <row r="609" spans="2:2" ht="15.75" customHeight="1" x14ac:dyDescent="0.35">
      <c r="B609" s="4"/>
    </row>
    <row r="610" spans="2:2" ht="15.75" customHeight="1" x14ac:dyDescent="0.35">
      <c r="B610" s="4"/>
    </row>
    <row r="611" spans="2:2" ht="15.75" customHeight="1" x14ac:dyDescent="0.35">
      <c r="B611" s="4"/>
    </row>
    <row r="612" spans="2:2" ht="15.75" customHeight="1" x14ac:dyDescent="0.35">
      <c r="B612" s="4"/>
    </row>
    <row r="613" spans="2:2" ht="15.75" customHeight="1" x14ac:dyDescent="0.35">
      <c r="B613" s="4"/>
    </row>
    <row r="614" spans="2:2" ht="15.75" customHeight="1" x14ac:dyDescent="0.35">
      <c r="B614" s="4"/>
    </row>
    <row r="615" spans="2:2" ht="15.75" customHeight="1" x14ac:dyDescent="0.35">
      <c r="B615" s="4"/>
    </row>
    <row r="616" spans="2:2" ht="15.75" customHeight="1" x14ac:dyDescent="0.35">
      <c r="B616" s="4"/>
    </row>
    <row r="617" spans="2:2" ht="15.75" customHeight="1" x14ac:dyDescent="0.35">
      <c r="B617" s="4"/>
    </row>
    <row r="618" spans="2:2" ht="15.75" customHeight="1" x14ac:dyDescent="0.35">
      <c r="B618" s="4"/>
    </row>
    <row r="619" spans="2:2" ht="15.75" customHeight="1" x14ac:dyDescent="0.35">
      <c r="B619" s="4"/>
    </row>
    <row r="620" spans="2:2" ht="15.75" customHeight="1" x14ac:dyDescent="0.35">
      <c r="B620" s="4"/>
    </row>
    <row r="621" spans="2:2" ht="15.75" customHeight="1" x14ac:dyDescent="0.35">
      <c r="B621" s="4"/>
    </row>
    <row r="622" spans="2:2" ht="15.75" customHeight="1" x14ac:dyDescent="0.35">
      <c r="B622" s="4"/>
    </row>
    <row r="623" spans="2:2" ht="15.75" customHeight="1" x14ac:dyDescent="0.35">
      <c r="B623" s="4"/>
    </row>
    <row r="624" spans="2:2" ht="15.75" customHeight="1" x14ac:dyDescent="0.35">
      <c r="B624" s="4"/>
    </row>
    <row r="625" spans="2:2" ht="15.75" customHeight="1" x14ac:dyDescent="0.35">
      <c r="B625" s="4"/>
    </row>
    <row r="626" spans="2:2" ht="15.75" customHeight="1" x14ac:dyDescent="0.35">
      <c r="B626" s="4"/>
    </row>
    <row r="627" spans="2:2" ht="15.75" customHeight="1" x14ac:dyDescent="0.35">
      <c r="B627" s="4"/>
    </row>
    <row r="628" spans="2:2" ht="15.75" customHeight="1" x14ac:dyDescent="0.35">
      <c r="B628" s="4"/>
    </row>
    <row r="629" spans="2:2" ht="15.75" customHeight="1" x14ac:dyDescent="0.35">
      <c r="B629" s="4"/>
    </row>
    <row r="630" spans="2:2" ht="15.75" customHeight="1" x14ac:dyDescent="0.35">
      <c r="B630" s="4"/>
    </row>
    <row r="631" spans="2:2" ht="15.75" customHeight="1" x14ac:dyDescent="0.35">
      <c r="B631" s="4"/>
    </row>
    <row r="632" spans="2:2" ht="15.75" customHeight="1" x14ac:dyDescent="0.35">
      <c r="B632" s="4"/>
    </row>
    <row r="633" spans="2:2" ht="15.75" customHeight="1" x14ac:dyDescent="0.35">
      <c r="B633" s="4"/>
    </row>
    <row r="634" spans="2:2" ht="15.75" customHeight="1" x14ac:dyDescent="0.35">
      <c r="B634" s="4"/>
    </row>
    <row r="635" spans="2:2" ht="15.75" customHeight="1" x14ac:dyDescent="0.35">
      <c r="B635" s="4"/>
    </row>
    <row r="636" spans="2:2" ht="15.75" customHeight="1" x14ac:dyDescent="0.35">
      <c r="B636" s="4"/>
    </row>
    <row r="637" spans="2:2" ht="15.75" customHeight="1" x14ac:dyDescent="0.35">
      <c r="B637" s="4"/>
    </row>
    <row r="638" spans="2:2" ht="15.75" customHeight="1" x14ac:dyDescent="0.35">
      <c r="B638" s="4"/>
    </row>
    <row r="639" spans="2:2" ht="15.75" customHeight="1" x14ac:dyDescent="0.35">
      <c r="B639" s="4"/>
    </row>
    <row r="640" spans="2:2" ht="15.75" customHeight="1" x14ac:dyDescent="0.35">
      <c r="B640" s="4"/>
    </row>
    <row r="641" spans="2:2" ht="15.75" customHeight="1" x14ac:dyDescent="0.35">
      <c r="B641" s="4"/>
    </row>
    <row r="642" spans="2:2" ht="15.75" customHeight="1" x14ac:dyDescent="0.35">
      <c r="B642" s="4"/>
    </row>
    <row r="643" spans="2:2" ht="15.75" customHeight="1" x14ac:dyDescent="0.35">
      <c r="B643" s="4"/>
    </row>
    <row r="644" spans="2:2" ht="15.75" customHeight="1" x14ac:dyDescent="0.35">
      <c r="B644" s="4"/>
    </row>
    <row r="645" spans="2:2" ht="15.75" customHeight="1" x14ac:dyDescent="0.35">
      <c r="B645" s="4"/>
    </row>
    <row r="646" spans="2:2" ht="15.75" customHeight="1" x14ac:dyDescent="0.35">
      <c r="B646" s="4"/>
    </row>
    <row r="647" spans="2:2" ht="15.75" customHeight="1" x14ac:dyDescent="0.35">
      <c r="B647" s="4"/>
    </row>
    <row r="648" spans="2:2" ht="15.75" customHeight="1" x14ac:dyDescent="0.35">
      <c r="B648" s="4"/>
    </row>
    <row r="649" spans="2:2" ht="15.75" customHeight="1" x14ac:dyDescent="0.35">
      <c r="B649" s="4"/>
    </row>
    <row r="650" spans="2:2" ht="15.75" customHeight="1" x14ac:dyDescent="0.35">
      <c r="B650" s="4"/>
    </row>
    <row r="651" spans="2:2" ht="15.75" customHeight="1" x14ac:dyDescent="0.35">
      <c r="B651" s="4"/>
    </row>
    <row r="652" spans="2:2" ht="15.75" customHeight="1" x14ac:dyDescent="0.35">
      <c r="B652" s="4"/>
    </row>
    <row r="653" spans="2:2" ht="15.75" customHeight="1" x14ac:dyDescent="0.35">
      <c r="B653" s="4"/>
    </row>
    <row r="654" spans="2:2" ht="15.75" customHeight="1" x14ac:dyDescent="0.35">
      <c r="B654" s="4"/>
    </row>
    <row r="655" spans="2:2" ht="15.75" customHeight="1" x14ac:dyDescent="0.35">
      <c r="B655" s="4"/>
    </row>
    <row r="656" spans="2:2" ht="15.75" customHeight="1" x14ac:dyDescent="0.35">
      <c r="B656" s="4"/>
    </row>
    <row r="657" spans="2:2" ht="15.75" customHeight="1" x14ac:dyDescent="0.35">
      <c r="B657" s="4"/>
    </row>
    <row r="658" spans="2:2" ht="15.75" customHeight="1" x14ac:dyDescent="0.35">
      <c r="B658" s="4"/>
    </row>
    <row r="659" spans="2:2" ht="15.75" customHeight="1" x14ac:dyDescent="0.35">
      <c r="B659" s="4"/>
    </row>
    <row r="660" spans="2:2" ht="15.75" customHeight="1" x14ac:dyDescent="0.35">
      <c r="B660" s="4"/>
    </row>
    <row r="661" spans="2:2" ht="15.75" customHeight="1" x14ac:dyDescent="0.35">
      <c r="B661" s="4"/>
    </row>
    <row r="662" spans="2:2" ht="15.75" customHeight="1" x14ac:dyDescent="0.35">
      <c r="B662" s="4"/>
    </row>
    <row r="663" spans="2:2" ht="15.75" customHeight="1" x14ac:dyDescent="0.35">
      <c r="B663" s="4"/>
    </row>
    <row r="664" spans="2:2" ht="15.75" customHeight="1" x14ac:dyDescent="0.35">
      <c r="B664" s="4"/>
    </row>
    <row r="665" spans="2:2" ht="15.75" customHeight="1" x14ac:dyDescent="0.35">
      <c r="B665" s="4"/>
    </row>
    <row r="666" spans="2:2" ht="15.75" customHeight="1" x14ac:dyDescent="0.35">
      <c r="B666" s="4"/>
    </row>
    <row r="667" spans="2:2" ht="15.75" customHeight="1" x14ac:dyDescent="0.35">
      <c r="B667" s="4"/>
    </row>
    <row r="668" spans="2:2" ht="15.75" customHeight="1" x14ac:dyDescent="0.35">
      <c r="B668" s="4"/>
    </row>
    <row r="669" spans="2:2" ht="15.75" customHeight="1" x14ac:dyDescent="0.35">
      <c r="B669" s="4"/>
    </row>
    <row r="670" spans="2:2" ht="15.75" customHeight="1" x14ac:dyDescent="0.35">
      <c r="B670" s="4"/>
    </row>
    <row r="671" spans="2:2" ht="15.75" customHeight="1" x14ac:dyDescent="0.35">
      <c r="B671" s="4"/>
    </row>
    <row r="672" spans="2:2" ht="15.75" customHeight="1" x14ac:dyDescent="0.35">
      <c r="B672" s="4"/>
    </row>
    <row r="673" spans="2:2" ht="15.75" customHeight="1" x14ac:dyDescent="0.35">
      <c r="B673" s="4"/>
    </row>
    <row r="674" spans="2:2" ht="15.75" customHeight="1" x14ac:dyDescent="0.35">
      <c r="B674" s="4"/>
    </row>
    <row r="675" spans="2:2" ht="15.75" customHeight="1" x14ac:dyDescent="0.35">
      <c r="B675" s="4"/>
    </row>
    <row r="676" spans="2:2" ht="15.75" customHeight="1" x14ac:dyDescent="0.35">
      <c r="B676" s="4"/>
    </row>
    <row r="677" spans="2:2" ht="15.75" customHeight="1" x14ac:dyDescent="0.35">
      <c r="B677" s="4"/>
    </row>
    <row r="678" spans="2:2" ht="15.75" customHeight="1" x14ac:dyDescent="0.35">
      <c r="B678" s="4"/>
    </row>
    <row r="679" spans="2:2" ht="15.75" customHeight="1" x14ac:dyDescent="0.35">
      <c r="B679" s="4"/>
    </row>
    <row r="680" spans="2:2" ht="15.75" customHeight="1" x14ac:dyDescent="0.35">
      <c r="B680" s="4"/>
    </row>
    <row r="681" spans="2:2" ht="15.75" customHeight="1" x14ac:dyDescent="0.35">
      <c r="B681" s="4"/>
    </row>
    <row r="682" spans="2:2" ht="15.75" customHeight="1" x14ac:dyDescent="0.35">
      <c r="B682" s="4"/>
    </row>
    <row r="683" spans="2:2" ht="15.75" customHeight="1" x14ac:dyDescent="0.35">
      <c r="B683" s="4"/>
    </row>
    <row r="684" spans="2:2" ht="15.75" customHeight="1" x14ac:dyDescent="0.35">
      <c r="B684" s="4"/>
    </row>
    <row r="685" spans="2:2" ht="15.75" customHeight="1" x14ac:dyDescent="0.35">
      <c r="B685" s="4"/>
    </row>
    <row r="686" spans="2:2" ht="15.75" customHeight="1" x14ac:dyDescent="0.35">
      <c r="B686" s="4"/>
    </row>
    <row r="687" spans="2:2" ht="15.75" customHeight="1" x14ac:dyDescent="0.35">
      <c r="B687" s="4"/>
    </row>
    <row r="688" spans="2:2" ht="15.75" customHeight="1" x14ac:dyDescent="0.35">
      <c r="B688" s="4"/>
    </row>
    <row r="689" spans="2:2" ht="15.75" customHeight="1" x14ac:dyDescent="0.35">
      <c r="B689" s="4"/>
    </row>
    <row r="690" spans="2:2" ht="15.75" customHeight="1" x14ac:dyDescent="0.35">
      <c r="B690" s="4"/>
    </row>
    <row r="691" spans="2:2" ht="15.75" customHeight="1" x14ac:dyDescent="0.35">
      <c r="B691" s="4"/>
    </row>
    <row r="692" spans="2:2" ht="15.75" customHeight="1" x14ac:dyDescent="0.35">
      <c r="B692" s="4"/>
    </row>
    <row r="693" spans="2:2" ht="15.75" customHeight="1" x14ac:dyDescent="0.35">
      <c r="B693" s="4"/>
    </row>
    <row r="694" spans="2:2" ht="15.75" customHeight="1" x14ac:dyDescent="0.35">
      <c r="B694" s="4"/>
    </row>
    <row r="695" spans="2:2" ht="15.75" customHeight="1" x14ac:dyDescent="0.35">
      <c r="B695" s="4"/>
    </row>
    <row r="696" spans="2:2" ht="15.75" customHeight="1" x14ac:dyDescent="0.35">
      <c r="B696" s="4"/>
    </row>
    <row r="697" spans="2:2" ht="15.75" customHeight="1" x14ac:dyDescent="0.35">
      <c r="B697" s="4"/>
    </row>
    <row r="698" spans="2:2" ht="15.75" customHeight="1" x14ac:dyDescent="0.35">
      <c r="B698" s="4"/>
    </row>
    <row r="699" spans="2:2" ht="15.75" customHeight="1" x14ac:dyDescent="0.35">
      <c r="B699" s="4"/>
    </row>
    <row r="700" spans="2:2" ht="15.75" customHeight="1" x14ac:dyDescent="0.35">
      <c r="B700" s="4"/>
    </row>
    <row r="701" spans="2:2" ht="15.75" customHeight="1" x14ac:dyDescent="0.35">
      <c r="B701" s="4"/>
    </row>
    <row r="702" spans="2:2" ht="15.75" customHeight="1" x14ac:dyDescent="0.35">
      <c r="B702" s="4"/>
    </row>
    <row r="703" spans="2:2" ht="15.75" customHeight="1" x14ac:dyDescent="0.35">
      <c r="B703" s="4"/>
    </row>
    <row r="704" spans="2:2" ht="15.75" customHeight="1" x14ac:dyDescent="0.35">
      <c r="B704" s="4"/>
    </row>
    <row r="705" spans="2:2" ht="15.75" customHeight="1" x14ac:dyDescent="0.35">
      <c r="B705" s="4"/>
    </row>
    <row r="706" spans="2:2" ht="15.75" customHeight="1" x14ac:dyDescent="0.35">
      <c r="B706" s="4"/>
    </row>
    <row r="707" spans="2:2" ht="15.75" customHeight="1" x14ac:dyDescent="0.35">
      <c r="B707" s="4"/>
    </row>
    <row r="708" spans="2:2" ht="15.75" customHeight="1" x14ac:dyDescent="0.35">
      <c r="B708" s="4"/>
    </row>
    <row r="709" spans="2:2" ht="15.75" customHeight="1" x14ac:dyDescent="0.35">
      <c r="B709" s="4"/>
    </row>
    <row r="710" spans="2:2" ht="15.75" customHeight="1" x14ac:dyDescent="0.35">
      <c r="B710" s="4"/>
    </row>
    <row r="711" spans="2:2" ht="15.75" customHeight="1" x14ac:dyDescent="0.35">
      <c r="B711" s="4"/>
    </row>
    <row r="712" spans="2:2" ht="15.75" customHeight="1" x14ac:dyDescent="0.35">
      <c r="B712" s="4"/>
    </row>
    <row r="713" spans="2:2" ht="15.75" customHeight="1" x14ac:dyDescent="0.35">
      <c r="B713" s="4"/>
    </row>
    <row r="714" spans="2:2" ht="15.75" customHeight="1" x14ac:dyDescent="0.35">
      <c r="B714" s="4"/>
    </row>
    <row r="715" spans="2:2" ht="15.75" customHeight="1" x14ac:dyDescent="0.35">
      <c r="B715" s="4"/>
    </row>
    <row r="716" spans="2:2" ht="15.75" customHeight="1" x14ac:dyDescent="0.35">
      <c r="B716" s="4"/>
    </row>
    <row r="717" spans="2:2" ht="15.75" customHeight="1" x14ac:dyDescent="0.35">
      <c r="B717" s="4"/>
    </row>
    <row r="718" spans="2:2" ht="15.75" customHeight="1" x14ac:dyDescent="0.35">
      <c r="B718" s="4"/>
    </row>
    <row r="719" spans="2:2" ht="15.75" customHeight="1" x14ac:dyDescent="0.35">
      <c r="B719" s="4"/>
    </row>
    <row r="720" spans="2:2" ht="15.75" customHeight="1" x14ac:dyDescent="0.35">
      <c r="B720" s="4"/>
    </row>
    <row r="721" spans="2:2" ht="15.75" customHeight="1" x14ac:dyDescent="0.35">
      <c r="B721" s="4"/>
    </row>
    <row r="722" spans="2:2" ht="15.75" customHeight="1" x14ac:dyDescent="0.35">
      <c r="B722" s="4"/>
    </row>
    <row r="723" spans="2:2" ht="15.75" customHeight="1" x14ac:dyDescent="0.35">
      <c r="B723" s="4"/>
    </row>
    <row r="724" spans="2:2" ht="15.75" customHeight="1" x14ac:dyDescent="0.35">
      <c r="B724" s="4"/>
    </row>
    <row r="725" spans="2:2" ht="15.75" customHeight="1" x14ac:dyDescent="0.35">
      <c r="B725" s="4"/>
    </row>
    <row r="726" spans="2:2" ht="15.75" customHeight="1" x14ac:dyDescent="0.35">
      <c r="B726" s="4"/>
    </row>
    <row r="727" spans="2:2" ht="15.75" customHeight="1" x14ac:dyDescent="0.35">
      <c r="B727" s="4"/>
    </row>
    <row r="728" spans="2:2" ht="15.75" customHeight="1" x14ac:dyDescent="0.35">
      <c r="B728" s="4"/>
    </row>
    <row r="729" spans="2:2" ht="15.75" customHeight="1" x14ac:dyDescent="0.35">
      <c r="B729" s="4"/>
    </row>
    <row r="730" spans="2:2" ht="15.75" customHeight="1" x14ac:dyDescent="0.35">
      <c r="B730" s="4"/>
    </row>
    <row r="731" spans="2:2" ht="15.75" customHeight="1" x14ac:dyDescent="0.35">
      <c r="B731" s="4"/>
    </row>
    <row r="732" spans="2:2" ht="15.75" customHeight="1" x14ac:dyDescent="0.35">
      <c r="B732" s="4"/>
    </row>
    <row r="733" spans="2:2" ht="15.75" customHeight="1" x14ac:dyDescent="0.35">
      <c r="B733" s="4"/>
    </row>
    <row r="734" spans="2:2" ht="15.75" customHeight="1" x14ac:dyDescent="0.35">
      <c r="B734" s="4"/>
    </row>
    <row r="735" spans="2:2" ht="15.75" customHeight="1" x14ac:dyDescent="0.35">
      <c r="B735" s="4"/>
    </row>
    <row r="736" spans="2:2" ht="15.75" customHeight="1" x14ac:dyDescent="0.35">
      <c r="B736" s="4"/>
    </row>
    <row r="737" spans="2:2" ht="15.75" customHeight="1" x14ac:dyDescent="0.35">
      <c r="B737" s="4"/>
    </row>
    <row r="738" spans="2:2" ht="15.75" customHeight="1" x14ac:dyDescent="0.35">
      <c r="B738" s="4"/>
    </row>
    <row r="739" spans="2:2" ht="15.75" customHeight="1" x14ac:dyDescent="0.35">
      <c r="B739" s="4"/>
    </row>
    <row r="740" spans="2:2" ht="15.75" customHeight="1" x14ac:dyDescent="0.35">
      <c r="B740" s="4"/>
    </row>
    <row r="741" spans="2:2" ht="15.75" customHeight="1" x14ac:dyDescent="0.35">
      <c r="B741" s="4"/>
    </row>
    <row r="742" spans="2:2" ht="15.75" customHeight="1" x14ac:dyDescent="0.35">
      <c r="B742" s="4"/>
    </row>
    <row r="743" spans="2:2" ht="15.75" customHeight="1" x14ac:dyDescent="0.35">
      <c r="B743" s="4"/>
    </row>
    <row r="744" spans="2:2" ht="15.75" customHeight="1" x14ac:dyDescent="0.35">
      <c r="B744" s="4"/>
    </row>
    <row r="745" spans="2:2" ht="15.75" customHeight="1" x14ac:dyDescent="0.35">
      <c r="B745" s="4"/>
    </row>
    <row r="746" spans="2:2" ht="15.75" customHeight="1" x14ac:dyDescent="0.35">
      <c r="B746" s="4"/>
    </row>
    <row r="747" spans="2:2" ht="15.75" customHeight="1" x14ac:dyDescent="0.35">
      <c r="B747" s="4"/>
    </row>
    <row r="748" spans="2:2" ht="15.75" customHeight="1" x14ac:dyDescent="0.35">
      <c r="B748" s="4"/>
    </row>
    <row r="749" spans="2:2" ht="15.75" customHeight="1" x14ac:dyDescent="0.35">
      <c r="B749" s="4"/>
    </row>
    <row r="750" spans="2:2" ht="15.75" customHeight="1" x14ac:dyDescent="0.35">
      <c r="B750" s="4"/>
    </row>
    <row r="751" spans="2:2" ht="15.75" customHeight="1" x14ac:dyDescent="0.35">
      <c r="B751" s="4"/>
    </row>
    <row r="752" spans="2:2" ht="15.75" customHeight="1" x14ac:dyDescent="0.35">
      <c r="B752" s="4"/>
    </row>
    <row r="753" spans="2:2" ht="15.75" customHeight="1" x14ac:dyDescent="0.35">
      <c r="B753" s="4"/>
    </row>
    <row r="754" spans="2:2" ht="15.75" customHeight="1" x14ac:dyDescent="0.35">
      <c r="B754" s="4"/>
    </row>
    <row r="755" spans="2:2" ht="15.75" customHeight="1" x14ac:dyDescent="0.35">
      <c r="B755" s="4"/>
    </row>
    <row r="756" spans="2:2" ht="15.75" customHeight="1" x14ac:dyDescent="0.35">
      <c r="B756" s="4"/>
    </row>
    <row r="757" spans="2:2" ht="15.75" customHeight="1" x14ac:dyDescent="0.35">
      <c r="B757" s="4"/>
    </row>
    <row r="758" spans="2:2" ht="15.75" customHeight="1" x14ac:dyDescent="0.35">
      <c r="B758" s="4"/>
    </row>
    <row r="759" spans="2:2" ht="15.75" customHeight="1" x14ac:dyDescent="0.35">
      <c r="B759" s="4"/>
    </row>
    <row r="760" spans="2:2" ht="15.75" customHeight="1" x14ac:dyDescent="0.35">
      <c r="B760" s="4"/>
    </row>
    <row r="761" spans="2:2" ht="15.75" customHeight="1" x14ac:dyDescent="0.35">
      <c r="B761" s="4"/>
    </row>
    <row r="762" spans="2:2" ht="15.75" customHeight="1" x14ac:dyDescent="0.35">
      <c r="B762" s="4"/>
    </row>
    <row r="763" spans="2:2" ht="15.75" customHeight="1" x14ac:dyDescent="0.35">
      <c r="B763" s="4"/>
    </row>
    <row r="764" spans="2:2" ht="15.75" customHeight="1" x14ac:dyDescent="0.35">
      <c r="B764" s="4"/>
    </row>
    <row r="765" spans="2:2" ht="15.75" customHeight="1" x14ac:dyDescent="0.35">
      <c r="B765" s="4"/>
    </row>
    <row r="766" spans="2:2" ht="15.75" customHeight="1" x14ac:dyDescent="0.35">
      <c r="B766" s="4"/>
    </row>
    <row r="767" spans="2:2" ht="15.75" customHeight="1" x14ac:dyDescent="0.35">
      <c r="B767" s="4"/>
    </row>
    <row r="768" spans="2:2" ht="15.75" customHeight="1" x14ac:dyDescent="0.35">
      <c r="B768" s="4"/>
    </row>
    <row r="769" spans="2:2" ht="15.75" customHeight="1" x14ac:dyDescent="0.35">
      <c r="B769" s="4"/>
    </row>
    <row r="770" spans="2:2" ht="15.75" customHeight="1" x14ac:dyDescent="0.35">
      <c r="B770" s="4"/>
    </row>
    <row r="771" spans="2:2" ht="15.75" customHeight="1" x14ac:dyDescent="0.35">
      <c r="B771" s="4"/>
    </row>
    <row r="772" spans="2:2" ht="15.75" customHeight="1" x14ac:dyDescent="0.35">
      <c r="B772" s="4"/>
    </row>
    <row r="773" spans="2:2" ht="15.75" customHeight="1" x14ac:dyDescent="0.35">
      <c r="B773" s="4"/>
    </row>
    <row r="774" spans="2:2" ht="15.75" customHeight="1" x14ac:dyDescent="0.35">
      <c r="B774" s="4"/>
    </row>
    <row r="775" spans="2:2" ht="15.75" customHeight="1" x14ac:dyDescent="0.35">
      <c r="B775" s="4"/>
    </row>
    <row r="776" spans="2:2" ht="15.75" customHeight="1" x14ac:dyDescent="0.35">
      <c r="B776" s="4"/>
    </row>
    <row r="777" spans="2:2" ht="15.75" customHeight="1" x14ac:dyDescent="0.35">
      <c r="B777" s="4"/>
    </row>
    <row r="778" spans="2:2" ht="15.75" customHeight="1" x14ac:dyDescent="0.35">
      <c r="B778" s="4"/>
    </row>
    <row r="779" spans="2:2" ht="15.75" customHeight="1" x14ac:dyDescent="0.35">
      <c r="B779" s="4"/>
    </row>
    <row r="780" spans="2:2" ht="15.75" customHeight="1" x14ac:dyDescent="0.35">
      <c r="B780" s="4"/>
    </row>
    <row r="781" spans="2:2" ht="15.75" customHeight="1" x14ac:dyDescent="0.35">
      <c r="B781" s="4"/>
    </row>
    <row r="782" spans="2:2" ht="15.75" customHeight="1" x14ac:dyDescent="0.35">
      <c r="B782" s="4"/>
    </row>
    <row r="783" spans="2:2" ht="15.75" customHeight="1" x14ac:dyDescent="0.35">
      <c r="B783" s="4"/>
    </row>
    <row r="784" spans="2:2" ht="15.75" customHeight="1" x14ac:dyDescent="0.35">
      <c r="B784" s="4"/>
    </row>
    <row r="785" spans="2:2" ht="15.75" customHeight="1" x14ac:dyDescent="0.35">
      <c r="B785" s="4"/>
    </row>
    <row r="786" spans="2:2" ht="15.75" customHeight="1" x14ac:dyDescent="0.35">
      <c r="B786" s="4"/>
    </row>
    <row r="787" spans="2:2" ht="15.75" customHeight="1" x14ac:dyDescent="0.35">
      <c r="B787" s="4"/>
    </row>
    <row r="788" spans="2:2" ht="15.75" customHeight="1" x14ac:dyDescent="0.35">
      <c r="B788" s="4"/>
    </row>
    <row r="789" spans="2:2" ht="15.75" customHeight="1" x14ac:dyDescent="0.35">
      <c r="B789" s="4"/>
    </row>
    <row r="790" spans="2:2" ht="15.75" customHeight="1" x14ac:dyDescent="0.35">
      <c r="B790" s="4"/>
    </row>
    <row r="791" spans="2:2" ht="15.75" customHeight="1" x14ac:dyDescent="0.35">
      <c r="B791" s="4"/>
    </row>
    <row r="792" spans="2:2" ht="15.75" customHeight="1" x14ac:dyDescent="0.35">
      <c r="B792" s="4"/>
    </row>
    <row r="793" spans="2:2" ht="15.75" customHeight="1" x14ac:dyDescent="0.35">
      <c r="B793" s="4"/>
    </row>
    <row r="794" spans="2:2" ht="15.75" customHeight="1" x14ac:dyDescent="0.35">
      <c r="B794" s="4"/>
    </row>
    <row r="795" spans="2:2" ht="15.75" customHeight="1" x14ac:dyDescent="0.35">
      <c r="B795" s="4"/>
    </row>
    <row r="796" spans="2:2" ht="15.75" customHeight="1" x14ac:dyDescent="0.35">
      <c r="B796" s="4"/>
    </row>
    <row r="797" spans="2:2" ht="15.75" customHeight="1" x14ac:dyDescent="0.35">
      <c r="B797" s="4"/>
    </row>
    <row r="798" spans="2:2" ht="15.75" customHeight="1" x14ac:dyDescent="0.35">
      <c r="B798" s="4"/>
    </row>
    <row r="799" spans="2:2" ht="15.75" customHeight="1" x14ac:dyDescent="0.35">
      <c r="B799" s="4"/>
    </row>
    <row r="800" spans="2:2" ht="15.75" customHeight="1" x14ac:dyDescent="0.35">
      <c r="B800" s="4"/>
    </row>
    <row r="801" spans="2:2" ht="15.75" customHeight="1" x14ac:dyDescent="0.35">
      <c r="B801" s="4"/>
    </row>
    <row r="802" spans="2:2" ht="15.75" customHeight="1" x14ac:dyDescent="0.35">
      <c r="B802" s="4"/>
    </row>
    <row r="803" spans="2:2" ht="15.75" customHeight="1" x14ac:dyDescent="0.35">
      <c r="B803" s="4"/>
    </row>
    <row r="804" spans="2:2" ht="15.75" customHeight="1" x14ac:dyDescent="0.35">
      <c r="B804" s="4"/>
    </row>
    <row r="805" spans="2:2" ht="15.75" customHeight="1" x14ac:dyDescent="0.35">
      <c r="B805" s="4"/>
    </row>
    <row r="806" spans="2:2" ht="15.75" customHeight="1" x14ac:dyDescent="0.35">
      <c r="B806" s="4"/>
    </row>
    <row r="807" spans="2:2" ht="15.75" customHeight="1" x14ac:dyDescent="0.35">
      <c r="B807" s="4"/>
    </row>
    <row r="808" spans="2:2" ht="15.75" customHeight="1" x14ac:dyDescent="0.35">
      <c r="B808" s="4"/>
    </row>
    <row r="809" spans="2:2" ht="15.75" customHeight="1" x14ac:dyDescent="0.35">
      <c r="B809" s="4"/>
    </row>
    <row r="810" spans="2:2" ht="15.75" customHeight="1" x14ac:dyDescent="0.35">
      <c r="B810" s="4"/>
    </row>
    <row r="811" spans="2:2" ht="15.75" customHeight="1" x14ac:dyDescent="0.35">
      <c r="B811" s="4"/>
    </row>
    <row r="812" spans="2:2" ht="15.75" customHeight="1" x14ac:dyDescent="0.35">
      <c r="B812" s="4"/>
    </row>
    <row r="813" spans="2:2" ht="15.75" customHeight="1" x14ac:dyDescent="0.35">
      <c r="B813" s="4"/>
    </row>
    <row r="814" spans="2:2" ht="15.75" customHeight="1" x14ac:dyDescent="0.35">
      <c r="B814" s="4"/>
    </row>
    <row r="815" spans="2:2" ht="15.75" customHeight="1" x14ac:dyDescent="0.35">
      <c r="B815" s="4"/>
    </row>
    <row r="816" spans="2:2" ht="15.75" customHeight="1" x14ac:dyDescent="0.35">
      <c r="B816" s="4"/>
    </row>
    <row r="817" spans="2:2" ht="15.75" customHeight="1" x14ac:dyDescent="0.35">
      <c r="B817" s="4"/>
    </row>
    <row r="818" spans="2:2" ht="15.75" customHeight="1" x14ac:dyDescent="0.35">
      <c r="B818" s="4"/>
    </row>
    <row r="819" spans="2:2" ht="15.75" customHeight="1" x14ac:dyDescent="0.35">
      <c r="B819" s="4"/>
    </row>
    <row r="820" spans="2:2" ht="15.75" customHeight="1" x14ac:dyDescent="0.35">
      <c r="B820" s="4"/>
    </row>
    <row r="821" spans="2:2" ht="15.75" customHeight="1" x14ac:dyDescent="0.35">
      <c r="B821" s="4"/>
    </row>
    <row r="822" spans="2:2" ht="15.75" customHeight="1" x14ac:dyDescent="0.35">
      <c r="B822" s="4"/>
    </row>
    <row r="823" spans="2:2" ht="15.75" customHeight="1" x14ac:dyDescent="0.35">
      <c r="B823" s="4"/>
    </row>
    <row r="824" spans="2:2" ht="15.75" customHeight="1" x14ac:dyDescent="0.35">
      <c r="B824" s="4"/>
    </row>
    <row r="825" spans="2:2" ht="15.75" customHeight="1" x14ac:dyDescent="0.35">
      <c r="B825" s="4"/>
    </row>
    <row r="826" spans="2:2" ht="15.75" customHeight="1" x14ac:dyDescent="0.35">
      <c r="B826" s="4"/>
    </row>
    <row r="827" spans="2:2" ht="15.75" customHeight="1" x14ac:dyDescent="0.35">
      <c r="B827" s="4"/>
    </row>
    <row r="828" spans="2:2" ht="15.75" customHeight="1" x14ac:dyDescent="0.35">
      <c r="B828" s="4"/>
    </row>
    <row r="829" spans="2:2" ht="15.75" customHeight="1" x14ac:dyDescent="0.35">
      <c r="B829" s="4"/>
    </row>
    <row r="830" spans="2:2" ht="15.75" customHeight="1" x14ac:dyDescent="0.35">
      <c r="B830" s="4"/>
    </row>
    <row r="831" spans="2:2" ht="15.75" customHeight="1" x14ac:dyDescent="0.35">
      <c r="B831" s="4"/>
    </row>
    <row r="832" spans="2:2" ht="15.75" customHeight="1" x14ac:dyDescent="0.35">
      <c r="B832" s="4"/>
    </row>
    <row r="833" spans="2:2" ht="15.75" customHeight="1" x14ac:dyDescent="0.35">
      <c r="B833" s="4"/>
    </row>
    <row r="834" spans="2:2" ht="15.75" customHeight="1" x14ac:dyDescent="0.35">
      <c r="B834" s="4"/>
    </row>
    <row r="835" spans="2:2" ht="15.75" customHeight="1" x14ac:dyDescent="0.35">
      <c r="B835" s="4"/>
    </row>
    <row r="836" spans="2:2" ht="15.75" customHeight="1" x14ac:dyDescent="0.35">
      <c r="B836" s="4"/>
    </row>
    <row r="837" spans="2:2" ht="15.75" customHeight="1" x14ac:dyDescent="0.35">
      <c r="B837" s="4"/>
    </row>
    <row r="838" spans="2:2" ht="15.75" customHeight="1" x14ac:dyDescent="0.35">
      <c r="B838" s="4"/>
    </row>
    <row r="839" spans="2:2" ht="15.75" customHeight="1" x14ac:dyDescent="0.35">
      <c r="B839" s="4"/>
    </row>
    <row r="840" spans="2:2" ht="15.75" customHeight="1" x14ac:dyDescent="0.35">
      <c r="B840" s="4"/>
    </row>
    <row r="841" spans="2:2" ht="15.75" customHeight="1" x14ac:dyDescent="0.35">
      <c r="B841" s="4"/>
    </row>
    <row r="842" spans="2:2" ht="15.75" customHeight="1" x14ac:dyDescent="0.35">
      <c r="B842" s="4"/>
    </row>
    <row r="843" spans="2:2" ht="15.75" customHeight="1" x14ac:dyDescent="0.35">
      <c r="B843" s="4"/>
    </row>
    <row r="844" spans="2:2" ht="15.75" customHeight="1" x14ac:dyDescent="0.35">
      <c r="B844" s="4"/>
    </row>
    <row r="845" spans="2:2" ht="15.75" customHeight="1" x14ac:dyDescent="0.35">
      <c r="B845" s="4"/>
    </row>
    <row r="846" spans="2:2" ht="15.75" customHeight="1" x14ac:dyDescent="0.35">
      <c r="B846" s="4"/>
    </row>
    <row r="847" spans="2:2" ht="15.75" customHeight="1" x14ac:dyDescent="0.35">
      <c r="B847" s="4"/>
    </row>
    <row r="848" spans="2:2" ht="15.75" customHeight="1" x14ac:dyDescent="0.35">
      <c r="B848" s="4"/>
    </row>
    <row r="849" spans="2:2" ht="15.75" customHeight="1" x14ac:dyDescent="0.35">
      <c r="B849" s="4"/>
    </row>
    <row r="850" spans="2:2" ht="15.75" customHeight="1" x14ac:dyDescent="0.35">
      <c r="B850" s="4"/>
    </row>
    <row r="851" spans="2:2" ht="15.75" customHeight="1" x14ac:dyDescent="0.35">
      <c r="B851" s="4"/>
    </row>
    <row r="852" spans="2:2" ht="15.75" customHeight="1" x14ac:dyDescent="0.35">
      <c r="B852" s="4"/>
    </row>
    <row r="853" spans="2:2" ht="15.75" customHeight="1" x14ac:dyDescent="0.35">
      <c r="B853" s="4"/>
    </row>
    <row r="854" spans="2:2" ht="15.75" customHeight="1" x14ac:dyDescent="0.35">
      <c r="B854" s="4"/>
    </row>
    <row r="855" spans="2:2" ht="15.75" customHeight="1" x14ac:dyDescent="0.35">
      <c r="B855" s="4"/>
    </row>
    <row r="856" spans="2:2" ht="15.75" customHeight="1" x14ac:dyDescent="0.35">
      <c r="B856" s="4"/>
    </row>
    <row r="857" spans="2:2" ht="15.75" customHeight="1" x14ac:dyDescent="0.35">
      <c r="B857" s="4"/>
    </row>
    <row r="858" spans="2:2" ht="15.75" customHeight="1" x14ac:dyDescent="0.35">
      <c r="B858" s="4"/>
    </row>
    <row r="859" spans="2:2" ht="15.75" customHeight="1" x14ac:dyDescent="0.35">
      <c r="B859" s="4"/>
    </row>
    <row r="860" spans="2:2" ht="15.75" customHeight="1" x14ac:dyDescent="0.35">
      <c r="B860" s="4"/>
    </row>
    <row r="861" spans="2:2" ht="15.75" customHeight="1" x14ac:dyDescent="0.35">
      <c r="B861" s="4"/>
    </row>
    <row r="862" spans="2:2" ht="15.75" customHeight="1" x14ac:dyDescent="0.35">
      <c r="B862" s="4"/>
    </row>
    <row r="863" spans="2:2" ht="15.75" customHeight="1" x14ac:dyDescent="0.35">
      <c r="B863" s="4"/>
    </row>
    <row r="864" spans="2:2" ht="15.75" customHeight="1" x14ac:dyDescent="0.35">
      <c r="B864" s="4"/>
    </row>
    <row r="865" spans="2:2" ht="15.75" customHeight="1" x14ac:dyDescent="0.35">
      <c r="B865" s="4"/>
    </row>
    <row r="866" spans="2:2" ht="15.75" customHeight="1" x14ac:dyDescent="0.35">
      <c r="B866" s="4"/>
    </row>
    <row r="867" spans="2:2" ht="15.75" customHeight="1" x14ac:dyDescent="0.35">
      <c r="B867" s="4"/>
    </row>
    <row r="868" spans="2:2" ht="15.75" customHeight="1" x14ac:dyDescent="0.35">
      <c r="B868" s="4"/>
    </row>
    <row r="869" spans="2:2" ht="15.75" customHeight="1" x14ac:dyDescent="0.35">
      <c r="B869" s="4"/>
    </row>
    <row r="870" spans="2:2" ht="15.75" customHeight="1" x14ac:dyDescent="0.35">
      <c r="B870" s="4"/>
    </row>
    <row r="871" spans="2:2" ht="15.75" customHeight="1" x14ac:dyDescent="0.35">
      <c r="B871" s="4"/>
    </row>
    <row r="872" spans="2:2" ht="15.75" customHeight="1" x14ac:dyDescent="0.35">
      <c r="B872" s="4"/>
    </row>
    <row r="873" spans="2:2" ht="15.75" customHeight="1" x14ac:dyDescent="0.35">
      <c r="B873" s="4"/>
    </row>
    <row r="874" spans="2:2" ht="15.75" customHeight="1" x14ac:dyDescent="0.35">
      <c r="B874" s="4"/>
    </row>
    <row r="875" spans="2:2" ht="15.75" customHeight="1" x14ac:dyDescent="0.35">
      <c r="B875" s="4"/>
    </row>
    <row r="876" spans="2:2" ht="15.75" customHeight="1" x14ac:dyDescent="0.35">
      <c r="B876" s="4"/>
    </row>
    <row r="877" spans="2:2" ht="15.75" customHeight="1" x14ac:dyDescent="0.35">
      <c r="B877" s="4"/>
    </row>
    <row r="878" spans="2:2" ht="15.75" customHeight="1" x14ac:dyDescent="0.35">
      <c r="B878" s="4"/>
    </row>
    <row r="879" spans="2:2" ht="15.75" customHeight="1" x14ac:dyDescent="0.35">
      <c r="B879" s="4"/>
    </row>
    <row r="880" spans="2:2" ht="15.75" customHeight="1" x14ac:dyDescent="0.35">
      <c r="B880" s="4"/>
    </row>
    <row r="881" spans="2:2" ht="15.75" customHeight="1" x14ac:dyDescent="0.35">
      <c r="B881" s="4"/>
    </row>
    <row r="882" spans="2:2" ht="15.75" customHeight="1" x14ac:dyDescent="0.35">
      <c r="B882" s="4"/>
    </row>
    <row r="883" spans="2:2" ht="15.75" customHeight="1" x14ac:dyDescent="0.35">
      <c r="B883" s="4"/>
    </row>
    <row r="884" spans="2:2" ht="15.75" customHeight="1" x14ac:dyDescent="0.35">
      <c r="B884" s="4"/>
    </row>
    <row r="885" spans="2:2" ht="15.75" customHeight="1" x14ac:dyDescent="0.35">
      <c r="B885" s="4"/>
    </row>
    <row r="886" spans="2:2" ht="15.75" customHeight="1" x14ac:dyDescent="0.35">
      <c r="B886" s="4"/>
    </row>
    <row r="887" spans="2:2" ht="15.75" customHeight="1" x14ac:dyDescent="0.35">
      <c r="B887" s="4"/>
    </row>
    <row r="888" spans="2:2" ht="15.75" customHeight="1" x14ac:dyDescent="0.35">
      <c r="B888" s="4"/>
    </row>
    <row r="889" spans="2:2" ht="15.75" customHeight="1" x14ac:dyDescent="0.35">
      <c r="B889" s="4"/>
    </row>
    <row r="890" spans="2:2" ht="15.75" customHeight="1" x14ac:dyDescent="0.35">
      <c r="B890" s="4"/>
    </row>
    <row r="891" spans="2:2" ht="15.75" customHeight="1" x14ac:dyDescent="0.35">
      <c r="B891" s="4"/>
    </row>
    <row r="892" spans="2:2" ht="15.75" customHeight="1" x14ac:dyDescent="0.35">
      <c r="B892" s="4"/>
    </row>
    <row r="893" spans="2:2" ht="15.75" customHeight="1" x14ac:dyDescent="0.35">
      <c r="B893" s="4"/>
    </row>
    <row r="894" spans="2:2" ht="15.75" customHeight="1" x14ac:dyDescent="0.35">
      <c r="B894" s="4"/>
    </row>
    <row r="895" spans="2:2" ht="15.75" customHeight="1" x14ac:dyDescent="0.35">
      <c r="B895" s="4"/>
    </row>
    <row r="896" spans="2:2" ht="15.75" customHeight="1" x14ac:dyDescent="0.35">
      <c r="B896" s="4"/>
    </row>
    <row r="897" spans="2:2" ht="15.75" customHeight="1" x14ac:dyDescent="0.35">
      <c r="B897" s="4"/>
    </row>
    <row r="898" spans="2:2" ht="15.75" customHeight="1" x14ac:dyDescent="0.35">
      <c r="B898" s="4"/>
    </row>
    <row r="899" spans="2:2" ht="15.75" customHeight="1" x14ac:dyDescent="0.35">
      <c r="B899" s="4"/>
    </row>
    <row r="900" spans="2:2" ht="15.75" customHeight="1" x14ac:dyDescent="0.35">
      <c r="B900" s="4"/>
    </row>
    <row r="901" spans="2:2" ht="15.75" customHeight="1" x14ac:dyDescent="0.35">
      <c r="B901" s="4"/>
    </row>
    <row r="902" spans="2:2" ht="15.75" customHeight="1" x14ac:dyDescent="0.35">
      <c r="B902" s="4"/>
    </row>
    <row r="903" spans="2:2" ht="15.75" customHeight="1" x14ac:dyDescent="0.35">
      <c r="B903" s="4"/>
    </row>
    <row r="904" spans="2:2" ht="15.75" customHeight="1" x14ac:dyDescent="0.35">
      <c r="B904" s="4"/>
    </row>
    <row r="905" spans="2:2" ht="15.75" customHeight="1" x14ac:dyDescent="0.35">
      <c r="B905" s="4"/>
    </row>
    <row r="906" spans="2:2" ht="15.75" customHeight="1" x14ac:dyDescent="0.35">
      <c r="B906" s="4"/>
    </row>
    <row r="907" spans="2:2" ht="15.75" customHeight="1" x14ac:dyDescent="0.35">
      <c r="B907" s="4"/>
    </row>
    <row r="908" spans="2:2" ht="15.75" customHeight="1" x14ac:dyDescent="0.35">
      <c r="B908" s="4"/>
    </row>
    <row r="909" spans="2:2" ht="15.75" customHeight="1" x14ac:dyDescent="0.35">
      <c r="B909" s="4"/>
    </row>
    <row r="910" spans="2:2" ht="15.75" customHeight="1" x14ac:dyDescent="0.35">
      <c r="B910" s="4"/>
    </row>
    <row r="911" spans="2:2" ht="15.75" customHeight="1" x14ac:dyDescent="0.35">
      <c r="B911" s="4"/>
    </row>
    <row r="912" spans="2:2" ht="15.75" customHeight="1" x14ac:dyDescent="0.35">
      <c r="B912" s="4"/>
    </row>
    <row r="913" spans="2:2" ht="15.75" customHeight="1" x14ac:dyDescent="0.35">
      <c r="B913" s="4"/>
    </row>
    <row r="914" spans="2:2" ht="15.75" customHeight="1" x14ac:dyDescent="0.35">
      <c r="B914" s="4"/>
    </row>
    <row r="915" spans="2:2" ht="15.75" customHeight="1" x14ac:dyDescent="0.35">
      <c r="B915" s="4"/>
    </row>
    <row r="916" spans="2:2" ht="15.75" customHeight="1" x14ac:dyDescent="0.35">
      <c r="B916" s="4"/>
    </row>
    <row r="917" spans="2:2" ht="15.75" customHeight="1" x14ac:dyDescent="0.35">
      <c r="B917" s="4"/>
    </row>
    <row r="918" spans="2:2" ht="15.75" customHeight="1" x14ac:dyDescent="0.35">
      <c r="B918" s="4"/>
    </row>
    <row r="919" spans="2:2" ht="15.75" customHeight="1" x14ac:dyDescent="0.35">
      <c r="B919" s="4"/>
    </row>
    <row r="920" spans="2:2" ht="15.75" customHeight="1" x14ac:dyDescent="0.35">
      <c r="B920" s="4"/>
    </row>
    <row r="921" spans="2:2" ht="15.75" customHeight="1" x14ac:dyDescent="0.35">
      <c r="B921" s="4"/>
    </row>
    <row r="922" spans="2:2" ht="15.75" customHeight="1" x14ac:dyDescent="0.35">
      <c r="B922" s="4"/>
    </row>
    <row r="923" spans="2:2" ht="15.75" customHeight="1" x14ac:dyDescent="0.35">
      <c r="B923" s="4"/>
    </row>
    <row r="924" spans="2:2" ht="15.75" customHeight="1" x14ac:dyDescent="0.35">
      <c r="B924" s="4"/>
    </row>
    <row r="925" spans="2:2" ht="15.75" customHeight="1" x14ac:dyDescent="0.35">
      <c r="B925" s="4"/>
    </row>
    <row r="926" spans="2:2" ht="15.75" customHeight="1" x14ac:dyDescent="0.35">
      <c r="B926" s="4"/>
    </row>
    <row r="927" spans="2:2" ht="15.75" customHeight="1" x14ac:dyDescent="0.35">
      <c r="B927" s="4"/>
    </row>
    <row r="928" spans="2:2" ht="15.75" customHeight="1" x14ac:dyDescent="0.35">
      <c r="B928" s="4"/>
    </row>
    <row r="929" spans="2:2" ht="15.75" customHeight="1" x14ac:dyDescent="0.35">
      <c r="B929" s="4"/>
    </row>
    <row r="930" spans="2:2" ht="15.75" customHeight="1" x14ac:dyDescent="0.35">
      <c r="B930" s="4"/>
    </row>
    <row r="931" spans="2:2" ht="15.75" customHeight="1" x14ac:dyDescent="0.35">
      <c r="B931" s="4"/>
    </row>
    <row r="932" spans="2:2" ht="15.75" customHeight="1" x14ac:dyDescent="0.35">
      <c r="B932" s="4"/>
    </row>
    <row r="933" spans="2:2" ht="15.75" customHeight="1" x14ac:dyDescent="0.35">
      <c r="B933" s="4"/>
    </row>
    <row r="934" spans="2:2" ht="15.75" customHeight="1" x14ac:dyDescent="0.35">
      <c r="B934" s="4"/>
    </row>
    <row r="935" spans="2:2" ht="15.75" customHeight="1" x14ac:dyDescent="0.35">
      <c r="B935" s="4"/>
    </row>
    <row r="936" spans="2:2" ht="15.75" customHeight="1" x14ac:dyDescent="0.35">
      <c r="B936" s="4"/>
    </row>
    <row r="937" spans="2:2" ht="15.75" customHeight="1" x14ac:dyDescent="0.35">
      <c r="B937" s="4"/>
    </row>
    <row r="938" spans="2:2" ht="15.75" customHeight="1" x14ac:dyDescent="0.35">
      <c r="B938" s="4"/>
    </row>
    <row r="939" spans="2:2" ht="15.75" customHeight="1" x14ac:dyDescent="0.35">
      <c r="B939" s="4"/>
    </row>
    <row r="940" spans="2:2" ht="15.75" customHeight="1" x14ac:dyDescent="0.35">
      <c r="B940" s="4"/>
    </row>
    <row r="941" spans="2:2" ht="15.75" customHeight="1" x14ac:dyDescent="0.35">
      <c r="B941" s="4"/>
    </row>
    <row r="942" spans="2:2" ht="15.75" customHeight="1" x14ac:dyDescent="0.35">
      <c r="B942" s="4"/>
    </row>
    <row r="943" spans="2:2" ht="15.75" customHeight="1" x14ac:dyDescent="0.35">
      <c r="B943" s="4"/>
    </row>
    <row r="944" spans="2:2" ht="15.75" customHeight="1" x14ac:dyDescent="0.35">
      <c r="B944" s="4"/>
    </row>
    <row r="945" spans="2:2" ht="15.75" customHeight="1" x14ac:dyDescent="0.35">
      <c r="B945" s="4"/>
    </row>
    <row r="946" spans="2:2" ht="15.75" customHeight="1" x14ac:dyDescent="0.35">
      <c r="B946" s="4"/>
    </row>
    <row r="947" spans="2:2" ht="15.75" customHeight="1" x14ac:dyDescent="0.35">
      <c r="B947" s="4"/>
    </row>
    <row r="948" spans="2:2" ht="15.75" customHeight="1" x14ac:dyDescent="0.35">
      <c r="B948" s="4"/>
    </row>
    <row r="949" spans="2:2" ht="15.75" customHeight="1" x14ac:dyDescent="0.35">
      <c r="B949" s="4"/>
    </row>
    <row r="950" spans="2:2" ht="15.75" customHeight="1" x14ac:dyDescent="0.35">
      <c r="B950" s="4"/>
    </row>
    <row r="951" spans="2:2" ht="15.75" customHeight="1" x14ac:dyDescent="0.35">
      <c r="B951" s="4"/>
    </row>
    <row r="952" spans="2:2" ht="15.75" customHeight="1" x14ac:dyDescent="0.35">
      <c r="B952" s="4"/>
    </row>
    <row r="953" spans="2:2" ht="15.75" customHeight="1" x14ac:dyDescent="0.35">
      <c r="B953" s="4"/>
    </row>
    <row r="954" spans="2:2" ht="15.75" customHeight="1" x14ac:dyDescent="0.35">
      <c r="B954" s="4"/>
    </row>
    <row r="955" spans="2:2" ht="15.75" customHeight="1" x14ac:dyDescent="0.35">
      <c r="B955" s="4"/>
    </row>
    <row r="956" spans="2:2" ht="15.75" customHeight="1" x14ac:dyDescent="0.35">
      <c r="B956" s="4"/>
    </row>
    <row r="957" spans="2:2" ht="15.75" customHeight="1" x14ac:dyDescent="0.35">
      <c r="B957" s="4"/>
    </row>
    <row r="958" spans="2:2" ht="15.75" customHeight="1" x14ac:dyDescent="0.35">
      <c r="B958" s="4"/>
    </row>
    <row r="959" spans="2:2" ht="15.75" customHeight="1" x14ac:dyDescent="0.35">
      <c r="B959" s="4"/>
    </row>
    <row r="960" spans="2:2" ht="15.75" customHeight="1" x14ac:dyDescent="0.35">
      <c r="B960" s="4"/>
    </row>
    <row r="961" spans="2:2" ht="15.75" customHeight="1" x14ac:dyDescent="0.35">
      <c r="B961" s="4"/>
    </row>
    <row r="962" spans="2:2" ht="15.75" customHeight="1" x14ac:dyDescent="0.35">
      <c r="B962" s="4"/>
    </row>
    <row r="963" spans="2:2" ht="15.75" customHeight="1" x14ac:dyDescent="0.35">
      <c r="B963" s="4"/>
    </row>
    <row r="964" spans="2:2" ht="15.75" customHeight="1" x14ac:dyDescent="0.35">
      <c r="B964" s="4"/>
    </row>
    <row r="965" spans="2:2" ht="15.75" customHeight="1" x14ac:dyDescent="0.35">
      <c r="B965" s="4"/>
    </row>
    <row r="966" spans="2:2" ht="15.75" customHeight="1" x14ac:dyDescent="0.35">
      <c r="B966" s="4"/>
    </row>
    <row r="967" spans="2:2" ht="15.75" customHeight="1" x14ac:dyDescent="0.35">
      <c r="B967" s="4"/>
    </row>
    <row r="968" spans="2:2" ht="15.75" customHeight="1" x14ac:dyDescent="0.35">
      <c r="B968" s="4"/>
    </row>
    <row r="969" spans="2:2" ht="15.75" customHeight="1" x14ac:dyDescent="0.35">
      <c r="B969" s="4"/>
    </row>
    <row r="970" spans="2:2" ht="15.75" customHeight="1" x14ac:dyDescent="0.35">
      <c r="B970" s="4"/>
    </row>
    <row r="971" spans="2:2" ht="15.75" customHeight="1" x14ac:dyDescent="0.35">
      <c r="B971" s="4"/>
    </row>
    <row r="972" spans="2:2" ht="15.75" customHeight="1" x14ac:dyDescent="0.35">
      <c r="B972" s="4"/>
    </row>
    <row r="973" spans="2:2" ht="15.75" customHeight="1" x14ac:dyDescent="0.35">
      <c r="B973" s="4"/>
    </row>
    <row r="974" spans="2:2" ht="15.75" customHeight="1" x14ac:dyDescent="0.35">
      <c r="B974" s="4"/>
    </row>
    <row r="975" spans="2:2" ht="15.75" customHeight="1" x14ac:dyDescent="0.35">
      <c r="B975" s="4"/>
    </row>
    <row r="976" spans="2:2" ht="15.75" customHeight="1" x14ac:dyDescent="0.35">
      <c r="B976" s="4"/>
    </row>
    <row r="977" spans="2:2" ht="15.75" customHeight="1" x14ac:dyDescent="0.35">
      <c r="B977" s="4"/>
    </row>
    <row r="978" spans="2:2" ht="15.75" customHeight="1" x14ac:dyDescent="0.35">
      <c r="B978" s="4"/>
    </row>
    <row r="979" spans="2:2" ht="15.75" customHeight="1" x14ac:dyDescent="0.35">
      <c r="B979" s="4"/>
    </row>
    <row r="980" spans="2:2" ht="15.75" customHeight="1" x14ac:dyDescent="0.35">
      <c r="B980" s="4"/>
    </row>
    <row r="981" spans="2:2" ht="15.75" customHeight="1" x14ac:dyDescent="0.35">
      <c r="B981" s="4"/>
    </row>
    <row r="982" spans="2:2" ht="15.75" customHeight="1" x14ac:dyDescent="0.35">
      <c r="B982" s="4"/>
    </row>
    <row r="983" spans="2:2" ht="15.75" customHeight="1" x14ac:dyDescent="0.35">
      <c r="B983" s="4"/>
    </row>
    <row r="984" spans="2:2" ht="15.75" customHeight="1" x14ac:dyDescent="0.35">
      <c r="B984" s="4"/>
    </row>
    <row r="985" spans="2:2" ht="15.75" customHeight="1" x14ac:dyDescent="0.35">
      <c r="B985" s="4"/>
    </row>
    <row r="986" spans="2:2" ht="15.75" customHeight="1" x14ac:dyDescent="0.35">
      <c r="B986" s="4"/>
    </row>
    <row r="987" spans="2:2" ht="15.75" customHeight="1" x14ac:dyDescent="0.35">
      <c r="B987" s="4"/>
    </row>
    <row r="988" spans="2:2" ht="15.75" customHeight="1" x14ac:dyDescent="0.35">
      <c r="B988" s="4"/>
    </row>
    <row r="989" spans="2:2" ht="15.75" customHeight="1" x14ac:dyDescent="0.35">
      <c r="B989" s="4"/>
    </row>
    <row r="990" spans="2:2" ht="15.75" customHeight="1" x14ac:dyDescent="0.35">
      <c r="B990" s="4"/>
    </row>
    <row r="991" spans="2:2" ht="15.75" customHeight="1" x14ac:dyDescent="0.35">
      <c r="B991" s="4"/>
    </row>
    <row r="992" spans="2:2" ht="15.75" customHeight="1" x14ac:dyDescent="0.35">
      <c r="B992" s="4"/>
    </row>
    <row r="993" spans="2:2" ht="15.75" customHeight="1" x14ac:dyDescent="0.35">
      <c r="B993" s="4"/>
    </row>
    <row r="994" spans="2:2" ht="15.75" customHeight="1" x14ac:dyDescent="0.35">
      <c r="B994" s="4"/>
    </row>
    <row r="995" spans="2:2" ht="15.75" customHeight="1" x14ac:dyDescent="0.35">
      <c r="B995" s="4"/>
    </row>
    <row r="996" spans="2:2" ht="15.75" customHeight="1" x14ac:dyDescent="0.35">
      <c r="B996" s="4"/>
    </row>
    <row r="997" spans="2:2" ht="15.75" customHeight="1" x14ac:dyDescent="0.35">
      <c r="B997" s="4"/>
    </row>
    <row r="998" spans="2:2" ht="15.75" customHeight="1" x14ac:dyDescent="0.35">
      <c r="B998" s="4"/>
    </row>
    <row r="999" spans="2:2" ht="15.75" customHeight="1" x14ac:dyDescent="0.35">
      <c r="B999" s="4"/>
    </row>
    <row r="1000" spans="2:2" ht="15.75" customHeight="1" x14ac:dyDescent="0.35">
      <c r="B1000" s="4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workbookViewId="0">
      <selection activeCell="J14" sqref="J14"/>
    </sheetView>
  </sheetViews>
  <sheetFormatPr defaultColWidth="12.6640625" defaultRowHeight="15" customHeight="1" x14ac:dyDescent="0.3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5" x14ac:dyDescent="0.35">
      <c r="A1" s="1" t="s">
        <v>128</v>
      </c>
    </row>
    <row r="2" spans="1:32" ht="14.5" x14ac:dyDescent="0.35">
      <c r="A2" s="10">
        <v>2019</v>
      </c>
      <c r="B2" s="8">
        <v>2020</v>
      </c>
      <c r="C2" s="10">
        <v>2021</v>
      </c>
      <c r="D2" s="8">
        <v>2022</v>
      </c>
      <c r="E2" s="10">
        <v>2023</v>
      </c>
      <c r="F2" s="8">
        <v>2024</v>
      </c>
      <c r="G2" s="10">
        <v>2025</v>
      </c>
      <c r="H2" s="8">
        <v>2026</v>
      </c>
      <c r="I2" s="10">
        <v>2027</v>
      </c>
      <c r="J2" s="8">
        <v>2028</v>
      </c>
      <c r="K2" s="10">
        <v>2029</v>
      </c>
      <c r="L2" s="8">
        <v>2030</v>
      </c>
      <c r="M2" s="10">
        <v>2031</v>
      </c>
      <c r="N2" s="8">
        <v>2032</v>
      </c>
      <c r="O2" s="10">
        <v>2033</v>
      </c>
      <c r="P2" s="8">
        <v>2034</v>
      </c>
      <c r="Q2" s="10">
        <v>2035</v>
      </c>
      <c r="R2" s="8">
        <v>2036</v>
      </c>
      <c r="S2" s="10">
        <v>2037</v>
      </c>
      <c r="T2" s="8">
        <v>2038</v>
      </c>
      <c r="U2" s="10">
        <v>2039</v>
      </c>
      <c r="V2" s="8">
        <v>2040</v>
      </c>
      <c r="W2" s="10">
        <v>2041</v>
      </c>
      <c r="X2" s="8">
        <v>2042</v>
      </c>
      <c r="Y2" s="10">
        <v>2043</v>
      </c>
      <c r="Z2" s="8">
        <v>2044</v>
      </c>
      <c r="AA2" s="10">
        <v>2045</v>
      </c>
      <c r="AB2" s="8">
        <v>2046</v>
      </c>
      <c r="AC2" s="10">
        <v>2047</v>
      </c>
      <c r="AD2" s="8">
        <v>2048</v>
      </c>
      <c r="AE2" s="10">
        <v>2049</v>
      </c>
      <c r="AF2" s="8">
        <v>2050</v>
      </c>
    </row>
    <row r="3" spans="1:32" ht="14.5" x14ac:dyDescent="0.35">
      <c r="A3" s="11">
        <f>BAU!C92</f>
        <v>2745.8606136031603</v>
      </c>
      <c r="B3" s="11">
        <f>BAU!D92</f>
        <v>2745.8606136031599</v>
      </c>
      <c r="C3" s="11">
        <f>BAU!E92</f>
        <v>2745.8606136031603</v>
      </c>
      <c r="D3" s="11">
        <f>BAU!F92</f>
        <v>1913.0458308533109</v>
      </c>
      <c r="E3" s="11">
        <f>BAU!G92</f>
        <v>1531.9111519939402</v>
      </c>
      <c r="F3" s="11">
        <f>BAU!H92</f>
        <v>1131.4322818029341</v>
      </c>
      <c r="G3" s="11">
        <f>BAU!I92</f>
        <v>933.18813916995919</v>
      </c>
      <c r="H3" s="11">
        <f>BAU!J92</f>
        <v>933.18813916995953</v>
      </c>
      <c r="I3" s="11">
        <f>BAU!K92</f>
        <v>744.00735890914916</v>
      </c>
      <c r="J3" s="11">
        <f>BAU!L92</f>
        <v>744.00735890914984</v>
      </c>
      <c r="K3" s="11">
        <f>BAU!M92</f>
        <v>621.92251501542137</v>
      </c>
      <c r="L3" s="11">
        <f>BAU!N92</f>
        <v>240.24673989502756</v>
      </c>
      <c r="M3" s="11">
        <f>BAU!O92</f>
        <v>18.397272874844433</v>
      </c>
      <c r="N3" s="11">
        <f>BAU!P92</f>
        <v>18.397272874844436</v>
      </c>
      <c r="O3" s="11">
        <f>BAU!Q92</f>
        <v>18.397272874844433</v>
      </c>
      <c r="P3" s="11">
        <f>BAU!R92</f>
        <v>18.397272874844436</v>
      </c>
      <c r="Q3" s="11">
        <f>BAU!S92</f>
        <v>18.397272874844433</v>
      </c>
      <c r="R3" s="11">
        <f>BAU!T92</f>
        <v>18.397272874844433</v>
      </c>
      <c r="S3" s="11">
        <f>BAU!U92</f>
        <v>18.397272874844436</v>
      </c>
      <c r="T3" s="11">
        <f>BAU!V92</f>
        <v>0</v>
      </c>
      <c r="U3" s="11">
        <f>BAU!W92</f>
        <v>0</v>
      </c>
      <c r="V3" s="11">
        <f>BAU!X92</f>
        <v>0</v>
      </c>
      <c r="W3" s="11">
        <f>BAU!Y92</f>
        <v>0</v>
      </c>
      <c r="X3" s="11">
        <f>BAU!Z92</f>
        <v>0</v>
      </c>
      <c r="Y3" s="11">
        <f>BAU!AA92</f>
        <v>0</v>
      </c>
      <c r="Z3" s="11">
        <f>BAU!AB92</f>
        <v>0</v>
      </c>
      <c r="AA3" s="11">
        <f>BAU!AC92</f>
        <v>0</v>
      </c>
      <c r="AB3" s="11">
        <f>BAU!AD92</f>
        <v>0</v>
      </c>
      <c r="AC3" s="11">
        <f>BAU!AE92</f>
        <v>0</v>
      </c>
      <c r="AD3" s="11">
        <f>BAU!AF92</f>
        <v>0</v>
      </c>
      <c r="AE3" s="11">
        <f>BAU!AG92</f>
        <v>0</v>
      </c>
      <c r="AF3" s="11">
        <f>BAU!AH92</f>
        <v>0</v>
      </c>
    </row>
    <row r="4" spans="1:32" ht="14.5" x14ac:dyDescent="0.35">
      <c r="A4" s="31"/>
      <c r="E4" s="42" t="s">
        <v>281</v>
      </c>
    </row>
    <row r="5" spans="1:32" ht="14.5" x14ac:dyDescent="0.35">
      <c r="A5" s="32" t="s">
        <v>129</v>
      </c>
    </row>
    <row r="6" spans="1:32" ht="14.5" x14ac:dyDescent="0.35">
      <c r="A6" s="31" t="s">
        <v>130</v>
      </c>
    </row>
    <row r="7" spans="1:32" ht="14.5" x14ac:dyDescent="0.35">
      <c r="A7" s="31" t="s">
        <v>131</v>
      </c>
    </row>
    <row r="8" spans="1:32" ht="14.5" x14ac:dyDescent="0.35">
      <c r="A8" s="32" t="s">
        <v>132</v>
      </c>
      <c r="B8" s="1" t="s">
        <v>2</v>
      </c>
      <c r="C8" s="1" t="s">
        <v>133</v>
      </c>
    </row>
    <row r="9" spans="1:32" ht="14.5" x14ac:dyDescent="0.35">
      <c r="A9" s="31">
        <v>2500</v>
      </c>
      <c r="B9" s="8" t="s">
        <v>15</v>
      </c>
      <c r="C9" s="8">
        <v>39250017</v>
      </c>
    </row>
    <row r="10" spans="1:32" ht="14.5" x14ac:dyDescent="0.35">
      <c r="A10" s="31">
        <v>5000</v>
      </c>
      <c r="B10" s="8" t="s">
        <v>18</v>
      </c>
      <c r="C10" s="8">
        <v>5540545</v>
      </c>
    </row>
    <row r="11" spans="1:32" ht="14.5" x14ac:dyDescent="0.35">
      <c r="A11" s="31">
        <v>3500</v>
      </c>
      <c r="B11" s="8" t="s">
        <v>23</v>
      </c>
      <c r="C11" s="8">
        <v>952065</v>
      </c>
    </row>
    <row r="12" spans="1:32" ht="14.5" x14ac:dyDescent="0.35">
      <c r="A12" s="33">
        <v>1500</v>
      </c>
      <c r="B12" s="8" t="s">
        <v>50</v>
      </c>
      <c r="C12" s="8">
        <v>4681666</v>
      </c>
    </row>
    <row r="13" spans="1:32" ht="14.5" x14ac:dyDescent="0.35">
      <c r="A13" s="31">
        <v>2500</v>
      </c>
      <c r="B13" s="8" t="s">
        <v>58</v>
      </c>
      <c r="C13" s="8">
        <v>6811779</v>
      </c>
    </row>
    <row r="14" spans="1:32" ht="14.5" x14ac:dyDescent="0.35">
      <c r="A14" s="31">
        <v>1500</v>
      </c>
      <c r="B14" s="8" t="s">
        <v>97</v>
      </c>
      <c r="C14" s="8">
        <v>3923561</v>
      </c>
    </row>
    <row r="15" spans="1:32" ht="14.5" x14ac:dyDescent="0.35">
      <c r="A15" s="31">
        <v>2500</v>
      </c>
      <c r="B15" s="8" t="s">
        <v>104</v>
      </c>
      <c r="C15" s="8">
        <v>1056426</v>
      </c>
    </row>
    <row r="16" spans="1:32" ht="14.5" x14ac:dyDescent="0.35">
      <c r="A16" s="34" t="s">
        <v>134</v>
      </c>
    </row>
    <row r="17" spans="1:34" ht="14.5" x14ac:dyDescent="0.35">
      <c r="A17" s="31"/>
    </row>
    <row r="18" spans="1:34" ht="14.5" x14ac:dyDescent="0.35">
      <c r="B18" s="31" t="s">
        <v>135</v>
      </c>
      <c r="C18" s="8">
        <v>323127513</v>
      </c>
    </row>
    <row r="19" spans="1:34" ht="14.5" x14ac:dyDescent="0.35">
      <c r="A19" s="31"/>
      <c r="B19" s="8" t="s">
        <v>136</v>
      </c>
      <c r="C19" s="8">
        <f>C18-SUM(C9:C15)</f>
        <v>260911454</v>
      </c>
    </row>
    <row r="20" spans="1:34" ht="14.5" x14ac:dyDescent="0.35">
      <c r="A20" s="31"/>
    </row>
    <row r="21" spans="1:34" ht="15.75" customHeight="1" x14ac:dyDescent="0.35">
      <c r="A21" s="31" t="s">
        <v>137</v>
      </c>
      <c r="C21" s="8" t="str">
        <f>About!B2</f>
        <v>MD</v>
      </c>
    </row>
    <row r="22" spans="1:34" ht="15.75" customHeight="1" x14ac:dyDescent="0.35">
      <c r="A22" s="31"/>
      <c r="C22" s="8">
        <v>2020</v>
      </c>
      <c r="D22" s="8">
        <f t="shared" ref="D22:I22" si="0">C22+1</f>
        <v>2021</v>
      </c>
      <c r="E22" s="10">
        <f t="shared" si="0"/>
        <v>2022</v>
      </c>
      <c r="F22" s="10">
        <f t="shared" si="0"/>
        <v>2023</v>
      </c>
      <c r="G22" s="10">
        <f t="shared" si="0"/>
        <v>2024</v>
      </c>
      <c r="H22" s="10">
        <f t="shared" si="0"/>
        <v>2025</v>
      </c>
      <c r="I22" s="10">
        <f t="shared" si="0"/>
        <v>2026</v>
      </c>
      <c r="J22">
        <v>2027</v>
      </c>
    </row>
    <row r="23" spans="1:34" ht="15.75" customHeight="1" x14ac:dyDescent="0.35">
      <c r="A23" s="31"/>
      <c r="B23" s="8" t="s">
        <v>138</v>
      </c>
      <c r="C23" s="8">
        <f t="shared" ref="C23:J24" si="1">SUMIFS(C$41:C$54,$A$41:$A$54,$C$21,$B$41:$B$54,$B23)</f>
        <v>2500</v>
      </c>
      <c r="D23" s="10">
        <f t="shared" si="1"/>
        <v>2500</v>
      </c>
      <c r="E23" s="10">
        <f t="shared" si="1"/>
        <v>2500</v>
      </c>
      <c r="F23" s="10">
        <f t="shared" si="1"/>
        <v>3000</v>
      </c>
      <c r="G23" s="10">
        <f t="shared" si="1"/>
        <v>3000</v>
      </c>
      <c r="H23" s="10">
        <f t="shared" si="1"/>
        <v>3000</v>
      </c>
      <c r="I23" s="10">
        <f t="shared" si="1"/>
        <v>3000</v>
      </c>
      <c r="J23" s="10">
        <f t="shared" si="1"/>
        <v>3000</v>
      </c>
    </row>
    <row r="24" spans="1:34" ht="15.75" customHeight="1" x14ac:dyDescent="0.35">
      <c r="A24" s="31"/>
      <c r="B24" s="8" t="s">
        <v>139</v>
      </c>
      <c r="C24" s="10">
        <f t="shared" si="1"/>
        <v>0</v>
      </c>
      <c r="D24" s="10">
        <f t="shared" si="1"/>
        <v>0</v>
      </c>
      <c r="E24" s="10">
        <f t="shared" si="1"/>
        <v>0</v>
      </c>
      <c r="F24" s="10">
        <f t="shared" si="1"/>
        <v>0</v>
      </c>
      <c r="G24" s="10">
        <f t="shared" si="1"/>
        <v>0</v>
      </c>
      <c r="H24" s="10">
        <f t="shared" si="1"/>
        <v>0</v>
      </c>
      <c r="I24" s="10">
        <f t="shared" si="1"/>
        <v>0</v>
      </c>
      <c r="J24" s="10">
        <f t="shared" si="1"/>
        <v>0</v>
      </c>
    </row>
    <row r="25" spans="1:34" ht="15.75" customHeight="1" x14ac:dyDescent="0.3">
      <c r="C25">
        <f>C23*About!$A46</f>
        <v>2217.7766787346754</v>
      </c>
      <c r="D25">
        <f>D23*About!$A46</f>
        <v>2217.7766787346754</v>
      </c>
      <c r="E25">
        <f>E23*About!$A46</f>
        <v>2217.7766787346754</v>
      </c>
      <c r="F25">
        <f>F23*About!$A46</f>
        <v>2661.3320144816103</v>
      </c>
      <c r="G25">
        <f>G23*About!$A46</f>
        <v>2661.3320144816103</v>
      </c>
      <c r="H25">
        <f>H23*About!$A46</f>
        <v>2661.3320144816103</v>
      </c>
      <c r="I25">
        <f>I23*About!$A46</f>
        <v>2661.3320144816103</v>
      </c>
      <c r="J25">
        <f>J23*About!$A46</f>
        <v>2661.3320144816103</v>
      </c>
    </row>
    <row r="26" spans="1:34" ht="15.75" customHeight="1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4" ht="15.75" customHeight="1" x14ac:dyDescent="0.35">
      <c r="A27" s="1" t="s">
        <v>140</v>
      </c>
    </row>
    <row r="28" spans="1:34" ht="15.75" customHeight="1" x14ac:dyDescent="0.35">
      <c r="A28" s="1" t="s">
        <v>141</v>
      </c>
      <c r="B28" s="8">
        <v>2018</v>
      </c>
      <c r="C28" s="8">
        <v>2019</v>
      </c>
      <c r="D28" s="8">
        <v>2020</v>
      </c>
      <c r="E28" s="8">
        <v>2021</v>
      </c>
      <c r="F28" s="8">
        <v>2022</v>
      </c>
      <c r="G28" s="8">
        <v>2023</v>
      </c>
      <c r="H28" s="8">
        <v>2024</v>
      </c>
      <c r="I28" s="8">
        <v>2025</v>
      </c>
      <c r="J28" s="8">
        <v>2026</v>
      </c>
      <c r="K28" s="8">
        <v>2027</v>
      </c>
      <c r="L28" s="8">
        <v>2028</v>
      </c>
      <c r="M28" s="8">
        <v>2029</v>
      </c>
      <c r="N28" s="8">
        <v>2030</v>
      </c>
      <c r="O28" s="8">
        <v>2031</v>
      </c>
      <c r="P28" s="8">
        <v>2032</v>
      </c>
      <c r="Q28" s="8">
        <v>2033</v>
      </c>
      <c r="R28" s="8">
        <v>2034</v>
      </c>
      <c r="S28" s="8">
        <v>2035</v>
      </c>
      <c r="T28" s="8">
        <v>2036</v>
      </c>
      <c r="U28" s="8">
        <v>2037</v>
      </c>
      <c r="V28" s="8">
        <v>2038</v>
      </c>
      <c r="W28" s="8">
        <v>2039</v>
      </c>
      <c r="X28" s="8">
        <v>2040</v>
      </c>
      <c r="Y28" s="8">
        <v>2041</v>
      </c>
      <c r="Z28" s="8">
        <v>2042</v>
      </c>
      <c r="AA28" s="8">
        <v>2043</v>
      </c>
      <c r="AB28" s="8">
        <v>2044</v>
      </c>
      <c r="AC28" s="8">
        <v>2045</v>
      </c>
      <c r="AD28" s="8">
        <v>2046</v>
      </c>
      <c r="AE28" s="8">
        <v>2047</v>
      </c>
      <c r="AF28" s="8">
        <v>2048</v>
      </c>
      <c r="AG28" s="8">
        <v>2049</v>
      </c>
      <c r="AH28" s="8">
        <v>2050</v>
      </c>
    </row>
    <row r="29" spans="1:34" ht="15.75" customHeight="1" x14ac:dyDescent="0.35">
      <c r="A29" s="8" t="s">
        <v>142</v>
      </c>
      <c r="B29" s="8">
        <v>53703</v>
      </c>
      <c r="C29" s="8">
        <v>51776.5</v>
      </c>
      <c r="D29" s="8">
        <v>50407.6</v>
      </c>
      <c r="E29" s="8">
        <v>49301.3</v>
      </c>
      <c r="F29" s="8">
        <v>48343.4</v>
      </c>
      <c r="G29" s="8">
        <v>47462.2</v>
      </c>
      <c r="H29" s="8">
        <v>46667.199999999997</v>
      </c>
      <c r="I29" s="8">
        <v>45962.6</v>
      </c>
      <c r="J29" s="8">
        <v>45330.9</v>
      </c>
      <c r="K29" s="8">
        <v>44750.2</v>
      </c>
      <c r="L29" s="8">
        <v>44223.9</v>
      </c>
      <c r="M29" s="8">
        <v>43738.9</v>
      </c>
      <c r="N29" s="8">
        <v>43295.4</v>
      </c>
      <c r="O29" s="8">
        <v>42905</v>
      </c>
      <c r="P29" s="8">
        <v>42563.199999999997</v>
      </c>
      <c r="Q29" s="8">
        <v>42259.5</v>
      </c>
      <c r="R29" s="8">
        <v>41992</v>
      </c>
      <c r="S29" s="8">
        <v>41757.9</v>
      </c>
      <c r="T29" s="8">
        <v>41553.699999999997</v>
      </c>
      <c r="U29" s="8">
        <v>41372.699999999997</v>
      </c>
      <c r="V29" s="8">
        <v>41211.300000000003</v>
      </c>
      <c r="W29" s="8">
        <v>41067.5</v>
      </c>
      <c r="X29" s="8">
        <v>40939.800000000003</v>
      </c>
      <c r="Y29" s="8">
        <v>40826.300000000003</v>
      </c>
      <c r="Z29" s="8">
        <v>40724.300000000003</v>
      </c>
      <c r="AA29" s="8">
        <v>40632.300000000003</v>
      </c>
      <c r="AB29" s="8">
        <v>40548.800000000003</v>
      </c>
      <c r="AC29" s="8">
        <v>40472.800000000003</v>
      </c>
      <c r="AD29" s="8">
        <v>40403.199999999997</v>
      </c>
      <c r="AE29" s="8">
        <v>40339.300000000003</v>
      </c>
      <c r="AF29" s="8">
        <v>40280.300000000003</v>
      </c>
      <c r="AG29" s="8">
        <v>40225.5</v>
      </c>
      <c r="AH29" s="8">
        <v>40174.6</v>
      </c>
    </row>
    <row r="30" spans="1:34" ht="15.75" customHeight="1" x14ac:dyDescent="0.35">
      <c r="A30" s="7" t="s">
        <v>143</v>
      </c>
      <c r="B30" s="8">
        <v>117430</v>
      </c>
      <c r="C30" s="10">
        <v>117430</v>
      </c>
      <c r="D30" s="10">
        <v>117430</v>
      </c>
      <c r="E30" s="10">
        <v>117430</v>
      </c>
      <c r="F30" s="10">
        <v>117430</v>
      </c>
      <c r="G30" s="10">
        <v>117430</v>
      </c>
      <c r="H30" s="10">
        <v>117430</v>
      </c>
      <c r="I30" s="10">
        <v>117430</v>
      </c>
      <c r="J30" s="10">
        <v>117430</v>
      </c>
      <c r="K30" s="10">
        <v>117430</v>
      </c>
      <c r="L30" s="10">
        <v>117430</v>
      </c>
      <c r="M30" s="10">
        <v>117430</v>
      </c>
      <c r="N30" s="10">
        <v>117430</v>
      </c>
      <c r="O30" s="10">
        <v>117430</v>
      </c>
      <c r="P30" s="10">
        <v>117430</v>
      </c>
      <c r="Q30" s="10">
        <v>117430</v>
      </c>
      <c r="R30" s="10">
        <v>117430</v>
      </c>
      <c r="S30" s="10">
        <v>117430</v>
      </c>
      <c r="T30" s="10">
        <v>117430</v>
      </c>
      <c r="U30" s="10">
        <v>117430</v>
      </c>
      <c r="V30" s="10">
        <v>117430</v>
      </c>
      <c r="W30" s="10">
        <v>117430</v>
      </c>
      <c r="X30" s="10">
        <v>117430</v>
      </c>
      <c r="Y30" s="10">
        <v>117430</v>
      </c>
      <c r="Z30" s="10">
        <v>117430</v>
      </c>
      <c r="AA30" s="10">
        <v>117430</v>
      </c>
      <c r="AB30" s="10">
        <v>117430</v>
      </c>
      <c r="AC30" s="10">
        <v>117430</v>
      </c>
      <c r="AD30" s="10">
        <v>117430</v>
      </c>
      <c r="AE30" s="10">
        <v>117430</v>
      </c>
      <c r="AF30" s="10">
        <v>117430</v>
      </c>
      <c r="AG30" s="10">
        <v>117430</v>
      </c>
      <c r="AH30" s="10">
        <v>117430</v>
      </c>
    </row>
    <row r="31" spans="1:34" ht="15.75" customHeight="1" x14ac:dyDescent="0.35">
      <c r="A31" s="1" t="s">
        <v>144</v>
      </c>
    </row>
    <row r="32" spans="1:34" ht="15.75" customHeight="1" x14ac:dyDescent="0.35">
      <c r="A32" s="8">
        <v>2019</v>
      </c>
      <c r="B32" s="8">
        <v>2020</v>
      </c>
      <c r="C32" s="8">
        <v>2021</v>
      </c>
      <c r="D32" s="8">
        <v>2022</v>
      </c>
      <c r="E32" s="8">
        <v>2023</v>
      </c>
      <c r="F32" s="8">
        <v>2024</v>
      </c>
      <c r="G32" s="8">
        <v>2025</v>
      </c>
      <c r="H32" s="8">
        <v>2026</v>
      </c>
      <c r="I32" s="8">
        <v>2027</v>
      </c>
      <c r="J32" s="8">
        <v>2028</v>
      </c>
      <c r="K32" s="8">
        <v>2029</v>
      </c>
      <c r="L32" s="8">
        <v>2030</v>
      </c>
      <c r="M32" s="8">
        <v>2031</v>
      </c>
      <c r="N32" s="8">
        <v>2032</v>
      </c>
      <c r="O32" s="8">
        <v>2033</v>
      </c>
      <c r="P32" s="8">
        <v>2034</v>
      </c>
      <c r="Q32" s="8">
        <v>2035</v>
      </c>
      <c r="R32" s="8">
        <v>2036</v>
      </c>
      <c r="S32" s="8">
        <v>2037</v>
      </c>
      <c r="T32" s="8">
        <v>2038</v>
      </c>
      <c r="U32" s="8">
        <v>2039</v>
      </c>
      <c r="V32" s="8">
        <v>2040</v>
      </c>
      <c r="W32" s="8">
        <v>2041</v>
      </c>
      <c r="X32" s="8">
        <v>2042</v>
      </c>
      <c r="Y32" s="8">
        <v>2043</v>
      </c>
      <c r="Z32" s="8">
        <v>2044</v>
      </c>
      <c r="AA32" s="8">
        <v>2045</v>
      </c>
      <c r="AB32" s="8">
        <v>2046</v>
      </c>
      <c r="AC32" s="8">
        <v>2047</v>
      </c>
      <c r="AD32" s="8">
        <v>2048</v>
      </c>
      <c r="AE32" s="8">
        <v>2049</v>
      </c>
      <c r="AF32" s="8">
        <v>2050</v>
      </c>
    </row>
    <row r="33" spans="1:34" ht="15.75" customHeight="1" x14ac:dyDescent="0.35">
      <c r="A33" s="12">
        <f>(A3+C23)</f>
        <v>5245.8606136031603</v>
      </c>
      <c r="B33" s="12">
        <f>(B3+C23)</f>
        <v>5245.8606136031594</v>
      </c>
      <c r="C33" s="12">
        <f t="shared" ref="C33:AF33" si="2">(C3+D23)</f>
        <v>5245.8606136031603</v>
      </c>
      <c r="D33" s="12">
        <f t="shared" si="2"/>
        <v>4413.0458308533107</v>
      </c>
      <c r="E33" s="12">
        <f t="shared" si="2"/>
        <v>4531.9111519939397</v>
      </c>
      <c r="F33" s="12">
        <f t="shared" si="2"/>
        <v>4131.4322818029341</v>
      </c>
      <c r="G33" s="12">
        <f t="shared" si="2"/>
        <v>3933.188139169959</v>
      </c>
      <c r="H33" s="12">
        <f t="shared" si="2"/>
        <v>3933.1881391699594</v>
      </c>
      <c r="I33" s="12">
        <f t="shared" si="2"/>
        <v>3744.0073589091489</v>
      </c>
      <c r="J33" s="12">
        <f t="shared" si="2"/>
        <v>744.00735890914984</v>
      </c>
      <c r="K33" s="12">
        <f t="shared" si="2"/>
        <v>621.92251501542137</v>
      </c>
      <c r="L33" s="12">
        <f t="shared" si="2"/>
        <v>240.24673989502756</v>
      </c>
      <c r="M33" s="12">
        <f t="shared" si="2"/>
        <v>18.397272874844433</v>
      </c>
      <c r="N33" s="12">
        <f t="shared" si="2"/>
        <v>18.397272874844436</v>
      </c>
      <c r="O33" s="12">
        <f t="shared" si="2"/>
        <v>18.397272874844433</v>
      </c>
      <c r="P33" s="12">
        <f t="shared" si="2"/>
        <v>18.397272874844436</v>
      </c>
      <c r="Q33" s="12">
        <f t="shared" si="2"/>
        <v>18.397272874844433</v>
      </c>
      <c r="R33" s="12">
        <f t="shared" si="2"/>
        <v>18.397272874844433</v>
      </c>
      <c r="S33" s="12">
        <f t="shared" si="2"/>
        <v>18.397272874844436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0</v>
      </c>
      <c r="X33" s="12">
        <f t="shared" si="2"/>
        <v>0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/>
      <c r="AH33" s="12"/>
    </row>
    <row r="34" spans="1:34" ht="15.75" customHeight="1" x14ac:dyDescent="0.35">
      <c r="A34" s="1" t="s">
        <v>145</v>
      </c>
    </row>
    <row r="35" spans="1:34" ht="15.75" customHeight="1" x14ac:dyDescent="0.35">
      <c r="A35" s="8">
        <v>0</v>
      </c>
      <c r="B35" s="8">
        <f t="shared" ref="B35:AF35" si="3">C24/D30</f>
        <v>0</v>
      </c>
      <c r="C35" s="10">
        <f t="shared" si="3"/>
        <v>0</v>
      </c>
      <c r="D35" s="10">
        <f t="shared" si="3"/>
        <v>0</v>
      </c>
      <c r="E35" s="10">
        <f t="shared" si="3"/>
        <v>0</v>
      </c>
      <c r="F35" s="10">
        <f t="shared" si="3"/>
        <v>0</v>
      </c>
      <c r="G35" s="10">
        <f t="shared" si="3"/>
        <v>0</v>
      </c>
      <c r="H35" s="10">
        <f t="shared" si="3"/>
        <v>0</v>
      </c>
      <c r="I35" s="10">
        <f t="shared" si="3"/>
        <v>0</v>
      </c>
      <c r="J35" s="10">
        <f t="shared" si="3"/>
        <v>0</v>
      </c>
      <c r="K35" s="10">
        <f t="shared" si="3"/>
        <v>0</v>
      </c>
      <c r="L35" s="10">
        <f t="shared" si="3"/>
        <v>0</v>
      </c>
      <c r="M35" s="10">
        <f t="shared" si="3"/>
        <v>0</v>
      </c>
      <c r="N35" s="10">
        <f t="shared" si="3"/>
        <v>0</v>
      </c>
      <c r="O35" s="10">
        <f t="shared" si="3"/>
        <v>0</v>
      </c>
      <c r="P35" s="10">
        <f t="shared" si="3"/>
        <v>0</v>
      </c>
      <c r="Q35" s="10">
        <f t="shared" si="3"/>
        <v>0</v>
      </c>
      <c r="R35" s="10">
        <f t="shared" si="3"/>
        <v>0</v>
      </c>
      <c r="S35" s="10">
        <f t="shared" si="3"/>
        <v>0</v>
      </c>
      <c r="T35" s="10">
        <f t="shared" si="3"/>
        <v>0</v>
      </c>
      <c r="U35" s="10">
        <f t="shared" si="3"/>
        <v>0</v>
      </c>
      <c r="V35" s="10">
        <f t="shared" si="3"/>
        <v>0</v>
      </c>
      <c r="W35" s="10">
        <f t="shared" si="3"/>
        <v>0</v>
      </c>
      <c r="X35" s="10">
        <f t="shared" si="3"/>
        <v>0</v>
      </c>
      <c r="Y35" s="10">
        <f t="shared" si="3"/>
        <v>0</v>
      </c>
      <c r="Z35" s="10">
        <f t="shared" si="3"/>
        <v>0</v>
      </c>
      <c r="AA35" s="10">
        <f t="shared" si="3"/>
        <v>0</v>
      </c>
      <c r="AB35" s="10">
        <f t="shared" si="3"/>
        <v>0</v>
      </c>
      <c r="AC35" s="10">
        <f t="shared" si="3"/>
        <v>0</v>
      </c>
      <c r="AD35" s="10">
        <f t="shared" si="3"/>
        <v>0</v>
      </c>
      <c r="AE35" s="10">
        <f t="shared" si="3"/>
        <v>0</v>
      </c>
      <c r="AF35" s="10">
        <f t="shared" si="3"/>
        <v>0</v>
      </c>
    </row>
    <row r="36" spans="1:34" ht="15.75" customHeight="1" x14ac:dyDescent="0.35">
      <c r="A36" s="1" t="s">
        <v>280</v>
      </c>
    </row>
    <row r="37" spans="1:34" ht="15.75" customHeight="1" x14ac:dyDescent="0.35">
      <c r="A37" s="8" t="s">
        <v>146</v>
      </c>
      <c r="B37" s="7" t="s">
        <v>147</v>
      </c>
    </row>
    <row r="38" spans="1:34" ht="15.75" customHeight="1" x14ac:dyDescent="0.35">
      <c r="A38" s="8" t="s">
        <v>148</v>
      </c>
      <c r="B38" s="7" t="s">
        <v>149</v>
      </c>
    </row>
    <row r="39" spans="1:34" ht="15.75" customHeight="1" x14ac:dyDescent="0.35">
      <c r="A39" s="8" t="s">
        <v>150</v>
      </c>
    </row>
    <row r="40" spans="1:34" ht="15.75" customHeight="1" x14ac:dyDescent="0.35">
      <c r="A40" s="8" t="s">
        <v>2</v>
      </c>
      <c r="B40" s="8" t="s">
        <v>151</v>
      </c>
      <c r="C40" s="8">
        <v>2020</v>
      </c>
      <c r="D40" s="8">
        <f t="shared" ref="D40:I40" si="4">C40+1</f>
        <v>2021</v>
      </c>
      <c r="E40" s="10">
        <f t="shared" si="4"/>
        <v>2022</v>
      </c>
      <c r="F40" s="10">
        <f t="shared" si="4"/>
        <v>2023</v>
      </c>
      <c r="G40" s="10">
        <f t="shared" si="4"/>
        <v>2024</v>
      </c>
      <c r="H40" s="10">
        <f t="shared" si="4"/>
        <v>2025</v>
      </c>
      <c r="I40" s="10">
        <f t="shared" si="4"/>
        <v>2026</v>
      </c>
    </row>
    <row r="41" spans="1:34" ht="15.75" customHeight="1" x14ac:dyDescent="0.35">
      <c r="A41" s="8" t="s">
        <v>19</v>
      </c>
      <c r="B41" s="8" t="s">
        <v>138</v>
      </c>
      <c r="C41" s="8">
        <v>4750</v>
      </c>
      <c r="D41" s="10">
        <v>4750</v>
      </c>
      <c r="E41" s="8">
        <v>3000</v>
      </c>
      <c r="F41" s="10">
        <v>3000</v>
      </c>
      <c r="G41" s="8">
        <v>2400</v>
      </c>
      <c r="H41" s="10">
        <v>2400</v>
      </c>
      <c r="I41" s="10">
        <v>2400</v>
      </c>
      <c r="J41" s="1" t="s">
        <v>152</v>
      </c>
    </row>
    <row r="42" spans="1:34" ht="15.75" customHeight="1" x14ac:dyDescent="0.35">
      <c r="A42" s="10" t="s">
        <v>19</v>
      </c>
      <c r="B42" s="10" t="s">
        <v>139</v>
      </c>
      <c r="C42" s="10">
        <v>8000</v>
      </c>
      <c r="D42" s="10">
        <v>8000</v>
      </c>
      <c r="E42" s="10">
        <v>5000</v>
      </c>
      <c r="F42" s="10">
        <v>5000</v>
      </c>
      <c r="G42" s="10">
        <v>4000</v>
      </c>
      <c r="H42" s="10">
        <v>4000</v>
      </c>
      <c r="I42" s="10">
        <v>4000</v>
      </c>
      <c r="J42" s="1" t="s">
        <v>153</v>
      </c>
    </row>
    <row r="43" spans="1:34" ht="15.75" customHeight="1" x14ac:dyDescent="0.35">
      <c r="A43" s="8" t="s">
        <v>21</v>
      </c>
      <c r="B43" s="8" t="s">
        <v>138</v>
      </c>
      <c r="C43" s="8">
        <v>2250</v>
      </c>
      <c r="D43" s="8">
        <v>2250</v>
      </c>
      <c r="E43" s="8">
        <v>2250</v>
      </c>
      <c r="F43" s="8">
        <v>2250</v>
      </c>
      <c r="G43" s="8">
        <v>2250</v>
      </c>
      <c r="H43" s="8">
        <v>2250</v>
      </c>
      <c r="I43" s="8">
        <v>2250</v>
      </c>
      <c r="J43" s="10"/>
      <c r="Q43" s="7" t="s">
        <v>154</v>
      </c>
    </row>
    <row r="44" spans="1:34" ht="15.75" customHeight="1" x14ac:dyDescent="0.35">
      <c r="A44" s="8" t="s">
        <v>24</v>
      </c>
      <c r="B44" s="8" t="s">
        <v>138</v>
      </c>
      <c r="C44" s="8">
        <v>2500</v>
      </c>
      <c r="D44" s="10">
        <v>2500</v>
      </c>
      <c r="E44" s="10">
        <v>2500</v>
      </c>
      <c r="F44" s="10">
        <v>2500</v>
      </c>
      <c r="G44" s="10">
        <v>2500</v>
      </c>
      <c r="H44" s="10">
        <v>2500</v>
      </c>
      <c r="I44" s="10">
        <v>2500</v>
      </c>
    </row>
    <row r="45" spans="1:34" ht="15.75" customHeight="1" x14ac:dyDescent="0.35">
      <c r="A45" s="8" t="s">
        <v>87</v>
      </c>
      <c r="B45" s="35" t="s">
        <v>138</v>
      </c>
      <c r="C45" s="36">
        <v>2000</v>
      </c>
      <c r="D45" s="36">
        <v>2000</v>
      </c>
      <c r="E45" s="36">
        <v>2000</v>
      </c>
      <c r="F45" s="36">
        <v>2000</v>
      </c>
      <c r="G45" s="36">
        <v>2000</v>
      </c>
      <c r="H45" s="36">
        <v>2000</v>
      </c>
      <c r="I45" s="36">
        <v>2000</v>
      </c>
      <c r="J45" s="35" t="s">
        <v>155</v>
      </c>
      <c r="K45" s="35"/>
      <c r="L45" s="13"/>
    </row>
    <row r="46" spans="1:34" ht="15.75" customHeight="1" x14ac:dyDescent="0.35">
      <c r="A46" s="8" t="s">
        <v>113</v>
      </c>
      <c r="B46" s="8" t="s">
        <v>138</v>
      </c>
      <c r="C46" s="8">
        <v>2500</v>
      </c>
      <c r="D46" s="10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 t="s">
        <v>156</v>
      </c>
      <c r="Q46" s="9"/>
    </row>
    <row r="47" spans="1:34" ht="15.75" customHeight="1" x14ac:dyDescent="0.35">
      <c r="A47" s="8" t="s">
        <v>16</v>
      </c>
      <c r="B47" s="10" t="s">
        <v>138</v>
      </c>
      <c r="C47" s="8">
        <v>2500</v>
      </c>
      <c r="D47" s="10">
        <v>2500</v>
      </c>
      <c r="E47" s="10">
        <v>2500</v>
      </c>
      <c r="F47" s="10">
        <v>2500</v>
      </c>
      <c r="G47" s="10">
        <v>2500</v>
      </c>
      <c r="H47" s="10">
        <v>2500</v>
      </c>
      <c r="I47" s="10">
        <v>2500</v>
      </c>
    </row>
    <row r="48" spans="1:34" ht="15.75" customHeight="1" x14ac:dyDescent="0.35">
      <c r="A48" s="8" t="s">
        <v>51</v>
      </c>
      <c r="B48" s="8" t="s">
        <v>138</v>
      </c>
      <c r="C48" s="14">
        <v>1500</v>
      </c>
      <c r="D48" s="14">
        <v>1500</v>
      </c>
      <c r="E48" s="14">
        <v>1500</v>
      </c>
      <c r="F48" s="14">
        <v>1500</v>
      </c>
      <c r="G48" s="14">
        <v>1500</v>
      </c>
      <c r="H48" s="14">
        <v>1500</v>
      </c>
      <c r="I48" s="14">
        <v>1500</v>
      </c>
    </row>
    <row r="49" spans="1:10" ht="15.75" customHeight="1" x14ac:dyDescent="0.35">
      <c r="A49" s="8" t="s">
        <v>53</v>
      </c>
      <c r="B49" s="10" t="s">
        <v>138</v>
      </c>
      <c r="C49" s="8">
        <v>2000</v>
      </c>
      <c r="D49" s="10">
        <v>2000</v>
      </c>
      <c r="E49" s="10">
        <v>2000</v>
      </c>
      <c r="F49" s="10">
        <v>2000</v>
      </c>
      <c r="G49" s="10">
        <v>2000</v>
      </c>
      <c r="H49" s="10">
        <v>2000</v>
      </c>
      <c r="I49" s="10">
        <v>2000</v>
      </c>
    </row>
    <row r="50" spans="1:10" ht="15.75" customHeight="1" x14ac:dyDescent="0.35">
      <c r="A50" s="8" t="s">
        <v>56</v>
      </c>
      <c r="B50" s="10" t="s">
        <v>138</v>
      </c>
      <c r="C50" s="8">
        <v>2500</v>
      </c>
      <c r="D50" s="10">
        <v>2500</v>
      </c>
      <c r="E50" s="10">
        <v>2500</v>
      </c>
      <c r="F50" s="10">
        <v>3000</v>
      </c>
      <c r="G50" s="10">
        <v>3000</v>
      </c>
      <c r="H50" s="10">
        <v>3000</v>
      </c>
      <c r="I50" s="10">
        <v>3000</v>
      </c>
      <c r="J50" s="43">
        <v>3000</v>
      </c>
    </row>
    <row r="51" spans="1:10" ht="15.75" customHeight="1" x14ac:dyDescent="0.35">
      <c r="A51" s="8" t="s">
        <v>59</v>
      </c>
      <c r="B51" s="10" t="s">
        <v>138</v>
      </c>
      <c r="C51" s="8">
        <v>2500</v>
      </c>
      <c r="D51" s="10">
        <v>2500</v>
      </c>
      <c r="E51" s="10">
        <v>2500</v>
      </c>
      <c r="F51" s="10">
        <v>2500</v>
      </c>
      <c r="G51" s="10">
        <v>2500</v>
      </c>
      <c r="H51" s="10">
        <v>2500</v>
      </c>
      <c r="I51" s="10">
        <v>2500</v>
      </c>
    </row>
    <row r="52" spans="1:10" ht="15.75" customHeight="1" x14ac:dyDescent="0.35">
      <c r="A52" s="8" t="s">
        <v>82</v>
      </c>
      <c r="B52" s="8" t="s">
        <v>138</v>
      </c>
      <c r="C52" s="8">
        <v>5000</v>
      </c>
      <c r="D52" s="10">
        <v>5000</v>
      </c>
      <c r="E52" s="10">
        <v>5000</v>
      </c>
      <c r="F52" s="10">
        <v>5000</v>
      </c>
      <c r="G52" s="10">
        <v>5000</v>
      </c>
      <c r="H52" s="10">
        <v>5000</v>
      </c>
      <c r="I52" s="10">
        <v>5000</v>
      </c>
    </row>
    <row r="53" spans="1:10" ht="15.75" customHeight="1" x14ac:dyDescent="0.35">
      <c r="A53" s="8" t="s">
        <v>101</v>
      </c>
      <c r="B53" s="10" t="s">
        <v>138</v>
      </c>
      <c r="C53" s="8">
        <v>2500</v>
      </c>
      <c r="D53" s="10">
        <v>2500</v>
      </c>
      <c r="E53" s="10">
        <v>2500</v>
      </c>
      <c r="F53" s="10">
        <v>2500</v>
      </c>
      <c r="G53" s="10">
        <v>2500</v>
      </c>
      <c r="H53" s="10">
        <v>2500</v>
      </c>
      <c r="I53" s="10">
        <v>2500</v>
      </c>
    </row>
    <row r="54" spans="1:10" ht="15.75" customHeight="1" x14ac:dyDescent="0.35">
      <c r="A54" s="8" t="s">
        <v>117</v>
      </c>
      <c r="B54" s="10" t="s">
        <v>138</v>
      </c>
      <c r="C54" s="8">
        <v>4000</v>
      </c>
      <c r="D54" s="10">
        <v>4000</v>
      </c>
      <c r="E54" s="10">
        <v>4000</v>
      </c>
      <c r="F54" s="10">
        <v>4000</v>
      </c>
      <c r="G54" s="10">
        <v>4000</v>
      </c>
      <c r="H54" s="10">
        <v>4000</v>
      </c>
      <c r="I54" s="10">
        <v>4000</v>
      </c>
      <c r="J54" s="8" t="s">
        <v>157</v>
      </c>
    </row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B40" sqref="B40"/>
    </sheetView>
  </sheetViews>
  <sheetFormatPr defaultColWidth="12.6640625" defaultRowHeight="15" customHeight="1" x14ac:dyDescent="0.3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5" x14ac:dyDescent="0.35">
      <c r="D1" s="8" t="s">
        <v>158</v>
      </c>
    </row>
    <row r="2" spans="1:35" ht="14.5" x14ac:dyDescent="0.35">
      <c r="B2" s="8" t="s">
        <v>159</v>
      </c>
      <c r="C2" s="8" t="s">
        <v>160</v>
      </c>
      <c r="D2" s="8">
        <v>2019</v>
      </c>
      <c r="E2" s="8">
        <v>2020</v>
      </c>
      <c r="F2" s="8">
        <v>2021</v>
      </c>
      <c r="G2" s="8">
        <v>2022</v>
      </c>
      <c r="H2" s="8">
        <v>2023</v>
      </c>
      <c r="I2" s="8">
        <v>2024</v>
      </c>
      <c r="J2" s="8">
        <v>2025</v>
      </c>
      <c r="K2" s="8">
        <v>2026</v>
      </c>
      <c r="L2" s="8">
        <v>2027</v>
      </c>
      <c r="M2" s="8">
        <v>2028</v>
      </c>
      <c r="N2" s="8">
        <v>2029</v>
      </c>
      <c r="O2" s="8">
        <v>2030</v>
      </c>
      <c r="P2" s="8">
        <v>2031</v>
      </c>
      <c r="Q2" s="8">
        <v>2032</v>
      </c>
      <c r="R2" s="8">
        <v>2033</v>
      </c>
      <c r="S2" s="8">
        <v>2034</v>
      </c>
      <c r="T2" s="8">
        <v>2035</v>
      </c>
      <c r="U2" s="8">
        <v>2036</v>
      </c>
      <c r="V2" s="8">
        <v>2037</v>
      </c>
      <c r="W2" s="8">
        <v>2038</v>
      </c>
      <c r="X2" s="8">
        <v>2039</v>
      </c>
      <c r="Y2" s="8">
        <v>2040</v>
      </c>
      <c r="Z2" s="8">
        <v>2041</v>
      </c>
      <c r="AA2" s="8">
        <v>2042</v>
      </c>
      <c r="AB2" s="8">
        <v>2043</v>
      </c>
      <c r="AC2" s="8">
        <v>2044</v>
      </c>
      <c r="AD2" s="8">
        <v>2045</v>
      </c>
      <c r="AE2" s="8">
        <v>2046</v>
      </c>
      <c r="AF2" s="8">
        <v>2047</v>
      </c>
      <c r="AG2" s="8">
        <v>2048</v>
      </c>
      <c r="AH2" s="8">
        <v>2049</v>
      </c>
      <c r="AI2" s="8">
        <v>2050</v>
      </c>
    </row>
    <row r="3" spans="1:35" ht="14.5" x14ac:dyDescent="0.35">
      <c r="A3" s="8" t="s">
        <v>161</v>
      </c>
      <c r="B3" s="8">
        <f t="array" ref="B3">INDEX('Cumulative Sales'!$B$5:$B$21,MATCH(A3,'Cumulative Sales'!$A$5:$A$21,0),1)</f>
        <v>27636</v>
      </c>
      <c r="C3" s="8">
        <f t="shared" ref="C3:C16" si="0">B3-INDEX($K$23:$K$40,MATCH(A3,$G$23:$G$40,0))</f>
        <v>23682</v>
      </c>
      <c r="D3" s="15">
        <f t="shared" ref="D3:AI3" si="1">C3+SUMIFS(C$50:C$66,$A$50:$A$66,$A3)</f>
        <v>37377.416211243981</v>
      </c>
      <c r="E3" s="15">
        <f t="shared" si="1"/>
        <v>55507.735430983172</v>
      </c>
      <c r="F3" s="15">
        <f t="shared" si="1"/>
        <v>79340.232996049992</v>
      </c>
      <c r="G3" s="15">
        <f t="shared" si="1"/>
        <v>110413.38853417023</v>
      </c>
      <c r="H3" s="15">
        <f t="shared" si="1"/>
        <v>149790.23315837886</v>
      </c>
      <c r="I3" s="15">
        <f t="shared" si="1"/>
        <v>200274.5995346572</v>
      </c>
      <c r="J3" s="15">
        <f t="shared" si="1"/>
        <v>264097.84913334413</v>
      </c>
      <c r="K3" s="15">
        <f t="shared" si="1"/>
        <v>346384.40278303844</v>
      </c>
      <c r="L3" s="15">
        <f t="shared" si="1"/>
        <v>450571.97110545967</v>
      </c>
      <c r="M3" s="15">
        <f t="shared" si="1"/>
        <v>581932.45794780226</v>
      </c>
      <c r="N3" s="15">
        <f t="shared" si="1"/>
        <v>744410.31319553417</v>
      </c>
      <c r="O3" s="15">
        <f t="shared" si="1"/>
        <v>940687.35695218516</v>
      </c>
      <c r="P3" s="15">
        <f t="shared" si="1"/>
        <v>1172762.1923687391</v>
      </c>
      <c r="Q3" s="15">
        <f t="shared" si="1"/>
        <v>1442609.2336724203</v>
      </c>
      <c r="R3" s="15">
        <f t="shared" si="1"/>
        <v>1752049.591778944</v>
      </c>
      <c r="S3" s="15">
        <f t="shared" si="1"/>
        <v>2098647.7677885396</v>
      </c>
      <c r="T3" s="15">
        <f t="shared" si="1"/>
        <v>2479718.5775751672</v>
      </c>
      <c r="U3" s="15">
        <f t="shared" si="1"/>
        <v>2892241.4493082985</v>
      </c>
      <c r="V3" s="15">
        <f t="shared" si="1"/>
        <v>3333284.5572750391</v>
      </c>
      <c r="W3" s="15">
        <f t="shared" si="1"/>
        <v>3799378.9535017945</v>
      </c>
      <c r="X3" s="15">
        <f t="shared" si="1"/>
        <v>4286186.6508666556</v>
      </c>
      <c r="Y3" s="15">
        <f t="shared" si="1"/>
        <v>4792010.6869036667</v>
      </c>
      <c r="Z3" s="15">
        <f t="shared" si="1"/>
        <v>5314229.2599426433</v>
      </c>
      <c r="AA3" s="15">
        <f t="shared" si="1"/>
        <v>5850426.1474667676</v>
      </c>
      <c r="AB3" s="15">
        <f t="shared" si="1"/>
        <v>6399312.3414858505</v>
      </c>
      <c r="AC3" s="15">
        <f t="shared" si="1"/>
        <v>6958887.5835362449</v>
      </c>
      <c r="AD3" s="15">
        <f t="shared" si="1"/>
        <v>7527674.373572859</v>
      </c>
      <c r="AE3" s="15">
        <f t="shared" si="1"/>
        <v>8105444.7056255974</v>
      </c>
      <c r="AF3" s="15">
        <f t="shared" si="1"/>
        <v>8691681.160994174</v>
      </c>
      <c r="AG3" s="15">
        <f t="shared" si="1"/>
        <v>9285153.4685893618</v>
      </c>
      <c r="AH3" s="15">
        <f t="shared" si="1"/>
        <v>9885420.0337102972</v>
      </c>
      <c r="AI3" s="15">
        <f t="shared" si="1"/>
        <v>10491284.759464676</v>
      </c>
    </row>
    <row r="4" spans="1:35" ht="14.5" x14ac:dyDescent="0.35">
      <c r="A4" s="8" t="s">
        <v>162</v>
      </c>
      <c r="B4" s="8">
        <f t="array" ref="B4">INDEX('Cumulative Sales'!$B$5:$B$21,MATCH(A4,'Cumulative Sales'!$A$5:$A$21,0),1)</f>
        <v>10218</v>
      </c>
      <c r="C4" s="8">
        <f t="shared" si="0"/>
        <v>9788</v>
      </c>
      <c r="D4" s="15">
        <f t="shared" ref="D4:AI4" si="2">C4+SUMIFS(C$50:C$66,$A$50:$A$66,$A4)</f>
        <v>13363.935393106432</v>
      </c>
      <c r="E4" s="15">
        <f t="shared" si="2"/>
        <v>18097.8441101672</v>
      </c>
      <c r="F4" s="15">
        <f t="shared" si="2"/>
        <v>24320.617499053082</v>
      </c>
      <c r="G4" s="15">
        <f t="shared" si="2"/>
        <v>32433.959580109302</v>
      </c>
      <c r="H4" s="15">
        <f t="shared" si="2"/>
        <v>42715.432606460687</v>
      </c>
      <c r="I4" s="15">
        <f t="shared" si="2"/>
        <v>55897.130025431521</v>
      </c>
      <c r="J4" s="15">
        <f t="shared" si="2"/>
        <v>72561.670454340492</v>
      </c>
      <c r="K4" s="15">
        <f t="shared" si="2"/>
        <v>94047.063452554867</v>
      </c>
      <c r="L4" s="15">
        <f t="shared" si="2"/>
        <v>121250.9108814458</v>
      </c>
      <c r="M4" s="15">
        <f t="shared" si="2"/>
        <v>155549.73078657358</v>
      </c>
      <c r="N4" s="15">
        <f t="shared" si="2"/>
        <v>197973.43695326732</v>
      </c>
      <c r="O4" s="15">
        <f t="shared" si="2"/>
        <v>249222.26479447359</v>
      </c>
      <c r="P4" s="15">
        <f t="shared" si="2"/>
        <v>309818.05867287121</v>
      </c>
      <c r="Q4" s="15">
        <f t="shared" si="2"/>
        <v>380276.3471132514</v>
      </c>
      <c r="R4" s="15">
        <f t="shared" si="2"/>
        <v>461072.63044929021</v>
      </c>
      <c r="S4" s="15">
        <f t="shared" si="2"/>
        <v>551570.98885341699</v>
      </c>
      <c r="T4" s="15">
        <f t="shared" si="2"/>
        <v>651070.30855112453</v>
      </c>
      <c r="U4" s="15">
        <f t="shared" si="2"/>
        <v>758781.90451454639</v>
      </c>
      <c r="V4" s="15">
        <f t="shared" si="2"/>
        <v>873940.26373031759</v>
      </c>
      <c r="W4" s="15">
        <f t="shared" si="2"/>
        <v>995639.62812257628</v>
      </c>
      <c r="X4" s="15">
        <f t="shared" si="2"/>
        <v>1122747.3295456595</v>
      </c>
      <c r="Y4" s="15">
        <f t="shared" si="2"/>
        <v>1254820.2833901483</v>
      </c>
      <c r="Z4" s="15">
        <f t="shared" si="2"/>
        <v>1391173.9253287159</v>
      </c>
      <c r="AA4" s="15">
        <f t="shared" si="2"/>
        <v>1531177.3686849556</v>
      </c>
      <c r="AB4" s="15">
        <f t="shared" si="2"/>
        <v>1674494.0476164708</v>
      </c>
      <c r="AC4" s="15">
        <f t="shared" si="2"/>
        <v>1820601.685550926</v>
      </c>
      <c r="AD4" s="15">
        <f t="shared" si="2"/>
        <v>1969114.5005140412</v>
      </c>
      <c r="AE4" s="15">
        <f t="shared" si="2"/>
        <v>2119972.9591111587</v>
      </c>
      <c r="AF4" s="15">
        <f t="shared" si="2"/>
        <v>2273041.9609689224</v>
      </c>
      <c r="AG4" s="15">
        <f t="shared" si="2"/>
        <v>2428000.2767166272</v>
      </c>
      <c r="AH4" s="15">
        <f t="shared" si="2"/>
        <v>2584732.6039716457</v>
      </c>
      <c r="AI4" s="15">
        <f t="shared" si="2"/>
        <v>2742926.6364013483</v>
      </c>
    </row>
    <row r="5" spans="1:35" ht="14.5" x14ac:dyDescent="0.35">
      <c r="A5" s="8" t="s">
        <v>163</v>
      </c>
      <c r="B5" s="8">
        <f t="array" ref="B5">INDEX('Cumulative Sales'!$B$5:$B$21,MATCH(A5,'Cumulative Sales'!$A$5:$A$21,0),1)</f>
        <v>85888</v>
      </c>
      <c r="C5" s="8">
        <f t="shared" si="0"/>
        <v>82633</v>
      </c>
      <c r="D5" s="15">
        <f t="shared" ref="D5:AI5" si="3">C5+SUMIFS(C$50:C$66,$A$50:$A$66,$A5)</f>
        <v>95666.89129376116</v>
      </c>
      <c r="E5" s="15">
        <f t="shared" si="3"/>
        <v>112921.46802121098</v>
      </c>
      <c r="F5" s="15">
        <f t="shared" si="3"/>
        <v>135602.79276013203</v>
      </c>
      <c r="G5" s="15">
        <f t="shared" si="3"/>
        <v>165175.03249283048</v>
      </c>
      <c r="H5" s="15">
        <f t="shared" si="3"/>
        <v>202649.87111087062</v>
      </c>
      <c r="I5" s="15">
        <f t="shared" si="3"/>
        <v>250695.70872788268</v>
      </c>
      <c r="J5" s="15">
        <f t="shared" si="3"/>
        <v>311436.12613855669</v>
      </c>
      <c r="K5" s="15">
        <f t="shared" si="3"/>
        <v>389748.02105766279</v>
      </c>
      <c r="L5" s="15">
        <f t="shared" si="3"/>
        <v>488903.05356852978</v>
      </c>
      <c r="M5" s="15">
        <f t="shared" si="3"/>
        <v>613918.4805836624</v>
      </c>
      <c r="N5" s="15">
        <f t="shared" si="3"/>
        <v>768548.22460003966</v>
      </c>
      <c r="O5" s="15">
        <f t="shared" si="3"/>
        <v>955344.56669913244</v>
      </c>
      <c r="P5" s="15">
        <f t="shared" si="3"/>
        <v>1176209.5722002778</v>
      </c>
      <c r="Q5" s="15">
        <f t="shared" si="3"/>
        <v>1433022.2858882095</v>
      </c>
      <c r="R5" s="15">
        <f t="shared" si="3"/>
        <v>1727515.8541925941</v>
      </c>
      <c r="S5" s="15">
        <f t="shared" si="3"/>
        <v>2057372.4192684377</v>
      </c>
      <c r="T5" s="15">
        <f t="shared" si="3"/>
        <v>2420036.4985029669</v>
      </c>
      <c r="U5" s="15">
        <f t="shared" si="3"/>
        <v>2812633.4216943528</v>
      </c>
      <c r="V5" s="15">
        <f t="shared" si="3"/>
        <v>3232372.9780856017</v>
      </c>
      <c r="W5" s="15">
        <f t="shared" si="3"/>
        <v>3675953.7790884334</v>
      </c>
      <c r="X5" s="15">
        <f t="shared" si="3"/>
        <v>4139247.3738614433</v>
      </c>
      <c r="Y5" s="15">
        <f t="shared" si="3"/>
        <v>4620638.7677254118</v>
      </c>
      <c r="Z5" s="15">
        <f t="shared" si="3"/>
        <v>5117632.7989827394</v>
      </c>
      <c r="AA5" s="15">
        <f t="shared" si="3"/>
        <v>5627929.9550709743</v>
      </c>
      <c r="AB5" s="15">
        <f t="shared" si="3"/>
        <v>6150303.490503761</v>
      </c>
      <c r="AC5" s="15">
        <f t="shared" si="3"/>
        <v>6682849.76460509</v>
      </c>
      <c r="AD5" s="15">
        <f t="shared" si="3"/>
        <v>7224162.6444997564</v>
      </c>
      <c r="AE5" s="15">
        <f t="shared" si="3"/>
        <v>7774025.1375105968</v>
      </c>
      <c r="AF5" s="15">
        <f t="shared" si="3"/>
        <v>8331944.8176325243</v>
      </c>
      <c r="AG5" s="15">
        <f t="shared" si="3"/>
        <v>8896750.8391320817</v>
      </c>
      <c r="AH5" s="15">
        <f t="shared" si="3"/>
        <v>9468022.9375033826</v>
      </c>
      <c r="AI5" s="15">
        <f t="shared" si="3"/>
        <v>10044622.790505566</v>
      </c>
    </row>
    <row r="6" spans="1:35" ht="14.5" x14ac:dyDescent="0.35">
      <c r="A6" s="8" t="s">
        <v>164</v>
      </c>
      <c r="B6" s="8">
        <f t="array" ref="B6">INDEX('Cumulative Sales'!$B$5:$B$21,MATCH(A6,'Cumulative Sales'!$A$5:$A$21,0),1)</f>
        <v>39855</v>
      </c>
      <c r="C6" s="8">
        <f t="shared" si="0"/>
        <v>39663</v>
      </c>
      <c r="D6" s="15">
        <f t="shared" ref="D6:AI6" si="4">C6+SUMIFS(C$50:C$66,$A$50:$A$66,$A6)</f>
        <v>40292.142578864783</v>
      </c>
      <c r="E6" s="15">
        <f t="shared" si="4"/>
        <v>41125.01655754559</v>
      </c>
      <c r="F6" s="15">
        <f t="shared" si="4"/>
        <v>42219.838266327584</v>
      </c>
      <c r="G6" s="15">
        <f t="shared" si="4"/>
        <v>43647.282668686763</v>
      </c>
      <c r="H6" s="15">
        <f t="shared" si="4"/>
        <v>45456.18348574212</v>
      </c>
      <c r="I6" s="15">
        <f t="shared" si="4"/>
        <v>47775.34370434501</v>
      </c>
      <c r="J6" s="15">
        <f t="shared" si="4"/>
        <v>50707.268023014636</v>
      </c>
      <c r="K6" s="15">
        <f t="shared" si="4"/>
        <v>54487.363039518073</v>
      </c>
      <c r="L6" s="15">
        <f t="shared" si="4"/>
        <v>59273.550944212984</v>
      </c>
      <c r="M6" s="15">
        <f t="shared" si="4"/>
        <v>65308.013437223824</v>
      </c>
      <c r="N6" s="15">
        <f t="shared" si="4"/>
        <v>72771.951391519222</v>
      </c>
      <c r="O6" s="15">
        <f t="shared" si="4"/>
        <v>81788.562758148008</v>
      </c>
      <c r="P6" s="15">
        <f t="shared" si="4"/>
        <v>92449.659740634524</v>
      </c>
      <c r="Q6" s="15">
        <f t="shared" si="4"/>
        <v>104845.94334722147</v>
      </c>
      <c r="R6" s="15">
        <f t="shared" si="4"/>
        <v>119061.07211009506</v>
      </c>
      <c r="S6" s="15">
        <f t="shared" si="4"/>
        <v>134983.16362750935</v>
      </c>
      <c r="T6" s="15">
        <f t="shared" si="4"/>
        <v>152488.86541132335</v>
      </c>
      <c r="U6" s="15">
        <f t="shared" si="4"/>
        <v>171439.41787060586</v>
      </c>
      <c r="V6" s="15">
        <f t="shared" si="4"/>
        <v>191700.13825009469</v>
      </c>
      <c r="W6" s="15">
        <f t="shared" si="4"/>
        <v>213111.66937214797</v>
      </c>
      <c r="X6" s="15">
        <f t="shared" si="4"/>
        <v>235474.73197698538</v>
      </c>
      <c r="Y6" s="15">
        <f t="shared" si="4"/>
        <v>258711.37068701189</v>
      </c>
      <c r="Z6" s="15">
        <f t="shared" si="4"/>
        <v>282701.1446891402</v>
      </c>
      <c r="AA6" s="15">
        <f t="shared" si="4"/>
        <v>307333.05710369209</v>
      </c>
      <c r="AB6" s="15">
        <f t="shared" si="4"/>
        <v>332547.8932417077</v>
      </c>
      <c r="AC6" s="15">
        <f t="shared" si="4"/>
        <v>358253.76485760149</v>
      </c>
      <c r="AD6" s="15">
        <f t="shared" si="4"/>
        <v>384382.79827931389</v>
      </c>
      <c r="AE6" s="15">
        <f t="shared" si="4"/>
        <v>410924.51932615478</v>
      </c>
      <c r="AF6" s="15">
        <f t="shared" si="4"/>
        <v>437855.15872156987</v>
      </c>
      <c r="AG6" s="15">
        <f t="shared" si="4"/>
        <v>465118.20004328765</v>
      </c>
      <c r="AH6" s="15">
        <f t="shared" si="4"/>
        <v>492693.35723175149</v>
      </c>
      <c r="AI6" s="15">
        <f t="shared" si="4"/>
        <v>520525.68376530847</v>
      </c>
    </row>
    <row r="7" spans="1:35" ht="14.5" x14ac:dyDescent="0.35">
      <c r="A7" s="8" t="s">
        <v>165</v>
      </c>
      <c r="B7" s="8">
        <f t="array" ref="B7">INDEX('Cumulative Sales'!$B$5:$B$21,MATCH(A7,'Cumulative Sales'!$A$5:$A$21,0),1)</f>
        <v>114247</v>
      </c>
      <c r="C7" s="8">
        <f t="shared" si="0"/>
        <v>112506</v>
      </c>
      <c r="D7" s="15">
        <f t="shared" ref="D7:AI7" si="5">C7+SUMIFS(C$50:C$66,$A$50:$A$66,$A7)</f>
        <v>119285.47389210541</v>
      </c>
      <c r="E7" s="15">
        <f t="shared" si="5"/>
        <v>128260.30341972837</v>
      </c>
      <c r="F7" s="15">
        <f t="shared" si="5"/>
        <v>140057.81234781668</v>
      </c>
      <c r="G7" s="15">
        <f t="shared" si="5"/>
        <v>155439.57537470915</v>
      </c>
      <c r="H7" s="15">
        <f t="shared" si="5"/>
        <v>174931.81175261078</v>
      </c>
      <c r="I7" s="15">
        <f t="shared" si="5"/>
        <v>199922.46837292353</v>
      </c>
      <c r="J7" s="15">
        <f t="shared" si="5"/>
        <v>231516.10873329363</v>
      </c>
      <c r="K7" s="15">
        <f t="shared" si="5"/>
        <v>272249.41201774793</v>
      </c>
      <c r="L7" s="15">
        <f t="shared" si="5"/>
        <v>323824.10594664788</v>
      </c>
      <c r="M7" s="15">
        <f t="shared" si="5"/>
        <v>388849.87641361397</v>
      </c>
      <c r="N7" s="15">
        <f t="shared" si="5"/>
        <v>469279.29606081918</v>
      </c>
      <c r="O7" s="15">
        <f t="shared" si="5"/>
        <v>566439.91339754337</v>
      </c>
      <c r="P7" s="15">
        <f t="shared" si="5"/>
        <v>681321.07242573448</v>
      </c>
      <c r="Q7" s="15">
        <f t="shared" si="5"/>
        <v>814900.14320112544</v>
      </c>
      <c r="R7" s="15">
        <f t="shared" si="5"/>
        <v>968078.60792164924</v>
      </c>
      <c r="S7" s="15">
        <f t="shared" si="5"/>
        <v>1139650.8514420216</v>
      </c>
      <c r="T7" s="15">
        <f t="shared" si="5"/>
        <v>1328287.6600021643</v>
      </c>
      <c r="U7" s="15">
        <f t="shared" si="5"/>
        <v>1532493.7969806828</v>
      </c>
      <c r="V7" s="15">
        <f t="shared" si="5"/>
        <v>1750817.9566581894</v>
      </c>
      <c r="W7" s="15">
        <f t="shared" si="5"/>
        <v>1981542.9482711973</v>
      </c>
      <c r="X7" s="15">
        <f t="shared" si="5"/>
        <v>2222521.3912667064</v>
      </c>
      <c r="Y7" s="15">
        <f t="shared" si="5"/>
        <v>2472913.2591309994</v>
      </c>
      <c r="Z7" s="15">
        <f t="shared" si="5"/>
        <v>2731420.7135436395</v>
      </c>
      <c r="AA7" s="15">
        <f t="shared" si="5"/>
        <v>2996847.6815107409</v>
      </c>
      <c r="AB7" s="15">
        <f t="shared" si="5"/>
        <v>3268556.0812185491</v>
      </c>
      <c r="AC7" s="15">
        <f t="shared" si="5"/>
        <v>3545555.7492559929</v>
      </c>
      <c r="AD7" s="15">
        <f t="shared" si="5"/>
        <v>3827115.2968995189</v>
      </c>
      <c r="AE7" s="15">
        <f t="shared" si="5"/>
        <v>4113121.8571505877</v>
      </c>
      <c r="AF7" s="15">
        <f t="shared" si="5"/>
        <v>4403319.2985769175</v>
      </c>
      <c r="AG7" s="15">
        <f t="shared" si="5"/>
        <v>4697098.6151723396</v>
      </c>
      <c r="AH7" s="15">
        <f t="shared" si="5"/>
        <v>4994241.2097289115</v>
      </c>
      <c r="AI7" s="15">
        <f t="shared" si="5"/>
        <v>5294154.9930739682</v>
      </c>
    </row>
    <row r="8" spans="1:35" ht="14.5" x14ac:dyDescent="0.35">
      <c r="A8" s="8" t="s">
        <v>166</v>
      </c>
      <c r="B8" s="8">
        <f t="array" ref="B8">INDEX('Cumulative Sales'!$B$5:$B$21,MATCH(A8,'Cumulative Sales'!$A$5:$A$21,0),1)</f>
        <v>211587</v>
      </c>
      <c r="C8" s="8">
        <f t="shared" si="0"/>
        <v>203331</v>
      </c>
      <c r="D8" s="15">
        <f t="shared" ref="D8:AI8" si="6">C8+SUMIFS(C$50:C$66,$A$50:$A$66,$A8)</f>
        <v>231350.97500135275</v>
      </c>
      <c r="E8" s="15">
        <f t="shared" si="6"/>
        <v>268444.48741951195</v>
      </c>
      <c r="F8" s="15">
        <f t="shared" si="6"/>
        <v>317204.30425842758</v>
      </c>
      <c r="G8" s="15">
        <f t="shared" si="6"/>
        <v>380778.05973702722</v>
      </c>
      <c r="H8" s="15">
        <f t="shared" si="6"/>
        <v>461340.64980249986</v>
      </c>
      <c r="I8" s="15">
        <f t="shared" si="6"/>
        <v>564628.54277365946</v>
      </c>
      <c r="J8" s="15">
        <f t="shared" si="6"/>
        <v>695206.96628970292</v>
      </c>
      <c r="K8" s="15">
        <f t="shared" si="6"/>
        <v>863560.1686055949</v>
      </c>
      <c r="L8" s="15">
        <f t="shared" si="6"/>
        <v>1076721.4931551323</v>
      </c>
      <c r="M8" s="15">
        <f t="shared" si="6"/>
        <v>1345476.9293328284</v>
      </c>
      <c r="N8" s="15">
        <f t="shared" si="6"/>
        <v>1677896.5777825876</v>
      </c>
      <c r="O8" s="15">
        <f t="shared" si="6"/>
        <v>2079467.2766625183</v>
      </c>
      <c r="P8" s="15">
        <f t="shared" si="6"/>
        <v>2554278.0444781128</v>
      </c>
      <c r="Q8" s="15">
        <f t="shared" si="6"/>
        <v>3106368.4106920622</v>
      </c>
      <c r="R8" s="15">
        <f t="shared" si="6"/>
        <v>3739464.2556679836</v>
      </c>
      <c r="S8" s="15">
        <f t="shared" si="6"/>
        <v>4448582.6992045883</v>
      </c>
      <c r="T8" s="15">
        <f t="shared" si="6"/>
        <v>5228230.0205616578</v>
      </c>
      <c r="U8" s="15">
        <f t="shared" si="6"/>
        <v>6072226.3164872034</v>
      </c>
      <c r="V8" s="15">
        <f t="shared" si="6"/>
        <v>6974573.2528001731</v>
      </c>
      <c r="W8" s="15">
        <f t="shared" si="6"/>
        <v>7928173.5763757378</v>
      </c>
      <c r="X8" s="15">
        <f t="shared" si="6"/>
        <v>8924152.0337102972</v>
      </c>
      <c r="Y8" s="15">
        <f t="shared" si="6"/>
        <v>9959036.744494345</v>
      </c>
      <c r="Z8" s="15">
        <f t="shared" si="6"/>
        <v>11027463.664574428</v>
      </c>
      <c r="AA8" s="15">
        <f t="shared" si="6"/>
        <v>12124489.352037227</v>
      </c>
      <c r="AB8" s="15">
        <f t="shared" si="6"/>
        <v>13247476.576213408</v>
      </c>
      <c r="AC8" s="15">
        <f t="shared" si="6"/>
        <v>14392332.931930091</v>
      </c>
      <c r="AD8" s="15">
        <f t="shared" si="6"/>
        <v>15556035.545425031</v>
      </c>
      <c r="AE8" s="15">
        <f t="shared" si="6"/>
        <v>16738117.930577351</v>
      </c>
      <c r="AF8" s="15">
        <f t="shared" si="6"/>
        <v>17937521.480709918</v>
      </c>
      <c r="AG8" s="15">
        <f t="shared" si="6"/>
        <v>19151729.137222011</v>
      </c>
      <c r="AH8" s="15">
        <f t="shared" si="6"/>
        <v>20379837.424652345</v>
      </c>
      <c r="AI8" s="15">
        <f t="shared" si="6"/>
        <v>21619399.202694658</v>
      </c>
    </row>
    <row r="9" spans="1:35" ht="14.5" x14ac:dyDescent="0.35">
      <c r="A9" s="8" t="s">
        <v>167</v>
      </c>
      <c r="B9" s="8">
        <f t="array" ref="B9">INDEX('Cumulative Sales'!$B$5:$B$21,MATCH(A9,'Cumulative Sales'!$A$5:$A$21,0),1)</f>
        <v>9157</v>
      </c>
      <c r="C9" s="8">
        <f t="shared" si="0"/>
        <v>8617</v>
      </c>
      <c r="D9" s="15">
        <f t="shared" ref="D9:AI9" si="7">C9+SUMIFS(C$50:C$66,$A$50:$A$66,$A9)</f>
        <v>10906.893945132839</v>
      </c>
      <c r="E9" s="15">
        <f t="shared" si="7"/>
        <v>13938.310264596072</v>
      </c>
      <c r="F9" s="15">
        <f t="shared" si="7"/>
        <v>17923.139278177587</v>
      </c>
      <c r="G9" s="15">
        <f t="shared" si="7"/>
        <v>23118.61706617607</v>
      </c>
      <c r="H9" s="15">
        <f t="shared" si="7"/>
        <v>29702.484010605483</v>
      </c>
      <c r="I9" s="15">
        <f t="shared" si="7"/>
        <v>38143.545100373354</v>
      </c>
      <c r="J9" s="15">
        <f t="shared" si="7"/>
        <v>48814.887289648825</v>
      </c>
      <c r="K9" s="15">
        <f t="shared" si="7"/>
        <v>62573.321357069421</v>
      </c>
      <c r="L9" s="15">
        <f t="shared" si="7"/>
        <v>79993.637627833989</v>
      </c>
      <c r="M9" s="15">
        <f t="shared" si="7"/>
        <v>101957.30626048373</v>
      </c>
      <c r="N9" s="15">
        <f t="shared" si="7"/>
        <v>129123.84513825009</v>
      </c>
      <c r="O9" s="15">
        <f t="shared" si="7"/>
        <v>161941.6585682593</v>
      </c>
      <c r="P9" s="15">
        <f t="shared" si="7"/>
        <v>200744.91596775065</v>
      </c>
      <c r="Q9" s="15">
        <f t="shared" si="7"/>
        <v>245863.74232996049</v>
      </c>
      <c r="R9" s="15">
        <f t="shared" si="7"/>
        <v>297602.63010659593</v>
      </c>
      <c r="S9" s="15">
        <f t="shared" si="7"/>
        <v>355554.36026189057</v>
      </c>
      <c r="T9" s="15">
        <f t="shared" si="7"/>
        <v>419269.96601915476</v>
      </c>
      <c r="U9" s="15">
        <f t="shared" si="7"/>
        <v>488244.40327904327</v>
      </c>
      <c r="V9" s="15">
        <f t="shared" si="7"/>
        <v>561987.46642497694</v>
      </c>
      <c r="W9" s="15">
        <f t="shared" si="7"/>
        <v>639919.14220009733</v>
      </c>
      <c r="X9" s="15">
        <f t="shared" si="7"/>
        <v>721314.11271035112</v>
      </c>
      <c r="Y9" s="15">
        <f t="shared" si="7"/>
        <v>805888.64330934465</v>
      </c>
      <c r="Z9" s="15">
        <f t="shared" si="7"/>
        <v>893204.36486120871</v>
      </c>
      <c r="AA9" s="15">
        <f t="shared" si="7"/>
        <v>982857.28137005563</v>
      </c>
      <c r="AB9" s="15">
        <f t="shared" si="7"/>
        <v>1074631.8687841566</v>
      </c>
      <c r="AC9" s="15">
        <f t="shared" si="7"/>
        <v>1168193.6809155347</v>
      </c>
      <c r="AD9" s="15">
        <f t="shared" si="7"/>
        <v>1263295.6775607378</v>
      </c>
      <c r="AE9" s="15">
        <f t="shared" si="7"/>
        <v>1359899.7357826955</v>
      </c>
      <c r="AF9" s="15">
        <f t="shared" si="7"/>
        <v>1457919.3424057136</v>
      </c>
      <c r="AG9" s="15">
        <f t="shared" si="7"/>
        <v>1557148.7942752012</v>
      </c>
      <c r="AH9" s="15">
        <f t="shared" si="7"/>
        <v>1657514.25610086</v>
      </c>
      <c r="AI9" s="15">
        <f t="shared" si="7"/>
        <v>1758815.7387046153</v>
      </c>
    </row>
    <row r="10" spans="1:35" ht="14.5" x14ac:dyDescent="0.35">
      <c r="A10" s="8" t="s">
        <v>168</v>
      </c>
      <c r="B10" s="8">
        <f t="array" ref="B10">INDEX('Cumulative Sales'!$B$5:$B$21,MATCH(A10,'Cumulative Sales'!$A$5:$A$21,0),1)</f>
        <v>13325</v>
      </c>
      <c r="C10" s="8">
        <f t="shared" si="0"/>
        <v>12259</v>
      </c>
      <c r="D10" s="15">
        <f t="shared" ref="D10:AI10" si="8">C10+SUMIFS(C$50:C$66,$A$50:$A$66,$A10)</f>
        <v>16434.008657540177</v>
      </c>
      <c r="E10" s="15">
        <f t="shared" si="8"/>
        <v>21960.984876359504</v>
      </c>
      <c r="F10" s="15">
        <f t="shared" si="8"/>
        <v>29226.253936475296</v>
      </c>
      <c r="G10" s="15">
        <f t="shared" si="8"/>
        <v>38698.8169741897</v>
      </c>
      <c r="H10" s="15">
        <f t="shared" si="8"/>
        <v>50702.735999134238</v>
      </c>
      <c r="I10" s="15">
        <f t="shared" si="8"/>
        <v>66092.751420377681</v>
      </c>
      <c r="J10" s="15">
        <f t="shared" si="8"/>
        <v>85549.087432137501</v>
      </c>
      <c r="K10" s="15">
        <f t="shared" si="8"/>
        <v>110633.9091409195</v>
      </c>
      <c r="L10" s="15">
        <f t="shared" si="8"/>
        <v>142395.19284670742</v>
      </c>
      <c r="M10" s="15">
        <f t="shared" si="8"/>
        <v>182440.06343451832</v>
      </c>
      <c r="N10" s="15">
        <f t="shared" si="8"/>
        <v>231970.9752268095</v>
      </c>
      <c r="O10" s="15">
        <f t="shared" si="8"/>
        <v>291805.47345021012</v>
      </c>
      <c r="P10" s="15">
        <f t="shared" si="8"/>
        <v>362552.82658766658</v>
      </c>
      <c r="Q10" s="15">
        <f t="shared" si="8"/>
        <v>444814.92919755424</v>
      </c>
      <c r="R10" s="15">
        <f t="shared" si="8"/>
        <v>539146.94176000578</v>
      </c>
      <c r="S10" s="15">
        <f t="shared" si="8"/>
        <v>644806.40936637623</v>
      </c>
      <c r="T10" s="15">
        <f t="shared" si="8"/>
        <v>760974.7612773478</v>
      </c>
      <c r="U10" s="15">
        <f t="shared" si="8"/>
        <v>886731.18476633646</v>
      </c>
      <c r="V10" s="15">
        <f t="shared" si="8"/>
        <v>1021181.9211081651</v>
      </c>
      <c r="W10" s="15">
        <f t="shared" si="8"/>
        <v>1163269.4713850259</v>
      </c>
      <c r="X10" s="15">
        <f t="shared" si="8"/>
        <v>1311671.4125678623</v>
      </c>
      <c r="Y10" s="15">
        <f t="shared" si="8"/>
        <v>1465870.4304781486</v>
      </c>
      <c r="Z10" s="15">
        <f t="shared" si="8"/>
        <v>1625067.2763378604</v>
      </c>
      <c r="AA10" s="15">
        <f t="shared" si="8"/>
        <v>1788525.3715888388</v>
      </c>
      <c r="AB10" s="15">
        <f t="shared" si="8"/>
        <v>1955851.7658135379</v>
      </c>
      <c r="AC10" s="15">
        <f t="shared" si="8"/>
        <v>2126436.6859116568</v>
      </c>
      <c r="AD10" s="15">
        <f t="shared" si="8"/>
        <v>2299829.720199123</v>
      </c>
      <c r="AE10" s="15">
        <f t="shared" si="8"/>
        <v>2475961.3617048133</v>
      </c>
      <c r="AF10" s="15">
        <f t="shared" si="8"/>
        <v>2654673.876810417</v>
      </c>
      <c r="AG10" s="15">
        <f t="shared" si="8"/>
        <v>2835592.2208754928</v>
      </c>
      <c r="AH10" s="15">
        <f t="shared" si="8"/>
        <v>3018581.7750121737</v>
      </c>
      <c r="AI10" s="15">
        <f t="shared" si="8"/>
        <v>3203277.9124866971</v>
      </c>
    </row>
    <row r="11" spans="1:35" ht="14.5" x14ac:dyDescent="0.35">
      <c r="A11" s="8" t="s">
        <v>169</v>
      </c>
      <c r="B11" s="8">
        <f t="array" ref="B11">INDEX('Cumulative Sales'!$B$5:$B$21,MATCH(A11,'Cumulative Sales'!$A$5:$A$21,0),1)</f>
        <v>19193</v>
      </c>
      <c r="C11" s="8">
        <f t="shared" si="0"/>
        <v>17881</v>
      </c>
      <c r="D11" s="15">
        <f t="shared" ref="D11:AI11" si="9">C11+SUMIFS(C$50:C$66,$A$50:$A$66,$A11)</f>
        <v>24350.528651047021</v>
      </c>
      <c r="E11" s="15">
        <f t="shared" si="9"/>
        <v>32915.045262702231</v>
      </c>
      <c r="F11" s="15">
        <f t="shared" si="9"/>
        <v>44173.193496022941</v>
      </c>
      <c r="G11" s="15">
        <f t="shared" si="9"/>
        <v>58851.730236459065</v>
      </c>
      <c r="H11" s="15">
        <f t="shared" si="9"/>
        <v>77452.816947134896</v>
      </c>
      <c r="I11" s="15">
        <f t="shared" si="9"/>
        <v>101300.94610681239</v>
      </c>
      <c r="J11" s="15">
        <f t="shared" si="9"/>
        <v>131450.18257489672</v>
      </c>
      <c r="K11" s="15">
        <f t="shared" si="9"/>
        <v>170321.23316739712</v>
      </c>
      <c r="L11" s="15">
        <f t="shared" si="9"/>
        <v>219538.02570207237</v>
      </c>
      <c r="M11" s="15">
        <f t="shared" si="9"/>
        <v>281590.93597027572</v>
      </c>
      <c r="N11" s="15">
        <f t="shared" si="9"/>
        <v>358343.26853705599</v>
      </c>
      <c r="O11" s="15">
        <f t="shared" si="9"/>
        <v>451061.87880345574</v>
      </c>
      <c r="P11" s="15">
        <f t="shared" si="9"/>
        <v>560690.87975939247</v>
      </c>
      <c r="Q11" s="15">
        <f t="shared" si="9"/>
        <v>688162.95787565596</v>
      </c>
      <c r="R11" s="15">
        <f t="shared" si="9"/>
        <v>834338.38122035237</v>
      </c>
      <c r="S11" s="15">
        <f t="shared" si="9"/>
        <v>998066.65318435139</v>
      </c>
      <c r="T11" s="15">
        <f t="shared" si="9"/>
        <v>1178079.3292480565</v>
      </c>
      <c r="U11" s="15">
        <f t="shared" si="9"/>
        <v>1372949.5322944284</v>
      </c>
      <c r="V11" s="15">
        <f t="shared" si="9"/>
        <v>1581292.3076673339</v>
      </c>
      <c r="W11" s="15">
        <f t="shared" si="9"/>
        <v>1801468.9714481537</v>
      </c>
      <c r="X11" s="15">
        <f t="shared" si="9"/>
        <v>2031430.3174251029</v>
      </c>
      <c r="Y11" s="15">
        <f t="shared" si="9"/>
        <v>2270374.7235719566</v>
      </c>
      <c r="Z11" s="15">
        <f t="shared" si="9"/>
        <v>2517063.6863806071</v>
      </c>
      <c r="AA11" s="15">
        <f t="shared" si="9"/>
        <v>2770355.8151434804</v>
      </c>
      <c r="AB11" s="15">
        <f t="shared" si="9"/>
        <v>3029642.1999891778</v>
      </c>
      <c r="AC11" s="15">
        <f t="shared" si="9"/>
        <v>3293977.9459805563</v>
      </c>
      <c r="AD11" s="15">
        <f t="shared" si="9"/>
        <v>3562665.1021589739</v>
      </c>
      <c r="AE11" s="15">
        <f t="shared" si="9"/>
        <v>3835595.9616002017</v>
      </c>
      <c r="AF11" s="15">
        <f t="shared" si="9"/>
        <v>4112526.1027361429</v>
      </c>
      <c r="AG11" s="15">
        <f t="shared" si="9"/>
        <v>4392874.362209837</v>
      </c>
      <c r="AH11" s="15">
        <f t="shared" si="9"/>
        <v>4676432.136680915</v>
      </c>
      <c r="AI11" s="15">
        <f t="shared" si="9"/>
        <v>4962634.4062189991</v>
      </c>
    </row>
    <row r="12" spans="1:35" ht="14.5" x14ac:dyDescent="0.35">
      <c r="A12" s="8" t="s">
        <v>170</v>
      </c>
      <c r="B12" s="8">
        <f t="array" ref="B12">INDEX('Cumulative Sales'!$B$5:$B$21,MATCH(A12,'Cumulative Sales'!$A$5:$A$21,0),1)</f>
        <v>7004</v>
      </c>
      <c r="C12" s="8">
        <f t="shared" si="0"/>
        <v>6373</v>
      </c>
      <c r="D12" s="15">
        <f t="shared" ref="D12:AI12" si="10">C12+SUMIFS(C$50:C$66,$A$50:$A$66,$A12)</f>
        <v>8746.1628158649419</v>
      </c>
      <c r="E12" s="15">
        <f t="shared" si="10"/>
        <v>11887.812456035928</v>
      </c>
      <c r="F12" s="15">
        <f t="shared" si="10"/>
        <v>16017.544342838592</v>
      </c>
      <c r="G12" s="15">
        <f t="shared" si="10"/>
        <v>21401.948595855203</v>
      </c>
      <c r="H12" s="15">
        <f t="shared" si="10"/>
        <v>28225.228883718413</v>
      </c>
      <c r="I12" s="15">
        <f t="shared" si="10"/>
        <v>36973.237649477844</v>
      </c>
      <c r="J12" s="15">
        <f t="shared" si="10"/>
        <v>48032.628645636061</v>
      </c>
      <c r="K12" s="15">
        <f t="shared" si="10"/>
        <v>62291.369406417405</v>
      </c>
      <c r="L12" s="15">
        <f t="shared" si="10"/>
        <v>80345.151723391595</v>
      </c>
      <c r="M12" s="15">
        <f t="shared" si="10"/>
        <v>103107.49921541043</v>
      </c>
      <c r="N12" s="15">
        <f t="shared" si="10"/>
        <v>131261.91223418646</v>
      </c>
      <c r="O12" s="15">
        <f t="shared" si="10"/>
        <v>165273.10069801417</v>
      </c>
      <c r="P12" s="15">
        <f t="shared" si="10"/>
        <v>205487.38563930523</v>
      </c>
      <c r="Q12" s="15">
        <f t="shared" si="10"/>
        <v>252246.89659650449</v>
      </c>
      <c r="R12" s="15">
        <f t="shared" si="10"/>
        <v>305867.19847410853</v>
      </c>
      <c r="S12" s="15">
        <f t="shared" si="10"/>
        <v>365926.26427141385</v>
      </c>
      <c r="T12" s="15">
        <f t="shared" si="10"/>
        <v>431958.80114712403</v>
      </c>
      <c r="U12" s="15">
        <f t="shared" si="10"/>
        <v>503441.39976191759</v>
      </c>
      <c r="V12" s="15">
        <f t="shared" si="10"/>
        <v>579866.02884043066</v>
      </c>
      <c r="W12" s="15">
        <f t="shared" si="10"/>
        <v>660631.58373464632</v>
      </c>
      <c r="X12" s="15">
        <f t="shared" si="10"/>
        <v>744986.37135436386</v>
      </c>
      <c r="Y12" s="15">
        <f t="shared" si="10"/>
        <v>832636.33942968445</v>
      </c>
      <c r="Z12" s="15">
        <f t="shared" si="10"/>
        <v>923127.17812888906</v>
      </c>
      <c r="AA12" s="15">
        <f t="shared" si="10"/>
        <v>1016040.2006926031</v>
      </c>
      <c r="AB12" s="15">
        <f t="shared" si="10"/>
        <v>1111152.0458308533</v>
      </c>
      <c r="AC12" s="15">
        <f t="shared" si="10"/>
        <v>1208116.1056760997</v>
      </c>
      <c r="AD12" s="15">
        <f t="shared" si="10"/>
        <v>1306676.3567447648</v>
      </c>
      <c r="AE12" s="15">
        <f t="shared" si="10"/>
        <v>1406793.2898111574</v>
      </c>
      <c r="AF12" s="15">
        <f t="shared" si="10"/>
        <v>1508377.2457659217</v>
      </c>
      <c r="AG12" s="15">
        <f t="shared" si="10"/>
        <v>1611215.0413397541</v>
      </c>
      <c r="AH12" s="15">
        <f t="shared" si="10"/>
        <v>1715230.1563227095</v>
      </c>
      <c r="AI12" s="15">
        <f t="shared" si="10"/>
        <v>1820215.3292029649</v>
      </c>
    </row>
    <row r="13" spans="1:35" ht="14.5" x14ac:dyDescent="0.35">
      <c r="A13" s="8" t="s">
        <v>171</v>
      </c>
      <c r="B13" s="8">
        <f t="array" ref="B13">INDEX('Cumulative Sales'!$B$5:$B$21,MATCH(A13,'Cumulative Sales'!$A$5:$A$21,0),1)</f>
        <v>132227</v>
      </c>
      <c r="C13" s="8">
        <f t="shared" si="0"/>
        <v>129542</v>
      </c>
      <c r="D13" s="15">
        <f t="shared" ref="D13:AI13" si="11">C13+SUMIFS(C$50:C$66,$A$50:$A$66,$A13)</f>
        <v>140764.79335533793</v>
      </c>
      <c r="E13" s="15">
        <f t="shared" si="11"/>
        <v>155621.79535739409</v>
      </c>
      <c r="F13" s="15">
        <f t="shared" si="11"/>
        <v>175151.48260375523</v>
      </c>
      <c r="G13" s="15">
        <f t="shared" si="11"/>
        <v>200614.57172230943</v>
      </c>
      <c r="H13" s="15">
        <f t="shared" si="11"/>
        <v>232882.17012066449</v>
      </c>
      <c r="I13" s="15">
        <f t="shared" si="11"/>
        <v>274251.89578486013</v>
      </c>
      <c r="J13" s="15">
        <f t="shared" si="11"/>
        <v>326552.25164583448</v>
      </c>
      <c r="K13" s="15">
        <f t="shared" si="11"/>
        <v>393982.47598434432</v>
      </c>
      <c r="L13" s="15">
        <f t="shared" si="11"/>
        <v>479359.62199015205</v>
      </c>
      <c r="M13" s="15">
        <f t="shared" si="11"/>
        <v>587003.78381400718</v>
      </c>
      <c r="N13" s="15">
        <f t="shared" si="11"/>
        <v>720147.26526342367</v>
      </c>
      <c r="O13" s="15">
        <f t="shared" si="11"/>
        <v>880987.70037696371</v>
      </c>
      <c r="P13" s="15">
        <f t="shared" si="11"/>
        <v>1071162.8568439658</v>
      </c>
      <c r="Q13" s="15">
        <f t="shared" si="11"/>
        <v>1292290.6805908771</v>
      </c>
      <c r="R13" s="15">
        <f t="shared" si="11"/>
        <v>1545863.4921991955</v>
      </c>
      <c r="S13" s="15">
        <f t="shared" si="11"/>
        <v>1829885.5070613062</v>
      </c>
      <c r="T13" s="15">
        <f t="shared" si="11"/>
        <v>2142156.3344696355</v>
      </c>
      <c r="U13" s="15">
        <f t="shared" si="11"/>
        <v>2480200.7481918368</v>
      </c>
      <c r="V13" s="15">
        <f t="shared" si="11"/>
        <v>2841616.2455494832</v>
      </c>
      <c r="W13" s="15">
        <f t="shared" si="11"/>
        <v>3223560.1757119927</v>
      </c>
      <c r="X13" s="15">
        <f t="shared" si="11"/>
        <v>3622477.7483541658</v>
      </c>
      <c r="Y13" s="15">
        <f t="shared" si="11"/>
        <v>4036978.3771080212</v>
      </c>
      <c r="Z13" s="15">
        <f t="shared" si="11"/>
        <v>4464913.6104106922</v>
      </c>
      <c r="AA13" s="15">
        <f t="shared" si="11"/>
        <v>4904303.4598055659</v>
      </c>
      <c r="AB13" s="15">
        <f t="shared" si="11"/>
        <v>5354091.639738109</v>
      </c>
      <c r="AC13" s="15">
        <f t="shared" si="11"/>
        <v>5812639.0260628024</v>
      </c>
      <c r="AD13" s="15">
        <f t="shared" si="11"/>
        <v>6278734.8722471716</v>
      </c>
      <c r="AE13" s="15">
        <f t="shared" si="11"/>
        <v>6752192.3373915544</v>
      </c>
      <c r="AF13" s="15">
        <f t="shared" si="11"/>
        <v>7232587.419548003</v>
      </c>
      <c r="AG13" s="15">
        <f t="shared" si="11"/>
        <v>7718911.965478057</v>
      </c>
      <c r="AH13" s="15">
        <f t="shared" si="11"/>
        <v>8210804.1076781545</v>
      </c>
      <c r="AI13" s="15">
        <f t="shared" si="11"/>
        <v>8707283.6971664578</v>
      </c>
    </row>
    <row r="14" spans="1:35" ht="14.5" x14ac:dyDescent="0.35">
      <c r="A14" s="8" t="s">
        <v>172</v>
      </c>
      <c r="B14" s="8">
        <f t="array" ref="B14">INDEX('Cumulative Sales'!$B$5:$B$21,MATCH(A14,'Cumulative Sales'!$A$5:$A$21,0),1)</f>
        <v>10712</v>
      </c>
      <c r="C14" s="8">
        <f t="shared" si="0"/>
        <v>9932</v>
      </c>
      <c r="D14" s="15">
        <f t="shared" ref="D14:AI14" si="12">C14+SUMIFS(C$50:C$66,$A$50:$A$66,$A14)</f>
        <v>12892.670959363671</v>
      </c>
      <c r="E14" s="15">
        <f t="shared" si="12"/>
        <v>16812.077917861589</v>
      </c>
      <c r="F14" s="15">
        <f t="shared" si="12"/>
        <v>21964.18007683567</v>
      </c>
      <c r="G14" s="15">
        <f t="shared" si="12"/>
        <v>28681.565499702399</v>
      </c>
      <c r="H14" s="15">
        <f t="shared" si="12"/>
        <v>37194.039932904067</v>
      </c>
      <c r="I14" s="15">
        <f t="shared" si="12"/>
        <v>48107.735079270606</v>
      </c>
      <c r="J14" s="15">
        <f t="shared" si="12"/>
        <v>61905.025990657072</v>
      </c>
      <c r="K14" s="15">
        <f t="shared" si="12"/>
        <v>79693.708421261472</v>
      </c>
      <c r="L14" s="15">
        <f t="shared" si="12"/>
        <v>102216.94561982577</v>
      </c>
      <c r="M14" s="15">
        <f t="shared" si="12"/>
        <v>130614.4161751709</v>
      </c>
      <c r="N14" s="15">
        <f t="shared" si="12"/>
        <v>165738.83007773751</v>
      </c>
      <c r="O14" s="15">
        <f t="shared" si="12"/>
        <v>208169.94239128477</v>
      </c>
      <c r="P14" s="15">
        <f t="shared" si="12"/>
        <v>258339.81054416249</v>
      </c>
      <c r="Q14" s="15">
        <f t="shared" si="12"/>
        <v>316675.26281045401</v>
      </c>
      <c r="R14" s="15">
        <f t="shared" si="12"/>
        <v>383569.98640044732</v>
      </c>
      <c r="S14" s="15">
        <f t="shared" si="12"/>
        <v>458497.47589416162</v>
      </c>
      <c r="T14" s="15">
        <f t="shared" si="12"/>
        <v>540877.24899446289</v>
      </c>
      <c r="U14" s="15">
        <f t="shared" si="12"/>
        <v>630056.31939108646</v>
      </c>
      <c r="V14" s="15">
        <f t="shared" si="12"/>
        <v>725400.8858827987</v>
      </c>
      <c r="W14" s="15">
        <f t="shared" si="12"/>
        <v>826161.03233952005</v>
      </c>
      <c r="X14" s="15">
        <f t="shared" si="12"/>
        <v>931398.97400934307</v>
      </c>
      <c r="Y14" s="15">
        <f t="shared" si="12"/>
        <v>1040747.8620565267</v>
      </c>
      <c r="Z14" s="15">
        <f t="shared" si="12"/>
        <v>1153640.9161841893</v>
      </c>
      <c r="AA14" s="15">
        <f t="shared" si="12"/>
        <v>1269555.7981350217</v>
      </c>
      <c r="AB14" s="15">
        <f t="shared" si="12"/>
        <v>1388213.8505492129</v>
      </c>
      <c r="AC14" s="15">
        <f t="shared" si="12"/>
        <v>1509182.6581534189</v>
      </c>
      <c r="AD14" s="15">
        <f t="shared" si="12"/>
        <v>1632142.8154320654</v>
      </c>
      <c r="AE14" s="15">
        <f t="shared" si="12"/>
        <v>1757045.0321230814</v>
      </c>
      <c r="AF14" s="15">
        <f t="shared" si="12"/>
        <v>1883777.4528073878</v>
      </c>
      <c r="AG14" s="15">
        <f t="shared" si="12"/>
        <v>2012074.1178507656</v>
      </c>
      <c r="AH14" s="15">
        <f t="shared" si="12"/>
        <v>2141839.5634435364</v>
      </c>
      <c r="AI14" s="15">
        <f t="shared" si="12"/>
        <v>2272815.2177190986</v>
      </c>
    </row>
    <row r="15" spans="1:35" ht="14.5" x14ac:dyDescent="0.35">
      <c r="A15" s="8" t="s">
        <v>173</v>
      </c>
      <c r="B15" s="8">
        <f t="array" ref="B15">INDEX('Cumulative Sales'!$B$5:$B$21,MATCH(A15,'Cumulative Sales'!$A$5:$A$21,0),1)</f>
        <v>382573</v>
      </c>
      <c r="C15" s="8">
        <f t="shared" si="0"/>
        <v>352673</v>
      </c>
      <c r="D15" s="15">
        <f t="shared" ref="D15:AI15" si="13">C15+SUMIFS(C$50:C$66,$A$50:$A$66,$A15)</f>
        <v>487233.18207889184</v>
      </c>
      <c r="E15" s="15">
        <f t="shared" si="13"/>
        <v>665367.16630593583</v>
      </c>
      <c r="F15" s="15">
        <f t="shared" si="13"/>
        <v>899526.18435149617</v>
      </c>
      <c r="G15" s="15">
        <f t="shared" si="13"/>
        <v>1204826.1038634274</v>
      </c>
      <c r="H15" s="15">
        <f t="shared" si="13"/>
        <v>1591711.4164817922</v>
      </c>
      <c r="I15" s="15">
        <f t="shared" si="13"/>
        <v>2087730.3345598183</v>
      </c>
      <c r="J15" s="15">
        <f t="shared" si="13"/>
        <v>2714806.4273488089</v>
      </c>
      <c r="K15" s="15">
        <f t="shared" si="13"/>
        <v>3523288.1464116303</v>
      </c>
      <c r="L15" s="15">
        <f t="shared" si="13"/>
        <v>4546951.6808073157</v>
      </c>
      <c r="M15" s="15">
        <f t="shared" si="13"/>
        <v>5837594.5320238806</v>
      </c>
      <c r="N15" s="15">
        <f t="shared" si="13"/>
        <v>7433971.7029471714</v>
      </c>
      <c r="O15" s="15">
        <f t="shared" si="13"/>
        <v>9362432.6082913987</v>
      </c>
      <c r="P15" s="15">
        <f t="shared" si="13"/>
        <v>11642613.920630198</v>
      </c>
      <c r="Q15" s="15">
        <f t="shared" si="13"/>
        <v>14293914.651561063</v>
      </c>
      <c r="R15" s="15">
        <f t="shared" si="13"/>
        <v>17334227.577223454</v>
      </c>
      <c r="S15" s="15">
        <f t="shared" si="13"/>
        <v>20739623.437611599</v>
      </c>
      <c r="T15" s="15">
        <f t="shared" si="13"/>
        <v>24483719.765822552</v>
      </c>
      <c r="U15" s="15">
        <f t="shared" si="13"/>
        <v>28536838.844200347</v>
      </c>
      <c r="V15" s="15">
        <f t="shared" si="13"/>
        <v>32870174.903306097</v>
      </c>
      <c r="W15" s="15">
        <f t="shared" si="13"/>
        <v>37449644.840899661</v>
      </c>
      <c r="X15" s="15">
        <f t="shared" si="13"/>
        <v>42232627.072651193</v>
      </c>
      <c r="Y15" s="15">
        <f t="shared" si="13"/>
        <v>47202448.605576903</v>
      </c>
      <c r="Z15" s="15">
        <f t="shared" si="13"/>
        <v>52333349.717980631</v>
      </c>
      <c r="AA15" s="15">
        <f t="shared" si="13"/>
        <v>57601590.544144437</v>
      </c>
      <c r="AB15" s="15">
        <f t="shared" si="13"/>
        <v>62994506.324765973</v>
      </c>
      <c r="AC15" s="15">
        <f t="shared" si="13"/>
        <v>68492444.123496205</v>
      </c>
      <c r="AD15" s="15">
        <f t="shared" si="13"/>
        <v>74080887.209187821</v>
      </c>
      <c r="AE15" s="15">
        <f t="shared" si="13"/>
        <v>79757595.377937704</v>
      </c>
      <c r="AF15" s="15">
        <f t="shared" si="13"/>
        <v>85517484.888335764</v>
      </c>
      <c r="AG15" s="15">
        <f t="shared" si="13"/>
        <v>91348468.082787722</v>
      </c>
      <c r="AH15" s="15">
        <f t="shared" si="13"/>
        <v>97246206.205724791</v>
      </c>
      <c r="AI15" s="15">
        <f t="shared" si="13"/>
        <v>103198947.36781919</v>
      </c>
    </row>
    <row r="16" spans="1:35" ht="14.5" x14ac:dyDescent="0.35">
      <c r="A16" s="8" t="s">
        <v>174</v>
      </c>
      <c r="B16" s="8">
        <f t="array" ref="B16">INDEX('Cumulative Sales'!$B$5:$B$21,MATCH(A16,'Cumulative Sales'!$A$5:$A$21,0),1)</f>
        <v>99918</v>
      </c>
      <c r="C16" s="8">
        <f t="shared" si="0"/>
        <v>95770</v>
      </c>
      <c r="D16" s="15">
        <f t="shared" ref="D16:AI16" si="14">C16+SUMIFS(C$50:C$66,$A$50:$A$66,$A16)</f>
        <v>113027.47345922839</v>
      </c>
      <c r="E16" s="15">
        <f t="shared" si="14"/>
        <v>135873.32917591039</v>
      </c>
      <c r="F16" s="15">
        <f t="shared" si="14"/>
        <v>165904.4496509929</v>
      </c>
      <c r="G16" s="15">
        <f t="shared" si="14"/>
        <v>205059.45952599967</v>
      </c>
      <c r="H16" s="15">
        <f t="shared" si="14"/>
        <v>254677.87495265406</v>
      </c>
      <c r="I16" s="15">
        <f t="shared" si="14"/>
        <v>318292.78080190462</v>
      </c>
      <c r="J16" s="15">
        <f t="shared" si="14"/>
        <v>398715.89602835343</v>
      </c>
      <c r="K16" s="15">
        <f t="shared" si="14"/>
        <v>502404.45822736865</v>
      </c>
      <c r="L16" s="15">
        <f t="shared" si="14"/>
        <v>633690.29630431253</v>
      </c>
      <c r="M16" s="15">
        <f t="shared" si="14"/>
        <v>799216.48990855471</v>
      </c>
      <c r="N16" s="15">
        <f t="shared" si="14"/>
        <v>1003953.4056328121</v>
      </c>
      <c r="O16" s="15">
        <f t="shared" si="14"/>
        <v>1251280.3813916997</v>
      </c>
      <c r="P16" s="15">
        <f t="shared" si="14"/>
        <v>1543715.8394296847</v>
      </c>
      <c r="Q16" s="15">
        <f t="shared" si="14"/>
        <v>1883747.7217412479</v>
      </c>
      <c r="R16" s="15">
        <f t="shared" si="14"/>
        <v>2273670.7941669826</v>
      </c>
      <c r="S16" s="15">
        <f t="shared" si="14"/>
        <v>2710416.1059737029</v>
      </c>
      <c r="T16" s="15">
        <f t="shared" si="14"/>
        <v>3190600.0802716305</v>
      </c>
      <c r="U16" s="15">
        <f t="shared" si="14"/>
        <v>3710416.5210756995</v>
      </c>
      <c r="V16" s="15">
        <f t="shared" si="14"/>
        <v>4266171.0606027814</v>
      </c>
      <c r="W16" s="15">
        <f t="shared" si="14"/>
        <v>4853492.5080352798</v>
      </c>
      <c r="X16" s="15">
        <f t="shared" si="14"/>
        <v>5466914.6039716471</v>
      </c>
      <c r="Y16" s="15">
        <f t="shared" si="14"/>
        <v>6104299.0209404258</v>
      </c>
      <c r="Z16" s="15">
        <f t="shared" si="14"/>
        <v>6762342.049726747</v>
      </c>
      <c r="AA16" s="15">
        <f t="shared" si="14"/>
        <v>7437999.029597966</v>
      </c>
      <c r="AB16" s="15">
        <f t="shared" si="14"/>
        <v>8129645.6929278728</v>
      </c>
      <c r="AC16" s="15">
        <f t="shared" si="14"/>
        <v>8834761.5316270776</v>
      </c>
      <c r="AD16" s="15">
        <f t="shared" si="14"/>
        <v>9551484.7608895637</v>
      </c>
      <c r="AE16" s="15">
        <f t="shared" si="14"/>
        <v>10279528.072398681</v>
      </c>
      <c r="AF16" s="15">
        <f t="shared" si="14"/>
        <v>11018239.471403064</v>
      </c>
      <c r="AG16" s="15">
        <f t="shared" si="14"/>
        <v>11766068.704128567</v>
      </c>
      <c r="AH16" s="15">
        <f t="shared" si="14"/>
        <v>12522459.320978304</v>
      </c>
      <c r="AI16" s="15">
        <f t="shared" si="14"/>
        <v>13285904.130782969</v>
      </c>
    </row>
    <row r="17" spans="1:35" ht="14.5" x14ac:dyDescent="0.35">
      <c r="A17" s="8" t="s">
        <v>175</v>
      </c>
      <c r="B17" s="8">
        <f t="array" ref="B17">INDEX('Cumulative Sales'!$B$5:$B$21,MATCH(A17,'Cumulative Sales'!$A$5:$A$21,0),1)</f>
        <v>14277</v>
      </c>
      <c r="C17" s="8">
        <f>B17-INDEX($K$23:$K$41,MATCH(A17,$G$23:$G$41,0))</f>
        <v>13414</v>
      </c>
      <c r="D17" s="15">
        <f t="shared" ref="D17:AI17" si="15">C17+SUMIFS(C$50:C$66,$A$50:$A$66,$A17)</f>
        <v>16945.987933553381</v>
      </c>
      <c r="E17" s="15">
        <f t="shared" si="15"/>
        <v>21621.717953573941</v>
      </c>
      <c r="F17" s="15">
        <f t="shared" si="15"/>
        <v>27768.014826037554</v>
      </c>
      <c r="G17" s="15">
        <f t="shared" si="15"/>
        <v>35781.645717223095</v>
      </c>
      <c r="H17" s="15">
        <f t="shared" si="15"/>
        <v>45936.761701206648</v>
      </c>
      <c r="I17" s="15">
        <f t="shared" si="15"/>
        <v>58956.458957848605</v>
      </c>
      <c r="J17" s="15">
        <f t="shared" si="15"/>
        <v>75416.195849791678</v>
      </c>
      <c r="K17" s="15">
        <f t="shared" si="15"/>
        <v>96637.538093176772</v>
      </c>
      <c r="L17" s="15">
        <f t="shared" si="15"/>
        <v>123507.05621990151</v>
      </c>
      <c r="M17" s="15">
        <f t="shared" si="15"/>
        <v>157384.35117147339</v>
      </c>
      <c r="N17" s="15">
        <f t="shared" si="15"/>
        <v>199286.67931930089</v>
      </c>
      <c r="O17" s="15">
        <f t="shared" si="15"/>
        <v>249905.67033710296</v>
      </c>
      <c r="P17" s="15">
        <f t="shared" si="15"/>
        <v>309756.75523510634</v>
      </c>
      <c r="Q17" s="15">
        <f t="shared" si="15"/>
        <v>379349.1268059088</v>
      </c>
      <c r="R17" s="15">
        <f t="shared" si="15"/>
        <v>459152.44158865866</v>
      </c>
      <c r="S17" s="15">
        <f t="shared" si="15"/>
        <v>548538.59507061308</v>
      </c>
      <c r="T17" s="15">
        <f t="shared" si="15"/>
        <v>646815.09001136303</v>
      </c>
      <c r="U17" s="15">
        <f t="shared" si="15"/>
        <v>753202.93414858507</v>
      </c>
      <c r="V17" s="15">
        <f t="shared" si="15"/>
        <v>866946.02245549485</v>
      </c>
      <c r="W17" s="15">
        <f t="shared" si="15"/>
        <v>987149.72842378658</v>
      </c>
      <c r="X17" s="15">
        <f t="shared" si="15"/>
        <v>1112695.3041502084</v>
      </c>
      <c r="Y17" s="15">
        <f t="shared" si="15"/>
        <v>1243145.1104377469</v>
      </c>
      <c r="Z17" s="15">
        <f t="shared" si="15"/>
        <v>1377822.996104107</v>
      </c>
      <c r="AA17" s="15">
        <f t="shared" si="15"/>
        <v>1516105.8279313892</v>
      </c>
      <c r="AB17" s="15">
        <f t="shared" si="15"/>
        <v>1657661.1763973814</v>
      </c>
      <c r="AC17" s="15">
        <f t="shared" si="15"/>
        <v>1801973.1835939616</v>
      </c>
      <c r="AD17" s="15">
        <f t="shared" si="15"/>
        <v>1948660.8087224721</v>
      </c>
      <c r="AE17" s="15">
        <f t="shared" si="15"/>
        <v>2097665.2500405824</v>
      </c>
      <c r="AF17" s="15">
        <f t="shared" si="15"/>
        <v>2248853.0675288136</v>
      </c>
      <c r="AG17" s="15">
        <f t="shared" si="15"/>
        <v>2401906.9796547806</v>
      </c>
      <c r="AH17" s="15">
        <f t="shared" si="15"/>
        <v>2556713.1010767817</v>
      </c>
      <c r="AI17" s="15">
        <f t="shared" si="15"/>
        <v>2712962.9636383313</v>
      </c>
    </row>
    <row r="18" spans="1:35" ht="14.5" x14ac:dyDescent="0.35">
      <c r="A18" s="8" t="s">
        <v>176</v>
      </c>
      <c r="B18" s="8">
        <f t="array" ref="B18">INDEX('Cumulative Sales'!$B$5:$B$21,MATCH(A18,'Cumulative Sales'!$A$5:$A$21,0),1)</f>
        <v>9841</v>
      </c>
      <c r="C18" s="8">
        <f>B18-INDEX($K$23:$K$40,MATCH(A18,$G$23:$G$40,0))</f>
        <v>9036</v>
      </c>
      <c r="D18" s="15">
        <f t="shared" ref="D18:AI18" si="16">C18+SUMIFS(C$50:C$66,$A$50:$A$66,$A18)</f>
        <v>12019.801201233699</v>
      </c>
      <c r="E18" s="15">
        <f t="shared" si="16"/>
        <v>15969.82852659488</v>
      </c>
      <c r="F18" s="15">
        <f t="shared" si="16"/>
        <v>21162.181483685948</v>
      </c>
      <c r="G18" s="15">
        <f t="shared" si="16"/>
        <v>27932.046480168821</v>
      </c>
      <c r="H18" s="15">
        <f t="shared" si="16"/>
        <v>36511.024619879878</v>
      </c>
      <c r="I18" s="15">
        <f t="shared" si="16"/>
        <v>47509.983009577409</v>
      </c>
      <c r="J18" s="15">
        <f t="shared" si="16"/>
        <v>61415.065256209084</v>
      </c>
      <c r="K18" s="15">
        <f t="shared" si="16"/>
        <v>79342.721768302581</v>
      </c>
      <c r="L18" s="15">
        <f t="shared" si="16"/>
        <v>102041.92175748065</v>
      </c>
      <c r="M18" s="15">
        <f t="shared" si="16"/>
        <v>130661.24755153942</v>
      </c>
      <c r="N18" s="15">
        <f t="shared" si="16"/>
        <v>166060.07093771984</v>
      </c>
      <c r="O18" s="15">
        <f t="shared" si="16"/>
        <v>208822.67631621668</v>
      </c>
      <c r="P18" s="15">
        <f t="shared" si="16"/>
        <v>259384.49656403877</v>
      </c>
      <c r="Q18" s="15">
        <f t="shared" si="16"/>
        <v>318175.69455116068</v>
      </c>
      <c r="R18" s="15">
        <f t="shared" si="16"/>
        <v>385593.03316920082</v>
      </c>
      <c r="S18" s="15">
        <f t="shared" si="16"/>
        <v>461105.89367458475</v>
      </c>
      <c r="T18" s="15">
        <f t="shared" si="16"/>
        <v>544129.25875223207</v>
      </c>
      <c r="U18" s="15">
        <f t="shared" si="16"/>
        <v>634005.04063632921</v>
      </c>
      <c r="V18" s="15">
        <f t="shared" si="16"/>
        <v>730094.48655375792</v>
      </c>
      <c r="W18" s="15">
        <f t="shared" si="16"/>
        <v>831641.82165467239</v>
      </c>
      <c r="X18" s="15">
        <f t="shared" si="16"/>
        <v>937701.93474379089</v>
      </c>
      <c r="Y18" s="15">
        <f t="shared" si="16"/>
        <v>1047905.1109788431</v>
      </c>
      <c r="Z18" s="15">
        <f t="shared" si="16"/>
        <v>1161680.142091878</v>
      </c>
      <c r="AA18" s="15">
        <f t="shared" si="16"/>
        <v>1278500.6090579513</v>
      </c>
      <c r="AB18" s="15">
        <f t="shared" si="16"/>
        <v>1398085.6775066282</v>
      </c>
      <c r="AC18" s="15">
        <f t="shared" si="16"/>
        <v>1519999.5539202422</v>
      </c>
      <c r="AD18" s="15">
        <f t="shared" si="16"/>
        <v>1643920.3374276282</v>
      </c>
      <c r="AE18" s="15">
        <f t="shared" si="16"/>
        <v>1769798.3526865428</v>
      </c>
      <c r="AF18" s="15">
        <f t="shared" si="16"/>
        <v>1897520.8704074454</v>
      </c>
      <c r="AG18" s="15">
        <f t="shared" si="16"/>
        <v>2026819.8531464746</v>
      </c>
      <c r="AH18" s="15">
        <f t="shared" si="16"/>
        <v>2157599.0912829391</v>
      </c>
      <c r="AI18" s="15">
        <f t="shared" si="16"/>
        <v>2289597.9928575293</v>
      </c>
    </row>
    <row r="19" spans="1:35" ht="14.5" x14ac:dyDescent="0.35">
      <c r="A19" s="8" t="s">
        <v>177</v>
      </c>
      <c r="B19" s="8">
        <f>SUM('Cumulative Sales'!B5:B21)-SUM(B3:B18)</f>
        <v>1001</v>
      </c>
      <c r="C19" s="8">
        <f>B19</f>
        <v>1001</v>
      </c>
      <c r="D19" s="15">
        <f t="shared" ref="D19:AI19" si="17">C19+SUMIFS(C$50:C$66,$A$50:$A$66,$A19)</f>
        <v>3924.6625723716279</v>
      </c>
      <c r="E19" s="15">
        <f t="shared" si="17"/>
        <v>7795.0769438882999</v>
      </c>
      <c r="F19" s="15">
        <f t="shared" si="17"/>
        <v>12882.777825875237</v>
      </c>
      <c r="G19" s="15">
        <f t="shared" si="17"/>
        <v>19516.19593095631</v>
      </c>
      <c r="H19" s="15">
        <f t="shared" si="17"/>
        <v>27922.264433742996</v>
      </c>
      <c r="I19" s="15">
        <f t="shared" si="17"/>
        <v>38699.53839078013</v>
      </c>
      <c r="J19" s="15">
        <f t="shared" si="17"/>
        <v>52324.363165774412</v>
      </c>
      <c r="K19" s="15">
        <f t="shared" si="17"/>
        <v>69890.687065996492</v>
      </c>
      <c r="L19" s="15">
        <f t="shared" si="17"/>
        <v>92132.383799578558</v>
      </c>
      <c r="M19" s="15">
        <f t="shared" si="17"/>
        <v>120174.88597298184</v>
      </c>
      <c r="N19" s="15">
        <f t="shared" si="17"/>
        <v>154860.24470176644</v>
      </c>
      <c r="O19" s="15">
        <f t="shared" si="17"/>
        <v>196760.96811139447</v>
      </c>
      <c r="P19" s="15">
        <f t="shared" si="17"/>
        <v>246303.71291236163</v>
      </c>
      <c r="Q19" s="15">
        <f t="shared" si="17"/>
        <v>303909.97202532506</v>
      </c>
      <c r="R19" s="15">
        <f t="shared" si="17"/>
        <v>369968.51157044386</v>
      </c>
      <c r="S19" s="15">
        <f t="shared" si="17"/>
        <v>443959.4074454871</v>
      </c>
      <c r="T19" s="15">
        <f t="shared" si="17"/>
        <v>525309.43338203384</v>
      </c>
      <c r="U19" s="15">
        <f t="shared" si="17"/>
        <v>613373.76539870026</v>
      </c>
      <c r="V19" s="15">
        <f t="shared" si="17"/>
        <v>707526.52480926597</v>
      </c>
      <c r="W19" s="15">
        <f t="shared" si="17"/>
        <v>807027.16943527618</v>
      </c>
      <c r="X19" s="15">
        <f t="shared" si="17"/>
        <v>910949.63683422701</v>
      </c>
      <c r="Y19" s="15">
        <f t="shared" si="17"/>
        <v>1018931.6637808201</v>
      </c>
      <c r="Z19" s="15">
        <f t="shared" si="17"/>
        <v>1130413.5547318892</v>
      </c>
      <c r="AA19" s="15">
        <f t="shared" si="17"/>
        <v>1244879.5006583338</v>
      </c>
      <c r="AB19" s="15">
        <f t="shared" si="17"/>
        <v>1362054.3274173462</v>
      </c>
      <c r="AC19" s="15">
        <f t="shared" si="17"/>
        <v>1481511.024926499</v>
      </c>
      <c r="AD19" s="15">
        <f t="shared" si="17"/>
        <v>1602934.1802391619</v>
      </c>
      <c r="AE19" s="15">
        <f t="shared" si="17"/>
        <v>1726275.1192215425</v>
      </c>
      <c r="AF19" s="15">
        <f t="shared" si="17"/>
        <v>1851423.3846472953</v>
      </c>
      <c r="AG19" s="15">
        <f t="shared" si="17"/>
        <v>1978116.3413776294</v>
      </c>
      <c r="AH19" s="15">
        <f t="shared" si="17"/>
        <v>2106259.7189004929</v>
      </c>
      <c r="AI19" s="15">
        <f t="shared" si="17"/>
        <v>2235598.1774976109</v>
      </c>
    </row>
    <row r="21" spans="1:35" ht="15.75" customHeight="1" x14ac:dyDescent="0.3"/>
    <row r="22" spans="1:35" ht="15.75" customHeight="1" x14ac:dyDescent="0.35">
      <c r="A22" s="18" t="s">
        <v>178</v>
      </c>
      <c r="B22" s="26" t="s">
        <v>179</v>
      </c>
      <c r="G22" s="21"/>
      <c r="H22" s="18" t="s">
        <v>279</v>
      </c>
      <c r="I22" s="19"/>
      <c r="J22" s="20"/>
      <c r="K22" s="8" t="s">
        <v>180</v>
      </c>
    </row>
    <row r="23" spans="1:35" ht="15.75" customHeight="1" x14ac:dyDescent="0.35">
      <c r="A23" s="21" t="s">
        <v>162</v>
      </c>
      <c r="B23" s="27">
        <v>1.3942246992406615E-2</v>
      </c>
      <c r="G23" s="18" t="s">
        <v>178</v>
      </c>
      <c r="H23" s="21" t="s">
        <v>181</v>
      </c>
      <c r="I23" s="22" t="s">
        <v>182</v>
      </c>
      <c r="J23" s="23" t="s">
        <v>183</v>
      </c>
      <c r="K23" s="8">
        <f t="shared" ref="K23:K41" si="18">SUM(H23:J23)</f>
        <v>0</v>
      </c>
    </row>
    <row r="24" spans="1:35" ht="15.75" customHeight="1" x14ac:dyDescent="0.35">
      <c r="A24" s="24" t="s">
        <v>163</v>
      </c>
      <c r="B24" s="28">
        <v>5.0817957181249214E-2</v>
      </c>
      <c r="G24" s="21" t="s">
        <v>162</v>
      </c>
      <c r="H24" s="47">
        <v>175</v>
      </c>
      <c r="I24" s="48">
        <v>210</v>
      </c>
      <c r="J24" s="49">
        <v>45</v>
      </c>
      <c r="K24" s="8">
        <f t="shared" si="18"/>
        <v>430</v>
      </c>
    </row>
    <row r="25" spans="1:35" ht="15.75" customHeight="1" x14ac:dyDescent="0.35">
      <c r="A25" s="24" t="s">
        <v>164</v>
      </c>
      <c r="B25" s="28">
        <v>2.4529697166459246E-3</v>
      </c>
      <c r="G25" s="24" t="s">
        <v>163</v>
      </c>
      <c r="H25" s="50">
        <v>997</v>
      </c>
      <c r="I25" s="51">
        <v>1111</v>
      </c>
      <c r="J25" s="52">
        <v>1147</v>
      </c>
      <c r="K25" s="8">
        <f t="shared" si="18"/>
        <v>3255</v>
      </c>
    </row>
    <row r="26" spans="1:35" ht="15.75" customHeight="1" x14ac:dyDescent="0.35">
      <c r="A26" s="24" t="s">
        <v>165</v>
      </c>
      <c r="B26" s="28">
        <v>2.6432552351063253E-2</v>
      </c>
      <c r="G26" s="24" t="s">
        <v>164</v>
      </c>
      <c r="H26" s="50">
        <v>72</v>
      </c>
      <c r="I26" s="51">
        <v>87</v>
      </c>
      <c r="J26" s="52">
        <v>33</v>
      </c>
      <c r="K26" s="8">
        <f t="shared" si="18"/>
        <v>192</v>
      </c>
    </row>
    <row r="27" spans="1:35" ht="15.75" customHeight="1" x14ac:dyDescent="0.35">
      <c r="A27" s="24" t="s">
        <v>166</v>
      </c>
      <c r="B27" s="28">
        <v>0.10924733510091446</v>
      </c>
      <c r="G27" s="24" t="s">
        <v>165</v>
      </c>
      <c r="H27" s="50">
        <v>557</v>
      </c>
      <c r="I27" s="51">
        <v>573</v>
      </c>
      <c r="J27" s="52">
        <v>611</v>
      </c>
      <c r="K27" s="8">
        <f t="shared" si="18"/>
        <v>1741</v>
      </c>
    </row>
    <row r="28" spans="1:35" ht="15.75" customHeight="1" x14ac:dyDescent="0.35">
      <c r="A28" s="24" t="s">
        <v>161</v>
      </c>
      <c r="B28" s="28">
        <v>5.3397182692134261E-2</v>
      </c>
      <c r="G28" s="24" t="s">
        <v>166</v>
      </c>
      <c r="H28" s="50">
        <v>2044</v>
      </c>
      <c r="I28" s="51">
        <v>2430</v>
      </c>
      <c r="J28" s="52">
        <v>3782</v>
      </c>
      <c r="K28" s="8">
        <f t="shared" si="18"/>
        <v>8256</v>
      </c>
    </row>
    <row r="29" spans="1:35" ht="15.75" customHeight="1" x14ac:dyDescent="0.35">
      <c r="A29" s="24" t="s">
        <v>167</v>
      </c>
      <c r="B29" s="28">
        <v>8.9280883069097986E-3</v>
      </c>
      <c r="G29" s="24" t="s">
        <v>161</v>
      </c>
      <c r="H29" s="50">
        <v>1270</v>
      </c>
      <c r="I29" s="51">
        <v>1281</v>
      </c>
      <c r="J29" s="52">
        <v>1403</v>
      </c>
      <c r="K29" s="8">
        <f t="shared" si="18"/>
        <v>3954</v>
      </c>
    </row>
    <row r="30" spans="1:35" ht="15.75" customHeight="1" x14ac:dyDescent="0.35">
      <c r="A30" s="24" t="s">
        <v>184</v>
      </c>
      <c r="B30" s="28">
        <v>9.6766048013274888E-3</v>
      </c>
      <c r="G30" s="24" t="s">
        <v>167</v>
      </c>
      <c r="H30" s="50">
        <v>111</v>
      </c>
      <c r="I30" s="51">
        <v>173</v>
      </c>
      <c r="J30" s="52">
        <v>256</v>
      </c>
      <c r="K30" s="8">
        <f t="shared" si="18"/>
        <v>540</v>
      </c>
    </row>
    <row r="31" spans="1:35" ht="15.75" customHeight="1" x14ac:dyDescent="0.35">
      <c r="A31" s="24" t="s">
        <v>168</v>
      </c>
      <c r="B31" s="28">
        <v>1.6277979185830491E-2</v>
      </c>
      <c r="G31" s="24" t="s">
        <v>184</v>
      </c>
      <c r="H31" s="50">
        <v>210</v>
      </c>
      <c r="I31" s="51">
        <v>186</v>
      </c>
      <c r="J31" s="52">
        <v>212</v>
      </c>
      <c r="K31" s="8">
        <f t="shared" si="18"/>
        <v>608</v>
      </c>
    </row>
    <row r="32" spans="1:35" ht="15.75" customHeight="1" x14ac:dyDescent="0.35">
      <c r="A32" s="24" t="s">
        <v>169</v>
      </c>
      <c r="B32" s="28">
        <v>2.5224104034774451E-2</v>
      </c>
      <c r="G32" s="24" t="s">
        <v>168</v>
      </c>
      <c r="H32" s="50">
        <v>309</v>
      </c>
      <c r="I32" s="51">
        <v>517</v>
      </c>
      <c r="J32" s="52">
        <v>240</v>
      </c>
      <c r="K32" s="8">
        <f t="shared" si="18"/>
        <v>1066</v>
      </c>
    </row>
    <row r="33" spans="1:35" ht="15.75" customHeight="1" x14ac:dyDescent="0.35">
      <c r="A33" s="24" t="s">
        <v>170</v>
      </c>
      <c r="B33" s="28">
        <v>9.2527460635247003E-3</v>
      </c>
      <c r="G33" s="24" t="s">
        <v>169</v>
      </c>
      <c r="H33" s="50">
        <v>398</v>
      </c>
      <c r="I33" s="51">
        <v>382</v>
      </c>
      <c r="J33" s="52">
        <v>532</v>
      </c>
      <c r="K33" s="8">
        <f t="shared" si="18"/>
        <v>1312</v>
      </c>
    </row>
    <row r="34" spans="1:35" ht="15.75" customHeight="1" x14ac:dyDescent="0.35">
      <c r="A34" s="24" t="s">
        <v>171</v>
      </c>
      <c r="B34" s="28">
        <v>4.3756650974875098E-2</v>
      </c>
      <c r="G34" s="24" t="s">
        <v>170</v>
      </c>
      <c r="H34" s="50">
        <v>133</v>
      </c>
      <c r="I34" s="51">
        <v>157</v>
      </c>
      <c r="J34" s="52">
        <v>341</v>
      </c>
      <c r="K34" s="8">
        <f t="shared" si="18"/>
        <v>631</v>
      </c>
    </row>
    <row r="35" spans="1:35" ht="15.75" customHeight="1" x14ac:dyDescent="0.35">
      <c r="A35" s="24" t="s">
        <v>172</v>
      </c>
      <c r="B35" s="28">
        <v>1.1543386901863175E-2</v>
      </c>
      <c r="G35" s="24" t="s">
        <v>171</v>
      </c>
      <c r="H35" s="50">
        <v>717</v>
      </c>
      <c r="I35" s="51">
        <v>654</v>
      </c>
      <c r="J35" s="52">
        <v>1314</v>
      </c>
      <c r="K35" s="8">
        <f t="shared" si="18"/>
        <v>2685</v>
      </c>
    </row>
    <row r="36" spans="1:35" ht="15.75" customHeight="1" x14ac:dyDescent="0.35">
      <c r="A36" s="24" t="s">
        <v>185</v>
      </c>
      <c r="B36" s="28">
        <v>1.7224897642623956E-3</v>
      </c>
      <c r="G36" s="24" t="s">
        <v>172</v>
      </c>
      <c r="H36" s="50">
        <v>215</v>
      </c>
      <c r="I36" s="51">
        <v>255</v>
      </c>
      <c r="J36" s="52">
        <v>310</v>
      </c>
      <c r="K36" s="8">
        <f t="shared" si="18"/>
        <v>780</v>
      </c>
    </row>
    <row r="37" spans="1:35" ht="15.75" customHeight="1" x14ac:dyDescent="0.35">
      <c r="A37" s="24" t="s">
        <v>173</v>
      </c>
      <c r="B37" s="28">
        <v>0.5246379164186642</v>
      </c>
      <c r="G37" s="24" t="s">
        <v>185</v>
      </c>
      <c r="H37" s="50"/>
      <c r="I37" s="51">
        <v>27</v>
      </c>
      <c r="J37" s="52">
        <v>52</v>
      </c>
      <c r="K37" s="8">
        <f t="shared" si="18"/>
        <v>79</v>
      </c>
    </row>
    <row r="38" spans="1:35" ht="15.75" customHeight="1" x14ac:dyDescent="0.35">
      <c r="A38" s="24" t="s">
        <v>174</v>
      </c>
      <c r="B38" s="28">
        <v>6.7285320058438403E-2</v>
      </c>
      <c r="G38" s="24" t="s">
        <v>173</v>
      </c>
      <c r="H38" s="50">
        <v>8000</v>
      </c>
      <c r="I38" s="51">
        <v>7275</v>
      </c>
      <c r="J38" s="52">
        <v>14625</v>
      </c>
      <c r="K38" s="8">
        <f t="shared" si="18"/>
        <v>29900</v>
      </c>
    </row>
    <row r="39" spans="1:35" ht="15.75" customHeight="1" x14ac:dyDescent="0.35">
      <c r="A39" s="24" t="s">
        <v>176</v>
      </c>
      <c r="B39" s="28">
        <v>1.1633569612033981E-2</v>
      </c>
      <c r="G39" s="24" t="s">
        <v>174</v>
      </c>
      <c r="H39" s="50">
        <v>1123</v>
      </c>
      <c r="I39" s="51">
        <v>1205</v>
      </c>
      <c r="J39" s="52">
        <v>1820</v>
      </c>
      <c r="K39" s="8">
        <f t="shared" si="18"/>
        <v>4148</v>
      </c>
    </row>
    <row r="40" spans="1:35" ht="15.75" customHeight="1" x14ac:dyDescent="0.35">
      <c r="A40" s="24" t="s">
        <v>175</v>
      </c>
      <c r="B40" s="28">
        <v>1.3770899843082085E-2</v>
      </c>
      <c r="G40" s="24" t="s">
        <v>176</v>
      </c>
      <c r="H40" s="50">
        <v>220</v>
      </c>
      <c r="I40" s="51">
        <v>250</v>
      </c>
      <c r="J40" s="52">
        <v>335</v>
      </c>
      <c r="K40" s="8">
        <f t="shared" si="18"/>
        <v>805</v>
      </c>
    </row>
    <row r="41" spans="1:35" ht="15.75" customHeight="1" x14ac:dyDescent="0.35">
      <c r="A41" s="29" t="s">
        <v>186</v>
      </c>
      <c r="B41" s="30">
        <v>1</v>
      </c>
      <c r="G41" s="25" t="s">
        <v>175</v>
      </c>
      <c r="H41" s="53">
        <v>164</v>
      </c>
      <c r="I41" s="54">
        <v>118</v>
      </c>
      <c r="J41" s="55">
        <v>581</v>
      </c>
      <c r="K41" s="8">
        <f t="shared" si="18"/>
        <v>863</v>
      </c>
    </row>
    <row r="42" spans="1:35" ht="15.75" customHeight="1" x14ac:dyDescent="0.3"/>
    <row r="43" spans="1:35" ht="15.75" customHeight="1" x14ac:dyDescent="0.35"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5" ht="15.75" customHeight="1" x14ac:dyDescent="0.35">
      <c r="A44" s="4" t="s">
        <v>187</v>
      </c>
    </row>
    <row r="45" spans="1:35" ht="15.75" customHeight="1" x14ac:dyDescent="0.35">
      <c r="A45" s="8" t="s">
        <v>141</v>
      </c>
      <c r="B45" s="8">
        <v>2018</v>
      </c>
      <c r="C45" s="8">
        <v>2019</v>
      </c>
      <c r="D45" s="8">
        <v>2020</v>
      </c>
      <c r="E45" s="8">
        <v>2021</v>
      </c>
      <c r="F45" s="8">
        <v>2022</v>
      </c>
      <c r="G45" s="8">
        <v>2023</v>
      </c>
      <c r="H45" s="8">
        <v>2024</v>
      </c>
      <c r="I45" s="8">
        <v>2025</v>
      </c>
      <c r="J45" s="8">
        <v>2026</v>
      </c>
      <c r="K45" s="8">
        <v>2027</v>
      </c>
      <c r="L45" s="8">
        <v>2028</v>
      </c>
      <c r="M45" s="8">
        <v>2029</v>
      </c>
      <c r="N45" s="8">
        <v>2030</v>
      </c>
      <c r="O45" s="8">
        <v>2031</v>
      </c>
      <c r="P45" s="8">
        <v>2032</v>
      </c>
      <c r="Q45" s="8">
        <v>2033</v>
      </c>
      <c r="R45" s="8">
        <v>2034</v>
      </c>
      <c r="S45" s="8">
        <v>2035</v>
      </c>
      <c r="T45" s="8">
        <v>2036</v>
      </c>
      <c r="U45" s="8">
        <v>2037</v>
      </c>
      <c r="V45" s="8">
        <v>2038</v>
      </c>
      <c r="W45" s="8">
        <v>2039</v>
      </c>
      <c r="X45" s="8">
        <v>2040</v>
      </c>
      <c r="Y45" s="8">
        <v>2041</v>
      </c>
      <c r="Z45" s="8">
        <v>2042</v>
      </c>
      <c r="AA45" s="8">
        <v>2043</v>
      </c>
      <c r="AB45" s="8">
        <v>2044</v>
      </c>
      <c r="AC45" s="8">
        <v>2045</v>
      </c>
      <c r="AD45" s="8">
        <v>2046</v>
      </c>
      <c r="AE45" s="8">
        <v>2047</v>
      </c>
      <c r="AF45" s="8">
        <v>2048</v>
      </c>
      <c r="AG45" s="8">
        <v>2049</v>
      </c>
      <c r="AH45" s="8">
        <v>2050</v>
      </c>
    </row>
    <row r="46" spans="1:35" ht="15.75" customHeight="1" x14ac:dyDescent="0.35">
      <c r="A46" s="8" t="s">
        <v>188</v>
      </c>
      <c r="B46" s="8">
        <v>46797</v>
      </c>
      <c r="C46" s="8">
        <v>54324</v>
      </c>
      <c r="D46" s="8">
        <v>62667</v>
      </c>
      <c r="E46" s="8">
        <v>74820</v>
      </c>
      <c r="F46" s="8">
        <v>90528</v>
      </c>
      <c r="G46" s="8">
        <v>111072</v>
      </c>
      <c r="H46" s="8">
        <v>137415</v>
      </c>
      <c r="I46" s="16">
        <v>169485</v>
      </c>
      <c r="J46" s="16">
        <v>211638</v>
      </c>
      <c r="K46" s="16">
        <v>263571</v>
      </c>
      <c r="L46" s="16">
        <v>325674</v>
      </c>
      <c r="M46" s="16">
        <v>397137</v>
      </c>
      <c r="N46" s="16">
        <v>476514</v>
      </c>
      <c r="O46" s="16">
        <v>562140</v>
      </c>
      <c r="P46" s="16">
        <v>649512</v>
      </c>
      <c r="Q46" s="16">
        <v>734349</v>
      </c>
      <c r="R46" s="16">
        <v>813495</v>
      </c>
      <c r="S46" s="16">
        <v>884814</v>
      </c>
      <c r="T46" s="16">
        <v>949065</v>
      </c>
      <c r="U46" s="16">
        <v>1001800</v>
      </c>
      <c r="V46" s="16">
        <v>1048420</v>
      </c>
      <c r="W46" s="16">
        <v>1086810</v>
      </c>
      <c r="X46" s="16">
        <v>1118370</v>
      </c>
      <c r="Y46" s="16">
        <v>1143410</v>
      </c>
      <c r="Z46" s="16">
        <v>1161950</v>
      </c>
      <c r="AA46" s="16">
        <v>1177500</v>
      </c>
      <c r="AB46" s="16">
        <v>1189300</v>
      </c>
      <c r="AC46" s="16">
        <v>1197960</v>
      </c>
      <c r="AD46" s="16">
        <v>1207640</v>
      </c>
      <c r="AE46" s="16">
        <v>1214710</v>
      </c>
      <c r="AF46" s="16">
        <v>1219410</v>
      </c>
      <c r="AG46" s="16">
        <v>1223140</v>
      </c>
      <c r="AH46" s="16">
        <v>1226380</v>
      </c>
    </row>
    <row r="47" spans="1:35" ht="15.75" customHeight="1" x14ac:dyDescent="0.35">
      <c r="A47" s="10" t="s">
        <v>189</v>
      </c>
      <c r="B47" s="10">
        <v>144063</v>
      </c>
      <c r="C47" s="10">
        <v>202158</v>
      </c>
      <c r="D47" s="10">
        <v>276870</v>
      </c>
      <c r="E47" s="10">
        <v>371505</v>
      </c>
      <c r="F47" s="10">
        <v>491397</v>
      </c>
      <c r="G47" s="10">
        <v>626361</v>
      </c>
      <c r="H47" s="10">
        <v>808035</v>
      </c>
      <c r="I47" s="16">
        <v>1025770</v>
      </c>
      <c r="J47" s="16">
        <v>1329390</v>
      </c>
      <c r="K47" s="16">
        <v>1687610</v>
      </c>
      <c r="L47" s="16">
        <v>2134390</v>
      </c>
      <c r="M47" s="16">
        <v>2645680</v>
      </c>
      <c r="N47" s="16">
        <v>3199280</v>
      </c>
      <c r="O47" s="16">
        <v>3784060</v>
      </c>
      <c r="P47" s="16">
        <v>4404070</v>
      </c>
      <c r="Q47" s="16">
        <v>5060720</v>
      </c>
      <c r="R47" s="16">
        <v>5677450</v>
      </c>
      <c r="S47" s="16">
        <v>6251720</v>
      </c>
      <c r="T47" s="16">
        <v>6776490</v>
      </c>
      <c r="U47" s="16">
        <v>7257870</v>
      </c>
      <c r="V47" s="16">
        <v>7680400</v>
      </c>
      <c r="W47" s="16">
        <v>8029920</v>
      </c>
      <c r="X47" s="16">
        <v>8354490</v>
      </c>
      <c r="Y47" s="16">
        <v>8636480</v>
      </c>
      <c r="Z47" s="16">
        <v>8879720</v>
      </c>
      <c r="AA47" s="16">
        <v>9101810</v>
      </c>
      <c r="AB47" s="16">
        <v>9290190</v>
      </c>
      <c r="AC47" s="16">
        <v>9454040</v>
      </c>
      <c r="AD47" s="16">
        <v>9612600</v>
      </c>
      <c r="AE47" s="16">
        <v>9764080</v>
      </c>
      <c r="AF47" s="16">
        <v>9894890</v>
      </c>
      <c r="AG47" s="16">
        <v>10018400</v>
      </c>
      <c r="AH47" s="16">
        <v>10120000</v>
      </c>
      <c r="AI47" s="10"/>
    </row>
    <row r="48" spans="1:35" ht="15.75" customHeight="1" x14ac:dyDescent="0.3"/>
    <row r="49" spans="1:34" ht="15.75" customHeight="1" x14ac:dyDescent="0.35">
      <c r="A49" s="8" t="s">
        <v>190</v>
      </c>
    </row>
    <row r="50" spans="1:34" ht="15.75" customHeight="1" x14ac:dyDescent="0.35">
      <c r="A50" s="8" t="s">
        <v>161</v>
      </c>
      <c r="B50" s="15">
        <f t="shared" ref="B50:K59" si="19">SUM(B$46:B$47)*INDEX($B$23:$B$40,MATCH($A50,$A$23:$A$40,0),1)</f>
        <v>10191.386288620744</v>
      </c>
      <c r="C50" s="15">
        <f t="shared" si="19"/>
        <v>13695.416211243979</v>
      </c>
      <c r="D50" s="15">
        <f t="shared" si="19"/>
        <v>18130.319219739191</v>
      </c>
      <c r="E50" s="15">
        <f t="shared" si="19"/>
        <v>23832.497565066824</v>
      </c>
      <c r="F50" s="15">
        <f t="shared" si="19"/>
        <v>31073.155538120231</v>
      </c>
      <c r="G50" s="15">
        <f t="shared" si="19"/>
        <v>39376.844624208643</v>
      </c>
      <c r="H50" s="15">
        <f t="shared" si="19"/>
        <v>50484.36637627834</v>
      </c>
      <c r="I50" s="15">
        <f t="shared" si="19"/>
        <v>63823.249598686933</v>
      </c>
      <c r="J50" s="15">
        <f t="shared" si="19"/>
        <v>82286.55364969428</v>
      </c>
      <c r="K50" s="15">
        <f t="shared" si="19"/>
        <v>104187.56832242123</v>
      </c>
      <c r="L50" s="15">
        <f t="shared" ref="L50:U59" si="20">SUM(L$46:L$47)*INDEX($B$23:$B$40,MATCH($A50,$A$23:$A$40,0),1)</f>
        <v>131360.48684234257</v>
      </c>
      <c r="M50" s="15">
        <f t="shared" si="20"/>
        <v>162477.8552477319</v>
      </c>
      <c r="N50" s="15">
        <f t="shared" si="20"/>
        <v>196277.04375665096</v>
      </c>
      <c r="O50" s="15">
        <f t="shared" si="20"/>
        <v>232074.83541655392</v>
      </c>
      <c r="P50" s="15">
        <f t="shared" si="20"/>
        <v>269847.04130368127</v>
      </c>
      <c r="Q50" s="15">
        <f t="shared" si="20"/>
        <v>309440.35810652381</v>
      </c>
      <c r="R50" s="15">
        <f t="shared" si="20"/>
        <v>346598.17600959539</v>
      </c>
      <c r="S50" s="15">
        <f t="shared" si="20"/>
        <v>381070.80978662771</v>
      </c>
      <c r="T50" s="15">
        <f t="shared" si="20"/>
        <v>412522.87173313129</v>
      </c>
      <c r="U50" s="15">
        <f t="shared" si="20"/>
        <v>441043.10796674062</v>
      </c>
      <c r="V50" s="15">
        <f t="shared" ref="V50:AH59" si="21">SUM(V$46:V$47)*INDEX($B$23:$B$40,MATCH($A50,$A$23:$A$40,0),1)</f>
        <v>466094.3962267554</v>
      </c>
      <c r="W50" s="15">
        <f t="shared" si="21"/>
        <v>486807.6973648612</v>
      </c>
      <c r="X50" s="15">
        <f t="shared" si="21"/>
        <v>505824.03603701096</v>
      </c>
      <c r="Y50" s="15">
        <f t="shared" si="21"/>
        <v>522218.57303897693</v>
      </c>
      <c r="Z50" s="15">
        <f t="shared" si="21"/>
        <v>536196.88752412389</v>
      </c>
      <c r="AA50" s="15">
        <f t="shared" si="21"/>
        <v>548886.19401908258</v>
      </c>
      <c r="AB50" s="15">
        <f t="shared" si="21"/>
        <v>559575.24205039407</v>
      </c>
      <c r="AC50" s="15">
        <f t="shared" si="21"/>
        <v>568786.79003661417</v>
      </c>
      <c r="AD50" s="15">
        <f t="shared" si="21"/>
        <v>577770.33205273887</v>
      </c>
      <c r="AE50" s="15">
        <f t="shared" si="21"/>
        <v>586236.45536857669</v>
      </c>
      <c r="AF50" s="15">
        <f t="shared" si="21"/>
        <v>593472.3075951878</v>
      </c>
      <c r="AG50" s="15">
        <f t="shared" si="21"/>
        <v>600266.56512093497</v>
      </c>
      <c r="AH50" s="15">
        <f t="shared" si="21"/>
        <v>605864.72575437836</v>
      </c>
    </row>
    <row r="51" spans="1:34" ht="15.75" customHeight="1" x14ac:dyDescent="0.35">
      <c r="A51" s="8" t="s">
        <v>162</v>
      </c>
      <c r="B51" s="15">
        <f t="shared" si="19"/>
        <v>2661.0172609707265</v>
      </c>
      <c r="C51" s="15">
        <f t="shared" si="19"/>
        <v>3575.9353931064334</v>
      </c>
      <c r="D51" s="15">
        <f t="shared" si="19"/>
        <v>4733.9087170607654</v>
      </c>
      <c r="E51" s="15">
        <f t="shared" si="19"/>
        <v>6222.7733888858829</v>
      </c>
      <c r="F51" s="15">
        <f t="shared" si="19"/>
        <v>8113.3420810562193</v>
      </c>
      <c r="G51" s="15">
        <f t="shared" si="19"/>
        <v>10281.473026351388</v>
      </c>
      <c r="H51" s="15">
        <f t="shared" si="19"/>
        <v>13181.697418970834</v>
      </c>
      <c r="I51" s="15">
        <f t="shared" si="19"/>
        <v>16664.540428908967</v>
      </c>
      <c r="J51" s="15">
        <f t="shared" si="19"/>
        <v>21485.392998214382</v>
      </c>
      <c r="K51" s="15">
        <f t="shared" si="19"/>
        <v>27203.847428890931</v>
      </c>
      <c r="L51" s="15">
        <f t="shared" si="20"/>
        <v>34298.819905127784</v>
      </c>
      <c r="M51" s="15">
        <f t="shared" si="20"/>
        <v>42423.706166693722</v>
      </c>
      <c r="N51" s="15">
        <f t="shared" si="20"/>
        <v>51248.827841206279</v>
      </c>
      <c r="O51" s="15">
        <f t="shared" si="20"/>
        <v>60595.793878397635</v>
      </c>
      <c r="P51" s="15">
        <f t="shared" si="20"/>
        <v>70458.288440380202</v>
      </c>
      <c r="Q51" s="15">
        <f t="shared" si="20"/>
        <v>80796.283336038818</v>
      </c>
      <c r="R51" s="15">
        <f t="shared" si="20"/>
        <v>90498.35840412676</v>
      </c>
      <c r="S51" s="15">
        <f t="shared" si="20"/>
        <v>99499.319697707557</v>
      </c>
      <c r="T51" s="15">
        <f t="shared" si="20"/>
        <v>107711.59596342189</v>
      </c>
      <c r="U51" s="15">
        <f t="shared" si="20"/>
        <v>115158.35921577115</v>
      </c>
      <c r="V51" s="15">
        <f t="shared" si="21"/>
        <v>121699.36439225871</v>
      </c>
      <c r="W51" s="15">
        <f t="shared" si="21"/>
        <v>127107.70142308316</v>
      </c>
      <c r="X51" s="15">
        <f t="shared" si="21"/>
        <v>132072.95384448892</v>
      </c>
      <c r="Y51" s="15">
        <f t="shared" si="21"/>
        <v>136353.64193856754</v>
      </c>
      <c r="Z51" s="15">
        <f t="shared" si="21"/>
        <v>140003.44335623973</v>
      </c>
      <c r="AA51" s="15">
        <f t="shared" si="21"/>
        <v>143316.67893151526</v>
      </c>
      <c r="AB51" s="15">
        <f t="shared" si="21"/>
        <v>146107.63793445521</v>
      </c>
      <c r="AC51" s="15">
        <f t="shared" si="21"/>
        <v>148512.81496311526</v>
      </c>
      <c r="AD51" s="15">
        <f t="shared" si="21"/>
        <v>150858.45859711774</v>
      </c>
      <c r="AE51" s="15">
        <f t="shared" si="21"/>
        <v>153069.00185776383</v>
      </c>
      <c r="AF51" s="15">
        <f t="shared" si="21"/>
        <v>154958.31574770485</v>
      </c>
      <c r="AG51" s="15">
        <f t="shared" si="21"/>
        <v>156732.32725501867</v>
      </c>
      <c r="AH51" s="15">
        <f t="shared" si="21"/>
        <v>158194.03242970258</v>
      </c>
    </row>
    <row r="52" spans="1:34" ht="15.75" customHeight="1" x14ac:dyDescent="0.35">
      <c r="A52" s="8" t="s">
        <v>163</v>
      </c>
      <c r="B52" s="15">
        <f t="shared" si="19"/>
        <v>9699.115307613225</v>
      </c>
      <c r="C52" s="15">
        <f t="shared" si="19"/>
        <v>13033.89129376116</v>
      </c>
      <c r="D52" s="15">
        <f t="shared" si="19"/>
        <v>17254.576727449814</v>
      </c>
      <c r="E52" s="15">
        <f t="shared" si="19"/>
        <v>22681.324738921056</v>
      </c>
      <c r="F52" s="15">
        <f t="shared" si="19"/>
        <v>29572.23973269845</v>
      </c>
      <c r="G52" s="15">
        <f t="shared" si="19"/>
        <v>37474.83861804015</v>
      </c>
      <c r="H52" s="15">
        <f t="shared" si="19"/>
        <v>48045.837617012068</v>
      </c>
      <c r="I52" s="15">
        <f t="shared" si="19"/>
        <v>60740.417410674032</v>
      </c>
      <c r="J52" s="15">
        <f t="shared" si="19"/>
        <v>78311.894919106111</v>
      </c>
      <c r="K52" s="15">
        <f t="shared" si="19"/>
        <v>99155.032510867022</v>
      </c>
      <c r="L52" s="15">
        <f t="shared" si="20"/>
        <v>125015.42701513266</v>
      </c>
      <c r="M52" s="15">
        <f t="shared" si="20"/>
        <v>154629.7440163772</v>
      </c>
      <c r="N52" s="15">
        <f t="shared" si="20"/>
        <v>186796.34209909278</v>
      </c>
      <c r="O52" s="15">
        <f t="shared" si="20"/>
        <v>220865.00550114532</v>
      </c>
      <c r="P52" s="15">
        <f t="shared" si="20"/>
        <v>256812.71368793177</v>
      </c>
      <c r="Q52" s="15">
        <f t="shared" si="20"/>
        <v>294493.56830438471</v>
      </c>
      <c r="R52" s="15">
        <f t="shared" si="20"/>
        <v>329856.56507584365</v>
      </c>
      <c r="S52" s="15">
        <f t="shared" si="20"/>
        <v>362664.07923452917</v>
      </c>
      <c r="T52" s="15">
        <f t="shared" si="20"/>
        <v>392596.92319138575</v>
      </c>
      <c r="U52" s="15">
        <f t="shared" si="20"/>
        <v>419739.55639124871</v>
      </c>
      <c r="V52" s="15">
        <f t="shared" si="21"/>
        <v>443580.80100283178</v>
      </c>
      <c r="W52" s="15">
        <f t="shared" si="21"/>
        <v>463293.59477301012</v>
      </c>
      <c r="X52" s="15">
        <f t="shared" si="21"/>
        <v>481391.39386396843</v>
      </c>
      <c r="Y52" s="15">
        <f t="shared" si="21"/>
        <v>496994.03125732735</v>
      </c>
      <c r="Z52" s="15">
        <f t="shared" si="21"/>
        <v>510297.1560882348</v>
      </c>
      <c r="AA52" s="15">
        <f t="shared" si="21"/>
        <v>522373.53543278686</v>
      </c>
      <c r="AB52" s="15">
        <f t="shared" si="21"/>
        <v>532546.27410132927</v>
      </c>
      <c r="AC52" s="15">
        <f t="shared" si="21"/>
        <v>541312.87989466661</v>
      </c>
      <c r="AD52" s="15">
        <f t="shared" si="21"/>
        <v>549862.49301084003</v>
      </c>
      <c r="AE52" s="15">
        <f t="shared" si="21"/>
        <v>557919.68012192706</v>
      </c>
      <c r="AF52" s="15">
        <f t="shared" si="21"/>
        <v>564806.02149955812</v>
      </c>
      <c r="AG52" s="15">
        <f t="shared" si="21"/>
        <v>571272.09837130026</v>
      </c>
      <c r="AH52" s="15">
        <f t="shared" si="21"/>
        <v>576599.85300218244</v>
      </c>
    </row>
    <row r="53" spans="1:34" ht="15.75" customHeight="1" x14ac:dyDescent="0.35">
      <c r="A53" s="8" t="s">
        <v>164</v>
      </c>
      <c r="B53" s="15">
        <f t="shared" si="19"/>
        <v>468.17380011904118</v>
      </c>
      <c r="C53" s="15">
        <f t="shared" si="19"/>
        <v>629.14257886478003</v>
      </c>
      <c r="D53" s="15">
        <f t="shared" si="19"/>
        <v>832.87397868080734</v>
      </c>
      <c r="E53" s="15">
        <f t="shared" si="19"/>
        <v>1094.8217087819924</v>
      </c>
      <c r="F53" s="15">
        <f t="shared" si="19"/>
        <v>1427.4444023591798</v>
      </c>
      <c r="G53" s="15">
        <f t="shared" si="19"/>
        <v>1808.9008170553541</v>
      </c>
      <c r="H53" s="15">
        <f t="shared" si="19"/>
        <v>2319.1602186028895</v>
      </c>
      <c r="I53" s="15">
        <f t="shared" si="19"/>
        <v>2931.9243186696244</v>
      </c>
      <c r="J53" s="15">
        <f t="shared" si="19"/>
        <v>3780.095016503436</v>
      </c>
      <c r="K53" s="15">
        <f t="shared" si="19"/>
        <v>4786.1879046949116</v>
      </c>
      <c r="L53" s="15">
        <f t="shared" si="20"/>
        <v>6034.4624930108403</v>
      </c>
      <c r="M53" s="15">
        <f t="shared" si="20"/>
        <v>7463.9379542954021</v>
      </c>
      <c r="N53" s="15">
        <f t="shared" si="20"/>
        <v>9016.6113666287893</v>
      </c>
      <c r="O53" s="15">
        <f t="shared" si="20"/>
        <v>10661.096982486517</v>
      </c>
      <c r="P53" s="15">
        <f t="shared" si="20"/>
        <v>12396.283606586945</v>
      </c>
      <c r="Q53" s="15">
        <f t="shared" si="20"/>
        <v>14215.128762873581</v>
      </c>
      <c r="R53" s="15">
        <f t="shared" si="20"/>
        <v>15922.091517414281</v>
      </c>
      <c r="S53" s="15">
        <f t="shared" si="20"/>
        <v>17505.701783814005</v>
      </c>
      <c r="T53" s="15">
        <f t="shared" si="20"/>
        <v>18950.552459282506</v>
      </c>
      <c r="U53" s="15">
        <f t="shared" si="20"/>
        <v>20260.720379488845</v>
      </c>
      <c r="V53" s="15">
        <f t="shared" si="21"/>
        <v>21411.531122053279</v>
      </c>
      <c r="W53" s="15">
        <f t="shared" si="21"/>
        <v>22363.0626048374</v>
      </c>
      <c r="X53" s="15">
        <f t="shared" si="21"/>
        <v>23236.638710026513</v>
      </c>
      <c r="Y53" s="15">
        <f t="shared" si="21"/>
        <v>23989.774002128313</v>
      </c>
      <c r="Z53" s="15">
        <f t="shared" si="21"/>
        <v>24631.912414551884</v>
      </c>
      <c r="AA53" s="15">
        <f t="shared" si="21"/>
        <v>25214.83613801562</v>
      </c>
      <c r="AB53" s="15">
        <f t="shared" si="21"/>
        <v>25705.8716158938</v>
      </c>
      <c r="AC53" s="15">
        <f t="shared" si="21"/>
        <v>26129.033421712389</v>
      </c>
      <c r="AD53" s="15">
        <f t="shared" si="21"/>
        <v>26541.721046840899</v>
      </c>
      <c r="AE53" s="15">
        <f t="shared" si="21"/>
        <v>26930.63939541511</v>
      </c>
      <c r="AF53" s="15">
        <f t="shared" si="21"/>
        <v>27263.041321717799</v>
      </c>
      <c r="AG53" s="15">
        <f t="shared" si="21"/>
        <v>27575.157188463829</v>
      </c>
      <c r="AH53" s="15">
        <f t="shared" si="21"/>
        <v>27832.326533556985</v>
      </c>
    </row>
    <row r="54" spans="1:34" ht="15.75" customHeight="1" x14ac:dyDescent="0.35">
      <c r="A54" s="8" t="s">
        <v>165</v>
      </c>
      <c r="B54" s="15">
        <f t="shared" si="19"/>
        <v>5044.9169417239327</v>
      </c>
      <c r="C54" s="15">
        <f t="shared" si="19"/>
        <v>6779.473892105405</v>
      </c>
      <c r="D54" s="15">
        <f t="shared" si="19"/>
        <v>8974.8295276229637</v>
      </c>
      <c r="E54" s="15">
        <f t="shared" si="19"/>
        <v>11797.508928088306</v>
      </c>
      <c r="F54" s="15">
        <f t="shared" si="19"/>
        <v>15381.763026892484</v>
      </c>
      <c r="G54" s="15">
        <f t="shared" si="19"/>
        <v>19492.236377901627</v>
      </c>
      <c r="H54" s="15">
        <f t="shared" si="19"/>
        <v>24990.656620312751</v>
      </c>
      <c r="I54" s="15">
        <f t="shared" si="19"/>
        <v>31593.640360370107</v>
      </c>
      <c r="J54" s="15">
        <f t="shared" si="19"/>
        <v>40733.303284454305</v>
      </c>
      <c r="K54" s="15">
        <f t="shared" si="19"/>
        <v>51574.693928899949</v>
      </c>
      <c r="L54" s="15">
        <f t="shared" si="20"/>
        <v>65025.770466966067</v>
      </c>
      <c r="M54" s="15">
        <f t="shared" si="20"/>
        <v>80429.419647205228</v>
      </c>
      <c r="N54" s="15">
        <f t="shared" si="20"/>
        <v>97160.617336724201</v>
      </c>
      <c r="O54" s="15">
        <f t="shared" si="20"/>
        <v>114881.1590281911</v>
      </c>
      <c r="P54" s="15">
        <f t="shared" si="20"/>
        <v>133579.07077539092</v>
      </c>
      <c r="Q54" s="15">
        <f t="shared" si="20"/>
        <v>153178.46472052377</v>
      </c>
      <c r="R54" s="15">
        <f t="shared" si="20"/>
        <v>171572.24352037226</v>
      </c>
      <c r="S54" s="15">
        <f t="shared" si="20"/>
        <v>188636.80856014285</v>
      </c>
      <c r="T54" s="15">
        <f t="shared" si="20"/>
        <v>204206.13697851848</v>
      </c>
      <c r="U54" s="15">
        <f t="shared" si="20"/>
        <v>218324.15967750663</v>
      </c>
      <c r="V54" s="15">
        <f t="shared" si="21"/>
        <v>230724.99161300794</v>
      </c>
      <c r="W54" s="15">
        <f t="shared" si="21"/>
        <v>240978.4429955089</v>
      </c>
      <c r="X54" s="15">
        <f t="shared" si="21"/>
        <v>250391.86786429305</v>
      </c>
      <c r="Y54" s="15">
        <f t="shared" si="21"/>
        <v>258507.45441263999</v>
      </c>
      <c r="Z54" s="15">
        <f t="shared" si="21"/>
        <v>265426.96796710131</v>
      </c>
      <c r="AA54" s="15">
        <f t="shared" si="21"/>
        <v>271708.39970780798</v>
      </c>
      <c r="AB54" s="15">
        <f t="shared" si="21"/>
        <v>276999.66803744383</v>
      </c>
      <c r="AC54" s="15">
        <f t="shared" si="21"/>
        <v>281559.54764352576</v>
      </c>
      <c r="AD54" s="15">
        <f t="shared" si="21"/>
        <v>286006.56025106867</v>
      </c>
      <c r="AE54" s="15">
        <f t="shared" si="21"/>
        <v>290197.44142632972</v>
      </c>
      <c r="AF54" s="15">
        <f t="shared" si="21"/>
        <v>293779.31659542234</v>
      </c>
      <c r="AG54" s="15">
        <f t="shared" si="21"/>
        <v>297142.59455657162</v>
      </c>
      <c r="AH54" s="15">
        <f t="shared" si="21"/>
        <v>299913.78334505705</v>
      </c>
    </row>
    <row r="55" spans="1:34" ht="15.75" customHeight="1" x14ac:dyDescent="0.35">
      <c r="A55" s="8" t="s">
        <v>166</v>
      </c>
      <c r="B55" s="15">
        <f t="shared" si="19"/>
        <v>20850.946377360535</v>
      </c>
      <c r="C55" s="15">
        <f t="shared" si="19"/>
        <v>28019.975001352741</v>
      </c>
      <c r="D55" s="15">
        <f t="shared" si="19"/>
        <v>37093.512418159189</v>
      </c>
      <c r="E55" s="15">
        <f t="shared" si="19"/>
        <v>48759.816838915649</v>
      </c>
      <c r="F55" s="15">
        <f t="shared" si="19"/>
        <v>63573.755478599647</v>
      </c>
      <c r="G55" s="15">
        <f t="shared" si="19"/>
        <v>80562.590065472657</v>
      </c>
      <c r="H55" s="15">
        <f t="shared" si="19"/>
        <v>103287.89297115957</v>
      </c>
      <c r="I55" s="15">
        <f t="shared" si="19"/>
        <v>130578.42351604351</v>
      </c>
      <c r="J55" s="15">
        <f t="shared" si="19"/>
        <v>168353.20231589201</v>
      </c>
      <c r="K55" s="15">
        <f t="shared" si="19"/>
        <v>213161.32454953738</v>
      </c>
      <c r="L55" s="15">
        <f t="shared" si="20"/>
        <v>268755.43617769604</v>
      </c>
      <c r="M55" s="15">
        <f t="shared" si="20"/>
        <v>332419.64844975923</v>
      </c>
      <c r="N55" s="15">
        <f t="shared" si="20"/>
        <v>401570.69887993077</v>
      </c>
      <c r="O55" s="15">
        <f t="shared" si="20"/>
        <v>474810.76781559444</v>
      </c>
      <c r="P55" s="15">
        <f t="shared" si="20"/>
        <v>552090.36621394951</v>
      </c>
      <c r="Q55" s="15">
        <f t="shared" si="20"/>
        <v>633095.84497592121</v>
      </c>
      <c r="R55" s="15">
        <f t="shared" si="20"/>
        <v>709118.44353660522</v>
      </c>
      <c r="S55" s="15">
        <f t="shared" si="20"/>
        <v>779647.32135706942</v>
      </c>
      <c r="T55" s="15">
        <f t="shared" si="20"/>
        <v>843996.29592554516</v>
      </c>
      <c r="U55" s="15">
        <f t="shared" si="20"/>
        <v>902346.93631297012</v>
      </c>
      <c r="V55" s="15">
        <f t="shared" si="21"/>
        <v>953600.32357556419</v>
      </c>
      <c r="W55" s="15">
        <f t="shared" si="21"/>
        <v>995978.45733455988</v>
      </c>
      <c r="X55" s="15">
        <f t="shared" si="21"/>
        <v>1034884.7107840485</v>
      </c>
      <c r="Y55" s="15">
        <f t="shared" si="21"/>
        <v>1068426.9200800823</v>
      </c>
      <c r="Z55" s="15">
        <f t="shared" si="21"/>
        <v>1097025.6874627997</v>
      </c>
      <c r="AA55" s="15">
        <f t="shared" si="21"/>
        <v>1122987.224176181</v>
      </c>
      <c r="AB55" s="15">
        <f t="shared" si="21"/>
        <v>1144856.355716682</v>
      </c>
      <c r="AC55" s="15">
        <f t="shared" si="21"/>
        <v>1163702.6134949408</v>
      </c>
      <c r="AD55" s="15">
        <f t="shared" si="21"/>
        <v>1182082.3851523187</v>
      </c>
      <c r="AE55" s="15">
        <f t="shared" si="21"/>
        <v>1199403.5501325687</v>
      </c>
      <c r="AF55" s="15">
        <f t="shared" si="21"/>
        <v>1214207.6565120935</v>
      </c>
      <c r="AG55" s="15">
        <f t="shared" si="21"/>
        <v>1228108.2874303339</v>
      </c>
      <c r="AH55" s="15">
        <f t="shared" si="21"/>
        <v>1239561.7780423139</v>
      </c>
    </row>
    <row r="56" spans="1:34" ht="15.75" customHeight="1" x14ac:dyDescent="0.35">
      <c r="A56" s="8" t="s">
        <v>167</v>
      </c>
      <c r="B56" s="15">
        <f t="shared" si="19"/>
        <v>1704.0149342568041</v>
      </c>
      <c r="C56" s="15">
        <f t="shared" si="19"/>
        <v>2289.8939451328388</v>
      </c>
      <c r="D56" s="15">
        <f t="shared" si="19"/>
        <v>3031.4163194632324</v>
      </c>
      <c r="E56" s="15">
        <f t="shared" si="19"/>
        <v>3984.8290135815159</v>
      </c>
      <c r="F56" s="15">
        <f t="shared" si="19"/>
        <v>5195.4777879984849</v>
      </c>
      <c r="G56" s="15">
        <f t="shared" si="19"/>
        <v>6583.8669444294137</v>
      </c>
      <c r="H56" s="15">
        <f t="shared" si="19"/>
        <v>8441.0610897678689</v>
      </c>
      <c r="I56" s="15">
        <f t="shared" si="19"/>
        <v>10671.34218927547</v>
      </c>
      <c r="J56" s="15">
        <f t="shared" si="19"/>
        <v>13758.434067420592</v>
      </c>
      <c r="K56" s="15">
        <f t="shared" si="19"/>
        <v>17420.316270764568</v>
      </c>
      <c r="L56" s="15">
        <f t="shared" si="20"/>
        <v>21963.668632649747</v>
      </c>
      <c r="M56" s="15">
        <f t="shared" si="20"/>
        <v>27166.538877766354</v>
      </c>
      <c r="N56" s="15">
        <f t="shared" si="20"/>
        <v>32817.813430009199</v>
      </c>
      <c r="O56" s="15">
        <f t="shared" si="20"/>
        <v>38803.257399491369</v>
      </c>
      <c r="P56" s="15">
        <f t="shared" si="20"/>
        <v>45118.826362209831</v>
      </c>
      <c r="Q56" s="15">
        <f t="shared" si="20"/>
        <v>51738.887776635456</v>
      </c>
      <c r="R56" s="15">
        <f t="shared" si="20"/>
        <v>57951.730155294623</v>
      </c>
      <c r="S56" s="15">
        <f t="shared" si="20"/>
        <v>63715.605757264209</v>
      </c>
      <c r="T56" s="15">
        <f t="shared" si="20"/>
        <v>68974.437259888524</v>
      </c>
      <c r="U56" s="15">
        <f t="shared" si="20"/>
        <v>73743.063145933658</v>
      </c>
      <c r="V56" s="15">
        <f t="shared" si="21"/>
        <v>77931.675775120384</v>
      </c>
      <c r="W56" s="15">
        <f t="shared" si="21"/>
        <v>81394.97051025377</v>
      </c>
      <c r="X56" s="15">
        <f t="shared" si="21"/>
        <v>84574.530598993559</v>
      </c>
      <c r="Y56" s="15">
        <f t="shared" si="21"/>
        <v>87315.721551864073</v>
      </c>
      <c r="Z56" s="15">
        <f t="shared" si="21"/>
        <v>89652.916508846916</v>
      </c>
      <c r="AA56" s="15">
        <f t="shared" si="21"/>
        <v>91774.587414100955</v>
      </c>
      <c r="AB56" s="15">
        <f t="shared" si="21"/>
        <v>93561.812131378159</v>
      </c>
      <c r="AC56" s="15">
        <f t="shared" si="21"/>
        <v>95101.99664520318</v>
      </c>
      <c r="AD56" s="15">
        <f t="shared" si="21"/>
        <v>96604.058221957675</v>
      </c>
      <c r="AE56" s="15">
        <f t="shared" si="21"/>
        <v>98019.606623018233</v>
      </c>
      <c r="AF56" s="15">
        <f t="shared" si="21"/>
        <v>99229.451869487573</v>
      </c>
      <c r="AG56" s="15">
        <f t="shared" si="21"/>
        <v>100365.46182565877</v>
      </c>
      <c r="AH56" s="15">
        <f t="shared" si="21"/>
        <v>101301.4826037552</v>
      </c>
    </row>
    <row r="57" spans="1:34" ht="15.75" customHeight="1" x14ac:dyDescent="0.35">
      <c r="A57" s="8" t="s">
        <v>168</v>
      </c>
      <c r="B57" s="15">
        <f t="shared" si="19"/>
        <v>3106.8151074076077</v>
      </c>
      <c r="C57" s="15">
        <f t="shared" si="19"/>
        <v>4175.0086575401765</v>
      </c>
      <c r="D57" s="15">
        <f t="shared" si="19"/>
        <v>5526.9762188193272</v>
      </c>
      <c r="E57" s="15">
        <f t="shared" si="19"/>
        <v>7265.2690601157938</v>
      </c>
      <c r="F57" s="15">
        <f t="shared" si="19"/>
        <v>9472.563037714408</v>
      </c>
      <c r="G57" s="15">
        <f t="shared" si="19"/>
        <v>12003.919024944536</v>
      </c>
      <c r="H57" s="15">
        <f t="shared" si="19"/>
        <v>15390.015421243437</v>
      </c>
      <c r="I57" s="15">
        <f t="shared" si="19"/>
        <v>19456.336011759824</v>
      </c>
      <c r="J57" s="15">
        <f t="shared" si="19"/>
        <v>25084.82170878199</v>
      </c>
      <c r="K57" s="15">
        <f t="shared" si="19"/>
        <v>31761.283705787922</v>
      </c>
      <c r="L57" s="15">
        <f t="shared" si="20"/>
        <v>40044.870587810903</v>
      </c>
      <c r="M57" s="15">
        <f t="shared" si="20"/>
        <v>49530.911792291176</v>
      </c>
      <c r="N57" s="15">
        <f t="shared" si="20"/>
        <v>59834.498223400602</v>
      </c>
      <c r="O57" s="15">
        <f t="shared" si="20"/>
        <v>70747.353137456477</v>
      </c>
      <c r="P57" s="15">
        <f t="shared" si="20"/>
        <v>82262.102609887632</v>
      </c>
      <c r="Q57" s="15">
        <f t="shared" si="20"/>
        <v>94332.01256245152</v>
      </c>
      <c r="R57" s="15">
        <f t="shared" si="20"/>
        <v>105659.4676063705</v>
      </c>
      <c r="S57" s="15">
        <f t="shared" si="20"/>
        <v>116168.35191097161</v>
      </c>
      <c r="T57" s="15">
        <f t="shared" si="20"/>
        <v>125756.42348898869</v>
      </c>
      <c r="U57" s="15">
        <f t="shared" si="20"/>
        <v>134450.73634182854</v>
      </c>
      <c r="V57" s="15">
        <f t="shared" si="21"/>
        <v>142087.55027686091</v>
      </c>
      <c r="W57" s="15">
        <f t="shared" si="21"/>
        <v>148401.94118283642</v>
      </c>
      <c r="X57" s="15">
        <f t="shared" si="21"/>
        <v>154199.01791028623</v>
      </c>
      <c r="Y57" s="15">
        <f t="shared" si="21"/>
        <v>159196.84585971176</v>
      </c>
      <c r="Z57" s="15">
        <f t="shared" si="21"/>
        <v>163458.09525097848</v>
      </c>
      <c r="AA57" s="15">
        <f t="shared" si="21"/>
        <v>167326.39422469924</v>
      </c>
      <c r="AB57" s="15">
        <f t="shared" si="21"/>
        <v>170584.92009811878</v>
      </c>
      <c r="AC57" s="15">
        <f t="shared" si="21"/>
        <v>173393.03428746641</v>
      </c>
      <c r="AD57" s="15">
        <f t="shared" si="21"/>
        <v>176131.64150569052</v>
      </c>
      <c r="AE57" s="15">
        <f t="shared" si="21"/>
        <v>178712.51510560393</v>
      </c>
      <c r="AF57" s="15">
        <f t="shared" si="21"/>
        <v>180918.34406507583</v>
      </c>
      <c r="AG57" s="15">
        <f t="shared" si="21"/>
        <v>182989.5541366809</v>
      </c>
      <c r="AH57" s="15">
        <f t="shared" si="21"/>
        <v>184696.13747452336</v>
      </c>
    </row>
    <row r="58" spans="1:34" ht="15.75" customHeight="1" x14ac:dyDescent="0.35">
      <c r="A58" s="8" t="s">
        <v>169</v>
      </c>
      <c r="B58" s="15">
        <f t="shared" si="19"/>
        <v>4814.272496077052</v>
      </c>
      <c r="C58" s="15">
        <f t="shared" si="19"/>
        <v>6469.5286510470205</v>
      </c>
      <c r="D58" s="15">
        <f t="shared" si="19"/>
        <v>8564.5166116552136</v>
      </c>
      <c r="E58" s="15">
        <f t="shared" si="19"/>
        <v>11258.148233320708</v>
      </c>
      <c r="F58" s="15">
        <f t="shared" si="19"/>
        <v>14678.536740436122</v>
      </c>
      <c r="G58" s="15">
        <f t="shared" si="19"/>
        <v>18601.086710675827</v>
      </c>
      <c r="H58" s="15">
        <f t="shared" si="19"/>
        <v>23848.129159677505</v>
      </c>
      <c r="I58" s="15">
        <f t="shared" si="19"/>
        <v>30149.236468084338</v>
      </c>
      <c r="J58" s="15">
        <f t="shared" si="19"/>
        <v>38871.050592500404</v>
      </c>
      <c r="K58" s="15">
        <f t="shared" si="19"/>
        <v>49216.792534675245</v>
      </c>
      <c r="L58" s="15">
        <f t="shared" si="20"/>
        <v>62052.910268203377</v>
      </c>
      <c r="M58" s="15">
        <f t="shared" si="20"/>
        <v>76752.332566780286</v>
      </c>
      <c r="N58" s="15">
        <f t="shared" si="20"/>
        <v>92718.610266399715</v>
      </c>
      <c r="O58" s="15">
        <f t="shared" si="20"/>
        <v>109629.00095593672</v>
      </c>
      <c r="P58" s="15">
        <f t="shared" si="20"/>
        <v>127472.07811626354</v>
      </c>
      <c r="Q58" s="15">
        <f t="shared" si="20"/>
        <v>146175.42334469635</v>
      </c>
      <c r="R58" s="15">
        <f t="shared" si="20"/>
        <v>163728.27196399905</v>
      </c>
      <c r="S58" s="15">
        <f t="shared" si="20"/>
        <v>180012.67606370506</v>
      </c>
      <c r="T58" s="15">
        <f t="shared" si="20"/>
        <v>194870.20304637193</v>
      </c>
      <c r="U58" s="15">
        <f t="shared" si="20"/>
        <v>208342.77537290548</v>
      </c>
      <c r="V58" s="15">
        <f t="shared" si="21"/>
        <v>220176.66378081992</v>
      </c>
      <c r="W58" s="15">
        <f t="shared" si="21"/>
        <v>229961.34597694929</v>
      </c>
      <c r="X58" s="15">
        <f t="shared" si="21"/>
        <v>238944.40614685352</v>
      </c>
      <c r="Y58" s="15">
        <f t="shared" si="21"/>
        <v>246688.96280865031</v>
      </c>
      <c r="Z58" s="15">
        <f t="shared" si="21"/>
        <v>253292.12876287356</v>
      </c>
      <c r="AA58" s="15">
        <f t="shared" si="21"/>
        <v>259286.38484569738</v>
      </c>
      <c r="AB58" s="15">
        <f t="shared" si="21"/>
        <v>264335.7459913785</v>
      </c>
      <c r="AC58" s="15">
        <f t="shared" si="21"/>
        <v>268687.15617841744</v>
      </c>
      <c r="AD58" s="15">
        <f t="shared" si="21"/>
        <v>272930.85944122792</v>
      </c>
      <c r="AE58" s="15">
        <f t="shared" si="21"/>
        <v>276930.14113594138</v>
      </c>
      <c r="AF58" s="15">
        <f t="shared" si="21"/>
        <v>280348.25947369367</v>
      </c>
      <c r="AG58" s="15">
        <f t="shared" si="21"/>
        <v>283557.77447107836</v>
      </c>
      <c r="AH58" s="15">
        <f t="shared" si="21"/>
        <v>286202.26953808416</v>
      </c>
    </row>
    <row r="59" spans="1:34" ht="15.75" customHeight="1" x14ac:dyDescent="0.35">
      <c r="A59" s="8" t="s">
        <v>170</v>
      </c>
      <c r="B59" s="15">
        <f t="shared" si="19"/>
        <v>1765.9791136843244</v>
      </c>
      <c r="C59" s="15">
        <f t="shared" si="19"/>
        <v>2373.1628158649423</v>
      </c>
      <c r="D59" s="15">
        <f t="shared" si="19"/>
        <v>3141.649640170986</v>
      </c>
      <c r="E59" s="15">
        <f t="shared" si="19"/>
        <v>4129.7318868026623</v>
      </c>
      <c r="F59" s="15">
        <f t="shared" si="19"/>
        <v>5384.4042530166116</v>
      </c>
      <c r="G59" s="15">
        <f t="shared" si="19"/>
        <v>6823.2802878632101</v>
      </c>
      <c r="H59" s="15">
        <f t="shared" si="19"/>
        <v>8748.0087657594286</v>
      </c>
      <c r="I59" s="15">
        <f t="shared" si="19"/>
        <v>11059.390996158216</v>
      </c>
      <c r="J59" s="15">
        <f t="shared" si="19"/>
        <v>14258.740760781342</v>
      </c>
      <c r="K59" s="15">
        <f t="shared" si="19"/>
        <v>18053.78231697419</v>
      </c>
      <c r="L59" s="15">
        <f t="shared" si="20"/>
        <v>22762.347492018827</v>
      </c>
      <c r="M59" s="15">
        <f t="shared" si="20"/>
        <v>28154.413018776038</v>
      </c>
      <c r="N59" s="15">
        <f t="shared" si="20"/>
        <v>34011.188463827712</v>
      </c>
      <c r="O59" s="15">
        <f t="shared" si="20"/>
        <v>40214.284941291051</v>
      </c>
      <c r="P59" s="15">
        <f t="shared" si="20"/>
        <v>46759.51095719928</v>
      </c>
      <c r="Q59" s="15">
        <f t="shared" si="20"/>
        <v>53620.301877604019</v>
      </c>
      <c r="R59" s="15">
        <f t="shared" si="20"/>
        <v>60059.065797305338</v>
      </c>
      <c r="S59" s="15">
        <f t="shared" si="20"/>
        <v>66032.536875710182</v>
      </c>
      <c r="T59" s="15">
        <f t="shared" si="20"/>
        <v>71482.598614793562</v>
      </c>
      <c r="U59" s="15">
        <f t="shared" si="20"/>
        <v>76424.629078513055</v>
      </c>
      <c r="V59" s="15">
        <f t="shared" si="21"/>
        <v>80765.554894215675</v>
      </c>
      <c r="W59" s="15">
        <f t="shared" si="21"/>
        <v>84354.787619717536</v>
      </c>
      <c r="X59" s="15">
        <f t="shared" si="21"/>
        <v>87649.96807532059</v>
      </c>
      <c r="Y59" s="15">
        <f t="shared" si="21"/>
        <v>90490.838699204585</v>
      </c>
      <c r="Z59" s="15">
        <f t="shared" si="21"/>
        <v>92913.022563714083</v>
      </c>
      <c r="AA59" s="15">
        <f t="shared" si="21"/>
        <v>95111.845138250093</v>
      </c>
      <c r="AB59" s="15">
        <f t="shared" si="21"/>
        <v>96964.059845246462</v>
      </c>
      <c r="AC59" s="15">
        <f t="shared" si="21"/>
        <v>98560.251068665108</v>
      </c>
      <c r="AD59" s="15">
        <f t="shared" si="21"/>
        <v>100116.93306639251</v>
      </c>
      <c r="AE59" s="15">
        <f t="shared" si="21"/>
        <v>101583.95595476434</v>
      </c>
      <c r="AF59" s="15">
        <f t="shared" si="21"/>
        <v>102837.79557383258</v>
      </c>
      <c r="AG59" s="15">
        <f t="shared" si="21"/>
        <v>104015.11498295546</v>
      </c>
      <c r="AH59" s="15">
        <f t="shared" si="21"/>
        <v>104985.17288025538</v>
      </c>
    </row>
    <row r="60" spans="1:34" ht="15.75" customHeight="1" x14ac:dyDescent="0.35">
      <c r="A60" s="8" t="s">
        <v>171</v>
      </c>
      <c r="B60" s="15">
        <f t="shared" ref="B60:K65" si="22">SUM(B$46:B$47)*INDEX($B$23:$B$40,MATCH($A60,$A$23:$A$40,0),1)</f>
        <v>8351.3944050646605</v>
      </c>
      <c r="C60" s="15">
        <f t="shared" si="22"/>
        <v>11222.793355337915</v>
      </c>
      <c r="D60" s="15">
        <f t="shared" si="22"/>
        <v>14857.002002056166</v>
      </c>
      <c r="E60" s="15">
        <f t="shared" si="22"/>
        <v>19529.687246361129</v>
      </c>
      <c r="F60" s="15">
        <f t="shared" si="22"/>
        <v>25463.089118554191</v>
      </c>
      <c r="G60" s="15">
        <f t="shared" si="22"/>
        <v>32267.598398355069</v>
      </c>
      <c r="H60" s="15">
        <f t="shared" si="22"/>
        <v>41369.725664195663</v>
      </c>
      <c r="I60" s="15">
        <f t="shared" si="22"/>
        <v>52300.355860974334</v>
      </c>
      <c r="J60" s="15">
        <f t="shared" si="22"/>
        <v>67430.224338509826</v>
      </c>
      <c r="K60" s="15">
        <f t="shared" si="22"/>
        <v>85377.146005807765</v>
      </c>
      <c r="L60" s="15">
        <f t="shared" ref="L60:U65" si="23">SUM(L$46:L$47)*INDEX($B$23:$B$40,MATCH($A60,$A$23:$A$40,0),1)</f>
        <v>107644.16182385513</v>
      </c>
      <c r="M60" s="15">
        <f t="shared" si="23"/>
        <v>133143.48144941652</v>
      </c>
      <c r="N60" s="15">
        <f t="shared" si="23"/>
        <v>160840.43511354004</v>
      </c>
      <c r="O60" s="15">
        <f t="shared" si="23"/>
        <v>190175.15646700215</v>
      </c>
      <c r="P60" s="15">
        <f t="shared" si="23"/>
        <v>221127.82374691125</v>
      </c>
      <c r="Q60" s="15">
        <f t="shared" si="23"/>
        <v>253572.81160831847</v>
      </c>
      <c r="R60" s="15">
        <f t="shared" si="23"/>
        <v>284022.01486211066</v>
      </c>
      <c r="S60" s="15">
        <f t="shared" si="23"/>
        <v>312270.82740832929</v>
      </c>
      <c r="T60" s="15">
        <f t="shared" si="23"/>
        <v>338044.41372220119</v>
      </c>
      <c r="U60" s="15">
        <f t="shared" si="23"/>
        <v>361415.49735764659</v>
      </c>
      <c r="V60" s="15">
        <f t="shared" ref="V60:AH65" si="24">SUM(V$46:V$47)*INDEX($B$23:$B$40,MATCH($A60,$A$23:$A$40,0),1)</f>
        <v>381943.93016250926</v>
      </c>
      <c r="W60" s="15">
        <f t="shared" si="24"/>
        <v>398917.57264217304</v>
      </c>
      <c r="X60" s="15">
        <f t="shared" si="24"/>
        <v>414500.6287538553</v>
      </c>
      <c r="Y60" s="15">
        <f t="shared" si="24"/>
        <v>427935.23330267123</v>
      </c>
      <c r="Z60" s="15">
        <f t="shared" si="24"/>
        <v>439389.84939487401</v>
      </c>
      <c r="AA60" s="15">
        <f t="shared" si="24"/>
        <v>449788.17993254337</v>
      </c>
      <c r="AB60" s="15">
        <f t="shared" si="24"/>
        <v>458547.38632469386</v>
      </c>
      <c r="AC60" s="15">
        <f t="shared" si="24"/>
        <v>466095.84618436953</v>
      </c>
      <c r="AD60" s="15">
        <f t="shared" si="24"/>
        <v>473457.46514438256</v>
      </c>
      <c r="AE60" s="15">
        <f t="shared" si="24"/>
        <v>480395.08215644897</v>
      </c>
      <c r="AF60" s="15">
        <f t="shared" si="24"/>
        <v>486324.54593005433</v>
      </c>
      <c r="AG60" s="15">
        <f t="shared" si="24"/>
        <v>491892.14220009744</v>
      </c>
      <c r="AH60" s="15">
        <f t="shared" si="24"/>
        <v>496479.58948830335</v>
      </c>
    </row>
    <row r="61" spans="1:34" ht="15.75" customHeight="1" x14ac:dyDescent="0.35">
      <c r="A61" s="8" t="s">
        <v>172</v>
      </c>
      <c r="B61" s="15">
        <f t="shared" si="22"/>
        <v>2203.1708240896055</v>
      </c>
      <c r="C61" s="15">
        <f t="shared" si="22"/>
        <v>2960.670959363671</v>
      </c>
      <c r="D61" s="15">
        <f t="shared" si="22"/>
        <v>3919.406958497917</v>
      </c>
      <c r="E61" s="15">
        <f t="shared" si="22"/>
        <v>5152.1021589740822</v>
      </c>
      <c r="F61" s="15">
        <f t="shared" si="22"/>
        <v>6717.3854228667287</v>
      </c>
      <c r="G61" s="15">
        <f t="shared" si="22"/>
        <v>8512.4744332016671</v>
      </c>
      <c r="H61" s="15">
        <f t="shared" si="22"/>
        <v>10913.695146366539</v>
      </c>
      <c r="I61" s="15">
        <f t="shared" si="22"/>
        <v>13797.29091138647</v>
      </c>
      <c r="J61" s="15">
        <f t="shared" si="22"/>
        <v>17788.682430604404</v>
      </c>
      <c r="K61" s="15">
        <f t="shared" si="22"/>
        <v>22523.237198564293</v>
      </c>
      <c r="L61" s="15">
        <f t="shared" si="23"/>
        <v>28397.470555345131</v>
      </c>
      <c r="M61" s="15">
        <f t="shared" si="23"/>
        <v>35124.413902566601</v>
      </c>
      <c r="N61" s="15">
        <f t="shared" si="23"/>
        <v>42431.112313547252</v>
      </c>
      <c r="O61" s="15">
        <f t="shared" si="23"/>
        <v>50169.868152877731</v>
      </c>
      <c r="P61" s="15">
        <f t="shared" si="23"/>
        <v>58335.452266291511</v>
      </c>
      <c r="Q61" s="15">
        <f t="shared" si="23"/>
        <v>66894.723589993329</v>
      </c>
      <c r="R61" s="15">
        <f t="shared" si="23"/>
        <v>74927.489493714267</v>
      </c>
      <c r="S61" s="15">
        <f t="shared" si="23"/>
        <v>82379.773100301216</v>
      </c>
      <c r="T61" s="15">
        <f t="shared" si="23"/>
        <v>89179.07039662356</v>
      </c>
      <c r="U61" s="15">
        <f t="shared" si="23"/>
        <v>95344.566491712219</v>
      </c>
      <c r="V61" s="15">
        <f t="shared" si="24"/>
        <v>100760.14645672133</v>
      </c>
      <c r="W61" s="15">
        <f t="shared" si="24"/>
        <v>105237.94166982306</v>
      </c>
      <c r="X61" s="15">
        <f t="shared" si="24"/>
        <v>109348.8880471836</v>
      </c>
      <c r="Y61" s="15">
        <f t="shared" si="24"/>
        <v>112893.05412766265</v>
      </c>
      <c r="Z61" s="15">
        <f t="shared" si="24"/>
        <v>115914.88195083239</v>
      </c>
      <c r="AA61" s="15">
        <f t="shared" si="24"/>
        <v>118658.05241419116</v>
      </c>
      <c r="AB61" s="15">
        <f t="shared" si="24"/>
        <v>120968.80760420613</v>
      </c>
      <c r="AC61" s="15">
        <f t="shared" si="24"/>
        <v>122960.15727864654</v>
      </c>
      <c r="AD61" s="15">
        <f t="shared" si="24"/>
        <v>124902.216691016</v>
      </c>
      <c r="AE61" s="15">
        <f t="shared" si="24"/>
        <v>126732.42068430642</v>
      </c>
      <c r="AF61" s="15">
        <f t="shared" si="24"/>
        <v>128296.66504337789</v>
      </c>
      <c r="AG61" s="15">
        <f t="shared" si="24"/>
        <v>129765.44559277096</v>
      </c>
      <c r="AH61" s="15">
        <f t="shared" si="24"/>
        <v>130975.65427556229</v>
      </c>
    </row>
    <row r="62" spans="1:34" ht="15.75" customHeight="1" x14ac:dyDescent="0.35">
      <c r="A62" s="8" t="s">
        <v>173</v>
      </c>
      <c r="B62" s="15">
        <f t="shared" si="22"/>
        <v>100132.39272766624</v>
      </c>
      <c r="C62" s="15">
        <f t="shared" si="22"/>
        <v>134560.18207889184</v>
      </c>
      <c r="D62" s="15">
        <f t="shared" si="22"/>
        <v>178133.98422704398</v>
      </c>
      <c r="E62" s="15">
        <f t="shared" si="22"/>
        <v>234159.01804556031</v>
      </c>
      <c r="F62" s="15">
        <f t="shared" si="22"/>
        <v>305299.91951193113</v>
      </c>
      <c r="G62" s="15">
        <f t="shared" si="22"/>
        <v>386885.31261836481</v>
      </c>
      <c r="H62" s="15">
        <f t="shared" si="22"/>
        <v>496018.91807802604</v>
      </c>
      <c r="I62" s="15">
        <f t="shared" si="22"/>
        <v>627076.09278899047</v>
      </c>
      <c r="J62" s="15">
        <f t="shared" si="22"/>
        <v>808481.71906282124</v>
      </c>
      <c r="K62" s="15">
        <f t="shared" si="22"/>
        <v>1023663.5343956857</v>
      </c>
      <c r="L62" s="15">
        <f t="shared" si="23"/>
        <v>1290642.8512165647</v>
      </c>
      <c r="M62" s="15">
        <f t="shared" si="23"/>
        <v>1596377.1709232905</v>
      </c>
      <c r="N62" s="15">
        <f t="shared" si="23"/>
        <v>1928460.9053442273</v>
      </c>
      <c r="O62" s="15">
        <f t="shared" si="23"/>
        <v>2280181.3123387983</v>
      </c>
      <c r="P62" s="15">
        <f t="shared" si="23"/>
        <v>2651300.7309308657</v>
      </c>
      <c r="Q62" s="15">
        <f t="shared" si="23"/>
        <v>3040312.9256623918</v>
      </c>
      <c r="R62" s="15">
        <f t="shared" si="23"/>
        <v>3405395.8603881462</v>
      </c>
      <c r="S62" s="15">
        <f t="shared" si="23"/>
        <v>3744096.3282109555</v>
      </c>
      <c r="T62" s="15">
        <f t="shared" si="23"/>
        <v>4053119.0783777931</v>
      </c>
      <c r="U62" s="15">
        <f t="shared" si="23"/>
        <v>4333336.0591057483</v>
      </c>
      <c r="V62" s="15">
        <f t="shared" si="24"/>
        <v>4579469.9375935644</v>
      </c>
      <c r="W62" s="15">
        <f t="shared" si="24"/>
        <v>4782982.2317515286</v>
      </c>
      <c r="X62" s="15">
        <f t="shared" si="24"/>
        <v>4969821.5329257073</v>
      </c>
      <c r="Y62" s="15">
        <f t="shared" si="24"/>
        <v>5130901.1124037299</v>
      </c>
      <c r="Z62" s="15">
        <f t="shared" si="24"/>
        <v>5268240.8261638079</v>
      </c>
      <c r="AA62" s="15">
        <f t="shared" si="24"/>
        <v>5392915.7806215389</v>
      </c>
      <c r="AB62" s="15">
        <f t="shared" si="24"/>
        <v>5497937.7987302272</v>
      </c>
      <c r="AC62" s="15">
        <f t="shared" si="24"/>
        <v>5588443.0856916113</v>
      </c>
      <c r="AD62" s="15">
        <f t="shared" si="24"/>
        <v>5676708.1687498875</v>
      </c>
      <c r="AE62" s="15">
        <f t="shared" si="24"/>
        <v>5759889.5103980666</v>
      </c>
      <c r="AF62" s="15">
        <f t="shared" si="24"/>
        <v>5830983.1944519598</v>
      </c>
      <c r="AG62" s="15">
        <f t="shared" si="24"/>
        <v>5897738.1229370702</v>
      </c>
      <c r="AH62" s="15">
        <f t="shared" si="24"/>
        <v>5952741.1620944031</v>
      </c>
    </row>
    <row r="63" spans="1:34" ht="15.75" customHeight="1" x14ac:dyDescent="0.35">
      <c r="A63" s="8" t="s">
        <v>174</v>
      </c>
      <c r="B63" s="15">
        <f t="shared" si="22"/>
        <v>12842.076186353554</v>
      </c>
      <c r="C63" s="15">
        <f t="shared" si="22"/>
        <v>17257.473459228397</v>
      </c>
      <c r="D63" s="15">
        <f t="shared" si="22"/>
        <v>22845.855716681999</v>
      </c>
      <c r="E63" s="15">
        <f t="shared" si="22"/>
        <v>30031.12047508252</v>
      </c>
      <c r="F63" s="15">
        <f t="shared" si="22"/>
        <v>39155.00987500677</v>
      </c>
      <c r="G63" s="15">
        <f t="shared" si="22"/>
        <v>49618.415426654406</v>
      </c>
      <c r="H63" s="15">
        <f t="shared" si="22"/>
        <v>63614.905849250586</v>
      </c>
      <c r="I63" s="15">
        <f t="shared" si="22"/>
        <v>80423.11522644879</v>
      </c>
      <c r="J63" s="15">
        <f t="shared" si="22"/>
        <v>103688.56219901521</v>
      </c>
      <c r="K63" s="15">
        <f t="shared" si="22"/>
        <v>131285.83807694391</v>
      </c>
      <c r="L63" s="15">
        <f t="shared" si="23"/>
        <v>165526.1936042422</v>
      </c>
      <c r="M63" s="15">
        <f t="shared" si="23"/>
        <v>204736.91572425736</v>
      </c>
      <c r="N63" s="15">
        <f t="shared" si="23"/>
        <v>247326.97575888754</v>
      </c>
      <c r="O63" s="15">
        <f t="shared" si="23"/>
        <v>292435.45803798496</v>
      </c>
      <c r="P63" s="15">
        <f t="shared" si="23"/>
        <v>340031.88231156324</v>
      </c>
      <c r="Q63" s="15">
        <f t="shared" si="23"/>
        <v>389923.0724257346</v>
      </c>
      <c r="R63" s="15">
        <f t="shared" si="23"/>
        <v>436745.31180672045</v>
      </c>
      <c r="S63" s="15">
        <f t="shared" si="23"/>
        <v>480183.97429792763</v>
      </c>
      <c r="T63" s="15">
        <f t="shared" si="23"/>
        <v>519816.44080406911</v>
      </c>
      <c r="U63" s="15">
        <f t="shared" si="23"/>
        <v>555754.53952708188</v>
      </c>
      <c r="V63" s="15">
        <f t="shared" si="24"/>
        <v>587321.44743249833</v>
      </c>
      <c r="W63" s="15">
        <f t="shared" si="24"/>
        <v>613422.09593636717</v>
      </c>
      <c r="X63" s="15">
        <f t="shared" si="24"/>
        <v>637384.41696877882</v>
      </c>
      <c r="Y63" s="15">
        <f t="shared" si="24"/>
        <v>658043.02878632117</v>
      </c>
      <c r="Z63" s="15">
        <f t="shared" si="24"/>
        <v>675656.97987121914</v>
      </c>
      <c r="AA63" s="15">
        <f t="shared" si="24"/>
        <v>691646.66332990641</v>
      </c>
      <c r="AB63" s="15">
        <f t="shared" si="24"/>
        <v>705115.83869920461</v>
      </c>
      <c r="AC63" s="15">
        <f t="shared" si="24"/>
        <v>716723.22926248587</v>
      </c>
      <c r="AD63" s="15">
        <f t="shared" si="24"/>
        <v>728043.31150911748</v>
      </c>
      <c r="AE63" s="15">
        <f t="shared" si="24"/>
        <v>738711.3990043829</v>
      </c>
      <c r="AF63" s="15">
        <f t="shared" si="24"/>
        <v>747829.23272550199</v>
      </c>
      <c r="AG63" s="15">
        <f t="shared" si="24"/>
        <v>756390.61684973759</v>
      </c>
      <c r="AH63" s="15">
        <f t="shared" si="24"/>
        <v>763444.80980466434</v>
      </c>
    </row>
    <row r="64" spans="1:34" ht="15.75" customHeight="1" x14ac:dyDescent="0.35">
      <c r="A64" s="8" t="s">
        <v>175</v>
      </c>
      <c r="B64" s="15">
        <f t="shared" si="22"/>
        <v>2628.3139440506466</v>
      </c>
      <c r="C64" s="15">
        <f t="shared" si="22"/>
        <v>3531.9879335533792</v>
      </c>
      <c r="D64" s="15">
        <f t="shared" si="22"/>
        <v>4675.7300200205618</v>
      </c>
      <c r="E64" s="15">
        <f t="shared" si="22"/>
        <v>6146.2968724636112</v>
      </c>
      <c r="F64" s="15">
        <f t="shared" si="22"/>
        <v>8013.6308911855422</v>
      </c>
      <c r="G64" s="15">
        <f t="shared" si="22"/>
        <v>10155.115983983551</v>
      </c>
      <c r="H64" s="15">
        <f t="shared" si="22"/>
        <v>13019.697256641957</v>
      </c>
      <c r="I64" s="15">
        <f t="shared" si="22"/>
        <v>16459.736891943077</v>
      </c>
      <c r="J64" s="15">
        <f t="shared" si="22"/>
        <v>21221.342243385097</v>
      </c>
      <c r="K64" s="15">
        <f t="shared" si="22"/>
        <v>26869.518126724746</v>
      </c>
      <c r="L64" s="15">
        <f t="shared" si="23"/>
        <v>33877.294951571886</v>
      </c>
      <c r="M64" s="15">
        <f t="shared" si="23"/>
        <v>41902.328147827502</v>
      </c>
      <c r="N64" s="15">
        <f t="shared" si="23"/>
        <v>50618.991017802065</v>
      </c>
      <c r="O64" s="15">
        <f t="shared" si="23"/>
        <v>59851.084898003355</v>
      </c>
      <c r="P64" s="15">
        <f t="shared" si="23"/>
        <v>69592.371570802454</v>
      </c>
      <c r="Q64" s="15">
        <f t="shared" si="23"/>
        <v>79803.314782749847</v>
      </c>
      <c r="R64" s="15">
        <f t="shared" si="23"/>
        <v>89386.153481954447</v>
      </c>
      <c r="S64" s="15">
        <f t="shared" si="23"/>
        <v>98276.494940749966</v>
      </c>
      <c r="T64" s="15">
        <f t="shared" si="23"/>
        <v>106387.84413722201</v>
      </c>
      <c r="U64" s="15">
        <f t="shared" si="23"/>
        <v>113743.08830690981</v>
      </c>
      <c r="V64" s="15">
        <f t="shared" si="24"/>
        <v>120203.70596829176</v>
      </c>
      <c r="W64" s="15">
        <f t="shared" si="24"/>
        <v>125545.57572642174</v>
      </c>
      <c r="X64" s="15">
        <f t="shared" si="24"/>
        <v>130449.80628753855</v>
      </c>
      <c r="Y64" s="15">
        <f t="shared" si="24"/>
        <v>134677.88566636006</v>
      </c>
      <c r="Z64" s="15">
        <f t="shared" si="24"/>
        <v>138282.83182728209</v>
      </c>
      <c r="AA64" s="15">
        <f t="shared" si="24"/>
        <v>141555.34846599211</v>
      </c>
      <c r="AB64" s="15">
        <f t="shared" si="24"/>
        <v>144312.00719658026</v>
      </c>
      <c r="AC64" s="15">
        <f t="shared" si="24"/>
        <v>146687.62512851038</v>
      </c>
      <c r="AD64" s="15">
        <f t="shared" si="24"/>
        <v>149004.4413181105</v>
      </c>
      <c r="AE64" s="15">
        <f t="shared" si="24"/>
        <v>151187.81748823117</v>
      </c>
      <c r="AF64" s="15">
        <f t="shared" si="24"/>
        <v>153053.91212596721</v>
      </c>
      <c r="AG64" s="15">
        <f t="shared" si="24"/>
        <v>154806.12142200099</v>
      </c>
      <c r="AH64" s="15">
        <f t="shared" si="24"/>
        <v>156249.8625615497</v>
      </c>
    </row>
    <row r="65" spans="1:34" ht="15.75" customHeight="1" x14ac:dyDescent="0.35">
      <c r="A65" s="8" t="s">
        <v>176</v>
      </c>
      <c r="B65" s="15">
        <f t="shared" si="22"/>
        <v>2220.3830961528056</v>
      </c>
      <c r="C65" s="15">
        <f t="shared" si="22"/>
        <v>2983.8012012336994</v>
      </c>
      <c r="D65" s="15">
        <f t="shared" si="22"/>
        <v>3950.0273253611817</v>
      </c>
      <c r="E65" s="15">
        <f t="shared" si="22"/>
        <v>5192.3529570910669</v>
      </c>
      <c r="F65" s="15">
        <f t="shared" si="22"/>
        <v>6769.8649964828746</v>
      </c>
      <c r="G65" s="15">
        <f t="shared" si="22"/>
        <v>8578.9781397110546</v>
      </c>
      <c r="H65" s="15">
        <f t="shared" si="22"/>
        <v>10998.958389697527</v>
      </c>
      <c r="I65" s="15">
        <f t="shared" si="22"/>
        <v>13905.082246631675</v>
      </c>
      <c r="J65" s="15">
        <f t="shared" si="22"/>
        <v>17927.656512093501</v>
      </c>
      <c r="K65" s="15">
        <f t="shared" si="22"/>
        <v>22699.199989178076</v>
      </c>
      <c r="L65" s="15">
        <f t="shared" si="23"/>
        <v>28619.325794058761</v>
      </c>
      <c r="M65" s="15">
        <f t="shared" si="23"/>
        <v>35398.823386180404</v>
      </c>
      <c r="N65" s="15">
        <f t="shared" si="23"/>
        <v>42762.605378496832</v>
      </c>
      <c r="O65" s="15">
        <f t="shared" si="23"/>
        <v>50561.820247822085</v>
      </c>
      <c r="P65" s="15">
        <f t="shared" si="23"/>
        <v>58791.197987121908</v>
      </c>
      <c r="Q65" s="15">
        <f t="shared" si="23"/>
        <v>67417.338618040143</v>
      </c>
      <c r="R65" s="15">
        <f t="shared" si="23"/>
        <v>75512.860505383913</v>
      </c>
      <c r="S65" s="15">
        <f t="shared" si="23"/>
        <v>83023.365077647308</v>
      </c>
      <c r="T65" s="15">
        <f t="shared" si="23"/>
        <v>89875.781884097174</v>
      </c>
      <c r="U65" s="15">
        <f t="shared" si="23"/>
        <v>96089.445917428704</v>
      </c>
      <c r="V65" s="15">
        <f t="shared" si="24"/>
        <v>101547.33510091445</v>
      </c>
      <c r="W65" s="15">
        <f t="shared" si="24"/>
        <v>106060.11308911855</v>
      </c>
      <c r="X65" s="15">
        <f t="shared" si="24"/>
        <v>110203.17623505222</v>
      </c>
      <c r="Y65" s="15">
        <f t="shared" si="24"/>
        <v>113775.031113035</v>
      </c>
      <c r="Z65" s="15">
        <f t="shared" si="24"/>
        <v>116820.46696607326</v>
      </c>
      <c r="AA65" s="15">
        <f t="shared" si="24"/>
        <v>119585.06844867702</v>
      </c>
      <c r="AB65" s="15">
        <f t="shared" si="24"/>
        <v>121913.87641361398</v>
      </c>
      <c r="AC65" s="15">
        <f t="shared" si="24"/>
        <v>123920.78350738596</v>
      </c>
      <c r="AD65" s="15">
        <f t="shared" si="24"/>
        <v>125878.01525891456</v>
      </c>
      <c r="AE65" s="15">
        <f t="shared" si="24"/>
        <v>127722.51772090254</v>
      </c>
      <c r="AF65" s="15">
        <f t="shared" si="24"/>
        <v>129298.98273902928</v>
      </c>
      <c r="AG65" s="15">
        <f t="shared" si="24"/>
        <v>130779.23813646447</v>
      </c>
      <c r="AH65" s="15">
        <f t="shared" si="24"/>
        <v>131998.90157459013</v>
      </c>
    </row>
    <row r="66" spans="1:34" ht="15.75" customHeight="1" x14ac:dyDescent="0.35">
      <c r="A66" s="8" t="s">
        <v>177</v>
      </c>
      <c r="B66" s="15">
        <f t="shared" ref="B66:AH66" si="25">SUM(B46:B47)-SUM(B50:B65)</f>
        <v>2175.6311887885095</v>
      </c>
      <c r="C66" s="15">
        <f t="shared" si="25"/>
        <v>2923.6625723716279</v>
      </c>
      <c r="D66" s="15">
        <f t="shared" si="25"/>
        <v>3870.414371516672</v>
      </c>
      <c r="E66" s="15">
        <f t="shared" si="25"/>
        <v>5087.700881986937</v>
      </c>
      <c r="F66" s="15">
        <f t="shared" si="25"/>
        <v>6633.418105081073</v>
      </c>
      <c r="G66" s="15">
        <f t="shared" si="25"/>
        <v>8406.0685027866857</v>
      </c>
      <c r="H66" s="15">
        <f t="shared" si="25"/>
        <v>10777.273957037134</v>
      </c>
      <c r="I66" s="15">
        <f t="shared" si="25"/>
        <v>13624.824774994282</v>
      </c>
      <c r="J66" s="15">
        <f t="shared" si="25"/>
        <v>17566.32390022208</v>
      </c>
      <c r="K66" s="15">
        <f t="shared" si="25"/>
        <v>22241.696733582066</v>
      </c>
      <c r="L66" s="15">
        <f t="shared" si="25"/>
        <v>28042.502173403278</v>
      </c>
      <c r="M66" s="15">
        <f t="shared" si="25"/>
        <v>34685.358728784602</v>
      </c>
      <c r="N66" s="15">
        <f t="shared" si="25"/>
        <v>41900.72340962803</v>
      </c>
      <c r="O66" s="15">
        <f t="shared" si="25"/>
        <v>49542.744800967164</v>
      </c>
      <c r="P66" s="15">
        <f t="shared" si="25"/>
        <v>57606.259112963453</v>
      </c>
      <c r="Q66" s="15">
        <f t="shared" si="25"/>
        <v>66058.539545118809</v>
      </c>
      <c r="R66" s="15">
        <f t="shared" si="25"/>
        <v>73990.895875043236</v>
      </c>
      <c r="S66" s="15">
        <f t="shared" si="25"/>
        <v>81350.025936546735</v>
      </c>
      <c r="T66" s="15">
        <f t="shared" si="25"/>
        <v>88064.33201666642</v>
      </c>
      <c r="U66" s="15">
        <f t="shared" si="25"/>
        <v>94152.759410565719</v>
      </c>
      <c r="V66" s="15">
        <f t="shared" si="25"/>
        <v>99500.644626010209</v>
      </c>
      <c r="W66" s="15">
        <f t="shared" si="25"/>
        <v>103922.46739895083</v>
      </c>
      <c r="X66" s="15">
        <f t="shared" si="25"/>
        <v>107982.02694659308</v>
      </c>
      <c r="Y66" s="15">
        <f t="shared" si="25"/>
        <v>111481.89095106907</v>
      </c>
      <c r="Z66" s="15">
        <f t="shared" si="25"/>
        <v>114465.9459264446</v>
      </c>
      <c r="AA66" s="15">
        <f t="shared" si="25"/>
        <v>117174.82675901242</v>
      </c>
      <c r="AB66" s="15">
        <f t="shared" si="25"/>
        <v>119456.69750915281</v>
      </c>
      <c r="AC66" s="15">
        <f t="shared" si="25"/>
        <v>121423.15531266294</v>
      </c>
      <c r="AD66" s="15">
        <f t="shared" si="25"/>
        <v>123340.93898238055</v>
      </c>
      <c r="AE66" s="15">
        <f t="shared" si="25"/>
        <v>125148.26542575285</v>
      </c>
      <c r="AF66" s="15">
        <f t="shared" si="25"/>
        <v>126692.95673033409</v>
      </c>
      <c r="AG66" s="15">
        <f t="shared" si="25"/>
        <v>128143.37752286345</v>
      </c>
      <c r="AH66" s="15">
        <f t="shared" si="25"/>
        <v>129338.45859711803</v>
      </c>
    </row>
    <row r="67" spans="1:34" ht="15.75" customHeight="1" x14ac:dyDescent="0.3"/>
    <row r="68" spans="1:34" ht="15.75" customHeight="1" x14ac:dyDescent="0.35">
      <c r="A68" s="8" t="s">
        <v>191</v>
      </c>
    </row>
    <row r="69" spans="1:34" ht="15.75" customHeight="1" x14ac:dyDescent="0.35">
      <c r="A69" s="8" t="s">
        <v>192</v>
      </c>
      <c r="B69" s="8">
        <v>7500</v>
      </c>
    </row>
    <row r="70" spans="1:34" ht="15.75" customHeight="1" x14ac:dyDescent="0.35">
      <c r="A70" s="8" t="s">
        <v>193</v>
      </c>
      <c r="B70" s="8">
        <v>5366</v>
      </c>
    </row>
    <row r="71" spans="1:34" ht="15.75" customHeight="1" x14ac:dyDescent="0.3"/>
    <row r="72" spans="1:34" ht="15.75" customHeight="1" x14ac:dyDescent="0.35">
      <c r="A72" s="8" t="s">
        <v>194</v>
      </c>
      <c r="C72" s="8">
        <v>2019</v>
      </c>
      <c r="D72" s="8">
        <v>2020</v>
      </c>
      <c r="E72" s="8">
        <v>2021</v>
      </c>
      <c r="F72" s="8">
        <v>2022</v>
      </c>
      <c r="G72" s="8">
        <v>2023</v>
      </c>
      <c r="H72" s="8">
        <v>2024</v>
      </c>
      <c r="I72" s="8">
        <v>2025</v>
      </c>
      <c r="J72" s="8">
        <v>2026</v>
      </c>
      <c r="K72" s="8">
        <v>2027</v>
      </c>
      <c r="L72" s="8">
        <v>2028</v>
      </c>
      <c r="M72" s="8">
        <v>2029</v>
      </c>
      <c r="N72" s="8">
        <v>2030</v>
      </c>
      <c r="O72" s="8">
        <v>2031</v>
      </c>
      <c r="P72" s="8">
        <v>2032</v>
      </c>
      <c r="Q72" s="8">
        <v>2033</v>
      </c>
      <c r="R72" s="8">
        <v>2034</v>
      </c>
      <c r="S72" s="8">
        <v>2035</v>
      </c>
      <c r="T72" s="8">
        <v>2036</v>
      </c>
      <c r="U72" s="8">
        <v>2037</v>
      </c>
      <c r="V72" s="8">
        <v>2038</v>
      </c>
      <c r="W72" s="8">
        <v>2039</v>
      </c>
      <c r="X72" s="8">
        <v>2040</v>
      </c>
      <c r="Y72" s="8">
        <v>2041</v>
      </c>
      <c r="Z72" s="8">
        <v>2042</v>
      </c>
      <c r="AA72" s="8">
        <v>2043</v>
      </c>
      <c r="AB72" s="8">
        <v>2044</v>
      </c>
      <c r="AC72" s="8">
        <v>2045</v>
      </c>
      <c r="AD72" s="8">
        <v>2046</v>
      </c>
      <c r="AE72" s="8">
        <v>2047</v>
      </c>
      <c r="AF72" s="8">
        <v>2048</v>
      </c>
      <c r="AG72" s="8">
        <v>2049</v>
      </c>
      <c r="AH72" s="8">
        <v>2050</v>
      </c>
    </row>
    <row r="73" spans="1:34" ht="15.75" customHeight="1" x14ac:dyDescent="0.35">
      <c r="A73" s="8" t="s">
        <v>161</v>
      </c>
      <c r="C73" s="8">
        <f t="shared" ref="C73:AH73" si="26">IF(D3&lt;200000,7500,0)</f>
        <v>7500</v>
      </c>
      <c r="D73" s="8">
        <f t="shared" si="26"/>
        <v>7500</v>
      </c>
      <c r="E73" s="8">
        <f t="shared" si="26"/>
        <v>7500</v>
      </c>
      <c r="F73" s="8">
        <f t="shared" si="26"/>
        <v>7500</v>
      </c>
      <c r="G73" s="8">
        <f t="shared" si="26"/>
        <v>7500</v>
      </c>
      <c r="H73" s="8">
        <f t="shared" si="26"/>
        <v>0</v>
      </c>
      <c r="I73" s="8">
        <f t="shared" si="26"/>
        <v>0</v>
      </c>
      <c r="J73" s="8">
        <f t="shared" si="26"/>
        <v>0</v>
      </c>
      <c r="K73" s="8">
        <f t="shared" si="26"/>
        <v>0</v>
      </c>
      <c r="L73" s="8">
        <f t="shared" si="26"/>
        <v>0</v>
      </c>
      <c r="M73" s="8">
        <f t="shared" si="26"/>
        <v>0</v>
      </c>
      <c r="N73" s="8">
        <f t="shared" si="26"/>
        <v>0</v>
      </c>
      <c r="O73" s="8">
        <f t="shared" si="26"/>
        <v>0</v>
      </c>
      <c r="P73" s="8">
        <f t="shared" si="26"/>
        <v>0</v>
      </c>
      <c r="Q73" s="8">
        <f t="shared" si="26"/>
        <v>0</v>
      </c>
      <c r="R73" s="8">
        <f t="shared" si="26"/>
        <v>0</v>
      </c>
      <c r="S73" s="8">
        <f t="shared" si="26"/>
        <v>0</v>
      </c>
      <c r="T73" s="8">
        <f t="shared" si="26"/>
        <v>0</v>
      </c>
      <c r="U73" s="8">
        <f t="shared" si="26"/>
        <v>0</v>
      </c>
      <c r="V73" s="8">
        <f t="shared" si="26"/>
        <v>0</v>
      </c>
      <c r="W73" s="8">
        <f t="shared" si="26"/>
        <v>0</v>
      </c>
      <c r="X73" s="8">
        <f t="shared" si="26"/>
        <v>0</v>
      </c>
      <c r="Y73" s="8">
        <f t="shared" si="26"/>
        <v>0</v>
      </c>
      <c r="Z73" s="8">
        <f t="shared" si="26"/>
        <v>0</v>
      </c>
      <c r="AA73" s="8">
        <f t="shared" si="26"/>
        <v>0</v>
      </c>
      <c r="AB73" s="8">
        <f t="shared" si="26"/>
        <v>0</v>
      </c>
      <c r="AC73" s="8">
        <f t="shared" si="26"/>
        <v>0</v>
      </c>
      <c r="AD73" s="8">
        <f t="shared" si="26"/>
        <v>0</v>
      </c>
      <c r="AE73" s="8">
        <f t="shared" si="26"/>
        <v>0</v>
      </c>
      <c r="AF73" s="8">
        <f t="shared" si="26"/>
        <v>0</v>
      </c>
      <c r="AG73" s="8">
        <f t="shared" si="26"/>
        <v>0</v>
      </c>
      <c r="AH73" s="8">
        <f t="shared" si="26"/>
        <v>0</v>
      </c>
    </row>
    <row r="74" spans="1:34" ht="15.75" customHeight="1" x14ac:dyDescent="0.35">
      <c r="A74" s="8" t="s">
        <v>162</v>
      </c>
      <c r="C74" s="8">
        <f t="shared" ref="C74:AH74" si="27">IF(D4&lt;200000,7500,0)</f>
        <v>7500</v>
      </c>
      <c r="D74" s="8">
        <f t="shared" si="27"/>
        <v>7500</v>
      </c>
      <c r="E74" s="8">
        <f t="shared" si="27"/>
        <v>7500</v>
      </c>
      <c r="F74" s="8">
        <f t="shared" si="27"/>
        <v>7500</v>
      </c>
      <c r="G74" s="8">
        <f t="shared" si="27"/>
        <v>7500</v>
      </c>
      <c r="H74" s="8">
        <f t="shared" si="27"/>
        <v>7500</v>
      </c>
      <c r="I74" s="8">
        <f t="shared" si="27"/>
        <v>7500</v>
      </c>
      <c r="J74" s="8">
        <f t="shared" si="27"/>
        <v>7500</v>
      </c>
      <c r="K74" s="8">
        <f t="shared" si="27"/>
        <v>7500</v>
      </c>
      <c r="L74" s="8">
        <f t="shared" si="27"/>
        <v>7500</v>
      </c>
      <c r="M74" s="8">
        <f t="shared" si="27"/>
        <v>7500</v>
      </c>
      <c r="N74" s="8">
        <f t="shared" si="27"/>
        <v>0</v>
      </c>
      <c r="O74" s="8">
        <f t="shared" si="27"/>
        <v>0</v>
      </c>
      <c r="P74" s="8">
        <f t="shared" si="27"/>
        <v>0</v>
      </c>
      <c r="Q74" s="8">
        <f t="shared" si="27"/>
        <v>0</v>
      </c>
      <c r="R74" s="8">
        <f t="shared" si="27"/>
        <v>0</v>
      </c>
      <c r="S74" s="8">
        <f t="shared" si="27"/>
        <v>0</v>
      </c>
      <c r="T74" s="8">
        <f t="shared" si="27"/>
        <v>0</v>
      </c>
      <c r="U74" s="8">
        <f t="shared" si="27"/>
        <v>0</v>
      </c>
      <c r="V74" s="8">
        <f t="shared" si="27"/>
        <v>0</v>
      </c>
      <c r="W74" s="8">
        <f t="shared" si="27"/>
        <v>0</v>
      </c>
      <c r="X74" s="8">
        <f t="shared" si="27"/>
        <v>0</v>
      </c>
      <c r="Y74" s="8">
        <f t="shared" si="27"/>
        <v>0</v>
      </c>
      <c r="Z74" s="8">
        <f t="shared" si="27"/>
        <v>0</v>
      </c>
      <c r="AA74" s="8">
        <f t="shared" si="27"/>
        <v>0</v>
      </c>
      <c r="AB74" s="8">
        <f t="shared" si="27"/>
        <v>0</v>
      </c>
      <c r="AC74" s="8">
        <f t="shared" si="27"/>
        <v>0</v>
      </c>
      <c r="AD74" s="8">
        <f t="shared" si="27"/>
        <v>0</v>
      </c>
      <c r="AE74" s="8">
        <f t="shared" si="27"/>
        <v>0</v>
      </c>
      <c r="AF74" s="8">
        <f t="shared" si="27"/>
        <v>0</v>
      </c>
      <c r="AG74" s="8">
        <f t="shared" si="27"/>
        <v>0</v>
      </c>
      <c r="AH74" s="8">
        <f t="shared" si="27"/>
        <v>0</v>
      </c>
    </row>
    <row r="75" spans="1:34" ht="15.75" customHeight="1" x14ac:dyDescent="0.35">
      <c r="A75" s="8" t="s">
        <v>163</v>
      </c>
      <c r="C75" s="8">
        <f t="shared" ref="C75:AH75" si="28">IF(D5&lt;200000,7500,0)</f>
        <v>7500</v>
      </c>
      <c r="D75" s="8">
        <f t="shared" si="28"/>
        <v>7500</v>
      </c>
      <c r="E75" s="8">
        <f t="shared" si="28"/>
        <v>7500</v>
      </c>
      <c r="F75" s="8">
        <f t="shared" si="28"/>
        <v>7500</v>
      </c>
      <c r="G75" s="8">
        <f t="shared" si="28"/>
        <v>0</v>
      </c>
      <c r="H75" s="8">
        <f t="shared" si="28"/>
        <v>0</v>
      </c>
      <c r="I75" s="8">
        <f t="shared" si="28"/>
        <v>0</v>
      </c>
      <c r="J75" s="8">
        <f t="shared" si="28"/>
        <v>0</v>
      </c>
      <c r="K75" s="8">
        <f t="shared" si="28"/>
        <v>0</v>
      </c>
      <c r="L75" s="8">
        <f t="shared" si="28"/>
        <v>0</v>
      </c>
      <c r="M75" s="8">
        <f t="shared" si="28"/>
        <v>0</v>
      </c>
      <c r="N75" s="8">
        <f t="shared" si="28"/>
        <v>0</v>
      </c>
      <c r="O75" s="8">
        <f t="shared" si="28"/>
        <v>0</v>
      </c>
      <c r="P75" s="8">
        <f t="shared" si="28"/>
        <v>0</v>
      </c>
      <c r="Q75" s="8">
        <f t="shared" si="28"/>
        <v>0</v>
      </c>
      <c r="R75" s="8">
        <f t="shared" si="28"/>
        <v>0</v>
      </c>
      <c r="S75" s="8">
        <f t="shared" si="28"/>
        <v>0</v>
      </c>
      <c r="T75" s="8">
        <f t="shared" si="28"/>
        <v>0</v>
      </c>
      <c r="U75" s="8">
        <f t="shared" si="28"/>
        <v>0</v>
      </c>
      <c r="V75" s="8">
        <f t="shared" si="28"/>
        <v>0</v>
      </c>
      <c r="W75" s="8">
        <f t="shared" si="28"/>
        <v>0</v>
      </c>
      <c r="X75" s="8">
        <f t="shared" si="28"/>
        <v>0</v>
      </c>
      <c r="Y75" s="8">
        <f t="shared" si="28"/>
        <v>0</v>
      </c>
      <c r="Z75" s="8">
        <f t="shared" si="28"/>
        <v>0</v>
      </c>
      <c r="AA75" s="8">
        <f t="shared" si="28"/>
        <v>0</v>
      </c>
      <c r="AB75" s="8">
        <f t="shared" si="28"/>
        <v>0</v>
      </c>
      <c r="AC75" s="8">
        <f t="shared" si="28"/>
        <v>0</v>
      </c>
      <c r="AD75" s="8">
        <f t="shared" si="28"/>
        <v>0</v>
      </c>
      <c r="AE75" s="8">
        <f t="shared" si="28"/>
        <v>0</v>
      </c>
      <c r="AF75" s="8">
        <f t="shared" si="28"/>
        <v>0</v>
      </c>
      <c r="AG75" s="8">
        <f t="shared" si="28"/>
        <v>0</v>
      </c>
      <c r="AH75" s="8">
        <f t="shared" si="28"/>
        <v>0</v>
      </c>
    </row>
    <row r="76" spans="1:34" ht="15.75" customHeight="1" x14ac:dyDescent="0.35">
      <c r="A76" s="8" t="s">
        <v>164</v>
      </c>
      <c r="C76" s="8">
        <f t="shared" ref="C76:AH76" si="29">IF(D6&lt;200000,7500,0)</f>
        <v>7500</v>
      </c>
      <c r="D76" s="8">
        <f t="shared" si="29"/>
        <v>7500</v>
      </c>
      <c r="E76" s="8">
        <f t="shared" si="29"/>
        <v>7500</v>
      </c>
      <c r="F76" s="8">
        <f t="shared" si="29"/>
        <v>7500</v>
      </c>
      <c r="G76" s="8">
        <f t="shared" si="29"/>
        <v>7500</v>
      </c>
      <c r="H76" s="8">
        <f t="shared" si="29"/>
        <v>7500</v>
      </c>
      <c r="I76" s="8">
        <f t="shared" si="29"/>
        <v>7500</v>
      </c>
      <c r="J76" s="8">
        <f t="shared" si="29"/>
        <v>7500</v>
      </c>
      <c r="K76" s="8">
        <f t="shared" si="29"/>
        <v>7500</v>
      </c>
      <c r="L76" s="8">
        <f t="shared" si="29"/>
        <v>7500</v>
      </c>
      <c r="M76" s="8">
        <f t="shared" si="29"/>
        <v>7500</v>
      </c>
      <c r="N76" s="8">
        <f t="shared" si="29"/>
        <v>7500</v>
      </c>
      <c r="O76" s="8">
        <f t="shared" si="29"/>
        <v>7500</v>
      </c>
      <c r="P76" s="8">
        <f t="shared" si="29"/>
        <v>7500</v>
      </c>
      <c r="Q76" s="8">
        <f t="shared" si="29"/>
        <v>7500</v>
      </c>
      <c r="R76" s="8">
        <f t="shared" si="29"/>
        <v>7500</v>
      </c>
      <c r="S76" s="8">
        <f t="shared" si="29"/>
        <v>7500</v>
      </c>
      <c r="T76" s="8">
        <f t="shared" si="29"/>
        <v>7500</v>
      </c>
      <c r="U76" s="8">
        <f t="shared" si="29"/>
        <v>7500</v>
      </c>
      <c r="V76" s="8">
        <f t="shared" si="29"/>
        <v>0</v>
      </c>
      <c r="W76" s="8">
        <f t="shared" si="29"/>
        <v>0</v>
      </c>
      <c r="X76" s="8">
        <f t="shared" si="29"/>
        <v>0</v>
      </c>
      <c r="Y76" s="8">
        <f t="shared" si="29"/>
        <v>0</v>
      </c>
      <c r="Z76" s="8">
        <f t="shared" si="29"/>
        <v>0</v>
      </c>
      <c r="AA76" s="8">
        <f t="shared" si="29"/>
        <v>0</v>
      </c>
      <c r="AB76" s="8">
        <f t="shared" si="29"/>
        <v>0</v>
      </c>
      <c r="AC76" s="8">
        <f t="shared" si="29"/>
        <v>0</v>
      </c>
      <c r="AD76" s="8">
        <f t="shared" si="29"/>
        <v>0</v>
      </c>
      <c r="AE76" s="8">
        <f t="shared" si="29"/>
        <v>0</v>
      </c>
      <c r="AF76" s="8">
        <f t="shared" si="29"/>
        <v>0</v>
      </c>
      <c r="AG76" s="8">
        <f t="shared" si="29"/>
        <v>0</v>
      </c>
      <c r="AH76" s="8">
        <f t="shared" si="29"/>
        <v>0</v>
      </c>
    </row>
    <row r="77" spans="1:34" ht="15.75" customHeight="1" x14ac:dyDescent="0.35">
      <c r="A77" s="8" t="s">
        <v>165</v>
      </c>
      <c r="C77" s="8">
        <f t="shared" ref="C77:AH77" si="30">IF(D7&lt;200000,7500,0)</f>
        <v>7500</v>
      </c>
      <c r="D77" s="8">
        <f t="shared" si="30"/>
        <v>7500</v>
      </c>
      <c r="E77" s="8">
        <f t="shared" si="30"/>
        <v>7500</v>
      </c>
      <c r="F77" s="8">
        <f t="shared" si="30"/>
        <v>7500</v>
      </c>
      <c r="G77" s="8">
        <f t="shared" si="30"/>
        <v>7500</v>
      </c>
      <c r="H77" s="8">
        <f t="shared" si="30"/>
        <v>7500</v>
      </c>
      <c r="I77" s="8">
        <f t="shared" si="30"/>
        <v>0</v>
      </c>
      <c r="J77" s="8">
        <f t="shared" si="30"/>
        <v>0</v>
      </c>
      <c r="K77" s="8">
        <f t="shared" si="30"/>
        <v>0</v>
      </c>
      <c r="L77" s="8">
        <f t="shared" si="30"/>
        <v>0</v>
      </c>
      <c r="M77" s="8">
        <f t="shared" si="30"/>
        <v>0</v>
      </c>
      <c r="N77" s="8">
        <f t="shared" si="30"/>
        <v>0</v>
      </c>
      <c r="O77" s="8">
        <f t="shared" si="30"/>
        <v>0</v>
      </c>
      <c r="P77" s="8">
        <f t="shared" si="30"/>
        <v>0</v>
      </c>
      <c r="Q77" s="8">
        <f t="shared" si="30"/>
        <v>0</v>
      </c>
      <c r="R77" s="8">
        <f t="shared" si="30"/>
        <v>0</v>
      </c>
      <c r="S77" s="8">
        <f t="shared" si="30"/>
        <v>0</v>
      </c>
      <c r="T77" s="8">
        <f t="shared" si="30"/>
        <v>0</v>
      </c>
      <c r="U77" s="8">
        <f t="shared" si="30"/>
        <v>0</v>
      </c>
      <c r="V77" s="8">
        <f t="shared" si="30"/>
        <v>0</v>
      </c>
      <c r="W77" s="8">
        <f t="shared" si="30"/>
        <v>0</v>
      </c>
      <c r="X77" s="8">
        <f t="shared" si="30"/>
        <v>0</v>
      </c>
      <c r="Y77" s="8">
        <f t="shared" si="30"/>
        <v>0</v>
      </c>
      <c r="Z77" s="8">
        <f t="shared" si="30"/>
        <v>0</v>
      </c>
      <c r="AA77" s="8">
        <f t="shared" si="30"/>
        <v>0</v>
      </c>
      <c r="AB77" s="8">
        <f t="shared" si="30"/>
        <v>0</v>
      </c>
      <c r="AC77" s="8">
        <f t="shared" si="30"/>
        <v>0</v>
      </c>
      <c r="AD77" s="8">
        <f t="shared" si="30"/>
        <v>0</v>
      </c>
      <c r="AE77" s="8">
        <f t="shared" si="30"/>
        <v>0</v>
      </c>
      <c r="AF77" s="8">
        <f t="shared" si="30"/>
        <v>0</v>
      </c>
      <c r="AG77" s="8">
        <f t="shared" si="30"/>
        <v>0</v>
      </c>
      <c r="AH77" s="8">
        <f t="shared" si="30"/>
        <v>0</v>
      </c>
    </row>
    <row r="78" spans="1:34" ht="15.75" customHeight="1" x14ac:dyDescent="0.35">
      <c r="A78" s="8" t="s">
        <v>166</v>
      </c>
      <c r="C78" s="8">
        <f t="shared" ref="C78:AH78" si="31">IF(D8&lt;200000,7500,0)</f>
        <v>0</v>
      </c>
      <c r="D78" s="8">
        <f t="shared" si="31"/>
        <v>0</v>
      </c>
      <c r="E78" s="8">
        <f t="shared" si="31"/>
        <v>0</v>
      </c>
      <c r="F78" s="8">
        <f t="shared" si="31"/>
        <v>0</v>
      </c>
      <c r="G78" s="8">
        <f t="shared" si="31"/>
        <v>0</v>
      </c>
      <c r="H78" s="8">
        <f t="shared" si="31"/>
        <v>0</v>
      </c>
      <c r="I78" s="8">
        <f t="shared" si="31"/>
        <v>0</v>
      </c>
      <c r="J78" s="8">
        <f t="shared" si="31"/>
        <v>0</v>
      </c>
      <c r="K78" s="8">
        <f t="shared" si="31"/>
        <v>0</v>
      </c>
      <c r="L78" s="8">
        <f t="shared" si="31"/>
        <v>0</v>
      </c>
      <c r="M78" s="8">
        <f t="shared" si="31"/>
        <v>0</v>
      </c>
      <c r="N78" s="8">
        <f t="shared" si="31"/>
        <v>0</v>
      </c>
      <c r="O78" s="8">
        <f t="shared" si="31"/>
        <v>0</v>
      </c>
      <c r="P78" s="8">
        <f t="shared" si="31"/>
        <v>0</v>
      </c>
      <c r="Q78" s="8">
        <f t="shared" si="31"/>
        <v>0</v>
      </c>
      <c r="R78" s="8">
        <f t="shared" si="31"/>
        <v>0</v>
      </c>
      <c r="S78" s="8">
        <f t="shared" si="31"/>
        <v>0</v>
      </c>
      <c r="T78" s="8">
        <f t="shared" si="31"/>
        <v>0</v>
      </c>
      <c r="U78" s="8">
        <f t="shared" si="31"/>
        <v>0</v>
      </c>
      <c r="V78" s="8">
        <f t="shared" si="31"/>
        <v>0</v>
      </c>
      <c r="W78" s="8">
        <f t="shared" si="31"/>
        <v>0</v>
      </c>
      <c r="X78" s="8">
        <f t="shared" si="31"/>
        <v>0</v>
      </c>
      <c r="Y78" s="8">
        <f t="shared" si="31"/>
        <v>0</v>
      </c>
      <c r="Z78" s="8">
        <f t="shared" si="31"/>
        <v>0</v>
      </c>
      <c r="AA78" s="8">
        <f t="shared" si="31"/>
        <v>0</v>
      </c>
      <c r="AB78" s="8">
        <f t="shared" si="31"/>
        <v>0</v>
      </c>
      <c r="AC78" s="8">
        <f t="shared" si="31"/>
        <v>0</v>
      </c>
      <c r="AD78" s="8">
        <f t="shared" si="31"/>
        <v>0</v>
      </c>
      <c r="AE78" s="8">
        <f t="shared" si="31"/>
        <v>0</v>
      </c>
      <c r="AF78" s="8">
        <f t="shared" si="31"/>
        <v>0</v>
      </c>
      <c r="AG78" s="8">
        <f t="shared" si="31"/>
        <v>0</v>
      </c>
      <c r="AH78" s="8">
        <f t="shared" si="31"/>
        <v>0</v>
      </c>
    </row>
    <row r="79" spans="1:34" ht="15.75" customHeight="1" x14ac:dyDescent="0.35">
      <c r="A79" s="8" t="s">
        <v>167</v>
      </c>
      <c r="C79" s="8">
        <f t="shared" ref="C79:AH79" si="32">IF(D9&lt;200000,7500,0)</f>
        <v>7500</v>
      </c>
      <c r="D79" s="8">
        <f t="shared" si="32"/>
        <v>7500</v>
      </c>
      <c r="E79" s="8">
        <f t="shared" si="32"/>
        <v>7500</v>
      </c>
      <c r="F79" s="8">
        <f t="shared" si="32"/>
        <v>7500</v>
      </c>
      <c r="G79" s="8">
        <f t="shared" si="32"/>
        <v>7500</v>
      </c>
      <c r="H79" s="8">
        <f t="shared" si="32"/>
        <v>7500</v>
      </c>
      <c r="I79" s="8">
        <f t="shared" si="32"/>
        <v>7500</v>
      </c>
      <c r="J79" s="8">
        <f t="shared" si="32"/>
        <v>7500</v>
      </c>
      <c r="K79" s="8">
        <f t="shared" si="32"/>
        <v>7500</v>
      </c>
      <c r="L79" s="8">
        <f t="shared" si="32"/>
        <v>7500</v>
      </c>
      <c r="M79" s="8">
        <f t="shared" si="32"/>
        <v>7500</v>
      </c>
      <c r="N79" s="8">
        <f t="shared" si="32"/>
        <v>7500</v>
      </c>
      <c r="O79" s="8">
        <f t="shared" si="32"/>
        <v>0</v>
      </c>
      <c r="P79" s="8">
        <f t="shared" si="32"/>
        <v>0</v>
      </c>
      <c r="Q79" s="8">
        <f t="shared" si="32"/>
        <v>0</v>
      </c>
      <c r="R79" s="8">
        <f t="shared" si="32"/>
        <v>0</v>
      </c>
      <c r="S79" s="8">
        <f t="shared" si="32"/>
        <v>0</v>
      </c>
      <c r="T79" s="8">
        <f t="shared" si="32"/>
        <v>0</v>
      </c>
      <c r="U79" s="8">
        <f t="shared" si="32"/>
        <v>0</v>
      </c>
      <c r="V79" s="8">
        <f t="shared" si="32"/>
        <v>0</v>
      </c>
      <c r="W79" s="8">
        <f t="shared" si="32"/>
        <v>0</v>
      </c>
      <c r="X79" s="8">
        <f t="shared" si="32"/>
        <v>0</v>
      </c>
      <c r="Y79" s="8">
        <f t="shared" si="32"/>
        <v>0</v>
      </c>
      <c r="Z79" s="8">
        <f t="shared" si="32"/>
        <v>0</v>
      </c>
      <c r="AA79" s="8">
        <f t="shared" si="32"/>
        <v>0</v>
      </c>
      <c r="AB79" s="8">
        <f t="shared" si="32"/>
        <v>0</v>
      </c>
      <c r="AC79" s="8">
        <f t="shared" si="32"/>
        <v>0</v>
      </c>
      <c r="AD79" s="8">
        <f t="shared" si="32"/>
        <v>0</v>
      </c>
      <c r="AE79" s="8">
        <f t="shared" si="32"/>
        <v>0</v>
      </c>
      <c r="AF79" s="8">
        <f t="shared" si="32"/>
        <v>0</v>
      </c>
      <c r="AG79" s="8">
        <f t="shared" si="32"/>
        <v>0</v>
      </c>
      <c r="AH79" s="8">
        <f t="shared" si="32"/>
        <v>0</v>
      </c>
    </row>
    <row r="80" spans="1:34" ht="15.75" customHeight="1" x14ac:dyDescent="0.35">
      <c r="A80" s="8" t="s">
        <v>168</v>
      </c>
      <c r="C80" s="8">
        <f t="shared" ref="C80:AH80" si="33">IF(D10&lt;200000,7500,0)</f>
        <v>7500</v>
      </c>
      <c r="D80" s="8">
        <f t="shared" si="33"/>
        <v>7500</v>
      </c>
      <c r="E80" s="8">
        <f t="shared" si="33"/>
        <v>7500</v>
      </c>
      <c r="F80" s="8">
        <f t="shared" si="33"/>
        <v>7500</v>
      </c>
      <c r="G80" s="8">
        <f t="shared" si="33"/>
        <v>7500</v>
      </c>
      <c r="H80" s="8">
        <f t="shared" si="33"/>
        <v>7500</v>
      </c>
      <c r="I80" s="8">
        <f t="shared" si="33"/>
        <v>7500</v>
      </c>
      <c r="J80" s="8">
        <f t="shared" si="33"/>
        <v>7500</v>
      </c>
      <c r="K80" s="8">
        <f t="shared" si="33"/>
        <v>7500</v>
      </c>
      <c r="L80" s="8">
        <f t="shared" si="33"/>
        <v>7500</v>
      </c>
      <c r="M80" s="8">
        <f t="shared" si="33"/>
        <v>0</v>
      </c>
      <c r="N80" s="8">
        <f t="shared" si="33"/>
        <v>0</v>
      </c>
      <c r="O80" s="8">
        <f t="shared" si="33"/>
        <v>0</v>
      </c>
      <c r="P80" s="8">
        <f t="shared" si="33"/>
        <v>0</v>
      </c>
      <c r="Q80" s="8">
        <f t="shared" si="33"/>
        <v>0</v>
      </c>
      <c r="R80" s="8">
        <f t="shared" si="33"/>
        <v>0</v>
      </c>
      <c r="S80" s="8">
        <f t="shared" si="33"/>
        <v>0</v>
      </c>
      <c r="T80" s="8">
        <f t="shared" si="33"/>
        <v>0</v>
      </c>
      <c r="U80" s="8">
        <f t="shared" si="33"/>
        <v>0</v>
      </c>
      <c r="V80" s="8">
        <f t="shared" si="33"/>
        <v>0</v>
      </c>
      <c r="W80" s="8">
        <f t="shared" si="33"/>
        <v>0</v>
      </c>
      <c r="X80" s="8">
        <f t="shared" si="33"/>
        <v>0</v>
      </c>
      <c r="Y80" s="8">
        <f t="shared" si="33"/>
        <v>0</v>
      </c>
      <c r="Z80" s="8">
        <f t="shared" si="33"/>
        <v>0</v>
      </c>
      <c r="AA80" s="8">
        <f t="shared" si="33"/>
        <v>0</v>
      </c>
      <c r="AB80" s="8">
        <f t="shared" si="33"/>
        <v>0</v>
      </c>
      <c r="AC80" s="8">
        <f t="shared" si="33"/>
        <v>0</v>
      </c>
      <c r="AD80" s="8">
        <f t="shared" si="33"/>
        <v>0</v>
      </c>
      <c r="AE80" s="8">
        <f t="shared" si="33"/>
        <v>0</v>
      </c>
      <c r="AF80" s="8">
        <f t="shared" si="33"/>
        <v>0</v>
      </c>
      <c r="AG80" s="8">
        <f t="shared" si="33"/>
        <v>0</v>
      </c>
      <c r="AH80" s="8">
        <f t="shared" si="33"/>
        <v>0</v>
      </c>
    </row>
    <row r="81" spans="1:34" ht="15.75" customHeight="1" x14ac:dyDescent="0.35">
      <c r="A81" s="8" t="s">
        <v>169</v>
      </c>
      <c r="C81" s="8">
        <f t="shared" ref="C81:AH81" si="34">IF(D11&lt;200000,7500,0)</f>
        <v>7500</v>
      </c>
      <c r="D81" s="8">
        <f t="shared" si="34"/>
        <v>7500</v>
      </c>
      <c r="E81" s="8">
        <f t="shared" si="34"/>
        <v>7500</v>
      </c>
      <c r="F81" s="8">
        <f t="shared" si="34"/>
        <v>7500</v>
      </c>
      <c r="G81" s="8">
        <f t="shared" si="34"/>
        <v>7500</v>
      </c>
      <c r="H81" s="8">
        <f t="shared" si="34"/>
        <v>7500</v>
      </c>
      <c r="I81" s="8">
        <f t="shared" si="34"/>
        <v>7500</v>
      </c>
      <c r="J81" s="8">
        <f t="shared" si="34"/>
        <v>7500</v>
      </c>
      <c r="K81" s="8">
        <f t="shared" si="34"/>
        <v>0</v>
      </c>
      <c r="L81" s="8">
        <f t="shared" si="34"/>
        <v>0</v>
      </c>
      <c r="M81" s="8">
        <f t="shared" si="34"/>
        <v>0</v>
      </c>
      <c r="N81" s="8">
        <f t="shared" si="34"/>
        <v>0</v>
      </c>
      <c r="O81" s="8">
        <f t="shared" si="34"/>
        <v>0</v>
      </c>
      <c r="P81" s="8">
        <f t="shared" si="34"/>
        <v>0</v>
      </c>
      <c r="Q81" s="8">
        <f t="shared" si="34"/>
        <v>0</v>
      </c>
      <c r="R81" s="8">
        <f t="shared" si="34"/>
        <v>0</v>
      </c>
      <c r="S81" s="8">
        <f t="shared" si="34"/>
        <v>0</v>
      </c>
      <c r="T81" s="8">
        <f t="shared" si="34"/>
        <v>0</v>
      </c>
      <c r="U81" s="8">
        <f t="shared" si="34"/>
        <v>0</v>
      </c>
      <c r="V81" s="8">
        <f t="shared" si="34"/>
        <v>0</v>
      </c>
      <c r="W81" s="8">
        <f t="shared" si="34"/>
        <v>0</v>
      </c>
      <c r="X81" s="8">
        <f t="shared" si="34"/>
        <v>0</v>
      </c>
      <c r="Y81" s="8">
        <f t="shared" si="34"/>
        <v>0</v>
      </c>
      <c r="Z81" s="8">
        <f t="shared" si="34"/>
        <v>0</v>
      </c>
      <c r="AA81" s="8">
        <f t="shared" si="34"/>
        <v>0</v>
      </c>
      <c r="AB81" s="8">
        <f t="shared" si="34"/>
        <v>0</v>
      </c>
      <c r="AC81" s="8">
        <f t="shared" si="34"/>
        <v>0</v>
      </c>
      <c r="AD81" s="8">
        <f t="shared" si="34"/>
        <v>0</v>
      </c>
      <c r="AE81" s="8">
        <f t="shared" si="34"/>
        <v>0</v>
      </c>
      <c r="AF81" s="8">
        <f t="shared" si="34"/>
        <v>0</v>
      </c>
      <c r="AG81" s="8">
        <f t="shared" si="34"/>
        <v>0</v>
      </c>
      <c r="AH81" s="8">
        <f t="shared" si="34"/>
        <v>0</v>
      </c>
    </row>
    <row r="82" spans="1:34" ht="15.75" customHeight="1" x14ac:dyDescent="0.35">
      <c r="A82" s="8" t="s">
        <v>170</v>
      </c>
      <c r="C82" s="8">
        <f t="shared" ref="C82:AH82" si="35">IF(D12&lt;200000,7500,0)</f>
        <v>7500</v>
      </c>
      <c r="D82" s="8">
        <f t="shared" si="35"/>
        <v>7500</v>
      </c>
      <c r="E82" s="8">
        <f t="shared" si="35"/>
        <v>7500</v>
      </c>
      <c r="F82" s="8">
        <f t="shared" si="35"/>
        <v>7500</v>
      </c>
      <c r="G82" s="8">
        <f t="shared" si="35"/>
        <v>7500</v>
      </c>
      <c r="H82" s="8">
        <f t="shared" si="35"/>
        <v>7500</v>
      </c>
      <c r="I82" s="8">
        <f t="shared" si="35"/>
        <v>7500</v>
      </c>
      <c r="J82" s="8">
        <f t="shared" si="35"/>
        <v>7500</v>
      </c>
      <c r="K82" s="8">
        <f t="shared" si="35"/>
        <v>7500</v>
      </c>
      <c r="L82" s="8">
        <f t="shared" si="35"/>
        <v>7500</v>
      </c>
      <c r="M82" s="8">
        <f t="shared" si="35"/>
        <v>7500</v>
      </c>
      <c r="N82" s="8">
        <f t="shared" si="35"/>
        <v>7500</v>
      </c>
      <c r="O82" s="8">
        <f t="shared" si="35"/>
        <v>0</v>
      </c>
      <c r="P82" s="8">
        <f t="shared" si="35"/>
        <v>0</v>
      </c>
      <c r="Q82" s="8">
        <f t="shared" si="35"/>
        <v>0</v>
      </c>
      <c r="R82" s="8">
        <f t="shared" si="35"/>
        <v>0</v>
      </c>
      <c r="S82" s="8">
        <f t="shared" si="35"/>
        <v>0</v>
      </c>
      <c r="T82" s="8">
        <f t="shared" si="35"/>
        <v>0</v>
      </c>
      <c r="U82" s="8">
        <f t="shared" si="35"/>
        <v>0</v>
      </c>
      <c r="V82" s="8">
        <f t="shared" si="35"/>
        <v>0</v>
      </c>
      <c r="W82" s="8">
        <f t="shared" si="35"/>
        <v>0</v>
      </c>
      <c r="X82" s="8">
        <f t="shared" si="35"/>
        <v>0</v>
      </c>
      <c r="Y82" s="8">
        <f t="shared" si="35"/>
        <v>0</v>
      </c>
      <c r="Z82" s="8">
        <f t="shared" si="35"/>
        <v>0</v>
      </c>
      <c r="AA82" s="8">
        <f t="shared" si="35"/>
        <v>0</v>
      </c>
      <c r="AB82" s="8">
        <f t="shared" si="35"/>
        <v>0</v>
      </c>
      <c r="AC82" s="8">
        <f t="shared" si="35"/>
        <v>0</v>
      </c>
      <c r="AD82" s="8">
        <f t="shared" si="35"/>
        <v>0</v>
      </c>
      <c r="AE82" s="8">
        <f t="shared" si="35"/>
        <v>0</v>
      </c>
      <c r="AF82" s="8">
        <f t="shared" si="35"/>
        <v>0</v>
      </c>
      <c r="AG82" s="8">
        <f t="shared" si="35"/>
        <v>0</v>
      </c>
      <c r="AH82" s="8">
        <f t="shared" si="35"/>
        <v>0</v>
      </c>
    </row>
    <row r="83" spans="1:34" ht="15.75" customHeight="1" x14ac:dyDescent="0.35">
      <c r="A83" s="8" t="s">
        <v>171</v>
      </c>
      <c r="C83" s="8">
        <f t="shared" ref="C83:AH83" si="36">IF(D13&lt;200000,7500,0)</f>
        <v>7500</v>
      </c>
      <c r="D83" s="8">
        <f t="shared" si="36"/>
        <v>7500</v>
      </c>
      <c r="E83" s="8">
        <f t="shared" si="36"/>
        <v>7500</v>
      </c>
      <c r="F83" s="8">
        <f t="shared" si="36"/>
        <v>0</v>
      </c>
      <c r="G83" s="8">
        <f t="shared" si="36"/>
        <v>0</v>
      </c>
      <c r="H83" s="8">
        <f t="shared" si="36"/>
        <v>0</v>
      </c>
      <c r="I83" s="8">
        <f t="shared" si="36"/>
        <v>0</v>
      </c>
      <c r="J83" s="8">
        <f t="shared" si="36"/>
        <v>0</v>
      </c>
      <c r="K83" s="8">
        <f t="shared" si="36"/>
        <v>0</v>
      </c>
      <c r="L83" s="8">
        <f t="shared" si="36"/>
        <v>0</v>
      </c>
      <c r="M83" s="8">
        <f t="shared" si="36"/>
        <v>0</v>
      </c>
      <c r="N83" s="8">
        <f t="shared" si="36"/>
        <v>0</v>
      </c>
      <c r="O83" s="8">
        <f t="shared" si="36"/>
        <v>0</v>
      </c>
      <c r="P83" s="8">
        <f t="shared" si="36"/>
        <v>0</v>
      </c>
      <c r="Q83" s="8">
        <f t="shared" si="36"/>
        <v>0</v>
      </c>
      <c r="R83" s="8">
        <f t="shared" si="36"/>
        <v>0</v>
      </c>
      <c r="S83" s="8">
        <f t="shared" si="36"/>
        <v>0</v>
      </c>
      <c r="T83" s="8">
        <f t="shared" si="36"/>
        <v>0</v>
      </c>
      <c r="U83" s="8">
        <f t="shared" si="36"/>
        <v>0</v>
      </c>
      <c r="V83" s="8">
        <f t="shared" si="36"/>
        <v>0</v>
      </c>
      <c r="W83" s="8">
        <f t="shared" si="36"/>
        <v>0</v>
      </c>
      <c r="X83" s="8">
        <f t="shared" si="36"/>
        <v>0</v>
      </c>
      <c r="Y83" s="8">
        <f t="shared" si="36"/>
        <v>0</v>
      </c>
      <c r="Z83" s="8">
        <f t="shared" si="36"/>
        <v>0</v>
      </c>
      <c r="AA83" s="8">
        <f t="shared" si="36"/>
        <v>0</v>
      </c>
      <c r="AB83" s="8">
        <f t="shared" si="36"/>
        <v>0</v>
      </c>
      <c r="AC83" s="8">
        <f t="shared" si="36"/>
        <v>0</v>
      </c>
      <c r="AD83" s="8">
        <f t="shared" si="36"/>
        <v>0</v>
      </c>
      <c r="AE83" s="8">
        <f t="shared" si="36"/>
        <v>0</v>
      </c>
      <c r="AF83" s="8">
        <f t="shared" si="36"/>
        <v>0</v>
      </c>
      <c r="AG83" s="8">
        <f t="shared" si="36"/>
        <v>0</v>
      </c>
      <c r="AH83" s="8">
        <f t="shared" si="36"/>
        <v>0</v>
      </c>
    </row>
    <row r="84" spans="1:34" ht="15.75" customHeight="1" x14ac:dyDescent="0.35">
      <c r="A84" s="8" t="s">
        <v>172</v>
      </c>
      <c r="C84" s="8">
        <f t="shared" ref="C84:AH84" si="37">IF(D14&lt;200000,7500,0)</f>
        <v>7500</v>
      </c>
      <c r="D84" s="8">
        <f t="shared" si="37"/>
        <v>7500</v>
      </c>
      <c r="E84" s="8">
        <f t="shared" si="37"/>
        <v>7500</v>
      </c>
      <c r="F84" s="8">
        <f t="shared" si="37"/>
        <v>7500</v>
      </c>
      <c r="G84" s="8">
        <f t="shared" si="37"/>
        <v>7500</v>
      </c>
      <c r="H84" s="8">
        <f t="shared" si="37"/>
        <v>7500</v>
      </c>
      <c r="I84" s="8">
        <f t="shared" si="37"/>
        <v>7500</v>
      </c>
      <c r="J84" s="8">
        <f t="shared" si="37"/>
        <v>7500</v>
      </c>
      <c r="K84" s="8">
        <f t="shared" si="37"/>
        <v>7500</v>
      </c>
      <c r="L84" s="8">
        <f t="shared" si="37"/>
        <v>7500</v>
      </c>
      <c r="M84" s="8">
        <f t="shared" si="37"/>
        <v>7500</v>
      </c>
      <c r="N84" s="8">
        <f t="shared" si="37"/>
        <v>0</v>
      </c>
      <c r="O84" s="8">
        <f t="shared" si="37"/>
        <v>0</v>
      </c>
      <c r="P84" s="8">
        <f t="shared" si="37"/>
        <v>0</v>
      </c>
      <c r="Q84" s="8">
        <f t="shared" si="37"/>
        <v>0</v>
      </c>
      <c r="R84" s="8">
        <f t="shared" si="37"/>
        <v>0</v>
      </c>
      <c r="S84" s="8">
        <f t="shared" si="37"/>
        <v>0</v>
      </c>
      <c r="T84" s="8">
        <f t="shared" si="37"/>
        <v>0</v>
      </c>
      <c r="U84" s="8">
        <f t="shared" si="37"/>
        <v>0</v>
      </c>
      <c r="V84" s="8">
        <f t="shared" si="37"/>
        <v>0</v>
      </c>
      <c r="W84" s="8">
        <f t="shared" si="37"/>
        <v>0</v>
      </c>
      <c r="X84" s="8">
        <f t="shared" si="37"/>
        <v>0</v>
      </c>
      <c r="Y84" s="8">
        <f t="shared" si="37"/>
        <v>0</v>
      </c>
      <c r="Z84" s="8">
        <f t="shared" si="37"/>
        <v>0</v>
      </c>
      <c r="AA84" s="8">
        <f t="shared" si="37"/>
        <v>0</v>
      </c>
      <c r="AB84" s="8">
        <f t="shared" si="37"/>
        <v>0</v>
      </c>
      <c r="AC84" s="8">
        <f t="shared" si="37"/>
        <v>0</v>
      </c>
      <c r="AD84" s="8">
        <f t="shared" si="37"/>
        <v>0</v>
      </c>
      <c r="AE84" s="8">
        <f t="shared" si="37"/>
        <v>0</v>
      </c>
      <c r="AF84" s="8">
        <f t="shared" si="37"/>
        <v>0</v>
      </c>
      <c r="AG84" s="8">
        <f t="shared" si="37"/>
        <v>0</v>
      </c>
      <c r="AH84" s="8">
        <f t="shared" si="37"/>
        <v>0</v>
      </c>
    </row>
    <row r="85" spans="1:34" ht="15.75" customHeight="1" x14ac:dyDescent="0.35">
      <c r="A85" s="8" t="s">
        <v>173</v>
      </c>
      <c r="C85" s="8">
        <f t="shared" ref="C85:AH85" si="38">IF(D15&lt;200000,7500,0)</f>
        <v>0</v>
      </c>
      <c r="D85" s="8">
        <f t="shared" si="38"/>
        <v>0</v>
      </c>
      <c r="E85" s="8">
        <f t="shared" si="38"/>
        <v>0</v>
      </c>
      <c r="F85" s="8">
        <f t="shared" si="38"/>
        <v>0</v>
      </c>
      <c r="G85" s="8">
        <f t="shared" si="38"/>
        <v>0</v>
      </c>
      <c r="H85" s="8">
        <f t="shared" si="38"/>
        <v>0</v>
      </c>
      <c r="I85" s="8">
        <f t="shared" si="38"/>
        <v>0</v>
      </c>
      <c r="J85" s="8">
        <f t="shared" si="38"/>
        <v>0</v>
      </c>
      <c r="K85" s="8">
        <f t="shared" si="38"/>
        <v>0</v>
      </c>
      <c r="L85" s="8">
        <f t="shared" si="38"/>
        <v>0</v>
      </c>
      <c r="M85" s="8">
        <f t="shared" si="38"/>
        <v>0</v>
      </c>
      <c r="N85" s="8">
        <f t="shared" si="38"/>
        <v>0</v>
      </c>
      <c r="O85" s="8">
        <f t="shared" si="38"/>
        <v>0</v>
      </c>
      <c r="P85" s="8">
        <f t="shared" si="38"/>
        <v>0</v>
      </c>
      <c r="Q85" s="8">
        <f t="shared" si="38"/>
        <v>0</v>
      </c>
      <c r="R85" s="8">
        <f t="shared" si="38"/>
        <v>0</v>
      </c>
      <c r="S85" s="8">
        <f t="shared" si="38"/>
        <v>0</v>
      </c>
      <c r="T85" s="8">
        <f t="shared" si="38"/>
        <v>0</v>
      </c>
      <c r="U85" s="8">
        <f t="shared" si="38"/>
        <v>0</v>
      </c>
      <c r="V85" s="8">
        <f t="shared" si="38"/>
        <v>0</v>
      </c>
      <c r="W85" s="8">
        <f t="shared" si="38"/>
        <v>0</v>
      </c>
      <c r="X85" s="8">
        <f t="shared" si="38"/>
        <v>0</v>
      </c>
      <c r="Y85" s="8">
        <f t="shared" si="38"/>
        <v>0</v>
      </c>
      <c r="Z85" s="8">
        <f t="shared" si="38"/>
        <v>0</v>
      </c>
      <c r="AA85" s="8">
        <f t="shared" si="38"/>
        <v>0</v>
      </c>
      <c r="AB85" s="8">
        <f t="shared" si="38"/>
        <v>0</v>
      </c>
      <c r="AC85" s="8">
        <f t="shared" si="38"/>
        <v>0</v>
      </c>
      <c r="AD85" s="8">
        <f t="shared" si="38"/>
        <v>0</v>
      </c>
      <c r="AE85" s="8">
        <f t="shared" si="38"/>
        <v>0</v>
      </c>
      <c r="AF85" s="8">
        <f t="shared" si="38"/>
        <v>0</v>
      </c>
      <c r="AG85" s="8">
        <f t="shared" si="38"/>
        <v>0</v>
      </c>
      <c r="AH85" s="8">
        <f t="shared" si="38"/>
        <v>0</v>
      </c>
    </row>
    <row r="86" spans="1:34" ht="15.75" customHeight="1" x14ac:dyDescent="0.35">
      <c r="A86" s="8" t="s">
        <v>174</v>
      </c>
      <c r="C86" s="8">
        <f t="shared" ref="C86:AH86" si="39">IF(D16&lt;200000,7500,0)</f>
        <v>7500</v>
      </c>
      <c r="D86" s="8">
        <f t="shared" si="39"/>
        <v>7500</v>
      </c>
      <c r="E86" s="8">
        <f t="shared" si="39"/>
        <v>7500</v>
      </c>
      <c r="F86" s="8">
        <f t="shared" si="39"/>
        <v>0</v>
      </c>
      <c r="G86" s="8">
        <f t="shared" si="39"/>
        <v>0</v>
      </c>
      <c r="H86" s="8">
        <f t="shared" si="39"/>
        <v>0</v>
      </c>
      <c r="I86" s="8">
        <f t="shared" si="39"/>
        <v>0</v>
      </c>
      <c r="J86" s="8">
        <f t="shared" si="39"/>
        <v>0</v>
      </c>
      <c r="K86" s="8">
        <f t="shared" si="39"/>
        <v>0</v>
      </c>
      <c r="L86" s="8">
        <f t="shared" si="39"/>
        <v>0</v>
      </c>
      <c r="M86" s="8">
        <f t="shared" si="39"/>
        <v>0</v>
      </c>
      <c r="N86" s="8">
        <f t="shared" si="39"/>
        <v>0</v>
      </c>
      <c r="O86" s="8">
        <f t="shared" si="39"/>
        <v>0</v>
      </c>
      <c r="P86" s="8">
        <f t="shared" si="39"/>
        <v>0</v>
      </c>
      <c r="Q86" s="8">
        <f t="shared" si="39"/>
        <v>0</v>
      </c>
      <c r="R86" s="8">
        <f t="shared" si="39"/>
        <v>0</v>
      </c>
      <c r="S86" s="8">
        <f t="shared" si="39"/>
        <v>0</v>
      </c>
      <c r="T86" s="8">
        <f t="shared" si="39"/>
        <v>0</v>
      </c>
      <c r="U86" s="8">
        <f t="shared" si="39"/>
        <v>0</v>
      </c>
      <c r="V86" s="8">
        <f t="shared" si="39"/>
        <v>0</v>
      </c>
      <c r="W86" s="8">
        <f t="shared" si="39"/>
        <v>0</v>
      </c>
      <c r="X86" s="8">
        <f t="shared" si="39"/>
        <v>0</v>
      </c>
      <c r="Y86" s="8">
        <f t="shared" si="39"/>
        <v>0</v>
      </c>
      <c r="Z86" s="8">
        <f t="shared" si="39"/>
        <v>0</v>
      </c>
      <c r="AA86" s="8">
        <f t="shared" si="39"/>
        <v>0</v>
      </c>
      <c r="AB86" s="8">
        <f t="shared" si="39"/>
        <v>0</v>
      </c>
      <c r="AC86" s="8">
        <f t="shared" si="39"/>
        <v>0</v>
      </c>
      <c r="AD86" s="8">
        <f t="shared" si="39"/>
        <v>0</v>
      </c>
      <c r="AE86" s="8">
        <f t="shared" si="39"/>
        <v>0</v>
      </c>
      <c r="AF86" s="8">
        <f t="shared" si="39"/>
        <v>0</v>
      </c>
      <c r="AG86" s="8">
        <f t="shared" si="39"/>
        <v>0</v>
      </c>
      <c r="AH86" s="8">
        <f t="shared" si="39"/>
        <v>0</v>
      </c>
    </row>
    <row r="87" spans="1:34" ht="15.75" customHeight="1" x14ac:dyDescent="0.35">
      <c r="A87" s="8" t="s">
        <v>175</v>
      </c>
      <c r="C87" s="8">
        <f t="shared" ref="C87:AH87" si="40">IF(D17&lt;200000,7500,0)</f>
        <v>7500</v>
      </c>
      <c r="D87" s="8">
        <f t="shared" si="40"/>
        <v>7500</v>
      </c>
      <c r="E87" s="8">
        <f t="shared" si="40"/>
        <v>7500</v>
      </c>
      <c r="F87" s="8">
        <f t="shared" si="40"/>
        <v>7500</v>
      </c>
      <c r="G87" s="8">
        <f t="shared" si="40"/>
        <v>7500</v>
      </c>
      <c r="H87" s="8">
        <f t="shared" si="40"/>
        <v>7500</v>
      </c>
      <c r="I87" s="8">
        <f t="shared" si="40"/>
        <v>7500</v>
      </c>
      <c r="J87" s="8">
        <f t="shared" si="40"/>
        <v>7500</v>
      </c>
      <c r="K87" s="8">
        <f t="shared" si="40"/>
        <v>7500</v>
      </c>
      <c r="L87" s="8">
        <f t="shared" si="40"/>
        <v>7500</v>
      </c>
      <c r="M87" s="8">
        <f t="shared" si="40"/>
        <v>7500</v>
      </c>
      <c r="N87" s="8">
        <f t="shared" si="40"/>
        <v>0</v>
      </c>
      <c r="O87" s="8">
        <f t="shared" si="40"/>
        <v>0</v>
      </c>
      <c r="P87" s="8">
        <f t="shared" si="40"/>
        <v>0</v>
      </c>
      <c r="Q87" s="8">
        <f t="shared" si="40"/>
        <v>0</v>
      </c>
      <c r="R87" s="8">
        <f t="shared" si="40"/>
        <v>0</v>
      </c>
      <c r="S87" s="8">
        <f t="shared" si="40"/>
        <v>0</v>
      </c>
      <c r="T87" s="8">
        <f t="shared" si="40"/>
        <v>0</v>
      </c>
      <c r="U87" s="8">
        <f t="shared" si="40"/>
        <v>0</v>
      </c>
      <c r="V87" s="8">
        <f t="shared" si="40"/>
        <v>0</v>
      </c>
      <c r="W87" s="8">
        <f t="shared" si="40"/>
        <v>0</v>
      </c>
      <c r="X87" s="8">
        <f t="shared" si="40"/>
        <v>0</v>
      </c>
      <c r="Y87" s="8">
        <f t="shared" si="40"/>
        <v>0</v>
      </c>
      <c r="Z87" s="8">
        <f t="shared" si="40"/>
        <v>0</v>
      </c>
      <c r="AA87" s="8">
        <f t="shared" si="40"/>
        <v>0</v>
      </c>
      <c r="AB87" s="8">
        <f t="shared" si="40"/>
        <v>0</v>
      </c>
      <c r="AC87" s="8">
        <f t="shared" si="40"/>
        <v>0</v>
      </c>
      <c r="AD87" s="8">
        <f t="shared" si="40"/>
        <v>0</v>
      </c>
      <c r="AE87" s="8">
        <f t="shared" si="40"/>
        <v>0</v>
      </c>
      <c r="AF87" s="8">
        <f t="shared" si="40"/>
        <v>0</v>
      </c>
      <c r="AG87" s="8">
        <f t="shared" si="40"/>
        <v>0</v>
      </c>
      <c r="AH87" s="8">
        <f t="shared" si="40"/>
        <v>0</v>
      </c>
    </row>
    <row r="88" spans="1:34" ht="15.75" customHeight="1" x14ac:dyDescent="0.35">
      <c r="A88" s="8" t="s">
        <v>176</v>
      </c>
      <c r="C88" s="8">
        <f t="shared" ref="C88:AH88" si="41">IF(D18&lt;200000,7500,0)</f>
        <v>7500</v>
      </c>
      <c r="D88" s="8">
        <f t="shared" si="41"/>
        <v>7500</v>
      </c>
      <c r="E88" s="8">
        <f t="shared" si="41"/>
        <v>7500</v>
      </c>
      <c r="F88" s="8">
        <f t="shared" si="41"/>
        <v>7500</v>
      </c>
      <c r="G88" s="8">
        <f t="shared" si="41"/>
        <v>7500</v>
      </c>
      <c r="H88" s="8">
        <f t="shared" si="41"/>
        <v>7500</v>
      </c>
      <c r="I88" s="8">
        <f t="shared" si="41"/>
        <v>7500</v>
      </c>
      <c r="J88" s="8">
        <f t="shared" si="41"/>
        <v>7500</v>
      </c>
      <c r="K88" s="8">
        <f t="shared" si="41"/>
        <v>7500</v>
      </c>
      <c r="L88" s="8">
        <f t="shared" si="41"/>
        <v>7500</v>
      </c>
      <c r="M88" s="8">
        <f t="shared" si="41"/>
        <v>7500</v>
      </c>
      <c r="N88" s="8">
        <f t="shared" si="41"/>
        <v>0</v>
      </c>
      <c r="O88" s="8">
        <f t="shared" si="41"/>
        <v>0</v>
      </c>
      <c r="P88" s="8">
        <f t="shared" si="41"/>
        <v>0</v>
      </c>
      <c r="Q88" s="8">
        <f t="shared" si="41"/>
        <v>0</v>
      </c>
      <c r="R88" s="8">
        <f t="shared" si="41"/>
        <v>0</v>
      </c>
      <c r="S88" s="8">
        <f t="shared" si="41"/>
        <v>0</v>
      </c>
      <c r="T88" s="8">
        <f t="shared" si="41"/>
        <v>0</v>
      </c>
      <c r="U88" s="8">
        <f t="shared" si="41"/>
        <v>0</v>
      </c>
      <c r="V88" s="8">
        <f t="shared" si="41"/>
        <v>0</v>
      </c>
      <c r="W88" s="8">
        <f t="shared" si="41"/>
        <v>0</v>
      </c>
      <c r="X88" s="8">
        <f t="shared" si="41"/>
        <v>0</v>
      </c>
      <c r="Y88" s="8">
        <f t="shared" si="41"/>
        <v>0</v>
      </c>
      <c r="Z88" s="8">
        <f t="shared" si="41"/>
        <v>0</v>
      </c>
      <c r="AA88" s="8">
        <f t="shared" si="41"/>
        <v>0</v>
      </c>
      <c r="AB88" s="8">
        <f t="shared" si="41"/>
        <v>0</v>
      </c>
      <c r="AC88" s="8">
        <f t="shared" si="41"/>
        <v>0</v>
      </c>
      <c r="AD88" s="8">
        <f t="shared" si="41"/>
        <v>0</v>
      </c>
      <c r="AE88" s="8">
        <f t="shared" si="41"/>
        <v>0</v>
      </c>
      <c r="AF88" s="8">
        <f t="shared" si="41"/>
        <v>0</v>
      </c>
      <c r="AG88" s="8">
        <f t="shared" si="41"/>
        <v>0</v>
      </c>
      <c r="AH88" s="8">
        <f t="shared" si="41"/>
        <v>0</v>
      </c>
    </row>
    <row r="89" spans="1:34" ht="15.75" customHeight="1" x14ac:dyDescent="0.35">
      <c r="A89" s="8" t="s">
        <v>177</v>
      </c>
      <c r="C89" s="8">
        <f t="shared" ref="C89:AH89" si="42">IF(D19&lt;200000,7500,0)</f>
        <v>7500</v>
      </c>
      <c r="D89" s="8">
        <f t="shared" si="42"/>
        <v>7500</v>
      </c>
      <c r="E89" s="8">
        <f t="shared" si="42"/>
        <v>7500</v>
      </c>
      <c r="F89" s="8">
        <f t="shared" si="42"/>
        <v>7500</v>
      </c>
      <c r="G89" s="8">
        <f t="shared" si="42"/>
        <v>7500</v>
      </c>
      <c r="H89" s="8">
        <f t="shared" si="42"/>
        <v>7500</v>
      </c>
      <c r="I89" s="8">
        <f t="shared" si="42"/>
        <v>7500</v>
      </c>
      <c r="J89" s="8">
        <f t="shared" si="42"/>
        <v>7500</v>
      </c>
      <c r="K89" s="8">
        <f t="shared" si="42"/>
        <v>7500</v>
      </c>
      <c r="L89" s="8">
        <f t="shared" si="42"/>
        <v>7500</v>
      </c>
      <c r="M89" s="8">
        <f t="shared" si="42"/>
        <v>7500</v>
      </c>
      <c r="N89" s="8">
        <f t="shared" si="42"/>
        <v>7500</v>
      </c>
      <c r="O89" s="8">
        <f t="shared" si="42"/>
        <v>0</v>
      </c>
      <c r="P89" s="8">
        <f t="shared" si="42"/>
        <v>0</v>
      </c>
      <c r="Q89" s="8">
        <f t="shared" si="42"/>
        <v>0</v>
      </c>
      <c r="R89" s="8">
        <f t="shared" si="42"/>
        <v>0</v>
      </c>
      <c r="S89" s="8">
        <f t="shared" si="42"/>
        <v>0</v>
      </c>
      <c r="T89" s="8">
        <f t="shared" si="42"/>
        <v>0</v>
      </c>
      <c r="U89" s="8">
        <f t="shared" si="42"/>
        <v>0</v>
      </c>
      <c r="V89" s="8">
        <f t="shared" si="42"/>
        <v>0</v>
      </c>
      <c r="W89" s="8">
        <f t="shared" si="42"/>
        <v>0</v>
      </c>
      <c r="X89" s="8">
        <f t="shared" si="42"/>
        <v>0</v>
      </c>
      <c r="Y89" s="8">
        <f t="shared" si="42"/>
        <v>0</v>
      </c>
      <c r="Z89" s="8">
        <f t="shared" si="42"/>
        <v>0</v>
      </c>
      <c r="AA89" s="8">
        <f t="shared" si="42"/>
        <v>0</v>
      </c>
      <c r="AB89" s="8">
        <f t="shared" si="42"/>
        <v>0</v>
      </c>
      <c r="AC89" s="8">
        <f t="shared" si="42"/>
        <v>0</v>
      </c>
      <c r="AD89" s="8">
        <f t="shared" si="42"/>
        <v>0</v>
      </c>
      <c r="AE89" s="8">
        <f t="shared" si="42"/>
        <v>0</v>
      </c>
      <c r="AF89" s="8">
        <f t="shared" si="42"/>
        <v>0</v>
      </c>
      <c r="AG89" s="8">
        <f t="shared" si="42"/>
        <v>0</v>
      </c>
      <c r="AH89" s="8">
        <f t="shared" si="42"/>
        <v>0</v>
      </c>
    </row>
    <row r="90" spans="1:34" ht="15.75" customHeight="1" x14ac:dyDescent="0.3"/>
    <row r="91" spans="1:34" ht="15.75" customHeight="1" x14ac:dyDescent="0.35">
      <c r="A91" s="8" t="s">
        <v>195</v>
      </c>
      <c r="C91" s="8">
        <v>2019</v>
      </c>
    </row>
    <row r="92" spans="1:34" ht="15.75" customHeight="1" x14ac:dyDescent="0.35">
      <c r="C92" s="37">
        <f t="shared" ref="C92:AH92" si="43">SUMPRODUCT(C73:C89,C50:C66)/SUM(C50:C66)</f>
        <v>2745.8606136031603</v>
      </c>
      <c r="D92" s="37">
        <f t="shared" si="43"/>
        <v>2745.8606136031599</v>
      </c>
      <c r="E92" s="37">
        <f t="shared" si="43"/>
        <v>2745.8606136031603</v>
      </c>
      <c r="F92" s="37">
        <f t="shared" si="43"/>
        <v>1913.0458308533109</v>
      </c>
      <c r="G92" s="37">
        <f t="shared" si="43"/>
        <v>1531.9111519939402</v>
      </c>
      <c r="H92" s="37">
        <f t="shared" si="43"/>
        <v>1131.4322818029341</v>
      </c>
      <c r="I92" s="37">
        <f t="shared" si="43"/>
        <v>933.18813916995919</v>
      </c>
      <c r="J92" s="37">
        <f t="shared" si="43"/>
        <v>933.18813916995953</v>
      </c>
      <c r="K92" s="37">
        <f t="shared" si="43"/>
        <v>744.00735890914916</v>
      </c>
      <c r="L92" s="37">
        <f t="shared" si="43"/>
        <v>744.00735890914984</v>
      </c>
      <c r="M92" s="37">
        <f t="shared" si="43"/>
        <v>621.92251501542137</v>
      </c>
      <c r="N92" s="37">
        <f t="shared" si="43"/>
        <v>240.24673989502756</v>
      </c>
      <c r="O92" s="37">
        <f t="shared" si="43"/>
        <v>18.397272874844433</v>
      </c>
      <c r="P92" s="37">
        <f t="shared" si="43"/>
        <v>18.397272874844436</v>
      </c>
      <c r="Q92" s="37">
        <f t="shared" si="43"/>
        <v>18.397272874844433</v>
      </c>
      <c r="R92" s="37">
        <f t="shared" si="43"/>
        <v>18.397272874844436</v>
      </c>
      <c r="S92" s="37">
        <f t="shared" si="43"/>
        <v>18.397272874844433</v>
      </c>
      <c r="T92" s="37">
        <f t="shared" si="43"/>
        <v>18.397272874844433</v>
      </c>
      <c r="U92" s="37">
        <f t="shared" si="43"/>
        <v>18.397272874844436</v>
      </c>
      <c r="V92" s="37">
        <f t="shared" si="43"/>
        <v>0</v>
      </c>
      <c r="W92" s="37">
        <f t="shared" si="43"/>
        <v>0</v>
      </c>
      <c r="X92" s="37">
        <f t="shared" si="43"/>
        <v>0</v>
      </c>
      <c r="Y92" s="37">
        <f t="shared" si="43"/>
        <v>0</v>
      </c>
      <c r="Z92" s="37">
        <f t="shared" si="43"/>
        <v>0</v>
      </c>
      <c r="AA92" s="37">
        <f t="shared" si="43"/>
        <v>0</v>
      </c>
      <c r="AB92" s="37">
        <f t="shared" si="43"/>
        <v>0</v>
      </c>
      <c r="AC92" s="37">
        <f t="shared" si="43"/>
        <v>0</v>
      </c>
      <c r="AD92" s="37">
        <f t="shared" si="43"/>
        <v>0</v>
      </c>
      <c r="AE92" s="37">
        <f t="shared" si="43"/>
        <v>0</v>
      </c>
      <c r="AF92" s="37">
        <f t="shared" si="43"/>
        <v>0</v>
      </c>
      <c r="AG92" s="37">
        <f t="shared" si="43"/>
        <v>0</v>
      </c>
      <c r="AH92" s="37">
        <f t="shared" si="43"/>
        <v>0</v>
      </c>
    </row>
    <row r="93" spans="1:34" ht="15.75" customHeight="1" x14ac:dyDescent="0.3"/>
    <row r="94" spans="1:34" ht="15.75" customHeight="1" x14ac:dyDescent="0.3"/>
    <row r="95" spans="1:34" ht="15.75" customHeight="1" x14ac:dyDescent="0.3"/>
    <row r="96" spans="1:3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3"/>
  <cols>
    <col min="1" max="2" width="7.6640625" customWidth="1"/>
    <col min="3" max="3" width="23.5" customWidth="1"/>
    <col min="4" max="26" width="7.6640625" customWidth="1"/>
  </cols>
  <sheetData>
    <row r="2" spans="1:17" ht="14.5" x14ac:dyDescent="0.35">
      <c r="A2" s="8" t="s">
        <v>178</v>
      </c>
      <c r="B2" s="8" t="s">
        <v>196</v>
      </c>
      <c r="C2" s="8" t="s">
        <v>197</v>
      </c>
      <c r="D2" s="8" t="s">
        <v>198</v>
      </c>
      <c r="E2" s="8" t="s">
        <v>199</v>
      </c>
      <c r="F2" s="8" t="s">
        <v>200</v>
      </c>
      <c r="G2" s="8" t="s">
        <v>201</v>
      </c>
      <c r="H2" s="8" t="s">
        <v>202</v>
      </c>
      <c r="I2" s="8" t="s">
        <v>203</v>
      </c>
      <c r="J2" s="8" t="s">
        <v>204</v>
      </c>
      <c r="K2" s="8" t="s">
        <v>205</v>
      </c>
      <c r="L2" s="8" t="s">
        <v>206</v>
      </c>
      <c r="M2" s="8" t="s">
        <v>207</v>
      </c>
      <c r="N2" s="8" t="s">
        <v>208</v>
      </c>
      <c r="O2" s="8" t="s">
        <v>209</v>
      </c>
      <c r="P2" s="8" t="s">
        <v>210</v>
      </c>
    </row>
    <row r="3" spans="1:17" ht="14.5" x14ac:dyDescent="0.35">
      <c r="A3" s="8" t="s">
        <v>173</v>
      </c>
      <c r="B3" s="8" t="s">
        <v>192</v>
      </c>
      <c r="C3" s="8" t="s">
        <v>211</v>
      </c>
      <c r="D3" s="8">
        <v>6500</v>
      </c>
      <c r="E3" s="8">
        <v>5750</v>
      </c>
      <c r="F3" s="8">
        <v>10175</v>
      </c>
      <c r="G3" s="8">
        <v>10050</v>
      </c>
      <c r="H3" s="8">
        <v>13950</v>
      </c>
      <c r="P3" s="8">
        <v>46425</v>
      </c>
      <c r="Q3" s="8" t="s">
        <v>211</v>
      </c>
    </row>
    <row r="4" spans="1:17" ht="14.5" x14ac:dyDescent="0.35">
      <c r="A4" s="8" t="s">
        <v>174</v>
      </c>
      <c r="B4" s="8" t="s">
        <v>193</v>
      </c>
      <c r="C4" s="8" t="s">
        <v>212</v>
      </c>
      <c r="D4" s="8">
        <v>1123</v>
      </c>
      <c r="E4" s="8">
        <v>1205</v>
      </c>
      <c r="F4" s="8">
        <v>1820</v>
      </c>
      <c r="G4" s="8">
        <v>1399</v>
      </c>
      <c r="H4" s="8">
        <v>1914</v>
      </c>
      <c r="P4" s="8">
        <v>7461</v>
      </c>
      <c r="Q4" s="8" t="s">
        <v>212</v>
      </c>
    </row>
    <row r="5" spans="1:17" ht="14.5" x14ac:dyDescent="0.35">
      <c r="A5" s="8" t="s">
        <v>166</v>
      </c>
      <c r="B5" s="8" t="s">
        <v>192</v>
      </c>
      <c r="C5" s="8" t="s">
        <v>213</v>
      </c>
      <c r="D5" s="8">
        <v>925</v>
      </c>
      <c r="E5" s="8">
        <v>1225</v>
      </c>
      <c r="F5" s="8">
        <v>2166</v>
      </c>
      <c r="G5" s="8">
        <v>910</v>
      </c>
      <c r="H5" s="8">
        <v>1396</v>
      </c>
      <c r="P5" s="8">
        <v>6622</v>
      </c>
      <c r="Q5" s="8" t="s">
        <v>213</v>
      </c>
    </row>
    <row r="6" spans="1:17" ht="14.5" x14ac:dyDescent="0.35">
      <c r="A6" s="8" t="s">
        <v>173</v>
      </c>
      <c r="B6" s="8" t="s">
        <v>192</v>
      </c>
      <c r="C6" s="8" t="s">
        <v>214</v>
      </c>
      <c r="D6" s="8">
        <v>775</v>
      </c>
      <c r="E6" s="8">
        <v>900</v>
      </c>
      <c r="F6" s="8">
        <v>2175</v>
      </c>
      <c r="G6" s="8">
        <v>1050</v>
      </c>
      <c r="H6" s="8">
        <v>1375</v>
      </c>
      <c r="P6" s="8">
        <v>6275</v>
      </c>
      <c r="Q6" s="8" t="s">
        <v>214</v>
      </c>
    </row>
    <row r="7" spans="1:17" ht="14.5" x14ac:dyDescent="0.35">
      <c r="A7" s="8" t="s">
        <v>161</v>
      </c>
      <c r="B7" s="8" t="s">
        <v>193</v>
      </c>
      <c r="C7" s="8" t="s">
        <v>215</v>
      </c>
      <c r="D7" s="8">
        <v>1192</v>
      </c>
      <c r="E7" s="8">
        <v>1213</v>
      </c>
      <c r="F7" s="8">
        <v>1311</v>
      </c>
      <c r="G7" s="8">
        <v>981</v>
      </c>
      <c r="H7" s="8">
        <v>816</v>
      </c>
      <c r="P7" s="8">
        <v>5513</v>
      </c>
      <c r="Q7" s="8" t="s">
        <v>215</v>
      </c>
    </row>
    <row r="8" spans="1:17" ht="14.5" x14ac:dyDescent="0.35">
      <c r="A8" s="8" t="s">
        <v>173</v>
      </c>
      <c r="B8" s="8" t="s">
        <v>192</v>
      </c>
      <c r="C8" s="8" t="s">
        <v>216</v>
      </c>
      <c r="D8" s="8">
        <v>725</v>
      </c>
      <c r="E8" s="8">
        <v>625</v>
      </c>
      <c r="F8" s="8">
        <v>2275</v>
      </c>
      <c r="G8" s="8">
        <v>825</v>
      </c>
      <c r="H8" s="8">
        <v>1025</v>
      </c>
      <c r="P8" s="8">
        <v>5475</v>
      </c>
      <c r="Q8" s="8" t="s">
        <v>216</v>
      </c>
    </row>
    <row r="9" spans="1:17" ht="14.5" x14ac:dyDescent="0.35">
      <c r="A9" s="8" t="s">
        <v>171</v>
      </c>
      <c r="B9" s="8" t="s">
        <v>192</v>
      </c>
      <c r="C9" s="8" t="s">
        <v>217</v>
      </c>
      <c r="D9" s="8">
        <v>717</v>
      </c>
      <c r="E9" s="8">
        <v>654</v>
      </c>
      <c r="F9" s="8">
        <v>1314</v>
      </c>
      <c r="G9" s="8">
        <v>951</v>
      </c>
      <c r="H9" s="8">
        <v>1216</v>
      </c>
      <c r="P9" s="8">
        <v>4852</v>
      </c>
      <c r="Q9" s="8" t="s">
        <v>217</v>
      </c>
    </row>
    <row r="10" spans="1:17" ht="14.5" x14ac:dyDescent="0.35">
      <c r="A10" s="8" t="s">
        <v>166</v>
      </c>
      <c r="B10" s="8" t="s">
        <v>193</v>
      </c>
      <c r="C10" s="8" t="s">
        <v>218</v>
      </c>
      <c r="D10" s="8">
        <v>675</v>
      </c>
      <c r="E10" s="8">
        <v>615</v>
      </c>
      <c r="F10" s="8">
        <v>1230</v>
      </c>
      <c r="G10" s="8">
        <v>405</v>
      </c>
      <c r="H10" s="8">
        <v>408</v>
      </c>
      <c r="P10" s="8">
        <v>3333</v>
      </c>
      <c r="Q10" s="8" t="s">
        <v>218</v>
      </c>
    </row>
    <row r="11" spans="1:17" ht="14.5" x14ac:dyDescent="0.35">
      <c r="A11" s="8" t="s">
        <v>163</v>
      </c>
      <c r="B11" s="8" t="s">
        <v>193</v>
      </c>
      <c r="C11" s="8" t="s">
        <v>219</v>
      </c>
      <c r="D11" s="8">
        <v>376</v>
      </c>
      <c r="E11" s="8">
        <v>414</v>
      </c>
      <c r="F11" s="8">
        <v>436</v>
      </c>
      <c r="G11" s="8">
        <v>416</v>
      </c>
      <c r="H11" s="8">
        <v>727</v>
      </c>
      <c r="P11" s="8">
        <v>2369</v>
      </c>
      <c r="Q11" s="8" t="s">
        <v>219</v>
      </c>
    </row>
    <row r="12" spans="1:17" ht="14.5" x14ac:dyDescent="0.35">
      <c r="A12" s="8" t="s">
        <v>165</v>
      </c>
      <c r="B12" s="8" t="s">
        <v>193</v>
      </c>
      <c r="C12" s="8" t="s">
        <v>220</v>
      </c>
      <c r="D12" s="8">
        <v>557</v>
      </c>
      <c r="E12" s="8">
        <v>573</v>
      </c>
      <c r="F12" s="8">
        <v>611</v>
      </c>
      <c r="G12" s="8">
        <v>585</v>
      </c>
      <c r="H12" s="8">
        <v>605</v>
      </c>
      <c r="P12" s="8">
        <v>2931</v>
      </c>
      <c r="Q12" s="8" t="s">
        <v>220</v>
      </c>
    </row>
    <row r="13" spans="1:17" ht="14.5" x14ac:dyDescent="0.35">
      <c r="A13" s="8" t="s">
        <v>166</v>
      </c>
      <c r="B13" s="8" t="s">
        <v>193</v>
      </c>
      <c r="C13" s="8" t="s">
        <v>221</v>
      </c>
      <c r="D13" s="8">
        <v>436</v>
      </c>
      <c r="E13" s="8">
        <v>589</v>
      </c>
      <c r="F13" s="8">
        <v>383</v>
      </c>
      <c r="G13" s="8">
        <v>347</v>
      </c>
      <c r="H13" s="8">
        <v>390</v>
      </c>
      <c r="P13" s="8">
        <v>2145</v>
      </c>
      <c r="Q13" s="8" t="s">
        <v>221</v>
      </c>
    </row>
    <row r="14" spans="1:17" ht="14.5" x14ac:dyDescent="0.35">
      <c r="A14" s="8" t="s">
        <v>163</v>
      </c>
      <c r="B14" s="8" t="s">
        <v>192</v>
      </c>
      <c r="C14" s="8" t="s">
        <v>222</v>
      </c>
      <c r="D14" s="8">
        <v>255</v>
      </c>
      <c r="E14" s="8">
        <v>350</v>
      </c>
      <c r="F14" s="8">
        <v>359</v>
      </c>
      <c r="G14" s="8">
        <v>331</v>
      </c>
      <c r="H14" s="8">
        <v>439</v>
      </c>
      <c r="P14" s="8">
        <v>1734</v>
      </c>
      <c r="Q14" s="8" t="s">
        <v>222</v>
      </c>
    </row>
    <row r="15" spans="1:17" ht="14.5" x14ac:dyDescent="0.35">
      <c r="A15" s="8" t="s">
        <v>168</v>
      </c>
      <c r="B15" s="8" t="s">
        <v>193</v>
      </c>
      <c r="C15" s="8" t="s">
        <v>223</v>
      </c>
      <c r="D15" s="8">
        <v>279</v>
      </c>
      <c r="E15" s="8">
        <v>505</v>
      </c>
      <c r="F15" s="8">
        <v>230</v>
      </c>
      <c r="G15" s="8">
        <v>245</v>
      </c>
      <c r="H15" s="8">
        <v>329</v>
      </c>
      <c r="P15" s="8">
        <v>1588</v>
      </c>
      <c r="Q15" s="8" t="s">
        <v>223</v>
      </c>
    </row>
    <row r="16" spans="1:17" ht="14.5" x14ac:dyDescent="0.35">
      <c r="A16" s="8" t="s">
        <v>175</v>
      </c>
      <c r="B16" s="8" t="s">
        <v>192</v>
      </c>
      <c r="C16" s="8" t="s">
        <v>224</v>
      </c>
      <c r="D16" s="8">
        <v>164</v>
      </c>
      <c r="E16" s="8">
        <v>118</v>
      </c>
      <c r="F16" s="8">
        <v>581</v>
      </c>
      <c r="G16" s="8">
        <v>400</v>
      </c>
      <c r="H16" s="8">
        <v>264</v>
      </c>
      <c r="P16" s="8">
        <v>1527</v>
      </c>
      <c r="Q16" s="8" t="s">
        <v>224</v>
      </c>
    </row>
    <row r="17" spans="1:17" ht="14.5" x14ac:dyDescent="0.35">
      <c r="A17" s="8" t="s">
        <v>184</v>
      </c>
      <c r="B17" s="8" t="s">
        <v>192</v>
      </c>
      <c r="C17" s="8" t="s">
        <v>225</v>
      </c>
      <c r="D17" s="8">
        <v>210</v>
      </c>
      <c r="E17" s="8">
        <v>186</v>
      </c>
      <c r="F17" s="8">
        <v>212</v>
      </c>
      <c r="G17" s="8">
        <v>237</v>
      </c>
      <c r="H17" s="8">
        <v>228</v>
      </c>
      <c r="P17" s="8">
        <v>1073</v>
      </c>
      <c r="Q17" s="8" t="s">
        <v>225</v>
      </c>
    </row>
    <row r="18" spans="1:17" ht="14.5" x14ac:dyDescent="0.35">
      <c r="A18" s="8" t="s">
        <v>162</v>
      </c>
      <c r="B18" s="8" t="s">
        <v>192</v>
      </c>
      <c r="C18" s="8" t="s">
        <v>226</v>
      </c>
      <c r="G18" s="8">
        <v>253</v>
      </c>
      <c r="H18" s="8">
        <v>856</v>
      </c>
      <c r="P18" s="8">
        <v>1109</v>
      </c>
      <c r="Q18" s="8" t="s">
        <v>226</v>
      </c>
    </row>
    <row r="19" spans="1:17" ht="14.5" x14ac:dyDescent="0.35">
      <c r="A19" s="8" t="s">
        <v>170</v>
      </c>
      <c r="B19" s="8" t="s">
        <v>193</v>
      </c>
      <c r="C19" s="8" t="s">
        <v>227</v>
      </c>
      <c r="D19" s="8">
        <v>133</v>
      </c>
      <c r="E19" s="8">
        <v>157</v>
      </c>
      <c r="F19" s="8">
        <v>341</v>
      </c>
      <c r="G19" s="8">
        <v>163</v>
      </c>
      <c r="H19" s="8">
        <v>232</v>
      </c>
      <c r="P19" s="8">
        <v>1026</v>
      </c>
      <c r="Q19" s="8" t="s">
        <v>227</v>
      </c>
    </row>
    <row r="20" spans="1:17" ht="14.5" x14ac:dyDescent="0.35">
      <c r="A20" s="8" t="s">
        <v>172</v>
      </c>
      <c r="B20" s="8" t="s">
        <v>193</v>
      </c>
      <c r="C20" s="8" t="s">
        <v>228</v>
      </c>
      <c r="D20" s="8">
        <v>150</v>
      </c>
      <c r="E20" s="8">
        <v>160</v>
      </c>
      <c r="F20" s="8">
        <v>195</v>
      </c>
      <c r="G20" s="8">
        <v>155</v>
      </c>
      <c r="H20" s="8">
        <v>170</v>
      </c>
      <c r="P20" s="8">
        <v>830</v>
      </c>
      <c r="Q20" s="8" t="s">
        <v>228</v>
      </c>
    </row>
    <row r="21" spans="1:17" ht="15.75" customHeight="1" x14ac:dyDescent="0.35">
      <c r="A21" s="8" t="s">
        <v>163</v>
      </c>
      <c r="B21" s="8" t="s">
        <v>193</v>
      </c>
      <c r="C21" s="8" t="s">
        <v>229</v>
      </c>
      <c r="D21" s="8">
        <v>216</v>
      </c>
      <c r="E21" s="8">
        <v>185</v>
      </c>
      <c r="F21" s="8">
        <v>175</v>
      </c>
      <c r="G21" s="8">
        <v>53</v>
      </c>
      <c r="H21" s="8">
        <v>27</v>
      </c>
      <c r="P21" s="8">
        <v>656</v>
      </c>
      <c r="Q21" s="8" t="s">
        <v>229</v>
      </c>
    </row>
    <row r="22" spans="1:17" ht="15.75" customHeight="1" x14ac:dyDescent="0.35">
      <c r="A22" s="8" t="s">
        <v>169</v>
      </c>
      <c r="B22" s="8" t="s">
        <v>193</v>
      </c>
      <c r="C22" s="8" t="s">
        <v>230</v>
      </c>
      <c r="D22" s="8">
        <v>140</v>
      </c>
      <c r="E22" s="8">
        <v>145</v>
      </c>
      <c r="F22" s="8">
        <v>135</v>
      </c>
      <c r="G22" s="8">
        <v>173</v>
      </c>
      <c r="H22" s="8">
        <v>225</v>
      </c>
      <c r="P22" s="8">
        <v>818</v>
      </c>
      <c r="Q22" s="8" t="s">
        <v>230</v>
      </c>
    </row>
    <row r="23" spans="1:17" ht="15.75" customHeight="1" x14ac:dyDescent="0.35">
      <c r="A23" s="8" t="s">
        <v>176</v>
      </c>
      <c r="B23" s="8" t="s">
        <v>193</v>
      </c>
      <c r="C23" s="8" t="s">
        <v>231</v>
      </c>
      <c r="D23" s="8">
        <v>95</v>
      </c>
      <c r="E23" s="8">
        <v>105</v>
      </c>
      <c r="F23" s="8">
        <v>155</v>
      </c>
      <c r="G23" s="8">
        <v>100</v>
      </c>
      <c r="H23" s="8">
        <v>120</v>
      </c>
      <c r="P23" s="8">
        <v>575</v>
      </c>
      <c r="Q23" s="8" t="s">
        <v>231</v>
      </c>
    </row>
    <row r="24" spans="1:17" ht="15.75" customHeight="1" x14ac:dyDescent="0.35">
      <c r="A24" s="8" t="s">
        <v>169</v>
      </c>
      <c r="B24" s="8" t="s">
        <v>193</v>
      </c>
      <c r="C24" s="8" t="s">
        <v>232</v>
      </c>
      <c r="D24" s="8">
        <v>74</v>
      </c>
      <c r="E24" s="8">
        <v>72</v>
      </c>
      <c r="F24" s="8">
        <v>175</v>
      </c>
      <c r="G24" s="8">
        <v>220</v>
      </c>
      <c r="H24" s="8">
        <v>275</v>
      </c>
      <c r="P24" s="8">
        <v>816</v>
      </c>
      <c r="Q24" s="8" t="s">
        <v>232</v>
      </c>
    </row>
    <row r="25" spans="1:17" ht="15.75" customHeight="1" x14ac:dyDescent="0.35">
      <c r="A25" s="8" t="s">
        <v>176</v>
      </c>
      <c r="B25" s="8" t="s">
        <v>193</v>
      </c>
      <c r="C25" s="8" t="s">
        <v>233</v>
      </c>
      <c r="D25" s="8">
        <v>90</v>
      </c>
      <c r="E25" s="8">
        <v>100</v>
      </c>
      <c r="F25" s="8">
        <v>125</v>
      </c>
      <c r="G25" s="8">
        <v>85</v>
      </c>
      <c r="H25" s="8">
        <v>95</v>
      </c>
      <c r="P25" s="8">
        <v>495</v>
      </c>
      <c r="Q25" s="8" t="s">
        <v>233</v>
      </c>
    </row>
    <row r="26" spans="1:17" ht="15.75" customHeight="1" x14ac:dyDescent="0.35">
      <c r="A26" s="8" t="s">
        <v>172</v>
      </c>
      <c r="B26" s="8" t="s">
        <v>193</v>
      </c>
      <c r="C26" s="8" t="s">
        <v>234</v>
      </c>
      <c r="D26" s="8">
        <v>65</v>
      </c>
      <c r="E26" s="8">
        <v>95</v>
      </c>
      <c r="F26" s="8">
        <v>115</v>
      </c>
      <c r="G26" s="8">
        <v>70</v>
      </c>
      <c r="H26" s="8">
        <v>105</v>
      </c>
      <c r="P26" s="8">
        <v>450</v>
      </c>
      <c r="Q26" s="8" t="s">
        <v>234</v>
      </c>
    </row>
    <row r="27" spans="1:17" ht="15.75" customHeight="1" x14ac:dyDescent="0.35">
      <c r="A27" s="8" t="s">
        <v>169</v>
      </c>
      <c r="B27" s="8" t="s">
        <v>193</v>
      </c>
      <c r="C27" s="8" t="s">
        <v>235</v>
      </c>
      <c r="D27" s="8">
        <v>92</v>
      </c>
      <c r="E27" s="8">
        <v>95</v>
      </c>
      <c r="F27" s="8">
        <v>110</v>
      </c>
      <c r="G27" s="8">
        <v>150</v>
      </c>
      <c r="H27" s="8">
        <v>185</v>
      </c>
      <c r="P27" s="8">
        <v>632</v>
      </c>
      <c r="Q27" s="8" t="s">
        <v>235</v>
      </c>
    </row>
    <row r="28" spans="1:17" ht="15.75" customHeight="1" x14ac:dyDescent="0.35">
      <c r="A28" s="8" t="s">
        <v>162</v>
      </c>
      <c r="B28" s="8" t="s">
        <v>193</v>
      </c>
      <c r="C28" s="8" t="s">
        <v>236</v>
      </c>
      <c r="D28" s="8">
        <v>175</v>
      </c>
      <c r="E28" s="8">
        <v>210</v>
      </c>
      <c r="F28" s="8">
        <v>45</v>
      </c>
      <c r="G28" s="8">
        <v>7</v>
      </c>
      <c r="H28" s="8">
        <v>0</v>
      </c>
      <c r="P28" s="8">
        <v>437</v>
      </c>
      <c r="Q28" s="8" t="s">
        <v>236</v>
      </c>
    </row>
    <row r="29" spans="1:17" ht="15.75" customHeight="1" x14ac:dyDescent="0.35">
      <c r="A29" s="8" t="s">
        <v>161</v>
      </c>
      <c r="B29" s="8" t="s">
        <v>192</v>
      </c>
      <c r="C29" s="8" t="s">
        <v>237</v>
      </c>
      <c r="D29" s="8">
        <v>78</v>
      </c>
      <c r="E29" s="8">
        <v>68</v>
      </c>
      <c r="F29" s="8">
        <v>92</v>
      </c>
      <c r="G29" s="8">
        <v>88</v>
      </c>
      <c r="H29" s="8">
        <v>82</v>
      </c>
      <c r="P29" s="8">
        <v>408</v>
      </c>
      <c r="Q29" s="8" t="s">
        <v>237</v>
      </c>
    </row>
    <row r="30" spans="1:17" ht="15.75" customHeight="1" x14ac:dyDescent="0.35">
      <c r="A30" s="8" t="s">
        <v>163</v>
      </c>
      <c r="B30" s="8" t="s">
        <v>193</v>
      </c>
      <c r="C30" s="8" t="s">
        <v>238</v>
      </c>
      <c r="D30" s="8">
        <v>23</v>
      </c>
      <c r="E30" s="8">
        <v>47</v>
      </c>
      <c r="F30" s="8">
        <v>91</v>
      </c>
      <c r="G30" s="8">
        <v>87</v>
      </c>
      <c r="H30" s="8">
        <v>145</v>
      </c>
      <c r="P30" s="8">
        <v>393</v>
      </c>
      <c r="Q30" s="8" t="s">
        <v>238</v>
      </c>
    </row>
    <row r="31" spans="1:17" ht="15.75" customHeight="1" x14ac:dyDescent="0.35">
      <c r="A31" s="8" t="s">
        <v>167</v>
      </c>
      <c r="B31" s="8" t="s">
        <v>193</v>
      </c>
      <c r="C31" s="8" t="s">
        <v>239</v>
      </c>
      <c r="D31" s="8">
        <v>73</v>
      </c>
      <c r="E31" s="8">
        <v>54</v>
      </c>
      <c r="F31" s="8">
        <v>94</v>
      </c>
      <c r="G31" s="8">
        <v>63</v>
      </c>
      <c r="H31" s="8">
        <v>63</v>
      </c>
      <c r="P31" s="8">
        <v>347</v>
      </c>
      <c r="Q31" s="8" t="s">
        <v>240</v>
      </c>
    </row>
    <row r="32" spans="1:17" ht="15.75" customHeight="1" x14ac:dyDescent="0.35">
      <c r="A32" s="8" t="s">
        <v>241</v>
      </c>
      <c r="B32" s="8" t="s">
        <v>192</v>
      </c>
      <c r="C32" s="8" t="s">
        <v>242</v>
      </c>
      <c r="D32" s="8">
        <v>83</v>
      </c>
      <c r="E32" s="8">
        <v>58</v>
      </c>
      <c r="F32" s="8">
        <v>90</v>
      </c>
      <c r="G32" s="8">
        <v>85</v>
      </c>
      <c r="H32" s="8">
        <v>85</v>
      </c>
      <c r="P32" s="8">
        <v>401</v>
      </c>
      <c r="Q32" s="8" t="s">
        <v>242</v>
      </c>
    </row>
    <row r="33" spans="1:17" ht="15.75" customHeight="1" x14ac:dyDescent="0.35">
      <c r="A33" s="8" t="s">
        <v>167</v>
      </c>
      <c r="B33" s="8" t="s">
        <v>192</v>
      </c>
      <c r="C33" s="8" t="s">
        <v>243</v>
      </c>
      <c r="D33" s="8">
        <v>0</v>
      </c>
      <c r="E33" s="8">
        <v>16</v>
      </c>
      <c r="F33" s="8">
        <v>127</v>
      </c>
      <c r="G33" s="8">
        <v>77</v>
      </c>
      <c r="H33" s="8">
        <v>91</v>
      </c>
      <c r="P33" s="8">
        <v>311</v>
      </c>
      <c r="Q33" s="8" t="s">
        <v>243</v>
      </c>
    </row>
    <row r="34" spans="1:17" ht="15.75" customHeight="1" x14ac:dyDescent="0.35">
      <c r="A34" s="8" t="s">
        <v>163</v>
      </c>
      <c r="B34" s="8" t="s">
        <v>193</v>
      </c>
      <c r="C34" s="8" t="s">
        <v>244</v>
      </c>
      <c r="D34" s="8">
        <v>50</v>
      </c>
      <c r="E34" s="8">
        <v>63</v>
      </c>
      <c r="F34" s="8">
        <v>45</v>
      </c>
      <c r="G34" s="8">
        <v>37</v>
      </c>
      <c r="H34" s="8">
        <v>85</v>
      </c>
      <c r="P34" s="8">
        <v>280</v>
      </c>
      <c r="Q34" s="8" t="s">
        <v>244</v>
      </c>
    </row>
    <row r="35" spans="1:17" ht="15.75" customHeight="1" x14ac:dyDescent="0.35">
      <c r="A35" s="8" t="s">
        <v>164</v>
      </c>
      <c r="B35" s="8" t="s">
        <v>192</v>
      </c>
      <c r="C35" s="8" t="s">
        <v>245</v>
      </c>
      <c r="D35" s="8">
        <v>72</v>
      </c>
      <c r="E35" s="8">
        <v>87</v>
      </c>
      <c r="F35" s="8">
        <v>33</v>
      </c>
      <c r="G35" s="8">
        <v>20</v>
      </c>
      <c r="H35" s="8">
        <v>60</v>
      </c>
      <c r="P35" s="8">
        <v>272</v>
      </c>
      <c r="Q35" s="8" t="s">
        <v>245</v>
      </c>
    </row>
    <row r="36" spans="1:17" ht="15.75" customHeight="1" x14ac:dyDescent="0.35">
      <c r="A36" s="8" t="s">
        <v>176</v>
      </c>
      <c r="B36" s="8" t="s">
        <v>193</v>
      </c>
      <c r="C36" s="8" t="s">
        <v>246</v>
      </c>
      <c r="D36" s="8">
        <v>35</v>
      </c>
      <c r="E36" s="8">
        <v>45</v>
      </c>
      <c r="F36" s="8">
        <v>55</v>
      </c>
      <c r="G36" s="8">
        <v>35</v>
      </c>
      <c r="H36" s="8">
        <v>50</v>
      </c>
      <c r="P36" s="8">
        <v>220</v>
      </c>
      <c r="Q36" s="8" t="s">
        <v>246</v>
      </c>
    </row>
    <row r="37" spans="1:17" ht="15.75" customHeight="1" x14ac:dyDescent="0.35">
      <c r="A37" s="8" t="s">
        <v>185</v>
      </c>
      <c r="B37" s="8" t="s">
        <v>193</v>
      </c>
      <c r="C37" s="8" t="s">
        <v>247</v>
      </c>
      <c r="E37" s="8">
        <v>27</v>
      </c>
      <c r="F37" s="8">
        <v>52</v>
      </c>
      <c r="G37" s="8">
        <v>47</v>
      </c>
      <c r="H37" s="8">
        <v>65</v>
      </c>
      <c r="P37" s="8">
        <v>191</v>
      </c>
      <c r="Q37" s="8" t="s">
        <v>247</v>
      </c>
    </row>
    <row r="38" spans="1:17" ht="15.75" customHeight="1" x14ac:dyDescent="0.35">
      <c r="A38" s="8" t="s">
        <v>167</v>
      </c>
      <c r="B38" s="8" t="s">
        <v>193</v>
      </c>
      <c r="C38" s="8" t="s">
        <v>248</v>
      </c>
      <c r="D38" s="8">
        <v>4</v>
      </c>
      <c r="E38" s="8">
        <v>71</v>
      </c>
      <c r="F38" s="8">
        <v>7</v>
      </c>
      <c r="G38" s="8">
        <v>46</v>
      </c>
      <c r="H38" s="8">
        <v>40</v>
      </c>
      <c r="P38" s="8">
        <v>168</v>
      </c>
      <c r="Q38" s="8" t="s">
        <v>248</v>
      </c>
    </row>
    <row r="39" spans="1:17" ht="15.75" customHeight="1" x14ac:dyDescent="0.35">
      <c r="A39" s="8" t="s">
        <v>167</v>
      </c>
      <c r="B39" s="8" t="s">
        <v>192</v>
      </c>
      <c r="C39" s="8" t="s">
        <v>249</v>
      </c>
      <c r="D39" s="8">
        <v>34</v>
      </c>
      <c r="E39" s="8">
        <v>32</v>
      </c>
      <c r="F39" s="8">
        <v>28</v>
      </c>
      <c r="G39" s="8">
        <v>9</v>
      </c>
      <c r="H39" s="8">
        <v>61</v>
      </c>
      <c r="P39" s="8">
        <v>164</v>
      </c>
      <c r="Q39" s="8" t="s">
        <v>249</v>
      </c>
    </row>
    <row r="40" spans="1:17" ht="15.75" customHeight="1" x14ac:dyDescent="0.35">
      <c r="A40" s="8" t="s">
        <v>168</v>
      </c>
      <c r="B40" s="8" t="s">
        <v>192</v>
      </c>
      <c r="C40" s="8" t="s">
        <v>250</v>
      </c>
      <c r="G40" s="8">
        <v>40</v>
      </c>
      <c r="H40" s="8">
        <v>119</v>
      </c>
      <c r="P40" s="8">
        <v>159</v>
      </c>
      <c r="Q40" s="8" t="s">
        <v>250</v>
      </c>
    </row>
    <row r="41" spans="1:17" ht="15.75" customHeight="1" x14ac:dyDescent="0.35">
      <c r="A41" s="8" t="s">
        <v>163</v>
      </c>
      <c r="B41" s="8" t="s">
        <v>193</v>
      </c>
      <c r="C41" s="8" t="s">
        <v>251</v>
      </c>
      <c r="D41" s="8">
        <v>71</v>
      </c>
      <c r="E41" s="8">
        <v>38</v>
      </c>
      <c r="F41" s="8">
        <v>26</v>
      </c>
      <c r="G41" s="8">
        <v>9</v>
      </c>
      <c r="H41" s="8">
        <v>4</v>
      </c>
      <c r="P41" s="8">
        <v>148</v>
      </c>
      <c r="Q41" s="8" t="s">
        <v>251</v>
      </c>
    </row>
    <row r="42" spans="1:17" ht="15.75" customHeight="1" x14ac:dyDescent="0.35">
      <c r="A42" s="8" t="s">
        <v>169</v>
      </c>
      <c r="B42" s="8" t="s">
        <v>193</v>
      </c>
      <c r="C42" s="8" t="s">
        <v>252</v>
      </c>
      <c r="D42" s="8">
        <v>8</v>
      </c>
      <c r="E42" s="8">
        <v>10</v>
      </c>
      <c r="F42" s="8">
        <v>22</v>
      </c>
      <c r="G42" s="8">
        <v>35</v>
      </c>
      <c r="H42" s="8">
        <v>51</v>
      </c>
      <c r="P42" s="8">
        <v>126</v>
      </c>
      <c r="Q42" s="8" t="s">
        <v>252</v>
      </c>
    </row>
    <row r="43" spans="1:17" ht="15.75" customHeight="1" x14ac:dyDescent="0.35">
      <c r="A43" s="8" t="s">
        <v>163</v>
      </c>
      <c r="B43" s="8" t="s">
        <v>193</v>
      </c>
      <c r="C43" s="8" t="s">
        <v>253</v>
      </c>
      <c r="D43" s="8">
        <v>6</v>
      </c>
      <c r="E43" s="8">
        <v>14</v>
      </c>
      <c r="F43" s="8">
        <v>15</v>
      </c>
      <c r="G43" s="8">
        <v>8</v>
      </c>
      <c r="H43" s="8">
        <v>12</v>
      </c>
      <c r="P43" s="8">
        <v>55</v>
      </c>
      <c r="Q43" s="8" t="s">
        <v>253</v>
      </c>
    </row>
    <row r="44" spans="1:17" ht="15.75" customHeight="1" x14ac:dyDescent="0.35">
      <c r="A44" s="8" t="s">
        <v>168</v>
      </c>
      <c r="B44" s="8" t="s">
        <v>193</v>
      </c>
      <c r="C44" s="8" t="s">
        <v>254</v>
      </c>
      <c r="D44" s="8">
        <v>30</v>
      </c>
      <c r="E44" s="8">
        <v>11</v>
      </c>
      <c r="F44" s="8">
        <v>8</v>
      </c>
      <c r="G44" s="8">
        <v>5</v>
      </c>
      <c r="H44" s="8">
        <v>0</v>
      </c>
      <c r="P44" s="8">
        <v>54</v>
      </c>
      <c r="Q44" s="8" t="s">
        <v>254</v>
      </c>
    </row>
    <row r="45" spans="1:17" ht="15.75" customHeight="1" x14ac:dyDescent="0.35">
      <c r="A45" s="8" t="s">
        <v>166</v>
      </c>
      <c r="B45" s="8" t="s">
        <v>193</v>
      </c>
      <c r="C45" s="8" t="s">
        <v>255</v>
      </c>
      <c r="D45" s="8">
        <v>8</v>
      </c>
      <c r="E45" s="8">
        <v>1</v>
      </c>
      <c r="F45" s="8">
        <v>3</v>
      </c>
      <c r="G45" s="8">
        <v>2</v>
      </c>
      <c r="H45" s="8">
        <v>0</v>
      </c>
      <c r="P45" s="8">
        <v>14</v>
      </c>
      <c r="Q45" s="8" t="s">
        <v>255</v>
      </c>
    </row>
    <row r="46" spans="1:17" ht="15.75" customHeight="1" x14ac:dyDescent="0.35">
      <c r="A46" s="8" t="s">
        <v>169</v>
      </c>
      <c r="B46" s="8" t="s">
        <v>193</v>
      </c>
      <c r="C46" s="8" t="s">
        <v>256</v>
      </c>
      <c r="D46" s="8">
        <v>1</v>
      </c>
      <c r="E46" s="8">
        <v>2</v>
      </c>
      <c r="F46" s="8">
        <v>0</v>
      </c>
      <c r="G46" s="8">
        <v>1</v>
      </c>
      <c r="H46" s="8">
        <v>0</v>
      </c>
      <c r="P46" s="8">
        <v>4</v>
      </c>
      <c r="Q46" s="8" t="s">
        <v>256</v>
      </c>
    </row>
    <row r="47" spans="1:17" ht="15.75" customHeight="1" x14ac:dyDescent="0.35">
      <c r="A47" s="8" t="s">
        <v>168</v>
      </c>
      <c r="B47" s="8" t="s">
        <v>192</v>
      </c>
      <c r="C47" s="8" t="s">
        <v>257</v>
      </c>
      <c r="D47" s="8">
        <v>0</v>
      </c>
      <c r="E47" s="8">
        <v>1</v>
      </c>
      <c r="F47" s="8">
        <v>2</v>
      </c>
      <c r="G47" s="8">
        <v>0</v>
      </c>
      <c r="H47" s="8">
        <v>1</v>
      </c>
      <c r="P47" s="8">
        <v>4</v>
      </c>
      <c r="Q47" s="8" t="s">
        <v>257</v>
      </c>
    </row>
    <row r="48" spans="1:17" ht="15.75" customHeight="1" x14ac:dyDescent="0.35">
      <c r="C48" s="8" t="s">
        <v>258</v>
      </c>
      <c r="D48" s="8">
        <v>16715</v>
      </c>
      <c r="E48" s="8">
        <v>16891</v>
      </c>
      <c r="F48" s="8">
        <v>27639</v>
      </c>
      <c r="G48" s="8">
        <v>21255</v>
      </c>
      <c r="H48" s="8">
        <v>28386</v>
      </c>
      <c r="P48" s="8">
        <v>110886</v>
      </c>
      <c r="Q48" s="8" t="s">
        <v>258</v>
      </c>
    </row>
    <row r="49" spans="3:17" ht="15.75" customHeight="1" x14ac:dyDescent="0.35">
      <c r="C49" s="8" t="s">
        <v>259</v>
      </c>
      <c r="D49" s="8">
        <v>12009</v>
      </c>
      <c r="E49" s="8">
        <v>16845</v>
      </c>
      <c r="F49" s="8">
        <v>26443</v>
      </c>
      <c r="G49" s="8">
        <v>19623</v>
      </c>
      <c r="H49" s="8">
        <v>24307</v>
      </c>
      <c r="I49" s="8">
        <v>25029</v>
      </c>
      <c r="J49" s="8">
        <v>29598</v>
      </c>
      <c r="K49" s="8">
        <v>36347</v>
      </c>
      <c r="L49" s="8">
        <v>44544</v>
      </c>
      <c r="M49" s="8">
        <v>34074</v>
      </c>
      <c r="N49" s="8">
        <v>42588</v>
      </c>
      <c r="O49" s="8">
        <v>49900</v>
      </c>
      <c r="P49" s="8">
        <v>361307</v>
      </c>
      <c r="Q49" s="8" t="s">
        <v>259</v>
      </c>
    </row>
    <row r="50" spans="3:17" ht="15.75" customHeight="1" x14ac:dyDescent="0.35">
      <c r="C50" s="8" t="s">
        <v>260</v>
      </c>
      <c r="D50" s="8">
        <v>159468</v>
      </c>
      <c r="E50" s="8">
        <v>111541</v>
      </c>
      <c r="F50" s="8">
        <v>224335</v>
      </c>
      <c r="G50" s="8">
        <v>166200</v>
      </c>
      <c r="P50" s="8">
        <v>661544</v>
      </c>
      <c r="Q50" s="8" t="s">
        <v>260</v>
      </c>
    </row>
    <row r="51" spans="3:17" ht="15.75" customHeight="1" x14ac:dyDescent="0.35">
      <c r="C51" s="8" t="s">
        <v>261</v>
      </c>
      <c r="D51" s="8">
        <v>82000</v>
      </c>
      <c r="E51" s="8">
        <v>81000</v>
      </c>
      <c r="F51" s="8">
        <v>141000</v>
      </c>
      <c r="G51" s="8">
        <v>128450</v>
      </c>
      <c r="H51" s="8">
        <v>159346</v>
      </c>
      <c r="I51" s="8">
        <v>160894</v>
      </c>
      <c r="J51" s="8">
        <v>144975</v>
      </c>
      <c r="K51" s="8">
        <v>175362</v>
      </c>
      <c r="L51" s="8">
        <v>206500</v>
      </c>
      <c r="M51" s="8">
        <v>214800</v>
      </c>
      <c r="N51" s="8">
        <v>237553</v>
      </c>
      <c r="O51" s="8">
        <v>286367</v>
      </c>
      <c r="P51" s="8">
        <v>2018247</v>
      </c>
      <c r="Q51" s="8" t="s">
        <v>261</v>
      </c>
    </row>
    <row r="52" spans="3:17" ht="15.75" customHeight="1" x14ac:dyDescent="0.3"/>
    <row r="53" spans="3:17" ht="15.75" customHeight="1" x14ac:dyDescent="0.3"/>
    <row r="54" spans="3:17" ht="15.75" customHeight="1" x14ac:dyDescent="0.3"/>
    <row r="55" spans="3:17" ht="15.75" customHeight="1" x14ac:dyDescent="0.3"/>
    <row r="56" spans="3:17" ht="15.75" customHeight="1" x14ac:dyDescent="0.3"/>
    <row r="57" spans="3:17" ht="15.75" customHeight="1" x14ac:dyDescent="0.3"/>
    <row r="58" spans="3:17" ht="15.75" customHeight="1" x14ac:dyDescent="0.3"/>
    <row r="59" spans="3:17" ht="15.75" customHeight="1" x14ac:dyDescent="0.3"/>
    <row r="60" spans="3:17" ht="15.75" customHeight="1" x14ac:dyDescent="0.3"/>
    <row r="61" spans="3:17" ht="15.75" customHeight="1" x14ac:dyDescent="0.3"/>
    <row r="62" spans="3:17" ht="15.75" customHeight="1" x14ac:dyDescent="0.3"/>
    <row r="63" spans="3:17" ht="15.75" customHeight="1" x14ac:dyDescent="0.3"/>
    <row r="64" spans="3:1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3"/>
  <cols>
    <col min="1" max="1" width="25.1640625" customWidth="1"/>
    <col min="2" max="2" width="15.1640625" customWidth="1"/>
    <col min="3" max="26" width="7.6640625" customWidth="1"/>
  </cols>
  <sheetData>
    <row r="1" spans="1:4" ht="14.5" x14ac:dyDescent="0.35">
      <c r="A1" s="45" t="s">
        <v>262</v>
      </c>
      <c r="B1" s="8" t="s">
        <v>263</v>
      </c>
      <c r="C1" s="8" t="s">
        <v>264</v>
      </c>
      <c r="D1" s="8" t="s">
        <v>265</v>
      </c>
    </row>
    <row r="2" spans="1:4" ht="14.5" x14ac:dyDescent="0.35">
      <c r="A2" s="46"/>
      <c r="B2" s="8" t="s">
        <v>266</v>
      </c>
      <c r="C2" s="8" t="s">
        <v>267</v>
      </c>
      <c r="D2" s="8" t="s">
        <v>268</v>
      </c>
    </row>
    <row r="3" spans="1:4" ht="14.5" x14ac:dyDescent="0.35">
      <c r="A3" s="46"/>
      <c r="C3" s="8">
        <v>200000</v>
      </c>
      <c r="D3" s="8" t="s">
        <v>269</v>
      </c>
    </row>
    <row r="4" spans="1:4" ht="14.5" x14ac:dyDescent="0.35">
      <c r="A4" s="46"/>
      <c r="D4" s="8">
        <v>200000</v>
      </c>
    </row>
    <row r="5" spans="1:4" ht="14.5" x14ac:dyDescent="0.35">
      <c r="A5" s="8" t="s">
        <v>162</v>
      </c>
      <c r="B5" s="8">
        <v>10218</v>
      </c>
      <c r="C5" s="8">
        <v>189782</v>
      </c>
      <c r="D5" s="8">
        <v>2025</v>
      </c>
    </row>
    <row r="6" spans="1:4" ht="14.5" x14ac:dyDescent="0.35">
      <c r="A6" s="8" t="s">
        <v>163</v>
      </c>
      <c r="B6" s="8">
        <v>85888</v>
      </c>
      <c r="C6" s="8">
        <v>114112</v>
      </c>
      <c r="D6" s="8">
        <v>2023</v>
      </c>
    </row>
    <row r="7" spans="1:4" ht="14.5" x14ac:dyDescent="0.35">
      <c r="A7" s="8" t="s">
        <v>164</v>
      </c>
      <c r="B7" s="8">
        <v>39855</v>
      </c>
      <c r="C7" s="8">
        <v>160145</v>
      </c>
      <c r="D7" s="8">
        <v>2025</v>
      </c>
    </row>
    <row r="8" spans="1:4" ht="14.5" x14ac:dyDescent="0.35">
      <c r="A8" s="8" t="s">
        <v>165</v>
      </c>
      <c r="B8" s="8">
        <v>114247</v>
      </c>
      <c r="C8" s="8">
        <v>88753</v>
      </c>
      <c r="D8" s="8">
        <v>2023</v>
      </c>
    </row>
    <row r="9" spans="1:4" ht="14.5" x14ac:dyDescent="0.35">
      <c r="A9" s="8" t="s">
        <v>166</v>
      </c>
      <c r="B9" s="8">
        <v>211587</v>
      </c>
      <c r="C9" s="8">
        <v>-11587</v>
      </c>
      <c r="D9" s="8" t="s">
        <v>270</v>
      </c>
    </row>
    <row r="10" spans="1:4" ht="14.5" x14ac:dyDescent="0.35">
      <c r="A10" s="8" t="s">
        <v>161</v>
      </c>
      <c r="B10" s="8">
        <v>27636</v>
      </c>
      <c r="C10" s="8">
        <v>172364</v>
      </c>
      <c r="D10" s="8">
        <v>2025</v>
      </c>
    </row>
    <row r="11" spans="1:4" ht="14.5" x14ac:dyDescent="0.35">
      <c r="A11" s="8" t="s">
        <v>167</v>
      </c>
      <c r="B11" s="8">
        <v>9157</v>
      </c>
      <c r="C11" s="8">
        <v>190843</v>
      </c>
      <c r="D11" s="8">
        <v>2025</v>
      </c>
    </row>
    <row r="12" spans="1:4" ht="14.5" x14ac:dyDescent="0.35">
      <c r="A12" s="8" t="s">
        <v>184</v>
      </c>
      <c r="B12" s="8">
        <v>1001</v>
      </c>
      <c r="C12" s="8">
        <v>198999</v>
      </c>
      <c r="D12" s="8">
        <v>2027</v>
      </c>
    </row>
    <row r="13" spans="1:4" ht="14.5" x14ac:dyDescent="0.35">
      <c r="A13" s="8" t="s">
        <v>168</v>
      </c>
      <c r="B13" s="8">
        <v>13325</v>
      </c>
      <c r="C13" s="8">
        <v>186675</v>
      </c>
      <c r="D13" s="8">
        <v>2025</v>
      </c>
    </row>
    <row r="14" spans="1:4" ht="14.5" x14ac:dyDescent="0.35">
      <c r="A14" s="8" t="s">
        <v>169</v>
      </c>
      <c r="B14" s="8">
        <v>19193</v>
      </c>
      <c r="C14" s="8">
        <v>180807</v>
      </c>
      <c r="D14" s="8">
        <v>2024</v>
      </c>
    </row>
    <row r="15" spans="1:4" ht="14.5" x14ac:dyDescent="0.35">
      <c r="A15" s="8" t="s">
        <v>170</v>
      </c>
      <c r="B15" s="8">
        <v>7004</v>
      </c>
      <c r="C15" s="8">
        <v>192996</v>
      </c>
      <c r="D15" s="8">
        <v>2025</v>
      </c>
    </row>
    <row r="16" spans="1:4" ht="14.5" x14ac:dyDescent="0.35">
      <c r="A16" s="8" t="s">
        <v>171</v>
      </c>
      <c r="B16" s="8">
        <v>132227</v>
      </c>
      <c r="C16" s="8">
        <v>67773</v>
      </c>
      <c r="D16" s="8">
        <v>2021</v>
      </c>
    </row>
    <row r="17" spans="1:4" ht="14.5" x14ac:dyDescent="0.35">
      <c r="A17" s="8" t="s">
        <v>172</v>
      </c>
      <c r="B17" s="8">
        <v>10712</v>
      </c>
      <c r="C17" s="8">
        <v>189288</v>
      </c>
      <c r="D17" s="8">
        <v>2025</v>
      </c>
    </row>
    <row r="18" spans="1:4" ht="14.5" x14ac:dyDescent="0.35">
      <c r="A18" s="8" t="s">
        <v>173</v>
      </c>
      <c r="B18" s="8">
        <v>382573</v>
      </c>
      <c r="C18" s="8">
        <v>-182573</v>
      </c>
      <c r="D18" s="8" t="s">
        <v>271</v>
      </c>
    </row>
    <row r="19" spans="1:4" ht="14.5" x14ac:dyDescent="0.35">
      <c r="A19" s="8" t="s">
        <v>174</v>
      </c>
      <c r="B19" s="8">
        <v>99918</v>
      </c>
      <c r="C19" s="8">
        <v>100082</v>
      </c>
      <c r="D19" s="8">
        <v>2021</v>
      </c>
    </row>
    <row r="20" spans="1:4" ht="14.5" x14ac:dyDescent="0.35">
      <c r="A20" s="8" t="s">
        <v>176</v>
      </c>
      <c r="B20" s="8">
        <v>9841</v>
      </c>
      <c r="C20" s="8">
        <v>190159</v>
      </c>
      <c r="D20" s="8">
        <v>2024</v>
      </c>
    </row>
    <row r="21" spans="1:4" ht="15.75" customHeight="1" x14ac:dyDescent="0.35">
      <c r="A21" s="8" t="s">
        <v>175</v>
      </c>
      <c r="B21" s="8">
        <v>14277</v>
      </c>
      <c r="C21" s="8">
        <v>185723</v>
      </c>
      <c r="D21" s="8">
        <v>2023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F2" sqref="F2:W2"/>
    </sheetView>
  </sheetViews>
  <sheetFormatPr defaultColWidth="12.6640625" defaultRowHeight="15" customHeight="1" x14ac:dyDescent="0.3"/>
  <cols>
    <col min="1" max="1" width="13.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38">
        <f>C2</f>
        <v>4653.658931496745</v>
      </c>
      <c r="C2" s="38">
        <f>D2</f>
        <v>4653.658931496745</v>
      </c>
      <c r="D2" s="38">
        <f>E2</f>
        <v>4653.658931496745</v>
      </c>
      <c r="E2" s="39">
        <f>Data!A33*About!$A46</f>
        <v>4653.658931496745</v>
      </c>
      <c r="F2" s="12">
        <f>Data!B33*About!$A46</f>
        <v>4653.6589314967441</v>
      </c>
      <c r="G2" s="12">
        <f>Data!C33*About!$A46</f>
        <v>4653.658931496745</v>
      </c>
      <c r="H2" s="12">
        <f>Data!D33*About!$A46</f>
        <v>3914.8600503415046</v>
      </c>
      <c r="I2" s="12">
        <f>Data!E33*About!$A46</f>
        <v>4020.3067451959023</v>
      </c>
      <c r="J2" s="12">
        <f>Data!F33*About!$A46</f>
        <v>3665.0376657416527</v>
      </c>
      <c r="K2" s="12">
        <f>Data!G33*About!$A46</f>
        <v>3489.1731712507876</v>
      </c>
      <c r="L2" s="12">
        <f>Data!H33*About!$A46</f>
        <v>3489.1731712507881</v>
      </c>
      <c r="M2" s="12">
        <f>Data!I33*About!$A46</f>
        <v>3321.3488822398863</v>
      </c>
      <c r="N2" s="12">
        <f>Data!J33*About!$A46</f>
        <v>660.0168677582767</v>
      </c>
      <c r="O2" s="12">
        <f>Data!K33*About!$A46</f>
        <v>551.71409991248697</v>
      </c>
      <c r="P2" s="12">
        <f>Data!L33*About!$A46</f>
        <v>213.12544675249106</v>
      </c>
      <c r="Q2" s="12">
        <f>Data!M33*About!$A46</f>
        <v>16.320417093659206</v>
      </c>
      <c r="R2" s="12">
        <f>Data!N33*About!$A46</f>
        <v>16.320417093659209</v>
      </c>
      <c r="S2" s="12">
        <f>Data!O33*About!$A46</f>
        <v>16.320417093659206</v>
      </c>
      <c r="T2" s="12">
        <f>Data!P33*About!$A46</f>
        <v>16.320417093659209</v>
      </c>
      <c r="U2" s="12">
        <f>Data!Q33*About!$A46</f>
        <v>16.320417093659206</v>
      </c>
      <c r="V2" s="12">
        <f>Data!R33*About!$A46</f>
        <v>16.320417093659206</v>
      </c>
      <c r="W2" s="12">
        <f>Data!S33*About!$A46</f>
        <v>16.320417093659209</v>
      </c>
      <c r="X2" s="12">
        <f>Data!T33*About!$A46</f>
        <v>0</v>
      </c>
      <c r="Y2" s="12">
        <f>Data!U33*About!$A46</f>
        <v>0</v>
      </c>
      <c r="Z2" s="12">
        <f>Data!V33*About!$A46</f>
        <v>0</v>
      </c>
      <c r="AA2" s="12">
        <f>Data!W33*About!$A46</f>
        <v>0</v>
      </c>
      <c r="AB2" s="12">
        <f>Data!X33*About!$A46</f>
        <v>0</v>
      </c>
      <c r="AC2" s="12">
        <f>Data!Y33*About!$A46</f>
        <v>0</v>
      </c>
      <c r="AD2" s="12">
        <f>Data!Z33*About!$A46</f>
        <v>0</v>
      </c>
      <c r="AE2" s="12">
        <f>Data!AA33*About!$A46</f>
        <v>0</v>
      </c>
      <c r="AF2" s="12">
        <f>Data!AB33*About!$A46</f>
        <v>0</v>
      </c>
      <c r="AG2" s="12">
        <f>Data!AC33*About!$A46</f>
        <v>0</v>
      </c>
      <c r="AH2" s="12">
        <f>Data!AD33*About!$A46</f>
        <v>0</v>
      </c>
      <c r="AI2" s="12">
        <f>Data!AE33*About!$A46</f>
        <v>0</v>
      </c>
      <c r="AJ2" s="12">
        <f>Data!AF33*About!$A46</f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f>Data!B35</f>
        <v>0</v>
      </c>
      <c r="G3" s="10">
        <f>Data!C35</f>
        <v>0</v>
      </c>
      <c r="H3" s="10">
        <f>Data!D35</f>
        <v>0</v>
      </c>
      <c r="I3" s="10">
        <f>Data!E35</f>
        <v>0</v>
      </c>
      <c r="J3" s="10">
        <f>Data!F35</f>
        <v>0</v>
      </c>
      <c r="K3" s="10">
        <f>Data!G35</f>
        <v>0</v>
      </c>
      <c r="L3" s="10">
        <f>Data!H35</f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3"/>
  <cols>
    <col min="1" max="1" width="14.664062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Daniel O'Brien</cp:lastModifiedBy>
  <dcterms:created xsi:type="dcterms:W3CDTF">2017-06-20T00:56:40Z</dcterms:created>
  <dcterms:modified xsi:type="dcterms:W3CDTF">2023-03-08T14:07:36Z</dcterms:modified>
</cp:coreProperties>
</file>