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maryland\InputData\trans\BESP\"/>
    </mc:Choice>
  </mc:AlternateContent>
  <xr:revisionPtr revIDLastSave="0" documentId="13_ncr:1_{961AEFFE-5310-4A6C-8343-1D491005315D}" xr6:coauthVersionLast="47" xr6:coauthVersionMax="47" xr10:uidLastSave="{00000000-0000-0000-0000-000000000000}"/>
  <bookViews>
    <workbookView xWindow="59730" yWindow="2805" windowWidth="24480" windowHeight="13800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2" l="1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33" i="2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C15" i="3" s="1"/>
  <c r="D15" i="3" s="1"/>
  <c r="B14" i="3" a="1"/>
  <c r="B14" i="3" s="1"/>
  <c r="C13" i="3"/>
  <c r="D13" i="3" s="1"/>
  <c r="C83" i="3" s="1"/>
  <c r="B13" i="3" a="1"/>
  <c r="B13" i="3"/>
  <c r="B12" i="3" a="1"/>
  <c r="B12" i="3"/>
  <c r="B11" i="3" a="1"/>
  <c r="B11" i="3" s="1"/>
  <c r="C11" i="3" s="1"/>
  <c r="D11" i="3" s="1"/>
  <c r="B10" i="3" a="1"/>
  <c r="B10" i="3"/>
  <c r="C10" i="3" s="1"/>
  <c r="B9" i="3" a="1"/>
  <c r="B9" i="3" s="1"/>
  <c r="C9" i="3" s="1"/>
  <c r="D9" i="3" s="1"/>
  <c r="B8" i="3" a="1"/>
  <c r="B8" i="3" s="1"/>
  <c r="B7" i="3" a="1"/>
  <c r="B7" i="3"/>
  <c r="C7" i="3" s="1"/>
  <c r="D7" i="3" s="1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4" i="3" l="1"/>
  <c r="D4" i="3" s="1"/>
  <c r="C18" i="3"/>
  <c r="C8" i="3"/>
  <c r="D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C88" i="3" s="1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4" i="3"/>
  <c r="E4" i="3"/>
  <c r="C77" i="3"/>
  <c r="E7" i="3"/>
  <c r="C78" i="3"/>
  <c r="E8" i="3"/>
  <c r="C79" i="3"/>
  <c r="E9" i="3"/>
  <c r="C81" i="3"/>
  <c r="E11" i="3"/>
  <c r="C85" i="3"/>
  <c r="E15" i="3"/>
  <c r="E5" i="3"/>
  <c r="E13" i="3"/>
  <c r="E12" i="3" l="1"/>
  <c r="E18" i="3"/>
  <c r="E16" i="3"/>
  <c r="F16" i="3" s="1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D86" i="3"/>
  <c r="D83" i="3"/>
  <c r="F13" i="3"/>
  <c r="D74" i="3"/>
  <c r="F4" i="3"/>
  <c r="D75" i="3"/>
  <c r="F5" i="3"/>
  <c r="D85" i="3"/>
  <c r="F15" i="3"/>
  <c r="D80" i="3"/>
  <c r="C73" i="3"/>
  <c r="E3" i="3"/>
  <c r="D79" i="3"/>
  <c r="F9" i="3"/>
  <c r="D76" i="3"/>
  <c r="F6" i="3"/>
  <c r="D77" i="3"/>
  <c r="F7" i="3"/>
  <c r="D84" i="3"/>
  <c r="F14" i="3"/>
  <c r="C89" i="3"/>
  <c r="E19" i="3"/>
  <c r="D87" i="3" l="1"/>
  <c r="C92" i="3"/>
  <c r="A3" i="2" s="1"/>
  <c r="E2" i="6" s="1"/>
  <c r="D2" i="6" s="1"/>
  <c r="C2" i="6" s="1"/>
  <c r="B2" i="6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F2" i="6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92" i="3" l="1"/>
  <c r="C3" i="2" s="1"/>
  <c r="G2" i="6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H2" i="6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K92" i="3" s="1"/>
  <c r="M2" i="6" s="1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2" i="6" s="1"/>
  <c r="L88" i="3"/>
  <c r="N18" i="3"/>
  <c r="L85" i="3"/>
  <c r="N15" i="3"/>
  <c r="L78" i="3"/>
  <c r="N8" i="3"/>
  <c r="M85" i="3" l="1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Q2" i="6" s="1"/>
  <c r="Q3" i="3"/>
  <c r="N92" i="3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2" i="6" s="1"/>
  <c r="T3" i="3"/>
  <c r="S87" i="3"/>
  <c r="U17" i="3"/>
  <c r="Q92" i="3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V2" i="6" s="1"/>
  <c r="U92" i="3" l="1"/>
  <c r="W2" i="6" s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2" i="6" s="1"/>
  <c r="Z3" i="3"/>
  <c r="Y77" i="3"/>
  <c r="AA7" i="3"/>
  <c r="Y82" i="3"/>
  <c r="AA12" i="3"/>
  <c r="Y84" i="3"/>
  <c r="AA14" i="3"/>
  <c r="W92" i="3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s="1"/>
  <c r="AF2" i="6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F92" i="3" s="1"/>
  <c r="AD3" i="2" s="1"/>
  <c r="AH2" i="6" s="1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s="1"/>
  <c r="AG2" i="6" s="1"/>
  <c r="AG89" i="3" l="1"/>
  <c r="AI19" i="3"/>
  <c r="AH89" i="3" s="1"/>
  <c r="AG73" i="3"/>
  <c r="AG92" i="3" s="1"/>
  <c r="AE3" i="2" s="1"/>
  <c r="AI2" i="6" s="1"/>
  <c r="AI3" i="3"/>
  <c r="AH73" i="3" s="1"/>
  <c r="AH92" i="3" s="1"/>
  <c r="AF3" i="2" s="1"/>
  <c r="AJ2" i="6" s="1"/>
</calcChain>
</file>

<file path=xl/sharedStrings.xml><?xml version="1.0" encoding="utf-8"?>
<sst xmlns="http://schemas.openxmlformats.org/spreadsheetml/2006/main" count="555" uniqueCount="284">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</sst>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  <numFmt numFmtId="167" formatCode="0.000"/>
  </numFmts>
  <fonts count="11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1"/>
  </cellStyleXfs>
  <cellXfs count="55">
    <xf numFmtId="0" fontId="0" fillId="0" borderId="0" xfId="0" applyBorder="1"/>
    <xf numFmtId="0" fontId="1" fillId="0" borderId="0" xfId="0" applyFont="1" applyBorder="1"/>
    <xf numFmtId="0" fontId="2" fillId="0" borderId="0" xfId="0" applyFont="1" applyBorder="1" applyAlignment="1">
      <alignment horizontal="left"/>
    </xf>
    <xf numFmtId="0" fontId="4" fillId="0" borderId="0" xfId="0" applyFont="1" applyBorder="1" applyAlignment="1">
      <alignment vertical="center"/>
    </xf>
    <xf numFmtId="0" fontId="5" fillId="0" borderId="0" xfId="0" applyFont="1" applyBorder="1" applyAlignment="1">
      <alignment horizontal="left"/>
    </xf>
    <xf numFmtId="0" fontId="6" fillId="0" borderId="0" xfId="0" applyFont="1" applyBorder="1"/>
    <xf numFmtId="0" fontId="1" fillId="2" borderId="1" xfId="0" applyFont="1" applyFill="1" applyAlignment="1">
      <alignment horizontal="left"/>
    </xf>
    <xf numFmtId="0" fontId="7" fillId="0" borderId="0" xfId="0" applyFont="1" applyBorder="1"/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38" fontId="5" fillId="0" borderId="0" xfId="0" applyNumberFormat="1" applyFont="1" applyBorder="1"/>
    <xf numFmtId="2" fontId="5" fillId="0" borderId="0" xfId="0" applyNumberFormat="1" applyFont="1" applyBorder="1"/>
    <xf numFmtId="9" fontId="5" fillId="0" borderId="0" xfId="0" applyNumberFormat="1" applyFont="1" applyBorder="1"/>
    <xf numFmtId="38" fontId="5" fillId="0" borderId="0" xfId="0" applyNumberFormat="1" applyFont="1" applyBorder="1" applyAlignment="1">
      <alignment horizontal="right"/>
    </xf>
    <xf numFmtId="1" fontId="5" fillId="0" borderId="0" xfId="0" applyNumberFormat="1" applyFont="1" applyBorder="1"/>
    <xf numFmtId="11" fontId="5" fillId="0" borderId="0" xfId="0" applyNumberFormat="1" applyFont="1" applyBorder="1"/>
    <xf numFmtId="0" fontId="1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5" fillId="0" borderId="0" xfId="0" applyNumberFormat="1" applyFont="1" applyBorder="1"/>
    <xf numFmtId="6" fontId="1" fillId="0" borderId="0" xfId="0" applyNumberFormat="1" applyFont="1" applyBorder="1"/>
    <xf numFmtId="6" fontId="5" fillId="0" borderId="0" xfId="0" applyNumberFormat="1" applyFont="1" applyBorder="1" applyAlignment="1">
      <alignment horizontal="right"/>
    </xf>
    <xf numFmtId="6" fontId="10" fillId="0" borderId="0" xfId="0" applyNumberFormat="1" applyFont="1" applyBorder="1"/>
    <xf numFmtId="164" fontId="5" fillId="0" borderId="0" xfId="0" applyNumberFormat="1" applyFont="1" applyBorder="1"/>
    <xf numFmtId="165" fontId="5" fillId="0" borderId="0" xfId="0" applyNumberFormat="1" applyFont="1" applyBorder="1"/>
    <xf numFmtId="166" fontId="5" fillId="0" borderId="0" xfId="0" applyNumberFormat="1" applyFont="1" applyBorder="1"/>
    <xf numFmtId="167" fontId="5" fillId="2" borderId="1" xfId="0" applyNumberFormat="1" applyFont="1" applyFill="1"/>
    <xf numFmtId="167" fontId="5" fillId="0" borderId="0" xfId="0" applyNumberFormat="1" applyFont="1" applyBorder="1"/>
    <xf numFmtId="0" fontId="0" fillId="0" borderId="1" xfId="0"/>
    <xf numFmtId="14" fontId="3" fillId="0" borderId="0" xfId="0" applyNumberFormat="1" applyFont="1" applyBorder="1"/>
    <xf numFmtId="0" fontId="2" fillId="0" borderId="0" xfId="0" applyFont="1" applyBorder="1"/>
    <xf numFmtId="0" fontId="5" fillId="0" borderId="1" xfId="0" applyFont="1"/>
    <xf numFmtId="0" fontId="5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1">
    <cellStyle name="Normal" xfId="0" builtinId="0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4965.485754629626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opLeftCell="A16" workbookViewId="0">
      <selection activeCell="B46" sqref="B46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55</v>
      </c>
      <c r="C1" s="41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MD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3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40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B44" s="4"/>
      <c r="F44" s="5" t="s">
        <v>112</v>
      </c>
      <c r="G44" s="5" t="s">
        <v>113</v>
      </c>
    </row>
    <row r="45" spans="1:7" ht="15.75" customHeight="1" x14ac:dyDescent="0.35">
      <c r="B45" s="4"/>
      <c r="F45" s="5" t="s">
        <v>114</v>
      </c>
      <c r="G45" s="5" t="s">
        <v>115</v>
      </c>
    </row>
    <row r="46" spans="1:7" ht="15.75" customHeight="1" x14ac:dyDescent="0.35">
      <c r="B46" s="4"/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topLeftCell="K10" workbookViewId="0">
      <selection activeCell="A33" sqref="A33:AF33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5" x14ac:dyDescent="0.35">
      <c r="A1" s="1" t="s">
        <v>128</v>
      </c>
    </row>
    <row r="2" spans="1:32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ht="14.5" x14ac:dyDescent="0.35">
      <c r="A4" s="31"/>
      <c r="E4" s="42" t="s">
        <v>281</v>
      </c>
    </row>
    <row r="5" spans="1:32" ht="14.5" x14ac:dyDescent="0.35">
      <c r="A5" s="32" t="s">
        <v>129</v>
      </c>
    </row>
    <row r="6" spans="1:32" ht="14.5" x14ac:dyDescent="0.35">
      <c r="A6" s="31" t="s">
        <v>130</v>
      </c>
    </row>
    <row r="7" spans="1:32" ht="14.5" x14ac:dyDescent="0.35">
      <c r="A7" s="31" t="s">
        <v>131</v>
      </c>
    </row>
    <row r="8" spans="1:32" ht="14.5" x14ac:dyDescent="0.35">
      <c r="A8" s="32" t="s">
        <v>132</v>
      </c>
      <c r="B8" s="1" t="s">
        <v>2</v>
      </c>
      <c r="C8" s="1" t="s">
        <v>133</v>
      </c>
    </row>
    <row r="9" spans="1:32" ht="14.5" x14ac:dyDescent="0.35">
      <c r="A9" s="31">
        <v>2500</v>
      </c>
      <c r="B9" s="8" t="s">
        <v>15</v>
      </c>
      <c r="C9" s="8">
        <v>39250017</v>
      </c>
    </row>
    <row r="10" spans="1:32" ht="14.5" x14ac:dyDescent="0.35">
      <c r="A10" s="31">
        <v>5000</v>
      </c>
      <c r="B10" s="8" t="s">
        <v>18</v>
      </c>
      <c r="C10" s="8">
        <v>5540545</v>
      </c>
    </row>
    <row r="11" spans="1:32" ht="14.5" x14ac:dyDescent="0.35">
      <c r="A11" s="31">
        <v>3500</v>
      </c>
      <c r="B11" s="8" t="s">
        <v>23</v>
      </c>
      <c r="C11" s="8">
        <v>952065</v>
      </c>
    </row>
    <row r="12" spans="1:32" ht="14.5" x14ac:dyDescent="0.35">
      <c r="A12" s="33">
        <v>1500</v>
      </c>
      <c r="B12" s="8" t="s">
        <v>50</v>
      </c>
      <c r="C12" s="8">
        <v>4681666</v>
      </c>
    </row>
    <row r="13" spans="1:32" ht="14.5" x14ac:dyDescent="0.35">
      <c r="A13" s="31">
        <v>2500</v>
      </c>
      <c r="B13" s="8" t="s">
        <v>58</v>
      </c>
      <c r="C13" s="8">
        <v>6811779</v>
      </c>
    </row>
    <row r="14" spans="1:32" ht="14.5" x14ac:dyDescent="0.35">
      <c r="A14" s="31">
        <v>1500</v>
      </c>
      <c r="B14" s="8" t="s">
        <v>97</v>
      </c>
      <c r="C14" s="8">
        <v>3923561</v>
      </c>
    </row>
    <row r="15" spans="1:32" ht="14.5" x14ac:dyDescent="0.35">
      <c r="A15" s="31">
        <v>2500</v>
      </c>
      <c r="B15" s="8" t="s">
        <v>104</v>
      </c>
      <c r="C15" s="8">
        <v>1056426</v>
      </c>
    </row>
    <row r="16" spans="1:32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MD</v>
      </c>
    </row>
    <row r="22" spans="1:34" ht="15.75" customHeight="1" x14ac:dyDescent="0.35">
      <c r="A22" s="31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35">
      <c r="A23" s="31"/>
      <c r="B23" s="8" t="s">
        <v>138</v>
      </c>
      <c r="C23" s="8">
        <f t="shared" ref="C23:I24" si="1">SUMIFS(C$41:C$54,$A$41:$A$54,$C$21,$B$41:$B$54,$B23)</f>
        <v>2500</v>
      </c>
      <c r="D23" s="10">
        <f t="shared" si="1"/>
        <v>2500</v>
      </c>
      <c r="E23" s="10">
        <f t="shared" si="1"/>
        <v>2500</v>
      </c>
      <c r="F23" s="10">
        <f t="shared" si="1"/>
        <v>2500</v>
      </c>
      <c r="G23" s="10">
        <f t="shared" si="1"/>
        <v>2500</v>
      </c>
      <c r="H23" s="10">
        <f t="shared" si="1"/>
        <v>2500</v>
      </c>
      <c r="I23" s="10">
        <f t="shared" si="1"/>
        <v>2500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3"/>
    <row r="26" spans="1:34" ht="15.7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5245.8606136031603</v>
      </c>
      <c r="B33" s="12">
        <f t="shared" ref="B33:AF33" si="2">(B3+D23)</f>
        <v>5245.8606136031594</v>
      </c>
      <c r="C33" s="12">
        <f t="shared" si="2"/>
        <v>5245.8606136031603</v>
      </c>
      <c r="D33" s="12">
        <f t="shared" si="2"/>
        <v>4413.0458308533107</v>
      </c>
      <c r="E33" s="12">
        <f t="shared" si="2"/>
        <v>2500</v>
      </c>
      <c r="F33" s="12">
        <f t="shared" si="2"/>
        <v>2500</v>
      </c>
      <c r="G33" s="12">
        <f t="shared" si="2"/>
        <v>2500</v>
      </c>
      <c r="H33" s="12">
        <f t="shared" si="2"/>
        <v>0</v>
      </c>
      <c r="I33" s="12">
        <f t="shared" si="2"/>
        <v>0</v>
      </c>
      <c r="J33" s="12">
        <f t="shared" si="2"/>
        <v>0</v>
      </c>
      <c r="K33" s="12">
        <f t="shared" si="2"/>
        <v>0</v>
      </c>
      <c r="L33" s="12">
        <f t="shared" si="2"/>
        <v>0</v>
      </c>
      <c r="M33" s="12">
        <f t="shared" si="2"/>
        <v>0</v>
      </c>
      <c r="N33" s="12">
        <f t="shared" si="2"/>
        <v>0</v>
      </c>
      <c r="O33" s="12">
        <f t="shared" si="2"/>
        <v>0</v>
      </c>
      <c r="P33" s="12">
        <f t="shared" si="2"/>
        <v>0</v>
      </c>
      <c r="Q33" s="12">
        <f t="shared" si="2"/>
        <v>0</v>
      </c>
      <c r="R33" s="12">
        <f t="shared" si="2"/>
        <v>0</v>
      </c>
      <c r="S33" s="12">
        <f t="shared" si="2"/>
        <v>0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78" workbookViewId="0">
      <selection activeCell="D106" sqref="D106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6">
        <v>175</v>
      </c>
      <c r="I24" s="47">
        <v>210</v>
      </c>
      <c r="J24" s="48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49">
        <v>997</v>
      </c>
      <c r="I25" s="50">
        <v>1111</v>
      </c>
      <c r="J25" s="51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49">
        <v>72</v>
      </c>
      <c r="I26" s="50">
        <v>87</v>
      </c>
      <c r="J26" s="51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49">
        <v>557</v>
      </c>
      <c r="I27" s="50">
        <v>573</v>
      </c>
      <c r="J27" s="51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49">
        <v>2044</v>
      </c>
      <c r="I28" s="50">
        <v>2430</v>
      </c>
      <c r="J28" s="51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49">
        <v>1270</v>
      </c>
      <c r="I29" s="50">
        <v>1281</v>
      </c>
      <c r="J29" s="51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49">
        <v>111</v>
      </c>
      <c r="I30" s="50">
        <v>173</v>
      </c>
      <c r="J30" s="51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49">
        <v>210</v>
      </c>
      <c r="I31" s="50">
        <v>186</v>
      </c>
      <c r="J31" s="51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49">
        <v>309</v>
      </c>
      <c r="I32" s="50">
        <v>517</v>
      </c>
      <c r="J32" s="51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49">
        <v>398</v>
      </c>
      <c r="I33" s="50">
        <v>382</v>
      </c>
      <c r="J33" s="51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49">
        <v>133</v>
      </c>
      <c r="I34" s="50">
        <v>157</v>
      </c>
      <c r="J34" s="51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49">
        <v>717</v>
      </c>
      <c r="I35" s="50">
        <v>654</v>
      </c>
      <c r="J35" s="51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49">
        <v>215</v>
      </c>
      <c r="I36" s="50">
        <v>255</v>
      </c>
      <c r="J36" s="51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49"/>
      <c r="I37" s="50">
        <v>27</v>
      </c>
      <c r="J37" s="51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49">
        <v>8000</v>
      </c>
      <c r="I38" s="50">
        <v>7275</v>
      </c>
      <c r="J38" s="51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49">
        <v>1123</v>
      </c>
      <c r="I39" s="50">
        <v>1205</v>
      </c>
      <c r="J39" s="51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49">
        <v>220</v>
      </c>
      <c r="I40" s="50">
        <v>250</v>
      </c>
      <c r="J40" s="51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2">
        <v>164</v>
      </c>
      <c r="I41" s="53">
        <v>118</v>
      </c>
      <c r="J41" s="54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4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5"/>
      <c r="B2" s="8" t="s">
        <v>266</v>
      </c>
      <c r="C2" s="8" t="s">
        <v>267</v>
      </c>
      <c r="D2" s="8" t="s">
        <v>268</v>
      </c>
    </row>
    <row r="3" spans="1:4" ht="14.5" x14ac:dyDescent="0.35">
      <c r="A3" s="45"/>
      <c r="C3" s="8">
        <v>200000</v>
      </c>
      <c r="D3" s="8" t="s">
        <v>269</v>
      </c>
    </row>
    <row r="4" spans="1:4" ht="14.5" x14ac:dyDescent="0.35">
      <c r="A4" s="45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E2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38">
        <f>C2</f>
        <v>5245.8606136031603</v>
      </c>
      <c r="C2" s="38">
        <f>D2</f>
        <v>5245.8606136031603</v>
      </c>
      <c r="D2" s="38">
        <f>E2</f>
        <v>5245.8606136031603</v>
      </c>
      <c r="E2" s="39">
        <f>Data!A33</f>
        <v>5245.8606136031603</v>
      </c>
      <c r="F2" s="39">
        <f>Data!B33</f>
        <v>5245.8606136031594</v>
      </c>
      <c r="G2" s="39">
        <f>Data!C33</f>
        <v>5245.8606136031603</v>
      </c>
      <c r="H2" s="39">
        <f>Data!D33</f>
        <v>4413.0458308533107</v>
      </c>
      <c r="I2" s="39">
        <f>Data!E33</f>
        <v>2500</v>
      </c>
      <c r="J2" s="39">
        <f>Data!F33</f>
        <v>2500</v>
      </c>
      <c r="K2" s="39">
        <f>Data!G33</f>
        <v>2500</v>
      </c>
      <c r="L2" s="39">
        <f>Data!H33</f>
        <v>0</v>
      </c>
      <c r="M2" s="39">
        <f>Data!I33</f>
        <v>0</v>
      </c>
      <c r="N2" s="39">
        <f>Data!J33</f>
        <v>0</v>
      </c>
      <c r="O2" s="39">
        <f>Data!K33</f>
        <v>0</v>
      </c>
      <c r="P2" s="39">
        <f>Data!L33</f>
        <v>0</v>
      </c>
      <c r="Q2" s="39">
        <f>Data!M33</f>
        <v>0</v>
      </c>
      <c r="R2" s="39">
        <f>Data!N33</f>
        <v>0</v>
      </c>
      <c r="S2" s="39">
        <f>Data!O33</f>
        <v>0</v>
      </c>
      <c r="T2" s="39">
        <f>Data!P33</f>
        <v>0</v>
      </c>
      <c r="U2" s="39">
        <f>Data!Q33</f>
        <v>0</v>
      </c>
      <c r="V2" s="39">
        <f>Data!R33</f>
        <v>0</v>
      </c>
      <c r="W2" s="39">
        <f>Data!S33</f>
        <v>0</v>
      </c>
      <c r="X2" s="39">
        <f>Data!T33</f>
        <v>0</v>
      </c>
      <c r="Y2" s="39">
        <f>Data!U33</f>
        <v>0</v>
      </c>
      <c r="Z2" s="39">
        <f>Data!V33</f>
        <v>0</v>
      </c>
      <c r="AA2" s="39">
        <f>Data!W33</f>
        <v>0</v>
      </c>
      <c r="AB2" s="39">
        <f>Data!X33</f>
        <v>0</v>
      </c>
      <c r="AC2" s="39">
        <f>Data!Y33</f>
        <v>0</v>
      </c>
      <c r="AD2" s="39">
        <f>Data!Z33</f>
        <v>0</v>
      </c>
      <c r="AE2" s="39">
        <f>Data!AA33</f>
        <v>0</v>
      </c>
      <c r="AF2" s="39">
        <f>Data!AB33</f>
        <v>0</v>
      </c>
      <c r="AG2" s="39">
        <f>Data!AC33</f>
        <v>0</v>
      </c>
      <c r="AH2" s="39">
        <f>Data!AD33</f>
        <v>0</v>
      </c>
      <c r="AI2" s="39">
        <f>Data!AE33</f>
        <v>0</v>
      </c>
      <c r="AJ2" s="39">
        <f>Data!AF33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2023-02-08T16:39:55Z</dcterms:modified>
</cp:coreProperties>
</file>