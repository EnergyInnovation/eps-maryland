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BAADTbVT\"/>
    </mc:Choice>
  </mc:AlternateContent>
  <xr:revisionPtr revIDLastSave="0" documentId="8_{C1A60D20-CCBF-4C3C-84D9-D616C3758D70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F24" i="19" s="1"/>
  <c r="E101" i="19"/>
  <c r="F106" i="19"/>
  <c r="E108" i="19"/>
  <c r="E110" i="19"/>
  <c r="F105" i="19"/>
  <c r="E111" i="19"/>
  <c r="F107" i="19"/>
  <c r="D5" i="19"/>
  <c r="E13" i="19" s="1"/>
  <c r="E24" i="19" l="1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<sst xmlns="http://schemas.openxmlformats.org/spreadsheetml/2006/main" count="47076" uniqueCount="1879">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</sst>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87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MD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31754000000000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71567000000000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302170000000000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569000000000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245450874966737.84</v>
      </c>
      <c r="F21" s="26">
        <f t="shared" ref="F21" si="0">IFERROR(F101*F117*F132/F86,0)</f>
        <v>864244486280.0929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898130741613.85754</v>
      </c>
      <c r="F22" s="33">
        <f t="shared" si="1"/>
        <v>5883525957545.7402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17449793817717.092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1015446242374.3593</v>
      </c>
      <c r="G24" s="22"/>
    </row>
    <row r="25" spans="2:9">
      <c r="D25" s="21" t="s">
        <v>53</v>
      </c>
      <c r="E25" s="93">
        <f t="shared" si="1"/>
        <v>2498923992063.4307</v>
      </c>
      <c r="F25" s="93">
        <f t="shared" si="1"/>
        <v>589291412642.28589</v>
      </c>
      <c r="G25" s="22"/>
    </row>
    <row r="26" spans="2:9">
      <c r="D26" s="23" t="s">
        <v>43</v>
      </c>
      <c r="E26" s="28">
        <f t="shared" si="1"/>
        <v>243167596628.58429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17224970077038.232</v>
      </c>
      <c r="F27" s="29">
        <f t="shared" si="1"/>
        <v>19763428689348.418</v>
      </c>
      <c r="G27" s="20"/>
    </row>
    <row r="28" spans="2:9">
      <c r="D28" s="21" t="s">
        <v>50</v>
      </c>
      <c r="E28" s="33">
        <f t="shared" si="1"/>
        <v>54510979268.834778</v>
      </c>
      <c r="F28" s="33">
        <f t="shared" si="1"/>
        <v>53057368038516.234</v>
      </c>
      <c r="G28" s="22"/>
    </row>
    <row r="29" spans="2:9">
      <c r="D29" s="21" t="s">
        <v>73</v>
      </c>
      <c r="E29" s="33"/>
      <c r="F29" s="33"/>
      <c r="G29" s="22">
        <f t="shared" si="1"/>
        <v>8585385120789.4658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3482479604420.144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3521523017510.0093</v>
      </c>
      <c r="G31" s="24"/>
      <c r="H31" s="37"/>
      <c r="I31" s="37"/>
    </row>
    <row r="32" spans="2:9">
      <c r="D32" s="94" t="s">
        <v>1541</v>
      </c>
      <c r="E32" s="95">
        <f>SUM(E21:E31)</f>
        <v>266370578353350.78</v>
      </c>
      <c r="F32" s="95">
        <f t="shared" ref="F32:G32" si="2">SUM(F21:F31)</f>
        <v>88177307448637.281</v>
      </c>
      <c r="G32" s="95">
        <f t="shared" si="2"/>
        <v>26035178938506.559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0.9214639112324855</v>
      </c>
      <c r="F37" s="97">
        <f t="shared" ref="F37:G37" si="3">F21/F$32</f>
        <v>9.8012120270684136E-3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3.3717340224506801E-3</v>
      </c>
      <c r="F38" s="113">
        <f t="shared" ref="F38:G47" si="5">F22/F$32</f>
        <v>6.6723810556053281E-2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0.67023905842676934</v>
      </c>
    </row>
    <row r="40" spans="3:41">
      <c r="D40" s="21" t="s">
        <v>54</v>
      </c>
      <c r="E40" s="37">
        <f t="shared" si="4"/>
        <v>0</v>
      </c>
      <c r="F40" s="113">
        <f>F24/F$32</f>
        <v>1.1515958830630547E-2</v>
      </c>
      <c r="G40" s="99">
        <f t="shared" si="5"/>
        <v>0</v>
      </c>
    </row>
    <row r="41" spans="3:41">
      <c r="D41" s="21" t="s">
        <v>53</v>
      </c>
      <c r="E41" s="113">
        <f t="shared" si="4"/>
        <v>9.3813814104818753E-3</v>
      </c>
      <c r="F41" s="37">
        <f t="shared" si="5"/>
        <v>6.6830279773006721E-3</v>
      </c>
      <c r="G41" s="99">
        <f t="shared" si="5"/>
        <v>0</v>
      </c>
    </row>
    <row r="42" spans="3:41">
      <c r="D42" s="23" t="s">
        <v>43</v>
      </c>
      <c r="E42" s="116">
        <f t="shared" si="4"/>
        <v>9.1289209991507827E-4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6.4665437840468437E-2</v>
      </c>
      <c r="F43" s="97">
        <f t="shared" si="5"/>
        <v>0.22413282125744755</v>
      </c>
      <c r="G43" s="98">
        <f t="shared" si="5"/>
        <v>0</v>
      </c>
    </row>
    <row r="44" spans="3:41">
      <c r="D44" s="21" t="s">
        <v>50</v>
      </c>
      <c r="E44" s="37">
        <f t="shared" si="4"/>
        <v>2.0464339419845338E-4</v>
      </c>
      <c r="F44" s="113">
        <f t="shared" si="5"/>
        <v>0.6017122723941396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0.3297609415732306</v>
      </c>
    </row>
    <row r="46" spans="3:41">
      <c r="D46" s="21" t="s">
        <v>55</v>
      </c>
      <c r="E46" s="37">
        <f t="shared" si="4"/>
        <v>0</v>
      </c>
      <c r="F46" s="113">
        <f t="shared" si="5"/>
        <v>3.9494056976605532E-2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3.9936839980754389E-2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278438750057120.16</v>
      </c>
      <c r="F53" s="92">
        <f>F37*$E$12</f>
        <v>701443341141.2052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1018836869563.922</v>
      </c>
      <c r="F54" s="103">
        <f t="shared" ref="F54:F62" si="8">F38*$E$12</f>
        <v>4775222950065.0654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21282771061283.633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824162625631.73633</v>
      </c>
      <c r="G56" s="104">
        <f t="shared" si="9"/>
        <v>0</v>
      </c>
    </row>
    <row r="57" spans="3:41">
      <c r="D57" s="21" t="s">
        <v>53</v>
      </c>
      <c r="E57" s="103">
        <f t="shared" si="7"/>
        <v>2834772020805.3081</v>
      </c>
      <c r="F57" s="103">
        <f t="shared" si="8"/>
        <v>478284263251.47717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275848605831.33917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19539955352254.348</v>
      </c>
      <c r="F59" s="92">
        <f t="shared" si="8"/>
        <v>16040513618931.748</v>
      </c>
      <c r="G59" s="102">
        <f t="shared" si="9"/>
        <v>0</v>
      </c>
    </row>
    <row r="60" spans="3:41">
      <c r="D60" s="21" t="s">
        <v>50</v>
      </c>
      <c r="E60" s="103">
        <f t="shared" si="7"/>
        <v>61837094424.946655</v>
      </c>
      <c r="F60" s="103">
        <f t="shared" si="8"/>
        <v>43062742198431.391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10471228938716.365</v>
      </c>
    </row>
    <row r="62" spans="3:41">
      <c r="D62" s="21" t="s">
        <v>55</v>
      </c>
      <c r="E62" s="103">
        <f t="shared" si="7"/>
        <v>0</v>
      </c>
      <c r="F62" s="103">
        <f t="shared" si="8"/>
        <v>2826471175644.728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3427159826902.6494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12042.759150917493</v>
      </c>
      <c r="F69" s="107">
        <f t="shared" si="10"/>
        <v>8616.2221775999751</v>
      </c>
      <c r="G69" s="108">
        <f t="shared" si="10"/>
        <v>0</v>
      </c>
    </row>
    <row r="70" spans="2:41">
      <c r="D70" s="21" t="s">
        <v>51</v>
      </c>
      <c r="E70" s="78">
        <f t="shared" si="10"/>
        <v>18921.742901027104</v>
      </c>
      <c r="F70" s="120">
        <f t="shared" si="10"/>
        <v>13537.922562393327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1239913.5227088912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321054.10612010589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220.07302894479969</v>
      </c>
      <c r="F73" s="78">
        <f t="shared" si="10"/>
        <v>157.45545426284806</v>
      </c>
      <c r="G73" s="109">
        <f t="shared" si="10"/>
        <v>0</v>
      </c>
    </row>
    <row r="74" spans="2:41">
      <c r="D74" s="23" t="s">
        <v>43</v>
      </c>
      <c r="E74" s="122">
        <f t="shared" si="10"/>
        <v>2374.2930390797201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10868.658197526422</v>
      </c>
      <c r="F75" s="107">
        <f t="shared" si="10"/>
        <v>7776.1892128471509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37938.775154793198</v>
      </c>
      <c r="F76" s="120">
        <f t="shared" si="10"/>
        <v>27144.021713230362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1205126.4528700714</v>
      </c>
    </row>
    <row r="78" spans="2:41">
      <c r="D78" s="21" t="s">
        <v>55</v>
      </c>
      <c r="E78" s="78">
        <f t="shared" si="10"/>
        <v>0</v>
      </c>
      <c r="F78" s="120">
        <f t="shared" si="10"/>
        <v>15015.893604726556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49148.255211662035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4416987</v>
      </c>
      <c r="F101" s="76">
        <f>SUMIFS('all_csv_SYVbT-passenger'!F:F,'all_csv_SYVbT-passenger'!$B:$B,$D101,'all_csv_SYVbT-passenger'!$J:$J,About!$B$2)</f>
        <v>18814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2326</v>
      </c>
      <c r="F102" s="78">
        <f>SUMIFS('all_csv_SYVbT-passenger'!F:F,'all_csv_SYVbT-passenger'!$B:$B,$D102,'all_csv_SYVbT-passenger'!$J:$J,About!$B$2)</f>
        <v>17609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79</v>
      </c>
      <c r="G103" s="79">
        <f>F103</f>
        <v>79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12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162231</v>
      </c>
      <c r="F105" s="78">
        <f>SUMIFS('all_csv_SYVbT-passenger'!F:F,'all_csv_SYVbT-passenger'!$B:$B,$D105,'all_csv_SYVbT-passenger'!$J:$J,About!$B$2)</f>
        <v>38257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131225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172979</v>
      </c>
      <c r="F107" s="76">
        <f>SUMIFS('all_csv_SYVbT-freight'!F:F,'all_csv_SYVbT-freight'!$B:$B,$D107,'all_csv_SYVbT-freight'!$J:$J,About!$B$2)</f>
        <v>141187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665</v>
      </c>
      <c r="F108" s="78">
        <f>SUMIFS('all_csv_SYVbT-freight'!F:F,'all_csv_SYVbT-freight'!$B:$B,$D108,'all_csv_SYVbT-freight'!$J:$J,About!$B$2)</f>
        <v>68755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9</v>
      </c>
      <c r="G109" s="79">
        <f>F109</f>
        <v>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187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171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278438750057120.16</v>
      </c>
      <c r="F149" s="26">
        <f t="shared" si="18"/>
        <v>701443341141.2052</v>
      </c>
      <c r="G149" s="20"/>
    </row>
    <row r="150" spans="2:7">
      <c r="D150" s="21" t="s">
        <v>51</v>
      </c>
      <c r="E150" s="33">
        <f t="shared" si="18"/>
        <v>1018836869563.922</v>
      </c>
      <c r="F150" s="33">
        <f t="shared" si="18"/>
        <v>4775222950065.0645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21282771061283.633</v>
      </c>
    </row>
    <row r="152" spans="2:7">
      <c r="D152" s="21" t="s">
        <v>54</v>
      </c>
      <c r="E152" s="33">
        <f t="shared" si="18"/>
        <v>0</v>
      </c>
      <c r="F152" s="33">
        <f>F120*F104*F72/F89</f>
        <v>824162625631.73645</v>
      </c>
      <c r="G152" s="22"/>
    </row>
    <row r="153" spans="2:7">
      <c r="D153" s="21" t="s">
        <v>53</v>
      </c>
      <c r="E153" s="93">
        <f t="shared" si="18"/>
        <v>2834772020805.3081</v>
      </c>
      <c r="F153" s="93">
        <f t="shared" si="18"/>
        <v>478284263251.47711</v>
      </c>
      <c r="G153" s="22"/>
    </row>
    <row r="154" spans="2:7">
      <c r="D154" s="23" t="s">
        <v>43</v>
      </c>
      <c r="E154" s="28">
        <f t="shared" si="18"/>
        <v>275848605831.33917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19539955352254.348</v>
      </c>
      <c r="F155" s="29">
        <f t="shared" si="18"/>
        <v>16040513618931.748</v>
      </c>
      <c r="G155" s="20"/>
    </row>
    <row r="156" spans="2:7">
      <c r="D156" s="21" t="s">
        <v>50</v>
      </c>
      <c r="E156" s="33">
        <f t="shared" si="18"/>
        <v>61837094424.946663</v>
      </c>
      <c r="F156" s="33">
        <f t="shared" si="18"/>
        <v>43062742198431.391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10471228938716.367</v>
      </c>
    </row>
    <row r="158" spans="2:7">
      <c r="D158" s="21" t="s">
        <v>55</v>
      </c>
      <c r="E158" s="33">
        <f t="shared" si="18"/>
        <v>0</v>
      </c>
      <c r="F158" s="33">
        <f t="shared" si="18"/>
        <v>2826471175644.728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3427159826902.6494</v>
      </c>
      <c r="G159" s="24"/>
    </row>
    <row r="160" spans="2:7">
      <c r="D160" s="94" t="s">
        <v>1548</v>
      </c>
      <c r="E160" s="95">
        <f>SUM(E149:E159)</f>
        <v>302170000000000</v>
      </c>
      <c r="F160" s="95">
        <f>SUM(F149:F159)</f>
        <v>72136000000000</v>
      </c>
      <c r="G160" s="95">
        <f t="shared" ref="G160" si="19">SUM(G149:G159)</f>
        <v>31754000000000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12042.759150917493</v>
      </c>
    </row>
    <row r="3" spans="1:2">
      <c r="A3" t="s">
        <v>39</v>
      </c>
      <c r="B3" s="8">
        <f>'BAADTbVT-passengers'!D3</f>
        <v>13537.922562393327</v>
      </c>
    </row>
    <row r="4" spans="1:2">
      <c r="A4" t="s">
        <v>40</v>
      </c>
      <c r="B4" s="8">
        <f>'BAADTbVT-passengers'!D4</f>
        <v>1239913.5227088912</v>
      </c>
    </row>
    <row r="5" spans="1:2">
      <c r="A5" t="s">
        <v>41</v>
      </c>
      <c r="B5" s="8">
        <f>SUMIFS('psgr rail calcs'!M:M,'psgr rail calcs'!C:C,About!B2)</f>
        <v>242413.14545454545</v>
      </c>
    </row>
    <row r="6" spans="1:2">
      <c r="A6" t="s">
        <v>42</v>
      </c>
      <c r="B6" s="8">
        <f>'BAADTbVT-passengers'!D6</f>
        <v>220.07302894479969</v>
      </c>
    </row>
    <row r="7" spans="1:2">
      <c r="A7" t="s">
        <v>43</v>
      </c>
      <c r="B7" s="8">
        <f>'BAADTbVT-passengers'!D7</f>
        <v>2374.2930390797201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10868.658197526422</v>
      </c>
    </row>
    <row r="3" spans="1:2">
      <c r="A3" t="s">
        <v>39</v>
      </c>
      <c r="B3" s="8">
        <f>'BAADTbVT-freight'!D3</f>
        <v>27144.021713230362</v>
      </c>
    </row>
    <row r="4" spans="1:2">
      <c r="A4" t="s">
        <v>40</v>
      </c>
      <c r="B4" s="8">
        <f>'BAADTbVT-freight'!D4</f>
        <v>1205126.4528700714</v>
      </c>
    </row>
    <row r="5" spans="1:2">
      <c r="A5" t="s">
        <v>41</v>
      </c>
      <c r="B5" s="8">
        <f>'BAADTbVT-freight'!D5</f>
        <v>15015.893604726556</v>
      </c>
    </row>
    <row r="6" spans="1:2">
      <c r="A6" t="s">
        <v>42</v>
      </c>
      <c r="B6" s="8">
        <f>'BAADTbVT-freight'!D6</f>
        <v>49148.255211662035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12042.759150917493</v>
      </c>
      <c r="C2" s="8">
        <f t="shared" ref="C2:L3" si="0">$B2</f>
        <v>12042.759150917493</v>
      </c>
      <c r="D2" s="8">
        <f t="shared" si="0"/>
        <v>12042.759150917493</v>
      </c>
      <c r="E2" s="8">
        <f t="shared" si="0"/>
        <v>12042.759150917493</v>
      </c>
      <c r="F2" s="8">
        <f t="shared" si="0"/>
        <v>12042.759150917493</v>
      </c>
      <c r="G2" s="8">
        <f t="shared" si="0"/>
        <v>12042.759150917493</v>
      </c>
      <c r="H2" s="8">
        <f t="shared" si="0"/>
        <v>12042.759150917493</v>
      </c>
      <c r="I2" s="8">
        <f t="shared" si="0"/>
        <v>12042.759150917493</v>
      </c>
      <c r="J2" s="8">
        <f t="shared" si="0"/>
        <v>12042.759150917493</v>
      </c>
      <c r="K2" s="8">
        <f t="shared" si="0"/>
        <v>12042.759150917493</v>
      </c>
      <c r="L2" s="8">
        <f t="shared" si="0"/>
        <v>12042.759150917493</v>
      </c>
      <c r="M2" s="8">
        <f t="shared" ref="M2:V3" si="1">$B2</f>
        <v>12042.759150917493</v>
      </c>
      <c r="N2" s="8">
        <f t="shared" si="1"/>
        <v>12042.759150917493</v>
      </c>
      <c r="O2" s="8">
        <f t="shared" si="1"/>
        <v>12042.759150917493</v>
      </c>
      <c r="P2" s="8">
        <f t="shared" si="1"/>
        <v>12042.759150917493</v>
      </c>
      <c r="Q2" s="8">
        <f t="shared" si="1"/>
        <v>12042.759150917493</v>
      </c>
      <c r="R2" s="8">
        <f t="shared" si="1"/>
        <v>12042.759150917493</v>
      </c>
      <c r="S2" s="8">
        <f t="shared" si="1"/>
        <v>12042.759150917493</v>
      </c>
      <c r="T2" s="8">
        <f t="shared" si="1"/>
        <v>12042.759150917493</v>
      </c>
      <c r="U2" s="8">
        <f t="shared" si="1"/>
        <v>12042.759150917493</v>
      </c>
      <c r="V2" s="8">
        <f t="shared" si="1"/>
        <v>12042.759150917493</v>
      </c>
      <c r="W2" s="8">
        <f t="shared" ref="W2:AH3" si="2">$B2</f>
        <v>12042.759150917493</v>
      </c>
      <c r="X2" s="8">
        <f t="shared" si="2"/>
        <v>12042.759150917493</v>
      </c>
      <c r="Y2" s="8">
        <f t="shared" si="2"/>
        <v>12042.759150917493</v>
      </c>
      <c r="Z2" s="8">
        <f t="shared" si="2"/>
        <v>12042.759150917493</v>
      </c>
      <c r="AA2" s="8">
        <f t="shared" si="2"/>
        <v>12042.759150917493</v>
      </c>
      <c r="AB2" s="8">
        <f t="shared" si="2"/>
        <v>12042.759150917493</v>
      </c>
      <c r="AC2" s="8">
        <f t="shared" si="2"/>
        <v>12042.759150917493</v>
      </c>
      <c r="AD2" s="8">
        <f t="shared" si="2"/>
        <v>12042.759150917493</v>
      </c>
      <c r="AE2" s="8">
        <f t="shared" si="2"/>
        <v>12042.759150917493</v>
      </c>
      <c r="AF2" s="8">
        <f t="shared" si="2"/>
        <v>12042.759150917493</v>
      </c>
      <c r="AG2" s="8">
        <f t="shared" si="2"/>
        <v>12042.759150917493</v>
      </c>
      <c r="AH2" s="8">
        <f t="shared" si="2"/>
        <v>12042.759150917493</v>
      </c>
    </row>
    <row r="3" spans="1:34">
      <c r="A3" t="s">
        <v>39</v>
      </c>
      <c r="B3" s="8">
        <f>'Scale to SEDS'!F70</f>
        <v>13537.922562393327</v>
      </c>
      <c r="C3" s="8">
        <f t="shared" si="0"/>
        <v>13537.922562393327</v>
      </c>
      <c r="D3" s="8">
        <f t="shared" si="0"/>
        <v>13537.922562393327</v>
      </c>
      <c r="E3" s="8">
        <f t="shared" si="0"/>
        <v>13537.922562393327</v>
      </c>
      <c r="F3" s="8">
        <f t="shared" si="0"/>
        <v>13537.922562393327</v>
      </c>
      <c r="G3" s="8">
        <f t="shared" si="0"/>
        <v>13537.922562393327</v>
      </c>
      <c r="H3" s="8">
        <f t="shared" si="0"/>
        <v>13537.922562393327</v>
      </c>
      <c r="I3" s="8">
        <f t="shared" si="0"/>
        <v>13537.922562393327</v>
      </c>
      <c r="J3" s="8">
        <f t="shared" si="0"/>
        <v>13537.922562393327</v>
      </c>
      <c r="K3" s="8">
        <f t="shared" si="0"/>
        <v>13537.922562393327</v>
      </c>
      <c r="L3" s="8">
        <f t="shared" si="0"/>
        <v>13537.922562393327</v>
      </c>
      <c r="M3" s="8">
        <f t="shared" si="1"/>
        <v>13537.922562393327</v>
      </c>
      <c r="N3" s="8">
        <f t="shared" si="1"/>
        <v>13537.922562393327</v>
      </c>
      <c r="O3" s="8">
        <f t="shared" si="1"/>
        <v>13537.922562393327</v>
      </c>
      <c r="P3" s="8">
        <f t="shared" si="1"/>
        <v>13537.922562393327</v>
      </c>
      <c r="Q3" s="8">
        <f t="shared" si="1"/>
        <v>13537.922562393327</v>
      </c>
      <c r="R3" s="8">
        <f t="shared" si="1"/>
        <v>13537.922562393327</v>
      </c>
      <c r="S3" s="8">
        <f t="shared" si="1"/>
        <v>13537.922562393327</v>
      </c>
      <c r="T3" s="8">
        <f t="shared" si="1"/>
        <v>13537.922562393327</v>
      </c>
      <c r="U3" s="8">
        <f t="shared" si="1"/>
        <v>13537.922562393327</v>
      </c>
      <c r="V3" s="8">
        <f t="shared" si="1"/>
        <v>13537.922562393327</v>
      </c>
      <c r="W3" s="8">
        <f t="shared" si="2"/>
        <v>13537.922562393327</v>
      </c>
      <c r="X3" s="8">
        <f t="shared" si="2"/>
        <v>13537.922562393327</v>
      </c>
      <c r="Y3" s="8">
        <f t="shared" si="2"/>
        <v>13537.922562393327</v>
      </c>
      <c r="Z3" s="8">
        <f t="shared" si="2"/>
        <v>13537.922562393327</v>
      </c>
      <c r="AA3" s="8">
        <f t="shared" si="2"/>
        <v>13537.922562393327</v>
      </c>
      <c r="AB3" s="8">
        <f t="shared" si="2"/>
        <v>13537.922562393327</v>
      </c>
      <c r="AC3" s="8">
        <f t="shared" si="2"/>
        <v>13537.922562393327</v>
      </c>
      <c r="AD3" s="8">
        <f t="shared" si="2"/>
        <v>13537.922562393327</v>
      </c>
      <c r="AE3" s="8">
        <f t="shared" si="2"/>
        <v>13537.922562393327</v>
      </c>
      <c r="AF3" s="8">
        <f t="shared" si="2"/>
        <v>13537.922562393327</v>
      </c>
      <c r="AG3" s="8">
        <f t="shared" si="2"/>
        <v>13537.922562393327</v>
      </c>
      <c r="AH3" s="8">
        <f t="shared" si="2"/>
        <v>13537.922562393327</v>
      </c>
    </row>
    <row r="4" spans="1:34">
      <c r="A4" t="s">
        <v>40</v>
      </c>
      <c r="B4" s="8">
        <f>'Scale to SEDS'!G71</f>
        <v>1239913.5227088912</v>
      </c>
      <c r="C4" s="8">
        <f t="shared" ref="C4:AH4" si="3">$B$4</f>
        <v>1239913.5227088912</v>
      </c>
      <c r="D4" s="8">
        <f t="shared" si="3"/>
        <v>1239913.5227088912</v>
      </c>
      <c r="E4" s="8">
        <f t="shared" si="3"/>
        <v>1239913.5227088912</v>
      </c>
      <c r="F4" s="8">
        <f t="shared" si="3"/>
        <v>1239913.5227088912</v>
      </c>
      <c r="G4" s="8">
        <f t="shared" si="3"/>
        <v>1239913.5227088912</v>
      </c>
      <c r="H4" s="8">
        <f t="shared" si="3"/>
        <v>1239913.5227088912</v>
      </c>
      <c r="I4" s="8">
        <f t="shared" si="3"/>
        <v>1239913.5227088912</v>
      </c>
      <c r="J4" s="8">
        <f t="shared" si="3"/>
        <v>1239913.5227088912</v>
      </c>
      <c r="K4" s="8">
        <f t="shared" si="3"/>
        <v>1239913.5227088912</v>
      </c>
      <c r="L4" s="8">
        <f t="shared" si="3"/>
        <v>1239913.5227088912</v>
      </c>
      <c r="M4" s="8">
        <f t="shared" si="3"/>
        <v>1239913.5227088912</v>
      </c>
      <c r="N4" s="8">
        <f t="shared" si="3"/>
        <v>1239913.5227088912</v>
      </c>
      <c r="O4" s="8">
        <f t="shared" si="3"/>
        <v>1239913.5227088912</v>
      </c>
      <c r="P4" s="8">
        <f t="shared" si="3"/>
        <v>1239913.5227088912</v>
      </c>
      <c r="Q4" s="8">
        <f t="shared" si="3"/>
        <v>1239913.5227088912</v>
      </c>
      <c r="R4" s="8">
        <f t="shared" si="3"/>
        <v>1239913.5227088912</v>
      </c>
      <c r="S4" s="8">
        <f t="shared" si="3"/>
        <v>1239913.5227088912</v>
      </c>
      <c r="T4" s="8">
        <f t="shared" si="3"/>
        <v>1239913.5227088912</v>
      </c>
      <c r="U4" s="8">
        <f t="shared" si="3"/>
        <v>1239913.5227088912</v>
      </c>
      <c r="V4" s="8">
        <f t="shared" si="3"/>
        <v>1239913.5227088912</v>
      </c>
      <c r="W4" s="8">
        <f t="shared" si="3"/>
        <v>1239913.5227088912</v>
      </c>
      <c r="X4" s="8">
        <f t="shared" si="3"/>
        <v>1239913.5227088912</v>
      </c>
      <c r="Y4" s="8">
        <f t="shared" si="3"/>
        <v>1239913.5227088912</v>
      </c>
      <c r="Z4" s="8">
        <f t="shared" si="3"/>
        <v>1239913.5227088912</v>
      </c>
      <c r="AA4" s="8">
        <f t="shared" si="3"/>
        <v>1239913.5227088912</v>
      </c>
      <c r="AB4" s="8">
        <f t="shared" si="3"/>
        <v>1239913.5227088912</v>
      </c>
      <c r="AC4" s="8">
        <f t="shared" si="3"/>
        <v>1239913.5227088912</v>
      </c>
      <c r="AD4" s="8">
        <f t="shared" si="3"/>
        <v>1239913.5227088912</v>
      </c>
      <c r="AE4" s="8">
        <f t="shared" si="3"/>
        <v>1239913.5227088912</v>
      </c>
      <c r="AF4" s="8">
        <f t="shared" si="3"/>
        <v>1239913.5227088912</v>
      </c>
      <c r="AG4" s="8">
        <f t="shared" si="3"/>
        <v>1239913.5227088912</v>
      </c>
      <c r="AH4" s="8">
        <f t="shared" si="3"/>
        <v>1239913.5227088912</v>
      </c>
    </row>
    <row r="5" spans="1:34">
      <c r="A5" t="s">
        <v>41</v>
      </c>
      <c r="B5" s="8">
        <f>'SYAADTbVT-passengers'!B5</f>
        <v>242413.14545454545</v>
      </c>
      <c r="C5" s="8">
        <f t="shared" ref="C5:L7" si="4">$B5</f>
        <v>242413.14545454545</v>
      </c>
      <c r="D5" s="8">
        <f t="shared" si="4"/>
        <v>242413.14545454545</v>
      </c>
      <c r="E5" s="8">
        <f t="shared" si="4"/>
        <v>242413.14545454545</v>
      </c>
      <c r="F5" s="8">
        <f t="shared" si="4"/>
        <v>242413.14545454545</v>
      </c>
      <c r="G5" s="8">
        <f t="shared" si="4"/>
        <v>242413.14545454545</v>
      </c>
      <c r="H5" s="8">
        <f t="shared" si="4"/>
        <v>242413.14545454545</v>
      </c>
      <c r="I5" s="8">
        <f t="shared" si="4"/>
        <v>242413.14545454545</v>
      </c>
      <c r="J5" s="8">
        <f t="shared" si="4"/>
        <v>242413.14545454545</v>
      </c>
      <c r="K5" s="8">
        <f t="shared" si="4"/>
        <v>242413.14545454545</v>
      </c>
      <c r="L5" s="8">
        <f t="shared" si="4"/>
        <v>242413.14545454545</v>
      </c>
      <c r="M5" s="8">
        <f t="shared" ref="M5:V7" si="5">$B5</f>
        <v>242413.14545454545</v>
      </c>
      <c r="N5" s="8">
        <f t="shared" si="5"/>
        <v>242413.14545454545</v>
      </c>
      <c r="O5" s="8">
        <f t="shared" si="5"/>
        <v>242413.14545454545</v>
      </c>
      <c r="P5" s="8">
        <f t="shared" si="5"/>
        <v>242413.14545454545</v>
      </c>
      <c r="Q5" s="8">
        <f t="shared" si="5"/>
        <v>242413.14545454545</v>
      </c>
      <c r="R5" s="8">
        <f t="shared" si="5"/>
        <v>242413.14545454545</v>
      </c>
      <c r="S5" s="8">
        <f t="shared" si="5"/>
        <v>242413.14545454545</v>
      </c>
      <c r="T5" s="8">
        <f t="shared" si="5"/>
        <v>242413.14545454545</v>
      </c>
      <c r="U5" s="8">
        <f t="shared" si="5"/>
        <v>242413.14545454545</v>
      </c>
      <c r="V5" s="8">
        <f t="shared" si="5"/>
        <v>242413.14545454545</v>
      </c>
      <c r="W5" s="8">
        <f t="shared" ref="W5:AH7" si="6">$B5</f>
        <v>242413.14545454545</v>
      </c>
      <c r="X5" s="8">
        <f t="shared" si="6"/>
        <v>242413.14545454545</v>
      </c>
      <c r="Y5" s="8">
        <f t="shared" si="6"/>
        <v>242413.14545454545</v>
      </c>
      <c r="Z5" s="8">
        <f t="shared" si="6"/>
        <v>242413.14545454545</v>
      </c>
      <c r="AA5" s="8">
        <f t="shared" si="6"/>
        <v>242413.14545454545</v>
      </c>
      <c r="AB5" s="8">
        <f t="shared" si="6"/>
        <v>242413.14545454545</v>
      </c>
      <c r="AC5" s="8">
        <f t="shared" si="6"/>
        <v>242413.14545454545</v>
      </c>
      <c r="AD5" s="8">
        <f t="shared" si="6"/>
        <v>242413.14545454545</v>
      </c>
      <c r="AE5" s="8">
        <f t="shared" si="6"/>
        <v>242413.14545454545</v>
      </c>
      <c r="AF5" s="8">
        <f t="shared" si="6"/>
        <v>242413.14545454545</v>
      </c>
      <c r="AG5" s="8">
        <f t="shared" si="6"/>
        <v>242413.14545454545</v>
      </c>
      <c r="AH5" s="8">
        <f t="shared" si="6"/>
        <v>242413.14545454545</v>
      </c>
    </row>
    <row r="6" spans="1:34">
      <c r="A6" t="s">
        <v>42</v>
      </c>
      <c r="B6" s="8">
        <f>'Scale to SEDS'!E73</f>
        <v>220.07302894479969</v>
      </c>
      <c r="C6" s="8">
        <f t="shared" si="4"/>
        <v>220.07302894479969</v>
      </c>
      <c r="D6" s="8">
        <f t="shared" si="4"/>
        <v>220.07302894479969</v>
      </c>
      <c r="E6" s="8">
        <f t="shared" si="4"/>
        <v>220.07302894479969</v>
      </c>
      <c r="F6" s="8">
        <f t="shared" si="4"/>
        <v>220.07302894479969</v>
      </c>
      <c r="G6" s="8">
        <f t="shared" si="4"/>
        <v>220.07302894479969</v>
      </c>
      <c r="H6" s="8">
        <f t="shared" si="4"/>
        <v>220.07302894479969</v>
      </c>
      <c r="I6" s="8">
        <f t="shared" si="4"/>
        <v>220.07302894479969</v>
      </c>
      <c r="J6" s="8">
        <f t="shared" si="4"/>
        <v>220.07302894479969</v>
      </c>
      <c r="K6" s="8">
        <f t="shared" si="4"/>
        <v>220.07302894479969</v>
      </c>
      <c r="L6" s="8">
        <f t="shared" si="4"/>
        <v>220.07302894479969</v>
      </c>
      <c r="M6" s="8">
        <f t="shared" si="5"/>
        <v>220.07302894479969</v>
      </c>
      <c r="N6" s="8">
        <f t="shared" si="5"/>
        <v>220.07302894479969</v>
      </c>
      <c r="O6" s="8">
        <f t="shared" si="5"/>
        <v>220.07302894479969</v>
      </c>
      <c r="P6" s="8">
        <f t="shared" si="5"/>
        <v>220.07302894479969</v>
      </c>
      <c r="Q6" s="8">
        <f t="shared" si="5"/>
        <v>220.07302894479969</v>
      </c>
      <c r="R6" s="8">
        <f t="shared" si="5"/>
        <v>220.07302894479969</v>
      </c>
      <c r="S6" s="8">
        <f t="shared" si="5"/>
        <v>220.07302894479969</v>
      </c>
      <c r="T6" s="8">
        <f t="shared" si="5"/>
        <v>220.07302894479969</v>
      </c>
      <c r="U6" s="8">
        <f t="shared" si="5"/>
        <v>220.07302894479969</v>
      </c>
      <c r="V6" s="8">
        <f t="shared" si="5"/>
        <v>220.07302894479969</v>
      </c>
      <c r="W6" s="8">
        <f t="shared" si="6"/>
        <v>220.07302894479969</v>
      </c>
      <c r="X6" s="8">
        <f t="shared" si="6"/>
        <v>220.07302894479969</v>
      </c>
      <c r="Y6" s="8">
        <f t="shared" si="6"/>
        <v>220.07302894479969</v>
      </c>
      <c r="Z6" s="8">
        <f t="shared" si="6"/>
        <v>220.07302894479969</v>
      </c>
      <c r="AA6" s="8">
        <f t="shared" si="6"/>
        <v>220.07302894479969</v>
      </c>
      <c r="AB6" s="8">
        <f t="shared" si="6"/>
        <v>220.07302894479969</v>
      </c>
      <c r="AC6" s="8">
        <f t="shared" si="6"/>
        <v>220.07302894479969</v>
      </c>
      <c r="AD6" s="8">
        <f t="shared" si="6"/>
        <v>220.07302894479969</v>
      </c>
      <c r="AE6" s="8">
        <f t="shared" si="6"/>
        <v>220.07302894479969</v>
      </c>
      <c r="AF6" s="8">
        <f t="shared" si="6"/>
        <v>220.07302894479969</v>
      </c>
      <c r="AG6" s="8">
        <f t="shared" si="6"/>
        <v>220.07302894479969</v>
      </c>
      <c r="AH6" s="8">
        <f t="shared" si="6"/>
        <v>220.07302894479969</v>
      </c>
    </row>
    <row r="7" spans="1:34">
      <c r="A7" t="s">
        <v>43</v>
      </c>
      <c r="B7" s="8">
        <f>'Scale to SEDS'!E74</f>
        <v>2374.2930390797201</v>
      </c>
      <c r="C7" s="8">
        <f t="shared" si="4"/>
        <v>2374.2930390797201</v>
      </c>
      <c r="D7" s="8">
        <f t="shared" si="4"/>
        <v>2374.2930390797201</v>
      </c>
      <c r="E7" s="8">
        <f t="shared" si="4"/>
        <v>2374.2930390797201</v>
      </c>
      <c r="F7" s="8">
        <f t="shared" si="4"/>
        <v>2374.2930390797201</v>
      </c>
      <c r="G7" s="8">
        <f t="shared" si="4"/>
        <v>2374.2930390797201</v>
      </c>
      <c r="H7" s="8">
        <f t="shared" si="4"/>
        <v>2374.2930390797201</v>
      </c>
      <c r="I7" s="8">
        <f t="shared" si="4"/>
        <v>2374.2930390797201</v>
      </c>
      <c r="J7" s="8">
        <f t="shared" si="4"/>
        <v>2374.2930390797201</v>
      </c>
      <c r="K7" s="8">
        <f t="shared" si="4"/>
        <v>2374.2930390797201</v>
      </c>
      <c r="L7" s="8">
        <f t="shared" si="4"/>
        <v>2374.2930390797201</v>
      </c>
      <c r="M7" s="8">
        <f t="shared" si="5"/>
        <v>2374.2930390797201</v>
      </c>
      <c r="N7" s="8">
        <f t="shared" si="5"/>
        <v>2374.2930390797201</v>
      </c>
      <c r="O7" s="8">
        <f t="shared" si="5"/>
        <v>2374.2930390797201</v>
      </c>
      <c r="P7" s="8">
        <f t="shared" si="5"/>
        <v>2374.2930390797201</v>
      </c>
      <c r="Q7" s="8">
        <f t="shared" si="5"/>
        <v>2374.2930390797201</v>
      </c>
      <c r="R7" s="8">
        <f t="shared" si="5"/>
        <v>2374.2930390797201</v>
      </c>
      <c r="S7" s="8">
        <f t="shared" si="5"/>
        <v>2374.2930390797201</v>
      </c>
      <c r="T7" s="8">
        <f t="shared" si="5"/>
        <v>2374.2930390797201</v>
      </c>
      <c r="U7" s="8">
        <f t="shared" si="5"/>
        <v>2374.2930390797201</v>
      </c>
      <c r="V7" s="8">
        <f t="shared" si="5"/>
        <v>2374.2930390797201</v>
      </c>
      <c r="W7" s="8">
        <f t="shared" si="6"/>
        <v>2374.2930390797201</v>
      </c>
      <c r="X7" s="8">
        <f t="shared" si="6"/>
        <v>2374.2930390797201</v>
      </c>
      <c r="Y7" s="8">
        <f t="shared" si="6"/>
        <v>2374.2930390797201</v>
      </c>
      <c r="Z7" s="8">
        <f t="shared" si="6"/>
        <v>2374.2930390797201</v>
      </c>
      <c r="AA7" s="8">
        <f t="shared" si="6"/>
        <v>2374.2930390797201</v>
      </c>
      <c r="AB7" s="8">
        <f t="shared" si="6"/>
        <v>2374.2930390797201</v>
      </c>
      <c r="AC7" s="8">
        <f t="shared" si="6"/>
        <v>2374.2930390797201</v>
      </c>
      <c r="AD7" s="8">
        <f t="shared" si="6"/>
        <v>2374.2930390797201</v>
      </c>
      <c r="AE7" s="8">
        <f t="shared" si="6"/>
        <v>2374.2930390797201</v>
      </c>
      <c r="AF7" s="8">
        <f t="shared" si="6"/>
        <v>2374.2930390797201</v>
      </c>
      <c r="AG7" s="8">
        <f t="shared" si="6"/>
        <v>2374.2930390797201</v>
      </c>
      <c r="AH7" s="8">
        <f t="shared" si="6"/>
        <v>2374.2930390797201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10868.658197526422</v>
      </c>
      <c r="C2" s="8">
        <f t="shared" ref="C2:AH2" si="0">B2</f>
        <v>10868.658197526422</v>
      </c>
      <c r="D2" s="8">
        <f t="shared" si="0"/>
        <v>10868.658197526422</v>
      </c>
      <c r="E2" s="8">
        <f t="shared" si="0"/>
        <v>10868.658197526422</v>
      </c>
      <c r="F2" s="8">
        <f t="shared" si="0"/>
        <v>10868.658197526422</v>
      </c>
      <c r="G2" s="8">
        <f t="shared" si="0"/>
        <v>10868.658197526422</v>
      </c>
      <c r="H2" s="8">
        <f t="shared" si="0"/>
        <v>10868.658197526422</v>
      </c>
      <c r="I2" s="8">
        <f t="shared" si="0"/>
        <v>10868.658197526422</v>
      </c>
      <c r="J2" s="8">
        <f t="shared" si="0"/>
        <v>10868.658197526422</v>
      </c>
      <c r="K2" s="8">
        <f t="shared" si="0"/>
        <v>10868.658197526422</v>
      </c>
      <c r="L2" s="8">
        <f t="shared" si="0"/>
        <v>10868.658197526422</v>
      </c>
      <c r="M2" s="8">
        <f t="shared" si="0"/>
        <v>10868.658197526422</v>
      </c>
      <c r="N2" s="8">
        <f t="shared" si="0"/>
        <v>10868.658197526422</v>
      </c>
      <c r="O2" s="8">
        <f t="shared" si="0"/>
        <v>10868.658197526422</v>
      </c>
      <c r="P2" s="8">
        <f t="shared" si="0"/>
        <v>10868.658197526422</v>
      </c>
      <c r="Q2" s="8">
        <f t="shared" si="0"/>
        <v>10868.658197526422</v>
      </c>
      <c r="R2" s="8">
        <f t="shared" si="0"/>
        <v>10868.658197526422</v>
      </c>
      <c r="S2" s="8">
        <f t="shared" si="0"/>
        <v>10868.658197526422</v>
      </c>
      <c r="T2" s="8">
        <f t="shared" si="0"/>
        <v>10868.658197526422</v>
      </c>
      <c r="U2" s="8">
        <f t="shared" si="0"/>
        <v>10868.658197526422</v>
      </c>
      <c r="V2" s="8">
        <f t="shared" si="0"/>
        <v>10868.658197526422</v>
      </c>
      <c r="W2" s="8">
        <f t="shared" si="0"/>
        <v>10868.658197526422</v>
      </c>
      <c r="X2" s="8">
        <f t="shared" si="0"/>
        <v>10868.658197526422</v>
      </c>
      <c r="Y2" s="8">
        <f t="shared" si="0"/>
        <v>10868.658197526422</v>
      </c>
      <c r="Z2" s="8">
        <f t="shared" si="0"/>
        <v>10868.658197526422</v>
      </c>
      <c r="AA2" s="8">
        <f t="shared" si="0"/>
        <v>10868.658197526422</v>
      </c>
      <c r="AB2" s="8">
        <f t="shared" si="0"/>
        <v>10868.658197526422</v>
      </c>
      <c r="AC2" s="8">
        <f t="shared" si="0"/>
        <v>10868.658197526422</v>
      </c>
      <c r="AD2" s="8">
        <f t="shared" si="0"/>
        <v>10868.658197526422</v>
      </c>
      <c r="AE2" s="8">
        <f t="shared" si="0"/>
        <v>10868.658197526422</v>
      </c>
      <c r="AF2" s="8">
        <f t="shared" si="0"/>
        <v>10868.658197526422</v>
      </c>
      <c r="AG2" s="8">
        <f t="shared" si="0"/>
        <v>10868.658197526422</v>
      </c>
      <c r="AH2" s="8">
        <f t="shared" si="0"/>
        <v>10868.658197526422</v>
      </c>
    </row>
    <row r="3" spans="1:34">
      <c r="A3" t="s">
        <v>39</v>
      </c>
      <c r="B3" s="8">
        <f>'Scale to SEDS'!F76</f>
        <v>27144.021713230362</v>
      </c>
      <c r="C3" s="8">
        <f t="shared" ref="C3:AH3" si="1">B3</f>
        <v>27144.021713230362</v>
      </c>
      <c r="D3" s="8">
        <f t="shared" si="1"/>
        <v>27144.021713230362</v>
      </c>
      <c r="E3" s="8">
        <f t="shared" si="1"/>
        <v>27144.021713230362</v>
      </c>
      <c r="F3" s="8">
        <f t="shared" si="1"/>
        <v>27144.021713230362</v>
      </c>
      <c r="G3" s="8">
        <f t="shared" si="1"/>
        <v>27144.021713230362</v>
      </c>
      <c r="H3" s="8">
        <f t="shared" si="1"/>
        <v>27144.021713230362</v>
      </c>
      <c r="I3" s="8">
        <f t="shared" si="1"/>
        <v>27144.021713230362</v>
      </c>
      <c r="J3" s="8">
        <f t="shared" si="1"/>
        <v>27144.021713230362</v>
      </c>
      <c r="K3" s="8">
        <f t="shared" si="1"/>
        <v>27144.021713230362</v>
      </c>
      <c r="L3" s="8">
        <f t="shared" si="1"/>
        <v>27144.021713230362</v>
      </c>
      <c r="M3" s="8">
        <f t="shared" si="1"/>
        <v>27144.021713230362</v>
      </c>
      <c r="N3" s="8">
        <f t="shared" si="1"/>
        <v>27144.021713230362</v>
      </c>
      <c r="O3" s="8">
        <f t="shared" si="1"/>
        <v>27144.021713230362</v>
      </c>
      <c r="P3" s="8">
        <f t="shared" si="1"/>
        <v>27144.021713230362</v>
      </c>
      <c r="Q3" s="8">
        <f t="shared" si="1"/>
        <v>27144.021713230362</v>
      </c>
      <c r="R3" s="8">
        <f t="shared" si="1"/>
        <v>27144.021713230362</v>
      </c>
      <c r="S3" s="8">
        <f t="shared" si="1"/>
        <v>27144.021713230362</v>
      </c>
      <c r="T3" s="8">
        <f t="shared" si="1"/>
        <v>27144.021713230362</v>
      </c>
      <c r="U3" s="8">
        <f t="shared" si="1"/>
        <v>27144.021713230362</v>
      </c>
      <c r="V3" s="8">
        <f t="shared" si="1"/>
        <v>27144.021713230362</v>
      </c>
      <c r="W3" s="8">
        <f t="shared" si="1"/>
        <v>27144.021713230362</v>
      </c>
      <c r="X3" s="8">
        <f t="shared" si="1"/>
        <v>27144.021713230362</v>
      </c>
      <c r="Y3" s="8">
        <f t="shared" si="1"/>
        <v>27144.021713230362</v>
      </c>
      <c r="Z3" s="8">
        <f t="shared" si="1"/>
        <v>27144.021713230362</v>
      </c>
      <c r="AA3" s="8">
        <f t="shared" si="1"/>
        <v>27144.021713230362</v>
      </c>
      <c r="AB3" s="8">
        <f t="shared" si="1"/>
        <v>27144.021713230362</v>
      </c>
      <c r="AC3" s="8">
        <f t="shared" si="1"/>
        <v>27144.021713230362</v>
      </c>
      <c r="AD3" s="8">
        <f t="shared" si="1"/>
        <v>27144.021713230362</v>
      </c>
      <c r="AE3" s="8">
        <f t="shared" si="1"/>
        <v>27144.021713230362</v>
      </c>
      <c r="AF3" s="8">
        <f t="shared" si="1"/>
        <v>27144.021713230362</v>
      </c>
      <c r="AG3" s="8">
        <f t="shared" si="1"/>
        <v>27144.021713230362</v>
      </c>
      <c r="AH3" s="8">
        <f t="shared" si="1"/>
        <v>27144.021713230362</v>
      </c>
    </row>
    <row r="4" spans="1:34">
      <c r="A4" t="s">
        <v>40</v>
      </c>
      <c r="B4" s="8">
        <f>'Scale to SEDS'!G77</f>
        <v>1205126.4528700714</v>
      </c>
      <c r="C4" s="8">
        <f t="shared" ref="C4:AH4" si="2">B4</f>
        <v>1205126.4528700714</v>
      </c>
      <c r="D4" s="8">
        <f t="shared" si="2"/>
        <v>1205126.4528700714</v>
      </c>
      <c r="E4" s="8">
        <f t="shared" si="2"/>
        <v>1205126.4528700714</v>
      </c>
      <c r="F4" s="8">
        <f t="shared" si="2"/>
        <v>1205126.4528700714</v>
      </c>
      <c r="G4" s="8">
        <f t="shared" si="2"/>
        <v>1205126.4528700714</v>
      </c>
      <c r="H4" s="8">
        <f t="shared" si="2"/>
        <v>1205126.4528700714</v>
      </c>
      <c r="I4" s="8">
        <f t="shared" si="2"/>
        <v>1205126.4528700714</v>
      </c>
      <c r="J4" s="8">
        <f t="shared" si="2"/>
        <v>1205126.4528700714</v>
      </c>
      <c r="K4" s="8">
        <f t="shared" si="2"/>
        <v>1205126.4528700714</v>
      </c>
      <c r="L4" s="8">
        <f t="shared" si="2"/>
        <v>1205126.4528700714</v>
      </c>
      <c r="M4" s="8">
        <f t="shared" si="2"/>
        <v>1205126.4528700714</v>
      </c>
      <c r="N4" s="8">
        <f t="shared" si="2"/>
        <v>1205126.4528700714</v>
      </c>
      <c r="O4" s="8">
        <f t="shared" si="2"/>
        <v>1205126.4528700714</v>
      </c>
      <c r="P4" s="8">
        <f t="shared" si="2"/>
        <v>1205126.4528700714</v>
      </c>
      <c r="Q4" s="8">
        <f t="shared" si="2"/>
        <v>1205126.4528700714</v>
      </c>
      <c r="R4" s="8">
        <f t="shared" si="2"/>
        <v>1205126.4528700714</v>
      </c>
      <c r="S4" s="8">
        <f t="shared" si="2"/>
        <v>1205126.4528700714</v>
      </c>
      <c r="T4" s="8">
        <f t="shared" si="2"/>
        <v>1205126.4528700714</v>
      </c>
      <c r="U4" s="8">
        <f t="shared" si="2"/>
        <v>1205126.4528700714</v>
      </c>
      <c r="V4" s="8">
        <f t="shared" si="2"/>
        <v>1205126.4528700714</v>
      </c>
      <c r="W4" s="8">
        <f t="shared" si="2"/>
        <v>1205126.4528700714</v>
      </c>
      <c r="X4" s="8">
        <f t="shared" si="2"/>
        <v>1205126.4528700714</v>
      </c>
      <c r="Y4" s="8">
        <f t="shared" si="2"/>
        <v>1205126.4528700714</v>
      </c>
      <c r="Z4" s="8">
        <f t="shared" si="2"/>
        <v>1205126.4528700714</v>
      </c>
      <c r="AA4" s="8">
        <f t="shared" si="2"/>
        <v>1205126.4528700714</v>
      </c>
      <c r="AB4" s="8">
        <f t="shared" si="2"/>
        <v>1205126.4528700714</v>
      </c>
      <c r="AC4" s="8">
        <f t="shared" si="2"/>
        <v>1205126.4528700714</v>
      </c>
      <c r="AD4" s="8">
        <f t="shared" si="2"/>
        <v>1205126.4528700714</v>
      </c>
      <c r="AE4" s="8">
        <f t="shared" si="2"/>
        <v>1205126.4528700714</v>
      </c>
      <c r="AF4" s="8">
        <f t="shared" si="2"/>
        <v>1205126.4528700714</v>
      </c>
      <c r="AG4" s="8">
        <f t="shared" si="2"/>
        <v>1205126.4528700714</v>
      </c>
      <c r="AH4" s="8">
        <f t="shared" si="2"/>
        <v>1205126.4528700714</v>
      </c>
    </row>
    <row r="5" spans="1:34">
      <c r="A5" t="s">
        <v>41</v>
      </c>
      <c r="B5" s="8">
        <f>'Scale to SEDS'!F78</f>
        <v>15015.893604726556</v>
      </c>
      <c r="C5" s="8">
        <f t="shared" ref="C5:AH5" si="3">B5</f>
        <v>15015.893604726556</v>
      </c>
      <c r="D5" s="8">
        <f t="shared" si="3"/>
        <v>15015.893604726556</v>
      </c>
      <c r="E5" s="8">
        <f t="shared" si="3"/>
        <v>15015.893604726556</v>
      </c>
      <c r="F5" s="8">
        <f t="shared" si="3"/>
        <v>15015.893604726556</v>
      </c>
      <c r="G5" s="8">
        <f t="shared" si="3"/>
        <v>15015.893604726556</v>
      </c>
      <c r="H5" s="8">
        <f t="shared" si="3"/>
        <v>15015.893604726556</v>
      </c>
      <c r="I5" s="8">
        <f t="shared" si="3"/>
        <v>15015.893604726556</v>
      </c>
      <c r="J5" s="8">
        <f t="shared" si="3"/>
        <v>15015.893604726556</v>
      </c>
      <c r="K5" s="8">
        <f t="shared" si="3"/>
        <v>15015.893604726556</v>
      </c>
      <c r="L5" s="8">
        <f t="shared" si="3"/>
        <v>15015.893604726556</v>
      </c>
      <c r="M5" s="8">
        <f t="shared" si="3"/>
        <v>15015.893604726556</v>
      </c>
      <c r="N5" s="8">
        <f t="shared" si="3"/>
        <v>15015.893604726556</v>
      </c>
      <c r="O5" s="8">
        <f t="shared" si="3"/>
        <v>15015.893604726556</v>
      </c>
      <c r="P5" s="8">
        <f t="shared" si="3"/>
        <v>15015.893604726556</v>
      </c>
      <c r="Q5" s="8">
        <f t="shared" si="3"/>
        <v>15015.893604726556</v>
      </c>
      <c r="R5" s="8">
        <f t="shared" si="3"/>
        <v>15015.893604726556</v>
      </c>
      <c r="S5" s="8">
        <f t="shared" si="3"/>
        <v>15015.893604726556</v>
      </c>
      <c r="T5" s="8">
        <f t="shared" si="3"/>
        <v>15015.893604726556</v>
      </c>
      <c r="U5" s="8">
        <f t="shared" si="3"/>
        <v>15015.893604726556</v>
      </c>
      <c r="V5" s="8">
        <f t="shared" si="3"/>
        <v>15015.893604726556</v>
      </c>
      <c r="W5" s="8">
        <f t="shared" si="3"/>
        <v>15015.893604726556</v>
      </c>
      <c r="X5" s="8">
        <f t="shared" si="3"/>
        <v>15015.893604726556</v>
      </c>
      <c r="Y5" s="8">
        <f t="shared" si="3"/>
        <v>15015.893604726556</v>
      </c>
      <c r="Z5" s="8">
        <f t="shared" si="3"/>
        <v>15015.893604726556</v>
      </c>
      <c r="AA5" s="8">
        <f t="shared" si="3"/>
        <v>15015.893604726556</v>
      </c>
      <c r="AB5" s="8">
        <f t="shared" si="3"/>
        <v>15015.893604726556</v>
      </c>
      <c r="AC5" s="8">
        <f t="shared" si="3"/>
        <v>15015.893604726556</v>
      </c>
      <c r="AD5" s="8">
        <f t="shared" si="3"/>
        <v>15015.893604726556</v>
      </c>
      <c r="AE5" s="8">
        <f t="shared" si="3"/>
        <v>15015.893604726556</v>
      </c>
      <c r="AF5" s="8">
        <f t="shared" si="3"/>
        <v>15015.893604726556</v>
      </c>
      <c r="AG5" s="8">
        <f t="shared" si="3"/>
        <v>15015.893604726556</v>
      </c>
      <c r="AH5" s="8">
        <f t="shared" si="3"/>
        <v>15015.893604726556</v>
      </c>
    </row>
    <row r="6" spans="1:34">
      <c r="A6" t="s">
        <v>42</v>
      </c>
      <c r="B6" s="8">
        <f>'Scale to SEDS'!F79</f>
        <v>49148.255211662035</v>
      </c>
      <c r="C6" s="8">
        <f t="shared" ref="C6:AH6" si="4">B6</f>
        <v>49148.255211662035</v>
      </c>
      <c r="D6" s="8">
        <f t="shared" si="4"/>
        <v>49148.255211662035</v>
      </c>
      <c r="E6" s="8">
        <f t="shared" si="4"/>
        <v>49148.255211662035</v>
      </c>
      <c r="F6" s="8">
        <f t="shared" si="4"/>
        <v>49148.255211662035</v>
      </c>
      <c r="G6" s="8">
        <f t="shared" si="4"/>
        <v>49148.255211662035</v>
      </c>
      <c r="H6" s="8">
        <f t="shared" si="4"/>
        <v>49148.255211662035</v>
      </c>
      <c r="I6" s="8">
        <f t="shared" si="4"/>
        <v>49148.255211662035</v>
      </c>
      <c r="J6" s="8">
        <f t="shared" si="4"/>
        <v>49148.255211662035</v>
      </c>
      <c r="K6" s="8">
        <f t="shared" si="4"/>
        <v>49148.255211662035</v>
      </c>
      <c r="L6" s="8">
        <f t="shared" si="4"/>
        <v>49148.255211662035</v>
      </c>
      <c r="M6" s="8">
        <f t="shared" si="4"/>
        <v>49148.255211662035</v>
      </c>
      <c r="N6" s="8">
        <f t="shared" si="4"/>
        <v>49148.255211662035</v>
      </c>
      <c r="O6" s="8">
        <f t="shared" si="4"/>
        <v>49148.255211662035</v>
      </c>
      <c r="P6" s="8">
        <f t="shared" si="4"/>
        <v>49148.255211662035</v>
      </c>
      <c r="Q6" s="8">
        <f t="shared" si="4"/>
        <v>49148.255211662035</v>
      </c>
      <c r="R6" s="8">
        <f t="shared" si="4"/>
        <v>49148.255211662035</v>
      </c>
      <c r="S6" s="8">
        <f t="shared" si="4"/>
        <v>49148.255211662035</v>
      </c>
      <c r="T6" s="8">
        <f t="shared" si="4"/>
        <v>49148.255211662035</v>
      </c>
      <c r="U6" s="8">
        <f t="shared" si="4"/>
        <v>49148.255211662035</v>
      </c>
      <c r="V6" s="8">
        <f t="shared" si="4"/>
        <v>49148.255211662035</v>
      </c>
      <c r="W6" s="8">
        <f t="shared" si="4"/>
        <v>49148.255211662035</v>
      </c>
      <c r="X6" s="8">
        <f t="shared" si="4"/>
        <v>49148.255211662035</v>
      </c>
      <c r="Y6" s="8">
        <f t="shared" si="4"/>
        <v>49148.255211662035</v>
      </c>
      <c r="Z6" s="8">
        <f t="shared" si="4"/>
        <v>49148.255211662035</v>
      </c>
      <c r="AA6" s="8">
        <f t="shared" si="4"/>
        <v>49148.255211662035</v>
      </c>
      <c r="AB6" s="8">
        <f t="shared" si="4"/>
        <v>49148.255211662035</v>
      </c>
      <c r="AC6" s="8">
        <f t="shared" si="4"/>
        <v>49148.255211662035</v>
      </c>
      <c r="AD6" s="8">
        <f t="shared" si="4"/>
        <v>49148.255211662035</v>
      </c>
      <c r="AE6" s="8">
        <f t="shared" si="4"/>
        <v>49148.255211662035</v>
      </c>
      <c r="AF6" s="8">
        <f t="shared" si="4"/>
        <v>49148.255211662035</v>
      </c>
      <c r="AG6" s="8">
        <f t="shared" si="4"/>
        <v>49148.255211662035</v>
      </c>
      <c r="AH6" s="8">
        <f t="shared" si="4"/>
        <v>49148.255211662035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2024-01-19T22:58:22Z</dcterms:modified>
</cp:coreProperties>
</file>