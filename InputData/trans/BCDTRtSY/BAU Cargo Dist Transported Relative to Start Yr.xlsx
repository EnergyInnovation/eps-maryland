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D\trans\BCDTRtSY\"/>
    </mc:Choice>
  </mc:AlternateContent>
  <xr:revisionPtr revIDLastSave="0" documentId="8_{A1783EB8-4D9A-4654-81FB-B3A5EF8FE413}"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<sst xmlns="http://schemas.openxmlformats.org/spreadsheetml/2006/main" count="6428" uniqueCount="3038">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</sst>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2905</v>
      </c>
      <c r="C1" s="77">
        <v>46248</v>
      </c>
      <c r="H1" t="s">
        <v>2981</v>
      </c>
      <c r="I1" t="s">
        <v>2982</v>
      </c>
    </row>
    <row r="2" spans="1:9">
      <c r="B2" t="str">
        <f>VLOOKUP(B1,H2:I52,2)</f>
        <v>MD</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Maryland</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1.0099028299783701</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1.0212667989437685</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1.0295497391449595</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1.0374295439325056</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1.0445620223267345</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1.0477731303457294</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1.051154358193612</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1.0531143770425293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1.0556875948958016</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1.0573969468209119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1.0598205624053398</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1.0626885852465131</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1.0656160258442346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1.0679288942347691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1.0704491371041052</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1.0718279712388323</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1.0730808285736912</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1.0739873044768942</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1.075126549254694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1.0760399344159588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1.0766782679385056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1.0765075299171056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1.0764662317412221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1.0761852609116087</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1.076311350742863</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1.0217559380771406</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1.0377828918614018</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1.0503717762267999</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1.0617689602341882</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1.0717640719298256</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1.0766905578345114</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1.0811950654444444</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1.0861982670454602</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1.0907318459281539</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1.095602099350929</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1.0996839035990302</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1.1039048716773594</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1.1076221168534897</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1.1113227644550381</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1.114974867053155</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1.1175628008361258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1.1201058358935705</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1.1223116760592868</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1.1243980519591676</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1.1263723867746018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1.1279554440767263</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1.1294248113744096</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1.1305083955593822</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1.1314136170685827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1.1322471787396322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1.0352240931702303</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1.0579832983012432</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1.0699589261952085</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1.0868691611893331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1.1080688818133504</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1.1248315953212946</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1.146080151469117</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1.1692937011010209</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1.1949486030987027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1.2232506849087443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1.244503621118749</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1.265869814994744</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1.2870190293519603</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1.3071913918193134</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1.327859677324442</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1.3468038660146224</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1.36688670720523</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1.3883580999245932</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1.4097727901678221</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1.4313506887735834</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1.4519129317545045</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1.4704802609267493</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1.4892578589974501</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1.5069661097617477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1.5252029601062858</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1.0677063110204976</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1.1193822731940297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1.1597456145686356</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1.1954763618669093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1.2267083055527557</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1.2497329732207345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1.270558484455077</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1.2922957068772265</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1.3089142874324222</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1.3255256230868055</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1.3383664080778492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1.3521146885708564</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1.3645566729842162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1.3742531107352969</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1.3843293027927348</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1.3925125659809823</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1.4007332734153957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1.4073704608646389</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1.4148508697997213</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1.4230141753708996</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1.4295126538481928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1.4367639066574238</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1.4416497595942928</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1.4461157830382041</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1.4502726651100899</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1.0057073011470583</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1.0042696166760718</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0.99674162500508834</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0.99158108600232631</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0.98866259139625234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0.98206220291704849</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0.97782632687500237</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0.97479887631511164</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0.97302726954460894</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0.97257132045240335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0.96908422058163712</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0.96562821167852597</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0.96199758260853319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0.95828752188680366</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0.95466466841075426</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0.95002988989766601</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0.94582394314163398</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0.9419154539989778</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0.93800368521265831</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0.9340551986803145</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0.92962426692913058</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0.92452590823140612</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0.91927898202459712</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0.91364385706949502</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0.90828211212873988</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1.0096663080804422</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1.0215657992561653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1.0305334735704199</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1.0393067574782471</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1.0470444043381393</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1.0515307791280764</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1.0560748719133322</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1.0590592218228794</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1.062412116848461</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1.0648405878553673</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1.0680959025972299</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1.07181713818604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1.0755139610090012</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1.078473372410677</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1.081672849836685</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1.0840211177521726</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1.086098660580431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1.0879399540595369</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1.0901318082729694</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1.0921911461760478</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1.0937749957180831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1.0946036209199594</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1.0953804452456084</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1.0959973732211128</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1.0970304831992932</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0.99982718384206914</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1.0051032675186937</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1.0099926979327811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1.0160550461110329</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1.0269912540169253</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1.0332255675766726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1.0413224633986631</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1.0481185566225073</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1.0569277553597771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1.0665000342490434</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1.0764601895084684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1.0877676210235709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1.1003988246684222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1.1134605477194741</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1.1271092691061722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1.139488971677955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1.1512709579079989</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1.1604065392748524</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1.1692920874895616</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1.1796407673876796</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1.1905197860968018</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1.2021603016769844</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1.2124935711810898</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1.2236892097485934</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1.2341213339779999</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1.0145263363348536</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1.0333823967380198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1.0514553487762113</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1.0669752456368353</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1.0849818818764323</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1.0950200279416336</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1.106024051279525</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1.1148121035873453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1.1249187800811125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1.1349157025337926</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1.1441134220768538</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1.152614456293811</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1.1600893567072073</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1.1669916275385275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1.1740969724637809</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1.1806515390939931</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1.1866683226309505</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1.1916343589247367</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1.1969440390444164</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1.2042381604709615</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1.2117737661440005</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1.2192295219666827</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1.2244590479464343</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1.2296201862184528</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1.2341950690990797</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1.0306563758284293</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1.0536688766651308</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1.0702658942604775</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1.0906909266750606</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1.114256158135067</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1.1339241564899234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1.1568281743777906</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1.181296468842981</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1.2076513968187661</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1.236020648910358</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1.2598373393602975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1.2839130872471787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1.3080164167749972</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1.3316147075386782</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1.3557323724846531</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1.3786923685488581</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1.4025847999609771</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1.4275901820222194</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1.4527168034000821</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1.4781142059417325</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1.5029677450427741</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1.5265854978433808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1.5505136406864317</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1.573857845799026</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1.5977594279990994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0.98091237710679191</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1.0162578565311984</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0.99903364918560578</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0.99471148348579119</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1.0048979673181153</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0.97945615357745919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0.98389948942566274</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0.98850018821430097</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0.98603157377304818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0.98959146934669684</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0.99227732159931725</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0.99637716682681765</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0.99712654994695138</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0.9994834668120518</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1.0008246967058567</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1.0000147439971785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0.99702526362810495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0.99468999891928522</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0.99489765044717948</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0.99449337924800252</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0.99668314511979239</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1.0026663935942617</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1.0059574479189139</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1.0032080573524307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1.0011456357126829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0.99583913325201912</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1.0187931486240012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1.0439094815347323</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1.0657362603194791</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1.0886069461824572</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1.1065753459370551</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1.1266553560083965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1.1470570557305189</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1.1682171280251556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1.190433317579181</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1.2085566074281913</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1.2232626858809179</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1.2379723124699593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1.2514779689225268</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1.265078862641716</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1.2779657806206544</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1.291960668986426</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1.3055303574865531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1.31895538092537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1.33378883764137</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1.3487947480317919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1.3640098222331078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1.3784378603254304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1.3925565735698564</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1.4081788839436877</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1.0099028299783701</v>
      </c>
      <c r="E2">
        <f>'BCDTRtSY-state-adjusted'!E5</f>
        <v>1.0212667989437685</v>
      </c>
      <c r="F2">
        <f>'BCDTRtSY-state-adjusted'!F5</f>
        <v>1.0295497391449595</v>
      </c>
      <c r="G2">
        <f>'BCDTRtSY-state-adjusted'!G5</f>
        <v>1.0374295439325056</v>
      </c>
      <c r="H2">
        <f>'BCDTRtSY-state-adjusted'!H5</f>
        <v>1.0445620223267345</v>
      </c>
      <c r="I2">
        <f>'BCDTRtSY-state-adjusted'!I5</f>
        <v>1.0477731303457294</v>
      </c>
      <c r="J2">
        <f>'BCDTRtSY-state-adjusted'!J5</f>
        <v>1.051154358193612</v>
      </c>
      <c r="K2">
        <f>'BCDTRtSY-state-adjusted'!K5</f>
        <v>1.0531143770425293</v>
      </c>
      <c r="L2">
        <f>'BCDTRtSY-state-adjusted'!L5</f>
        <v>1.0556875948958016</v>
      </c>
      <c r="M2">
        <f>'BCDTRtSY-state-adjusted'!M5</f>
        <v>1.0573969468209119</v>
      </c>
      <c r="N2">
        <f>'BCDTRtSY-state-adjusted'!N5</f>
        <v>1.0598205624053398</v>
      </c>
      <c r="O2">
        <f>'BCDTRtSY-state-adjusted'!O5</f>
        <v>1.0626885852465131</v>
      </c>
      <c r="P2">
        <f>'BCDTRtSY-state-adjusted'!P5</f>
        <v>1.0656160258442346</v>
      </c>
      <c r="Q2">
        <f>'BCDTRtSY-state-adjusted'!Q5</f>
        <v>1.0679288942347691</v>
      </c>
      <c r="R2">
        <f>'BCDTRtSY-state-adjusted'!R5</f>
        <v>1.0704491371041052</v>
      </c>
      <c r="S2">
        <f>'BCDTRtSY-state-adjusted'!S5</f>
        <v>1.0718279712388323</v>
      </c>
      <c r="T2">
        <f>'BCDTRtSY-state-adjusted'!T5</f>
        <v>1.0730808285736912</v>
      </c>
      <c r="U2">
        <f>'BCDTRtSY-state-adjusted'!U5</f>
        <v>1.0739873044768942</v>
      </c>
      <c r="V2">
        <f>'BCDTRtSY-state-adjusted'!V5</f>
        <v>1.075126549254694</v>
      </c>
      <c r="W2">
        <f>'BCDTRtSY-state-adjusted'!W5</f>
        <v>1.0760399344159588</v>
      </c>
      <c r="X2">
        <f>'BCDTRtSY-state-adjusted'!X5</f>
        <v>1.0766782679385056</v>
      </c>
      <c r="Y2">
        <f>'BCDTRtSY-state-adjusted'!Y5</f>
        <v>1.0765075299171056</v>
      </c>
      <c r="Z2">
        <f>'BCDTRtSY-state-adjusted'!Z5</f>
        <v>1.0764662317412221</v>
      </c>
      <c r="AA2">
        <f>'BCDTRtSY-state-adjusted'!AA5</f>
        <v>1.0761852609116087</v>
      </c>
      <c r="AB2">
        <f>'BCDTRtSY-state-adjusted'!AB5</f>
        <v>1.076311350742863</v>
      </c>
    </row>
    <row r="3" spans="1:28">
      <c r="A3" t="s">
        <v>118</v>
      </c>
      <c r="B3">
        <f>'BCDTRtSY-state-adjusted'!B6</f>
        <v>1</v>
      </c>
      <c r="C3">
        <f>'BCDTRtSY-state-adjusted'!C6</f>
        <v>1</v>
      </c>
      <c r="D3">
        <f>'BCDTRtSY-state-adjusted'!D6</f>
        <v>1.0217559380771406</v>
      </c>
      <c r="E3">
        <f>'BCDTRtSY-state-adjusted'!E6</f>
        <v>1.0377828918614018</v>
      </c>
      <c r="F3">
        <f>'BCDTRtSY-state-adjusted'!F6</f>
        <v>1.0503717762267999</v>
      </c>
      <c r="G3">
        <f>'BCDTRtSY-state-adjusted'!G6</f>
        <v>1.0617689602341882</v>
      </c>
      <c r="H3">
        <f>'BCDTRtSY-state-adjusted'!H6</f>
        <v>1.0717640719298256</v>
      </c>
      <c r="I3">
        <f>'BCDTRtSY-state-adjusted'!I6</f>
        <v>1.0766905578345114</v>
      </c>
      <c r="J3">
        <f>'BCDTRtSY-state-adjusted'!J6</f>
        <v>1.0811950654444444</v>
      </c>
      <c r="K3">
        <f>'BCDTRtSY-state-adjusted'!K6</f>
        <v>1.0861982670454602</v>
      </c>
      <c r="L3">
        <f>'BCDTRtSY-state-adjusted'!L6</f>
        <v>1.0907318459281539</v>
      </c>
      <c r="M3">
        <f>'BCDTRtSY-state-adjusted'!M6</f>
        <v>1.095602099350929</v>
      </c>
      <c r="N3">
        <f>'BCDTRtSY-state-adjusted'!N6</f>
        <v>1.0996839035990302</v>
      </c>
      <c r="O3">
        <f>'BCDTRtSY-state-adjusted'!O6</f>
        <v>1.1039048716773594</v>
      </c>
      <c r="P3">
        <f>'BCDTRtSY-state-adjusted'!P6</f>
        <v>1.1076221168534897</v>
      </c>
      <c r="Q3">
        <f>'BCDTRtSY-state-adjusted'!Q6</f>
        <v>1.1113227644550381</v>
      </c>
      <c r="R3">
        <f>'BCDTRtSY-state-adjusted'!R6</f>
        <v>1.114974867053155</v>
      </c>
      <c r="S3">
        <f>'BCDTRtSY-state-adjusted'!S6</f>
        <v>1.1175628008361258</v>
      </c>
      <c r="T3">
        <f>'BCDTRtSY-state-adjusted'!T6</f>
        <v>1.1201058358935705</v>
      </c>
      <c r="U3">
        <f>'BCDTRtSY-state-adjusted'!U6</f>
        <v>1.1223116760592868</v>
      </c>
      <c r="V3">
        <f>'BCDTRtSY-state-adjusted'!V6</f>
        <v>1.1243980519591676</v>
      </c>
      <c r="W3">
        <f>'BCDTRtSY-state-adjusted'!W6</f>
        <v>1.1263723867746018</v>
      </c>
      <c r="X3">
        <f>'BCDTRtSY-state-adjusted'!X6</f>
        <v>1.1279554440767263</v>
      </c>
      <c r="Y3">
        <f>'BCDTRtSY-state-adjusted'!Y6</f>
        <v>1.1294248113744096</v>
      </c>
      <c r="Z3">
        <f>'BCDTRtSY-state-adjusted'!Z6</f>
        <v>1.1305083955593822</v>
      </c>
      <c r="AA3">
        <f>'BCDTRtSY-state-adjusted'!AA6</f>
        <v>1.1314136170685827</v>
      </c>
      <c r="AB3">
        <f>'BCDTRtSY-state-adjusted'!AB6</f>
        <v>1.1322471787396322</v>
      </c>
    </row>
    <row r="4" spans="1:28">
      <c r="A4" t="s">
        <v>116</v>
      </c>
      <c r="B4">
        <f>'BCDTRtSY-state-adjusted'!B7</f>
        <v>1</v>
      </c>
      <c r="C4">
        <f>'BCDTRtSY-state-adjusted'!C7</f>
        <v>1</v>
      </c>
      <c r="D4">
        <f>'BCDTRtSY-state-adjusted'!D7</f>
        <v>1.0352240931702303</v>
      </c>
      <c r="E4">
        <f>'BCDTRtSY-state-adjusted'!E7</f>
        <v>1.0579832983012432</v>
      </c>
      <c r="F4">
        <f>'BCDTRtSY-state-adjusted'!F7</f>
        <v>1.0699589261952085</v>
      </c>
      <c r="G4">
        <f>'BCDTRtSY-state-adjusted'!G7</f>
        <v>1.0868691611893331</v>
      </c>
      <c r="H4">
        <f>'BCDTRtSY-state-adjusted'!H7</f>
        <v>1.1080688818133504</v>
      </c>
      <c r="I4">
        <f>'BCDTRtSY-state-adjusted'!I7</f>
        <v>1.1248315953212946</v>
      </c>
      <c r="J4">
        <f>'BCDTRtSY-state-adjusted'!J7</f>
        <v>1.146080151469117</v>
      </c>
      <c r="K4">
        <f>'BCDTRtSY-state-adjusted'!K7</f>
        <v>1.1692937011010209</v>
      </c>
      <c r="L4">
        <f>'BCDTRtSY-state-adjusted'!L7</f>
        <v>1.1949486030987027</v>
      </c>
      <c r="M4">
        <f>'BCDTRtSY-state-adjusted'!M7</f>
        <v>1.2232506849087443</v>
      </c>
      <c r="N4">
        <f>'BCDTRtSY-state-adjusted'!N7</f>
        <v>1.244503621118749</v>
      </c>
      <c r="O4">
        <f>'BCDTRtSY-state-adjusted'!O7</f>
        <v>1.265869814994744</v>
      </c>
      <c r="P4">
        <f>'BCDTRtSY-state-adjusted'!P7</f>
        <v>1.2870190293519603</v>
      </c>
      <c r="Q4">
        <f>'BCDTRtSY-state-adjusted'!Q7</f>
        <v>1.3071913918193134</v>
      </c>
      <c r="R4">
        <f>'BCDTRtSY-state-adjusted'!R7</f>
        <v>1.327859677324442</v>
      </c>
      <c r="S4">
        <f>'BCDTRtSY-state-adjusted'!S7</f>
        <v>1.3468038660146224</v>
      </c>
      <c r="T4">
        <f>'BCDTRtSY-state-adjusted'!T7</f>
        <v>1.36688670720523</v>
      </c>
      <c r="U4">
        <f>'BCDTRtSY-state-adjusted'!U7</f>
        <v>1.3883580999245932</v>
      </c>
      <c r="V4">
        <f>'BCDTRtSY-state-adjusted'!V7</f>
        <v>1.4097727901678221</v>
      </c>
      <c r="W4">
        <f>'BCDTRtSY-state-adjusted'!W7</f>
        <v>1.4313506887735834</v>
      </c>
      <c r="X4">
        <f>'BCDTRtSY-state-adjusted'!X7</f>
        <v>1.4519129317545045</v>
      </c>
      <c r="Y4">
        <f>'BCDTRtSY-state-adjusted'!Y7</f>
        <v>1.4704802609267493</v>
      </c>
      <c r="Z4">
        <f>'BCDTRtSY-state-adjusted'!Z7</f>
        <v>1.4892578589974501</v>
      </c>
      <c r="AA4">
        <f>'BCDTRtSY-state-adjusted'!AA7</f>
        <v>1.5069661097617477</v>
      </c>
      <c r="AB4">
        <f>'BCDTRtSY-state-adjusted'!AB7</f>
        <v>1.5252029601062858</v>
      </c>
    </row>
    <row r="5" spans="1:28">
      <c r="A5" t="s">
        <v>121</v>
      </c>
      <c r="B5">
        <f>'BCDTRtSY-state-adjusted'!B8</f>
        <v>1</v>
      </c>
      <c r="C5">
        <f>'BCDTRtSY-state-adjusted'!C8</f>
        <v>1</v>
      </c>
      <c r="D5">
        <f>'BCDTRtSY-state-adjusted'!D8</f>
        <v>1.0677063110204976</v>
      </c>
      <c r="E5">
        <f>'BCDTRtSY-state-adjusted'!E8</f>
        <v>1.1193822731940297</v>
      </c>
      <c r="F5">
        <f>'BCDTRtSY-state-adjusted'!F8</f>
        <v>1.1597456145686356</v>
      </c>
      <c r="G5">
        <f>'BCDTRtSY-state-adjusted'!G8</f>
        <v>1.1954763618669093</v>
      </c>
      <c r="H5">
        <f>'BCDTRtSY-state-adjusted'!H8</f>
        <v>1.2267083055527557</v>
      </c>
      <c r="I5">
        <f>'BCDTRtSY-state-adjusted'!I8</f>
        <v>1.2497329732207345</v>
      </c>
      <c r="J5">
        <f>'BCDTRtSY-state-adjusted'!J8</f>
        <v>1.270558484455077</v>
      </c>
      <c r="K5">
        <f>'BCDTRtSY-state-adjusted'!K8</f>
        <v>1.2922957068772265</v>
      </c>
      <c r="L5">
        <f>'BCDTRtSY-state-adjusted'!L8</f>
        <v>1.3089142874324222</v>
      </c>
      <c r="M5">
        <f>'BCDTRtSY-state-adjusted'!M8</f>
        <v>1.3255256230868055</v>
      </c>
      <c r="N5">
        <f>'BCDTRtSY-state-adjusted'!N8</f>
        <v>1.3383664080778492</v>
      </c>
      <c r="O5">
        <f>'BCDTRtSY-state-adjusted'!O8</f>
        <v>1.3521146885708564</v>
      </c>
      <c r="P5">
        <f>'BCDTRtSY-state-adjusted'!P8</f>
        <v>1.3645566729842162</v>
      </c>
      <c r="Q5">
        <f>'BCDTRtSY-state-adjusted'!Q8</f>
        <v>1.3742531107352969</v>
      </c>
      <c r="R5">
        <f>'BCDTRtSY-state-adjusted'!R8</f>
        <v>1.3843293027927348</v>
      </c>
      <c r="S5">
        <f>'BCDTRtSY-state-adjusted'!S8</f>
        <v>1.3925125659809823</v>
      </c>
      <c r="T5">
        <f>'BCDTRtSY-state-adjusted'!T8</f>
        <v>1.4007332734153957</v>
      </c>
      <c r="U5">
        <f>'BCDTRtSY-state-adjusted'!U8</f>
        <v>1.4073704608646389</v>
      </c>
      <c r="V5">
        <f>'BCDTRtSY-state-adjusted'!V8</f>
        <v>1.4148508697997213</v>
      </c>
      <c r="W5">
        <f>'BCDTRtSY-state-adjusted'!W8</f>
        <v>1.4230141753708996</v>
      </c>
      <c r="X5">
        <f>'BCDTRtSY-state-adjusted'!X8</f>
        <v>1.4295126538481928</v>
      </c>
      <c r="Y5">
        <f>'BCDTRtSY-state-adjusted'!Y8</f>
        <v>1.4367639066574238</v>
      </c>
      <c r="Z5">
        <f>'BCDTRtSY-state-adjusted'!Z8</f>
        <v>1.4416497595942928</v>
      </c>
      <c r="AA5">
        <f>'BCDTRtSY-state-adjusted'!AA8</f>
        <v>1.4461157830382041</v>
      </c>
      <c r="AB5">
        <f>'BCDTRtSY-state-adjusted'!AB8</f>
        <v>1.4502726651100899</v>
      </c>
    </row>
    <row r="6" spans="1:28">
      <c r="A6" t="s">
        <v>122</v>
      </c>
      <c r="B6">
        <f>'BCDTRtSY-state-adjusted'!B9</f>
        <v>1</v>
      </c>
      <c r="C6">
        <f>'BCDTRtSY-state-adjusted'!C9</f>
        <v>1</v>
      </c>
      <c r="D6">
        <f>'BCDTRtSY-state-adjusted'!D9</f>
        <v>1.0057073011470583</v>
      </c>
      <c r="E6">
        <f>'BCDTRtSY-state-adjusted'!E9</f>
        <v>1.0042696166760718</v>
      </c>
      <c r="F6">
        <f>'BCDTRtSY-state-adjusted'!F9</f>
        <v>0.99674162500508834</v>
      </c>
      <c r="G6">
        <f>'BCDTRtSY-state-adjusted'!G9</f>
        <v>0.99158108600232631</v>
      </c>
      <c r="H6">
        <f>'BCDTRtSY-state-adjusted'!H9</f>
        <v>0.98866259139625234</v>
      </c>
      <c r="I6">
        <f>'BCDTRtSY-state-adjusted'!I9</f>
        <v>0.98206220291704849</v>
      </c>
      <c r="J6">
        <f>'BCDTRtSY-state-adjusted'!J9</f>
        <v>0.97782632687500237</v>
      </c>
      <c r="K6">
        <f>'BCDTRtSY-state-adjusted'!K9</f>
        <v>0.97479887631511164</v>
      </c>
      <c r="L6">
        <f>'BCDTRtSY-state-adjusted'!L9</f>
        <v>0.97302726954460894</v>
      </c>
      <c r="M6">
        <f>'BCDTRtSY-state-adjusted'!M9</f>
        <v>0.97257132045240335</v>
      </c>
      <c r="N6">
        <f>'BCDTRtSY-state-adjusted'!N9</f>
        <v>0.96908422058163712</v>
      </c>
      <c r="O6">
        <f>'BCDTRtSY-state-adjusted'!O9</f>
        <v>0.96562821167852597</v>
      </c>
      <c r="P6">
        <f>'BCDTRtSY-state-adjusted'!P9</f>
        <v>0.96199758260853319</v>
      </c>
      <c r="Q6">
        <f>'BCDTRtSY-state-adjusted'!Q9</f>
        <v>0.95828752188680366</v>
      </c>
      <c r="R6">
        <f>'BCDTRtSY-state-adjusted'!R9</f>
        <v>0.95466466841075426</v>
      </c>
      <c r="S6">
        <f>'BCDTRtSY-state-adjusted'!S9</f>
        <v>0.95002988989766601</v>
      </c>
      <c r="T6">
        <f>'BCDTRtSY-state-adjusted'!T9</f>
        <v>0.94582394314163398</v>
      </c>
      <c r="U6">
        <f>'BCDTRtSY-state-adjusted'!U9</f>
        <v>0.9419154539989778</v>
      </c>
      <c r="V6">
        <f>'BCDTRtSY-state-adjusted'!V9</f>
        <v>0.93800368521265831</v>
      </c>
      <c r="W6">
        <f>'BCDTRtSY-state-adjusted'!W9</f>
        <v>0.9340551986803145</v>
      </c>
      <c r="X6">
        <f>'BCDTRtSY-state-adjusted'!X9</f>
        <v>0.92962426692913058</v>
      </c>
      <c r="Y6">
        <f>'BCDTRtSY-state-adjusted'!Y9</f>
        <v>0.92452590823140612</v>
      </c>
      <c r="Z6">
        <f>'BCDTRtSY-state-adjusted'!Z9</f>
        <v>0.91927898202459712</v>
      </c>
      <c r="AA6">
        <f>'BCDTRtSY-state-adjusted'!AA9</f>
        <v>0.91364385706949502</v>
      </c>
      <c r="AB6">
        <f>'BCDTRtSY-state-adjusted'!AB9</f>
        <v>0.90828211212873988</v>
      </c>
    </row>
    <row r="7" spans="1:28">
      <c r="A7" t="s">
        <v>123</v>
      </c>
      <c r="B7">
        <f>'BCDTRtSY-state-adjusted'!B10</f>
        <v>1</v>
      </c>
      <c r="C7">
        <f>'BCDTRtSY-state-adjusted'!C10</f>
        <v>1</v>
      </c>
      <c r="D7">
        <f>'BCDTRtSY-state-adjusted'!D10</f>
        <v>1.0096663080804422</v>
      </c>
      <c r="E7">
        <f>'BCDTRtSY-state-adjusted'!E10</f>
        <v>1.0215657992561653</v>
      </c>
      <c r="F7">
        <f>'BCDTRtSY-state-adjusted'!F10</f>
        <v>1.0305334735704199</v>
      </c>
      <c r="G7">
        <f>'BCDTRtSY-state-adjusted'!G10</f>
        <v>1.0393067574782471</v>
      </c>
      <c r="H7">
        <f>'BCDTRtSY-state-adjusted'!H10</f>
        <v>1.0470444043381393</v>
      </c>
      <c r="I7">
        <f>'BCDTRtSY-state-adjusted'!I10</f>
        <v>1.0515307791280764</v>
      </c>
      <c r="J7">
        <f>'BCDTRtSY-state-adjusted'!J10</f>
        <v>1.0560748719133322</v>
      </c>
      <c r="K7">
        <f>'BCDTRtSY-state-adjusted'!K10</f>
        <v>1.0590592218228794</v>
      </c>
      <c r="L7">
        <f>'BCDTRtSY-state-adjusted'!L10</f>
        <v>1.062412116848461</v>
      </c>
      <c r="M7">
        <f>'BCDTRtSY-state-adjusted'!M10</f>
        <v>1.0648405878553673</v>
      </c>
      <c r="N7">
        <f>'BCDTRtSY-state-adjusted'!N10</f>
        <v>1.0680959025972299</v>
      </c>
      <c r="O7">
        <f>'BCDTRtSY-state-adjusted'!O10</f>
        <v>1.07181713818604</v>
      </c>
      <c r="P7">
        <f>'BCDTRtSY-state-adjusted'!P10</f>
        <v>1.0755139610090012</v>
      </c>
      <c r="Q7">
        <f>'BCDTRtSY-state-adjusted'!Q10</f>
        <v>1.078473372410677</v>
      </c>
      <c r="R7">
        <f>'BCDTRtSY-state-adjusted'!R10</f>
        <v>1.081672849836685</v>
      </c>
      <c r="S7">
        <f>'BCDTRtSY-state-adjusted'!S10</f>
        <v>1.0840211177521726</v>
      </c>
      <c r="T7">
        <f>'BCDTRtSY-state-adjusted'!T10</f>
        <v>1.086098660580431</v>
      </c>
      <c r="U7">
        <f>'BCDTRtSY-state-adjusted'!U10</f>
        <v>1.0879399540595369</v>
      </c>
      <c r="V7">
        <f>'BCDTRtSY-state-adjusted'!V10</f>
        <v>1.0901318082729694</v>
      </c>
      <c r="W7">
        <f>'BCDTRtSY-state-adjusted'!W10</f>
        <v>1.0921911461760478</v>
      </c>
      <c r="X7">
        <f>'BCDTRtSY-state-adjusted'!X10</f>
        <v>1.0937749957180831</v>
      </c>
      <c r="Y7">
        <f>'BCDTRtSY-state-adjusted'!Y10</f>
        <v>1.0946036209199594</v>
      </c>
      <c r="Z7">
        <f>'BCDTRtSY-state-adjusted'!Z10</f>
        <v>1.0953804452456084</v>
      </c>
      <c r="AA7">
        <f>'BCDTRtSY-state-adjusted'!AA10</f>
        <v>1.0959973732211128</v>
      </c>
      <c r="AB7">
        <f>'BCDTRtSY-state-adjusted'!AB10</f>
        <v>1.0970304831992932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0.99982718384206914</v>
      </c>
      <c r="E2">
        <f>'BCDTRtSY-state-adjusted'!E13</f>
        <v>1.0051032675186937</v>
      </c>
      <c r="F2">
        <f>'BCDTRtSY-state-adjusted'!F13</f>
        <v>1.0099926979327811</v>
      </c>
      <c r="G2">
        <f>'BCDTRtSY-state-adjusted'!G13</f>
        <v>1.0160550461110329</v>
      </c>
      <c r="H2">
        <f>'BCDTRtSY-state-adjusted'!H13</f>
        <v>1.0269912540169253</v>
      </c>
      <c r="I2">
        <f>'BCDTRtSY-state-adjusted'!I13</f>
        <v>1.0332255675766726</v>
      </c>
      <c r="J2">
        <f>'BCDTRtSY-state-adjusted'!J13</f>
        <v>1.0413224633986631</v>
      </c>
      <c r="K2">
        <f>'BCDTRtSY-state-adjusted'!K13</f>
        <v>1.0481185566225073</v>
      </c>
      <c r="L2">
        <f>'BCDTRtSY-state-adjusted'!L13</f>
        <v>1.0569277553597771</v>
      </c>
      <c r="M2">
        <f>'BCDTRtSY-state-adjusted'!M13</f>
        <v>1.0665000342490434</v>
      </c>
      <c r="N2">
        <f>'BCDTRtSY-state-adjusted'!N13</f>
        <v>1.0764601895084684</v>
      </c>
      <c r="O2">
        <f>'BCDTRtSY-state-adjusted'!O13</f>
        <v>1.0877676210235709</v>
      </c>
      <c r="P2">
        <f>'BCDTRtSY-state-adjusted'!P13</f>
        <v>1.1003988246684222</v>
      </c>
      <c r="Q2">
        <f>'BCDTRtSY-state-adjusted'!Q13</f>
        <v>1.1134605477194741</v>
      </c>
      <c r="R2">
        <f>'BCDTRtSY-state-adjusted'!R13</f>
        <v>1.1271092691061722</v>
      </c>
      <c r="S2">
        <f>'BCDTRtSY-state-adjusted'!S13</f>
        <v>1.139488971677955</v>
      </c>
      <c r="T2">
        <f>'BCDTRtSY-state-adjusted'!T13</f>
        <v>1.1512709579079989</v>
      </c>
      <c r="U2">
        <f>'BCDTRtSY-state-adjusted'!U13</f>
        <v>1.1604065392748524</v>
      </c>
      <c r="V2">
        <f>'BCDTRtSY-state-adjusted'!V13</f>
        <v>1.1692920874895616</v>
      </c>
      <c r="W2">
        <f>'BCDTRtSY-state-adjusted'!W13</f>
        <v>1.1796407673876796</v>
      </c>
      <c r="X2">
        <f>'BCDTRtSY-state-adjusted'!X13</f>
        <v>1.1905197860968018</v>
      </c>
      <c r="Y2">
        <f>'BCDTRtSY-state-adjusted'!Y13</f>
        <v>1.2021603016769844</v>
      </c>
      <c r="Z2">
        <f>'BCDTRtSY-state-adjusted'!Z13</f>
        <v>1.2124935711810898</v>
      </c>
      <c r="AA2">
        <f>'BCDTRtSY-state-adjusted'!AA13</f>
        <v>1.2236892097485934</v>
      </c>
      <c r="AB2">
        <f>'BCDTRtSY-state-adjusted'!AB13</f>
        <v>1.2341213339779999</v>
      </c>
    </row>
    <row r="3" spans="1:28">
      <c r="A3" t="s">
        <v>118</v>
      </c>
      <c r="B3">
        <f>'BCDTRtSY-state-adjusted'!B14</f>
        <v>1</v>
      </c>
      <c r="C3">
        <f>'BCDTRtSY-state-adjusted'!C14</f>
        <v>1</v>
      </c>
      <c r="D3">
        <f>'BCDTRtSY-state-adjusted'!D14</f>
        <v>1.0145263363348536</v>
      </c>
      <c r="E3">
        <f>'BCDTRtSY-state-adjusted'!E14</f>
        <v>1.0333823967380198</v>
      </c>
      <c r="F3">
        <f>'BCDTRtSY-state-adjusted'!F14</f>
        <v>1.0514553487762113</v>
      </c>
      <c r="G3">
        <f>'BCDTRtSY-state-adjusted'!G14</f>
        <v>1.0669752456368353</v>
      </c>
      <c r="H3">
        <f>'BCDTRtSY-state-adjusted'!H14</f>
        <v>1.0849818818764323</v>
      </c>
      <c r="I3">
        <f>'BCDTRtSY-state-adjusted'!I14</f>
        <v>1.0950200279416336</v>
      </c>
      <c r="J3">
        <f>'BCDTRtSY-state-adjusted'!J14</f>
        <v>1.106024051279525</v>
      </c>
      <c r="K3">
        <f>'BCDTRtSY-state-adjusted'!K14</f>
        <v>1.1148121035873453</v>
      </c>
      <c r="L3">
        <f>'BCDTRtSY-state-adjusted'!L14</f>
        <v>1.1249187800811125</v>
      </c>
      <c r="M3">
        <f>'BCDTRtSY-state-adjusted'!M14</f>
        <v>1.1349157025337926</v>
      </c>
      <c r="N3">
        <f>'BCDTRtSY-state-adjusted'!N14</f>
        <v>1.1441134220768538</v>
      </c>
      <c r="O3">
        <f>'BCDTRtSY-state-adjusted'!O14</f>
        <v>1.152614456293811</v>
      </c>
      <c r="P3">
        <f>'BCDTRtSY-state-adjusted'!P14</f>
        <v>1.1600893567072073</v>
      </c>
      <c r="Q3">
        <f>'BCDTRtSY-state-adjusted'!Q14</f>
        <v>1.1669916275385275</v>
      </c>
      <c r="R3">
        <f>'BCDTRtSY-state-adjusted'!R14</f>
        <v>1.1740969724637809</v>
      </c>
      <c r="S3">
        <f>'BCDTRtSY-state-adjusted'!S14</f>
        <v>1.1806515390939931</v>
      </c>
      <c r="T3">
        <f>'BCDTRtSY-state-adjusted'!T14</f>
        <v>1.1866683226309505</v>
      </c>
      <c r="U3">
        <f>'BCDTRtSY-state-adjusted'!U14</f>
        <v>1.1916343589247367</v>
      </c>
      <c r="V3">
        <f>'BCDTRtSY-state-adjusted'!V14</f>
        <v>1.1969440390444164</v>
      </c>
      <c r="W3">
        <f>'BCDTRtSY-state-adjusted'!W14</f>
        <v>1.2042381604709615</v>
      </c>
      <c r="X3">
        <f>'BCDTRtSY-state-adjusted'!X14</f>
        <v>1.2117737661440005</v>
      </c>
      <c r="Y3">
        <f>'BCDTRtSY-state-adjusted'!Y14</f>
        <v>1.2192295219666827</v>
      </c>
      <c r="Z3">
        <f>'BCDTRtSY-state-adjusted'!Z14</f>
        <v>1.2244590479464343</v>
      </c>
      <c r="AA3">
        <f>'BCDTRtSY-state-adjusted'!AA14</f>
        <v>1.2296201862184528</v>
      </c>
      <c r="AB3">
        <f>'BCDTRtSY-state-adjusted'!AB14</f>
        <v>1.2341950690990797</v>
      </c>
    </row>
    <row r="4" spans="1:28">
      <c r="A4" t="s">
        <v>116</v>
      </c>
      <c r="B4">
        <f>'BCDTRtSY-state-adjusted'!B15</f>
        <v>1</v>
      </c>
      <c r="C4">
        <f>'BCDTRtSY-state-adjusted'!C15</f>
        <v>1</v>
      </c>
      <c r="D4">
        <f>'BCDTRtSY-state-adjusted'!D15</f>
        <v>1.0306563758284293</v>
      </c>
      <c r="E4">
        <f>'BCDTRtSY-state-adjusted'!E15</f>
        <v>1.0536688766651308</v>
      </c>
      <c r="F4">
        <f>'BCDTRtSY-state-adjusted'!F15</f>
        <v>1.0702658942604775</v>
      </c>
      <c r="G4">
        <f>'BCDTRtSY-state-adjusted'!G15</f>
        <v>1.0906909266750606</v>
      </c>
      <c r="H4">
        <f>'BCDTRtSY-state-adjusted'!H15</f>
        <v>1.114256158135067</v>
      </c>
      <c r="I4">
        <f>'BCDTRtSY-state-adjusted'!I15</f>
        <v>1.1339241564899234</v>
      </c>
      <c r="J4">
        <f>'BCDTRtSY-state-adjusted'!J15</f>
        <v>1.1568281743777906</v>
      </c>
      <c r="K4">
        <f>'BCDTRtSY-state-adjusted'!K15</f>
        <v>1.181296468842981</v>
      </c>
      <c r="L4">
        <f>'BCDTRtSY-state-adjusted'!L15</f>
        <v>1.2076513968187661</v>
      </c>
      <c r="M4">
        <f>'BCDTRtSY-state-adjusted'!M15</f>
        <v>1.236020648910358</v>
      </c>
      <c r="N4">
        <f>'BCDTRtSY-state-adjusted'!N15</f>
        <v>1.2598373393602975</v>
      </c>
      <c r="O4">
        <f>'BCDTRtSY-state-adjusted'!O15</f>
        <v>1.2839130872471787</v>
      </c>
      <c r="P4">
        <f>'BCDTRtSY-state-adjusted'!P15</f>
        <v>1.3080164167749972</v>
      </c>
      <c r="Q4">
        <f>'BCDTRtSY-state-adjusted'!Q15</f>
        <v>1.3316147075386782</v>
      </c>
      <c r="R4">
        <f>'BCDTRtSY-state-adjusted'!R15</f>
        <v>1.3557323724846531</v>
      </c>
      <c r="S4">
        <f>'BCDTRtSY-state-adjusted'!S15</f>
        <v>1.3786923685488581</v>
      </c>
      <c r="T4">
        <f>'BCDTRtSY-state-adjusted'!T15</f>
        <v>1.4025847999609771</v>
      </c>
      <c r="U4">
        <f>'BCDTRtSY-state-adjusted'!U15</f>
        <v>1.4275901820222194</v>
      </c>
      <c r="V4">
        <f>'BCDTRtSY-state-adjusted'!V15</f>
        <v>1.4527168034000821</v>
      </c>
      <c r="W4">
        <f>'BCDTRtSY-state-adjusted'!W15</f>
        <v>1.4781142059417325</v>
      </c>
      <c r="X4">
        <f>'BCDTRtSY-state-adjusted'!X15</f>
        <v>1.5029677450427741</v>
      </c>
      <c r="Y4">
        <f>'BCDTRtSY-state-adjusted'!Y15</f>
        <v>1.5265854978433808</v>
      </c>
      <c r="Z4">
        <f>'BCDTRtSY-state-adjusted'!Z15</f>
        <v>1.5505136406864317</v>
      </c>
      <c r="AA4">
        <f>'BCDTRtSY-state-adjusted'!AA15</f>
        <v>1.573857845799026</v>
      </c>
      <c r="AB4">
        <f>'BCDTRtSY-state-adjusted'!AB15</f>
        <v>1.5977594279990994</v>
      </c>
    </row>
    <row r="5" spans="1:28">
      <c r="A5" t="s">
        <v>121</v>
      </c>
      <c r="B5">
        <f>'BCDTRtSY-state-adjusted'!B16</f>
        <v>1</v>
      </c>
      <c r="C5">
        <f>'BCDTRtSY-state-adjusted'!C16</f>
        <v>1</v>
      </c>
      <c r="D5">
        <f>'BCDTRtSY-state-adjusted'!D16</f>
        <v>0.98091237710679191</v>
      </c>
      <c r="E5">
        <f>'BCDTRtSY-state-adjusted'!E16</f>
        <v>1.0162578565311984</v>
      </c>
      <c r="F5">
        <f>'BCDTRtSY-state-adjusted'!F16</f>
        <v>0.99903364918560578</v>
      </c>
      <c r="G5">
        <f>'BCDTRtSY-state-adjusted'!G16</f>
        <v>0.99471148348579119</v>
      </c>
      <c r="H5">
        <f>'BCDTRtSY-state-adjusted'!H16</f>
        <v>1.0048979673181153</v>
      </c>
      <c r="I5">
        <f>'BCDTRtSY-state-adjusted'!I16</f>
        <v>0.97945615357745919</v>
      </c>
      <c r="J5">
        <f>'BCDTRtSY-state-adjusted'!J16</f>
        <v>0.98389948942566274</v>
      </c>
      <c r="K5">
        <f>'BCDTRtSY-state-adjusted'!K16</f>
        <v>0.98850018821430097</v>
      </c>
      <c r="L5">
        <f>'BCDTRtSY-state-adjusted'!L16</f>
        <v>0.98603157377304818</v>
      </c>
      <c r="M5">
        <f>'BCDTRtSY-state-adjusted'!M16</f>
        <v>0.98959146934669684</v>
      </c>
      <c r="N5">
        <f>'BCDTRtSY-state-adjusted'!N16</f>
        <v>0.99227732159931725</v>
      </c>
      <c r="O5">
        <f>'BCDTRtSY-state-adjusted'!O16</f>
        <v>0.99637716682681765</v>
      </c>
      <c r="P5">
        <f>'BCDTRtSY-state-adjusted'!P16</f>
        <v>0.99712654994695138</v>
      </c>
      <c r="Q5">
        <f>'BCDTRtSY-state-adjusted'!Q16</f>
        <v>0.9994834668120518</v>
      </c>
      <c r="R5">
        <f>'BCDTRtSY-state-adjusted'!R16</f>
        <v>1.0008246967058567</v>
      </c>
      <c r="S5">
        <f>'BCDTRtSY-state-adjusted'!S16</f>
        <v>1.0000147439971785</v>
      </c>
      <c r="T5">
        <f>'BCDTRtSY-state-adjusted'!T16</f>
        <v>0.99702526362810495</v>
      </c>
      <c r="U5">
        <f>'BCDTRtSY-state-adjusted'!U16</f>
        <v>0.99468999891928522</v>
      </c>
      <c r="V5">
        <f>'BCDTRtSY-state-adjusted'!V16</f>
        <v>0.99489765044717948</v>
      </c>
      <c r="W5">
        <f>'BCDTRtSY-state-adjusted'!W16</f>
        <v>0.99449337924800252</v>
      </c>
      <c r="X5">
        <f>'BCDTRtSY-state-adjusted'!X16</f>
        <v>0.99668314511979239</v>
      </c>
      <c r="Y5">
        <f>'BCDTRtSY-state-adjusted'!Y16</f>
        <v>1.0026663935942617</v>
      </c>
      <c r="Z5">
        <f>'BCDTRtSY-state-adjusted'!Z16</f>
        <v>1.0059574479189139</v>
      </c>
      <c r="AA5">
        <f>'BCDTRtSY-state-adjusted'!AA16</f>
        <v>1.0032080573524307</v>
      </c>
      <c r="AB5">
        <f>'BCDTRtSY-state-adjusted'!AB16</f>
        <v>1.0011456357126829</v>
      </c>
    </row>
    <row r="6" spans="1:28">
      <c r="A6" t="s">
        <v>122</v>
      </c>
      <c r="B6">
        <f>'BCDTRtSY-state-adjusted'!B17</f>
        <v>1</v>
      </c>
      <c r="C6">
        <f>'BCDTRtSY-state-adjusted'!C17</f>
        <v>1</v>
      </c>
      <c r="D6">
        <f>'BCDTRtSY-state-adjusted'!D17</f>
        <v>0.99583913325201912</v>
      </c>
      <c r="E6">
        <f>'BCDTRtSY-state-adjusted'!E17</f>
        <v>1.0187931486240012</v>
      </c>
      <c r="F6">
        <f>'BCDTRtSY-state-adjusted'!F17</f>
        <v>1.0439094815347323</v>
      </c>
      <c r="G6">
        <f>'BCDTRtSY-state-adjusted'!G17</f>
        <v>1.0657362603194791</v>
      </c>
      <c r="H6">
        <f>'BCDTRtSY-state-adjusted'!H17</f>
        <v>1.0886069461824572</v>
      </c>
      <c r="I6">
        <f>'BCDTRtSY-state-adjusted'!I17</f>
        <v>1.1065753459370551</v>
      </c>
      <c r="J6">
        <f>'BCDTRtSY-state-adjusted'!J17</f>
        <v>1.1266553560083965</v>
      </c>
      <c r="K6">
        <f>'BCDTRtSY-state-adjusted'!K17</f>
        <v>1.1470570557305189</v>
      </c>
      <c r="L6">
        <f>'BCDTRtSY-state-adjusted'!L17</f>
        <v>1.1682171280251556</v>
      </c>
      <c r="M6">
        <f>'BCDTRtSY-state-adjusted'!M17</f>
        <v>1.190433317579181</v>
      </c>
      <c r="N6">
        <f>'BCDTRtSY-state-adjusted'!N17</f>
        <v>1.2085566074281913</v>
      </c>
      <c r="O6">
        <f>'BCDTRtSY-state-adjusted'!O17</f>
        <v>1.2232626858809179</v>
      </c>
      <c r="P6">
        <f>'BCDTRtSY-state-adjusted'!P17</f>
        <v>1.2379723124699593</v>
      </c>
      <c r="Q6">
        <f>'BCDTRtSY-state-adjusted'!Q17</f>
        <v>1.2514779689225268</v>
      </c>
      <c r="R6">
        <f>'BCDTRtSY-state-adjusted'!R17</f>
        <v>1.265078862641716</v>
      </c>
      <c r="S6">
        <f>'BCDTRtSY-state-adjusted'!S17</f>
        <v>1.2779657806206544</v>
      </c>
      <c r="T6">
        <f>'BCDTRtSY-state-adjusted'!T17</f>
        <v>1.291960668986426</v>
      </c>
      <c r="U6">
        <f>'BCDTRtSY-state-adjusted'!U17</f>
        <v>1.3055303574865531</v>
      </c>
      <c r="V6">
        <f>'BCDTRtSY-state-adjusted'!V17</f>
        <v>1.31895538092537</v>
      </c>
      <c r="W6">
        <f>'BCDTRtSY-state-adjusted'!W17</f>
        <v>1.33378883764137</v>
      </c>
      <c r="X6">
        <f>'BCDTRtSY-state-adjusted'!X17</f>
        <v>1.3487947480317919</v>
      </c>
      <c r="Y6">
        <f>'BCDTRtSY-state-adjusted'!Y17</f>
        <v>1.3640098222331078</v>
      </c>
      <c r="Z6">
        <f>'BCDTRtSY-state-adjusted'!Z17</f>
        <v>1.3784378603254304</v>
      </c>
      <c r="AA6">
        <f>'BCDTRtSY-state-adjusted'!AA17</f>
        <v>1.3925565735698564</v>
      </c>
      <c r="AB6">
        <f>'BCDTRtSY-state-adjusted'!AB17</f>
        <v>1.4081788839436877</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2026-08-14T21:49:00Z</dcterms:modified>
</cp:coreProperties>
</file>