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D\add-outputs\HOIpTP\"/>
    </mc:Choice>
  </mc:AlternateContent>
  <xr:revisionPtr revIDLastSave="0" documentId="8_{8B3E9510-4EF5-4028-9131-AAA60801A3A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Q3" i="19"/>
  <c r="J3" i="19"/>
  <c r="F3" i="19"/>
  <c r="E3" i="19"/>
  <c r="B3" i="19"/>
  <c r="O3" i="19" s="1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I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B15" i="18"/>
  <c r="AA14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N8" i="18"/>
  <c r="F8" i="18"/>
  <c r="E8" i="18"/>
  <c r="B8" i="18"/>
  <c r="W8" i="18" s="1"/>
  <c r="AB7" i="18"/>
  <c r="AA7" i="18"/>
  <c r="H7" i="18"/>
  <c r="D7" i="18"/>
  <c r="C7" i="18"/>
  <c r="B7" i="18"/>
  <c r="G7" i="18" s="1"/>
  <c r="P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H3" i="18"/>
  <c r="B3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AA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P8" i="17"/>
  <c r="F8" i="17"/>
  <c r="D8" i="17"/>
  <c r="C8" i="17"/>
  <c r="B8" i="17"/>
  <c r="AB8" i="17" s="1"/>
  <c r="Z7" i="17"/>
  <c r="B7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L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R17" i="16"/>
  <c r="G17" i="16"/>
  <c r="D17" i="16"/>
  <c r="B17" i="16"/>
  <c r="B16" i="16"/>
  <c r="AA15" i="16"/>
  <c r="X15" i="16"/>
  <c r="B15" i="16"/>
  <c r="Y15" i="16" s="1"/>
  <c r="B14" i="16"/>
  <c r="F14" i="16" s="1"/>
  <c r="X13" i="16"/>
  <c r="W13" i="16"/>
  <c r="J13" i="16"/>
  <c r="D13" i="16"/>
  <c r="B13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O7" i="16"/>
  <c r="L7" i="16"/>
  <c r="G7" i="16"/>
  <c r="F7" i="16"/>
  <c r="E7" i="16"/>
  <c r="D7" i="16"/>
  <c r="C7" i="16"/>
  <c r="B7" i="16"/>
  <c r="AB7" i="16" s="1"/>
  <c r="Q6" i="16"/>
  <c r="L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C3" i="16"/>
  <c r="B3" i="16"/>
  <c r="S3" i="16" s="1"/>
  <c r="AA2" i="16"/>
  <c r="T2" i="16"/>
  <c r="P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B15" i="15"/>
  <c r="AB14" i="15"/>
  <c r="O14" i="15"/>
  <c r="M14" i="15"/>
  <c r="E14" i="15"/>
  <c r="D14" i="15"/>
  <c r="B14" i="15"/>
  <c r="N14" i="15" s="1"/>
  <c r="D13" i="15"/>
  <c r="C13" i="15"/>
  <c r="B13" i="15"/>
  <c r="X12" i="15"/>
  <c r="W12" i="15"/>
  <c r="P12" i="15"/>
  <c r="N12" i="15"/>
  <c r="D12" i="15"/>
  <c r="C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Z8" i="15"/>
  <c r="Y8" i="15"/>
  <c r="X8" i="15"/>
  <c r="R8" i="15"/>
  <c r="O8" i="15"/>
  <c r="N8" i="15"/>
  <c r="M8" i="15"/>
  <c r="L8" i="15"/>
  <c r="K8" i="15"/>
  <c r="G8" i="15"/>
  <c r="E8" i="15"/>
  <c r="C8" i="15"/>
  <c r="B8" i="15"/>
  <c r="AB8" i="15" s="1"/>
  <c r="S7" i="15"/>
  <c r="R7" i="15"/>
  <c r="Q7" i="15"/>
  <c r="P7" i="15"/>
  <c r="O7" i="15"/>
  <c r="N7" i="15"/>
  <c r="M7" i="15"/>
  <c r="L7" i="15"/>
  <c r="K7" i="15"/>
  <c r="H7" i="15"/>
  <c r="F7" i="15"/>
  <c r="C7" i="15"/>
  <c r="B7" i="15"/>
  <c r="AA7" i="15" s="1"/>
  <c r="V6" i="15"/>
  <c r="S6" i="15"/>
  <c r="R6" i="15"/>
  <c r="Q6" i="15"/>
  <c r="P6" i="15"/>
  <c r="O6" i="15"/>
  <c r="N6" i="15"/>
  <c r="M6" i="15"/>
  <c r="L6" i="15"/>
  <c r="K6" i="15"/>
  <c r="D6" i="15"/>
  <c r="B6" i="15"/>
  <c r="AB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L3" i="15"/>
  <c r="K3" i="15"/>
  <c r="J3" i="15"/>
  <c r="I3" i="15"/>
  <c r="G3" i="15"/>
  <c r="F3" i="15"/>
  <c r="E3" i="15"/>
  <c r="D3" i="15"/>
  <c r="B3" i="15"/>
  <c r="AA3" i="15" s="1"/>
  <c r="I2" i="15"/>
  <c r="G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Z15" i="14"/>
  <c r="Y15" i="14"/>
  <c r="U15" i="14"/>
  <c r="R15" i="14"/>
  <c r="Q15" i="14"/>
  <c r="P15" i="14"/>
  <c r="O15" i="14"/>
  <c r="M15" i="14"/>
  <c r="L15" i="14"/>
  <c r="K15" i="14"/>
  <c r="J15" i="14"/>
  <c r="I15" i="14"/>
  <c r="E15" i="14"/>
  <c r="C15" i="14"/>
  <c r="B15" i="14"/>
  <c r="W15" i="14" s="1"/>
  <c r="AB14" i="14"/>
  <c r="S14" i="14"/>
  <c r="B14" i="14"/>
  <c r="Y14" i="14" s="1"/>
  <c r="B13" i="14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P7" i="14"/>
  <c r="N7" i="14"/>
  <c r="M7" i="14"/>
  <c r="L7" i="14"/>
  <c r="I7" i="14"/>
  <c r="B7" i="14"/>
  <c r="D7" i="14" s="1"/>
  <c r="Z6" i="14"/>
  <c r="X6" i="14"/>
  <c r="T6" i="14"/>
  <c r="S6" i="14"/>
  <c r="O6" i="14"/>
  <c r="N6" i="14"/>
  <c r="M6" i="14"/>
  <c r="L6" i="14"/>
  <c r="K6" i="14"/>
  <c r="H6" i="14"/>
  <c r="G6" i="14"/>
  <c r="F6" i="14"/>
  <c r="E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Y3" i="14"/>
  <c r="W3" i="14"/>
  <c r="V3" i="14"/>
  <c r="U3" i="14"/>
  <c r="T3" i="14"/>
  <c r="S3" i="14"/>
  <c r="P3" i="14"/>
  <c r="M3" i="14"/>
  <c r="K3" i="14"/>
  <c r="I3" i="14"/>
  <c r="G3" i="14"/>
  <c r="D3" i="14"/>
  <c r="C3" i="14"/>
  <c r="B3" i="14"/>
  <c r="Z2" i="14"/>
  <c r="V2" i="14"/>
  <c r="U2" i="14"/>
  <c r="R2" i="14"/>
  <c r="O2" i="14"/>
  <c r="B2" i="14"/>
  <c r="AA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AB15" i="13"/>
  <c r="AA15" i="13"/>
  <c r="Y15" i="13"/>
  <c r="W15" i="13"/>
  <c r="V15" i="13"/>
  <c r="T15" i="13"/>
  <c r="S15" i="13"/>
  <c r="R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X15" i="13" s="1"/>
  <c r="AA14" i="13"/>
  <c r="Y14" i="13"/>
  <c r="V14" i="13"/>
  <c r="T14" i="13"/>
  <c r="S14" i="13"/>
  <c r="P14" i="13"/>
  <c r="O14" i="13"/>
  <c r="N14" i="13"/>
  <c r="M14" i="13"/>
  <c r="L14" i="13"/>
  <c r="K14" i="13"/>
  <c r="J14" i="13"/>
  <c r="H14" i="13"/>
  <c r="F14" i="13"/>
  <c r="E14" i="13"/>
  <c r="B14" i="13"/>
  <c r="W14" i="13" s="1"/>
  <c r="B13" i="13"/>
  <c r="X12" i="13"/>
  <c r="W12" i="13"/>
  <c r="V12" i="13"/>
  <c r="O12" i="13"/>
  <c r="L12" i="13"/>
  <c r="J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X7" i="13"/>
  <c r="W7" i="13"/>
  <c r="S7" i="13"/>
  <c r="R7" i="13"/>
  <c r="N7" i="13"/>
  <c r="M7" i="13"/>
  <c r="L7" i="13"/>
  <c r="D7" i="13"/>
  <c r="B7" i="13"/>
  <c r="Y7" i="13" s="1"/>
  <c r="H6" i="13"/>
  <c r="G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B3" i="13"/>
  <c r="D3" i="13" s="1"/>
  <c r="Z2" i="13"/>
  <c r="E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B17" i="12"/>
  <c r="G17" i="12" s="1"/>
  <c r="AB16" i="12"/>
  <c r="AA16" i="12"/>
  <c r="Z16" i="12"/>
  <c r="J16" i="12"/>
  <c r="C16" i="12"/>
  <c r="B16" i="12"/>
  <c r="Z15" i="12"/>
  <c r="Y15" i="12"/>
  <c r="V15" i="12"/>
  <c r="T15" i="12"/>
  <c r="Q15" i="12"/>
  <c r="P15" i="12"/>
  <c r="O15" i="12"/>
  <c r="N15" i="12"/>
  <c r="M15" i="12"/>
  <c r="L15" i="12"/>
  <c r="K15" i="12"/>
  <c r="J15" i="12"/>
  <c r="I15" i="12"/>
  <c r="F15" i="12"/>
  <c r="D15" i="12"/>
  <c r="B15" i="12"/>
  <c r="W15" i="12" s="1"/>
  <c r="L14" i="12"/>
  <c r="K14" i="12"/>
  <c r="B14" i="12"/>
  <c r="AB14" i="12" s="1"/>
  <c r="B13" i="12"/>
  <c r="AB12" i="12"/>
  <c r="AA12" i="12"/>
  <c r="Z12" i="12"/>
  <c r="H12" i="12"/>
  <c r="C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AB7" i="12"/>
  <c r="AA7" i="12"/>
  <c r="Z7" i="12"/>
  <c r="Y7" i="12"/>
  <c r="X7" i="12"/>
  <c r="J7" i="12"/>
  <c r="G7" i="12"/>
  <c r="F7" i="12"/>
  <c r="B7" i="12"/>
  <c r="P7" i="12" s="1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Z3" i="12"/>
  <c r="Y3" i="12"/>
  <c r="U3" i="12"/>
  <c r="T3" i="12"/>
  <c r="P3" i="12"/>
  <c r="N3" i="12"/>
  <c r="M3" i="12"/>
  <c r="L3" i="12"/>
  <c r="K3" i="12"/>
  <c r="J3" i="12"/>
  <c r="F3" i="12"/>
  <c r="B3" i="12"/>
  <c r="G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P17" i="11"/>
  <c r="O17" i="11"/>
  <c r="J17" i="11"/>
  <c r="D17" i="11"/>
  <c r="C17" i="11"/>
  <c r="B17" i="11"/>
  <c r="AB17" i="11" s="1"/>
  <c r="AB16" i="11"/>
  <c r="Y16" i="11"/>
  <c r="W16" i="11"/>
  <c r="V16" i="11"/>
  <c r="D16" i="11"/>
  <c r="B16" i="11"/>
  <c r="AA16" i="11" s="1"/>
  <c r="W15" i="11"/>
  <c r="R15" i="11"/>
  <c r="B15" i="11"/>
  <c r="AB14" i="11"/>
  <c r="AA14" i="11"/>
  <c r="V14" i="11"/>
  <c r="U14" i="11"/>
  <c r="T14" i="11"/>
  <c r="R14" i="11"/>
  <c r="Q14" i="11"/>
  <c r="P14" i="11"/>
  <c r="O14" i="11"/>
  <c r="N14" i="11"/>
  <c r="M14" i="11"/>
  <c r="L14" i="11"/>
  <c r="I14" i="11"/>
  <c r="H14" i="11"/>
  <c r="G14" i="11"/>
  <c r="F14" i="11"/>
  <c r="E14" i="11"/>
  <c r="C14" i="11"/>
  <c r="B14" i="11"/>
  <c r="X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R8" i="11"/>
  <c r="P8" i="11"/>
  <c r="O8" i="11"/>
  <c r="N8" i="11"/>
  <c r="K8" i="11"/>
  <c r="J8" i="11"/>
  <c r="I8" i="11"/>
  <c r="D8" i="11"/>
  <c r="C8" i="11"/>
  <c r="B8" i="11"/>
  <c r="Z7" i="11"/>
  <c r="W7" i="11"/>
  <c r="V7" i="11"/>
  <c r="U7" i="11"/>
  <c r="T7" i="11"/>
  <c r="S7" i="11"/>
  <c r="K7" i="11"/>
  <c r="B7" i="11"/>
  <c r="X7" i="11" s="1"/>
  <c r="X6" i="11"/>
  <c r="T6" i="11"/>
  <c r="R6" i="11"/>
  <c r="Q6" i="11"/>
  <c r="P6" i="11"/>
  <c r="L6" i="11"/>
  <c r="K6" i="11"/>
  <c r="E6" i="11"/>
  <c r="B6" i="11"/>
  <c r="U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L3" i="11"/>
  <c r="K3" i="11"/>
  <c r="J3" i="11"/>
  <c r="I3" i="11"/>
  <c r="E3" i="11"/>
  <c r="C3" i="11"/>
  <c r="B3" i="11"/>
  <c r="M3" i="11" s="1"/>
  <c r="Q2" i="11"/>
  <c r="B2" i="11"/>
  <c r="N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A15" i="10"/>
  <c r="H15" i="10"/>
  <c r="F15" i="10"/>
  <c r="C15" i="10"/>
  <c r="B15" i="10"/>
  <c r="AB14" i="10"/>
  <c r="AA14" i="10"/>
  <c r="W14" i="10"/>
  <c r="U14" i="10"/>
  <c r="S14" i="10"/>
  <c r="R14" i="10"/>
  <c r="P14" i="10"/>
  <c r="O14" i="10"/>
  <c r="L14" i="10"/>
  <c r="K14" i="10"/>
  <c r="J14" i="10"/>
  <c r="I14" i="10"/>
  <c r="G14" i="10"/>
  <c r="F14" i="10"/>
  <c r="E14" i="10"/>
  <c r="D14" i="10"/>
  <c r="C14" i="10"/>
  <c r="B14" i="10"/>
  <c r="Y14" i="10" s="1"/>
  <c r="P13" i="10"/>
  <c r="H13" i="10"/>
  <c r="F13" i="10"/>
  <c r="B13" i="10"/>
  <c r="AA13" i="10" s="1"/>
  <c r="B12" i="10"/>
  <c r="AB12" i="10" s="1"/>
  <c r="C11" i="10"/>
  <c r="B11" i="10"/>
  <c r="B10" i="10"/>
  <c r="B9" i="10"/>
  <c r="AB8" i="10"/>
  <c r="Z8" i="10"/>
  <c r="N8" i="10"/>
  <c r="K8" i="10"/>
  <c r="I8" i="10"/>
  <c r="C8" i="10"/>
  <c r="B8" i="10"/>
  <c r="Q8" i="10" s="1"/>
  <c r="X7" i="10"/>
  <c r="B7" i="10"/>
  <c r="AA6" i="10"/>
  <c r="E6" i="10"/>
  <c r="C6" i="10"/>
  <c r="B6" i="10"/>
  <c r="Y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Z2" i="10"/>
  <c r="Y2" i="10"/>
  <c r="X2" i="10"/>
  <c r="U2" i="10"/>
  <c r="P2" i="10"/>
  <c r="N2" i="10"/>
  <c r="M2" i="10"/>
  <c r="L2" i="10"/>
  <c r="K2" i="10"/>
  <c r="E2" i="10"/>
  <c r="C2" i="10"/>
  <c r="B2" i="10"/>
  <c r="AA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Q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B14" i="9"/>
  <c r="Y14" i="9" s="1"/>
  <c r="AA13" i="9"/>
  <c r="Z13" i="9"/>
  <c r="Y13" i="9"/>
  <c r="W13" i="9"/>
  <c r="S13" i="9"/>
  <c r="Q13" i="9"/>
  <c r="M13" i="9"/>
  <c r="D13" i="9"/>
  <c r="C13" i="9"/>
  <c r="B13" i="9"/>
  <c r="X13" i="9" s="1"/>
  <c r="AB12" i="9"/>
  <c r="AA12" i="9"/>
  <c r="W12" i="9"/>
  <c r="U12" i="9"/>
  <c r="S12" i="9"/>
  <c r="O12" i="9"/>
  <c r="J12" i="9"/>
  <c r="H12" i="9"/>
  <c r="E12" i="9"/>
  <c r="D12" i="9"/>
  <c r="C12" i="9"/>
  <c r="B12" i="9"/>
  <c r="X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S8" i="9"/>
  <c r="Q8" i="9"/>
  <c r="P8" i="9"/>
  <c r="O8" i="9"/>
  <c r="N8" i="9"/>
  <c r="M8" i="9"/>
  <c r="L8" i="9"/>
  <c r="E8" i="9"/>
  <c r="B8" i="9"/>
  <c r="AB8" i="9" s="1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C3" i="9"/>
  <c r="B3" i="9"/>
  <c r="O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Y15" i="8"/>
  <c r="I15" i="8"/>
  <c r="G15" i="8"/>
  <c r="F15" i="8"/>
  <c r="B15" i="8"/>
  <c r="AB14" i="8"/>
  <c r="AA14" i="8"/>
  <c r="U14" i="8"/>
  <c r="S14" i="8"/>
  <c r="R14" i="8"/>
  <c r="O14" i="8"/>
  <c r="N14" i="8"/>
  <c r="K14" i="8"/>
  <c r="J14" i="8"/>
  <c r="I14" i="8"/>
  <c r="H14" i="8"/>
  <c r="G14" i="8"/>
  <c r="F14" i="8"/>
  <c r="E14" i="8"/>
  <c r="D14" i="8"/>
  <c r="C14" i="8"/>
  <c r="B14" i="8"/>
  <c r="Y14" i="8" s="1"/>
  <c r="AA13" i="8"/>
  <c r="X13" i="8"/>
  <c r="W13" i="8"/>
  <c r="V13" i="8"/>
  <c r="U13" i="8"/>
  <c r="T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C13" i="8"/>
  <c r="B13" i="8"/>
  <c r="S13" i="8" s="1"/>
  <c r="Z12" i="8"/>
  <c r="X12" i="8"/>
  <c r="N12" i="8"/>
  <c r="H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B7" i="8"/>
  <c r="G7" i="8" s="1"/>
  <c r="P6" i="8"/>
  <c r="O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Z3" i="8"/>
  <c r="W3" i="8"/>
  <c r="V3" i="8"/>
  <c r="S3" i="8"/>
  <c r="R3" i="8"/>
  <c r="Q3" i="8"/>
  <c r="P3" i="8"/>
  <c r="O3" i="8"/>
  <c r="N3" i="8"/>
  <c r="M3" i="8"/>
  <c r="K3" i="8"/>
  <c r="I3" i="8"/>
  <c r="H3" i="8"/>
  <c r="G3" i="8"/>
  <c r="D3" i="8"/>
  <c r="C3" i="8"/>
  <c r="B3" i="8"/>
  <c r="AB3" i="8" s="1"/>
  <c r="T2" i="8"/>
  <c r="S2" i="8"/>
  <c r="R2" i="8"/>
  <c r="L2" i="8"/>
  <c r="F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Q17" i="7"/>
  <c r="M17" i="7"/>
  <c r="L17" i="7"/>
  <c r="K17" i="7"/>
  <c r="I17" i="7"/>
  <c r="H17" i="7"/>
  <c r="F17" i="7"/>
  <c r="E17" i="7"/>
  <c r="D17" i="7"/>
  <c r="C17" i="7"/>
  <c r="B17" i="7"/>
  <c r="N16" i="7"/>
  <c r="M16" i="7"/>
  <c r="L16" i="7"/>
  <c r="J16" i="7"/>
  <c r="H16" i="7"/>
  <c r="G16" i="7"/>
  <c r="B16" i="7"/>
  <c r="AA16" i="7" s="1"/>
  <c r="B15" i="7"/>
  <c r="F15" i="7" s="1"/>
  <c r="B14" i="7"/>
  <c r="R14" i="7" s="1"/>
  <c r="AB13" i="7"/>
  <c r="AA13" i="7"/>
  <c r="X13" i="7"/>
  <c r="W13" i="7"/>
  <c r="V13" i="7"/>
  <c r="T13" i="7"/>
  <c r="S13" i="7"/>
  <c r="O13" i="7"/>
  <c r="N13" i="7"/>
  <c r="M13" i="7"/>
  <c r="K13" i="7"/>
  <c r="J13" i="7"/>
  <c r="I13" i="7"/>
  <c r="H13" i="7"/>
  <c r="F13" i="7"/>
  <c r="E13" i="7"/>
  <c r="B13" i="7"/>
  <c r="Y12" i="7"/>
  <c r="X12" i="7"/>
  <c r="W12" i="7"/>
  <c r="V12" i="7"/>
  <c r="T12" i="7"/>
  <c r="S12" i="7"/>
  <c r="R12" i="7"/>
  <c r="P12" i="7"/>
  <c r="O12" i="7"/>
  <c r="H12" i="7"/>
  <c r="F12" i="7"/>
  <c r="E12" i="7"/>
  <c r="B12" i="7"/>
  <c r="N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V8" i="7"/>
  <c r="R8" i="7"/>
  <c r="Q8" i="7"/>
  <c r="P8" i="7"/>
  <c r="N8" i="7"/>
  <c r="M8" i="7"/>
  <c r="L8" i="7"/>
  <c r="K8" i="7"/>
  <c r="J8" i="7"/>
  <c r="H8" i="7"/>
  <c r="C8" i="7"/>
  <c r="B8" i="7"/>
  <c r="Y8" i="7" s="1"/>
  <c r="AB7" i="7"/>
  <c r="R7" i="7"/>
  <c r="Q7" i="7"/>
  <c r="P7" i="7"/>
  <c r="O7" i="7"/>
  <c r="N7" i="7"/>
  <c r="M7" i="7"/>
  <c r="B7" i="7"/>
  <c r="AB6" i="7"/>
  <c r="W6" i="7"/>
  <c r="S6" i="7"/>
  <c r="R6" i="7"/>
  <c r="Q6" i="7"/>
  <c r="P6" i="7"/>
  <c r="O6" i="7"/>
  <c r="N6" i="7"/>
  <c r="I6" i="7"/>
  <c r="H6" i="7"/>
  <c r="F6" i="7"/>
  <c r="B6" i="7"/>
  <c r="Z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T3" i="7"/>
  <c r="S3" i="7"/>
  <c r="P3" i="7"/>
  <c r="O3" i="7"/>
  <c r="N3" i="7"/>
  <c r="L3" i="7"/>
  <c r="K3" i="7"/>
  <c r="J3" i="7"/>
  <c r="H3" i="7"/>
  <c r="G3" i="7"/>
  <c r="F3" i="7"/>
  <c r="B3" i="7"/>
  <c r="M2" i="7"/>
  <c r="K2" i="7"/>
  <c r="I2" i="7"/>
  <c r="H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Z17" i="6"/>
  <c r="X17" i="6"/>
  <c r="W17" i="6"/>
  <c r="V17" i="6"/>
  <c r="T17" i="6"/>
  <c r="S17" i="6"/>
  <c r="P17" i="6"/>
  <c r="O17" i="6"/>
  <c r="M17" i="6"/>
  <c r="K17" i="6"/>
  <c r="J17" i="6"/>
  <c r="H17" i="6"/>
  <c r="G17" i="6"/>
  <c r="F17" i="6"/>
  <c r="E17" i="6"/>
  <c r="D17" i="6"/>
  <c r="B17" i="6"/>
  <c r="AA17" i="6" s="1"/>
  <c r="E16" i="6"/>
  <c r="D16" i="6"/>
  <c r="C16" i="6"/>
  <c r="B16" i="6"/>
  <c r="AB15" i="6"/>
  <c r="Y15" i="6"/>
  <c r="U15" i="6"/>
  <c r="T15" i="6"/>
  <c r="R15" i="6"/>
  <c r="Q15" i="6"/>
  <c r="P15" i="6"/>
  <c r="O15" i="6"/>
  <c r="N15" i="6"/>
  <c r="M15" i="6"/>
  <c r="L15" i="6"/>
  <c r="K15" i="6"/>
  <c r="G15" i="6"/>
  <c r="E15" i="6"/>
  <c r="D15" i="6"/>
  <c r="B15" i="6"/>
  <c r="W15" i="6" s="1"/>
  <c r="X14" i="6"/>
  <c r="T14" i="6"/>
  <c r="S14" i="6"/>
  <c r="R14" i="6"/>
  <c r="Q14" i="6"/>
  <c r="P14" i="6"/>
  <c r="O14" i="6"/>
  <c r="N14" i="6"/>
  <c r="M14" i="6"/>
  <c r="H14" i="6"/>
  <c r="E14" i="6"/>
  <c r="D14" i="6"/>
  <c r="B14" i="6"/>
  <c r="AB14" i="6" s="1"/>
  <c r="Y13" i="6"/>
  <c r="V13" i="6"/>
  <c r="R13" i="6"/>
  <c r="Q13" i="6"/>
  <c r="P13" i="6"/>
  <c r="O13" i="6"/>
  <c r="N13" i="6"/>
  <c r="M13" i="6"/>
  <c r="K13" i="6"/>
  <c r="I13" i="6"/>
  <c r="H13" i="6"/>
  <c r="G13" i="6"/>
  <c r="B13" i="6"/>
  <c r="T13" i="6" s="1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E8" i="6"/>
  <c r="C8" i="6"/>
  <c r="B8" i="6"/>
  <c r="AB8" i="6" s="1"/>
  <c r="B7" i="6"/>
  <c r="J7" i="6" s="1"/>
  <c r="M6" i="6"/>
  <c r="K6" i="6"/>
  <c r="J6" i="6"/>
  <c r="I6" i="6"/>
  <c r="E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Z2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S17" i="5" s="1"/>
  <c r="B16" i="5"/>
  <c r="AA15" i="5"/>
  <c r="Z15" i="5"/>
  <c r="Y15" i="5"/>
  <c r="W15" i="5"/>
  <c r="V15" i="5"/>
  <c r="Q15" i="5"/>
  <c r="O15" i="5"/>
  <c r="H15" i="5"/>
  <c r="B15" i="5"/>
  <c r="AB15" i="5" s="1"/>
  <c r="AB14" i="5"/>
  <c r="AA14" i="5"/>
  <c r="O14" i="5"/>
  <c r="B14" i="5"/>
  <c r="D14" i="5" s="1"/>
  <c r="B13" i="5"/>
  <c r="I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Y7" i="5"/>
  <c r="X7" i="5"/>
  <c r="V7" i="5"/>
  <c r="U7" i="5"/>
  <c r="B7" i="5"/>
  <c r="D7" i="5" s="1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L3" i="5"/>
  <c r="B3" i="5"/>
  <c r="W3" i="5" s="1"/>
  <c r="F2" i="5"/>
  <c r="E2" i="5"/>
  <c r="D2" i="5"/>
  <c r="B2" i="5"/>
  <c r="C2" i="5" s="1"/>
  <c r="B2" i="1"/>
  <c r="Y7" i="9" l="1"/>
  <c r="V7" i="9"/>
  <c r="G7" i="9"/>
  <c r="F7" i="9"/>
  <c r="D7" i="9"/>
  <c r="C7" i="9"/>
  <c r="AB7" i="9"/>
  <c r="AA7" i="9"/>
  <c r="X7" i="9"/>
  <c r="W7" i="9"/>
  <c r="U7" i="9"/>
  <c r="T7" i="9"/>
  <c r="S7" i="9"/>
  <c r="Q7" i="9"/>
  <c r="S2" i="13"/>
  <c r="N2" i="13"/>
  <c r="Y2" i="13"/>
  <c r="X2" i="13"/>
  <c r="V2" i="13"/>
  <c r="U2" i="13"/>
  <c r="Q2" i="13"/>
  <c r="R2" i="13"/>
  <c r="P2" i="13"/>
  <c r="O2" i="13"/>
  <c r="M2" i="13"/>
  <c r="L2" i="13"/>
  <c r="J2" i="13"/>
  <c r="I2" i="13"/>
  <c r="H2" i="13"/>
  <c r="F2" i="13"/>
  <c r="G2" i="13"/>
  <c r="D2" i="13"/>
  <c r="AB2" i="13"/>
  <c r="I7" i="9"/>
  <c r="C2" i="13"/>
  <c r="O14" i="7"/>
  <c r="J7" i="8"/>
  <c r="M7" i="9"/>
  <c r="AA14" i="7"/>
  <c r="G13" i="5"/>
  <c r="X12" i="6"/>
  <c r="N12" i="6"/>
  <c r="AB12" i="6"/>
  <c r="Y12" i="6"/>
  <c r="V12" i="6"/>
  <c r="T12" i="6"/>
  <c r="S12" i="6"/>
  <c r="R12" i="6"/>
  <c r="P12" i="6"/>
  <c r="O12" i="6"/>
  <c r="L12" i="6"/>
  <c r="AB14" i="7"/>
  <c r="O2" i="8"/>
  <c r="D2" i="8"/>
  <c r="K2" i="8"/>
  <c r="I2" i="8"/>
  <c r="H2" i="8"/>
  <c r="G2" i="8"/>
  <c r="C2" i="8"/>
  <c r="AA2" i="8"/>
  <c r="Z2" i="8"/>
  <c r="W2" i="8"/>
  <c r="V2" i="8"/>
  <c r="U2" i="8"/>
  <c r="P7" i="8"/>
  <c r="G14" i="9"/>
  <c r="P13" i="15"/>
  <c r="G13" i="15"/>
  <c r="AA13" i="15"/>
  <c r="Z13" i="15"/>
  <c r="AB13" i="15"/>
  <c r="W13" i="15"/>
  <c r="V13" i="15"/>
  <c r="T13" i="15"/>
  <c r="S13" i="15"/>
  <c r="R13" i="15"/>
  <c r="Q13" i="15"/>
  <c r="O13" i="15"/>
  <c r="N13" i="15"/>
  <c r="M13" i="15"/>
  <c r="L13" i="15"/>
  <c r="K13" i="15"/>
  <c r="J13" i="15"/>
  <c r="H13" i="15"/>
  <c r="I13" i="15"/>
  <c r="E13" i="15"/>
  <c r="M7" i="8"/>
  <c r="R14" i="9"/>
  <c r="D13" i="5"/>
  <c r="P7" i="9"/>
  <c r="H13" i="5"/>
  <c r="W14" i="9"/>
  <c r="U8" i="12"/>
  <c r="Z8" i="12"/>
  <c r="Y8" i="12"/>
  <c r="X8" i="12"/>
  <c r="W8" i="12"/>
  <c r="V8" i="12"/>
  <c r="S8" i="12"/>
  <c r="R8" i="12"/>
  <c r="Q8" i="12"/>
  <c r="P8" i="12"/>
  <c r="M8" i="12"/>
  <c r="J8" i="12"/>
  <c r="I8" i="12"/>
  <c r="H8" i="12"/>
  <c r="F8" i="12"/>
  <c r="G8" i="12"/>
  <c r="C8" i="12"/>
  <c r="AB12" i="16"/>
  <c r="K12" i="16"/>
  <c r="C12" i="16"/>
  <c r="Y12" i="16"/>
  <c r="X12" i="16"/>
  <c r="W12" i="16"/>
  <c r="I12" i="16"/>
  <c r="G12" i="5"/>
  <c r="AB13" i="5"/>
  <c r="Y13" i="5"/>
  <c r="X13" i="5"/>
  <c r="R13" i="5"/>
  <c r="M13" i="5"/>
  <c r="K13" i="5"/>
  <c r="J13" i="5"/>
  <c r="Y14" i="7"/>
  <c r="AB6" i="5"/>
  <c r="Z6" i="5"/>
  <c r="X6" i="5"/>
  <c r="C15" i="7"/>
  <c r="E6" i="5"/>
  <c r="Z13" i="5"/>
  <c r="D17" i="5"/>
  <c r="K12" i="6"/>
  <c r="D15" i="7"/>
  <c r="M2" i="8"/>
  <c r="D8" i="12"/>
  <c r="F13" i="15"/>
  <c r="J7" i="9"/>
  <c r="X14" i="9"/>
  <c r="H14" i="9"/>
  <c r="V14" i="9"/>
  <c r="U14" i="9"/>
  <c r="T14" i="9"/>
  <c r="S14" i="9"/>
  <c r="Q14" i="9"/>
  <c r="P14" i="9"/>
  <c r="O14" i="9"/>
  <c r="N14" i="9"/>
  <c r="M14" i="9"/>
  <c r="L14" i="9"/>
  <c r="K14" i="9"/>
  <c r="J14" i="9"/>
  <c r="I14" i="9"/>
  <c r="F14" i="9"/>
  <c r="I6" i="5"/>
  <c r="U12" i="6"/>
  <c r="E15" i="7"/>
  <c r="N2" i="8"/>
  <c r="Z14" i="9"/>
  <c r="AA8" i="12"/>
  <c r="C14" i="9"/>
  <c r="O17" i="5"/>
  <c r="Y17" i="5"/>
  <c r="X17" i="5"/>
  <c r="W17" i="5"/>
  <c r="V17" i="5"/>
  <c r="T17" i="5"/>
  <c r="R17" i="5"/>
  <c r="Q17" i="5"/>
  <c r="P17" i="5"/>
  <c r="L17" i="5"/>
  <c r="K17" i="5"/>
  <c r="J17" i="5"/>
  <c r="J12" i="6"/>
  <c r="W12" i="6"/>
  <c r="Y2" i="7"/>
  <c r="L2" i="7"/>
  <c r="Z2" i="7"/>
  <c r="P2" i="7"/>
  <c r="S2" i="7"/>
  <c r="R2" i="7"/>
  <c r="Q2" i="7"/>
  <c r="P2" i="8"/>
  <c r="AA14" i="9"/>
  <c r="F12" i="14"/>
  <c r="M6" i="17"/>
  <c r="C6" i="17"/>
  <c r="L7" i="9"/>
  <c r="X15" i="7"/>
  <c r="R15" i="7"/>
  <c r="U15" i="7"/>
  <c r="T15" i="7"/>
  <c r="S15" i="7"/>
  <c r="Q15" i="7"/>
  <c r="O15" i="7"/>
  <c r="M15" i="7"/>
  <c r="L15" i="7"/>
  <c r="K15" i="7"/>
  <c r="G15" i="7"/>
  <c r="J15" i="7"/>
  <c r="I15" i="7"/>
  <c r="H15" i="7"/>
  <c r="J6" i="5"/>
  <c r="U17" i="5"/>
  <c r="K6" i="5"/>
  <c r="P6" i="6"/>
  <c r="AB6" i="6"/>
  <c r="AA6" i="6"/>
  <c r="O6" i="6"/>
  <c r="N6" i="6"/>
  <c r="G2" i="7"/>
  <c r="N15" i="7"/>
  <c r="Q2" i="8"/>
  <c r="AB14" i="9"/>
  <c r="X15" i="10"/>
  <c r="D15" i="10"/>
  <c r="Z15" i="10"/>
  <c r="Y15" i="10"/>
  <c r="W15" i="10"/>
  <c r="V15" i="10"/>
  <c r="U15" i="10"/>
  <c r="R15" i="10"/>
  <c r="Q15" i="10"/>
  <c r="P15" i="10"/>
  <c r="O15" i="10"/>
  <c r="N15" i="10"/>
  <c r="I15" i="10"/>
  <c r="M15" i="10"/>
  <c r="L15" i="10"/>
  <c r="K15" i="10"/>
  <c r="G15" i="10"/>
  <c r="AB13" i="14"/>
  <c r="K13" i="14"/>
  <c r="X13" i="14"/>
  <c r="S13" i="14"/>
  <c r="Q13" i="14"/>
  <c r="R13" i="14"/>
  <c r="G13" i="14"/>
  <c r="E6" i="17"/>
  <c r="Z7" i="8"/>
  <c r="Y7" i="8"/>
  <c r="W7" i="8"/>
  <c r="U7" i="8"/>
  <c r="Q7" i="8"/>
  <c r="T7" i="8"/>
  <c r="S7" i="8"/>
  <c r="W2" i="18"/>
  <c r="X2" i="18"/>
  <c r="U2" i="18"/>
  <c r="S2" i="18"/>
  <c r="R2" i="18"/>
  <c r="O2" i="18"/>
  <c r="N2" i="18"/>
  <c r="M2" i="18"/>
  <c r="L2" i="18"/>
  <c r="G2" i="18"/>
  <c r="F2" i="18"/>
  <c r="Z2" i="18"/>
  <c r="Y2" i="18"/>
  <c r="V2" i="18"/>
  <c r="P2" i="18"/>
  <c r="K2" i="18"/>
  <c r="J2" i="18"/>
  <c r="D2" i="18"/>
  <c r="M6" i="5"/>
  <c r="P15" i="7"/>
  <c r="AA15" i="9"/>
  <c r="M15" i="9"/>
  <c r="Z15" i="9"/>
  <c r="K15" i="9"/>
  <c r="AB12" i="11"/>
  <c r="Z12" i="11"/>
  <c r="X12" i="11"/>
  <c r="Y12" i="11"/>
  <c r="U12" i="11"/>
  <c r="T12" i="11"/>
  <c r="P12" i="11"/>
  <c r="O12" i="11"/>
  <c r="I12" i="11"/>
  <c r="M12" i="11"/>
  <c r="L12" i="11"/>
  <c r="K12" i="11"/>
  <c r="J12" i="11"/>
  <c r="F12" i="11"/>
  <c r="W13" i="13"/>
  <c r="P13" i="13"/>
  <c r="X13" i="13"/>
  <c r="Z13" i="13"/>
  <c r="Y13" i="13"/>
  <c r="V13" i="13"/>
  <c r="U13" i="13"/>
  <c r="T13" i="13"/>
  <c r="S13" i="13"/>
  <c r="R13" i="13"/>
  <c r="Q13" i="13"/>
  <c r="O13" i="13"/>
  <c r="M13" i="13"/>
  <c r="N13" i="13"/>
  <c r="H13" i="13"/>
  <c r="E13" i="14"/>
  <c r="G6" i="17"/>
  <c r="Z14" i="7"/>
  <c r="U14" i="7"/>
  <c r="X14" i="7"/>
  <c r="V14" i="7"/>
  <c r="T14" i="7"/>
  <c r="S14" i="7"/>
  <c r="Q14" i="7"/>
  <c r="N14" i="7"/>
  <c r="M14" i="7"/>
  <c r="L14" i="7"/>
  <c r="F14" i="7"/>
  <c r="J14" i="7"/>
  <c r="I14" i="7"/>
  <c r="H14" i="7"/>
  <c r="D14" i="9"/>
  <c r="E14" i="9"/>
  <c r="R6" i="5"/>
  <c r="X15" i="5"/>
  <c r="U15" i="5"/>
  <c r="T15" i="5"/>
  <c r="S15" i="5"/>
  <c r="R15" i="5"/>
  <c r="P15" i="5"/>
  <c r="N15" i="5"/>
  <c r="M15" i="5"/>
  <c r="L15" i="5"/>
  <c r="K15" i="5"/>
  <c r="J15" i="5"/>
  <c r="I15" i="5"/>
  <c r="V15" i="7"/>
  <c r="Y15" i="9"/>
  <c r="E15" i="10"/>
  <c r="C12" i="11"/>
  <c r="F13" i="13"/>
  <c r="N13" i="14"/>
  <c r="L6" i="17"/>
  <c r="R7" i="9"/>
  <c r="W15" i="7"/>
  <c r="E12" i="11"/>
  <c r="G13" i="13"/>
  <c r="Q6" i="17"/>
  <c r="N7" i="9"/>
  <c r="W12" i="8"/>
  <c r="AB12" i="8"/>
  <c r="AA12" i="8"/>
  <c r="Y12" i="8"/>
  <c r="V12" i="8"/>
  <c r="U12" i="8"/>
  <c r="T12" i="8"/>
  <c r="S12" i="8"/>
  <c r="O12" i="8"/>
  <c r="R12" i="8"/>
  <c r="Q12" i="8"/>
  <c r="G12" i="11"/>
  <c r="K13" i="13"/>
  <c r="AA15" i="15"/>
  <c r="Y15" i="15"/>
  <c r="X15" i="15"/>
  <c r="V15" i="15"/>
  <c r="U15" i="15"/>
  <c r="T15" i="15"/>
  <c r="S15" i="15"/>
  <c r="K15" i="15"/>
  <c r="I15" i="15"/>
  <c r="G15" i="15"/>
  <c r="C15" i="15"/>
  <c r="E15" i="15"/>
  <c r="AA3" i="13"/>
  <c r="P3" i="13"/>
  <c r="AB3" i="13"/>
  <c r="W3" i="13"/>
  <c r="V3" i="13"/>
  <c r="N3" i="13"/>
  <c r="M3" i="13"/>
  <c r="L3" i="13"/>
  <c r="K3" i="13"/>
  <c r="I3" i="13"/>
  <c r="J3" i="13"/>
  <c r="E3" i="13"/>
  <c r="W6" i="5"/>
  <c r="C15" i="5"/>
  <c r="G7" i="7"/>
  <c r="L7" i="7"/>
  <c r="I7" i="7"/>
  <c r="H7" i="7"/>
  <c r="F7" i="7"/>
  <c r="E7" i="7"/>
  <c r="C7" i="7"/>
  <c r="AA7" i="7"/>
  <c r="Z7" i="7"/>
  <c r="Y7" i="7"/>
  <c r="W7" i="7"/>
  <c r="S7" i="7"/>
  <c r="V7" i="7"/>
  <c r="U7" i="7"/>
  <c r="Y15" i="7"/>
  <c r="E15" i="5"/>
  <c r="L6" i="6"/>
  <c r="N2" i="7"/>
  <c r="D7" i="7"/>
  <c r="Z15" i="7"/>
  <c r="C12" i="8"/>
  <c r="T15" i="10"/>
  <c r="X2" i="15"/>
  <c r="E2" i="15"/>
  <c r="V2" i="15"/>
  <c r="U2" i="15"/>
  <c r="AB2" i="15"/>
  <c r="AA2" i="15"/>
  <c r="Z2" i="15"/>
  <c r="Y2" i="15"/>
  <c r="S2" i="15"/>
  <c r="R2" i="15"/>
  <c r="Q2" i="15"/>
  <c r="P2" i="15"/>
  <c r="O2" i="15"/>
  <c r="N2" i="15"/>
  <c r="M2" i="15"/>
  <c r="L2" i="15"/>
  <c r="K2" i="15"/>
  <c r="J2" i="15"/>
  <c r="H2" i="15"/>
  <c r="C2" i="15"/>
  <c r="D14" i="7"/>
  <c r="K7" i="8"/>
  <c r="C3" i="13"/>
  <c r="F13" i="5"/>
  <c r="O7" i="8"/>
  <c r="D15" i="5"/>
  <c r="F15" i="5"/>
  <c r="AA15" i="7"/>
  <c r="D12" i="8"/>
  <c r="D2" i="15"/>
  <c r="F3" i="13"/>
  <c r="C2" i="6"/>
  <c r="AB2" i="6"/>
  <c r="AA2" i="6"/>
  <c r="O2" i="7"/>
  <c r="J7" i="7"/>
  <c r="Z15" i="8"/>
  <c r="N15" i="8"/>
  <c r="AA15" i="8"/>
  <c r="U15" i="8"/>
  <c r="P15" i="8"/>
  <c r="O15" i="8"/>
  <c r="M15" i="8"/>
  <c r="L15" i="8"/>
  <c r="K15" i="8"/>
  <c r="J15" i="8"/>
  <c r="H15" i="8"/>
  <c r="G15" i="5"/>
  <c r="T2" i="6"/>
  <c r="K7" i="7"/>
  <c r="AB15" i="7"/>
  <c r="E12" i="8"/>
  <c r="E15" i="8"/>
  <c r="AB15" i="10"/>
  <c r="O17" i="12"/>
  <c r="F2" i="15"/>
  <c r="J17" i="16"/>
  <c r="C17" i="16"/>
  <c r="AB17" i="16"/>
  <c r="Z17" i="16"/>
  <c r="Y17" i="16"/>
  <c r="V17" i="16"/>
  <c r="U17" i="16"/>
  <c r="H17" i="16"/>
  <c r="P2" i="14"/>
  <c r="K7" i="14"/>
  <c r="R8" i="9"/>
  <c r="AB6" i="13"/>
  <c r="P6" i="13"/>
  <c r="U7" i="13"/>
  <c r="X2" i="14"/>
  <c r="O7" i="14"/>
  <c r="U12" i="15"/>
  <c r="I12" i="15"/>
  <c r="AA12" i="15"/>
  <c r="Z12" i="15"/>
  <c r="H7" i="16"/>
  <c r="T8" i="9"/>
  <c r="Q7" i="11"/>
  <c r="R7" i="11"/>
  <c r="AA7" i="11"/>
  <c r="V7" i="17"/>
  <c r="R7" i="17"/>
  <c r="O7" i="17"/>
  <c r="K7" i="17"/>
  <c r="J7" i="17"/>
  <c r="G7" i="17"/>
  <c r="F7" i="17"/>
  <c r="E7" i="17"/>
  <c r="D7" i="17"/>
  <c r="AA7" i="19"/>
  <c r="U7" i="19"/>
  <c r="R7" i="19"/>
  <c r="M7" i="19"/>
  <c r="H7" i="19"/>
  <c r="G7" i="19"/>
  <c r="F7" i="19"/>
  <c r="C7" i="19"/>
  <c r="Y14" i="6"/>
  <c r="V15" i="6"/>
  <c r="Q17" i="6"/>
  <c r="U6" i="7"/>
  <c r="T8" i="7"/>
  <c r="AB12" i="7"/>
  <c r="AA3" i="8"/>
  <c r="N13" i="8"/>
  <c r="L14" i="8"/>
  <c r="U8" i="9"/>
  <c r="Y12" i="9"/>
  <c r="E17" i="9"/>
  <c r="H6" i="10"/>
  <c r="G12" i="10"/>
  <c r="M14" i="10"/>
  <c r="C7" i="11"/>
  <c r="AB7" i="11"/>
  <c r="W14" i="11"/>
  <c r="AA3" i="12"/>
  <c r="F6" i="12"/>
  <c r="Q14" i="12"/>
  <c r="R15" i="12"/>
  <c r="J6" i="13"/>
  <c r="Z7" i="13"/>
  <c r="Q14" i="13"/>
  <c r="AB2" i="14"/>
  <c r="P6" i="14"/>
  <c r="V7" i="14"/>
  <c r="S15" i="14"/>
  <c r="M3" i="15"/>
  <c r="T6" i="15"/>
  <c r="V7" i="15"/>
  <c r="AA8" i="15"/>
  <c r="G12" i="15"/>
  <c r="R7" i="16"/>
  <c r="H7" i="17"/>
  <c r="L7" i="19"/>
  <c r="S7" i="14"/>
  <c r="AA14" i="6"/>
  <c r="R17" i="6"/>
  <c r="V6" i="7"/>
  <c r="U8" i="7"/>
  <c r="Z13" i="7"/>
  <c r="R13" i="7"/>
  <c r="M14" i="8"/>
  <c r="Y8" i="9"/>
  <c r="Z12" i="9"/>
  <c r="F17" i="9"/>
  <c r="J6" i="10"/>
  <c r="Z12" i="10"/>
  <c r="N14" i="10"/>
  <c r="D7" i="11"/>
  <c r="AB8" i="11"/>
  <c r="S8" i="11"/>
  <c r="R14" i="12"/>
  <c r="S15" i="12"/>
  <c r="K6" i="13"/>
  <c r="AA7" i="13"/>
  <c r="E3" i="14"/>
  <c r="X3" i="14"/>
  <c r="R6" i="14"/>
  <c r="W7" i="14"/>
  <c r="T15" i="14"/>
  <c r="N3" i="15"/>
  <c r="U6" i="15"/>
  <c r="W7" i="15"/>
  <c r="H12" i="15"/>
  <c r="T7" i="16"/>
  <c r="P7" i="17"/>
  <c r="G17" i="9"/>
  <c r="L6" i="10"/>
  <c r="AA12" i="10"/>
  <c r="E7" i="11"/>
  <c r="V14" i="12"/>
  <c r="M6" i="13"/>
  <c r="AB7" i="13"/>
  <c r="AB12" i="13"/>
  <c r="D12" i="13"/>
  <c r="X7" i="14"/>
  <c r="Q3" i="15"/>
  <c r="Y7" i="15"/>
  <c r="J12" i="15"/>
  <c r="Z6" i="16"/>
  <c r="O6" i="16"/>
  <c r="M6" i="16"/>
  <c r="K6" i="16"/>
  <c r="I6" i="16"/>
  <c r="G6" i="16"/>
  <c r="F6" i="16"/>
  <c r="V7" i="16"/>
  <c r="S7" i="17"/>
  <c r="U14" i="6"/>
  <c r="W14" i="6"/>
  <c r="J17" i="9"/>
  <c r="O6" i="10"/>
  <c r="G2" i="11"/>
  <c r="F7" i="11"/>
  <c r="D7" i="12"/>
  <c r="W14" i="12"/>
  <c r="O6" i="13"/>
  <c r="H12" i="13"/>
  <c r="Y7" i="14"/>
  <c r="V15" i="14"/>
  <c r="T3" i="15"/>
  <c r="AA6" i="15"/>
  <c r="Z7" i="15"/>
  <c r="K12" i="15"/>
  <c r="AB2" i="16"/>
  <c r="Y2" i="16"/>
  <c r="W2" i="16"/>
  <c r="U2" i="16"/>
  <c r="E6" i="16"/>
  <c r="X7" i="16"/>
  <c r="T7" i="17"/>
  <c r="I7" i="5"/>
  <c r="X15" i="6"/>
  <c r="S15" i="6"/>
  <c r="Z15" i="6"/>
  <c r="X6" i="7"/>
  <c r="W8" i="7"/>
  <c r="N7" i="5"/>
  <c r="C14" i="6"/>
  <c r="C15" i="6"/>
  <c r="AA15" i="6"/>
  <c r="U17" i="6"/>
  <c r="X3" i="7"/>
  <c r="U3" i="7"/>
  <c r="C12" i="7"/>
  <c r="AB17" i="7"/>
  <c r="G17" i="7"/>
  <c r="J3" i="8"/>
  <c r="E3" i="8"/>
  <c r="Q14" i="8"/>
  <c r="K17" i="9"/>
  <c r="R6" i="10"/>
  <c r="D13" i="10"/>
  <c r="Q14" i="10"/>
  <c r="I2" i="11"/>
  <c r="G7" i="11"/>
  <c r="E8" i="11"/>
  <c r="S14" i="11"/>
  <c r="K14" i="11"/>
  <c r="E7" i="12"/>
  <c r="X14" i="12"/>
  <c r="Z6" i="13"/>
  <c r="I12" i="13"/>
  <c r="F3" i="14"/>
  <c r="W6" i="14"/>
  <c r="AB7" i="14"/>
  <c r="R14" i="14"/>
  <c r="U3" i="15"/>
  <c r="L12" i="15"/>
  <c r="D2" i="16"/>
  <c r="H6" i="16"/>
  <c r="Y7" i="16"/>
  <c r="U7" i="17"/>
  <c r="M17" i="9"/>
  <c r="W2" i="10"/>
  <c r="V2" i="10"/>
  <c r="H7" i="11"/>
  <c r="Y14" i="12"/>
  <c r="AA6" i="13"/>
  <c r="W3" i="15"/>
  <c r="X7" i="15"/>
  <c r="AB7" i="15"/>
  <c r="E7" i="15"/>
  <c r="U7" i="15"/>
  <c r="T7" i="15"/>
  <c r="W8" i="15"/>
  <c r="T8" i="15"/>
  <c r="M12" i="15"/>
  <c r="K2" i="16"/>
  <c r="J6" i="16"/>
  <c r="Z2" i="17"/>
  <c r="W2" i="17"/>
  <c r="J2" i="17"/>
  <c r="I2" i="17"/>
  <c r="G2" i="17"/>
  <c r="F2" i="17"/>
  <c r="W7" i="17"/>
  <c r="AA6" i="11"/>
  <c r="O6" i="11"/>
  <c r="I7" i="11"/>
  <c r="Z3" i="15"/>
  <c r="X7" i="17"/>
  <c r="Z3" i="18"/>
  <c r="D3" i="18"/>
  <c r="Y3" i="18"/>
  <c r="V3" i="18"/>
  <c r="S3" i="18"/>
  <c r="R3" i="18"/>
  <c r="Q3" i="18"/>
  <c r="M3" i="18"/>
  <c r="K3" i="18"/>
  <c r="AB6" i="18"/>
  <c r="X6" i="18"/>
  <c r="W6" i="18"/>
  <c r="Q6" i="18"/>
  <c r="O6" i="18"/>
  <c r="K6" i="18"/>
  <c r="J6" i="18"/>
  <c r="I6" i="18"/>
  <c r="W8" i="9"/>
  <c r="X8" i="9"/>
  <c r="O17" i="9"/>
  <c r="D8" i="6"/>
  <c r="F14" i="6"/>
  <c r="F15" i="6"/>
  <c r="X8" i="7"/>
  <c r="I8" i="7"/>
  <c r="AB8" i="7"/>
  <c r="G12" i="7"/>
  <c r="T14" i="8"/>
  <c r="C8" i="9"/>
  <c r="P17" i="9"/>
  <c r="D2" i="10"/>
  <c r="M13" i="10"/>
  <c r="T14" i="10"/>
  <c r="C6" i="11"/>
  <c r="J7" i="11"/>
  <c r="I7" i="12"/>
  <c r="X15" i="12"/>
  <c r="AA15" i="12"/>
  <c r="C15" i="12"/>
  <c r="AB15" i="12"/>
  <c r="C7" i="13"/>
  <c r="M12" i="13"/>
  <c r="J3" i="14"/>
  <c r="X15" i="14"/>
  <c r="N15" i="14"/>
  <c r="G15" i="14"/>
  <c r="AA15" i="14"/>
  <c r="D7" i="15"/>
  <c r="D8" i="15"/>
  <c r="O12" i="15"/>
  <c r="Q2" i="16"/>
  <c r="N6" i="16"/>
  <c r="Y7" i="17"/>
  <c r="E3" i="18"/>
  <c r="E6" i="18"/>
  <c r="X17" i="18"/>
  <c r="U17" i="18"/>
  <c r="S17" i="18"/>
  <c r="P17" i="18"/>
  <c r="O17" i="18"/>
  <c r="M17" i="18"/>
  <c r="L17" i="18"/>
  <c r="J17" i="18"/>
  <c r="G17" i="18"/>
  <c r="E17" i="18"/>
  <c r="D17" i="18"/>
  <c r="C17" i="18"/>
  <c r="AB17" i="18"/>
  <c r="AA17" i="18"/>
  <c r="Y17" i="18"/>
  <c r="W17" i="18"/>
  <c r="Q2" i="14"/>
  <c r="Y2" i="14"/>
  <c r="Z7" i="5"/>
  <c r="G8" i="6"/>
  <c r="H15" i="6"/>
  <c r="D8" i="7"/>
  <c r="J12" i="7"/>
  <c r="V14" i="8"/>
  <c r="F3" i="9"/>
  <c r="F8" i="9"/>
  <c r="R17" i="9"/>
  <c r="F2" i="10"/>
  <c r="Y13" i="10"/>
  <c r="V14" i="10"/>
  <c r="D3" i="11"/>
  <c r="G6" i="11"/>
  <c r="L7" i="11"/>
  <c r="K7" i="12"/>
  <c r="E15" i="12"/>
  <c r="E7" i="13"/>
  <c r="R12" i="13"/>
  <c r="E2" i="14"/>
  <c r="L3" i="14"/>
  <c r="C7" i="14"/>
  <c r="D15" i="14"/>
  <c r="G6" i="15"/>
  <c r="E6" i="15"/>
  <c r="X6" i="15"/>
  <c r="W6" i="15"/>
  <c r="G7" i="15"/>
  <c r="F8" i="15"/>
  <c r="Q12" i="15"/>
  <c r="X2" i="16"/>
  <c r="S6" i="16"/>
  <c r="C14" i="16"/>
  <c r="I3" i="18"/>
  <c r="AA6" i="18"/>
  <c r="N17" i="18"/>
  <c r="V14" i="5"/>
  <c r="I14" i="6"/>
  <c r="AA7" i="5"/>
  <c r="W14" i="5"/>
  <c r="H8" i="6"/>
  <c r="J14" i="6"/>
  <c r="I15" i="6"/>
  <c r="E8" i="7"/>
  <c r="K12" i="7"/>
  <c r="S17" i="9"/>
  <c r="G2" i="10"/>
  <c r="S12" i="13"/>
  <c r="F2" i="14"/>
  <c r="R12" i="15"/>
  <c r="T6" i="16"/>
  <c r="Z17" i="17"/>
  <c r="X17" i="17"/>
  <c r="W17" i="17"/>
  <c r="U17" i="17"/>
  <c r="Q17" i="17"/>
  <c r="O17" i="17"/>
  <c r="M17" i="17"/>
  <c r="L17" i="17"/>
  <c r="J3" i="18"/>
  <c r="Q17" i="18"/>
  <c r="Z7" i="14"/>
  <c r="R7" i="14"/>
  <c r="J7" i="14"/>
  <c r="AB14" i="16"/>
  <c r="Y14" i="16"/>
  <c r="J14" i="16"/>
  <c r="N17" i="6"/>
  <c r="L17" i="6"/>
  <c r="AB17" i="6"/>
  <c r="W14" i="8"/>
  <c r="G3" i="9"/>
  <c r="G8" i="9"/>
  <c r="Z13" i="10"/>
  <c r="H6" i="11"/>
  <c r="M7" i="11"/>
  <c r="S7" i="12"/>
  <c r="F7" i="13"/>
  <c r="AB7" i="5"/>
  <c r="Y14" i="5"/>
  <c r="I8" i="6"/>
  <c r="AB13" i="6"/>
  <c r="S13" i="6"/>
  <c r="K14" i="6"/>
  <c r="J15" i="6"/>
  <c r="C17" i="6"/>
  <c r="M3" i="7"/>
  <c r="F8" i="7"/>
  <c r="L12" i="7"/>
  <c r="Q13" i="7"/>
  <c r="J17" i="7"/>
  <c r="L3" i="8"/>
  <c r="F6" i="8"/>
  <c r="AB13" i="8"/>
  <c r="K3" i="9"/>
  <c r="I8" i="9"/>
  <c r="T17" i="9"/>
  <c r="H2" i="10"/>
  <c r="G8" i="10"/>
  <c r="H3" i="11"/>
  <c r="I6" i="11"/>
  <c r="N7" i="11"/>
  <c r="Q8" i="11"/>
  <c r="J14" i="11"/>
  <c r="I3" i="12"/>
  <c r="V7" i="12"/>
  <c r="G15" i="12"/>
  <c r="G7" i="13"/>
  <c r="T12" i="13"/>
  <c r="U14" i="13"/>
  <c r="R14" i="13"/>
  <c r="G2" i="14"/>
  <c r="N3" i="14"/>
  <c r="E7" i="14"/>
  <c r="F15" i="14"/>
  <c r="I6" i="15"/>
  <c r="I7" i="15"/>
  <c r="H8" i="15"/>
  <c r="S12" i="15"/>
  <c r="V6" i="16"/>
  <c r="G14" i="16"/>
  <c r="E17" i="17"/>
  <c r="N3" i="18"/>
  <c r="C15" i="18"/>
  <c r="AB15" i="18"/>
  <c r="AA15" i="18"/>
  <c r="Y15" i="18"/>
  <c r="X15" i="18"/>
  <c r="W15" i="18"/>
  <c r="S15" i="18"/>
  <c r="M15" i="18"/>
  <c r="K15" i="18"/>
  <c r="J15" i="18"/>
  <c r="E15" i="18"/>
  <c r="R17" i="18"/>
  <c r="Z14" i="5"/>
  <c r="J8" i="6"/>
  <c r="L14" i="6"/>
  <c r="AA6" i="7"/>
  <c r="K6" i="7"/>
  <c r="G8" i="7"/>
  <c r="M12" i="7"/>
  <c r="X14" i="8"/>
  <c r="P14" i="8"/>
  <c r="Z14" i="8"/>
  <c r="K8" i="9"/>
  <c r="U17" i="9"/>
  <c r="J2" i="10"/>
  <c r="X14" i="10"/>
  <c r="H14" i="10"/>
  <c r="Z14" i="10"/>
  <c r="J6" i="11"/>
  <c r="O7" i="11"/>
  <c r="W7" i="12"/>
  <c r="H15" i="12"/>
  <c r="H7" i="13"/>
  <c r="U12" i="13"/>
  <c r="L2" i="14"/>
  <c r="U6" i="14"/>
  <c r="Q6" i="14"/>
  <c r="J6" i="14"/>
  <c r="G7" i="14"/>
  <c r="H15" i="14"/>
  <c r="J6" i="15"/>
  <c r="J7" i="15"/>
  <c r="J8" i="15"/>
  <c r="T12" i="15"/>
  <c r="W6" i="16"/>
  <c r="R17" i="17"/>
  <c r="P3" i="18"/>
  <c r="D15" i="18"/>
  <c r="T17" i="18"/>
  <c r="P7" i="11"/>
  <c r="I7" i="13"/>
  <c r="M2" i="14"/>
  <c r="H7" i="14"/>
  <c r="P3" i="15"/>
  <c r="C3" i="15"/>
  <c r="Y3" i="15"/>
  <c r="X3" i="15"/>
  <c r="V12" i="15"/>
  <c r="Z7" i="16"/>
  <c r="U7" i="16"/>
  <c r="S7" i="16"/>
  <c r="P7" i="16"/>
  <c r="M7" i="16"/>
  <c r="J7" i="16"/>
  <c r="I7" i="16"/>
  <c r="Y17" i="17"/>
  <c r="W3" i="18"/>
  <c r="V17" i="18"/>
  <c r="AB8" i="18"/>
  <c r="Y12" i="18"/>
  <c r="H2" i="19"/>
  <c r="K3" i="19"/>
  <c r="N6" i="19"/>
  <c r="M8" i="19"/>
  <c r="C12" i="19"/>
  <c r="K13" i="19"/>
  <c r="T14" i="19"/>
  <c r="Q12" i="17"/>
  <c r="C8" i="18"/>
  <c r="Z12" i="18"/>
  <c r="M2" i="19"/>
  <c r="M3" i="19"/>
  <c r="O6" i="19"/>
  <c r="N8" i="19"/>
  <c r="E12" i="19"/>
  <c r="L13" i="19"/>
  <c r="U14" i="19"/>
  <c r="D8" i="18"/>
  <c r="N2" i="19"/>
  <c r="N3" i="19"/>
  <c r="R6" i="19"/>
  <c r="O8" i="19"/>
  <c r="F12" i="19"/>
  <c r="M13" i="19"/>
  <c r="V14" i="19"/>
  <c r="O2" i="19"/>
  <c r="P3" i="19"/>
  <c r="W6" i="19"/>
  <c r="P8" i="19"/>
  <c r="G12" i="19"/>
  <c r="O13" i="19"/>
  <c r="AB14" i="19"/>
  <c r="Q15" i="13"/>
  <c r="H8" i="17"/>
  <c r="U12" i="17"/>
  <c r="H15" i="17"/>
  <c r="G8" i="18"/>
  <c r="H13" i="18"/>
  <c r="R2" i="19"/>
  <c r="R3" i="19"/>
  <c r="R8" i="19"/>
  <c r="I12" i="19"/>
  <c r="Q13" i="19"/>
  <c r="C15" i="19"/>
  <c r="J8" i="17"/>
  <c r="V12" i="17"/>
  <c r="I15" i="17"/>
  <c r="J8" i="18"/>
  <c r="P13" i="18"/>
  <c r="S2" i="19"/>
  <c r="S3" i="19"/>
  <c r="S8" i="19"/>
  <c r="J12" i="19"/>
  <c r="T13" i="19"/>
  <c r="E15" i="19"/>
  <c r="N8" i="17"/>
  <c r="W12" i="17"/>
  <c r="N15" i="17"/>
  <c r="K8" i="18"/>
  <c r="U2" i="19"/>
  <c r="T3" i="19"/>
  <c r="T8" i="19"/>
  <c r="L12" i="19"/>
  <c r="V13" i="19"/>
  <c r="F15" i="19"/>
  <c r="K15" i="16"/>
  <c r="O8" i="17"/>
  <c r="Y12" i="17"/>
  <c r="M8" i="18"/>
  <c r="V2" i="19"/>
  <c r="U3" i="19"/>
  <c r="V8" i="19"/>
  <c r="P12" i="19"/>
  <c r="W13" i="19"/>
  <c r="G15" i="19"/>
  <c r="Q8" i="17"/>
  <c r="AB12" i="17"/>
  <c r="O8" i="18"/>
  <c r="L14" i="18"/>
  <c r="X2" i="19"/>
  <c r="W3" i="19"/>
  <c r="Y8" i="19"/>
  <c r="R12" i="19"/>
  <c r="Z13" i="19"/>
  <c r="L15" i="19"/>
  <c r="C17" i="19"/>
  <c r="R8" i="17"/>
  <c r="P8" i="18"/>
  <c r="Q14" i="18"/>
  <c r="Z2" i="19"/>
  <c r="Y3" i="19"/>
  <c r="Z8" i="19"/>
  <c r="T12" i="19"/>
  <c r="AA13" i="19"/>
  <c r="M15" i="19"/>
  <c r="E17" i="19"/>
  <c r="Z15" i="13"/>
  <c r="O3" i="16"/>
  <c r="S8" i="17"/>
  <c r="Q8" i="18"/>
  <c r="AB2" i="19"/>
  <c r="Z3" i="19"/>
  <c r="U12" i="19"/>
  <c r="O15" i="19"/>
  <c r="F17" i="19"/>
  <c r="AA3" i="19"/>
  <c r="AB8" i="19"/>
  <c r="V12" i="19"/>
  <c r="F14" i="19"/>
  <c r="P15" i="19"/>
  <c r="G17" i="19"/>
  <c r="U8" i="17"/>
  <c r="E12" i="17"/>
  <c r="N13" i="17"/>
  <c r="S8" i="18"/>
  <c r="V14" i="18"/>
  <c r="C3" i="19"/>
  <c r="AB3" i="19"/>
  <c r="C8" i="19"/>
  <c r="Y12" i="19"/>
  <c r="G14" i="19"/>
  <c r="Q15" i="19"/>
  <c r="M17" i="19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AA8" i="17"/>
  <c r="I12" i="17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<sst xmlns="http://schemas.openxmlformats.org/spreadsheetml/2006/main" count="3113" uniqueCount="587">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</sst>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93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MD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5.0916878463106253E-2</v>
      </c>
      <c r="C2" s="7">
        <f>$B2 * IFERROR(VLOOKUP("transport|PM25|Premature mortality", US_national_yearly!$D:$AM, 11, FALSE) / VLOOKUP("transport|PM25|Premature mortality", US_national_yearly!$D:$AM, 10, FALSE), 1)</f>
        <v>5.1548136172415639E-2</v>
      </c>
      <c r="D2" s="7">
        <f>$B2 * IFERROR(VLOOKUP("transport|PM25|Premature mortality", US_national_yearly!$D:$AM, 12, FALSE) / VLOOKUP("transport|PM25|Premature mortality", US_national_yearly!$D:$AM, 10, FALSE), 1)</f>
        <v>5.217939388172501E-2</v>
      </c>
      <c r="E2" s="7">
        <f>$B2 * IFERROR(VLOOKUP("transport|PM25|Premature mortality", US_national_yearly!$D:$AM, 13, FALSE) / VLOOKUP("transport|PM25|Premature mortality", US_national_yearly!$D:$AM, 10, FALSE), 1)</f>
        <v>5.2810651591034381E-2</v>
      </c>
      <c r="F2" s="7">
        <f>$B2 * IFERROR(VLOOKUP("transport|PM25|Premature mortality", US_national_yearly!$D:$AM, 14, FALSE) / VLOOKUP("transport|PM25|Premature mortality", US_national_yearly!$D:$AM, 10, FALSE), 1)</f>
        <v>5.3441909300343753E-2</v>
      </c>
      <c r="G2" s="7">
        <f>$B2 * IFERROR(VLOOKUP("transport|PM25|Premature mortality", US_national_yearly!$D:$AM, 15, FALSE) / VLOOKUP("transport|PM25|Premature mortality", US_national_yearly!$D:$AM, 10, FALSE), 1)</f>
        <v>5.4671278928390812E-2</v>
      </c>
      <c r="H2" s="7">
        <f>$B2 * IFERROR(VLOOKUP("transport|PM25|Premature mortality", US_national_yearly!$D:$AM, 16, FALSE) / VLOOKUP("transport|PM25|Premature mortality", US_national_yearly!$D:$AM, 10, FALSE), 1)</f>
        <v>5.5900648556437872E-2</v>
      </c>
      <c r="I2" s="7">
        <f>$B2 * IFERROR(VLOOKUP("transport|PM25|Premature mortality", US_national_yearly!$D:$AM, 17, FALSE) / VLOOKUP("transport|PM25|Premature mortality", US_national_yearly!$D:$AM, 10, FALSE), 1)</f>
        <v>5.6708150278620167E-2</v>
      </c>
      <c r="J2" s="7">
        <f>$B2 * IFERROR(VLOOKUP("transport|PM25|Premature mortality", US_national_yearly!$D:$AM, 18, FALSE) / VLOOKUP("transport|PM25|Premature mortality", US_national_yearly!$D:$AM, 10, FALSE), 1)</f>
        <v>5.751565200080249E-2</v>
      </c>
      <c r="K2" s="7">
        <f>$B2 * IFERROR(VLOOKUP("transport|PM25|Premature mortality", US_national_yearly!$D:$AM, 19, FALSE) / VLOOKUP("transport|PM25|Premature mortality", US_national_yearly!$D:$AM, 10, FALSE), 1)</f>
        <v>5.83231537229848E-2</v>
      </c>
      <c r="L2" s="7">
        <f>$B2 * IFERROR(VLOOKUP("transport|PM25|Premature mortality", US_national_yearly!$D:$AM, 20, FALSE) / VLOOKUP("transport|PM25|Premature mortality", US_national_yearly!$D:$AM, 10, FALSE), 1)</f>
        <v>5.9130655445167123E-2</v>
      </c>
      <c r="M2" s="7">
        <f>$B2 * IFERROR(VLOOKUP("transport|PM25|Premature mortality", US_national_yearly!$D:$AM, 21, FALSE) / VLOOKUP("transport|PM25|Premature mortality", US_national_yearly!$D:$AM, 10, FALSE), 1)</f>
        <v>5.9938157167349425E-2</v>
      </c>
      <c r="N2" s="7">
        <f>$B2 * IFERROR(VLOOKUP("transport|PM25|Premature mortality", US_national_yearly!$D:$AM, 22, FALSE) / VLOOKUP("transport|PM25|Premature mortality", US_national_yearly!$D:$AM, 10, FALSE), 1)</f>
        <v>6.056513086195256E-2</v>
      </c>
      <c r="O2" s="7">
        <f>$B2 * IFERROR(VLOOKUP("transport|PM25|Premature mortality", US_national_yearly!$D:$AM, 23, FALSE) / VLOOKUP("transport|PM25|Premature mortality", US_national_yearly!$D:$AM, 10, FALSE), 1)</f>
        <v>6.1192104556555695E-2</v>
      </c>
      <c r="P2" s="7">
        <f>$B2 * IFERROR(VLOOKUP("transport|PM25|Premature mortality", US_national_yearly!$D:$AM, 24, FALSE) / VLOOKUP("transport|PM25|Premature mortality", US_national_yearly!$D:$AM, 10, FALSE), 1)</f>
        <v>6.1819078251158829E-2</v>
      </c>
      <c r="Q2" s="7">
        <f>$B2 * IFERROR(VLOOKUP("transport|PM25|Premature mortality", US_national_yearly!$D:$AM, 25, FALSE) / VLOOKUP("transport|PM25|Premature mortality", US_national_yearly!$D:$AM, 10, FALSE), 1)</f>
        <v>6.2446051945761964E-2</v>
      </c>
      <c r="R2" s="7">
        <f>$B2 * IFERROR(VLOOKUP("transport|PM25|Premature mortality", US_national_yearly!$D:$AM, 26, FALSE) / VLOOKUP("transport|PM25|Premature mortality", US_national_yearly!$D:$AM, 10, FALSE), 1)</f>
        <v>6.3073025640365113E-2</v>
      </c>
      <c r="S2" s="7">
        <f>$B2 * IFERROR(VLOOKUP("transport|PM25|Premature mortality", US_national_yearly!$D:$AM, 27, FALSE) / VLOOKUP("transport|PM25|Premature mortality", US_national_yearly!$D:$AM, 10, FALSE), 1)</f>
        <v>6.3405177675756499E-2</v>
      </c>
      <c r="T2" s="7">
        <f>$B2 * IFERROR(VLOOKUP("transport|PM25|Premature mortality", US_national_yearly!$D:$AM, 28, FALSE) / VLOOKUP("transport|PM25|Premature mortality", US_national_yearly!$D:$AM, 10, FALSE), 1)</f>
        <v>6.3737329711147886E-2</v>
      </c>
      <c r="U2" s="7">
        <f>$B2 * IFERROR(VLOOKUP("transport|PM25|Premature mortality", US_national_yearly!$D:$AM, 29, FALSE) / VLOOKUP("transport|PM25|Premature mortality", US_national_yearly!$D:$AM, 10, FALSE), 1)</f>
        <v>6.4069481746539259E-2</v>
      </c>
      <c r="V2" s="7">
        <f>$B2 * IFERROR(VLOOKUP("transport|PM25|Premature mortality", US_national_yearly!$D:$AM, 30, FALSE) / VLOOKUP("transport|PM25|Premature mortality", US_national_yearly!$D:$AM, 10, FALSE), 1)</f>
        <v>6.4401633781930645E-2</v>
      </c>
      <c r="W2" s="7">
        <f>$B2 * IFERROR(VLOOKUP("transport|PM25|Premature mortality", US_national_yearly!$D:$AM, 31, FALSE) / VLOOKUP("transport|PM25|Premature mortality", US_national_yearly!$D:$AM, 10, FALSE), 1)</f>
        <v>6.4733785817322018E-2</v>
      </c>
      <c r="X2" s="7">
        <f>$B2 * IFERROR(VLOOKUP("transport|PM25|Premature mortality", US_national_yearly!$D:$AM, 32, FALSE) / VLOOKUP("transport|PM25|Premature mortality", US_national_yearly!$D:$AM, 10, FALSE), 1)</f>
        <v>6.4791865170084187E-2</v>
      </c>
      <c r="Y2" s="7">
        <f>$B2 * IFERROR(VLOOKUP("transport|PM25|Premature mortality", US_national_yearly!$D:$AM, 33, FALSE) / VLOOKUP("transport|PM25|Premature mortality", US_national_yearly!$D:$AM, 10, FALSE), 1)</f>
        <v>6.484994452284637E-2</v>
      </c>
      <c r="Z2" s="7">
        <f>$B2 * IFERROR(VLOOKUP("transport|PM25|Premature mortality", US_national_yearly!$D:$AM, 34, FALSE) / VLOOKUP("transport|PM25|Premature mortality", US_national_yearly!$D:$AM, 10, FALSE), 1)</f>
        <v>6.4908023875608539E-2</v>
      </c>
      <c r="AA2" s="7">
        <f>$B2 * IFERROR(VLOOKUP("transport|PM25|Premature mortality", US_national_yearly!$D:$AM, 35, FALSE) / VLOOKUP("transport|PM25|Premature mortality", US_national_yearly!$D:$AM, 10, FALSE), 1)</f>
        <v>6.4966103228370722E-2</v>
      </c>
      <c r="AB2" s="7">
        <f>$B2 * IFERROR(VLOOKUP("transport|PM25|Premature mortality", US_national_yearly!$D:$AM, 36, FALSE) / VLOOKUP("transport|PM25|Premature mortality", US_national_yearly!$D:$AM, 10, FALSE), 1)</f>
        <v>6.5024182581132892E-2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1.447216402268649E-4</v>
      </c>
      <c r="C3" s="7">
        <f>$B3 * IFERROR(VLOOKUP("transport|PM25|Infant mortality", US_national_yearly!$D:$AM, 11, FALSE) / VLOOKUP("transport|PM25|Infant mortality", US_national_yearly!$D:$AM, 10, FALSE), 1)</f>
        <v>1.4345979958352463E-4</v>
      </c>
      <c r="D3" s="7">
        <f>$B3 * IFERROR(VLOOKUP("transport|PM25|Infant mortality", US_national_yearly!$D:$AM, 12, FALSE) / VLOOKUP("transport|PM25|Infant mortality", US_national_yearly!$D:$AM, 10, FALSE), 1)</f>
        <v>1.4219795894018436E-4</v>
      </c>
      <c r="E3" s="7">
        <f>$B3 * IFERROR(VLOOKUP("transport|PM25|Infant mortality", US_national_yearly!$D:$AM, 13, FALSE) / VLOOKUP("transport|PM25|Infant mortality", US_national_yearly!$D:$AM, 10, FALSE), 1)</f>
        <v>1.4093611829684412E-4</v>
      </c>
      <c r="F3" s="7">
        <f>$B3 * IFERROR(VLOOKUP("transport|PM25|Infant mortality", US_national_yearly!$D:$AM, 14, FALSE) / VLOOKUP("transport|PM25|Infant mortality", US_national_yearly!$D:$AM, 10, FALSE), 1)</f>
        <v>1.3967427765350382E-4</v>
      </c>
      <c r="G3" s="7">
        <f>$B3 * IFERROR(VLOOKUP("transport|PM25|Infant mortality", US_national_yearly!$D:$AM, 15, FALSE) / VLOOKUP("transport|PM25|Infant mortality", US_national_yearly!$D:$AM, 10, FALSE), 1)</f>
        <v>9.2890866089906336E-5</v>
      </c>
      <c r="H3" s="7">
        <f>$B3 * IFERROR(VLOOKUP("transport|PM25|Infant mortality", US_national_yearly!$D:$AM, 16, FALSE) / VLOOKUP("transport|PM25|Infant mortality", US_national_yearly!$D:$AM, 10, FALSE), 1)</f>
        <v>4.6107454526308827E-5</v>
      </c>
      <c r="I3" s="7">
        <f>$B3 * IFERROR(VLOOKUP("transport|PM25|Infant mortality", US_national_yearly!$D:$AM, 17, FALSE) / VLOOKUP("transport|PM25|Infant mortality", US_national_yearly!$D:$AM, 10, FALSE), 1)</f>
        <v>4.5806066148256721E-5</v>
      </c>
      <c r="J3" s="7">
        <f>$B3 * IFERROR(VLOOKUP("transport|PM25|Infant mortality", US_national_yearly!$D:$AM, 18, FALSE) / VLOOKUP("transport|PM25|Infant mortality", US_national_yearly!$D:$AM, 10, FALSE), 1)</f>
        <v>4.5504677770204608E-5</v>
      </c>
      <c r="K3" s="7">
        <f>$B3 * IFERROR(VLOOKUP("transport|PM25|Infant mortality", US_national_yearly!$D:$AM, 19, FALSE) / VLOOKUP("transport|PM25|Infant mortality", US_national_yearly!$D:$AM, 10, FALSE), 1)</f>
        <v>4.5203289392152488E-5</v>
      </c>
      <c r="L3" s="7">
        <f>$B3 * IFERROR(VLOOKUP("transport|PM25|Infant mortality", US_national_yearly!$D:$AM, 20, FALSE) / VLOOKUP("transport|PM25|Infant mortality", US_national_yearly!$D:$AM, 10, FALSE), 1)</f>
        <v>4.4901901014100382E-5</v>
      </c>
      <c r="M3" s="7">
        <f>$B3 * IFERROR(VLOOKUP("transport|PM25|Infant mortality", US_national_yearly!$D:$AM, 21, FALSE) / VLOOKUP("transport|PM25|Infant mortality", US_national_yearly!$D:$AM, 10, FALSE), 1)</f>
        <v>4.4600512636048276E-5</v>
      </c>
      <c r="N3" s="7">
        <f>$B3 * IFERROR(VLOOKUP("transport|PM25|Infant mortality", US_national_yearly!$D:$AM, 22, FALSE) / VLOOKUP("transport|PM25|Infant mortality", US_national_yearly!$D:$AM, 10, FALSE), 1)</f>
        <v>4.4411207367679328E-5</v>
      </c>
      <c r="O3" s="7">
        <f>$B3 * IFERROR(VLOOKUP("transport|PM25|Infant mortality", US_national_yearly!$D:$AM, 23, FALSE) / VLOOKUP("transport|PM25|Infant mortality", US_national_yearly!$D:$AM, 10, FALSE), 1)</f>
        <v>4.4221902099310395E-5</v>
      </c>
      <c r="P3" s="7">
        <f>$B3 * IFERROR(VLOOKUP("transport|PM25|Infant mortality", US_national_yearly!$D:$AM, 24, FALSE) / VLOOKUP("transport|PM25|Infant mortality", US_national_yearly!$D:$AM, 10, FALSE), 1)</f>
        <v>4.403259683094144E-5</v>
      </c>
      <c r="Q3" s="7">
        <f>$B3 * IFERROR(VLOOKUP("transport|PM25|Infant mortality", US_national_yearly!$D:$AM, 25, FALSE) / VLOOKUP("transport|PM25|Infant mortality", US_national_yearly!$D:$AM, 10, FALSE), 1)</f>
        <v>4.3843291562572507E-5</v>
      </c>
      <c r="R3" s="7">
        <f>$B3 * IFERROR(VLOOKUP("transport|PM25|Infant mortality", US_national_yearly!$D:$AM, 26, FALSE) / VLOOKUP("transport|PM25|Infant mortality", US_national_yearly!$D:$AM, 10, FALSE), 1)</f>
        <v>4.3653986294203559E-5</v>
      </c>
      <c r="S3" s="7">
        <f>$B3 * IFERROR(VLOOKUP("transport|PM25|Infant mortality", US_national_yearly!$D:$AM, 27, FALSE) / VLOOKUP("transport|PM25|Infant mortality", US_national_yearly!$D:$AM, 10, FALSE), 1)</f>
        <v>4.3418013406532832E-5</v>
      </c>
      <c r="T3" s="7">
        <f>$B3 * IFERROR(VLOOKUP("transport|PM25|Infant mortality", US_national_yearly!$D:$AM, 28, FALSE) / VLOOKUP("transport|PM25|Infant mortality", US_national_yearly!$D:$AM, 10, FALSE), 1)</f>
        <v>4.3182040518862097E-5</v>
      </c>
      <c r="U3" s="7">
        <f>$B3 * IFERROR(VLOOKUP("transport|PM25|Infant mortality", US_national_yearly!$D:$AM, 29, FALSE) / VLOOKUP("transport|PM25|Infant mortality", US_national_yearly!$D:$AM, 10, FALSE), 1)</f>
        <v>4.294606763119137E-5</v>
      </c>
      <c r="V3" s="7">
        <f>$B3 * IFERROR(VLOOKUP("transport|PM25|Infant mortality", US_national_yearly!$D:$AM, 30, FALSE) / VLOOKUP("transport|PM25|Infant mortality", US_national_yearly!$D:$AM, 10, FALSE), 1)</f>
        <v>4.2710094743520642E-5</v>
      </c>
      <c r="W3" s="7">
        <f>$B3 * IFERROR(VLOOKUP("transport|PM25|Infant mortality", US_national_yearly!$D:$AM, 31, FALSE) / VLOOKUP("transport|PM25|Infant mortality", US_national_yearly!$D:$AM, 10, FALSE), 1)</f>
        <v>4.2474121855849908E-5</v>
      </c>
      <c r="X3" s="7">
        <f>$B3 * IFERROR(VLOOKUP("transport|PM25|Infant mortality", US_national_yearly!$D:$AM, 32, FALSE) / VLOOKUP("transport|PM25|Infant mortality", US_national_yearly!$D:$AM, 10, FALSE), 1)</f>
        <v>4.2219713424260433E-5</v>
      </c>
      <c r="Y3" s="7">
        <f>$B3 * IFERROR(VLOOKUP("transport|PM25|Infant mortality", US_national_yearly!$D:$AM, 33, FALSE) / VLOOKUP("transport|PM25|Infant mortality", US_national_yearly!$D:$AM, 10, FALSE), 1)</f>
        <v>4.1965304992670952E-5</v>
      </c>
      <c r="Z3" s="7">
        <f>$B3 * IFERROR(VLOOKUP("transport|PM25|Infant mortality", US_national_yearly!$D:$AM, 34, FALSE) / VLOOKUP("transport|PM25|Infant mortality", US_national_yearly!$D:$AM, 10, FALSE), 1)</f>
        <v>4.1710896561081478E-5</v>
      </c>
      <c r="AA3" s="7">
        <f>$B3 * IFERROR(VLOOKUP("transport|PM25|Infant mortality", US_national_yearly!$D:$AM, 35, FALSE) / VLOOKUP("transport|PM25|Infant mortality", US_national_yearly!$D:$AM, 10, FALSE), 1)</f>
        <v>4.1456488129491997E-5</v>
      </c>
      <c r="AB3" s="7">
        <f>$B3 * IFERROR(VLOOKUP("transport|PM25|Infant mortality", US_national_yearly!$D:$AM, 36, FALSE) / VLOOKUP("transport|PM25|Infant mortality", US_national_yearly!$D:$AM, 10, FALSE), 1)</f>
        <v>4.120207969790253E-5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0.13562592483987507</v>
      </c>
      <c r="C6" s="7">
        <f>$B6 * IFERROR(VLOOKUP("transport|PM25|Asthma symptoms cough", US_national_yearly!$D:$AM, 11, FALSE) / VLOOKUP("transport|PM25|Asthma symptoms cough", US_national_yearly!$D:$AM, 10, FALSE), 1)</f>
        <v>0.13562592483987507</v>
      </c>
      <c r="D6" s="7">
        <f>$B6 * IFERROR(VLOOKUP("transport|PM25|Asthma symptoms cough", US_national_yearly!$D:$AM, 12, FALSE) / VLOOKUP("transport|PM25|Asthma symptoms cough", US_national_yearly!$D:$AM, 10, FALSE), 1)</f>
        <v>0.13562592483987507</v>
      </c>
      <c r="E6" s="7">
        <f>$B6 * IFERROR(VLOOKUP("transport|PM25|Asthma symptoms cough", US_national_yearly!$D:$AM, 13, FALSE) / VLOOKUP("transport|PM25|Asthma symptoms cough", US_national_yearly!$D:$AM, 10, FALSE), 1)</f>
        <v>0.13562592483987507</v>
      </c>
      <c r="F6" s="7">
        <f>$B6 * IFERROR(VLOOKUP("transport|PM25|Asthma symptoms cough", US_national_yearly!$D:$AM, 14, FALSE) / VLOOKUP("transport|PM25|Asthma symptoms cough", US_national_yearly!$D:$AM, 10, FALSE), 1)</f>
        <v>0.13562592483987507</v>
      </c>
      <c r="G6" s="7">
        <f>$B6 * IFERROR(VLOOKUP("transport|PM25|Asthma symptoms cough", US_national_yearly!$D:$AM, 15, FALSE) / VLOOKUP("transport|PM25|Asthma symptoms cough", US_national_yearly!$D:$AM, 10, FALSE), 1)</f>
        <v>0.13562592483987507</v>
      </c>
      <c r="H6" s="7">
        <f>$B6 * IFERROR(VLOOKUP("transport|PM25|Asthma symptoms cough", US_national_yearly!$D:$AM, 16, FALSE) / VLOOKUP("transport|PM25|Asthma symptoms cough", US_national_yearly!$D:$AM, 10, FALSE), 1)</f>
        <v>0.13562592483987507</v>
      </c>
      <c r="I6" s="7">
        <f>$B6 * IFERROR(VLOOKUP("transport|PM25|Asthma symptoms cough", US_national_yearly!$D:$AM, 17, FALSE) / VLOOKUP("transport|PM25|Asthma symptoms cough", US_national_yearly!$D:$AM, 10, FALSE), 1)</f>
        <v>0.13562592483987507</v>
      </c>
      <c r="J6" s="7">
        <f>$B6 * IFERROR(VLOOKUP("transport|PM25|Asthma symptoms cough", US_national_yearly!$D:$AM, 18, FALSE) / VLOOKUP("transport|PM25|Asthma symptoms cough", US_national_yearly!$D:$AM, 10, FALSE), 1)</f>
        <v>0.13562592483987507</v>
      </c>
      <c r="K6" s="7">
        <f>$B6 * IFERROR(VLOOKUP("transport|PM25|Asthma symptoms cough", US_national_yearly!$D:$AM, 19, FALSE) / VLOOKUP("transport|PM25|Asthma symptoms cough", US_national_yearly!$D:$AM, 10, FALSE), 1)</f>
        <v>0.13562592483987507</v>
      </c>
      <c r="L6" s="7">
        <f>$B6 * IFERROR(VLOOKUP("transport|PM25|Asthma symptoms cough", US_national_yearly!$D:$AM, 20, FALSE) / VLOOKUP("transport|PM25|Asthma symptoms cough", US_national_yearly!$D:$AM, 10, FALSE), 1)</f>
        <v>0.13562592483987507</v>
      </c>
      <c r="M6" s="7">
        <f>$B6 * IFERROR(VLOOKUP("transport|PM25|Asthma symptoms cough", US_national_yearly!$D:$AM, 21, FALSE) / VLOOKUP("transport|PM25|Asthma symptoms cough", US_national_yearly!$D:$AM, 10, FALSE), 1)</f>
        <v>0.13562592483987507</v>
      </c>
      <c r="N6" s="7">
        <f>$B6 * IFERROR(VLOOKUP("transport|PM25|Asthma symptoms cough", US_national_yearly!$D:$AM, 22, FALSE) / VLOOKUP("transport|PM25|Asthma symptoms cough", US_national_yearly!$D:$AM, 10, FALSE), 1)</f>
        <v>0.13562592483987507</v>
      </c>
      <c r="O6" s="7">
        <f>$B6 * IFERROR(VLOOKUP("transport|PM25|Asthma symptoms cough", US_national_yearly!$D:$AM, 23, FALSE) / VLOOKUP("transport|PM25|Asthma symptoms cough", US_national_yearly!$D:$AM, 10, FALSE), 1)</f>
        <v>0.13562592483987507</v>
      </c>
      <c r="P6" s="7">
        <f>$B6 * IFERROR(VLOOKUP("transport|PM25|Asthma symptoms cough", US_national_yearly!$D:$AM, 24, FALSE) / VLOOKUP("transport|PM25|Asthma symptoms cough", US_national_yearly!$D:$AM, 10, FALSE), 1)</f>
        <v>0.13562592483987507</v>
      </c>
      <c r="Q6" s="7">
        <f>$B6 * IFERROR(VLOOKUP("transport|PM25|Asthma symptoms cough", US_national_yearly!$D:$AM, 25, FALSE) / VLOOKUP("transport|PM25|Asthma symptoms cough", US_national_yearly!$D:$AM, 10, FALSE), 1)</f>
        <v>0.13562592483987507</v>
      </c>
      <c r="R6" s="7">
        <f>$B6 * IFERROR(VLOOKUP("transport|PM25|Asthma symptoms cough", US_national_yearly!$D:$AM, 26, FALSE) / VLOOKUP("transport|PM25|Asthma symptoms cough", US_national_yearly!$D:$AM, 10, FALSE), 1)</f>
        <v>0.13562592483987507</v>
      </c>
      <c r="S6" s="7">
        <f>$B6 * IFERROR(VLOOKUP("transport|PM25|Asthma symptoms cough", US_national_yearly!$D:$AM, 27, FALSE) / VLOOKUP("transport|PM25|Asthma symptoms cough", US_national_yearly!$D:$AM, 10, FALSE), 1)</f>
        <v>0.13562592483987507</v>
      </c>
      <c r="T6" s="7">
        <f>$B6 * IFERROR(VLOOKUP("transport|PM25|Asthma symptoms cough", US_national_yearly!$D:$AM, 28, FALSE) / VLOOKUP("transport|PM25|Asthma symptoms cough", US_national_yearly!$D:$AM, 10, FALSE), 1)</f>
        <v>0.13562592483987507</v>
      </c>
      <c r="U6" s="7">
        <f>$B6 * IFERROR(VLOOKUP("transport|PM25|Asthma symptoms cough", US_national_yearly!$D:$AM, 29, FALSE) / VLOOKUP("transport|PM25|Asthma symptoms cough", US_national_yearly!$D:$AM, 10, FALSE), 1)</f>
        <v>0.13562592483987507</v>
      </c>
      <c r="V6" s="7">
        <f>$B6 * IFERROR(VLOOKUP("transport|PM25|Asthma symptoms cough", US_national_yearly!$D:$AM, 30, FALSE) / VLOOKUP("transport|PM25|Asthma symptoms cough", US_national_yearly!$D:$AM, 10, FALSE), 1)</f>
        <v>0.13562592483987507</v>
      </c>
      <c r="W6" s="7">
        <f>$B6 * IFERROR(VLOOKUP("transport|PM25|Asthma symptoms cough", US_national_yearly!$D:$AM, 31, FALSE) / VLOOKUP("transport|PM25|Asthma symptoms cough", US_national_yearly!$D:$AM, 10, FALSE), 1)</f>
        <v>0.13562592483987507</v>
      </c>
      <c r="X6" s="7">
        <f>$B6 * IFERROR(VLOOKUP("transport|PM25|Asthma symptoms cough", US_national_yearly!$D:$AM, 32, FALSE) / VLOOKUP("transport|PM25|Asthma symptoms cough", US_national_yearly!$D:$AM, 10, FALSE), 1)</f>
        <v>0.13562592483987507</v>
      </c>
      <c r="Y6" s="7">
        <f>$B6 * IFERROR(VLOOKUP("transport|PM25|Asthma symptoms cough", US_national_yearly!$D:$AM, 33, FALSE) / VLOOKUP("transport|PM25|Asthma symptoms cough", US_national_yearly!$D:$AM, 10, FALSE), 1)</f>
        <v>0.13562592483987507</v>
      </c>
      <c r="Z6" s="7">
        <f>$B6 * IFERROR(VLOOKUP("transport|PM25|Asthma symptoms cough", US_national_yearly!$D:$AM, 34, FALSE) / VLOOKUP("transport|PM25|Asthma symptoms cough", US_national_yearly!$D:$AM, 10, FALSE), 1)</f>
        <v>0.13562592483987507</v>
      </c>
      <c r="AA6" s="7">
        <f>$B6 * IFERROR(VLOOKUP("transport|PM25|Asthma symptoms cough", US_national_yearly!$D:$AM, 35, FALSE) / VLOOKUP("transport|PM25|Asthma symptoms cough", US_national_yearly!$D:$AM, 10, FALSE), 1)</f>
        <v>0.13562592483987507</v>
      </c>
      <c r="AB6" s="7">
        <f>$B6 * IFERROR(VLOOKUP("transport|PM25|Asthma symptoms cough", US_national_yearly!$D:$AM, 36, FALSE) / VLOOKUP("transport|PM25|Asthma symptoms cough", US_national_yearly!$D:$AM, 10, FALSE), 1)</f>
        <v>0.13562592483987507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0.18263460481589819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0.18263460481589819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0.18263460481589819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0.18263460481589819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0.18263460481589819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0.18263460481589819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0.18263460481589819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0.18263460481589819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0.18263460481589819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0.18263460481589819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0.18263460481589819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0.18263460481589819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0.18263460481589819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0.18263460481589819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0.18263460481589819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0.18263460481589819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0.18263460481589819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0.18263460481589819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0.18263460481589819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0.18263460481589819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0.18263460481589819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0.18263460481589819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0.18263460481589819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0.18263460481589819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0.18263460481589819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0.18263460481589819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0.18263460481589819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0.27905391716038491</v>
      </c>
      <c r="C8" s="7">
        <f>$B8 * IFERROR(VLOOKUP("transport|PM25|Asthma symptoms wheeze", US_national_yearly!$D:$AM, 11, FALSE) / VLOOKUP("transport|PM25|Asthma symptoms wheeze", US_national_yearly!$D:$AM, 10, FALSE), 1)</f>
        <v>0.27905391716038491</v>
      </c>
      <c r="D8" s="7">
        <f>$B8 * IFERROR(VLOOKUP("transport|PM25|Asthma symptoms wheeze", US_national_yearly!$D:$AM, 12, FALSE) / VLOOKUP("transport|PM25|Asthma symptoms wheeze", US_national_yearly!$D:$AM, 10, FALSE), 1)</f>
        <v>0.27905391716038491</v>
      </c>
      <c r="E8" s="7">
        <f>$B8 * IFERROR(VLOOKUP("transport|PM25|Asthma symptoms wheeze", US_national_yearly!$D:$AM, 13, FALSE) / VLOOKUP("transport|PM25|Asthma symptoms wheeze", US_national_yearly!$D:$AM, 10, FALSE), 1)</f>
        <v>0.27905391716038491</v>
      </c>
      <c r="F8" s="7">
        <f>$B8 * IFERROR(VLOOKUP("transport|PM25|Asthma symptoms wheeze", US_national_yearly!$D:$AM, 14, FALSE) / VLOOKUP("transport|PM25|Asthma symptoms wheeze", US_national_yearly!$D:$AM, 10, FALSE), 1)</f>
        <v>0.27905391716038491</v>
      </c>
      <c r="G8" s="7">
        <f>$B8 * IFERROR(VLOOKUP("transport|PM25|Asthma symptoms wheeze", US_national_yearly!$D:$AM, 15, FALSE) / VLOOKUP("transport|PM25|Asthma symptoms wheeze", US_national_yearly!$D:$AM, 10, FALSE), 1)</f>
        <v>0.27905391716038491</v>
      </c>
      <c r="H8" s="7">
        <f>$B8 * IFERROR(VLOOKUP("transport|PM25|Asthma symptoms wheeze", US_national_yearly!$D:$AM, 16, FALSE) / VLOOKUP("transport|PM25|Asthma symptoms wheeze", US_national_yearly!$D:$AM, 10, FALSE), 1)</f>
        <v>0.27905391716038491</v>
      </c>
      <c r="I8" s="7">
        <f>$B8 * IFERROR(VLOOKUP("transport|PM25|Asthma symptoms wheeze", US_national_yearly!$D:$AM, 17, FALSE) / VLOOKUP("transport|PM25|Asthma symptoms wheeze", US_national_yearly!$D:$AM, 10, FALSE), 1)</f>
        <v>0.27905391716038491</v>
      </c>
      <c r="J8" s="7">
        <f>$B8 * IFERROR(VLOOKUP("transport|PM25|Asthma symptoms wheeze", US_national_yearly!$D:$AM, 18, FALSE) / VLOOKUP("transport|PM25|Asthma symptoms wheeze", US_national_yearly!$D:$AM, 10, FALSE), 1)</f>
        <v>0.27905391716038491</v>
      </c>
      <c r="K8" s="7">
        <f>$B8 * IFERROR(VLOOKUP("transport|PM25|Asthma symptoms wheeze", US_national_yearly!$D:$AM, 19, FALSE) / VLOOKUP("transport|PM25|Asthma symptoms wheeze", US_national_yearly!$D:$AM, 10, FALSE), 1)</f>
        <v>0.27905391716038491</v>
      </c>
      <c r="L8" s="7">
        <f>$B8 * IFERROR(VLOOKUP("transport|PM25|Asthma symptoms wheeze", US_national_yearly!$D:$AM, 20, FALSE) / VLOOKUP("transport|PM25|Asthma symptoms wheeze", US_national_yearly!$D:$AM, 10, FALSE), 1)</f>
        <v>0.27905391716038491</v>
      </c>
      <c r="M8" s="7">
        <f>$B8 * IFERROR(VLOOKUP("transport|PM25|Asthma symptoms wheeze", US_national_yearly!$D:$AM, 21, FALSE) / VLOOKUP("transport|PM25|Asthma symptoms wheeze", US_national_yearly!$D:$AM, 10, FALSE), 1)</f>
        <v>0.27905391716038491</v>
      </c>
      <c r="N8" s="7">
        <f>$B8 * IFERROR(VLOOKUP("transport|PM25|Asthma symptoms wheeze", US_national_yearly!$D:$AM, 22, FALSE) / VLOOKUP("transport|PM25|Asthma symptoms wheeze", US_national_yearly!$D:$AM, 10, FALSE), 1)</f>
        <v>0.27905391716038491</v>
      </c>
      <c r="O8" s="7">
        <f>$B8 * IFERROR(VLOOKUP("transport|PM25|Asthma symptoms wheeze", US_national_yearly!$D:$AM, 23, FALSE) / VLOOKUP("transport|PM25|Asthma symptoms wheeze", US_national_yearly!$D:$AM, 10, FALSE), 1)</f>
        <v>0.27905391716038491</v>
      </c>
      <c r="P8" s="7">
        <f>$B8 * IFERROR(VLOOKUP("transport|PM25|Asthma symptoms wheeze", US_national_yearly!$D:$AM, 24, FALSE) / VLOOKUP("transport|PM25|Asthma symptoms wheeze", US_national_yearly!$D:$AM, 10, FALSE), 1)</f>
        <v>0.27905391716038491</v>
      </c>
      <c r="Q8" s="7">
        <f>$B8 * IFERROR(VLOOKUP("transport|PM25|Asthma symptoms wheeze", US_national_yearly!$D:$AM, 25, FALSE) / VLOOKUP("transport|PM25|Asthma symptoms wheeze", US_national_yearly!$D:$AM, 10, FALSE), 1)</f>
        <v>0.27905391716038491</v>
      </c>
      <c r="R8" s="7">
        <f>$B8 * IFERROR(VLOOKUP("transport|PM25|Asthma symptoms wheeze", US_national_yearly!$D:$AM, 26, FALSE) / VLOOKUP("transport|PM25|Asthma symptoms wheeze", US_national_yearly!$D:$AM, 10, FALSE), 1)</f>
        <v>0.27905391716038491</v>
      </c>
      <c r="S8" s="7">
        <f>$B8 * IFERROR(VLOOKUP("transport|PM25|Asthma symptoms wheeze", US_national_yearly!$D:$AM, 27, FALSE) / VLOOKUP("transport|PM25|Asthma symptoms wheeze", US_national_yearly!$D:$AM, 10, FALSE), 1)</f>
        <v>0.27905391716038491</v>
      </c>
      <c r="T8" s="7">
        <f>$B8 * IFERROR(VLOOKUP("transport|PM25|Asthma symptoms wheeze", US_national_yearly!$D:$AM, 28, FALSE) / VLOOKUP("transport|PM25|Asthma symptoms wheeze", US_national_yearly!$D:$AM, 10, FALSE), 1)</f>
        <v>0.27905391716038491</v>
      </c>
      <c r="U8" s="7">
        <f>$B8 * IFERROR(VLOOKUP("transport|PM25|Asthma symptoms wheeze", US_national_yearly!$D:$AM, 29, FALSE) / VLOOKUP("transport|PM25|Asthma symptoms wheeze", US_national_yearly!$D:$AM, 10, FALSE), 1)</f>
        <v>0.27905391716038491</v>
      </c>
      <c r="V8" s="7">
        <f>$B8 * IFERROR(VLOOKUP("transport|PM25|Asthma symptoms wheeze", US_national_yearly!$D:$AM, 30, FALSE) / VLOOKUP("transport|PM25|Asthma symptoms wheeze", US_national_yearly!$D:$AM, 10, FALSE), 1)</f>
        <v>0.27905391716038491</v>
      </c>
      <c r="W8" s="7">
        <f>$B8 * IFERROR(VLOOKUP("transport|PM25|Asthma symptoms wheeze", US_national_yearly!$D:$AM, 31, FALSE) / VLOOKUP("transport|PM25|Asthma symptoms wheeze", US_national_yearly!$D:$AM, 10, FALSE), 1)</f>
        <v>0.27905391716038491</v>
      </c>
      <c r="X8" s="7">
        <f>$B8 * IFERROR(VLOOKUP("transport|PM25|Asthma symptoms wheeze", US_national_yearly!$D:$AM, 32, FALSE) / VLOOKUP("transport|PM25|Asthma symptoms wheeze", US_national_yearly!$D:$AM, 10, FALSE), 1)</f>
        <v>0.27905391716038491</v>
      </c>
      <c r="Y8" s="7">
        <f>$B8 * IFERROR(VLOOKUP("transport|PM25|Asthma symptoms wheeze", US_national_yearly!$D:$AM, 33, FALSE) / VLOOKUP("transport|PM25|Asthma symptoms wheeze", US_national_yearly!$D:$AM, 10, FALSE), 1)</f>
        <v>0.27905391716038491</v>
      </c>
      <c r="Z8" s="7">
        <f>$B8 * IFERROR(VLOOKUP("transport|PM25|Asthma symptoms wheeze", US_national_yearly!$D:$AM, 34, FALSE) / VLOOKUP("transport|PM25|Asthma symptoms wheeze", US_national_yearly!$D:$AM, 10, FALSE), 1)</f>
        <v>0.27905391716038491</v>
      </c>
      <c r="AA8" s="7">
        <f>$B8 * IFERROR(VLOOKUP("transport|PM25|Asthma symptoms wheeze", US_national_yearly!$D:$AM, 35, FALSE) / VLOOKUP("transport|PM25|Asthma symptoms wheeze", US_national_yearly!$D:$AM, 10, FALSE), 1)</f>
        <v>0.27905391716038491</v>
      </c>
      <c r="AB8" s="7">
        <f>$B8 * IFERROR(VLOOKUP("transport|PM25|Asthma symptoms wheeze", US_national_yearly!$D:$AM, 36, FALSE) / VLOOKUP("transport|PM25|Asthma symptoms wheeze", US_national_yearly!$D:$AM, 10, FALSE), 1)</f>
        <v>0.27905391716038491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4.0988034121898654E-3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4.1222961012973257E-3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4.1457887904047851E-3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4.1692814795122463E-3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4.1927741686197057E-3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4.2181472749428925E-3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4.2435203812660801E-3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4.2677634203444658E-3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4.292006459422854E-3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4.3162494985012415E-3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4.3404925375796289E-3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4.3647355766580154E-3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4.3821355132607955E-3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4.3995354498635739E-3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4.4169353864663523E-3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4.4343353230691315E-3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4.4517352596719108E-3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4.4683022920703431E-3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4.4848693244687755E-3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4.5014363568672069E-3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4.5180033892656393E-3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4.5345704216640708E-3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4.5505081181632474E-3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4.5664458146624214E-3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4.5823835111615963E-3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4.5983212076607712E-3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4.6142589041599461E-3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2.0152696537583403E-2</v>
      </c>
      <c r="C13" s="7">
        <f>$B13 * IFERROR(VLOOKUP("transport|PM25|Non-fatal heart attacks", US_national_yearly!$D:$AM, 11, FALSE) / VLOOKUP("transport|PM25|Non-fatal heart attacks", US_national_yearly!$D:$AM, 10, FALSE), 1)</f>
        <v>2.0738588905066878E-2</v>
      </c>
      <c r="D13" s="7">
        <f>$B13 * IFERROR(VLOOKUP("transport|PM25|Non-fatal heart attacks", US_national_yearly!$D:$AM, 12, FALSE) / VLOOKUP("transport|PM25|Non-fatal heart attacks", US_national_yearly!$D:$AM, 10, FALSE), 1)</f>
        <v>2.1324481272550357E-2</v>
      </c>
      <c r="E13" s="7">
        <f>$B13 * IFERROR(VLOOKUP("transport|PM25|Non-fatal heart attacks", US_national_yearly!$D:$AM, 13, FALSE) / VLOOKUP("transport|PM25|Non-fatal heart attacks", US_national_yearly!$D:$AM, 10, FALSE), 1)</f>
        <v>2.1910373640033828E-2</v>
      </c>
      <c r="F13" s="7">
        <f>$B13 * IFERROR(VLOOKUP("transport|PM25|Non-fatal heart attacks", US_national_yearly!$D:$AM, 14, FALSE) / VLOOKUP("transport|PM25|Non-fatal heart attacks", US_national_yearly!$D:$AM, 10, FALSE), 1)</f>
        <v>2.2496266007517311E-2</v>
      </c>
      <c r="G13" s="7">
        <f>$B13 * IFERROR(VLOOKUP("transport|PM25|Non-fatal heart attacks", US_national_yearly!$D:$AM, 15, FALSE) / VLOOKUP("transport|PM25|Non-fatal heart attacks", US_national_yearly!$D:$AM, 10, FALSE), 1)</f>
        <v>2.3048799549451614E-2</v>
      </c>
      <c r="H13" s="7">
        <f>$B13 * IFERROR(VLOOKUP("transport|PM25|Non-fatal heart attacks", US_national_yearly!$D:$AM, 16, FALSE) / VLOOKUP("transport|PM25|Non-fatal heart attacks", US_national_yearly!$D:$AM, 10, FALSE), 1)</f>
        <v>2.3601333091385911E-2</v>
      </c>
      <c r="I13" s="7">
        <f>$B13 * IFERROR(VLOOKUP("transport|PM25|Non-fatal heart attacks", US_national_yearly!$D:$AM, 17, FALSE) / VLOOKUP("transport|PM25|Non-fatal heart attacks", US_national_yearly!$D:$AM, 10, FALSE), 1)</f>
        <v>2.4045386200799254E-2</v>
      </c>
      <c r="J13" s="7">
        <f>$B13 * IFERROR(VLOOKUP("transport|PM25|Non-fatal heart attacks", US_national_yearly!$D:$AM, 18, FALSE) / VLOOKUP("transport|PM25|Non-fatal heart attacks", US_national_yearly!$D:$AM, 10, FALSE), 1)</f>
        <v>2.4489439310212597E-2</v>
      </c>
      <c r="K13" s="7">
        <f>$B13 * IFERROR(VLOOKUP("transport|PM25|Non-fatal heart attacks", US_national_yearly!$D:$AM, 19, FALSE) / VLOOKUP("transport|PM25|Non-fatal heart attacks", US_national_yearly!$D:$AM, 10, FALSE), 1)</f>
        <v>2.4933492419625943E-2</v>
      </c>
      <c r="L13" s="7">
        <f>$B13 * IFERROR(VLOOKUP("transport|PM25|Non-fatal heart attacks", US_national_yearly!$D:$AM, 20, FALSE) / VLOOKUP("transport|PM25|Non-fatal heart attacks", US_national_yearly!$D:$AM, 10, FALSE), 1)</f>
        <v>2.5377545529039286E-2</v>
      </c>
      <c r="M13" s="7">
        <f>$B13 * IFERROR(VLOOKUP("transport|PM25|Non-fatal heart attacks", US_national_yearly!$D:$AM, 21, FALSE) / VLOOKUP("transport|PM25|Non-fatal heart attacks", US_national_yearly!$D:$AM, 10, FALSE), 1)</f>
        <v>2.5821598638452632E-2</v>
      </c>
      <c r="N13" s="7">
        <f>$B13 * IFERROR(VLOOKUP("transport|PM25|Non-fatal heart attacks", US_national_yearly!$D:$AM, 22, FALSE) / VLOOKUP("transport|PM25|Non-fatal heart attacks", US_national_yearly!$D:$AM, 10, FALSE), 1)</f>
        <v>2.6107969045786949E-2</v>
      </c>
      <c r="O13" s="7">
        <f>$B13 * IFERROR(VLOOKUP("transport|PM25|Non-fatal heart attacks", US_national_yearly!$D:$AM, 23, FALSE) / VLOOKUP("transport|PM25|Non-fatal heart attacks", US_national_yearly!$D:$AM, 10, FALSE), 1)</f>
        <v>2.6394339453121266E-2</v>
      </c>
      <c r="P13" s="7">
        <f>$B13 * IFERROR(VLOOKUP("transport|PM25|Non-fatal heart attacks", US_national_yearly!$D:$AM, 24, FALSE) / VLOOKUP("transport|PM25|Non-fatal heart attacks", US_national_yearly!$D:$AM, 10, FALSE), 1)</f>
        <v>2.6680709860455586E-2</v>
      </c>
      <c r="Q13" s="7">
        <f>$B13 * IFERROR(VLOOKUP("transport|PM25|Non-fatal heart attacks", US_national_yearly!$D:$AM, 25, FALSE) / VLOOKUP("transport|PM25|Non-fatal heart attacks", US_national_yearly!$D:$AM, 10, FALSE), 1)</f>
        <v>2.6967080267789902E-2</v>
      </c>
      <c r="R13" s="7">
        <f>$B13 * IFERROR(VLOOKUP("transport|PM25|Non-fatal heart attacks", US_national_yearly!$D:$AM, 26, FALSE) / VLOOKUP("transport|PM25|Non-fatal heart attacks", US_national_yearly!$D:$AM, 10, FALSE), 1)</f>
        <v>2.7253450675124222E-2</v>
      </c>
      <c r="S13" s="7">
        <f>$B13 * IFERROR(VLOOKUP("transport|PM25|Non-fatal heart attacks", US_national_yearly!$D:$AM, 27, FALSE) / VLOOKUP("transport|PM25|Non-fatal heart attacks", US_national_yearly!$D:$AM, 10, FALSE), 1)</f>
        <v>2.7404261513166571E-2</v>
      </c>
      <c r="T13" s="7">
        <f>$B13 * IFERROR(VLOOKUP("transport|PM25|Non-fatal heart attacks", US_national_yearly!$D:$AM, 28, FALSE) / VLOOKUP("transport|PM25|Non-fatal heart attacks", US_national_yearly!$D:$AM, 10, FALSE), 1)</f>
        <v>2.7555072351208926E-2</v>
      </c>
      <c r="U13" s="7">
        <f>$B13 * IFERROR(VLOOKUP("transport|PM25|Non-fatal heart attacks", US_national_yearly!$D:$AM, 29, FALSE) / VLOOKUP("transport|PM25|Non-fatal heart attacks", US_national_yearly!$D:$AM, 10, FALSE), 1)</f>
        <v>2.7705883189251285E-2</v>
      </c>
      <c r="V13" s="7">
        <f>$B13 * IFERROR(VLOOKUP("transport|PM25|Non-fatal heart attacks", US_national_yearly!$D:$AM, 30, FALSE) / VLOOKUP("transport|PM25|Non-fatal heart attacks", US_national_yearly!$D:$AM, 10, FALSE), 1)</f>
        <v>2.7856694027293637E-2</v>
      </c>
      <c r="W13" s="7">
        <f>$B13 * IFERROR(VLOOKUP("transport|PM25|Non-fatal heart attacks", US_national_yearly!$D:$AM, 31, FALSE) / VLOOKUP("transport|PM25|Non-fatal heart attacks", US_national_yearly!$D:$AM, 10, FALSE), 1)</f>
        <v>2.8007504865335993E-2</v>
      </c>
      <c r="X13" s="7">
        <f>$B13 * IFERROR(VLOOKUP("transport|PM25|Non-fatal heart attacks", US_national_yearly!$D:$AM, 32, FALSE) / VLOOKUP("transport|PM25|Non-fatal heart attacks", US_national_yearly!$D:$AM, 10, FALSE), 1)</f>
        <v>2.8121992098209144E-2</v>
      </c>
      <c r="Y13" s="7">
        <f>$B13 * IFERROR(VLOOKUP("transport|PM25|Non-fatal heart attacks", US_national_yearly!$D:$AM, 33, FALSE) / VLOOKUP("transport|PM25|Non-fatal heart attacks", US_national_yearly!$D:$AM, 10, FALSE), 1)</f>
        <v>2.8236479331082302E-2</v>
      </c>
      <c r="Z13" s="7">
        <f>$B13 * IFERROR(VLOOKUP("transport|PM25|Non-fatal heart attacks", US_national_yearly!$D:$AM, 34, FALSE) / VLOOKUP("transport|PM25|Non-fatal heart attacks", US_national_yearly!$D:$AM, 10, FALSE), 1)</f>
        <v>2.8350966563955457E-2</v>
      </c>
      <c r="AA13" s="7">
        <f>$B13 * IFERROR(VLOOKUP("transport|PM25|Non-fatal heart attacks", US_national_yearly!$D:$AM, 35, FALSE) / VLOOKUP("transport|PM25|Non-fatal heart attacks", US_national_yearly!$D:$AM, 10, FALSE), 1)</f>
        <v>2.8465453796828615E-2</v>
      </c>
      <c r="AB13" s="7">
        <f>$B13 * IFERROR(VLOOKUP("transport|PM25|Non-fatal heart attacks", US_national_yearly!$D:$AM, 36, FALSE) / VLOOKUP("transport|PM25|Non-fatal heart attacks", US_national_yearly!$D:$AM, 10, FALSE), 1)</f>
        <v>2.857994102970177E-2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17.418817107998219</v>
      </c>
      <c r="C14" s="7">
        <f>$B14 * IFERROR(VLOOKUP("transport|PM25|Minor restricted activity days", US_national_yearly!$D:$AM, 11, FALSE) / VLOOKUP("transport|PM25|Minor restricted activity days", US_national_yearly!$D:$AM, 10, FALSE), 1)</f>
        <v>17.461355925088867</v>
      </c>
      <c r="D14" s="7">
        <f>$B14 * IFERROR(VLOOKUP("transport|PM25|Minor restricted activity days", US_national_yearly!$D:$AM, 12, FALSE) / VLOOKUP("transport|PM25|Minor restricted activity days", US_national_yearly!$D:$AM, 10, FALSE), 1)</f>
        <v>17.503894742179515</v>
      </c>
      <c r="E14" s="7">
        <f>$B14 * IFERROR(VLOOKUP("transport|PM25|Minor restricted activity days", US_national_yearly!$D:$AM, 13, FALSE) / VLOOKUP("transport|PM25|Minor restricted activity days", US_national_yearly!$D:$AM, 10, FALSE), 1)</f>
        <v>17.546433559270167</v>
      </c>
      <c r="F14" s="7">
        <f>$B14 * IFERROR(VLOOKUP("transport|PM25|Minor restricted activity days", US_national_yearly!$D:$AM, 14, FALSE) / VLOOKUP("transport|PM25|Minor restricted activity days", US_national_yearly!$D:$AM, 10, FALSE), 1)</f>
        <v>17.588972376360811</v>
      </c>
      <c r="G14" s="7">
        <f>$B14 * IFERROR(VLOOKUP("transport|PM25|Minor restricted activity days", US_national_yearly!$D:$AM, 15, FALSE) / VLOOKUP("transport|PM25|Minor restricted activity days", US_national_yearly!$D:$AM, 10, FALSE), 1)</f>
        <v>17.651737127901587</v>
      </c>
      <c r="H14" s="7">
        <f>$B14 * IFERROR(VLOOKUP("transport|PM25|Minor restricted activity days", US_national_yearly!$D:$AM, 16, FALSE) / VLOOKUP("transport|PM25|Minor restricted activity days", US_national_yearly!$D:$AM, 10, FALSE), 1)</f>
        <v>17.714501879442366</v>
      </c>
      <c r="I14" s="7">
        <f>$B14 * IFERROR(VLOOKUP("transport|PM25|Minor restricted activity days", US_national_yearly!$D:$AM, 17, FALSE) / VLOOKUP("transport|PM25|Minor restricted activity days", US_national_yearly!$D:$AM, 10, FALSE), 1)</f>
        <v>17.821800862766565</v>
      </c>
      <c r="J14" s="7">
        <f>$B14 * IFERROR(VLOOKUP("transport|PM25|Minor restricted activity days", US_national_yearly!$D:$AM, 18, FALSE) / VLOOKUP("transport|PM25|Minor restricted activity days", US_national_yearly!$D:$AM, 10, FALSE), 1)</f>
        <v>17.929099846090757</v>
      </c>
      <c r="K14" s="7">
        <f>$B14 * IFERROR(VLOOKUP("transport|PM25|Minor restricted activity days", US_national_yearly!$D:$AM, 19, FALSE) / VLOOKUP("transport|PM25|Minor restricted activity days", US_national_yearly!$D:$AM, 10, FALSE), 1)</f>
        <v>18.036398829414956</v>
      </c>
      <c r="L14" s="7">
        <f>$B14 * IFERROR(VLOOKUP("transport|PM25|Minor restricted activity days", US_national_yearly!$D:$AM, 20, FALSE) / VLOOKUP("transport|PM25|Minor restricted activity days", US_national_yearly!$D:$AM, 10, FALSE), 1)</f>
        <v>18.143697812739148</v>
      </c>
      <c r="M14" s="7">
        <f>$B14 * IFERROR(VLOOKUP("transport|PM25|Minor restricted activity days", US_national_yearly!$D:$AM, 21, FALSE) / VLOOKUP("transport|PM25|Minor restricted activity days", US_national_yearly!$D:$AM, 10, FALSE), 1)</f>
        <v>18.250996796063344</v>
      </c>
      <c r="N14" s="7">
        <f>$B14 * IFERROR(VLOOKUP("transport|PM25|Minor restricted activity days", US_national_yearly!$D:$AM, 22, FALSE) / VLOOKUP("transport|PM25|Minor restricted activity days", US_national_yearly!$D:$AM, 10, FALSE), 1)</f>
        <v>18.397159374540486</v>
      </c>
      <c r="O14" s="7">
        <f>$B14 * IFERROR(VLOOKUP("transport|PM25|Minor restricted activity days", US_national_yearly!$D:$AM, 23, FALSE) / VLOOKUP("transport|PM25|Minor restricted activity days", US_national_yearly!$D:$AM, 10, FALSE), 1)</f>
        <v>18.543321953017625</v>
      </c>
      <c r="P14" s="7">
        <f>$B14 * IFERROR(VLOOKUP("transport|PM25|Minor restricted activity days", US_national_yearly!$D:$AM, 24, FALSE) / VLOOKUP("transport|PM25|Minor restricted activity days", US_national_yearly!$D:$AM, 10, FALSE), 1)</f>
        <v>18.689484531494767</v>
      </c>
      <c r="Q14" s="7">
        <f>$B14 * IFERROR(VLOOKUP("transport|PM25|Minor restricted activity days", US_national_yearly!$D:$AM, 25, FALSE) / VLOOKUP("transport|PM25|Minor restricted activity days", US_national_yearly!$D:$AM, 10, FALSE), 1)</f>
        <v>18.835647109971905</v>
      </c>
      <c r="R14" s="7">
        <f>$B14 * IFERROR(VLOOKUP("transport|PM25|Minor restricted activity days", US_national_yearly!$D:$AM, 26, FALSE) / VLOOKUP("transport|PM25|Minor restricted activity days", US_national_yearly!$D:$AM, 10, FALSE), 1)</f>
        <v>18.981809688449044</v>
      </c>
      <c r="S14" s="7">
        <f>$B14 * IFERROR(VLOOKUP("transport|PM25|Minor restricted activity days", US_national_yearly!$D:$AM, 27, FALSE) / VLOOKUP("transport|PM25|Minor restricted activity days", US_national_yearly!$D:$AM, 10, FALSE), 1)</f>
        <v>19.128978840709692</v>
      </c>
      <c r="T14" s="7">
        <f>$B14 * IFERROR(VLOOKUP("transport|PM25|Minor restricted activity days", US_national_yearly!$D:$AM, 28, FALSE) / VLOOKUP("transport|PM25|Minor restricted activity days", US_national_yearly!$D:$AM, 10, FALSE), 1)</f>
        <v>19.276147992970337</v>
      </c>
      <c r="U14" s="7">
        <f>$B14 * IFERROR(VLOOKUP("transport|PM25|Minor restricted activity days", US_national_yearly!$D:$AM, 29, FALSE) / VLOOKUP("transport|PM25|Minor restricted activity days", US_national_yearly!$D:$AM, 10, FALSE), 1)</f>
        <v>19.423317145230985</v>
      </c>
      <c r="V14" s="7">
        <f>$B14 * IFERROR(VLOOKUP("transport|PM25|Minor restricted activity days", US_national_yearly!$D:$AM, 30, FALSE) / VLOOKUP("transport|PM25|Minor restricted activity days", US_national_yearly!$D:$AM, 10, FALSE), 1)</f>
        <v>19.57048629749163</v>
      </c>
      <c r="W14" s="7">
        <f>$B14 * IFERROR(VLOOKUP("transport|PM25|Minor restricted activity days", US_national_yearly!$D:$AM, 31, FALSE) / VLOOKUP("transport|PM25|Minor restricted activity days", US_national_yearly!$D:$AM, 10, FALSE), 1)</f>
        <v>19.717655449752279</v>
      </c>
      <c r="X14" s="7">
        <f>$B14 * IFERROR(VLOOKUP("transport|PM25|Minor restricted activity days", US_national_yearly!$D:$AM, 32, FALSE) / VLOOKUP("transport|PM25|Minor restricted activity days", US_national_yearly!$D:$AM, 10, FALSE), 1)</f>
        <v>19.845413079412928</v>
      </c>
      <c r="Y14" s="7">
        <f>$B14 * IFERROR(VLOOKUP("transport|PM25|Minor restricted activity days", US_national_yearly!$D:$AM, 33, FALSE) / VLOOKUP("transport|PM25|Minor restricted activity days", US_national_yearly!$D:$AM, 10, FALSE), 1)</f>
        <v>19.973170709073578</v>
      </c>
      <c r="Z14" s="7">
        <f>$B14 * IFERROR(VLOOKUP("transport|PM25|Minor restricted activity days", US_national_yearly!$D:$AM, 34, FALSE) / VLOOKUP("transport|PM25|Minor restricted activity days", US_national_yearly!$D:$AM, 10, FALSE), 1)</f>
        <v>20.100928338734231</v>
      </c>
      <c r="AA14" s="7">
        <f>$B14 * IFERROR(VLOOKUP("transport|PM25|Minor restricted activity days", US_national_yearly!$D:$AM, 35, FALSE) / VLOOKUP("transport|PM25|Minor restricted activity days", US_national_yearly!$D:$AM, 10, FALSE), 1)</f>
        <v>20.228685968394878</v>
      </c>
      <c r="AB14" s="7">
        <f>$B14 * IFERROR(VLOOKUP("transport|PM25|Minor restricted activity days", US_national_yearly!$D:$AM, 36, FALSE) / VLOOKUP("transport|PM25|Minor restricted activity days", US_national_yearly!$D:$AM, 10, FALSE), 1)</f>
        <v>20.356443598055527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2.9637563844483079</v>
      </c>
      <c r="C15" s="7">
        <f>$B15 * IFERROR(VLOOKUP("transport|PM25|Work loss days", US_national_yearly!$D:$AM, 11, FALSE) / VLOOKUP("transport|PM25|Work loss days", US_national_yearly!$D:$AM, 10, FALSE), 1)</f>
        <v>2.9729429617816034</v>
      </c>
      <c r="D15" s="7">
        <f>$B15 * IFERROR(VLOOKUP("transport|PM25|Work loss days", US_national_yearly!$D:$AM, 12, FALSE) / VLOOKUP("transport|PM25|Work loss days", US_national_yearly!$D:$AM, 10, FALSE), 1)</f>
        <v>2.9821295391148999</v>
      </c>
      <c r="E15" s="7">
        <f>$B15 * IFERROR(VLOOKUP("transport|PM25|Work loss days", US_national_yearly!$D:$AM, 13, FALSE) / VLOOKUP("transport|PM25|Work loss days", US_national_yearly!$D:$AM, 10, FALSE), 1)</f>
        <v>2.9913161164481954</v>
      </c>
      <c r="F15" s="7">
        <f>$B15 * IFERROR(VLOOKUP("transport|PM25|Work loss days", US_national_yearly!$D:$AM, 14, FALSE) / VLOOKUP("transport|PM25|Work loss days", US_national_yearly!$D:$AM, 10, FALSE), 1)</f>
        <v>3.0005026937814914</v>
      </c>
      <c r="G15" s="7">
        <f>$B15 * IFERROR(VLOOKUP("transport|PM25|Work loss days", US_national_yearly!$D:$AM, 15, FALSE) / VLOOKUP("transport|PM25|Work loss days", US_national_yearly!$D:$AM, 10, FALSE), 1)</f>
        <v>3.0125468828697524</v>
      </c>
      <c r="H15" s="7">
        <f>$B15 * IFERROR(VLOOKUP("transport|PM25|Work loss days", US_national_yearly!$D:$AM, 16, FALSE) / VLOOKUP("transport|PM25|Work loss days", US_national_yearly!$D:$AM, 10, FALSE), 1)</f>
        <v>3.0245910719580142</v>
      </c>
      <c r="I15" s="7">
        <f>$B15 * IFERROR(VLOOKUP("transport|PM25|Work loss days", US_national_yearly!$D:$AM, 17, FALSE) / VLOOKUP("transport|PM25|Work loss days", US_national_yearly!$D:$AM, 10, FALSE), 1)</f>
        <v>3.0423274650695067</v>
      </c>
      <c r="J15" s="7">
        <f>$B15 * IFERROR(VLOOKUP("transport|PM25|Work loss days", US_national_yearly!$D:$AM, 18, FALSE) / VLOOKUP("transport|PM25|Work loss days", US_national_yearly!$D:$AM, 10, FALSE), 1)</f>
        <v>3.0600638581809987</v>
      </c>
      <c r="K15" s="7">
        <f>$B15 * IFERROR(VLOOKUP("transport|PM25|Work loss days", US_national_yearly!$D:$AM, 19, FALSE) / VLOOKUP("transport|PM25|Work loss days", US_national_yearly!$D:$AM, 10, FALSE), 1)</f>
        <v>3.0778002512924911</v>
      </c>
      <c r="L15" s="7">
        <f>$B15 * IFERROR(VLOOKUP("transport|PM25|Work loss days", US_national_yearly!$D:$AM, 20, FALSE) / VLOOKUP("transport|PM25|Work loss days", US_national_yearly!$D:$AM, 10, FALSE), 1)</f>
        <v>3.0955366444039831</v>
      </c>
      <c r="M15" s="7">
        <f>$B15 * IFERROR(VLOOKUP("transport|PM25|Work loss days", US_national_yearly!$D:$AM, 21, FALSE) / VLOOKUP("transport|PM25|Work loss days", US_national_yearly!$D:$AM, 10, FALSE), 1)</f>
        <v>3.1132730375154756</v>
      </c>
      <c r="N15" s="7">
        <f>$B15 * IFERROR(VLOOKUP("transport|PM25|Work loss days", US_national_yearly!$D:$AM, 22, FALSE) / VLOOKUP("transport|PM25|Work loss days", US_national_yearly!$D:$AM, 10, FALSE), 1)</f>
        <v>3.1355956306926185</v>
      </c>
      <c r="O15" s="7">
        <f>$B15 * IFERROR(VLOOKUP("transport|PM25|Work loss days", US_national_yearly!$D:$AM, 23, FALSE) / VLOOKUP("transport|PM25|Work loss days", US_national_yearly!$D:$AM, 10, FALSE), 1)</f>
        <v>3.157918223869761</v>
      </c>
      <c r="P15" s="7">
        <f>$B15 * IFERROR(VLOOKUP("transport|PM25|Work loss days", US_national_yearly!$D:$AM, 24, FALSE) / VLOOKUP("transport|PM25|Work loss days", US_national_yearly!$D:$AM, 10, FALSE), 1)</f>
        <v>3.1802408170469043</v>
      </c>
      <c r="Q15" s="7">
        <f>$B15 * IFERROR(VLOOKUP("transport|PM25|Work loss days", US_national_yearly!$D:$AM, 25, FALSE) / VLOOKUP("transport|PM25|Work loss days", US_national_yearly!$D:$AM, 10, FALSE), 1)</f>
        <v>3.2025634102240468</v>
      </c>
      <c r="R15" s="7">
        <f>$B15 * IFERROR(VLOOKUP("transport|PM25|Work loss days", US_national_yearly!$D:$AM, 26, FALSE) / VLOOKUP("transport|PM25|Work loss days", US_national_yearly!$D:$AM, 10, FALSE), 1)</f>
        <v>3.2248860034011897</v>
      </c>
      <c r="S15" s="7">
        <f>$B15 * IFERROR(VLOOKUP("transport|PM25|Work loss days", US_national_yearly!$D:$AM, 27, FALSE) / VLOOKUP("transport|PM25|Work loss days", US_national_yearly!$D:$AM, 10, FALSE), 1)</f>
        <v>3.2495757444836944</v>
      </c>
      <c r="T15" s="7">
        <f>$B15 * IFERROR(VLOOKUP("transport|PM25|Work loss days", US_national_yearly!$D:$AM, 28, FALSE) / VLOOKUP("transport|PM25|Work loss days", US_national_yearly!$D:$AM, 10, FALSE), 1)</f>
        <v>3.2742654855661999</v>
      </c>
      <c r="U15" s="7">
        <f>$B15 * IFERROR(VLOOKUP("transport|PM25|Work loss days", US_national_yearly!$D:$AM, 29, FALSE) / VLOOKUP("transport|PM25|Work loss days", US_national_yearly!$D:$AM, 10, FALSE), 1)</f>
        <v>3.2989552266487037</v>
      </c>
      <c r="V15" s="7">
        <f>$B15 * IFERROR(VLOOKUP("transport|PM25|Work loss days", US_national_yearly!$D:$AM, 30, FALSE) / VLOOKUP("transport|PM25|Work loss days", US_national_yearly!$D:$AM, 10, FALSE), 1)</f>
        <v>3.3236449677312092</v>
      </c>
      <c r="W15" s="7">
        <f>$B15 * IFERROR(VLOOKUP("transport|PM25|Work loss days", US_national_yearly!$D:$AM, 31, FALSE) / VLOOKUP("transport|PM25|Work loss days", US_national_yearly!$D:$AM, 10, FALSE), 1)</f>
        <v>3.3483347088137139</v>
      </c>
      <c r="X15" s="7">
        <f>$B15 * IFERROR(VLOOKUP("transport|PM25|Work loss days", US_national_yearly!$D:$AM, 32, FALSE) / VLOOKUP("transport|PM25|Work loss days", US_national_yearly!$D:$AM, 10, FALSE), 1)</f>
        <v>3.3702411680665012</v>
      </c>
      <c r="Y15" s="7">
        <f>$B15 * IFERROR(VLOOKUP("transport|PM25|Work loss days", US_national_yearly!$D:$AM, 33, FALSE) / VLOOKUP("transport|PM25|Work loss days", US_national_yearly!$D:$AM, 10, FALSE), 1)</f>
        <v>3.3921476273192885</v>
      </c>
      <c r="Z15" s="7">
        <f>$B15 * IFERROR(VLOOKUP("transport|PM25|Work loss days", US_national_yearly!$D:$AM, 34, FALSE) / VLOOKUP("transport|PM25|Work loss days", US_national_yearly!$D:$AM, 10, FALSE), 1)</f>
        <v>3.4140540865720768</v>
      </c>
      <c r="AA15" s="7">
        <f>$B15 * IFERROR(VLOOKUP("transport|PM25|Work loss days", US_national_yearly!$D:$AM, 35, FALSE) / VLOOKUP("transport|PM25|Work loss days", US_national_yearly!$D:$AM, 10, FALSE), 1)</f>
        <v>3.435960545824865</v>
      </c>
      <c r="AB15" s="7">
        <f>$B15 * IFERROR(VLOOKUP("transport|PM25|Work loss days", US_national_yearly!$D:$AM, 36, FALSE) / VLOOKUP("transport|PM25|Work loss days", US_national_yearly!$D:$AM, 10, FALSE), 1)</f>
        <v>3.4578670050776523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4.9831453795558681E-3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5.1320452383282677E-3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5.2809450971006673E-3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5.4298449558730678E-3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5.5787448146454683E-3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5.7213642818515027E-3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5.8639837490575396E-3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5.985959747534777E-3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6.1079357460120127E-3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6.2299117444892483E-3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6.3518877429664866E-3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6.4738637414437231E-3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6.5551879245031516E-3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6.636512107562581E-3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6.7178362906220096E-3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6.799160473681439E-3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6.8804846567408675E-3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6.923512742091951E-3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6.9665408274430327E-3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7.0095689127941145E-3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7.0525969981451962E-3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7.0956250834962788E-3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7.1245921565447762E-3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7.1535592295932744E-3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7.1825263026417717E-3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7.2114933756902699E-3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7.2404604487387673E-3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1.4878443637158093E-3</v>
      </c>
      <c r="C2" s="7">
        <f>$B2 * IFERROR(VLOOKUP("transport|NOx|Premature mortality", US_national_yearly!$D:$AM, 11, FALSE) / VLOOKUP("transport|NOx|Premature mortality", US_national_yearly!$D:$AM, 10, FALSE), 1)</f>
        <v>1.5096982825849893E-3</v>
      </c>
      <c r="D2" s="7">
        <f>$B2 * IFERROR(VLOOKUP("transport|NOx|Premature mortality", US_national_yearly!$D:$AM, 12, FALSE) / VLOOKUP("transport|NOx|Premature mortality", US_national_yearly!$D:$AM, 10, FALSE), 1)</f>
        <v>1.5315522014541691E-3</v>
      </c>
      <c r="E2" s="7">
        <f>$B2 * IFERROR(VLOOKUP("transport|NOx|Premature mortality", US_national_yearly!$D:$AM, 13, FALSE) / VLOOKUP("transport|NOx|Premature mortality", US_national_yearly!$D:$AM, 10, FALSE), 1)</f>
        <v>1.5534061203233492E-3</v>
      </c>
      <c r="F2" s="7">
        <f>$B2 * IFERROR(VLOOKUP("transport|NOx|Premature mortality", US_national_yearly!$D:$AM, 14, FALSE) / VLOOKUP("transport|NOx|Premature mortality", US_national_yearly!$D:$AM, 10, FALSE), 1)</f>
        <v>1.5752600391925292E-3</v>
      </c>
      <c r="G2" s="7">
        <f>$B2 * IFERROR(VLOOKUP("transport|NOx|Premature mortality", US_national_yearly!$D:$AM, 15, FALSE) / VLOOKUP("transport|NOx|Premature mortality", US_national_yearly!$D:$AM, 10, FALSE), 1)</f>
        <v>1.6145148442769563E-3</v>
      </c>
      <c r="H2" s="7">
        <f>$B2 * IFERROR(VLOOKUP("transport|NOx|Premature mortality", US_national_yearly!$D:$AM, 16, FALSE) / VLOOKUP("transport|NOx|Premature mortality", US_national_yearly!$D:$AM, 10, FALSE), 1)</f>
        <v>1.6537696493613841E-3</v>
      </c>
      <c r="I2" s="7">
        <f>$B2 * IFERROR(VLOOKUP("transport|NOx|Premature mortality", US_national_yearly!$D:$AM, 17, FALSE) / VLOOKUP("transport|NOx|Premature mortality", US_national_yearly!$D:$AM, 10, FALSE), 1)</f>
        <v>1.6791093706534515E-3</v>
      </c>
      <c r="J2" s="7">
        <f>$B2 * IFERROR(VLOOKUP("transport|NOx|Premature mortality", US_national_yearly!$D:$AM, 18, FALSE) / VLOOKUP("transport|NOx|Premature mortality", US_national_yearly!$D:$AM, 10, FALSE), 1)</f>
        <v>1.7044490919455191E-3</v>
      </c>
      <c r="K2" s="7">
        <f>$B2 * IFERROR(VLOOKUP("transport|NOx|Premature mortality", US_national_yearly!$D:$AM, 19, FALSE) / VLOOKUP("transport|NOx|Premature mortality", US_national_yearly!$D:$AM, 10, FALSE), 1)</f>
        <v>1.7297888132375863E-3</v>
      </c>
      <c r="L2" s="7">
        <f>$B2 * IFERROR(VLOOKUP("transport|NOx|Premature mortality", US_national_yearly!$D:$AM, 20, FALSE) / VLOOKUP("transport|NOx|Premature mortality", US_national_yearly!$D:$AM, 10, FALSE), 1)</f>
        <v>1.7551285345296537E-3</v>
      </c>
      <c r="M2" s="7">
        <f>$B2 * IFERROR(VLOOKUP("transport|NOx|Premature mortality", US_national_yearly!$D:$AM, 21, FALSE) / VLOOKUP("transport|NOx|Premature mortality", US_national_yearly!$D:$AM, 10, FALSE), 1)</f>
        <v>1.7804682558217213E-3</v>
      </c>
      <c r="N2" s="7">
        <f>$B2 * IFERROR(VLOOKUP("transport|NOx|Premature mortality", US_national_yearly!$D:$AM, 22, FALSE) / VLOOKUP("transport|NOx|Premature mortality", US_national_yearly!$D:$AM, 10, FALSE), 1)</f>
        <v>1.7992398228456109E-3</v>
      </c>
      <c r="O2" s="7">
        <f>$B2 * IFERROR(VLOOKUP("transport|NOx|Premature mortality", US_national_yearly!$D:$AM, 23, FALSE) / VLOOKUP("transport|NOx|Premature mortality", US_national_yearly!$D:$AM, 10, FALSE), 1)</f>
        <v>1.8180113898695006E-3</v>
      </c>
      <c r="P2" s="7">
        <f>$B2 * IFERROR(VLOOKUP("transport|NOx|Premature mortality", US_national_yearly!$D:$AM, 24, FALSE) / VLOOKUP("transport|NOx|Premature mortality", US_national_yearly!$D:$AM, 10, FALSE), 1)</f>
        <v>1.8367829568933902E-3</v>
      </c>
      <c r="Q2" s="7">
        <f>$B2 * IFERROR(VLOOKUP("transport|NOx|Premature mortality", US_national_yearly!$D:$AM, 25, FALSE) / VLOOKUP("transport|NOx|Premature mortality", US_national_yearly!$D:$AM, 10, FALSE), 1)</f>
        <v>1.8555545239172801E-3</v>
      </c>
      <c r="R2" s="7">
        <f>$B2 * IFERROR(VLOOKUP("transport|NOx|Premature mortality", US_national_yearly!$D:$AM, 26, FALSE) / VLOOKUP("transport|NOx|Premature mortality", US_national_yearly!$D:$AM, 10, FALSE), 1)</f>
        <v>1.8743260909411699E-3</v>
      </c>
      <c r="S2" s="7">
        <f>$B2 * IFERROR(VLOOKUP("transport|NOx|Premature mortality", US_national_yearly!$D:$AM, 27, FALSE) / VLOOKUP("transport|NOx|Premature mortality", US_national_yearly!$D:$AM, 10, FALSE), 1)</f>
        <v>1.8828579571806957E-3</v>
      </c>
      <c r="T2" s="7">
        <f>$B2 * IFERROR(VLOOKUP("transport|NOx|Premature mortality", US_national_yearly!$D:$AM, 28, FALSE) / VLOOKUP("transport|NOx|Premature mortality", US_national_yearly!$D:$AM, 10, FALSE), 1)</f>
        <v>1.8913898234202218E-3</v>
      </c>
      <c r="U2" s="7">
        <f>$B2 * IFERROR(VLOOKUP("transport|NOx|Premature mortality", US_national_yearly!$D:$AM, 29, FALSE) / VLOOKUP("transport|NOx|Premature mortality", US_national_yearly!$D:$AM, 10, FALSE), 1)</f>
        <v>1.8999216896597474E-3</v>
      </c>
      <c r="V2" s="7">
        <f>$B2 * IFERROR(VLOOKUP("transport|NOx|Premature mortality", US_national_yearly!$D:$AM, 30, FALSE) / VLOOKUP("transport|NOx|Premature mortality", US_national_yearly!$D:$AM, 10, FALSE), 1)</f>
        <v>1.9084535558992733E-3</v>
      </c>
      <c r="W2" s="7">
        <f>$B2 * IFERROR(VLOOKUP("transport|NOx|Premature mortality", US_national_yearly!$D:$AM, 31, FALSE) / VLOOKUP("transport|NOx|Premature mortality", US_national_yearly!$D:$AM, 10, FALSE), 1)</f>
        <v>1.9169854221387994E-3</v>
      </c>
      <c r="X2" s="7">
        <f>$B2 * IFERROR(VLOOKUP("transport|NOx|Premature mortality", US_national_yearly!$D:$AM, 32, FALSE) / VLOOKUP("transport|NOx|Premature mortality", US_national_yearly!$D:$AM, 10, FALSE), 1)</f>
        <v>1.9172809610880062E-3</v>
      </c>
      <c r="Y2" s="7">
        <f>$B2 * IFERROR(VLOOKUP("transport|NOx|Premature mortality", US_national_yearly!$D:$AM, 33, FALSE) / VLOOKUP("transport|NOx|Premature mortality", US_national_yearly!$D:$AM, 10, FALSE), 1)</f>
        <v>1.9175765000372129E-3</v>
      </c>
      <c r="Z2" s="7">
        <f>$B2 * IFERROR(VLOOKUP("transport|NOx|Premature mortality", US_national_yearly!$D:$AM, 34, FALSE) / VLOOKUP("transport|NOx|Premature mortality", US_national_yearly!$D:$AM, 10, FALSE), 1)</f>
        <v>1.9178720389864193E-3</v>
      </c>
      <c r="AA2" s="7">
        <f>$B2 * IFERROR(VLOOKUP("transport|NOx|Premature mortality", US_national_yearly!$D:$AM, 35, FALSE) / VLOOKUP("transport|NOx|Premature mortality", US_national_yearly!$D:$AM, 10, FALSE), 1)</f>
        <v>1.9181675779356266E-3</v>
      </c>
      <c r="AB2" s="7">
        <f>$B2 * IFERROR(VLOOKUP("transport|NOx|Premature mortality", US_national_yearly!$D:$AM, 36, FALSE) / VLOOKUP("transport|NOx|Premature mortality", US_national_yearly!$D:$AM, 10, FALSE), 1)</f>
        <v>1.9184631168848332E-3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4.173038518475021E-6</v>
      </c>
      <c r="C3" s="7">
        <f>$B3 * IFERROR(VLOOKUP("transport|NOx|Infant mortality", US_national_yearly!$D:$AM, 11, FALSE) / VLOOKUP("transport|NOx|Infant mortality", US_national_yearly!$D:$AM, 10, FALSE), 1)</f>
        <v>4.1332796930062704E-6</v>
      </c>
      <c r="D3" s="7">
        <f>$B3 * IFERROR(VLOOKUP("transport|NOx|Infant mortality", US_national_yearly!$D:$AM, 12, FALSE) / VLOOKUP("transport|NOx|Infant mortality", US_national_yearly!$D:$AM, 10, FALSE), 1)</f>
        <v>4.0935208675375189E-6</v>
      </c>
      <c r="E3" s="7">
        <f>$B3 * IFERROR(VLOOKUP("transport|NOx|Infant mortality", US_national_yearly!$D:$AM, 13, FALSE) / VLOOKUP("transport|NOx|Infant mortality", US_national_yearly!$D:$AM, 10, FALSE), 1)</f>
        <v>4.0537620420687674E-6</v>
      </c>
      <c r="F3" s="7">
        <f>$B3 * IFERROR(VLOOKUP("transport|NOx|Infant mortality", US_national_yearly!$D:$AM, 14, FALSE) / VLOOKUP("transport|NOx|Infant mortality", US_national_yearly!$D:$AM, 10, FALSE), 1)</f>
        <v>4.0140032166000168E-6</v>
      </c>
      <c r="G3" s="7">
        <f>$B3 * IFERROR(VLOOKUP("transport|NOx|Infant mortality", US_national_yearly!$D:$AM, 15, FALSE) / VLOOKUP("transport|NOx|Infant mortality", US_national_yearly!$D:$AM, 10, FALSE), 1)</f>
        <v>2.6646935506022631E-6</v>
      </c>
      <c r="H3" s="7">
        <f>$B3 * IFERROR(VLOOKUP("transport|NOx|Infant mortality", US_national_yearly!$D:$AM, 16, FALSE) / VLOOKUP("transport|NOx|Infant mortality", US_national_yearly!$D:$AM, 10, FALSE), 1)</f>
        <v>1.3153838846045098E-6</v>
      </c>
      <c r="I3" s="7">
        <f>$B3 * IFERROR(VLOOKUP("transport|NOx|Infant mortality", US_national_yearly!$D:$AM, 17, FALSE) / VLOOKUP("transport|NOx|Infant mortality", US_national_yearly!$D:$AM, 10, FALSE), 1)</f>
        <v>1.3060828646067049E-6</v>
      </c>
      <c r="J3" s="7">
        <f>$B3 * IFERROR(VLOOKUP("transport|NOx|Infant mortality", US_national_yearly!$D:$AM, 18, FALSE) / VLOOKUP("transport|NOx|Infant mortality", US_national_yearly!$D:$AM, 10, FALSE), 1)</f>
        <v>1.2967818446089E-6</v>
      </c>
      <c r="K3" s="7">
        <f>$B3 * IFERROR(VLOOKUP("transport|NOx|Infant mortality", US_national_yearly!$D:$AM, 19, FALSE) / VLOOKUP("transport|NOx|Infant mortality", US_national_yearly!$D:$AM, 10, FALSE), 1)</f>
        <v>1.2874808246110952E-6</v>
      </c>
      <c r="L3" s="7">
        <f>$B3 * IFERROR(VLOOKUP("transport|NOx|Infant mortality", US_national_yearly!$D:$AM, 20, FALSE) / VLOOKUP("transport|NOx|Infant mortality", US_national_yearly!$D:$AM, 10, FALSE), 1)</f>
        <v>1.2781798046132905E-6</v>
      </c>
      <c r="M3" s="7">
        <f>$B3 * IFERROR(VLOOKUP("transport|NOx|Infant mortality", US_national_yearly!$D:$AM, 21, FALSE) / VLOOKUP("transport|NOx|Infant mortality", US_national_yearly!$D:$AM, 10, FALSE), 1)</f>
        <v>1.2688787846154854E-6</v>
      </c>
      <c r="N3" s="7">
        <f>$B3 * IFERROR(VLOOKUP("transport|NOx|Infant mortality", US_national_yearly!$D:$AM, 22, FALSE) / VLOOKUP("transport|NOx|Infant mortality", US_national_yearly!$D:$AM, 10, FALSE), 1)</f>
        <v>1.2627051564396983E-6</v>
      </c>
      <c r="O3" s="7">
        <f>$B3 * IFERROR(VLOOKUP("transport|NOx|Infant mortality", US_national_yearly!$D:$AM, 23, FALSE) / VLOOKUP("transport|NOx|Infant mortality", US_national_yearly!$D:$AM, 10, FALSE), 1)</f>
        <v>1.2565315282639111E-6</v>
      </c>
      <c r="P3" s="7">
        <f>$B3 * IFERROR(VLOOKUP("transport|NOx|Infant mortality", US_national_yearly!$D:$AM, 24, FALSE) / VLOOKUP("transport|NOx|Infant mortality", US_national_yearly!$D:$AM, 10, FALSE), 1)</f>
        <v>1.2503579000881239E-6</v>
      </c>
      <c r="Q3" s="7">
        <f>$B3 * IFERROR(VLOOKUP("transport|NOx|Infant mortality", US_national_yearly!$D:$AM, 25, FALSE) / VLOOKUP("transport|NOx|Infant mortality", US_national_yearly!$D:$AM, 10, FALSE), 1)</f>
        <v>1.2441842719123365E-6</v>
      </c>
      <c r="R3" s="7">
        <f>$B3 * IFERROR(VLOOKUP("transport|NOx|Infant mortality", US_national_yearly!$D:$AM, 26, FALSE) / VLOOKUP("transport|NOx|Infant mortality", US_national_yearly!$D:$AM, 10, FALSE), 1)</f>
        <v>1.2380106437365494E-6</v>
      </c>
      <c r="S3" s="7">
        <f>$B3 * IFERROR(VLOOKUP("transport|NOx|Infant mortality", US_national_yearly!$D:$AM, 27, FALSE) / VLOOKUP("transport|NOx|Infant mortality", US_national_yearly!$D:$AM, 10, FALSE), 1)</f>
        <v>1.2305889609152819E-6</v>
      </c>
      <c r="T3" s="7">
        <f>$B3 * IFERROR(VLOOKUP("transport|NOx|Infant mortality", US_national_yearly!$D:$AM, 28, FALSE) / VLOOKUP("transport|NOx|Infant mortality", US_national_yearly!$D:$AM, 10, FALSE), 1)</f>
        <v>1.2231672780940144E-6</v>
      </c>
      <c r="U3" s="7">
        <f>$B3 * IFERROR(VLOOKUP("transport|NOx|Infant mortality", US_national_yearly!$D:$AM, 29, FALSE) / VLOOKUP("transport|NOx|Infant mortality", US_national_yearly!$D:$AM, 10, FALSE), 1)</f>
        <v>1.2157455952727469E-6</v>
      </c>
      <c r="V3" s="7">
        <f>$B3 * IFERROR(VLOOKUP("transport|NOx|Infant mortality", US_national_yearly!$D:$AM, 30, FALSE) / VLOOKUP("transport|NOx|Infant mortality", US_national_yearly!$D:$AM, 10, FALSE), 1)</f>
        <v>1.2083239124514796E-6</v>
      </c>
      <c r="W3" s="7">
        <f>$B3 * IFERROR(VLOOKUP("transport|NOx|Infant mortality", US_national_yearly!$D:$AM, 31, FALSE) / VLOOKUP("transport|NOx|Infant mortality", US_national_yearly!$D:$AM, 10, FALSE), 1)</f>
        <v>1.2009022296302122E-6</v>
      </c>
      <c r="X3" s="7">
        <f>$B3 * IFERROR(VLOOKUP("transport|NOx|Infant mortality", US_national_yearly!$D:$AM, 32, FALSE) / VLOOKUP("transport|NOx|Infant mortality", US_national_yearly!$D:$AM, 10, FALSE), 1)</f>
        <v>1.193042308624557E-6</v>
      </c>
      <c r="Y3" s="7">
        <f>$B3 * IFERROR(VLOOKUP("transport|NOx|Infant mortality", US_national_yearly!$D:$AM, 33, FALSE) / VLOOKUP("transport|NOx|Infant mortality", US_national_yearly!$D:$AM, 10, FALSE), 1)</f>
        <v>1.1851823876189014E-6</v>
      </c>
      <c r="Z3" s="7">
        <f>$B3 * IFERROR(VLOOKUP("transport|NOx|Infant mortality", US_national_yearly!$D:$AM, 34, FALSE) / VLOOKUP("transport|NOx|Infant mortality", US_national_yearly!$D:$AM, 10, FALSE), 1)</f>
        <v>1.177322466613246E-6</v>
      </c>
      <c r="AA3" s="7">
        <f>$B3 * IFERROR(VLOOKUP("transport|NOx|Infant mortality", US_national_yearly!$D:$AM, 35, FALSE) / VLOOKUP("transport|NOx|Infant mortality", US_national_yearly!$D:$AM, 10, FALSE), 1)</f>
        <v>1.1694625456075907E-6</v>
      </c>
      <c r="AB3" s="7">
        <f>$B3 * IFERROR(VLOOKUP("transport|NOx|Infant mortality", US_national_yearly!$D:$AM, 36, FALSE) / VLOOKUP("transport|NOx|Infant mortality", US_national_yearly!$D:$AM, 10, FALSE), 1)</f>
        <v>1.1616026246019353E-6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3.8915593761244178E-3</v>
      </c>
      <c r="C6" s="7">
        <f>$B6 * IFERROR(VLOOKUP("transport|NOx|Asthma symptoms cough", US_national_yearly!$D:$AM, 11, FALSE) / VLOOKUP("transport|NOx|Asthma symptoms cough", US_national_yearly!$D:$AM, 10, FALSE), 1)</f>
        <v>3.9447633552437637E-3</v>
      </c>
      <c r="D6" s="7">
        <f>$B6 * IFERROR(VLOOKUP("transport|NOx|Asthma symptoms cough", US_national_yearly!$D:$AM, 12, FALSE) / VLOOKUP("transport|NOx|Asthma symptoms cough", US_national_yearly!$D:$AM, 10, FALSE), 1)</f>
        <v>3.9979673343631091E-3</v>
      </c>
      <c r="E6" s="7">
        <f>$B6 * IFERROR(VLOOKUP("transport|NOx|Asthma symptoms cough", US_national_yearly!$D:$AM, 13, FALSE) / VLOOKUP("transport|NOx|Asthma symptoms cough", US_national_yearly!$D:$AM, 10, FALSE), 1)</f>
        <v>4.0511713134824545E-3</v>
      </c>
      <c r="F6" s="7">
        <f>$B6 * IFERROR(VLOOKUP("transport|NOx|Asthma symptoms cough", US_national_yearly!$D:$AM, 14, FALSE) / VLOOKUP("transport|NOx|Asthma symptoms cough", US_national_yearly!$D:$AM, 10, FALSE), 1)</f>
        <v>4.1043752926017999E-3</v>
      </c>
      <c r="G6" s="7">
        <f>$B6 * IFERROR(VLOOKUP("transport|NOx|Asthma symptoms cough", US_national_yearly!$D:$AM, 15, FALSE) / VLOOKUP("transport|NOx|Asthma symptoms cough", US_national_yearly!$D:$AM, 10, FALSE), 1)</f>
        <v>4.1468512351748041E-3</v>
      </c>
      <c r="H6" s="7">
        <f>$B6 * IFERROR(VLOOKUP("transport|NOx|Asthma symptoms cough", US_national_yearly!$D:$AM, 16, FALSE) / VLOOKUP("transport|NOx|Asthma symptoms cough", US_national_yearly!$D:$AM, 10, FALSE), 1)</f>
        <v>4.1893271777478092E-3</v>
      </c>
      <c r="I6" s="7">
        <f>$B6 * IFERROR(VLOOKUP("transport|NOx|Asthma symptoms cough", US_national_yearly!$D:$AM, 17, FALSE) / VLOOKUP("transport|NOx|Asthma symptoms cough", US_national_yearly!$D:$AM, 10, FALSE), 1)</f>
        <v>4.2039467899559254E-3</v>
      </c>
      <c r="J6" s="7">
        <f>$B6 * IFERROR(VLOOKUP("transport|NOx|Asthma symptoms cough", US_national_yearly!$D:$AM, 18, FALSE) / VLOOKUP("transport|NOx|Asthma symptoms cough", US_national_yearly!$D:$AM, 10, FALSE), 1)</f>
        <v>4.2185664021640434E-3</v>
      </c>
      <c r="K6" s="7">
        <f>$B6 * IFERROR(VLOOKUP("transport|NOx|Asthma symptoms cough", US_national_yearly!$D:$AM, 19, FALSE) / VLOOKUP("transport|NOx|Asthma symptoms cough", US_national_yearly!$D:$AM, 10, FALSE), 1)</f>
        <v>4.2331860143721596E-3</v>
      </c>
      <c r="L6" s="7">
        <f>$B6 * IFERROR(VLOOKUP("transport|NOx|Asthma symptoms cough", US_national_yearly!$D:$AM, 20, FALSE) / VLOOKUP("transport|NOx|Asthma symptoms cough", US_national_yearly!$D:$AM, 10, FALSE), 1)</f>
        <v>4.2478056265802758E-3</v>
      </c>
      <c r="M6" s="7">
        <f>$B6 * IFERROR(VLOOKUP("transport|NOx|Asthma symptoms cough", US_national_yearly!$D:$AM, 21, FALSE) / VLOOKUP("transport|NOx|Asthma symptoms cough", US_national_yearly!$D:$AM, 10, FALSE), 1)</f>
        <v>4.2624252387883929E-3</v>
      </c>
      <c r="N6" s="7">
        <f>$B6 * IFERROR(VLOOKUP("transport|NOx|Asthma symptoms cough", US_national_yearly!$D:$AM, 22, FALSE) / VLOOKUP("transport|NOx|Asthma symptoms cough", US_national_yearly!$D:$AM, 10, FALSE), 1)</f>
        <v>4.2793777678263078E-3</v>
      </c>
      <c r="O6" s="7">
        <f>$B6 * IFERROR(VLOOKUP("transport|NOx|Asthma symptoms cough", US_national_yearly!$D:$AM, 23, FALSE) / VLOOKUP("transport|NOx|Asthma symptoms cough", US_national_yearly!$D:$AM, 10, FALSE), 1)</f>
        <v>4.2963302968642234E-3</v>
      </c>
      <c r="P6" s="7">
        <f>$B6 * IFERROR(VLOOKUP("transport|NOx|Asthma symptoms cough", US_national_yearly!$D:$AM, 24, FALSE) / VLOOKUP("transport|NOx|Asthma symptoms cough", US_national_yearly!$D:$AM, 10, FALSE), 1)</f>
        <v>4.3132828259021382E-3</v>
      </c>
      <c r="Q6" s="7">
        <f>$B6 * IFERROR(VLOOKUP("transport|NOx|Asthma symptoms cough", US_national_yearly!$D:$AM, 25, FALSE) / VLOOKUP("transport|NOx|Asthma symptoms cough", US_national_yearly!$D:$AM, 10, FALSE), 1)</f>
        <v>4.3302353549400548E-3</v>
      </c>
      <c r="R6" s="7">
        <f>$B6 * IFERROR(VLOOKUP("transport|NOx|Asthma symptoms cough", US_national_yearly!$D:$AM, 26, FALSE) / VLOOKUP("transport|NOx|Asthma symptoms cough", US_national_yearly!$D:$AM, 10, FALSE), 1)</f>
        <v>4.3471878839779696E-3</v>
      </c>
      <c r="S6" s="7">
        <f>$B6 * IFERROR(VLOOKUP("transport|NOx|Asthma symptoms cough", US_national_yearly!$D:$AM, 27, FALSE) / VLOOKUP("transport|NOx|Asthma symptoms cough", US_national_yearly!$D:$AM, 10, FALSE), 1)</f>
        <v>4.3693332862419767E-3</v>
      </c>
      <c r="T6" s="7">
        <f>$B6 * IFERROR(VLOOKUP("transport|NOx|Asthma symptoms cough", US_national_yearly!$D:$AM, 28, FALSE) / VLOOKUP("transport|NOx|Asthma symptoms cough", US_national_yearly!$D:$AM, 10, FALSE), 1)</f>
        <v>4.391478688505983E-3</v>
      </c>
      <c r="U6" s="7">
        <f>$B6 * IFERROR(VLOOKUP("transport|NOx|Asthma symptoms cough", US_national_yearly!$D:$AM, 29, FALSE) / VLOOKUP("transport|NOx|Asthma symptoms cough", US_national_yearly!$D:$AM, 10, FALSE), 1)</f>
        <v>4.4136240907699884E-3</v>
      </c>
      <c r="V6" s="7">
        <f>$B6 * IFERROR(VLOOKUP("transport|NOx|Asthma symptoms cough", US_national_yearly!$D:$AM, 30, FALSE) / VLOOKUP("transport|NOx|Asthma symptoms cough", US_national_yearly!$D:$AM, 10, FALSE), 1)</f>
        <v>4.4357694930339956E-3</v>
      </c>
      <c r="W6" s="7">
        <f>$B6 * IFERROR(VLOOKUP("transport|NOx|Asthma symptoms cough", US_national_yearly!$D:$AM, 31, FALSE) / VLOOKUP("transport|NOx|Asthma symptoms cough", US_national_yearly!$D:$AM, 10, FALSE), 1)</f>
        <v>4.4579148952980019E-3</v>
      </c>
      <c r="X6" s="7">
        <f>$B6 * IFERROR(VLOOKUP("transport|NOx|Asthma symptoms cough", US_national_yearly!$D:$AM, 32, FALSE) / VLOOKUP("transport|NOx|Asthma symptoms cough", US_national_yearly!$D:$AM, 10, FALSE), 1)</f>
        <v>4.4784911559755175E-3</v>
      </c>
      <c r="Y6" s="7">
        <f>$B6 * IFERROR(VLOOKUP("transport|NOx|Asthma symptoms cough", US_national_yearly!$D:$AM, 33, FALSE) / VLOOKUP("transport|NOx|Asthma symptoms cough", US_national_yearly!$D:$AM, 10, FALSE), 1)</f>
        <v>4.4990674166530322E-3</v>
      </c>
      <c r="Z6" s="7">
        <f>$B6 * IFERROR(VLOOKUP("transport|NOx|Asthma symptoms cough", US_national_yearly!$D:$AM, 34, FALSE) / VLOOKUP("transport|NOx|Asthma symptoms cough", US_national_yearly!$D:$AM, 10, FALSE), 1)</f>
        <v>4.5196436773305478E-3</v>
      </c>
      <c r="AA6" s="7">
        <f>$B6 * IFERROR(VLOOKUP("transport|NOx|Asthma symptoms cough", US_national_yearly!$D:$AM, 35, FALSE) / VLOOKUP("transport|NOx|Asthma symptoms cough", US_national_yearly!$D:$AM, 10, FALSE), 1)</f>
        <v>4.5402199380080626E-3</v>
      </c>
      <c r="AB6" s="7">
        <f>$B6 * IFERROR(VLOOKUP("transport|NOx|Asthma symptoms cough", US_national_yearly!$D:$AM, 36, FALSE) / VLOOKUP("transport|NOx|Asthma symptoms cough", US_national_yearly!$D:$AM, 10, FALSE), 1)</f>
        <v>4.560796198685579E-3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5.2403979303651286E-3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5.3120427377286381E-3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5.3836875450921457E-3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5.4553323524556552E-3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5.5269771598191646E-3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5.5841755267637908E-3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5.6413738937084162E-3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5.6610607538191094E-3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5.6807476139298027E-3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5.700434474040496E-3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5.7201213341511892E-3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5.7398081942618825E-3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5.7626365746642283E-3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5.7854649550665741E-3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5.8082933354689182E-3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5.8311217158712641E-3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5.8539500962736099E-3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5.8837712319479256E-3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5.9135923676222422E-3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5.943413503296557E-3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5.9732346389708719E-3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6.0030557746451876E-3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6.0307638945345816E-3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6.0584720144239755E-3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6.0861801343133713E-3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6.1138882542027652E-3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6.1415963740921592E-3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8.0069799335926277E-3</v>
      </c>
      <c r="C8" s="7">
        <f>$B8 * IFERROR(VLOOKUP("transport|NOx|Asthma symptoms wheeze", US_national_yearly!$D:$AM, 11, FALSE) / VLOOKUP("transport|NOx|Asthma symptoms wheeze", US_national_yearly!$D:$AM, 10, FALSE), 1)</f>
        <v>8.1164484403297831E-3</v>
      </c>
      <c r="D8" s="7">
        <f>$B8 * IFERROR(VLOOKUP("transport|NOx|Asthma symptoms wheeze", US_national_yearly!$D:$AM, 12, FALSE) / VLOOKUP("transport|NOx|Asthma symptoms wheeze", US_national_yearly!$D:$AM, 10, FALSE), 1)</f>
        <v>8.225916947066942E-3</v>
      </c>
      <c r="E8" s="7">
        <f>$B8 * IFERROR(VLOOKUP("transport|NOx|Asthma symptoms wheeze", US_national_yearly!$D:$AM, 13, FALSE) / VLOOKUP("transport|NOx|Asthma symptoms wheeze", US_national_yearly!$D:$AM, 10, FALSE), 1)</f>
        <v>8.3353854538040992E-3</v>
      </c>
      <c r="F8" s="7">
        <f>$B8 * IFERROR(VLOOKUP("transport|NOx|Asthma symptoms wheeze", US_national_yearly!$D:$AM, 14, FALSE) / VLOOKUP("transport|NOx|Asthma symptoms wheeze", US_national_yearly!$D:$AM, 10, FALSE), 1)</f>
        <v>8.4448539605412546E-3</v>
      </c>
      <c r="G8" s="7">
        <f>$B8 * IFERROR(VLOOKUP("transport|NOx|Asthma symptoms wheeze", US_national_yearly!$D:$AM, 15, FALSE) / VLOOKUP("transport|NOx|Asthma symptoms wheeze", US_national_yearly!$D:$AM, 10, FALSE), 1)</f>
        <v>8.5322492660456373E-3</v>
      </c>
      <c r="H8" s="7">
        <f>$B8 * IFERROR(VLOOKUP("transport|NOx|Asthma symptoms wheeze", US_national_yearly!$D:$AM, 16, FALSE) / VLOOKUP("transport|NOx|Asthma symptoms wheeze", US_national_yearly!$D:$AM, 10, FALSE), 1)</f>
        <v>8.6196445715500201E-3</v>
      </c>
      <c r="I8" s="7">
        <f>$B8 * IFERROR(VLOOKUP("transport|NOx|Asthma symptoms wheeze", US_national_yearly!$D:$AM, 17, FALSE) / VLOOKUP("transport|NOx|Asthma symptoms wheeze", US_national_yearly!$D:$AM, 10, FALSE), 1)</f>
        <v>8.6497247864341688E-3</v>
      </c>
      <c r="J8" s="7">
        <f>$B8 * IFERROR(VLOOKUP("transport|NOx|Asthma symptoms wheeze", US_national_yearly!$D:$AM, 18, FALSE) / VLOOKUP("transport|NOx|Asthma symptoms wheeze", US_national_yearly!$D:$AM, 10, FALSE), 1)</f>
        <v>8.679805001318321E-3</v>
      </c>
      <c r="K8" s="7">
        <f>$B8 * IFERROR(VLOOKUP("transport|NOx|Asthma symptoms wheeze", US_national_yearly!$D:$AM, 19, FALSE) / VLOOKUP("transport|NOx|Asthma symptoms wheeze", US_national_yearly!$D:$AM, 10, FALSE), 1)</f>
        <v>8.7098852162024697E-3</v>
      </c>
      <c r="L8" s="7">
        <f>$B8 * IFERROR(VLOOKUP("transport|NOx|Asthma symptoms wheeze", US_national_yearly!$D:$AM, 20, FALSE) / VLOOKUP("transport|NOx|Asthma symptoms wheeze", US_national_yearly!$D:$AM, 10, FALSE), 1)</f>
        <v>8.7399654310866218E-3</v>
      </c>
      <c r="M8" s="7">
        <f>$B8 * IFERROR(VLOOKUP("transport|NOx|Asthma symptoms wheeze", US_national_yearly!$D:$AM, 21, FALSE) / VLOOKUP("transport|NOx|Asthma symptoms wheeze", US_national_yearly!$D:$AM, 10, FALSE), 1)</f>
        <v>8.7700456459707723E-3</v>
      </c>
      <c r="N8" s="7">
        <f>$B8 * IFERROR(VLOOKUP("transport|NOx|Asthma symptoms wheeze", US_national_yearly!$D:$AM, 22, FALSE) / VLOOKUP("transport|NOx|Asthma symptoms wheeze", US_national_yearly!$D:$AM, 10, FALSE), 1)</f>
        <v>8.8049258951343329E-3</v>
      </c>
      <c r="O8" s="7">
        <f>$B8 * IFERROR(VLOOKUP("transport|NOx|Asthma symptoms wheeze", US_national_yearly!$D:$AM, 23, FALSE) / VLOOKUP("transport|NOx|Asthma symptoms wheeze", US_national_yearly!$D:$AM, 10, FALSE), 1)</f>
        <v>8.8398061442978952E-3</v>
      </c>
      <c r="P8" s="7">
        <f>$B8 * IFERROR(VLOOKUP("transport|NOx|Asthma symptoms wheeze", US_national_yearly!$D:$AM, 24, FALSE) / VLOOKUP("transport|NOx|Asthma symptoms wheeze", US_national_yearly!$D:$AM, 10, FALSE), 1)</f>
        <v>8.8746863934614575E-3</v>
      </c>
      <c r="Q8" s="7">
        <f>$B8 * IFERROR(VLOOKUP("transport|NOx|Asthma symptoms wheeze", US_national_yearly!$D:$AM, 25, FALSE) / VLOOKUP("transport|NOx|Asthma symptoms wheeze", US_national_yearly!$D:$AM, 10, FALSE), 1)</f>
        <v>8.9095666426250199E-3</v>
      </c>
      <c r="R8" s="7">
        <f>$B8 * IFERROR(VLOOKUP("transport|NOx|Asthma symptoms wheeze", US_national_yearly!$D:$AM, 26, FALSE) / VLOOKUP("transport|NOx|Asthma symptoms wheeze", US_national_yearly!$D:$AM, 10, FALSE), 1)</f>
        <v>8.9444468917885805E-3</v>
      </c>
      <c r="S8" s="7">
        <f>$B8 * IFERROR(VLOOKUP("transport|NOx|Asthma symptoms wheeze", US_national_yearly!$D:$AM, 27, FALSE) / VLOOKUP("transport|NOx|Asthma symptoms wheeze", US_national_yearly!$D:$AM, 10, FALSE), 1)</f>
        <v>8.9900116064462396E-3</v>
      </c>
      <c r="T8" s="7">
        <f>$B8 * IFERROR(VLOOKUP("transport|NOx|Asthma symptoms wheeze", US_national_yearly!$D:$AM, 28, FALSE) / VLOOKUP("transport|NOx|Asthma symptoms wheeze", US_national_yearly!$D:$AM, 10, FALSE), 1)</f>
        <v>9.0355763211038987E-3</v>
      </c>
      <c r="U8" s="7">
        <f>$B8 * IFERROR(VLOOKUP("transport|NOx|Asthma symptoms wheeze", US_national_yearly!$D:$AM, 29, FALSE) / VLOOKUP("transport|NOx|Asthma symptoms wheeze", US_national_yearly!$D:$AM, 10, FALSE), 1)</f>
        <v>9.0811410357615578E-3</v>
      </c>
      <c r="V8" s="7">
        <f>$B8 * IFERROR(VLOOKUP("transport|NOx|Asthma symptoms wheeze", US_national_yearly!$D:$AM, 30, FALSE) / VLOOKUP("transport|NOx|Asthma symptoms wheeze", US_national_yearly!$D:$AM, 10, FALSE), 1)</f>
        <v>9.1267057504192187E-3</v>
      </c>
      <c r="W8" s="7">
        <f>$B8 * IFERROR(VLOOKUP("transport|NOx|Asthma symptoms wheeze", US_national_yearly!$D:$AM, 31, FALSE) / VLOOKUP("transport|NOx|Asthma symptoms wheeze", US_national_yearly!$D:$AM, 10, FALSE), 1)</f>
        <v>9.172270465076876E-3</v>
      </c>
      <c r="X8" s="7">
        <f>$B8 * IFERROR(VLOOKUP("transport|NOx|Asthma symptoms wheeze", US_national_yearly!$D:$AM, 32, FALSE) / VLOOKUP("transport|NOx|Asthma symptoms wheeze", US_national_yearly!$D:$AM, 10, FALSE), 1)</f>
        <v>9.214606631970438E-3</v>
      </c>
      <c r="Y8" s="7">
        <f>$B8 * IFERROR(VLOOKUP("transport|NOx|Asthma symptoms wheeze", US_national_yearly!$D:$AM, 33, FALSE) / VLOOKUP("transport|NOx|Asthma symptoms wheeze", US_national_yearly!$D:$AM, 10, FALSE), 1)</f>
        <v>9.2569427988639982E-3</v>
      </c>
      <c r="Z8" s="7">
        <f>$B8 * IFERROR(VLOOKUP("transport|NOx|Asthma symptoms wheeze", US_national_yearly!$D:$AM, 34, FALSE) / VLOOKUP("transport|NOx|Asthma symptoms wheeze", US_national_yearly!$D:$AM, 10, FALSE), 1)</f>
        <v>9.2992789657575601E-3</v>
      </c>
      <c r="AA8" s="7">
        <f>$B8 * IFERROR(VLOOKUP("transport|NOx|Asthma symptoms wheeze", US_national_yearly!$D:$AM, 35, FALSE) / VLOOKUP("transport|NOx|Asthma symptoms wheeze", US_national_yearly!$D:$AM, 10, FALSE), 1)</f>
        <v>9.341615132651122E-3</v>
      </c>
      <c r="AB8" s="7">
        <f>$B8 * IFERROR(VLOOKUP("transport|NOx|Asthma symptoms wheeze", US_national_yearly!$D:$AM, 36, FALSE) / VLOOKUP("transport|NOx|Asthma symptoms wheeze", US_national_yearly!$D:$AM, 10, FALSE), 1)</f>
        <v>9.3839512995446839E-3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1.1796889335327705E-4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1.2091158784331043E-4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1.2385428233334383E-4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1.2679697682337721E-4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1.2973967131341062E-4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1.3255298740328072E-4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1.3536630349315082E-4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1.377548666893763E-4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1.4014342988560174E-4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1.4253199308182724E-4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1.4492055627805272E-4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1.4730911947427819E-4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1.4890591697598273E-4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1.5050271447768736E-4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1.5209951197939193E-4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1.5369630948109653E-4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1.5529310698280112E-4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1.5614862781601404E-4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1.5700414864922696E-4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1.5785966948243988E-4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1.5871519031565278E-4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1.5957071114886573E-4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1.6015534849210726E-4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1.6073998583534884E-4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1.6132462317859043E-4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1.6190926052183198E-4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1.6249389786507354E-4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5.9190873549991438E-4</v>
      </c>
      <c r="C13" s="7">
        <f>$B13 * IFERROR(VLOOKUP("transport|NOx|Non-fatal heart attacks", US_national_yearly!$D:$AM, 11, FALSE) / VLOOKUP("transport|NOx|Non-fatal heart attacks", US_national_yearly!$D:$AM, 10, FALSE), 1)</f>
        <v>6.0883088474298773E-4</v>
      </c>
      <c r="D13" s="7">
        <f>$B13 * IFERROR(VLOOKUP("transport|NOx|Non-fatal heart attacks", US_national_yearly!$D:$AM, 12, FALSE) / VLOOKUP("transport|NOx|Non-fatal heart attacks", US_national_yearly!$D:$AM, 10, FALSE), 1)</f>
        <v>6.2575303398606109E-4</v>
      </c>
      <c r="E13" s="7">
        <f>$B13 * IFERROR(VLOOKUP("transport|NOx|Non-fatal heart attacks", US_national_yearly!$D:$AM, 13, FALSE) / VLOOKUP("transport|NOx|Non-fatal heart attacks", US_national_yearly!$D:$AM, 10, FALSE), 1)</f>
        <v>6.4267518322913433E-4</v>
      </c>
      <c r="F13" s="7">
        <f>$B13 * IFERROR(VLOOKUP("transport|NOx|Non-fatal heart attacks", US_national_yearly!$D:$AM, 14, FALSE) / VLOOKUP("transport|NOx|Non-fatal heart attacks", US_national_yearly!$D:$AM, 10, FALSE), 1)</f>
        <v>6.5959733247220769E-4</v>
      </c>
      <c r="G13" s="7">
        <f>$B13 * IFERROR(VLOOKUP("transport|NOx|Non-fatal heart attacks", US_national_yearly!$D:$AM, 15, FALSE) / VLOOKUP("transport|NOx|Non-fatal heart attacks", US_national_yearly!$D:$AM, 10, FALSE), 1)</f>
        <v>6.7541104576975962E-4</v>
      </c>
      <c r="H13" s="7">
        <f>$B13 * IFERROR(VLOOKUP("transport|NOx|Non-fatal heart attacks", US_national_yearly!$D:$AM, 16, FALSE) / VLOOKUP("transport|NOx|Non-fatal heart attacks", US_national_yearly!$D:$AM, 10, FALSE), 1)</f>
        <v>6.9122475906731166E-4</v>
      </c>
      <c r="I13" s="7">
        <f>$B13 * IFERROR(VLOOKUP("transport|NOx|Non-fatal heart attacks", US_national_yearly!$D:$AM, 17, FALSE) / VLOOKUP("transport|NOx|Non-fatal heart attacks", US_national_yearly!$D:$AM, 10, FALSE), 1)</f>
        <v>7.0369206432240169E-4</v>
      </c>
      <c r="J13" s="7">
        <f>$B13 * IFERROR(VLOOKUP("transport|NOx|Non-fatal heart attacks", US_national_yearly!$D:$AM, 18, FALSE) / VLOOKUP("transport|NOx|Non-fatal heart attacks", US_national_yearly!$D:$AM, 10, FALSE), 1)</f>
        <v>7.1615936957749194E-4</v>
      </c>
      <c r="K13" s="7">
        <f>$B13 * IFERROR(VLOOKUP("transport|NOx|Non-fatal heart attacks", US_national_yearly!$D:$AM, 19, FALSE) / VLOOKUP("transport|NOx|Non-fatal heart attacks", US_national_yearly!$D:$AM, 10, FALSE), 1)</f>
        <v>7.2862667483258165E-4</v>
      </c>
      <c r="L13" s="7">
        <f>$B13 * IFERROR(VLOOKUP("transport|NOx|Non-fatal heart attacks", US_national_yearly!$D:$AM, 20, FALSE) / VLOOKUP("transport|NOx|Non-fatal heart attacks", US_national_yearly!$D:$AM, 10, FALSE), 1)</f>
        <v>7.4109398008767222E-4</v>
      </c>
      <c r="M13" s="7">
        <f>$B13 * IFERROR(VLOOKUP("transport|NOx|Non-fatal heart attacks", US_national_yearly!$D:$AM, 21, FALSE) / VLOOKUP("transport|NOx|Non-fatal heart attacks", US_national_yearly!$D:$AM, 10, FALSE), 1)</f>
        <v>7.5356128534276215E-4</v>
      </c>
      <c r="N13" s="7">
        <f>$B13 * IFERROR(VLOOKUP("transport|NOx|Non-fatal heart attacks", US_national_yearly!$D:$AM, 22, FALSE) / VLOOKUP("transport|NOx|Non-fatal heart attacks", US_national_yearly!$D:$AM, 10, FALSE), 1)</f>
        <v>7.6106199427492644E-4</v>
      </c>
      <c r="O13" s="7">
        <f>$B13 * IFERROR(VLOOKUP("transport|NOx|Non-fatal heart attacks", US_national_yearly!$D:$AM, 23, FALSE) / VLOOKUP("transport|NOx|Non-fatal heart attacks", US_national_yearly!$D:$AM, 10, FALSE), 1)</f>
        <v>7.6856270320709063E-4</v>
      </c>
      <c r="P13" s="7">
        <f>$B13 * IFERROR(VLOOKUP("transport|NOx|Non-fatal heart attacks", US_national_yearly!$D:$AM, 24, FALSE) / VLOOKUP("transport|NOx|Non-fatal heart attacks", US_national_yearly!$D:$AM, 10, FALSE), 1)</f>
        <v>7.760634121392547E-4</v>
      </c>
      <c r="Q13" s="7">
        <f>$B13 * IFERROR(VLOOKUP("transport|NOx|Non-fatal heart attacks", US_national_yearly!$D:$AM, 25, FALSE) / VLOOKUP("transport|NOx|Non-fatal heart attacks", US_national_yearly!$D:$AM, 10, FALSE), 1)</f>
        <v>7.83564121071419E-4</v>
      </c>
      <c r="R13" s="7">
        <f>$B13 * IFERROR(VLOOKUP("transport|NOx|Non-fatal heart attacks", US_national_yearly!$D:$AM, 26, FALSE) / VLOOKUP("transport|NOx|Non-fatal heart attacks", US_national_yearly!$D:$AM, 10, FALSE), 1)</f>
        <v>7.9106483000358329E-4</v>
      </c>
      <c r="S13" s="7">
        <f>$B13 * IFERROR(VLOOKUP("transport|NOx|Non-fatal heart attacks", US_national_yearly!$D:$AM, 27, FALSE) / VLOOKUP("transport|NOx|Non-fatal heart attacks", US_national_yearly!$D:$AM, 10, FALSE), 1)</f>
        <v>7.944672034529063E-4</v>
      </c>
      <c r="T13" s="7">
        <f>$B13 * IFERROR(VLOOKUP("transport|NOx|Non-fatal heart attacks", US_national_yearly!$D:$AM, 28, FALSE) / VLOOKUP("transport|NOx|Non-fatal heart attacks", US_national_yearly!$D:$AM, 10, FALSE), 1)</f>
        <v>7.9786957690222932E-4</v>
      </c>
      <c r="U13" s="7">
        <f>$B13 * IFERROR(VLOOKUP("transport|NOx|Non-fatal heart attacks", US_national_yearly!$D:$AM, 29, FALSE) / VLOOKUP("transport|NOx|Non-fatal heart attacks", US_national_yearly!$D:$AM, 10, FALSE), 1)</f>
        <v>8.0127195035155233E-4</v>
      </c>
      <c r="V13" s="7">
        <f>$B13 * IFERROR(VLOOKUP("transport|NOx|Non-fatal heart attacks", US_national_yearly!$D:$AM, 30, FALSE) / VLOOKUP("transport|NOx|Non-fatal heart attacks", US_national_yearly!$D:$AM, 10, FALSE), 1)</f>
        <v>8.0467432380087534E-4</v>
      </c>
      <c r="W13" s="7">
        <f>$B13 * IFERROR(VLOOKUP("transport|NOx|Non-fatal heart attacks", US_national_yearly!$D:$AM, 31, FALSE) / VLOOKUP("transport|NOx|Non-fatal heart attacks", US_national_yearly!$D:$AM, 10, FALSE), 1)</f>
        <v>8.0807669725019835E-4</v>
      </c>
      <c r="X13" s="7">
        <f>$B13 * IFERROR(VLOOKUP("transport|NOx|Non-fatal heart attacks", US_national_yearly!$D:$AM, 32, FALSE) / VLOOKUP("transport|NOx|Non-fatal heart attacks", US_national_yearly!$D:$AM, 10, FALSE), 1)</f>
        <v>8.1035034221583829E-4</v>
      </c>
      <c r="Y13" s="7">
        <f>$B13 * IFERROR(VLOOKUP("transport|NOx|Non-fatal heart attacks", US_national_yearly!$D:$AM, 33, FALSE) / VLOOKUP("transport|NOx|Non-fatal heart attacks", US_national_yearly!$D:$AM, 10, FALSE), 1)</f>
        <v>8.1262398718147844E-4</v>
      </c>
      <c r="Z13" s="7">
        <f>$B13 * IFERROR(VLOOKUP("transport|NOx|Non-fatal heart attacks", US_national_yearly!$D:$AM, 34, FALSE) / VLOOKUP("transport|NOx|Non-fatal heart attacks", US_national_yearly!$D:$AM, 10, FALSE), 1)</f>
        <v>8.1489763214711837E-4</v>
      </c>
      <c r="AA13" s="7">
        <f>$B13 * IFERROR(VLOOKUP("transport|NOx|Non-fatal heart attacks", US_national_yearly!$D:$AM, 35, FALSE) / VLOOKUP("transport|NOx|Non-fatal heart attacks", US_national_yearly!$D:$AM, 10, FALSE), 1)</f>
        <v>8.171712771127583E-4</v>
      </c>
      <c r="AB13" s="7">
        <f>$B13 * IFERROR(VLOOKUP("transport|NOx|Non-fatal heart attacks", US_national_yearly!$D:$AM, 36, FALSE) / VLOOKUP("transport|NOx|Non-fatal heart attacks", US_national_yearly!$D:$AM, 10, FALSE), 1)</f>
        <v>8.1944492207839845E-4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0.49993454184738867</v>
      </c>
      <c r="C14" s="7">
        <f>$B14 * IFERROR(VLOOKUP("transport|NOx|Minor restricted activity days", US_national_yearly!$D:$AM, 11, FALSE) / VLOOKUP("transport|NOx|Minor restricted activity days", US_national_yearly!$D:$AM, 10, FALSE), 1)</f>
        <v>0.50070102539836681</v>
      </c>
      <c r="D14" s="7">
        <f>$B14 * IFERROR(VLOOKUP("transport|NOx|Minor restricted activity days", US_national_yearly!$D:$AM, 12, FALSE) / VLOOKUP("transport|NOx|Minor restricted activity days", US_national_yearly!$D:$AM, 10, FALSE), 1)</f>
        <v>0.501467508949345</v>
      </c>
      <c r="E14" s="7">
        <f>$B14 * IFERROR(VLOOKUP("transport|NOx|Minor restricted activity days", US_national_yearly!$D:$AM, 13, FALSE) / VLOOKUP("transport|NOx|Minor restricted activity days", US_national_yearly!$D:$AM, 10, FALSE), 1)</f>
        <v>0.5022339925003233</v>
      </c>
      <c r="F14" s="7">
        <f>$B14 * IFERROR(VLOOKUP("transport|NOx|Minor restricted activity days", US_national_yearly!$D:$AM, 14, FALSE) / VLOOKUP("transport|NOx|Minor restricted activity days", US_national_yearly!$D:$AM, 10, FALSE), 1)</f>
        <v>0.50300047605130138</v>
      </c>
      <c r="G14" s="7">
        <f>$B14 * IFERROR(VLOOKUP("transport|NOx|Minor restricted activity days", US_national_yearly!$D:$AM, 15, FALSE) / VLOOKUP("transport|NOx|Minor restricted activity days", US_national_yearly!$D:$AM, 10, FALSE), 1)</f>
        <v>0.50438456290560607</v>
      </c>
      <c r="H14" s="7">
        <f>$B14 * IFERROR(VLOOKUP("transport|NOx|Minor restricted activity days", US_national_yearly!$D:$AM, 16, FALSE) / VLOOKUP("transport|NOx|Minor restricted activity days", US_national_yearly!$D:$AM, 10, FALSE), 1)</f>
        <v>0.50576864975991065</v>
      </c>
      <c r="I14" s="7">
        <f>$B14 * IFERROR(VLOOKUP("transport|NOx|Minor restricted activity days", US_national_yearly!$D:$AM, 17, FALSE) / VLOOKUP("transport|NOx|Minor restricted activity days", US_national_yearly!$D:$AM, 10, FALSE), 1)</f>
        <v>0.50847586891447294</v>
      </c>
      <c r="J14" s="7">
        <f>$B14 * IFERROR(VLOOKUP("transport|NOx|Minor restricted activity days", US_national_yearly!$D:$AM, 18, FALSE) / VLOOKUP("transport|NOx|Minor restricted activity days", US_national_yearly!$D:$AM, 10, FALSE), 1)</f>
        <v>0.51118308806903523</v>
      </c>
      <c r="K14" s="7">
        <f>$B14 * IFERROR(VLOOKUP("transport|NOx|Minor restricted activity days", US_national_yearly!$D:$AM, 19, FALSE) / VLOOKUP("transport|NOx|Minor restricted activity days", US_national_yearly!$D:$AM, 10, FALSE), 1)</f>
        <v>0.51389030722359752</v>
      </c>
      <c r="L14" s="7">
        <f>$B14 * IFERROR(VLOOKUP("transport|NOx|Minor restricted activity days", US_national_yearly!$D:$AM, 20, FALSE) / VLOOKUP("transport|NOx|Minor restricted activity days", US_national_yearly!$D:$AM, 10, FALSE), 1)</f>
        <v>0.5165975263781597</v>
      </c>
      <c r="M14" s="7">
        <f>$B14 * IFERROR(VLOOKUP("transport|NOx|Minor restricted activity days", US_national_yearly!$D:$AM, 21, FALSE) / VLOOKUP("transport|NOx|Minor restricted activity days", US_national_yearly!$D:$AM, 10, FALSE), 1)</f>
        <v>0.51930474553272199</v>
      </c>
      <c r="N14" s="7">
        <f>$B14 * IFERROR(VLOOKUP("transport|NOx|Minor restricted activity days", US_national_yearly!$D:$AM, 22, FALSE) / VLOOKUP("transport|NOx|Minor restricted activity days", US_national_yearly!$D:$AM, 10, FALSE), 1)</f>
        <v>0.52318086951340748</v>
      </c>
      <c r="O14" s="7">
        <f>$B14 * IFERROR(VLOOKUP("transport|NOx|Minor restricted activity days", US_national_yearly!$D:$AM, 23, FALSE) / VLOOKUP("transport|NOx|Minor restricted activity days", US_national_yearly!$D:$AM, 10, FALSE), 1)</f>
        <v>0.52705699349409307</v>
      </c>
      <c r="P14" s="7">
        <f>$B14 * IFERROR(VLOOKUP("transport|NOx|Minor restricted activity days", US_national_yearly!$D:$AM, 24, FALSE) / VLOOKUP("transport|NOx|Minor restricted activity days", US_national_yearly!$D:$AM, 10, FALSE), 1)</f>
        <v>0.53093311747477856</v>
      </c>
      <c r="Q14" s="7">
        <f>$B14 * IFERROR(VLOOKUP("transport|NOx|Minor restricted activity days", US_national_yearly!$D:$AM, 25, FALSE) / VLOOKUP("transport|NOx|Minor restricted activity days", US_national_yearly!$D:$AM, 10, FALSE), 1)</f>
        <v>0.53480924145546405</v>
      </c>
      <c r="R14" s="7">
        <f>$B14 * IFERROR(VLOOKUP("transport|NOx|Minor restricted activity days", US_national_yearly!$D:$AM, 26, FALSE) / VLOOKUP("transport|NOx|Minor restricted activity days", US_national_yearly!$D:$AM, 10, FALSE), 1)</f>
        <v>0.53868536543614953</v>
      </c>
      <c r="S14" s="7">
        <f>$B14 * IFERROR(VLOOKUP("transport|NOx|Minor restricted activity days", US_national_yearly!$D:$AM, 27, FALSE) / VLOOKUP("transport|NOx|Minor restricted activity days", US_national_yearly!$D:$AM, 10, FALSE), 1)</f>
        <v>0.5425606744700644</v>
      </c>
      <c r="T14" s="7">
        <f>$B14 * IFERROR(VLOOKUP("transport|NOx|Minor restricted activity days", US_national_yearly!$D:$AM, 28, FALSE) / VLOOKUP("transport|NOx|Minor restricted activity days", US_national_yearly!$D:$AM, 10, FALSE), 1)</f>
        <v>0.54643598350397904</v>
      </c>
      <c r="U14" s="7">
        <f>$B14 * IFERROR(VLOOKUP("transport|NOx|Minor restricted activity days", US_national_yearly!$D:$AM, 29, FALSE) / VLOOKUP("transport|NOx|Minor restricted activity days", US_national_yearly!$D:$AM, 10, FALSE), 1)</f>
        <v>0.5503112925378939</v>
      </c>
      <c r="V14" s="7">
        <f>$B14 * IFERROR(VLOOKUP("transport|NOx|Minor restricted activity days", US_national_yearly!$D:$AM, 30, FALSE) / VLOOKUP("transport|NOx|Minor restricted activity days", US_national_yearly!$D:$AM, 10, FALSE), 1)</f>
        <v>0.55418660157180866</v>
      </c>
      <c r="W14" s="7">
        <f>$B14 * IFERROR(VLOOKUP("transport|NOx|Minor restricted activity days", US_national_yearly!$D:$AM, 31, FALSE) / VLOOKUP("transport|NOx|Minor restricted activity days", US_national_yearly!$D:$AM, 10, FALSE), 1)</f>
        <v>0.55806191060572341</v>
      </c>
      <c r="X14" s="7">
        <f>$B14 * IFERROR(VLOOKUP("transport|NOx|Minor restricted activity days", US_national_yearly!$D:$AM, 32, FALSE) / VLOOKUP("transport|NOx|Minor restricted activity days", US_national_yearly!$D:$AM, 10, FALSE), 1)</f>
        <v>0.56133833676078471</v>
      </c>
      <c r="Y14" s="7">
        <f>$B14 * IFERROR(VLOOKUP("transport|NOx|Minor restricted activity days", US_national_yearly!$D:$AM, 33, FALSE) / VLOOKUP("transport|NOx|Minor restricted activity days", US_national_yearly!$D:$AM, 10, FALSE), 1)</f>
        <v>0.564614762915846</v>
      </c>
      <c r="Z14" s="7">
        <f>$B14 * IFERROR(VLOOKUP("transport|NOx|Minor restricted activity days", US_national_yearly!$D:$AM, 34, FALSE) / VLOOKUP("transport|NOx|Minor restricted activity days", US_national_yearly!$D:$AM, 10, FALSE), 1)</f>
        <v>0.5678911890709073</v>
      </c>
      <c r="AA14" s="7">
        <f>$B14 * IFERROR(VLOOKUP("transport|NOx|Minor restricted activity days", US_national_yearly!$D:$AM, 35, FALSE) / VLOOKUP("transport|NOx|Minor restricted activity days", US_national_yearly!$D:$AM, 10, FALSE), 1)</f>
        <v>0.57116761522596859</v>
      </c>
      <c r="AB14" s="7">
        <f>$B14 * IFERROR(VLOOKUP("transport|NOx|Minor restricted activity days", US_national_yearly!$D:$AM, 36, FALSE) / VLOOKUP("transport|NOx|Minor restricted activity days", US_national_yearly!$D:$AM, 10, FALSE), 1)</f>
        <v>0.57444404138102989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8.5019972091294235E-2</v>
      </c>
      <c r="C15" s="7">
        <f>$B15 * IFERROR(VLOOKUP("transport|NOx|Work loss days", US_national_yearly!$D:$AM, 11, FALSE) / VLOOKUP("transport|NOx|Work loss days", US_national_yearly!$D:$AM, 10, FALSE), 1)</f>
        <v>8.5209094445425737E-2</v>
      </c>
      <c r="D15" s="7">
        <f>$B15 * IFERROR(VLOOKUP("transport|NOx|Work loss days", US_national_yearly!$D:$AM, 12, FALSE) / VLOOKUP("transport|NOx|Work loss days", US_national_yearly!$D:$AM, 10, FALSE), 1)</f>
        <v>8.5398216799557267E-2</v>
      </c>
      <c r="E15" s="7">
        <f>$B15 * IFERROR(VLOOKUP("transport|NOx|Work loss days", US_national_yearly!$D:$AM, 13, FALSE) / VLOOKUP("transport|NOx|Work loss days", US_national_yearly!$D:$AM, 10, FALSE), 1)</f>
        <v>8.5587339153688768E-2</v>
      </c>
      <c r="F15" s="7">
        <f>$B15 * IFERROR(VLOOKUP("transport|NOx|Work loss days", US_national_yearly!$D:$AM, 14, FALSE) / VLOOKUP("transport|NOx|Work loss days", US_national_yearly!$D:$AM, 10, FALSE), 1)</f>
        <v>8.5776461507820284E-2</v>
      </c>
      <c r="G15" s="7">
        <f>$B15 * IFERROR(VLOOKUP("transport|NOx|Work loss days", US_national_yearly!$D:$AM, 15, FALSE) / VLOOKUP("transport|NOx|Work loss days", US_national_yearly!$D:$AM, 10, FALSE), 1)</f>
        <v>8.6052581758149935E-2</v>
      </c>
      <c r="H15" s="7">
        <f>$B15 * IFERROR(VLOOKUP("transport|NOx|Work loss days", US_national_yearly!$D:$AM, 16, FALSE) / VLOOKUP("transport|NOx|Work loss days", US_national_yearly!$D:$AM, 10, FALSE), 1)</f>
        <v>8.6328702008479613E-2</v>
      </c>
      <c r="I15" s="7">
        <f>$B15 * IFERROR(VLOOKUP("transport|NOx|Work loss days", US_national_yearly!$D:$AM, 17, FALSE) / VLOOKUP("transport|NOx|Work loss days", US_national_yearly!$D:$AM, 10, FALSE), 1)</f>
        <v>8.6776001849340742E-2</v>
      </c>
      <c r="J15" s="7">
        <f>$B15 * IFERROR(VLOOKUP("transport|NOx|Work loss days", US_national_yearly!$D:$AM, 18, FALSE) / VLOOKUP("transport|NOx|Work loss days", US_national_yearly!$D:$AM, 10, FALSE), 1)</f>
        <v>8.7223301690201885E-2</v>
      </c>
      <c r="K15" s="7">
        <f>$B15 * IFERROR(VLOOKUP("transport|NOx|Work loss days", US_national_yearly!$D:$AM, 19, FALSE) / VLOOKUP("transport|NOx|Work loss days", US_national_yearly!$D:$AM, 10, FALSE), 1)</f>
        <v>8.7670601531063E-2</v>
      </c>
      <c r="L15" s="7">
        <f>$B15 * IFERROR(VLOOKUP("transport|NOx|Work loss days", US_national_yearly!$D:$AM, 20, FALSE) / VLOOKUP("transport|NOx|Work loss days", US_national_yearly!$D:$AM, 10, FALSE), 1)</f>
        <v>8.8117901371924129E-2</v>
      </c>
      <c r="M15" s="7">
        <f>$B15 * IFERROR(VLOOKUP("transport|NOx|Work loss days", US_national_yearly!$D:$AM, 21, FALSE) / VLOOKUP("transport|NOx|Work loss days", US_national_yearly!$D:$AM, 10, FALSE), 1)</f>
        <v>8.8565201212785272E-2</v>
      </c>
      <c r="N15" s="7">
        <f>$B15 * IFERROR(VLOOKUP("transport|NOx|Work loss days", US_national_yearly!$D:$AM, 22, FALSE) / VLOOKUP("transport|NOx|Work loss days", US_national_yearly!$D:$AM, 10, FALSE), 1)</f>
        <v>8.9147334508125189E-2</v>
      </c>
      <c r="O15" s="7">
        <f>$B15 * IFERROR(VLOOKUP("transport|NOx|Work loss days", US_national_yearly!$D:$AM, 23, FALSE) / VLOOKUP("transport|NOx|Work loss days", US_national_yearly!$D:$AM, 10, FALSE), 1)</f>
        <v>8.9729467803465121E-2</v>
      </c>
      <c r="P15" s="7">
        <f>$B15 * IFERROR(VLOOKUP("transport|NOx|Work loss days", US_national_yearly!$D:$AM, 24, FALSE) / VLOOKUP("transport|NOx|Work loss days", US_national_yearly!$D:$AM, 10, FALSE), 1)</f>
        <v>9.0311601098805039E-2</v>
      </c>
      <c r="Q15" s="7">
        <f>$B15 * IFERROR(VLOOKUP("transport|NOx|Work loss days", US_national_yearly!$D:$AM, 25, FALSE) / VLOOKUP("transport|NOx|Work loss days", US_national_yearly!$D:$AM, 10, FALSE), 1)</f>
        <v>9.0893734394144943E-2</v>
      </c>
      <c r="R15" s="7">
        <f>$B15 * IFERROR(VLOOKUP("transport|NOx|Work loss days", US_national_yearly!$D:$AM, 26, FALSE) / VLOOKUP("transport|NOx|Work loss days", US_national_yearly!$D:$AM, 10, FALSE), 1)</f>
        <v>9.1475867689484888E-2</v>
      </c>
      <c r="S15" s="7">
        <f>$B15 * IFERROR(VLOOKUP("transport|NOx|Work loss days", US_national_yearly!$D:$AM, 27, FALSE) / VLOOKUP("transport|NOx|Work loss days", US_national_yearly!$D:$AM, 10, FALSE), 1)</f>
        <v>9.2124871881058765E-2</v>
      </c>
      <c r="T15" s="7">
        <f>$B15 * IFERROR(VLOOKUP("transport|NOx|Work loss days", US_national_yearly!$D:$AM, 28, FALSE) / VLOOKUP("transport|NOx|Work loss days", US_national_yearly!$D:$AM, 10, FALSE), 1)</f>
        <v>9.2773876072632641E-2</v>
      </c>
      <c r="U15" s="7">
        <f>$B15 * IFERROR(VLOOKUP("transport|NOx|Work loss days", US_national_yearly!$D:$AM, 29, FALSE) / VLOOKUP("transport|NOx|Work loss days", US_national_yearly!$D:$AM, 10, FALSE), 1)</f>
        <v>9.3422880264206504E-2</v>
      </c>
      <c r="V15" s="7">
        <f>$B15 * IFERROR(VLOOKUP("transport|NOx|Work loss days", US_national_yearly!$D:$AM, 30, FALSE) / VLOOKUP("transport|NOx|Work loss days", US_national_yearly!$D:$AM, 10, FALSE), 1)</f>
        <v>9.407188445578038E-2</v>
      </c>
      <c r="W15" s="7">
        <f>$B15 * IFERROR(VLOOKUP("transport|NOx|Work loss days", US_national_yearly!$D:$AM, 31, FALSE) / VLOOKUP("transport|NOx|Work loss days", US_national_yearly!$D:$AM, 10, FALSE), 1)</f>
        <v>9.4720888647354257E-2</v>
      </c>
      <c r="X15" s="7">
        <f>$B15 * IFERROR(VLOOKUP("transport|NOx|Work loss days", US_national_yearly!$D:$AM, 32, FALSE) / VLOOKUP("transport|NOx|Work loss days", US_national_yearly!$D:$AM, 10, FALSE), 1)</f>
        <v>9.5284189682852266E-2</v>
      </c>
      <c r="Y15" s="7">
        <f>$B15 * IFERROR(VLOOKUP("transport|NOx|Work loss days", US_national_yearly!$D:$AM, 33, FALSE) / VLOOKUP("transport|NOx|Work loss days", US_national_yearly!$D:$AM, 10, FALSE), 1)</f>
        <v>9.5847490718350276E-2</v>
      </c>
      <c r="Z15" s="7">
        <f>$B15 * IFERROR(VLOOKUP("transport|NOx|Work loss days", US_national_yearly!$D:$AM, 34, FALSE) / VLOOKUP("transport|NOx|Work loss days", US_national_yearly!$D:$AM, 10, FALSE), 1)</f>
        <v>9.6410791753848285E-2</v>
      </c>
      <c r="AA15" s="7">
        <f>$B15 * IFERROR(VLOOKUP("transport|NOx|Work loss days", US_national_yearly!$D:$AM, 35, FALSE) / VLOOKUP("transport|NOx|Work loss days", US_national_yearly!$D:$AM, 10, FALSE), 1)</f>
        <v>9.6974092789346295E-2</v>
      </c>
      <c r="AB15" s="7">
        <f>$B15 * IFERROR(VLOOKUP("transport|NOx|Work loss days", US_national_yearly!$D:$AM, 36, FALSE) / VLOOKUP("transport|NOx|Work loss days", US_national_yearly!$D:$AM, 10, FALSE), 1)</f>
        <v>9.7537393824844304E-2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1.4376647885760218E-4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1.4799100389201216E-4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1.5221552892642209E-4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1.5644005396083205E-4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1.60664578995242E-4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1.6467717914880002E-4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1.6868977930235807E-4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1.7206406647687076E-4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1.7543835365138347E-4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1.7881264082589615E-4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1.8218692800040884E-4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1.8556121517492158E-4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1.8767126875142719E-4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1.8978132232793282E-4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1.9189137590443843E-4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1.9400142948094407E-4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1.9611148305744968E-4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1.9707424256132369E-4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1.9803700206519771E-4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1.9899976156907169E-4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1.999625210729457E-4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2.0092528057681969E-4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2.0146108961922678E-4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2.0199689866163385E-4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2.0253270770404091E-4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2.0306851674644797E-4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2.0360432578885504E-4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5.0642549879384218E-3</v>
      </c>
      <c r="C2" s="7">
        <f>$B2 * IFERROR(VLOOKUP("transport|SO2|Premature mortality", US_national_yearly!$D:$AM, 11, FALSE) / VLOOKUP("transport|SO2|Premature mortality", US_national_yearly!$D:$AM, 10, FALSE), 1)</f>
        <v>5.128391037272419E-3</v>
      </c>
      <c r="D2" s="7">
        <f>$B2 * IFERROR(VLOOKUP("transport|SO2|Premature mortality", US_national_yearly!$D:$AM, 12, FALSE) / VLOOKUP("transport|SO2|Premature mortality", US_national_yearly!$D:$AM, 10, FALSE), 1)</f>
        <v>5.1925270866064171E-3</v>
      </c>
      <c r="E2" s="7">
        <f>$B2 * IFERROR(VLOOKUP("transport|SO2|Premature mortality", US_national_yearly!$D:$AM, 13, FALSE) / VLOOKUP("transport|SO2|Premature mortality", US_national_yearly!$D:$AM, 10, FALSE), 1)</f>
        <v>5.2566631359404143E-3</v>
      </c>
      <c r="F2" s="7">
        <f>$B2 * IFERROR(VLOOKUP("transport|SO2|Premature mortality", US_national_yearly!$D:$AM, 14, FALSE) / VLOOKUP("transport|SO2|Premature mortality", US_national_yearly!$D:$AM, 10, FALSE), 1)</f>
        <v>5.3207991852744115E-3</v>
      </c>
      <c r="G2" s="7">
        <f>$B2 * IFERROR(VLOOKUP("transport|SO2|Premature mortality", US_national_yearly!$D:$AM, 15, FALSE) / VLOOKUP("transport|SO2|Premature mortality", US_national_yearly!$D:$AM, 10, FALSE), 1)</f>
        <v>5.444385717504073E-3</v>
      </c>
      <c r="H2" s="7">
        <f>$B2 * IFERROR(VLOOKUP("transport|SO2|Premature mortality", US_national_yearly!$D:$AM, 16, FALSE) / VLOOKUP("transport|SO2|Premature mortality", US_national_yearly!$D:$AM, 10, FALSE), 1)</f>
        <v>5.5679722497337329E-3</v>
      </c>
      <c r="I2" s="7">
        <f>$B2 * IFERROR(VLOOKUP("transport|SO2|Premature mortality", US_national_yearly!$D:$AM, 17, FALSE) / VLOOKUP("transport|SO2|Premature mortality", US_national_yearly!$D:$AM, 10, FALSE), 1)</f>
        <v>5.6496458028746695E-3</v>
      </c>
      <c r="J2" s="7">
        <f>$B2 * IFERROR(VLOOKUP("transport|SO2|Premature mortality", US_national_yearly!$D:$AM, 18, FALSE) / VLOOKUP("transport|SO2|Premature mortality", US_national_yearly!$D:$AM, 10, FALSE), 1)</f>
        <v>5.7313193560156062E-3</v>
      </c>
      <c r="K2" s="7">
        <f>$B2 * IFERROR(VLOOKUP("transport|SO2|Premature mortality", US_national_yearly!$D:$AM, 19, FALSE) / VLOOKUP("transport|SO2|Premature mortality", US_national_yearly!$D:$AM, 10, FALSE), 1)</f>
        <v>5.812992909156542E-3</v>
      </c>
      <c r="L2" s="7">
        <f>$B2 * IFERROR(VLOOKUP("transport|SO2|Premature mortality", US_national_yearly!$D:$AM, 20, FALSE) / VLOOKUP("transport|SO2|Premature mortality", US_national_yearly!$D:$AM, 10, FALSE), 1)</f>
        <v>5.8946664622974787E-3</v>
      </c>
      <c r="M2" s="7">
        <f>$B2 * IFERROR(VLOOKUP("transport|SO2|Premature mortality", US_national_yearly!$D:$AM, 21, FALSE) / VLOOKUP("transport|SO2|Premature mortality", US_national_yearly!$D:$AM, 10, FALSE), 1)</f>
        <v>5.9763400154384154E-3</v>
      </c>
      <c r="N2" s="7">
        <f>$B2 * IFERROR(VLOOKUP("transport|SO2|Premature mortality", US_national_yearly!$D:$AM, 22, FALSE) / VLOOKUP("transport|SO2|Premature mortality", US_national_yearly!$D:$AM, 10, FALSE), 1)</f>
        <v>6.0401552996665201E-3</v>
      </c>
      <c r="O2" s="7">
        <f>$B2 * IFERROR(VLOOKUP("transport|SO2|Premature mortality", US_national_yearly!$D:$AM, 23, FALSE) / VLOOKUP("transport|SO2|Premature mortality", US_national_yearly!$D:$AM, 10, FALSE), 1)</f>
        <v>6.1039705838946239E-3</v>
      </c>
      <c r="P2" s="7">
        <f>$B2 * IFERROR(VLOOKUP("transport|SO2|Premature mortality", US_national_yearly!$D:$AM, 24, FALSE) / VLOOKUP("transport|SO2|Premature mortality", US_national_yearly!$D:$AM, 10, FALSE), 1)</f>
        <v>6.1677858681227285E-3</v>
      </c>
      <c r="Q2" s="7">
        <f>$B2 * IFERROR(VLOOKUP("transport|SO2|Premature mortality", US_national_yearly!$D:$AM, 25, FALSE) / VLOOKUP("transport|SO2|Premature mortality", US_national_yearly!$D:$AM, 10, FALSE), 1)</f>
        <v>6.2316011523508323E-3</v>
      </c>
      <c r="R2" s="7">
        <f>$B2 * IFERROR(VLOOKUP("transport|SO2|Premature mortality", US_national_yearly!$D:$AM, 26, FALSE) / VLOOKUP("transport|SO2|Premature mortality", US_national_yearly!$D:$AM, 10, FALSE), 1)</f>
        <v>6.2954164365789361E-3</v>
      </c>
      <c r="S2" s="7">
        <f>$B2 * IFERROR(VLOOKUP("transport|SO2|Premature mortality", US_national_yearly!$D:$AM, 27, FALSE) / VLOOKUP("transport|SO2|Premature mortality", US_national_yearly!$D:$AM, 10, FALSE), 1)</f>
        <v>6.3295903709963105E-3</v>
      </c>
      <c r="T2" s="7">
        <f>$B2 * IFERROR(VLOOKUP("transport|SO2|Premature mortality", US_national_yearly!$D:$AM, 28, FALSE) / VLOOKUP("transport|SO2|Premature mortality", US_national_yearly!$D:$AM, 10, FALSE), 1)</f>
        <v>6.363764305413684E-3</v>
      </c>
      <c r="U2" s="7">
        <f>$B2 * IFERROR(VLOOKUP("transport|SO2|Premature mortality", US_national_yearly!$D:$AM, 29, FALSE) / VLOOKUP("transport|SO2|Premature mortality", US_national_yearly!$D:$AM, 10, FALSE), 1)</f>
        <v>6.3979382398310575E-3</v>
      </c>
      <c r="V2" s="7">
        <f>$B2 * IFERROR(VLOOKUP("transport|SO2|Premature mortality", US_national_yearly!$D:$AM, 30, FALSE) / VLOOKUP("transport|SO2|Premature mortality", US_national_yearly!$D:$AM, 10, FALSE), 1)</f>
        <v>6.432112174248431E-3</v>
      </c>
      <c r="W2" s="7">
        <f>$B2 * IFERROR(VLOOKUP("transport|SO2|Premature mortality", US_national_yearly!$D:$AM, 31, FALSE) / VLOOKUP("transport|SO2|Premature mortality", US_national_yearly!$D:$AM, 10, FALSE), 1)</f>
        <v>6.4662861086658054E-3</v>
      </c>
      <c r="X2" s="7">
        <f>$B2 * IFERROR(VLOOKUP("transport|SO2|Premature mortality", US_national_yearly!$D:$AM, 32, FALSE) / VLOOKUP("transport|SO2|Premature mortality", US_national_yearly!$D:$AM, 10, FALSE), 1)</f>
        <v>6.4732286479728994E-3</v>
      </c>
      <c r="Y2" s="7">
        <f>$B2 * IFERROR(VLOOKUP("transport|SO2|Premature mortality", US_national_yearly!$D:$AM, 33, FALSE) / VLOOKUP("transport|SO2|Premature mortality", US_national_yearly!$D:$AM, 10, FALSE), 1)</f>
        <v>6.4801711872799934E-3</v>
      </c>
      <c r="Z2" s="7">
        <f>$B2 * IFERROR(VLOOKUP("transport|SO2|Premature mortality", US_national_yearly!$D:$AM, 34, FALSE) / VLOOKUP("transport|SO2|Premature mortality", US_national_yearly!$D:$AM, 10, FALSE), 1)</f>
        <v>6.4871137265870883E-3</v>
      </c>
      <c r="AA2" s="7">
        <f>$B2 * IFERROR(VLOOKUP("transport|SO2|Premature mortality", US_national_yearly!$D:$AM, 35, FALSE) / VLOOKUP("transport|SO2|Premature mortality", US_national_yearly!$D:$AM, 10, FALSE), 1)</f>
        <v>6.4940562658941832E-3</v>
      </c>
      <c r="AB2" s="7">
        <f>$B2 * IFERROR(VLOOKUP("transport|SO2|Premature mortality", US_national_yearly!$D:$AM, 36, FALSE) / VLOOKUP("transport|SO2|Premature mortality", US_national_yearly!$D:$AM, 10, FALSE), 1)</f>
        <v>6.5009988052012772E-3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1.4176976948886021E-5</v>
      </c>
      <c r="C3" s="7">
        <f>$B3 * IFERROR(VLOOKUP("transport|SO2|Infant mortality", US_national_yearly!$D:$AM, 11, FALSE) / VLOOKUP("transport|SO2|Infant mortality", US_national_yearly!$D:$AM, 10, FALSE), 1)</f>
        <v>1.4055194130935514E-5</v>
      </c>
      <c r="D3" s="7">
        <f>$B3 * IFERROR(VLOOKUP("transport|SO2|Infant mortality", US_national_yearly!$D:$AM, 12, FALSE) / VLOOKUP("transport|SO2|Infant mortality", US_national_yearly!$D:$AM, 10, FALSE), 1)</f>
        <v>1.3933411312985011E-5</v>
      </c>
      <c r="E3" s="7">
        <f>$B3 * IFERROR(VLOOKUP("transport|SO2|Infant mortality", US_national_yearly!$D:$AM, 13, FALSE) / VLOOKUP("transport|SO2|Infant mortality", US_national_yearly!$D:$AM, 10, FALSE), 1)</f>
        <v>1.3811628495034503E-5</v>
      </c>
      <c r="F3" s="7">
        <f>$B3 * IFERROR(VLOOKUP("transport|SO2|Infant mortality", US_national_yearly!$D:$AM, 14, FALSE) / VLOOKUP("transport|SO2|Infant mortality", US_national_yearly!$D:$AM, 10, FALSE), 1)</f>
        <v>1.3689845677084E-5</v>
      </c>
      <c r="G3" s="7">
        <f>$B3 * IFERROR(VLOOKUP("transport|SO2|Infant mortality", US_national_yearly!$D:$AM, 15, FALSE) / VLOOKUP("transport|SO2|Infant mortality", US_national_yearly!$D:$AM, 10, FALSE), 1)</f>
        <v>9.11853982274819E-6</v>
      </c>
      <c r="H3" s="7">
        <f>$B3 * IFERROR(VLOOKUP("transport|SO2|Infant mortality", US_national_yearly!$D:$AM, 16, FALSE) / VLOOKUP("transport|SO2|Infant mortality", US_national_yearly!$D:$AM, 10, FALSE), 1)</f>
        <v>4.5472339684123897E-6</v>
      </c>
      <c r="I3" s="7">
        <f>$B3 * IFERROR(VLOOKUP("transport|SO2|Infant mortality", US_national_yearly!$D:$AM, 17, FALSE) / VLOOKUP("transport|SO2|Infant mortality", US_national_yearly!$D:$AM, 10, FALSE), 1)</f>
        <v>4.5187077965817748E-6</v>
      </c>
      <c r="J3" s="7">
        <f>$B3 * IFERROR(VLOOKUP("transport|SO2|Infant mortality", US_national_yearly!$D:$AM, 18, FALSE) / VLOOKUP("transport|SO2|Infant mortality", US_national_yearly!$D:$AM, 10, FALSE), 1)</f>
        <v>4.4901816247511607E-6</v>
      </c>
      <c r="K3" s="7">
        <f>$B3 * IFERROR(VLOOKUP("transport|SO2|Infant mortality", US_national_yearly!$D:$AM, 19, FALSE) / VLOOKUP("transport|SO2|Infant mortality", US_national_yearly!$D:$AM, 10, FALSE), 1)</f>
        <v>4.4616554529205458E-6</v>
      </c>
      <c r="L3" s="7">
        <f>$B3 * IFERROR(VLOOKUP("transport|SO2|Infant mortality", US_national_yearly!$D:$AM, 20, FALSE) / VLOOKUP("transport|SO2|Infant mortality", US_national_yearly!$D:$AM, 10, FALSE), 1)</f>
        <v>4.4331292810899318E-6</v>
      </c>
      <c r="M3" s="7">
        <f>$B3 * IFERROR(VLOOKUP("transport|SO2|Infant mortality", US_national_yearly!$D:$AM, 21, FALSE) / VLOOKUP("transport|SO2|Infant mortality", US_national_yearly!$D:$AM, 10, FALSE), 1)</f>
        <v>4.4046031092593177E-6</v>
      </c>
      <c r="N3" s="7">
        <f>$B3 * IFERROR(VLOOKUP("transport|SO2|Infant mortality", US_national_yearly!$D:$AM, 22, FALSE) / VLOOKUP("transport|SO2|Infant mortality", US_national_yearly!$D:$AM, 10, FALSE), 1)</f>
        <v>4.3866974447670539E-6</v>
      </c>
      <c r="O3" s="7">
        <f>$B3 * IFERROR(VLOOKUP("transport|SO2|Infant mortality", US_national_yearly!$D:$AM, 23, FALSE) / VLOOKUP("transport|SO2|Infant mortality", US_national_yearly!$D:$AM, 10, FALSE), 1)</f>
        <v>4.3687917802747909E-6</v>
      </c>
      <c r="P3" s="7">
        <f>$B3 * IFERROR(VLOOKUP("transport|SO2|Infant mortality", US_national_yearly!$D:$AM, 24, FALSE) / VLOOKUP("transport|SO2|Infant mortality", US_national_yearly!$D:$AM, 10, FALSE), 1)</f>
        <v>4.3508861157825262E-6</v>
      </c>
      <c r="Q3" s="7">
        <f>$B3 * IFERROR(VLOOKUP("transport|SO2|Infant mortality", US_national_yearly!$D:$AM, 25, FALSE) / VLOOKUP("transport|SO2|Infant mortality", US_national_yearly!$D:$AM, 10, FALSE), 1)</f>
        <v>4.3329804512902623E-6</v>
      </c>
      <c r="R3" s="7">
        <f>$B3 * IFERROR(VLOOKUP("transport|SO2|Infant mortality", US_national_yearly!$D:$AM, 26, FALSE) / VLOOKUP("transport|SO2|Infant mortality", US_national_yearly!$D:$AM, 10, FALSE), 1)</f>
        <v>4.3150747867979984E-6</v>
      </c>
      <c r="S3" s="7">
        <f>$B3 * IFERROR(VLOOKUP("transport|SO2|Infant mortality", US_national_yearly!$D:$AM, 27, FALSE) / VLOOKUP("transport|SO2|Infant mortality", US_national_yearly!$D:$AM, 10, FALSE), 1)</f>
        <v>4.2925931341915303E-6</v>
      </c>
      <c r="T3" s="7">
        <f>$B3 * IFERROR(VLOOKUP("transport|SO2|Infant mortality", US_national_yearly!$D:$AM, 28, FALSE) / VLOOKUP("transport|SO2|Infant mortality", US_national_yearly!$D:$AM, 10, FALSE), 1)</f>
        <v>4.2701114815850622E-6</v>
      </c>
      <c r="U3" s="7">
        <f>$B3 * IFERROR(VLOOKUP("transport|SO2|Infant mortality", US_national_yearly!$D:$AM, 29, FALSE) / VLOOKUP("transport|SO2|Infant mortality", US_national_yearly!$D:$AM, 10, FALSE), 1)</f>
        <v>4.2476298289785924E-6</v>
      </c>
      <c r="V3" s="7">
        <f>$B3 * IFERROR(VLOOKUP("transport|SO2|Infant mortality", US_national_yearly!$D:$AM, 30, FALSE) / VLOOKUP("transport|SO2|Infant mortality", US_national_yearly!$D:$AM, 10, FALSE), 1)</f>
        <v>4.2251481763721251E-6</v>
      </c>
      <c r="W3" s="7">
        <f>$B3 * IFERROR(VLOOKUP("transport|SO2|Infant mortality", US_national_yearly!$D:$AM, 31, FALSE) / VLOOKUP("transport|SO2|Infant mortality", US_national_yearly!$D:$AM, 10, FALSE), 1)</f>
        <v>4.2026665237656562E-6</v>
      </c>
      <c r="X3" s="7">
        <f>$B3 * IFERROR(VLOOKUP("transport|SO2|Infant mortality", US_national_yearly!$D:$AM, 32, FALSE) / VLOOKUP("transport|SO2|Infant mortality", US_national_yearly!$D:$AM, 10, FALSE), 1)</f>
        <v>4.1780871380084987E-6</v>
      </c>
      <c r="Y3" s="7">
        <f>$B3 * IFERROR(VLOOKUP("transport|SO2|Infant mortality", US_national_yearly!$D:$AM, 33, FALSE) / VLOOKUP("transport|SO2|Infant mortality", US_national_yearly!$D:$AM, 10, FALSE), 1)</f>
        <v>4.1535077522513404E-6</v>
      </c>
      <c r="Z3" s="7">
        <f>$B3 * IFERROR(VLOOKUP("transport|SO2|Infant mortality", US_national_yearly!$D:$AM, 34, FALSE) / VLOOKUP("transport|SO2|Infant mortality", US_national_yearly!$D:$AM, 10, FALSE), 1)</f>
        <v>4.1289283664941829E-6</v>
      </c>
      <c r="AA3" s="7">
        <f>$B3 * IFERROR(VLOOKUP("transport|SO2|Infant mortality", US_national_yearly!$D:$AM, 35, FALSE) / VLOOKUP("transport|SO2|Infant mortality", US_national_yearly!$D:$AM, 10, FALSE), 1)</f>
        <v>4.1043489807370246E-6</v>
      </c>
      <c r="AB3" s="7">
        <f>$B3 * IFERROR(VLOOKUP("transport|SO2|Infant mortality", US_national_yearly!$D:$AM, 36, FALSE) / VLOOKUP("transport|SO2|Infant mortality", US_national_yearly!$D:$AM, 10, FALSE), 1)</f>
        <v>4.0797695949798671E-6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1.3011779696119189E-2</v>
      </c>
      <c r="C6" s="7">
        <f>$B6 * IFERROR(VLOOKUP("transport|SO2|Asthma symptoms cough", US_national_yearly!$D:$AM, 11, FALSE) / VLOOKUP("transport|SO2|Asthma symptoms cough", US_national_yearly!$D:$AM, 10, FALSE), 1)</f>
        <v>1.3011779696119189E-2</v>
      </c>
      <c r="D6" s="7">
        <f>$B6 * IFERROR(VLOOKUP("transport|SO2|Asthma symptoms cough", US_national_yearly!$D:$AM, 12, FALSE) / VLOOKUP("transport|SO2|Asthma symptoms cough", US_national_yearly!$D:$AM, 10, FALSE), 1)</f>
        <v>1.3011779696119189E-2</v>
      </c>
      <c r="E6" s="7">
        <f>$B6 * IFERROR(VLOOKUP("transport|SO2|Asthma symptoms cough", US_national_yearly!$D:$AM, 13, FALSE) / VLOOKUP("transport|SO2|Asthma symptoms cough", US_national_yearly!$D:$AM, 10, FALSE), 1)</f>
        <v>1.3011779696119189E-2</v>
      </c>
      <c r="F6" s="7">
        <f>$B6 * IFERROR(VLOOKUP("transport|SO2|Asthma symptoms cough", US_national_yearly!$D:$AM, 14, FALSE) / VLOOKUP("transport|SO2|Asthma symptoms cough", US_national_yearly!$D:$AM, 10, FALSE), 1)</f>
        <v>1.3011779696119189E-2</v>
      </c>
      <c r="G6" s="7">
        <f>$B6 * IFERROR(VLOOKUP("transport|SO2|Asthma symptoms cough", US_national_yearly!$D:$AM, 15, FALSE) / VLOOKUP("transport|SO2|Asthma symptoms cough", US_national_yearly!$D:$AM, 10, FALSE), 1)</f>
        <v>1.3011779696119189E-2</v>
      </c>
      <c r="H6" s="7">
        <f>$B6 * IFERROR(VLOOKUP("transport|SO2|Asthma symptoms cough", US_national_yearly!$D:$AM, 16, FALSE) / VLOOKUP("transport|SO2|Asthma symptoms cough", US_national_yearly!$D:$AM, 10, FALSE), 1)</f>
        <v>1.3011779696119189E-2</v>
      </c>
      <c r="I6" s="7">
        <f>$B6 * IFERROR(VLOOKUP("transport|SO2|Asthma symptoms cough", US_national_yearly!$D:$AM, 17, FALSE) / VLOOKUP("transport|SO2|Asthma symptoms cough", US_national_yearly!$D:$AM, 10, FALSE), 1)</f>
        <v>1.3011779696119189E-2</v>
      </c>
      <c r="J6" s="7">
        <f>$B6 * IFERROR(VLOOKUP("transport|SO2|Asthma symptoms cough", US_national_yearly!$D:$AM, 18, FALSE) / VLOOKUP("transport|SO2|Asthma symptoms cough", US_national_yearly!$D:$AM, 10, FALSE), 1)</f>
        <v>1.3011779696119189E-2</v>
      </c>
      <c r="K6" s="7">
        <f>$B6 * IFERROR(VLOOKUP("transport|SO2|Asthma symptoms cough", US_national_yearly!$D:$AM, 19, FALSE) / VLOOKUP("transport|SO2|Asthma symptoms cough", US_national_yearly!$D:$AM, 10, FALSE), 1)</f>
        <v>1.3011779696119189E-2</v>
      </c>
      <c r="L6" s="7">
        <f>$B6 * IFERROR(VLOOKUP("transport|SO2|Asthma symptoms cough", US_national_yearly!$D:$AM, 20, FALSE) / VLOOKUP("transport|SO2|Asthma symptoms cough", US_national_yearly!$D:$AM, 10, FALSE), 1)</f>
        <v>1.3011779696119189E-2</v>
      </c>
      <c r="M6" s="7">
        <f>$B6 * IFERROR(VLOOKUP("transport|SO2|Asthma symptoms cough", US_national_yearly!$D:$AM, 21, FALSE) / VLOOKUP("transport|SO2|Asthma symptoms cough", US_national_yearly!$D:$AM, 10, FALSE), 1)</f>
        <v>1.3011779696119189E-2</v>
      </c>
      <c r="N6" s="7">
        <f>$B6 * IFERROR(VLOOKUP("transport|SO2|Asthma symptoms cough", US_national_yearly!$D:$AM, 22, FALSE) / VLOOKUP("transport|SO2|Asthma symptoms cough", US_national_yearly!$D:$AM, 10, FALSE), 1)</f>
        <v>1.3011779696119189E-2</v>
      </c>
      <c r="O6" s="7">
        <f>$B6 * IFERROR(VLOOKUP("transport|SO2|Asthma symptoms cough", US_national_yearly!$D:$AM, 23, FALSE) / VLOOKUP("transport|SO2|Asthma symptoms cough", US_national_yearly!$D:$AM, 10, FALSE), 1)</f>
        <v>1.3011779696119189E-2</v>
      </c>
      <c r="P6" s="7">
        <f>$B6 * IFERROR(VLOOKUP("transport|SO2|Asthma symptoms cough", US_national_yearly!$D:$AM, 24, FALSE) / VLOOKUP("transport|SO2|Asthma symptoms cough", US_national_yearly!$D:$AM, 10, FALSE), 1)</f>
        <v>1.3011779696119189E-2</v>
      </c>
      <c r="Q6" s="7">
        <f>$B6 * IFERROR(VLOOKUP("transport|SO2|Asthma symptoms cough", US_national_yearly!$D:$AM, 25, FALSE) / VLOOKUP("transport|SO2|Asthma symptoms cough", US_national_yearly!$D:$AM, 10, FALSE), 1)</f>
        <v>1.3011779696119189E-2</v>
      </c>
      <c r="R6" s="7">
        <f>$B6 * IFERROR(VLOOKUP("transport|SO2|Asthma symptoms cough", US_national_yearly!$D:$AM, 26, FALSE) / VLOOKUP("transport|SO2|Asthma symptoms cough", US_national_yearly!$D:$AM, 10, FALSE), 1)</f>
        <v>1.3011779696119189E-2</v>
      </c>
      <c r="S6" s="7">
        <f>$B6 * IFERROR(VLOOKUP("transport|SO2|Asthma symptoms cough", US_national_yearly!$D:$AM, 27, FALSE) / VLOOKUP("transport|SO2|Asthma symptoms cough", US_national_yearly!$D:$AM, 10, FALSE), 1)</f>
        <v>1.3011779696119189E-2</v>
      </c>
      <c r="T6" s="7">
        <f>$B6 * IFERROR(VLOOKUP("transport|SO2|Asthma symptoms cough", US_national_yearly!$D:$AM, 28, FALSE) / VLOOKUP("transport|SO2|Asthma symptoms cough", US_national_yearly!$D:$AM, 10, FALSE), 1)</f>
        <v>1.3011779696119189E-2</v>
      </c>
      <c r="U6" s="7">
        <f>$B6 * IFERROR(VLOOKUP("transport|SO2|Asthma symptoms cough", US_national_yearly!$D:$AM, 29, FALSE) / VLOOKUP("transport|SO2|Asthma symptoms cough", US_national_yearly!$D:$AM, 10, FALSE), 1)</f>
        <v>1.3011779696119189E-2</v>
      </c>
      <c r="V6" s="7">
        <f>$B6 * IFERROR(VLOOKUP("transport|SO2|Asthma symptoms cough", US_national_yearly!$D:$AM, 30, FALSE) / VLOOKUP("transport|SO2|Asthma symptoms cough", US_national_yearly!$D:$AM, 10, FALSE), 1)</f>
        <v>1.3011779696119189E-2</v>
      </c>
      <c r="W6" s="7">
        <f>$B6 * IFERROR(VLOOKUP("transport|SO2|Asthma symptoms cough", US_national_yearly!$D:$AM, 31, FALSE) / VLOOKUP("transport|SO2|Asthma symptoms cough", US_national_yearly!$D:$AM, 10, FALSE), 1)</f>
        <v>1.3011779696119189E-2</v>
      </c>
      <c r="X6" s="7">
        <f>$B6 * IFERROR(VLOOKUP("transport|SO2|Asthma symptoms cough", US_national_yearly!$D:$AM, 32, FALSE) / VLOOKUP("transport|SO2|Asthma symptoms cough", US_national_yearly!$D:$AM, 10, FALSE), 1)</f>
        <v>1.3011779696119189E-2</v>
      </c>
      <c r="Y6" s="7">
        <f>$B6 * IFERROR(VLOOKUP("transport|SO2|Asthma symptoms cough", US_national_yearly!$D:$AM, 33, FALSE) / VLOOKUP("transport|SO2|Asthma symptoms cough", US_national_yearly!$D:$AM, 10, FALSE), 1)</f>
        <v>1.3011779696119189E-2</v>
      </c>
      <c r="Z6" s="7">
        <f>$B6 * IFERROR(VLOOKUP("transport|SO2|Asthma symptoms cough", US_national_yearly!$D:$AM, 34, FALSE) / VLOOKUP("transport|SO2|Asthma symptoms cough", US_national_yearly!$D:$AM, 10, FALSE), 1)</f>
        <v>1.3011779696119189E-2</v>
      </c>
      <c r="AA6" s="7">
        <f>$B6 * IFERROR(VLOOKUP("transport|SO2|Asthma symptoms cough", US_national_yearly!$D:$AM, 35, FALSE) / VLOOKUP("transport|SO2|Asthma symptoms cough", US_national_yearly!$D:$AM, 10, FALSE), 1)</f>
        <v>1.3011779696119189E-2</v>
      </c>
      <c r="AB6" s="7">
        <f>$B6 * IFERROR(VLOOKUP("transport|SO2|Asthma symptoms cough", US_national_yearly!$D:$AM, 36, FALSE) / VLOOKUP("transport|SO2|Asthma symptoms cough", US_national_yearly!$D:$AM, 10, FALSE), 1)</f>
        <v>1.3011779696119189E-2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1.7522249475965132E-2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1.7522249475965132E-2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1.7522249475965132E-2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1.7522249475965132E-2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1.7522249475965132E-2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1.7522249475965132E-2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1.7522249475965132E-2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1.7522249475965132E-2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1.7522249475965132E-2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1.7522249475965132E-2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1.7522249475965132E-2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1.7522249475965132E-2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1.7522249475965132E-2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1.7522249475965132E-2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1.7522249475965132E-2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1.7522249475965132E-2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1.7522249475965132E-2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1.7522249475965132E-2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1.7522249475965132E-2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1.7522249475965132E-2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1.7522249475965132E-2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1.7522249475965132E-2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1.7522249475965132E-2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1.7522249475965132E-2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1.7522249475965132E-2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1.7522249475965132E-2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1.7522249475965132E-2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2.6771027444963395E-2</v>
      </c>
      <c r="C8" s="7">
        <f>$B8 * IFERROR(VLOOKUP("transport|SO2|Asthma symptoms wheeze", US_national_yearly!$D:$AM, 11, FALSE) / VLOOKUP("transport|SO2|Asthma symptoms wheeze", US_national_yearly!$D:$AM, 10, FALSE), 1)</f>
        <v>2.6771027444963395E-2</v>
      </c>
      <c r="D8" s="7">
        <f>$B8 * IFERROR(VLOOKUP("transport|SO2|Asthma symptoms wheeze", US_national_yearly!$D:$AM, 12, FALSE) / VLOOKUP("transport|SO2|Asthma symptoms wheeze", US_national_yearly!$D:$AM, 10, FALSE), 1)</f>
        <v>2.6771027444963395E-2</v>
      </c>
      <c r="E8" s="7">
        <f>$B8 * IFERROR(VLOOKUP("transport|SO2|Asthma symptoms wheeze", US_national_yearly!$D:$AM, 13, FALSE) / VLOOKUP("transport|SO2|Asthma symptoms wheeze", US_national_yearly!$D:$AM, 10, FALSE), 1)</f>
        <v>2.6771027444963395E-2</v>
      </c>
      <c r="F8" s="7">
        <f>$B8 * IFERROR(VLOOKUP("transport|SO2|Asthma symptoms wheeze", US_national_yearly!$D:$AM, 14, FALSE) / VLOOKUP("transport|SO2|Asthma symptoms wheeze", US_national_yearly!$D:$AM, 10, FALSE), 1)</f>
        <v>2.6771027444963395E-2</v>
      </c>
      <c r="G8" s="7">
        <f>$B8 * IFERROR(VLOOKUP("transport|SO2|Asthma symptoms wheeze", US_national_yearly!$D:$AM, 15, FALSE) / VLOOKUP("transport|SO2|Asthma symptoms wheeze", US_national_yearly!$D:$AM, 10, FALSE), 1)</f>
        <v>2.6771027444963395E-2</v>
      </c>
      <c r="H8" s="7">
        <f>$B8 * IFERROR(VLOOKUP("transport|SO2|Asthma symptoms wheeze", US_national_yearly!$D:$AM, 16, FALSE) / VLOOKUP("transport|SO2|Asthma symptoms wheeze", US_national_yearly!$D:$AM, 10, FALSE), 1)</f>
        <v>2.6771027444963395E-2</v>
      </c>
      <c r="I8" s="7">
        <f>$B8 * IFERROR(VLOOKUP("transport|SO2|Asthma symptoms wheeze", US_national_yearly!$D:$AM, 17, FALSE) / VLOOKUP("transport|SO2|Asthma symptoms wheeze", US_national_yearly!$D:$AM, 10, FALSE), 1)</f>
        <v>2.6771027444963395E-2</v>
      </c>
      <c r="J8" s="7">
        <f>$B8 * IFERROR(VLOOKUP("transport|SO2|Asthma symptoms wheeze", US_national_yearly!$D:$AM, 18, FALSE) / VLOOKUP("transport|SO2|Asthma symptoms wheeze", US_national_yearly!$D:$AM, 10, FALSE), 1)</f>
        <v>2.6771027444963395E-2</v>
      </c>
      <c r="K8" s="7">
        <f>$B8 * IFERROR(VLOOKUP("transport|SO2|Asthma symptoms wheeze", US_national_yearly!$D:$AM, 19, FALSE) / VLOOKUP("transport|SO2|Asthma symptoms wheeze", US_national_yearly!$D:$AM, 10, FALSE), 1)</f>
        <v>2.6771027444963395E-2</v>
      </c>
      <c r="L8" s="7">
        <f>$B8 * IFERROR(VLOOKUP("transport|SO2|Asthma symptoms wheeze", US_national_yearly!$D:$AM, 20, FALSE) / VLOOKUP("transport|SO2|Asthma symptoms wheeze", US_national_yearly!$D:$AM, 10, FALSE), 1)</f>
        <v>2.6771027444963395E-2</v>
      </c>
      <c r="M8" s="7">
        <f>$B8 * IFERROR(VLOOKUP("transport|SO2|Asthma symptoms wheeze", US_national_yearly!$D:$AM, 21, FALSE) / VLOOKUP("transport|SO2|Asthma symptoms wheeze", US_national_yearly!$D:$AM, 10, FALSE), 1)</f>
        <v>2.6771027444963395E-2</v>
      </c>
      <c r="N8" s="7">
        <f>$B8 * IFERROR(VLOOKUP("transport|SO2|Asthma symptoms wheeze", US_national_yearly!$D:$AM, 22, FALSE) / VLOOKUP("transport|SO2|Asthma symptoms wheeze", US_national_yearly!$D:$AM, 10, FALSE), 1)</f>
        <v>2.6771027444963395E-2</v>
      </c>
      <c r="O8" s="7">
        <f>$B8 * IFERROR(VLOOKUP("transport|SO2|Asthma symptoms wheeze", US_national_yearly!$D:$AM, 23, FALSE) / VLOOKUP("transport|SO2|Asthma symptoms wheeze", US_national_yearly!$D:$AM, 10, FALSE), 1)</f>
        <v>2.6771027444963395E-2</v>
      </c>
      <c r="P8" s="7">
        <f>$B8 * IFERROR(VLOOKUP("transport|SO2|Asthma symptoms wheeze", US_national_yearly!$D:$AM, 24, FALSE) / VLOOKUP("transport|SO2|Asthma symptoms wheeze", US_national_yearly!$D:$AM, 10, FALSE), 1)</f>
        <v>2.6771027444963395E-2</v>
      </c>
      <c r="Q8" s="7">
        <f>$B8 * IFERROR(VLOOKUP("transport|SO2|Asthma symptoms wheeze", US_national_yearly!$D:$AM, 25, FALSE) / VLOOKUP("transport|SO2|Asthma symptoms wheeze", US_national_yearly!$D:$AM, 10, FALSE), 1)</f>
        <v>2.6771027444963395E-2</v>
      </c>
      <c r="R8" s="7">
        <f>$B8 * IFERROR(VLOOKUP("transport|SO2|Asthma symptoms wheeze", US_national_yearly!$D:$AM, 26, FALSE) / VLOOKUP("transport|SO2|Asthma symptoms wheeze", US_national_yearly!$D:$AM, 10, FALSE), 1)</f>
        <v>2.6771027444963395E-2</v>
      </c>
      <c r="S8" s="7">
        <f>$B8 * IFERROR(VLOOKUP("transport|SO2|Asthma symptoms wheeze", US_national_yearly!$D:$AM, 27, FALSE) / VLOOKUP("transport|SO2|Asthma symptoms wheeze", US_national_yearly!$D:$AM, 10, FALSE), 1)</f>
        <v>2.6771027444963395E-2</v>
      </c>
      <c r="T8" s="7">
        <f>$B8 * IFERROR(VLOOKUP("transport|SO2|Asthma symptoms wheeze", US_national_yearly!$D:$AM, 28, FALSE) / VLOOKUP("transport|SO2|Asthma symptoms wheeze", US_national_yearly!$D:$AM, 10, FALSE), 1)</f>
        <v>2.6771027444963395E-2</v>
      </c>
      <c r="U8" s="7">
        <f>$B8 * IFERROR(VLOOKUP("transport|SO2|Asthma symptoms wheeze", US_national_yearly!$D:$AM, 29, FALSE) / VLOOKUP("transport|SO2|Asthma symptoms wheeze", US_national_yearly!$D:$AM, 10, FALSE), 1)</f>
        <v>2.6771027444963395E-2</v>
      </c>
      <c r="V8" s="7">
        <f>$B8 * IFERROR(VLOOKUP("transport|SO2|Asthma symptoms wheeze", US_national_yearly!$D:$AM, 30, FALSE) / VLOOKUP("transport|SO2|Asthma symptoms wheeze", US_national_yearly!$D:$AM, 10, FALSE), 1)</f>
        <v>2.6771027444963395E-2</v>
      </c>
      <c r="W8" s="7">
        <f>$B8 * IFERROR(VLOOKUP("transport|SO2|Asthma symptoms wheeze", US_national_yearly!$D:$AM, 31, FALSE) / VLOOKUP("transport|SO2|Asthma symptoms wheeze", US_national_yearly!$D:$AM, 10, FALSE), 1)</f>
        <v>2.6771027444963395E-2</v>
      </c>
      <c r="X8" s="7">
        <f>$B8 * IFERROR(VLOOKUP("transport|SO2|Asthma symptoms wheeze", US_national_yearly!$D:$AM, 32, FALSE) / VLOOKUP("transport|SO2|Asthma symptoms wheeze", US_national_yearly!$D:$AM, 10, FALSE), 1)</f>
        <v>2.6771027444963395E-2</v>
      </c>
      <c r="Y8" s="7">
        <f>$B8 * IFERROR(VLOOKUP("transport|SO2|Asthma symptoms wheeze", US_national_yearly!$D:$AM, 33, FALSE) / VLOOKUP("transport|SO2|Asthma symptoms wheeze", US_national_yearly!$D:$AM, 10, FALSE), 1)</f>
        <v>2.6771027444963395E-2</v>
      </c>
      <c r="Z8" s="7">
        <f>$B8 * IFERROR(VLOOKUP("transport|SO2|Asthma symptoms wheeze", US_national_yearly!$D:$AM, 34, FALSE) / VLOOKUP("transport|SO2|Asthma symptoms wheeze", US_national_yearly!$D:$AM, 10, FALSE), 1)</f>
        <v>2.6771027444963395E-2</v>
      </c>
      <c r="AA8" s="7">
        <f>$B8 * IFERROR(VLOOKUP("transport|SO2|Asthma symptoms wheeze", US_national_yearly!$D:$AM, 35, FALSE) / VLOOKUP("transport|SO2|Asthma symptoms wheeze", US_national_yearly!$D:$AM, 10, FALSE), 1)</f>
        <v>2.6771027444963395E-2</v>
      </c>
      <c r="AB8" s="7">
        <f>$B8 * IFERROR(VLOOKUP("transport|SO2|Asthma symptoms wheeze", US_national_yearly!$D:$AM, 36, FALSE) / VLOOKUP("transport|SO2|Asthma symptoms wheeze", US_national_yearly!$D:$AM, 10, FALSE), 1)</f>
        <v>2.6771027444963395E-2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4.1062429848079905E-4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4.1304618099917206E-4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4.1546806351754507E-4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4.1788994603591802E-4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4.2031182855429102E-4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4.2295208900065107E-4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4.2559234944701112E-4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4.2819596060743645E-4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4.3079957176786184E-4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4.3340318292828706E-4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4.360067940887125E-4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4.3861040524913772E-4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4.4051096102642285E-4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4.4241151680370788E-4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4.443120725809929E-4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4.4621262835827804E-4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4.4811318413556306E-4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4.4992616933059519E-4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4.517391545256272E-4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4.5355213972065933E-4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4.5536512491569145E-4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4.5717811011072358E-4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4.5889833540401338E-4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4.6061856069730319E-4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4.62338785990593E-4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4.640590112838828E-4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4.6577923657717272E-4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2.1282866797178125E-3</v>
      </c>
      <c r="C13" s="7">
        <f>$B13 * IFERROR(VLOOKUP("transport|SO2|Non-fatal heart attacks", US_national_yearly!$D:$AM, 11, FALSE) / VLOOKUP("transport|SO2|Non-fatal heart attacks", US_national_yearly!$D:$AM, 10, FALSE), 1)</f>
        <v>2.1907654462732453E-3</v>
      </c>
      <c r="D13" s="7">
        <f>$B13 * IFERROR(VLOOKUP("transport|SO2|Non-fatal heart attacks", US_national_yearly!$D:$AM, 12, FALSE) / VLOOKUP("transport|SO2|Non-fatal heart attacks", US_national_yearly!$D:$AM, 10, FALSE), 1)</f>
        <v>2.2532442128286776E-3</v>
      </c>
      <c r="E13" s="7">
        <f>$B13 * IFERROR(VLOOKUP("transport|SO2|Non-fatal heart attacks", US_national_yearly!$D:$AM, 13, FALSE) / VLOOKUP("transport|SO2|Non-fatal heart attacks", US_national_yearly!$D:$AM, 10, FALSE), 1)</f>
        <v>2.3157229793841104E-3</v>
      </c>
      <c r="F13" s="7">
        <f>$B13 * IFERROR(VLOOKUP("transport|SO2|Non-fatal heart attacks", US_national_yearly!$D:$AM, 14, FALSE) / VLOOKUP("transport|SO2|Non-fatal heart attacks", US_national_yearly!$D:$AM, 10, FALSE), 1)</f>
        <v>2.3782017459395423E-3</v>
      </c>
      <c r="G13" s="7">
        <f>$B13 * IFERROR(VLOOKUP("transport|SO2|Non-fatal heart attacks", US_national_yearly!$D:$AM, 15, FALSE) / VLOOKUP("transport|SO2|Non-fatal heart attacks", US_national_yearly!$D:$AM, 10, FALSE), 1)</f>
        <v>2.4371250180609447E-3</v>
      </c>
      <c r="H13" s="7">
        <f>$B13 * IFERROR(VLOOKUP("transport|SO2|Non-fatal heart attacks", US_national_yearly!$D:$AM, 16, FALSE) / VLOOKUP("transport|SO2|Non-fatal heart attacks", US_national_yearly!$D:$AM, 10, FALSE), 1)</f>
        <v>2.4960482901823472E-3</v>
      </c>
      <c r="I13" s="7">
        <f>$B13 * IFERROR(VLOOKUP("transport|SO2|Non-fatal heart attacks", US_national_yearly!$D:$AM, 17, FALSE) / VLOOKUP("transport|SO2|Non-fatal heart attacks", US_national_yearly!$D:$AM, 10, FALSE), 1)</f>
        <v>2.5434630526485597E-3</v>
      </c>
      <c r="J13" s="7">
        <f>$B13 * IFERROR(VLOOKUP("transport|SO2|Non-fatal heart attacks", US_national_yearly!$D:$AM, 18, FALSE) / VLOOKUP("transport|SO2|Non-fatal heart attacks", US_national_yearly!$D:$AM, 10, FALSE), 1)</f>
        <v>2.5908778151147722E-3</v>
      </c>
      <c r="K13" s="7">
        <f>$B13 * IFERROR(VLOOKUP("transport|SO2|Non-fatal heart attacks", US_national_yearly!$D:$AM, 19, FALSE) / VLOOKUP("transport|SO2|Non-fatal heart attacks", US_national_yearly!$D:$AM, 10, FALSE), 1)</f>
        <v>2.6382925775809848E-3</v>
      </c>
      <c r="L13" s="7">
        <f>$B13 * IFERROR(VLOOKUP("transport|SO2|Non-fatal heart attacks", US_national_yearly!$D:$AM, 20, FALSE) / VLOOKUP("transport|SO2|Non-fatal heart attacks", US_national_yearly!$D:$AM, 10, FALSE), 1)</f>
        <v>2.6857073400471977E-3</v>
      </c>
      <c r="M13" s="7">
        <f>$B13 * IFERROR(VLOOKUP("transport|SO2|Non-fatal heart attacks", US_national_yearly!$D:$AM, 21, FALSE) / VLOOKUP("transport|SO2|Non-fatal heart attacks", US_national_yearly!$D:$AM, 10, FALSE), 1)</f>
        <v>2.7331221025134107E-3</v>
      </c>
      <c r="N13" s="7">
        <f>$B13 * IFERROR(VLOOKUP("transport|SO2|Non-fatal heart attacks", US_national_yearly!$D:$AM, 22, FALSE) / VLOOKUP("transport|SO2|Non-fatal heart attacks", US_national_yearly!$D:$AM, 10, FALSE), 1)</f>
        <v>2.7639090806290548E-3</v>
      </c>
      <c r="O13" s="7">
        <f>$B13 * IFERROR(VLOOKUP("transport|SO2|Non-fatal heart attacks", US_national_yearly!$D:$AM, 23, FALSE) / VLOOKUP("transport|SO2|Non-fatal heart attacks", US_national_yearly!$D:$AM, 10, FALSE), 1)</f>
        <v>2.7946960587447002E-3</v>
      </c>
      <c r="P13" s="7">
        <f>$B13 * IFERROR(VLOOKUP("transport|SO2|Non-fatal heart attacks", US_national_yearly!$D:$AM, 24, FALSE) / VLOOKUP("transport|SO2|Non-fatal heart attacks", US_national_yearly!$D:$AM, 10, FALSE), 1)</f>
        <v>2.8254830368603452E-3</v>
      </c>
      <c r="Q13" s="7">
        <f>$B13 * IFERROR(VLOOKUP("transport|SO2|Non-fatal heart attacks", US_national_yearly!$D:$AM, 25, FALSE) / VLOOKUP("transport|SO2|Non-fatal heart attacks", US_national_yearly!$D:$AM, 10, FALSE), 1)</f>
        <v>2.8562700149759902E-3</v>
      </c>
      <c r="R13" s="7">
        <f>$B13 * IFERROR(VLOOKUP("transport|SO2|Non-fatal heart attacks", US_national_yearly!$D:$AM, 26, FALSE) / VLOOKUP("transport|SO2|Non-fatal heart attacks", US_national_yearly!$D:$AM, 10, FALSE), 1)</f>
        <v>2.8870569930916352E-3</v>
      </c>
      <c r="S13" s="7">
        <f>$B13 * IFERROR(VLOOKUP("transport|SO2|Non-fatal heart attacks", US_national_yearly!$D:$AM, 27, FALSE) / VLOOKUP("transport|SO2|Non-fatal heart attacks", US_national_yearly!$D:$AM, 10, FALSE), 1)</f>
        <v>2.9031307011955559E-3</v>
      </c>
      <c r="T13" s="7">
        <f>$B13 * IFERROR(VLOOKUP("transport|SO2|Non-fatal heart attacks", US_national_yearly!$D:$AM, 28, FALSE) / VLOOKUP("transport|SO2|Non-fatal heart attacks", US_national_yearly!$D:$AM, 10, FALSE), 1)</f>
        <v>2.919204409299477E-3</v>
      </c>
      <c r="U13" s="7">
        <f>$B13 * IFERROR(VLOOKUP("transport|SO2|Non-fatal heart attacks", US_national_yearly!$D:$AM, 29, FALSE) / VLOOKUP("transport|SO2|Non-fatal heart attacks", US_national_yearly!$D:$AM, 10, FALSE), 1)</f>
        <v>2.9352781174033977E-3</v>
      </c>
      <c r="V13" s="7">
        <f>$B13 * IFERROR(VLOOKUP("transport|SO2|Non-fatal heart attacks", US_national_yearly!$D:$AM, 30, FALSE) / VLOOKUP("transport|SO2|Non-fatal heart attacks", US_national_yearly!$D:$AM, 10, FALSE), 1)</f>
        <v>2.9513518255073184E-3</v>
      </c>
      <c r="W13" s="7">
        <f>$B13 * IFERROR(VLOOKUP("transport|SO2|Non-fatal heart attacks", US_national_yearly!$D:$AM, 31, FALSE) / VLOOKUP("transport|SO2|Non-fatal heart attacks", US_national_yearly!$D:$AM, 10, FALSE), 1)</f>
        <v>2.9674255336112399E-3</v>
      </c>
      <c r="X13" s="7">
        <f>$B13 * IFERROR(VLOOKUP("transport|SO2|Non-fatal heart attacks", US_national_yearly!$D:$AM, 32, FALSE) / VLOOKUP("transport|SO2|Non-fatal heart attacks", US_national_yearly!$D:$AM, 10, FALSE), 1)</f>
        <v>2.9795597772005497E-3</v>
      </c>
      <c r="Y13" s="7">
        <f>$B13 * IFERROR(VLOOKUP("transport|SO2|Non-fatal heart attacks", US_national_yearly!$D:$AM, 33, FALSE) / VLOOKUP("transport|SO2|Non-fatal heart attacks", US_national_yearly!$D:$AM, 10, FALSE), 1)</f>
        <v>2.991694020789859E-3</v>
      </c>
      <c r="Z13" s="7">
        <f>$B13 * IFERROR(VLOOKUP("transport|SO2|Non-fatal heart attacks", US_national_yearly!$D:$AM, 34, FALSE) / VLOOKUP("transport|SO2|Non-fatal heart attacks", US_national_yearly!$D:$AM, 10, FALSE), 1)</f>
        <v>3.0038282643791688E-3</v>
      </c>
      <c r="AA13" s="7">
        <f>$B13 * IFERROR(VLOOKUP("transport|SO2|Non-fatal heart attacks", US_national_yearly!$D:$AM, 35, FALSE) / VLOOKUP("transport|SO2|Non-fatal heart attacks", US_national_yearly!$D:$AM, 10, FALSE), 1)</f>
        <v>3.0159625079684785E-3</v>
      </c>
      <c r="AB13" s="7">
        <f>$B13 * IFERROR(VLOOKUP("transport|SO2|Non-fatal heart attacks", US_national_yearly!$D:$AM, 36, FALSE) / VLOOKUP("transport|SO2|Non-fatal heart attacks", US_national_yearly!$D:$AM, 10, FALSE), 1)</f>
        <v>3.0280967515577879E-3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1.6658118130307793</v>
      </c>
      <c r="C14" s="7">
        <f>$B14 * IFERROR(VLOOKUP("transport|SO2|Minor restricted activity days", US_national_yearly!$D:$AM, 11, FALSE) / VLOOKUP("transport|SO2|Minor restricted activity days", US_national_yearly!$D:$AM, 10, FALSE), 1)</f>
        <v>1.6700107695757231</v>
      </c>
      <c r="D14" s="7">
        <f>$B14 * IFERROR(VLOOKUP("transport|SO2|Minor restricted activity days", US_national_yearly!$D:$AM, 12, FALSE) / VLOOKUP("transport|SO2|Minor restricted activity days", US_national_yearly!$D:$AM, 10, FALSE), 1)</f>
        <v>1.6742097261206668</v>
      </c>
      <c r="E14" s="7">
        <f>$B14 * IFERROR(VLOOKUP("transport|SO2|Minor restricted activity days", US_national_yearly!$D:$AM, 13, FALSE) / VLOOKUP("transport|SO2|Minor restricted activity days", US_national_yearly!$D:$AM, 10, FALSE), 1)</f>
        <v>1.6784086826656106</v>
      </c>
      <c r="F14" s="7">
        <f>$B14 * IFERROR(VLOOKUP("transport|SO2|Minor restricted activity days", US_national_yearly!$D:$AM, 14, FALSE) / VLOOKUP("transport|SO2|Minor restricted activity days", US_national_yearly!$D:$AM, 10, FALSE), 1)</f>
        <v>1.6826076392105542</v>
      </c>
      <c r="G14" s="7">
        <f>$B14 * IFERROR(VLOOKUP("transport|SO2|Minor restricted activity days", US_national_yearly!$D:$AM, 15, FALSE) / VLOOKUP("transport|SO2|Minor restricted activity days", US_national_yearly!$D:$AM, 10, FALSE), 1)</f>
        <v>1.688788090736917</v>
      </c>
      <c r="H14" s="7">
        <f>$B14 * IFERROR(VLOOKUP("transport|SO2|Minor restricted activity days", US_national_yearly!$D:$AM, 16, FALSE) / VLOOKUP("transport|SO2|Minor restricted activity days", US_national_yearly!$D:$AM, 10, FALSE), 1)</f>
        <v>1.6949685422632801</v>
      </c>
      <c r="I14" s="7">
        <f>$B14 * IFERROR(VLOOKUP("transport|SO2|Minor restricted activity days", US_national_yearly!$D:$AM, 17, FALSE) / VLOOKUP("transport|SO2|Minor restricted activity days", US_national_yearly!$D:$AM, 10, FALSE), 1)</f>
        <v>1.7055087262559134</v>
      </c>
      <c r="J14" s="7">
        <f>$B14 * IFERROR(VLOOKUP("transport|SO2|Minor restricted activity days", US_national_yearly!$D:$AM, 18, FALSE) / VLOOKUP("transport|SO2|Minor restricted activity days", US_national_yearly!$D:$AM, 10, FALSE), 1)</f>
        <v>1.7160489102485468</v>
      </c>
      <c r="K14" s="7">
        <f>$B14 * IFERROR(VLOOKUP("transport|SO2|Minor restricted activity days", US_national_yearly!$D:$AM, 19, FALSE) / VLOOKUP("transport|SO2|Minor restricted activity days", US_national_yearly!$D:$AM, 10, FALSE), 1)</f>
        <v>1.7265890942411806</v>
      </c>
      <c r="L14" s="7">
        <f>$B14 * IFERROR(VLOOKUP("transport|SO2|Minor restricted activity days", US_national_yearly!$D:$AM, 20, FALSE) / VLOOKUP("transport|SO2|Minor restricted activity days", US_national_yearly!$D:$AM, 10, FALSE), 1)</f>
        <v>1.7371292782338139</v>
      </c>
      <c r="M14" s="7">
        <f>$B14 * IFERROR(VLOOKUP("transport|SO2|Minor restricted activity days", US_national_yearly!$D:$AM, 21, FALSE) / VLOOKUP("transport|SO2|Minor restricted activity days", US_national_yearly!$D:$AM, 10, FALSE), 1)</f>
        <v>1.7476694622264475</v>
      </c>
      <c r="N14" s="7">
        <f>$B14 * IFERROR(VLOOKUP("transport|SO2|Minor restricted activity days", US_national_yearly!$D:$AM, 22, FALSE) / VLOOKUP("transport|SO2|Minor restricted activity days", US_national_yearly!$D:$AM, 10, FALSE), 1)</f>
        <v>1.7620867426612143</v>
      </c>
      <c r="O14" s="7">
        <f>$B14 * IFERROR(VLOOKUP("transport|SO2|Minor restricted activity days", US_national_yearly!$D:$AM, 23, FALSE) / VLOOKUP("transport|SO2|Minor restricted activity days", US_national_yearly!$D:$AM, 10, FALSE), 1)</f>
        <v>1.7765040230959814</v>
      </c>
      <c r="P14" s="7">
        <f>$B14 * IFERROR(VLOOKUP("transport|SO2|Minor restricted activity days", US_national_yearly!$D:$AM, 24, FALSE) / VLOOKUP("transport|SO2|Minor restricted activity days", US_national_yearly!$D:$AM, 10, FALSE), 1)</f>
        <v>1.7909213035307483</v>
      </c>
      <c r="Q14" s="7">
        <f>$B14 * IFERROR(VLOOKUP("transport|SO2|Minor restricted activity days", US_national_yearly!$D:$AM, 25, FALSE) / VLOOKUP("transport|SO2|Minor restricted activity days", US_national_yearly!$D:$AM, 10, FALSE), 1)</f>
        <v>1.8053385839655154</v>
      </c>
      <c r="R14" s="7">
        <f>$B14 * IFERROR(VLOOKUP("transport|SO2|Minor restricted activity days", US_national_yearly!$D:$AM, 26, FALSE) / VLOOKUP("transport|SO2|Minor restricted activity days", US_national_yearly!$D:$AM, 10, FALSE), 1)</f>
        <v>1.8197558644002823</v>
      </c>
      <c r="S14" s="7">
        <f>$B14 * IFERROR(VLOOKUP("transport|SO2|Minor restricted activity days", US_national_yearly!$D:$AM, 27, FALSE) / VLOOKUP("transport|SO2|Minor restricted activity days", US_national_yearly!$D:$AM, 10, FALSE), 1)</f>
        <v>1.8344556928793494</v>
      </c>
      <c r="T14" s="7">
        <f>$B14 * IFERROR(VLOOKUP("transport|SO2|Minor restricted activity days", US_national_yearly!$D:$AM, 28, FALSE) / VLOOKUP("transport|SO2|Minor restricted activity days", US_national_yearly!$D:$AM, 10, FALSE), 1)</f>
        <v>1.8491555213584165</v>
      </c>
      <c r="U14" s="7">
        <f>$B14 * IFERROR(VLOOKUP("transport|SO2|Minor restricted activity days", US_national_yearly!$D:$AM, 29, FALSE) / VLOOKUP("transport|SO2|Minor restricted activity days", US_national_yearly!$D:$AM, 10, FALSE), 1)</f>
        <v>1.8638553498374837</v>
      </c>
      <c r="V14" s="7">
        <f>$B14 * IFERROR(VLOOKUP("transport|SO2|Minor restricted activity days", US_national_yearly!$D:$AM, 30, FALSE) / VLOOKUP("transport|SO2|Minor restricted activity days", US_national_yearly!$D:$AM, 10, FALSE), 1)</f>
        <v>1.8785551783165508</v>
      </c>
      <c r="W14" s="7">
        <f>$B14 * IFERROR(VLOOKUP("transport|SO2|Minor restricted activity days", US_national_yearly!$D:$AM, 31, FALSE) / VLOOKUP("transport|SO2|Minor restricted activity days", US_national_yearly!$D:$AM, 10, FALSE), 1)</f>
        <v>1.8932550067956184</v>
      </c>
      <c r="X14" s="7">
        <f>$B14 * IFERROR(VLOOKUP("transport|SO2|Minor restricted activity days", US_national_yearly!$D:$AM, 32, FALSE) / VLOOKUP("transport|SO2|Minor restricted activity days", US_national_yearly!$D:$AM, 10, FALSE), 1)</f>
        <v>1.9061823345310251</v>
      </c>
      <c r="Y14" s="7">
        <f>$B14 * IFERROR(VLOOKUP("transport|SO2|Minor restricted activity days", US_national_yearly!$D:$AM, 33, FALSE) / VLOOKUP("transport|SO2|Minor restricted activity days", US_national_yearly!$D:$AM, 10, FALSE), 1)</f>
        <v>1.9191096622664316</v>
      </c>
      <c r="Z14" s="7">
        <f>$B14 * IFERROR(VLOOKUP("transport|SO2|Minor restricted activity days", US_national_yearly!$D:$AM, 34, FALSE) / VLOOKUP("transport|SO2|Minor restricted activity days", US_national_yearly!$D:$AM, 10, FALSE), 1)</f>
        <v>1.9320369900018388</v>
      </c>
      <c r="AA14" s="7">
        <f>$B14 * IFERROR(VLOOKUP("transport|SO2|Minor restricted activity days", US_national_yearly!$D:$AM, 35, FALSE) / VLOOKUP("transport|SO2|Minor restricted activity days", US_national_yearly!$D:$AM, 10, FALSE), 1)</f>
        <v>1.9449643177372453</v>
      </c>
      <c r="AB14" s="7">
        <f>$B14 * IFERROR(VLOOKUP("transport|SO2|Minor restricted activity days", US_national_yearly!$D:$AM, 36, FALSE) / VLOOKUP("transport|SO2|Minor restricted activity days", US_national_yearly!$D:$AM, 10, FALSE), 1)</f>
        <v>1.9578916454726525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0.28311526058917941</v>
      </c>
      <c r="C15" s="7">
        <f>$B15 * IFERROR(VLOOKUP("transport|SO2|Work loss days", US_national_yearly!$D:$AM, 11, FALSE) / VLOOKUP("transport|SO2|Work loss days", US_national_yearly!$D:$AM, 10, FALSE), 1)</f>
        <v>0.2840325090362979</v>
      </c>
      <c r="D15" s="7">
        <f>$B15 * IFERROR(VLOOKUP("transport|SO2|Work loss days", US_national_yearly!$D:$AM, 12, FALSE) / VLOOKUP("transport|SO2|Work loss days", US_national_yearly!$D:$AM, 10, FALSE), 1)</f>
        <v>0.28494975748341639</v>
      </c>
      <c r="E15" s="7">
        <f>$B15 * IFERROR(VLOOKUP("transport|SO2|Work loss days", US_national_yearly!$D:$AM, 13, FALSE) / VLOOKUP("transport|SO2|Work loss days", US_national_yearly!$D:$AM, 10, FALSE), 1)</f>
        <v>0.28586700593053482</v>
      </c>
      <c r="F15" s="7">
        <f>$B15 * IFERROR(VLOOKUP("transport|SO2|Work loss days", US_national_yearly!$D:$AM, 14, FALSE) / VLOOKUP("transport|SO2|Work loss days", US_national_yearly!$D:$AM, 10, FALSE), 1)</f>
        <v>0.28678425437765331</v>
      </c>
      <c r="G15" s="7">
        <f>$B15 * IFERROR(VLOOKUP("transport|SO2|Work loss days", US_national_yearly!$D:$AM, 15, FALSE) / VLOOKUP("transport|SO2|Work loss days", US_national_yearly!$D:$AM, 10, FALSE), 1)</f>
        <v>0.28798275170633453</v>
      </c>
      <c r="H15" s="7">
        <f>$B15 * IFERROR(VLOOKUP("transport|SO2|Work loss days", US_national_yearly!$D:$AM, 16, FALSE) / VLOOKUP("transport|SO2|Work loss days", US_national_yearly!$D:$AM, 10, FALSE), 1)</f>
        <v>0.28918124903501569</v>
      </c>
      <c r="I15" s="7">
        <f>$B15 * IFERROR(VLOOKUP("transport|SO2|Work loss days", US_national_yearly!$D:$AM, 17, FALSE) / VLOOKUP("transport|SO2|Work loss days", US_national_yearly!$D:$AM, 10, FALSE), 1)</f>
        <v>0.29093448974021702</v>
      </c>
      <c r="J15" s="7">
        <f>$B15 * IFERROR(VLOOKUP("transport|SO2|Work loss days", US_national_yearly!$D:$AM, 18, FALSE) / VLOOKUP("transport|SO2|Work loss days", US_national_yearly!$D:$AM, 10, FALSE), 1)</f>
        <v>0.29268773044541824</v>
      </c>
      <c r="K15" s="7">
        <f>$B15 * IFERROR(VLOOKUP("transport|SO2|Work loss days", US_national_yearly!$D:$AM, 19, FALSE) / VLOOKUP("transport|SO2|Work loss days", US_national_yearly!$D:$AM, 10, FALSE), 1)</f>
        <v>0.29444097115061951</v>
      </c>
      <c r="L15" s="7">
        <f>$B15 * IFERROR(VLOOKUP("transport|SO2|Work loss days", US_national_yearly!$D:$AM, 20, FALSE) / VLOOKUP("transport|SO2|Work loss days", US_national_yearly!$D:$AM, 10, FALSE), 1)</f>
        <v>0.29619421185582084</v>
      </c>
      <c r="M15" s="7">
        <f>$B15 * IFERROR(VLOOKUP("transport|SO2|Work loss days", US_national_yearly!$D:$AM, 21, FALSE) / VLOOKUP("transport|SO2|Work loss days", US_national_yearly!$D:$AM, 10, FALSE), 1)</f>
        <v>0.29794745256102212</v>
      </c>
      <c r="N15" s="7">
        <f>$B15 * IFERROR(VLOOKUP("transport|SO2|Work loss days", US_national_yearly!$D:$AM, 22, FALSE) / VLOOKUP("transport|SO2|Work loss days", US_national_yearly!$D:$AM, 10, FALSE), 1)</f>
        <v>0.30014573229167463</v>
      </c>
      <c r="O15" s="7">
        <f>$B15 * IFERROR(VLOOKUP("transport|SO2|Work loss days", US_national_yearly!$D:$AM, 23, FALSE) / VLOOKUP("transport|SO2|Work loss days", US_national_yearly!$D:$AM, 10, FALSE), 1)</f>
        <v>0.30234401202232714</v>
      </c>
      <c r="P15" s="7">
        <f>$B15 * IFERROR(VLOOKUP("transport|SO2|Work loss days", US_national_yearly!$D:$AM, 24, FALSE) / VLOOKUP("transport|SO2|Work loss days", US_national_yearly!$D:$AM, 10, FALSE), 1)</f>
        <v>0.30454229175297959</v>
      </c>
      <c r="Q15" s="7">
        <f>$B15 * IFERROR(VLOOKUP("transport|SO2|Work loss days", US_national_yearly!$D:$AM, 25, FALSE) / VLOOKUP("transport|SO2|Work loss days", US_national_yearly!$D:$AM, 10, FALSE), 1)</f>
        <v>0.3067405714836321</v>
      </c>
      <c r="R15" s="7">
        <f>$B15 * IFERROR(VLOOKUP("transport|SO2|Work loss days", US_national_yearly!$D:$AM, 26, FALSE) / VLOOKUP("transport|SO2|Work loss days", US_national_yearly!$D:$AM, 10, FALSE), 1)</f>
        <v>0.3089388512142846</v>
      </c>
      <c r="S15" s="7">
        <f>$B15 * IFERROR(VLOOKUP("transport|SO2|Work loss days", US_national_yearly!$D:$AM, 27, FALSE) / VLOOKUP("transport|SO2|Work loss days", US_national_yearly!$D:$AM, 10, FALSE), 1)</f>
        <v>0.31139542156565309</v>
      </c>
      <c r="T15" s="7">
        <f>$B15 * IFERROR(VLOOKUP("transport|SO2|Work loss days", US_national_yearly!$D:$AM, 28, FALSE) / VLOOKUP("transport|SO2|Work loss days", US_national_yearly!$D:$AM, 10, FALSE), 1)</f>
        <v>0.31385199191702157</v>
      </c>
      <c r="U15" s="7">
        <f>$B15 * IFERROR(VLOOKUP("transport|SO2|Work loss days", US_national_yearly!$D:$AM, 29, FALSE) / VLOOKUP("transport|SO2|Work loss days", US_national_yearly!$D:$AM, 10, FALSE), 1)</f>
        <v>0.31630856226839005</v>
      </c>
      <c r="V15" s="7">
        <f>$B15 * IFERROR(VLOOKUP("transport|SO2|Work loss days", US_national_yearly!$D:$AM, 30, FALSE) / VLOOKUP("transport|SO2|Work loss days", US_national_yearly!$D:$AM, 10, FALSE), 1)</f>
        <v>0.31876513261975853</v>
      </c>
      <c r="W15" s="7">
        <f>$B15 * IFERROR(VLOOKUP("transport|SO2|Work loss days", US_national_yearly!$D:$AM, 31, FALSE) / VLOOKUP("transport|SO2|Work loss days", US_national_yearly!$D:$AM, 10, FALSE), 1)</f>
        <v>0.32122170297112701</v>
      </c>
      <c r="X15" s="7">
        <f>$B15 * IFERROR(VLOOKUP("transport|SO2|Work loss days", US_national_yearly!$D:$AM, 32, FALSE) / VLOOKUP("transport|SO2|Work loss days", US_national_yearly!$D:$AM, 10, FALSE), 1)</f>
        <v>0.32342736454131321</v>
      </c>
      <c r="Y15" s="7">
        <f>$B15 * IFERROR(VLOOKUP("transport|SO2|Work loss days", US_national_yearly!$D:$AM, 33, FALSE) / VLOOKUP("transport|SO2|Work loss days", US_national_yearly!$D:$AM, 10, FALSE), 1)</f>
        <v>0.32563302611149952</v>
      </c>
      <c r="Z15" s="7">
        <f>$B15 * IFERROR(VLOOKUP("transport|SO2|Work loss days", US_national_yearly!$D:$AM, 34, FALSE) / VLOOKUP("transport|SO2|Work loss days", US_national_yearly!$D:$AM, 10, FALSE), 1)</f>
        <v>0.32783868768168578</v>
      </c>
      <c r="AA15" s="7">
        <f>$B15 * IFERROR(VLOOKUP("transport|SO2|Work loss days", US_national_yearly!$D:$AM, 35, FALSE) / VLOOKUP("transport|SO2|Work loss days", US_national_yearly!$D:$AM, 10, FALSE), 1)</f>
        <v>0.33004434925187204</v>
      </c>
      <c r="AB15" s="7">
        <f>$B15 * IFERROR(VLOOKUP("transport|SO2|Work loss days", US_national_yearly!$D:$AM, 36, FALSE) / VLOOKUP("transport|SO2|Work loss days", US_national_yearly!$D:$AM, 10, FALSE), 1)</f>
        <v>0.33225001082205835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4.9136695476654363E-4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5.0622777312999822E-4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5.210885914934527E-4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5.3594940985690728E-4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5.5081022822036198E-4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5.6504547916959096E-4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5.7928073011882016E-4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5.9147756219733727E-4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6.0367439427585449E-4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6.158712263543717E-4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6.2806805843288892E-4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6.4026489051140602E-4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6.4845838335457701E-4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6.5665187619774778E-4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6.6484536904091866E-4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6.7303886188408953E-4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6.8123235472726052E-4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6.8554154858553303E-4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6.8985074244380564E-4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6.9415993630207826E-4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6.9846913016035077E-4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7.0277832401862339E-4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7.0567122830674726E-4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7.0856413259487124E-4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7.1145703688299511E-4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7.143499411711191E-4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7.1724284545924297E-4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1.4393589884137543E-2</v>
      </c>
      <c r="C2" s="7">
        <f>$B2 * IFERROR(VLOOKUP("electricity|PM25|Premature mortality", US_national_yearly!$D:$AM, 11, FALSE) / VLOOKUP("electricity|PM25|Premature mortality", US_national_yearly!$D:$AM, 10, FALSE), 1)</f>
        <v>1.4571872310342529E-2</v>
      </c>
      <c r="D2" s="7">
        <f>$B2 * IFERROR(VLOOKUP("electricity|PM25|Premature mortality", US_national_yearly!$D:$AM, 12, FALSE) / VLOOKUP("electricity|PM25|Premature mortality", US_national_yearly!$D:$AM, 10, FALSE), 1)</f>
        <v>1.4750154736547517E-2</v>
      </c>
      <c r="E2" s="7">
        <f>$B2 * IFERROR(VLOOKUP("electricity|PM25|Premature mortality", US_national_yearly!$D:$AM, 13, FALSE) / VLOOKUP("electricity|PM25|Premature mortality", US_national_yearly!$D:$AM, 10, FALSE), 1)</f>
        <v>1.4928437162752503E-2</v>
      </c>
      <c r="F2" s="7">
        <f>$B2 * IFERROR(VLOOKUP("electricity|PM25|Premature mortality", US_national_yearly!$D:$AM, 14, FALSE) / VLOOKUP("electricity|PM25|Premature mortality", US_national_yearly!$D:$AM, 10, FALSE), 1)</f>
        <v>1.5106719588957493E-2</v>
      </c>
      <c r="G2" s="7">
        <f>$B2 * IFERROR(VLOOKUP("electricity|PM25|Premature mortality", US_national_yearly!$D:$AM, 15, FALSE) / VLOOKUP("electricity|PM25|Premature mortality", US_national_yearly!$D:$AM, 10, FALSE), 1)</f>
        <v>1.5456875755382144E-2</v>
      </c>
      <c r="H2" s="7">
        <f>$B2 * IFERROR(VLOOKUP("electricity|PM25|Premature mortality", US_national_yearly!$D:$AM, 16, FALSE) / VLOOKUP("electricity|PM25|Premature mortality", US_national_yearly!$D:$AM, 10, FALSE), 1)</f>
        <v>1.58070319218068E-2</v>
      </c>
      <c r="I2" s="7">
        <f>$B2 * IFERROR(VLOOKUP("electricity|PM25|Premature mortality", US_national_yearly!$D:$AM, 17, FALSE) / VLOOKUP("electricity|PM25|Premature mortality", US_national_yearly!$D:$AM, 10, FALSE), 1)</f>
        <v>1.6042304824384526E-2</v>
      </c>
      <c r="J2" s="7">
        <f>$B2 * IFERROR(VLOOKUP("electricity|PM25|Premature mortality", US_national_yearly!$D:$AM, 18, FALSE) / VLOOKUP("electricity|PM25|Premature mortality", US_national_yearly!$D:$AM, 10, FALSE), 1)</f>
        <v>1.6277577726962256E-2</v>
      </c>
      <c r="K2" s="7">
        <f>$B2 * IFERROR(VLOOKUP("electricity|PM25|Premature mortality", US_national_yearly!$D:$AM, 19, FALSE) / VLOOKUP("electricity|PM25|Premature mortality", US_national_yearly!$D:$AM, 10, FALSE), 1)</f>
        <v>1.6512850629539985E-2</v>
      </c>
      <c r="L2" s="7">
        <f>$B2 * IFERROR(VLOOKUP("electricity|PM25|Premature mortality", US_national_yearly!$D:$AM, 20, FALSE) / VLOOKUP("electricity|PM25|Premature mortality", US_national_yearly!$D:$AM, 10, FALSE), 1)</f>
        <v>1.6748123532117715E-2</v>
      </c>
      <c r="M2" s="7">
        <f>$B2 * IFERROR(VLOOKUP("electricity|PM25|Premature mortality", US_national_yearly!$D:$AM, 21, FALSE) / VLOOKUP("electricity|PM25|Premature mortality", US_national_yearly!$D:$AM, 10, FALSE), 1)</f>
        <v>1.6983396434695441E-2</v>
      </c>
      <c r="N2" s="7">
        <f>$B2 * IFERROR(VLOOKUP("electricity|PM25|Premature mortality", US_national_yearly!$D:$AM, 22, FALSE) / VLOOKUP("electricity|PM25|Premature mortality", US_national_yearly!$D:$AM, 10, FALSE), 1)</f>
        <v>1.717093557482462E-2</v>
      </c>
      <c r="O2" s="7">
        <f>$B2 * IFERROR(VLOOKUP("electricity|PM25|Premature mortality", US_national_yearly!$D:$AM, 23, FALSE) / VLOOKUP("electricity|PM25|Premature mortality", US_national_yearly!$D:$AM, 10, FALSE), 1)</f>
        <v>1.7358474714953796E-2</v>
      </c>
      <c r="P2" s="7">
        <f>$B2 * IFERROR(VLOOKUP("electricity|PM25|Premature mortality", US_national_yearly!$D:$AM, 24, FALSE) / VLOOKUP("electricity|PM25|Premature mortality", US_national_yearly!$D:$AM, 10, FALSE), 1)</f>
        <v>1.7546013855082972E-2</v>
      </c>
      <c r="Q2" s="7">
        <f>$B2 * IFERROR(VLOOKUP("electricity|PM25|Premature mortality", US_national_yearly!$D:$AM, 25, FALSE) / VLOOKUP("electricity|PM25|Premature mortality", US_national_yearly!$D:$AM, 10, FALSE), 1)</f>
        <v>1.7733552995212148E-2</v>
      </c>
      <c r="R2" s="7">
        <f>$B2 * IFERROR(VLOOKUP("electricity|PM25|Premature mortality", US_national_yearly!$D:$AM, 26, FALSE) / VLOOKUP("electricity|PM25|Premature mortality", US_national_yearly!$D:$AM, 10, FALSE), 1)</f>
        <v>1.7921092135341325E-2</v>
      </c>
      <c r="S2" s="7">
        <f>$B2 * IFERROR(VLOOKUP("electricity|PM25|Premature mortality", US_national_yearly!$D:$AM, 27, FALSE) / VLOOKUP("electricity|PM25|Premature mortality", US_national_yearly!$D:$AM, 10, FALSE), 1)</f>
        <v>1.8028403036485799E-2</v>
      </c>
      <c r="T2" s="7">
        <f>$B2 * IFERROR(VLOOKUP("electricity|PM25|Premature mortality", US_national_yearly!$D:$AM, 28, FALSE) / VLOOKUP("electricity|PM25|Premature mortality", US_national_yearly!$D:$AM, 10, FALSE), 1)</f>
        <v>1.8135713937630273E-2</v>
      </c>
      <c r="U2" s="7">
        <f>$B2 * IFERROR(VLOOKUP("electricity|PM25|Premature mortality", US_national_yearly!$D:$AM, 29, FALSE) / VLOOKUP("electricity|PM25|Premature mortality", US_national_yearly!$D:$AM, 10, FALSE), 1)</f>
        <v>1.8243024838774751E-2</v>
      </c>
      <c r="V2" s="7">
        <f>$B2 * IFERROR(VLOOKUP("electricity|PM25|Premature mortality", US_national_yearly!$D:$AM, 30, FALSE) / VLOOKUP("electricity|PM25|Premature mortality", US_national_yearly!$D:$AM, 10, FALSE), 1)</f>
        <v>1.8350335739919222E-2</v>
      </c>
      <c r="W2" s="7">
        <f>$B2 * IFERROR(VLOOKUP("electricity|PM25|Premature mortality", US_national_yearly!$D:$AM, 31, FALSE) / VLOOKUP("electricity|PM25|Premature mortality", US_national_yearly!$D:$AM, 10, FALSE), 1)</f>
        <v>1.8457646641063696E-2</v>
      </c>
      <c r="X2" s="7">
        <f>$B2 * IFERROR(VLOOKUP("electricity|PM25|Premature mortality", US_national_yearly!$D:$AM, 32, FALSE) / VLOOKUP("electricity|PM25|Premature mortality", US_national_yearly!$D:$AM, 10, FALSE), 1)</f>
        <v>1.8487456915573051E-2</v>
      </c>
      <c r="Y2" s="7">
        <f>$B2 * IFERROR(VLOOKUP("electricity|PM25|Premature mortality", US_national_yearly!$D:$AM, 33, FALSE) / VLOOKUP("electricity|PM25|Premature mortality", US_national_yearly!$D:$AM, 10, FALSE), 1)</f>
        <v>1.8517267190082402E-2</v>
      </c>
      <c r="Z2" s="7">
        <f>$B2 * IFERROR(VLOOKUP("electricity|PM25|Premature mortality", US_national_yearly!$D:$AM, 34, FALSE) / VLOOKUP("electricity|PM25|Premature mortality", US_national_yearly!$D:$AM, 10, FALSE), 1)</f>
        <v>1.8547077464591753E-2</v>
      </c>
      <c r="AA2" s="7">
        <f>$B2 * IFERROR(VLOOKUP("electricity|PM25|Premature mortality", US_national_yearly!$D:$AM, 35, FALSE) / VLOOKUP("electricity|PM25|Premature mortality", US_national_yearly!$D:$AM, 10, FALSE), 1)</f>
        <v>1.857688773910111E-2</v>
      </c>
      <c r="AB2" s="7">
        <f>$B2 * IFERROR(VLOOKUP("electricity|PM25|Premature mortality", US_national_yearly!$D:$AM, 36, FALSE) / VLOOKUP("electricity|PM25|Premature mortality", US_national_yearly!$D:$AM, 10, FALSE), 1)</f>
        <v>1.8606698013610461E-2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4.4194113804274033E-5</v>
      </c>
      <c r="C3" s="7">
        <f>$B3 * IFERROR(VLOOKUP("electricity|PM25|Infant mortality", US_national_yearly!$D:$AM, 11, FALSE) / VLOOKUP("electricity|PM25|Infant mortality", US_national_yearly!$D:$AM, 10, FALSE), 1)</f>
        <v>4.3809050602017551E-5</v>
      </c>
      <c r="D3" s="7">
        <f>$B3 * IFERROR(VLOOKUP("electricity|PM25|Infant mortality", US_national_yearly!$D:$AM, 12, FALSE) / VLOOKUP("electricity|PM25|Infant mortality", US_national_yearly!$D:$AM, 10, FALSE), 1)</f>
        <v>4.3423987399761083E-5</v>
      </c>
      <c r="E3" s="7">
        <f>$B3 * IFERROR(VLOOKUP("electricity|PM25|Infant mortality", US_national_yearly!$D:$AM, 13, FALSE) / VLOOKUP("electricity|PM25|Infant mortality", US_national_yearly!$D:$AM, 10, FALSE), 1)</f>
        <v>4.3038924197504608E-5</v>
      </c>
      <c r="F3" s="7">
        <f>$B3 * IFERROR(VLOOKUP("electricity|PM25|Infant mortality", US_national_yearly!$D:$AM, 14, FALSE) / VLOOKUP("electricity|PM25|Infant mortality", US_national_yearly!$D:$AM, 10, FALSE), 1)</f>
        <v>4.2653860995248127E-5</v>
      </c>
      <c r="G3" s="7">
        <f>$B3 * IFERROR(VLOOKUP("electricity|PM25|Infant mortality", US_national_yearly!$D:$AM, 15, FALSE) / VLOOKUP("electricity|PM25|Infant mortality", US_national_yearly!$D:$AM, 10, FALSE), 1)</f>
        <v>2.8286711158778462E-5</v>
      </c>
      <c r="H3" s="7">
        <f>$B3 * IFERROR(VLOOKUP("electricity|PM25|Infant mortality", US_national_yearly!$D:$AM, 16, FALSE) / VLOOKUP("electricity|PM25|Infant mortality", US_national_yearly!$D:$AM, 10, FALSE), 1)</f>
        <v>1.3919561322308797E-5</v>
      </c>
      <c r="I3" s="7">
        <f>$B3 * IFERROR(VLOOKUP("electricity|PM25|Infant mortality", US_national_yearly!$D:$AM, 17, FALSE) / VLOOKUP("electricity|PM25|Infant mortality", US_national_yearly!$D:$AM, 10, FALSE), 1)</f>
        <v>1.3821282841091552E-5</v>
      </c>
      <c r="J3" s="7">
        <f>$B3 * IFERROR(VLOOKUP("electricity|PM25|Infant mortality", US_national_yearly!$D:$AM, 18, FALSE) / VLOOKUP("electricity|PM25|Infant mortality", US_national_yearly!$D:$AM, 10, FALSE), 1)</f>
        <v>1.3723004359874311E-5</v>
      </c>
      <c r="K3" s="7">
        <f>$B3 * IFERROR(VLOOKUP("electricity|PM25|Infant mortality", US_national_yearly!$D:$AM, 19, FALSE) / VLOOKUP("electricity|PM25|Infant mortality", US_national_yearly!$D:$AM, 10, FALSE), 1)</f>
        <v>1.3624725878657067E-5</v>
      </c>
      <c r="L3" s="7">
        <f>$B3 * IFERROR(VLOOKUP("electricity|PM25|Infant mortality", US_national_yearly!$D:$AM, 20, FALSE) / VLOOKUP("electricity|PM25|Infant mortality", US_national_yearly!$D:$AM, 10, FALSE), 1)</f>
        <v>1.3526447397439822E-5</v>
      </c>
      <c r="M3" s="7">
        <f>$B3 * IFERROR(VLOOKUP("electricity|PM25|Infant mortality", US_national_yearly!$D:$AM, 21, FALSE) / VLOOKUP("electricity|PM25|Infant mortality", US_national_yearly!$D:$AM, 10, FALSE), 1)</f>
        <v>1.342816891622258E-5</v>
      </c>
      <c r="N3" s="7">
        <f>$B3 * IFERROR(VLOOKUP("electricity|PM25|Infant mortality", US_national_yearly!$D:$AM, 22, FALSE) / VLOOKUP("electricity|PM25|Infant mortality", US_national_yearly!$D:$AM, 10, FALSE), 1)</f>
        <v>1.3364962804592573E-5</v>
      </c>
      <c r="O3" s="7">
        <f>$B3 * IFERROR(VLOOKUP("electricity|PM25|Infant mortality", US_national_yearly!$D:$AM, 23, FALSE) / VLOOKUP("electricity|PM25|Infant mortality", US_national_yearly!$D:$AM, 10, FALSE), 1)</f>
        <v>1.3301756692962565E-5</v>
      </c>
      <c r="P3" s="7">
        <f>$B3 * IFERROR(VLOOKUP("electricity|PM25|Infant mortality", US_national_yearly!$D:$AM, 24, FALSE) / VLOOKUP("electricity|PM25|Infant mortality", US_national_yearly!$D:$AM, 10, FALSE), 1)</f>
        <v>1.3238550581332554E-5</v>
      </c>
      <c r="Q3" s="7">
        <f>$B3 * IFERROR(VLOOKUP("electricity|PM25|Infant mortality", US_national_yearly!$D:$AM, 25, FALSE) / VLOOKUP("electricity|PM25|Infant mortality", US_national_yearly!$D:$AM, 10, FALSE), 1)</f>
        <v>1.3175344469702545E-5</v>
      </c>
      <c r="R3" s="7">
        <f>$B3 * IFERROR(VLOOKUP("electricity|PM25|Infant mortality", US_national_yearly!$D:$AM, 26, FALSE) / VLOOKUP("electricity|PM25|Infant mortality", US_national_yearly!$D:$AM, 10, FALSE), 1)</f>
        <v>1.3112138358072536E-5</v>
      </c>
      <c r="S3" s="7">
        <f>$B3 * IFERROR(VLOOKUP("electricity|PM25|Infant mortality", US_national_yearly!$D:$AM, 27, FALSE) / VLOOKUP("electricity|PM25|Infant mortality", US_national_yearly!$D:$AM, 10, FALSE), 1)</f>
        <v>1.3036416023903329E-5</v>
      </c>
      <c r="T3" s="7">
        <f>$B3 * IFERROR(VLOOKUP("electricity|PM25|Infant mortality", US_national_yearly!$D:$AM, 28, FALSE) / VLOOKUP("electricity|PM25|Infant mortality", US_national_yearly!$D:$AM, 10, FALSE), 1)</f>
        <v>1.2960693689734121E-5</v>
      </c>
      <c r="U3" s="7">
        <f>$B3 * IFERROR(VLOOKUP("electricity|PM25|Infant mortality", US_national_yearly!$D:$AM, 29, FALSE) / VLOOKUP("electricity|PM25|Infant mortality", US_national_yearly!$D:$AM, 10, FALSE), 1)</f>
        <v>1.2884971355564917E-5</v>
      </c>
      <c r="V3" s="7">
        <f>$B3 * IFERROR(VLOOKUP("electricity|PM25|Infant mortality", US_national_yearly!$D:$AM, 30, FALSE) / VLOOKUP("electricity|PM25|Infant mortality", US_national_yearly!$D:$AM, 10, FALSE), 1)</f>
        <v>1.280924902139571E-5</v>
      </c>
      <c r="W3" s="7">
        <f>$B3 * IFERROR(VLOOKUP("electricity|PM25|Infant mortality", US_national_yearly!$D:$AM, 31, FALSE) / VLOOKUP("electricity|PM25|Infant mortality", US_national_yearly!$D:$AM, 10, FALSE), 1)</f>
        <v>1.2733526687226503E-5</v>
      </c>
      <c r="X3" s="7">
        <f>$B3 * IFERROR(VLOOKUP("electricity|PM25|Infant mortality", US_national_yearly!$D:$AM, 32, FALSE) / VLOOKUP("electricity|PM25|Infant mortality", US_national_yearly!$D:$AM, 10, FALSE), 1)</f>
        <v>1.2655277109228193E-5</v>
      </c>
      <c r="Y3" s="7">
        <f>$B3 * IFERROR(VLOOKUP("electricity|PM25|Infant mortality", US_national_yearly!$D:$AM, 33, FALSE) / VLOOKUP("electricity|PM25|Infant mortality", US_national_yearly!$D:$AM, 10, FALSE), 1)</f>
        <v>1.2577027531229885E-5</v>
      </c>
      <c r="Z3" s="7">
        <f>$B3 * IFERROR(VLOOKUP("electricity|PM25|Infant mortality", US_national_yearly!$D:$AM, 34, FALSE) / VLOOKUP("electricity|PM25|Infant mortality", US_national_yearly!$D:$AM, 10, FALSE), 1)</f>
        <v>1.2498777953231575E-5</v>
      </c>
      <c r="AA3" s="7">
        <f>$B3 * IFERROR(VLOOKUP("electricity|PM25|Infant mortality", US_national_yearly!$D:$AM, 35, FALSE) / VLOOKUP("electricity|PM25|Infant mortality", US_national_yearly!$D:$AM, 10, FALSE), 1)</f>
        <v>1.2420528375233265E-5</v>
      </c>
      <c r="AB3" s="7">
        <f>$B3 * IFERROR(VLOOKUP("electricity|PM25|Infant mortality", US_national_yearly!$D:$AM, 36, FALSE) / VLOOKUP("electricity|PM25|Infant mortality", US_national_yearly!$D:$AM, 10, FALSE), 1)</f>
        <v>1.2342278797234956E-5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4.0141214000369727E-2</v>
      </c>
      <c r="C6" s="7">
        <f>$B6 * IFERROR(VLOOKUP("electricity|PM25|Asthma symptoms cough", US_national_yearly!$D:$AM, 11, FALSE) / VLOOKUP("electricity|PM25|Asthma symptoms cough", US_national_yearly!$D:$AM, 10, FALSE), 1)</f>
        <v>4.0141214000369727E-2</v>
      </c>
      <c r="D6" s="7">
        <f>$B6 * IFERROR(VLOOKUP("electricity|PM25|Asthma symptoms cough", US_national_yearly!$D:$AM, 12, FALSE) / VLOOKUP("electricity|PM25|Asthma symptoms cough", US_national_yearly!$D:$AM, 10, FALSE), 1)</f>
        <v>4.0141214000369727E-2</v>
      </c>
      <c r="E6" s="7">
        <f>$B6 * IFERROR(VLOOKUP("electricity|PM25|Asthma symptoms cough", US_national_yearly!$D:$AM, 13, FALSE) / VLOOKUP("electricity|PM25|Asthma symptoms cough", US_national_yearly!$D:$AM, 10, FALSE), 1)</f>
        <v>4.0141214000369727E-2</v>
      </c>
      <c r="F6" s="7">
        <f>$B6 * IFERROR(VLOOKUP("electricity|PM25|Asthma symptoms cough", US_national_yearly!$D:$AM, 14, FALSE) / VLOOKUP("electricity|PM25|Asthma symptoms cough", US_national_yearly!$D:$AM, 10, FALSE), 1)</f>
        <v>4.0141214000369727E-2</v>
      </c>
      <c r="G6" s="7">
        <f>$B6 * IFERROR(VLOOKUP("electricity|PM25|Asthma symptoms cough", US_national_yearly!$D:$AM, 15, FALSE) / VLOOKUP("electricity|PM25|Asthma symptoms cough", US_national_yearly!$D:$AM, 10, FALSE), 1)</f>
        <v>4.0141214000369727E-2</v>
      </c>
      <c r="H6" s="7">
        <f>$B6 * IFERROR(VLOOKUP("electricity|PM25|Asthma symptoms cough", US_national_yearly!$D:$AM, 16, FALSE) / VLOOKUP("electricity|PM25|Asthma symptoms cough", US_national_yearly!$D:$AM, 10, FALSE), 1)</f>
        <v>4.0141214000369727E-2</v>
      </c>
      <c r="I6" s="7">
        <f>$B6 * IFERROR(VLOOKUP("electricity|PM25|Asthma symptoms cough", US_national_yearly!$D:$AM, 17, FALSE) / VLOOKUP("electricity|PM25|Asthma symptoms cough", US_national_yearly!$D:$AM, 10, FALSE), 1)</f>
        <v>4.0141214000369727E-2</v>
      </c>
      <c r="J6" s="7">
        <f>$B6 * IFERROR(VLOOKUP("electricity|PM25|Asthma symptoms cough", US_national_yearly!$D:$AM, 18, FALSE) / VLOOKUP("electricity|PM25|Asthma symptoms cough", US_national_yearly!$D:$AM, 10, FALSE), 1)</f>
        <v>4.0141214000369727E-2</v>
      </c>
      <c r="K6" s="7">
        <f>$B6 * IFERROR(VLOOKUP("electricity|PM25|Asthma symptoms cough", US_national_yearly!$D:$AM, 19, FALSE) / VLOOKUP("electricity|PM25|Asthma symptoms cough", US_national_yearly!$D:$AM, 10, FALSE), 1)</f>
        <v>4.0141214000369727E-2</v>
      </c>
      <c r="L6" s="7">
        <f>$B6 * IFERROR(VLOOKUP("electricity|PM25|Asthma symptoms cough", US_national_yearly!$D:$AM, 20, FALSE) / VLOOKUP("electricity|PM25|Asthma symptoms cough", US_national_yearly!$D:$AM, 10, FALSE), 1)</f>
        <v>4.0141214000369727E-2</v>
      </c>
      <c r="M6" s="7">
        <f>$B6 * IFERROR(VLOOKUP("electricity|PM25|Asthma symptoms cough", US_national_yearly!$D:$AM, 21, FALSE) / VLOOKUP("electricity|PM25|Asthma symptoms cough", US_national_yearly!$D:$AM, 10, FALSE), 1)</f>
        <v>4.0141214000369727E-2</v>
      </c>
      <c r="N6" s="7">
        <f>$B6 * IFERROR(VLOOKUP("electricity|PM25|Asthma symptoms cough", US_national_yearly!$D:$AM, 22, FALSE) / VLOOKUP("electricity|PM25|Asthma symptoms cough", US_national_yearly!$D:$AM, 10, FALSE), 1)</f>
        <v>4.0141214000369727E-2</v>
      </c>
      <c r="O6" s="7">
        <f>$B6 * IFERROR(VLOOKUP("electricity|PM25|Asthma symptoms cough", US_national_yearly!$D:$AM, 23, FALSE) / VLOOKUP("electricity|PM25|Asthma symptoms cough", US_national_yearly!$D:$AM, 10, FALSE), 1)</f>
        <v>4.0141214000369727E-2</v>
      </c>
      <c r="P6" s="7">
        <f>$B6 * IFERROR(VLOOKUP("electricity|PM25|Asthma symptoms cough", US_national_yearly!$D:$AM, 24, FALSE) / VLOOKUP("electricity|PM25|Asthma symptoms cough", US_national_yearly!$D:$AM, 10, FALSE), 1)</f>
        <v>4.0141214000369727E-2</v>
      </c>
      <c r="Q6" s="7">
        <f>$B6 * IFERROR(VLOOKUP("electricity|PM25|Asthma symptoms cough", US_national_yearly!$D:$AM, 25, FALSE) / VLOOKUP("electricity|PM25|Asthma symptoms cough", US_national_yearly!$D:$AM, 10, FALSE), 1)</f>
        <v>4.0141214000369727E-2</v>
      </c>
      <c r="R6" s="7">
        <f>$B6 * IFERROR(VLOOKUP("electricity|PM25|Asthma symptoms cough", US_national_yearly!$D:$AM, 26, FALSE) / VLOOKUP("electricity|PM25|Asthma symptoms cough", US_national_yearly!$D:$AM, 10, FALSE), 1)</f>
        <v>4.0141214000369727E-2</v>
      </c>
      <c r="S6" s="7">
        <f>$B6 * IFERROR(VLOOKUP("electricity|PM25|Asthma symptoms cough", US_national_yearly!$D:$AM, 27, FALSE) / VLOOKUP("electricity|PM25|Asthma symptoms cough", US_national_yearly!$D:$AM, 10, FALSE), 1)</f>
        <v>4.0141214000369727E-2</v>
      </c>
      <c r="T6" s="7">
        <f>$B6 * IFERROR(VLOOKUP("electricity|PM25|Asthma symptoms cough", US_national_yearly!$D:$AM, 28, FALSE) / VLOOKUP("electricity|PM25|Asthma symptoms cough", US_national_yearly!$D:$AM, 10, FALSE), 1)</f>
        <v>4.0141214000369727E-2</v>
      </c>
      <c r="U6" s="7">
        <f>$B6 * IFERROR(VLOOKUP("electricity|PM25|Asthma symptoms cough", US_national_yearly!$D:$AM, 29, FALSE) / VLOOKUP("electricity|PM25|Asthma symptoms cough", US_national_yearly!$D:$AM, 10, FALSE), 1)</f>
        <v>4.0141214000369727E-2</v>
      </c>
      <c r="V6" s="7">
        <f>$B6 * IFERROR(VLOOKUP("electricity|PM25|Asthma symptoms cough", US_national_yearly!$D:$AM, 30, FALSE) / VLOOKUP("electricity|PM25|Asthma symptoms cough", US_national_yearly!$D:$AM, 10, FALSE), 1)</f>
        <v>4.0141214000369727E-2</v>
      </c>
      <c r="W6" s="7">
        <f>$B6 * IFERROR(VLOOKUP("electricity|PM25|Asthma symptoms cough", US_national_yearly!$D:$AM, 31, FALSE) / VLOOKUP("electricity|PM25|Asthma symptoms cough", US_national_yearly!$D:$AM, 10, FALSE), 1)</f>
        <v>4.0141214000369727E-2</v>
      </c>
      <c r="X6" s="7">
        <f>$B6 * IFERROR(VLOOKUP("electricity|PM25|Asthma symptoms cough", US_national_yearly!$D:$AM, 32, FALSE) / VLOOKUP("electricity|PM25|Asthma symptoms cough", US_national_yearly!$D:$AM, 10, FALSE), 1)</f>
        <v>4.0141214000369727E-2</v>
      </c>
      <c r="Y6" s="7">
        <f>$B6 * IFERROR(VLOOKUP("electricity|PM25|Asthma symptoms cough", US_national_yearly!$D:$AM, 33, FALSE) / VLOOKUP("electricity|PM25|Asthma symptoms cough", US_national_yearly!$D:$AM, 10, FALSE), 1)</f>
        <v>4.0141214000369727E-2</v>
      </c>
      <c r="Z6" s="7">
        <f>$B6 * IFERROR(VLOOKUP("electricity|PM25|Asthma symptoms cough", US_national_yearly!$D:$AM, 34, FALSE) / VLOOKUP("electricity|PM25|Asthma symptoms cough", US_national_yearly!$D:$AM, 10, FALSE), 1)</f>
        <v>4.0141214000369727E-2</v>
      </c>
      <c r="AA6" s="7">
        <f>$B6 * IFERROR(VLOOKUP("electricity|PM25|Asthma symptoms cough", US_national_yearly!$D:$AM, 35, FALSE) / VLOOKUP("electricity|PM25|Asthma symptoms cough", US_national_yearly!$D:$AM, 10, FALSE), 1)</f>
        <v>4.0141214000369727E-2</v>
      </c>
      <c r="AB6" s="7">
        <f>$B6 * IFERROR(VLOOKUP("electricity|PM25|Asthma symptoms cough", US_national_yearly!$D:$AM, 36, FALSE) / VLOOKUP("electricity|PM25|Asthma symptoms cough", US_national_yearly!$D:$AM, 10, FALSE), 1)</f>
        <v>4.0141214000369727E-2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5.40556054258505E-2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5.40556054258505E-2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5.40556054258505E-2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5.40556054258505E-2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5.40556054258505E-2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5.40556054258505E-2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5.40556054258505E-2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5.40556054258505E-2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5.40556054258505E-2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5.40556054258505E-2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5.40556054258505E-2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5.40556054258505E-2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5.40556054258505E-2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5.40556054258505E-2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5.40556054258505E-2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5.40556054258505E-2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5.40556054258505E-2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5.40556054258505E-2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5.40556054258505E-2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5.40556054258505E-2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5.40556054258505E-2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5.40556054258505E-2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5.40556054258505E-2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5.40556054258505E-2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5.40556054258505E-2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5.40556054258505E-2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5.40556054258505E-2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8.2589101833937417E-2</v>
      </c>
      <c r="C8" s="7">
        <f>$B8 * IFERROR(VLOOKUP("electricity|PM25|Asthma symptoms wheeze", US_national_yearly!$D:$AM, 11, FALSE) / VLOOKUP("electricity|PM25|Asthma symptoms wheeze", US_national_yearly!$D:$AM, 10, FALSE), 1)</f>
        <v>8.2589101833937417E-2</v>
      </c>
      <c r="D8" s="7">
        <f>$B8 * IFERROR(VLOOKUP("electricity|PM25|Asthma symptoms wheeze", US_national_yearly!$D:$AM, 12, FALSE) / VLOOKUP("electricity|PM25|Asthma symptoms wheeze", US_national_yearly!$D:$AM, 10, FALSE), 1)</f>
        <v>8.2589101833937417E-2</v>
      </c>
      <c r="E8" s="7">
        <f>$B8 * IFERROR(VLOOKUP("electricity|PM25|Asthma symptoms wheeze", US_national_yearly!$D:$AM, 13, FALSE) / VLOOKUP("electricity|PM25|Asthma symptoms wheeze", US_national_yearly!$D:$AM, 10, FALSE), 1)</f>
        <v>8.2589101833937417E-2</v>
      </c>
      <c r="F8" s="7">
        <f>$B8 * IFERROR(VLOOKUP("electricity|PM25|Asthma symptoms wheeze", US_national_yearly!$D:$AM, 14, FALSE) / VLOOKUP("electricity|PM25|Asthma symptoms wheeze", US_national_yearly!$D:$AM, 10, FALSE), 1)</f>
        <v>8.2589101833937417E-2</v>
      </c>
      <c r="G8" s="7">
        <f>$B8 * IFERROR(VLOOKUP("electricity|PM25|Asthma symptoms wheeze", US_national_yearly!$D:$AM, 15, FALSE) / VLOOKUP("electricity|PM25|Asthma symptoms wheeze", US_national_yearly!$D:$AM, 10, FALSE), 1)</f>
        <v>8.2589101833937417E-2</v>
      </c>
      <c r="H8" s="7">
        <f>$B8 * IFERROR(VLOOKUP("electricity|PM25|Asthma symptoms wheeze", US_national_yearly!$D:$AM, 16, FALSE) / VLOOKUP("electricity|PM25|Asthma symptoms wheeze", US_national_yearly!$D:$AM, 10, FALSE), 1)</f>
        <v>8.2589101833937417E-2</v>
      </c>
      <c r="I8" s="7">
        <f>$B8 * IFERROR(VLOOKUP("electricity|PM25|Asthma symptoms wheeze", US_national_yearly!$D:$AM, 17, FALSE) / VLOOKUP("electricity|PM25|Asthma symptoms wheeze", US_national_yearly!$D:$AM, 10, FALSE), 1)</f>
        <v>8.2589101833937417E-2</v>
      </c>
      <c r="J8" s="7">
        <f>$B8 * IFERROR(VLOOKUP("electricity|PM25|Asthma symptoms wheeze", US_national_yearly!$D:$AM, 18, FALSE) / VLOOKUP("electricity|PM25|Asthma symptoms wheeze", US_national_yearly!$D:$AM, 10, FALSE), 1)</f>
        <v>8.2589101833937417E-2</v>
      </c>
      <c r="K8" s="7">
        <f>$B8 * IFERROR(VLOOKUP("electricity|PM25|Asthma symptoms wheeze", US_national_yearly!$D:$AM, 19, FALSE) / VLOOKUP("electricity|PM25|Asthma symptoms wheeze", US_national_yearly!$D:$AM, 10, FALSE), 1)</f>
        <v>8.2589101833937417E-2</v>
      </c>
      <c r="L8" s="7">
        <f>$B8 * IFERROR(VLOOKUP("electricity|PM25|Asthma symptoms wheeze", US_national_yearly!$D:$AM, 20, FALSE) / VLOOKUP("electricity|PM25|Asthma symptoms wheeze", US_national_yearly!$D:$AM, 10, FALSE), 1)</f>
        <v>8.2589101833937417E-2</v>
      </c>
      <c r="M8" s="7">
        <f>$B8 * IFERROR(VLOOKUP("electricity|PM25|Asthma symptoms wheeze", US_national_yearly!$D:$AM, 21, FALSE) / VLOOKUP("electricity|PM25|Asthma symptoms wheeze", US_national_yearly!$D:$AM, 10, FALSE), 1)</f>
        <v>8.2589101833937417E-2</v>
      </c>
      <c r="N8" s="7">
        <f>$B8 * IFERROR(VLOOKUP("electricity|PM25|Asthma symptoms wheeze", US_national_yearly!$D:$AM, 22, FALSE) / VLOOKUP("electricity|PM25|Asthma symptoms wheeze", US_national_yearly!$D:$AM, 10, FALSE), 1)</f>
        <v>8.2589101833937417E-2</v>
      </c>
      <c r="O8" s="7">
        <f>$B8 * IFERROR(VLOOKUP("electricity|PM25|Asthma symptoms wheeze", US_national_yearly!$D:$AM, 23, FALSE) / VLOOKUP("electricity|PM25|Asthma symptoms wheeze", US_national_yearly!$D:$AM, 10, FALSE), 1)</f>
        <v>8.2589101833937417E-2</v>
      </c>
      <c r="P8" s="7">
        <f>$B8 * IFERROR(VLOOKUP("electricity|PM25|Asthma symptoms wheeze", US_national_yearly!$D:$AM, 24, FALSE) / VLOOKUP("electricity|PM25|Asthma symptoms wheeze", US_national_yearly!$D:$AM, 10, FALSE), 1)</f>
        <v>8.2589101833937417E-2</v>
      </c>
      <c r="Q8" s="7">
        <f>$B8 * IFERROR(VLOOKUP("electricity|PM25|Asthma symptoms wheeze", US_national_yearly!$D:$AM, 25, FALSE) / VLOOKUP("electricity|PM25|Asthma symptoms wheeze", US_national_yearly!$D:$AM, 10, FALSE), 1)</f>
        <v>8.2589101833937417E-2</v>
      </c>
      <c r="R8" s="7">
        <f>$B8 * IFERROR(VLOOKUP("electricity|PM25|Asthma symptoms wheeze", US_national_yearly!$D:$AM, 26, FALSE) / VLOOKUP("electricity|PM25|Asthma symptoms wheeze", US_national_yearly!$D:$AM, 10, FALSE), 1)</f>
        <v>8.2589101833937417E-2</v>
      </c>
      <c r="S8" s="7">
        <f>$B8 * IFERROR(VLOOKUP("electricity|PM25|Asthma symptoms wheeze", US_national_yearly!$D:$AM, 27, FALSE) / VLOOKUP("electricity|PM25|Asthma symptoms wheeze", US_national_yearly!$D:$AM, 10, FALSE), 1)</f>
        <v>8.2589101833937417E-2</v>
      </c>
      <c r="T8" s="7">
        <f>$B8 * IFERROR(VLOOKUP("electricity|PM25|Asthma symptoms wheeze", US_national_yearly!$D:$AM, 28, FALSE) / VLOOKUP("electricity|PM25|Asthma symptoms wheeze", US_national_yearly!$D:$AM, 10, FALSE), 1)</f>
        <v>8.2589101833937417E-2</v>
      </c>
      <c r="U8" s="7">
        <f>$B8 * IFERROR(VLOOKUP("electricity|PM25|Asthma symptoms wheeze", US_national_yearly!$D:$AM, 29, FALSE) / VLOOKUP("electricity|PM25|Asthma symptoms wheeze", US_national_yearly!$D:$AM, 10, FALSE), 1)</f>
        <v>8.2589101833937417E-2</v>
      </c>
      <c r="V8" s="7">
        <f>$B8 * IFERROR(VLOOKUP("electricity|PM25|Asthma symptoms wheeze", US_national_yearly!$D:$AM, 30, FALSE) / VLOOKUP("electricity|PM25|Asthma symptoms wheeze", US_national_yearly!$D:$AM, 10, FALSE), 1)</f>
        <v>8.2589101833937417E-2</v>
      </c>
      <c r="W8" s="7">
        <f>$B8 * IFERROR(VLOOKUP("electricity|PM25|Asthma symptoms wheeze", US_national_yearly!$D:$AM, 31, FALSE) / VLOOKUP("electricity|PM25|Asthma symptoms wheeze", US_national_yearly!$D:$AM, 10, FALSE), 1)</f>
        <v>8.2589101833937417E-2</v>
      </c>
      <c r="X8" s="7">
        <f>$B8 * IFERROR(VLOOKUP("electricity|PM25|Asthma symptoms wheeze", US_national_yearly!$D:$AM, 32, FALSE) / VLOOKUP("electricity|PM25|Asthma symptoms wheeze", US_national_yearly!$D:$AM, 10, FALSE), 1)</f>
        <v>8.2589101833937417E-2</v>
      </c>
      <c r="Y8" s="7">
        <f>$B8 * IFERROR(VLOOKUP("electricity|PM25|Asthma symptoms wheeze", US_national_yearly!$D:$AM, 33, FALSE) / VLOOKUP("electricity|PM25|Asthma symptoms wheeze", US_national_yearly!$D:$AM, 10, FALSE), 1)</f>
        <v>8.2589101833937417E-2</v>
      </c>
      <c r="Z8" s="7">
        <f>$B8 * IFERROR(VLOOKUP("electricity|PM25|Asthma symptoms wheeze", US_national_yearly!$D:$AM, 34, FALSE) / VLOOKUP("electricity|PM25|Asthma symptoms wheeze", US_national_yearly!$D:$AM, 10, FALSE), 1)</f>
        <v>8.2589101833937417E-2</v>
      </c>
      <c r="AA8" s="7">
        <f>$B8 * IFERROR(VLOOKUP("electricity|PM25|Asthma symptoms wheeze", US_national_yearly!$D:$AM, 35, FALSE) / VLOOKUP("electricity|PM25|Asthma symptoms wheeze", US_national_yearly!$D:$AM, 10, FALSE), 1)</f>
        <v>8.2589101833937417E-2</v>
      </c>
      <c r="AB8" s="7">
        <f>$B8 * IFERROR(VLOOKUP("electricity|PM25|Asthma symptoms wheeze", US_national_yearly!$D:$AM, 36, FALSE) / VLOOKUP("electricity|PM25|Asthma symptoms wheeze", US_national_yearly!$D:$AM, 10, FALSE), 1)</f>
        <v>8.2589101833937417E-2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9.8144727520098102E-4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9.8684118994257623E-4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9.92235104684171E-4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9.9762901942576643E-4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1.0030229341673612E-3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1.0088050781840421E-3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1.0145872222007233E-3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1.019752977182035E-3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1.0249187321633468E-3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1.0300844871446583E-3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1.03525024212597E-3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1.040415997107282E-3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1.0439004822746741E-3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1.0473849674420665E-3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1.0508694526094589E-3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1.0543539377768512E-3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1.0578384229442436E-3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1.0610854758085746E-3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1.0643325286729054E-3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1.0675795815372363E-3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1.0708266344015671E-3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1.0740736872658979E-3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1.0772844041945829E-3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1.0804951211232678E-3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1.0837058380519526E-3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1.0869165549806375E-3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1.0901272719093225E-3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5.2283161301339767E-3</v>
      </c>
      <c r="C13" s="7">
        <f>$B13 * IFERROR(VLOOKUP("electricity|PM25|Non-fatal heart attacks", US_national_yearly!$D:$AM, 11, FALSE) / VLOOKUP("electricity|PM25|Non-fatal heart attacks", US_national_yearly!$D:$AM, 10, FALSE), 1)</f>
        <v>5.3797533752746683E-3</v>
      </c>
      <c r="D13" s="7">
        <f>$B13 * IFERROR(VLOOKUP("electricity|PM25|Non-fatal heart attacks", US_national_yearly!$D:$AM, 12, FALSE) / VLOOKUP("electricity|PM25|Non-fatal heart attacks", US_national_yearly!$D:$AM, 10, FALSE), 1)</f>
        <v>5.5311906204153589E-3</v>
      </c>
      <c r="E13" s="7">
        <f>$B13 * IFERROR(VLOOKUP("electricity|PM25|Non-fatal heart attacks", US_national_yearly!$D:$AM, 13, FALSE) / VLOOKUP("electricity|PM25|Non-fatal heart attacks", US_national_yearly!$D:$AM, 10, FALSE), 1)</f>
        <v>5.6826278655560487E-3</v>
      </c>
      <c r="F13" s="7">
        <f>$B13 * IFERROR(VLOOKUP("electricity|PM25|Non-fatal heart attacks", US_national_yearly!$D:$AM, 14, FALSE) / VLOOKUP("electricity|PM25|Non-fatal heart attacks", US_national_yearly!$D:$AM, 10, FALSE), 1)</f>
        <v>5.8340651106967402E-3</v>
      </c>
      <c r="G13" s="7">
        <f>$B13 * IFERROR(VLOOKUP("electricity|PM25|Non-fatal heart attacks", US_national_yearly!$D:$AM, 15, FALSE) / VLOOKUP("electricity|PM25|Non-fatal heart attacks", US_national_yearly!$D:$AM, 10, FALSE), 1)</f>
        <v>5.9778043457230689E-3</v>
      </c>
      <c r="H13" s="7">
        <f>$B13 * IFERROR(VLOOKUP("electricity|PM25|Non-fatal heart attacks", US_national_yearly!$D:$AM, 16, FALSE) / VLOOKUP("electricity|PM25|Non-fatal heart attacks", US_national_yearly!$D:$AM, 10, FALSE), 1)</f>
        <v>6.1215435807493966E-3</v>
      </c>
      <c r="I13" s="7">
        <f>$B13 * IFERROR(VLOOKUP("electricity|PM25|Non-fatal heart attacks", US_national_yearly!$D:$AM, 17, FALSE) / VLOOKUP("electricity|PM25|Non-fatal heart attacks", US_national_yearly!$D:$AM, 10, FALSE), 1)</f>
        <v>6.2388178273105376E-3</v>
      </c>
      <c r="J13" s="7">
        <f>$B13 * IFERROR(VLOOKUP("electricity|PM25|Non-fatal heart attacks", US_national_yearly!$D:$AM, 18, FALSE) / VLOOKUP("electricity|PM25|Non-fatal heart attacks", US_national_yearly!$D:$AM, 10, FALSE), 1)</f>
        <v>6.3560920738716794E-3</v>
      </c>
      <c r="K13" s="7">
        <f>$B13 * IFERROR(VLOOKUP("electricity|PM25|Non-fatal heart attacks", US_national_yearly!$D:$AM, 19, FALSE) / VLOOKUP("electricity|PM25|Non-fatal heart attacks", US_national_yearly!$D:$AM, 10, FALSE), 1)</f>
        <v>6.4733663204328195E-3</v>
      </c>
      <c r="L13" s="7">
        <f>$B13 * IFERROR(VLOOKUP("electricity|PM25|Non-fatal heart attacks", US_national_yearly!$D:$AM, 20, FALSE) / VLOOKUP("electricity|PM25|Non-fatal heart attacks", US_national_yearly!$D:$AM, 10, FALSE), 1)</f>
        <v>6.5906405669939588E-3</v>
      </c>
      <c r="M13" s="7">
        <f>$B13 * IFERROR(VLOOKUP("electricity|PM25|Non-fatal heart attacks", US_national_yearly!$D:$AM, 21, FALSE) / VLOOKUP("electricity|PM25|Non-fatal heart attacks", US_national_yearly!$D:$AM, 10, FALSE), 1)</f>
        <v>6.7079148135551015E-3</v>
      </c>
      <c r="N13" s="7">
        <f>$B13 * IFERROR(VLOOKUP("electricity|PM25|Non-fatal heart attacks", US_national_yearly!$D:$AM, 22, FALSE) / VLOOKUP("electricity|PM25|Non-fatal heart attacks", US_national_yearly!$D:$AM, 10, FALSE), 1)</f>
        <v>6.7840106603084599E-3</v>
      </c>
      <c r="O13" s="7">
        <f>$B13 * IFERROR(VLOOKUP("electricity|PM25|Non-fatal heart attacks", US_national_yearly!$D:$AM, 23, FALSE) / VLOOKUP("electricity|PM25|Non-fatal heart attacks", US_national_yearly!$D:$AM, 10, FALSE), 1)</f>
        <v>6.8601065070618174E-3</v>
      </c>
      <c r="P13" s="7">
        <f>$B13 * IFERROR(VLOOKUP("electricity|PM25|Non-fatal heart attacks", US_national_yearly!$D:$AM, 24, FALSE) / VLOOKUP("electricity|PM25|Non-fatal heart attacks", US_national_yearly!$D:$AM, 10, FALSE), 1)</f>
        <v>6.936202353815174E-3</v>
      </c>
      <c r="Q13" s="7">
        <f>$B13 * IFERROR(VLOOKUP("electricity|PM25|Non-fatal heart attacks", US_national_yearly!$D:$AM, 25, FALSE) / VLOOKUP("electricity|PM25|Non-fatal heart attacks", US_national_yearly!$D:$AM, 10, FALSE), 1)</f>
        <v>7.0122982005685324E-3</v>
      </c>
      <c r="R13" s="7">
        <f>$B13 * IFERROR(VLOOKUP("electricity|PM25|Non-fatal heart attacks", US_national_yearly!$D:$AM, 26, FALSE) / VLOOKUP("electricity|PM25|Non-fatal heart attacks", US_national_yearly!$D:$AM, 10, FALSE), 1)</f>
        <v>7.0883940473218899E-3</v>
      </c>
      <c r="S13" s="7">
        <f>$B13 * IFERROR(VLOOKUP("electricity|PM25|Non-fatal heart attacks", US_national_yearly!$D:$AM, 27, FALSE) / VLOOKUP("electricity|PM25|Non-fatal heart attacks", US_national_yearly!$D:$AM, 10, FALSE), 1)</f>
        <v>7.1302867658771989E-3</v>
      </c>
      <c r="T13" s="7">
        <f>$B13 * IFERROR(VLOOKUP("electricity|PM25|Non-fatal heart attacks", US_national_yearly!$D:$AM, 28, FALSE) / VLOOKUP("electricity|PM25|Non-fatal heart attacks", US_national_yearly!$D:$AM, 10, FALSE), 1)</f>
        <v>7.1721794844325087E-3</v>
      </c>
      <c r="U13" s="7">
        <f>$B13 * IFERROR(VLOOKUP("electricity|PM25|Non-fatal heart attacks", US_national_yearly!$D:$AM, 29, FALSE) / VLOOKUP("electricity|PM25|Non-fatal heart attacks", US_national_yearly!$D:$AM, 10, FALSE), 1)</f>
        <v>7.2140722029878177E-3</v>
      </c>
      <c r="V13" s="7">
        <f>$B13 * IFERROR(VLOOKUP("electricity|PM25|Non-fatal heart attacks", US_national_yearly!$D:$AM, 30, FALSE) / VLOOKUP("electricity|PM25|Non-fatal heart attacks", US_national_yearly!$D:$AM, 10, FALSE), 1)</f>
        <v>7.2559649215431267E-3</v>
      </c>
      <c r="W13" s="7">
        <f>$B13 * IFERROR(VLOOKUP("electricity|PM25|Non-fatal heart attacks", US_national_yearly!$D:$AM, 31, FALSE) / VLOOKUP("electricity|PM25|Non-fatal heart attacks", US_national_yearly!$D:$AM, 10, FALSE), 1)</f>
        <v>7.2978576400984365E-3</v>
      </c>
      <c r="X13" s="7">
        <f>$B13 * IFERROR(VLOOKUP("electricity|PM25|Non-fatal heart attacks", US_national_yearly!$D:$AM, 32, FALSE) / VLOOKUP("electricity|PM25|Non-fatal heart attacks", US_national_yearly!$D:$AM, 10, FALSE), 1)</f>
        <v>7.3306309751249611E-3</v>
      </c>
      <c r="Y13" s="7">
        <f>$B13 * IFERROR(VLOOKUP("electricity|PM25|Non-fatal heart attacks", US_national_yearly!$D:$AM, 33, FALSE) / VLOOKUP("electricity|PM25|Non-fatal heart attacks", US_national_yearly!$D:$AM, 10, FALSE), 1)</f>
        <v>7.3634043101514874E-3</v>
      </c>
      <c r="Z13" s="7">
        <f>$B13 * IFERROR(VLOOKUP("electricity|PM25|Non-fatal heart attacks", US_national_yearly!$D:$AM, 34, FALSE) / VLOOKUP("electricity|PM25|Non-fatal heart attacks", US_national_yearly!$D:$AM, 10, FALSE), 1)</f>
        <v>7.396177645178012E-3</v>
      </c>
      <c r="AA13" s="7">
        <f>$B13 * IFERROR(VLOOKUP("electricity|PM25|Non-fatal heart attacks", US_national_yearly!$D:$AM, 35, FALSE) / VLOOKUP("electricity|PM25|Non-fatal heart attacks", US_national_yearly!$D:$AM, 10, FALSE), 1)</f>
        <v>7.4289509802045392E-3</v>
      </c>
      <c r="AB13" s="7">
        <f>$B13 * IFERROR(VLOOKUP("electricity|PM25|Non-fatal heart attacks", US_national_yearly!$D:$AM, 36, FALSE) / VLOOKUP("electricity|PM25|Non-fatal heart attacks", US_national_yearly!$D:$AM, 10, FALSE), 1)</f>
        <v>7.4617243152310638E-3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5.1312283686249236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5.1426193506943987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5.1540103327638747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5.1654013148333506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5.1767922969028266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5.1936951943770264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5.2105980918512254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5.2404440060818454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5.2702899203124653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5.3001358345430845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5.3299817487737053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5.3598276630043244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5.4012325537209334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5.4426374444375423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5.4840423351541521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5.5254472258707619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5.5668521165873708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5.6086141454811793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5.650376174374987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5.6921382032687955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5.733900232162604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5.7756622610564126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5.8114610368074011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5.8472598125583923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5.8830585883093827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5.9188573640603703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5.9546561398113624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0.87118633527209355</v>
      </c>
      <c r="C15" s="7">
        <f>$B15 * IFERROR(VLOOKUP("electricity|PM25|Work loss days", US_national_yearly!$D:$AM, 11, FALSE) / VLOOKUP("electricity|PM25|Work loss days", US_national_yearly!$D:$AM, 10, FALSE), 1)</f>
        <v>0.87367928532929495</v>
      </c>
      <c r="D15" s="7">
        <f>$B15 * IFERROR(VLOOKUP("electricity|PM25|Work loss days", US_national_yearly!$D:$AM, 12, FALSE) / VLOOKUP("electricity|PM25|Work loss days", US_national_yearly!$D:$AM, 10, FALSE), 1)</f>
        <v>0.87617223538649647</v>
      </c>
      <c r="E15" s="7">
        <f>$B15 * IFERROR(VLOOKUP("electricity|PM25|Work loss days", US_national_yearly!$D:$AM, 13, FALSE) / VLOOKUP("electricity|PM25|Work loss days", US_national_yearly!$D:$AM, 10, FALSE), 1)</f>
        <v>0.87866518544369787</v>
      </c>
      <c r="F15" s="7">
        <f>$B15 * IFERROR(VLOOKUP("electricity|PM25|Work loss days", US_national_yearly!$D:$AM, 14, FALSE) / VLOOKUP("electricity|PM25|Work loss days", US_national_yearly!$D:$AM, 10, FALSE), 1)</f>
        <v>0.88115813550089916</v>
      </c>
      <c r="G15" s="7">
        <f>$B15 * IFERROR(VLOOKUP("electricity|PM25|Work loss days", US_national_yearly!$D:$AM, 15, FALSE) / VLOOKUP("electricity|PM25|Work loss days", US_national_yearly!$D:$AM, 10, FALSE), 1)</f>
        <v>0.88438762432479634</v>
      </c>
      <c r="H15" s="7">
        <f>$B15 * IFERROR(VLOOKUP("electricity|PM25|Work loss days", US_national_yearly!$D:$AM, 16, FALSE) / VLOOKUP("electricity|PM25|Work loss days", US_national_yearly!$D:$AM, 10, FALSE), 1)</f>
        <v>0.88761711314869363</v>
      </c>
      <c r="I15" s="7">
        <f>$B15 * IFERROR(VLOOKUP("electricity|PM25|Work loss days", US_national_yearly!$D:$AM, 17, FALSE) / VLOOKUP("electricity|PM25|Work loss days", US_national_yearly!$D:$AM, 10, FALSE), 1)</f>
        <v>0.89247209813074402</v>
      </c>
      <c r="J15" s="7">
        <f>$B15 * IFERROR(VLOOKUP("electricity|PM25|Work loss days", US_national_yearly!$D:$AM, 18, FALSE) / VLOOKUP("electricity|PM25|Work loss days", US_national_yearly!$D:$AM, 10, FALSE), 1)</f>
        <v>0.8973270831127943</v>
      </c>
      <c r="K15" s="7">
        <f>$B15 * IFERROR(VLOOKUP("electricity|PM25|Work loss days", US_national_yearly!$D:$AM, 19, FALSE) / VLOOKUP("electricity|PM25|Work loss days", US_national_yearly!$D:$AM, 10, FALSE), 1)</f>
        <v>0.90218206809484469</v>
      </c>
      <c r="L15" s="7">
        <f>$B15 * IFERROR(VLOOKUP("electricity|PM25|Work loss days", US_national_yearly!$D:$AM, 20, FALSE) / VLOOKUP("electricity|PM25|Work loss days", US_national_yearly!$D:$AM, 10, FALSE), 1)</f>
        <v>0.90703705307689497</v>
      </c>
      <c r="M15" s="7">
        <f>$B15 * IFERROR(VLOOKUP("electricity|PM25|Work loss days", US_national_yearly!$D:$AM, 21, FALSE) / VLOOKUP("electricity|PM25|Work loss days", US_national_yearly!$D:$AM, 10, FALSE), 1)</f>
        <v>0.91189203805894536</v>
      </c>
      <c r="N15" s="7">
        <f>$B15 * IFERROR(VLOOKUP("electricity|PM25|Work loss days", US_national_yearly!$D:$AM, 22, FALSE) / VLOOKUP("electricity|PM25|Work loss days", US_national_yearly!$D:$AM, 10, FALSE), 1)</f>
        <v>0.91816016071584972</v>
      </c>
      <c r="O15" s="7">
        <f>$B15 * IFERROR(VLOOKUP("electricity|PM25|Work loss days", US_national_yearly!$D:$AM, 23, FALSE) / VLOOKUP("electricity|PM25|Work loss days", US_national_yearly!$D:$AM, 10, FALSE), 1)</f>
        <v>0.92442828337275407</v>
      </c>
      <c r="P15" s="7">
        <f>$B15 * IFERROR(VLOOKUP("electricity|PM25|Work loss days", US_national_yearly!$D:$AM, 24, FALSE) / VLOOKUP("electricity|PM25|Work loss days", US_national_yearly!$D:$AM, 10, FALSE), 1)</f>
        <v>0.9306964060296582</v>
      </c>
      <c r="Q15" s="7">
        <f>$B15 * IFERROR(VLOOKUP("electricity|PM25|Work loss days", US_national_yearly!$D:$AM, 25, FALSE) / VLOOKUP("electricity|PM25|Work loss days", US_national_yearly!$D:$AM, 10, FALSE), 1)</f>
        <v>0.93696452868656233</v>
      </c>
      <c r="R15" s="7">
        <f>$B15 * IFERROR(VLOOKUP("electricity|PM25|Work loss days", US_national_yearly!$D:$AM, 26, FALSE) / VLOOKUP("electricity|PM25|Work loss days", US_national_yearly!$D:$AM, 10, FALSE), 1)</f>
        <v>0.94323265134346657</v>
      </c>
      <c r="S15" s="7">
        <f>$B15 * IFERROR(VLOOKUP("electricity|PM25|Work loss days", US_national_yearly!$D:$AM, 27, FALSE) / VLOOKUP("electricity|PM25|Work loss days", US_national_yearly!$D:$AM, 10, FALSE), 1)</f>
        <v>0.95018805412422191</v>
      </c>
      <c r="T15" s="7">
        <f>$B15 * IFERROR(VLOOKUP("electricity|PM25|Work loss days", US_national_yearly!$D:$AM, 28, FALSE) / VLOOKUP("electricity|PM25|Work loss days", US_national_yearly!$D:$AM, 10, FALSE), 1)</f>
        <v>0.95714345690497749</v>
      </c>
      <c r="U15" s="7">
        <f>$B15 * IFERROR(VLOOKUP("electricity|PM25|Work loss days", US_national_yearly!$D:$AM, 29, FALSE) / VLOOKUP("electricity|PM25|Work loss days", US_national_yearly!$D:$AM, 10, FALSE), 1)</f>
        <v>0.96409885968573306</v>
      </c>
      <c r="V15" s="7">
        <f>$B15 * IFERROR(VLOOKUP("electricity|PM25|Work loss days", US_national_yearly!$D:$AM, 30, FALSE) / VLOOKUP("electricity|PM25|Work loss days", US_national_yearly!$D:$AM, 10, FALSE), 1)</f>
        <v>0.97105426246648863</v>
      </c>
      <c r="W15" s="7">
        <f>$B15 * IFERROR(VLOOKUP("electricity|PM25|Work loss days", US_national_yearly!$D:$AM, 31, FALSE) / VLOOKUP("electricity|PM25|Work loss days", US_national_yearly!$D:$AM, 10, FALSE), 1)</f>
        <v>0.97800966524724398</v>
      </c>
      <c r="X15" s="7">
        <f>$B15 * IFERROR(VLOOKUP("electricity|PM25|Work loss days", US_national_yearly!$D:$AM, 32, FALSE) / VLOOKUP("electricity|PM25|Work loss days", US_national_yearly!$D:$AM, 10, FALSE), 1)</f>
        <v>0.98414547178046596</v>
      </c>
      <c r="Y15" s="7">
        <f>$B15 * IFERROR(VLOOKUP("electricity|PM25|Work loss days", US_national_yearly!$D:$AM, 33, FALSE) / VLOOKUP("electricity|PM25|Work loss days", US_national_yearly!$D:$AM, 10, FALSE), 1)</f>
        <v>0.99028127831368751</v>
      </c>
      <c r="Z15" s="7">
        <f>$B15 * IFERROR(VLOOKUP("electricity|PM25|Work loss days", US_national_yearly!$D:$AM, 34, FALSE) / VLOOKUP("electricity|PM25|Work loss days", US_national_yearly!$D:$AM, 10, FALSE), 1)</f>
        <v>0.99641708484690938</v>
      </c>
      <c r="AA15" s="7">
        <f>$B15 * IFERROR(VLOOKUP("electricity|PM25|Work loss days", US_national_yearly!$D:$AM, 35, FALSE) / VLOOKUP("electricity|PM25|Work loss days", US_national_yearly!$D:$AM, 10, FALSE), 1)</f>
        <v>1.0025528913801314</v>
      </c>
      <c r="AB15" s="7">
        <f>$B15 * IFERROR(VLOOKUP("electricity|PM25|Work loss days", US_national_yearly!$D:$AM, 36, FALSE) / VLOOKUP("electricity|PM25|Work loss days", US_national_yearly!$D:$AM, 10, FALSE), 1)</f>
        <v>1.0086886979133531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1.2083317014763811E-3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1.2441888349600308E-3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1.2800459684436806E-3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1.3159031019273303E-3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1.3517602354109802E-3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1.3863443850274839E-3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1.4209285346439878E-3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1.4508880736492961E-3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1.4808476126546043E-3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1.5108071516599124E-3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1.5407666906652206E-3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1.5707262296705286E-3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1.5908657184833025E-3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1.6110052072960761E-3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1.6311446961088498E-3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1.6512841849216238E-3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1.6714236737343975E-3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1.6825386844927053E-3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1.6936536952510126E-3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1.7047687060093204E-3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1.7158837167676282E-3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1.7269987275259358E-3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1.7347531609689351E-3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1.7425075944119341E-3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1.7502620278549335E-3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1.7580164612979333E-3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1.7657708947409327E-3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2.5203982677557283E-4</v>
      </c>
      <c r="C2" s="7">
        <f>$B2 * IFERROR(VLOOKUP("electricity|NOx|Premature mortality", US_national_yearly!$D:$AM, 11, FALSE) / VLOOKUP("electricity|NOx|Premature mortality", US_national_yearly!$D:$AM, 10, FALSE), 1)</f>
        <v>2.5585334907421621E-4</v>
      </c>
      <c r="D2" s="7">
        <f>$B2 * IFERROR(VLOOKUP("electricity|NOx|Premature mortality", US_national_yearly!$D:$AM, 12, FALSE) / VLOOKUP("electricity|NOx|Premature mortality", US_national_yearly!$D:$AM, 10, FALSE), 1)</f>
        <v>2.5966687137285959E-4</v>
      </c>
      <c r="E2" s="7">
        <f>$B2 * IFERROR(VLOOKUP("electricity|NOx|Premature mortality", US_national_yearly!$D:$AM, 13, FALSE) / VLOOKUP("electricity|NOx|Premature mortality", US_national_yearly!$D:$AM, 10, FALSE), 1)</f>
        <v>2.6348039367150297E-4</v>
      </c>
      <c r="F2" s="7">
        <f>$B2 * IFERROR(VLOOKUP("electricity|NOx|Premature mortality", US_national_yearly!$D:$AM, 14, FALSE) / VLOOKUP("electricity|NOx|Premature mortality", US_national_yearly!$D:$AM, 10, FALSE), 1)</f>
        <v>2.6729391597014635E-4</v>
      </c>
      <c r="G2" s="7">
        <f>$B2 * IFERROR(VLOOKUP("electricity|NOx|Premature mortality", US_national_yearly!$D:$AM, 15, FALSE) / VLOOKUP("electricity|NOx|Premature mortality", US_national_yearly!$D:$AM, 10, FALSE), 1)</f>
        <v>2.7410627128312821E-4</v>
      </c>
      <c r="H2" s="7">
        <f>$B2 * IFERROR(VLOOKUP("electricity|NOx|Premature mortality", US_national_yearly!$D:$AM, 16, FALSE) / VLOOKUP("electricity|NOx|Premature mortality", US_national_yearly!$D:$AM, 10, FALSE), 1)</f>
        <v>2.8091862659611002E-4</v>
      </c>
      <c r="I2" s="7">
        <f>$B2 * IFERROR(VLOOKUP("electricity|NOx|Premature mortality", US_national_yearly!$D:$AM, 17, FALSE) / VLOOKUP("electricity|NOx|Premature mortality", US_national_yearly!$D:$AM, 10, FALSE), 1)</f>
        <v>2.8544571651773496E-4</v>
      </c>
      <c r="J2" s="7">
        <f>$B2 * IFERROR(VLOOKUP("electricity|NOx|Premature mortality", US_national_yearly!$D:$AM, 18, FALSE) / VLOOKUP("electricity|NOx|Premature mortality", US_national_yearly!$D:$AM, 10, FALSE), 1)</f>
        <v>2.8997280643936E-4</v>
      </c>
      <c r="K2" s="7">
        <f>$B2 * IFERROR(VLOOKUP("electricity|NOx|Premature mortality", US_national_yearly!$D:$AM, 19, FALSE) / VLOOKUP("electricity|NOx|Premature mortality", US_national_yearly!$D:$AM, 10, FALSE), 1)</f>
        <v>2.9449989636098494E-4</v>
      </c>
      <c r="L2" s="7">
        <f>$B2 * IFERROR(VLOOKUP("electricity|NOx|Premature mortality", US_national_yearly!$D:$AM, 20, FALSE) / VLOOKUP("electricity|NOx|Premature mortality", US_national_yearly!$D:$AM, 10, FALSE), 1)</f>
        <v>2.9902698628260987E-4</v>
      </c>
      <c r="M2" s="7">
        <f>$B2 * IFERROR(VLOOKUP("electricity|NOx|Premature mortality", US_national_yearly!$D:$AM, 21, FALSE) / VLOOKUP("electricity|NOx|Premature mortality", US_national_yearly!$D:$AM, 10, FALSE), 1)</f>
        <v>3.035540762042348E-4</v>
      </c>
      <c r="N2" s="7">
        <f>$B2 * IFERROR(VLOOKUP("electricity|NOx|Premature mortality", US_national_yearly!$D:$AM, 22, FALSE) / VLOOKUP("electricity|NOx|Premature mortality", US_national_yearly!$D:$AM, 10, FALSE), 1)</f>
        <v>3.070472494324825E-4</v>
      </c>
      <c r="O2" s="7">
        <f>$B2 * IFERROR(VLOOKUP("electricity|NOx|Premature mortality", US_national_yearly!$D:$AM, 23, FALSE) / VLOOKUP("electricity|NOx|Premature mortality", US_national_yearly!$D:$AM, 10, FALSE), 1)</f>
        <v>3.1054042266073035E-4</v>
      </c>
      <c r="P2" s="7">
        <f>$B2 * IFERROR(VLOOKUP("electricity|NOx|Premature mortality", US_national_yearly!$D:$AM, 24, FALSE) / VLOOKUP("electricity|NOx|Premature mortality", US_national_yearly!$D:$AM, 10, FALSE), 1)</f>
        <v>3.1403359588897805E-4</v>
      </c>
      <c r="Q2" s="7">
        <f>$B2 * IFERROR(VLOOKUP("electricity|NOx|Premature mortality", US_national_yearly!$D:$AM, 25, FALSE) / VLOOKUP("electricity|NOx|Premature mortality", US_national_yearly!$D:$AM, 10, FALSE), 1)</f>
        <v>3.1752676911722579E-4</v>
      </c>
      <c r="R2" s="7">
        <f>$B2 * IFERROR(VLOOKUP("electricity|NOx|Premature mortality", US_national_yearly!$D:$AM, 26, FALSE) / VLOOKUP("electricity|NOx|Premature mortality", US_national_yearly!$D:$AM, 10, FALSE), 1)</f>
        <v>3.2101994234547354E-4</v>
      </c>
      <c r="S2" s="7">
        <f>$B2 * IFERROR(VLOOKUP("electricity|NOx|Premature mortality", US_national_yearly!$D:$AM, 27, FALSE) / VLOOKUP("electricity|NOx|Premature mortality", US_national_yearly!$D:$AM, 10, FALSE), 1)</f>
        <v>3.2282501121413612E-4</v>
      </c>
      <c r="T2" s="7">
        <f>$B2 * IFERROR(VLOOKUP("electricity|NOx|Premature mortality", US_national_yearly!$D:$AM, 28, FALSE) / VLOOKUP("electricity|NOx|Premature mortality", US_national_yearly!$D:$AM, 10, FALSE), 1)</f>
        <v>3.246300800827987E-4</v>
      </c>
      <c r="U2" s="7">
        <f>$B2 * IFERROR(VLOOKUP("electricity|NOx|Premature mortality", US_national_yearly!$D:$AM, 29, FALSE) / VLOOKUP("electricity|NOx|Premature mortality", US_national_yearly!$D:$AM, 10, FALSE), 1)</f>
        <v>3.2643514895146138E-4</v>
      </c>
      <c r="V2" s="7">
        <f>$B2 * IFERROR(VLOOKUP("electricity|NOx|Premature mortality", US_national_yearly!$D:$AM, 30, FALSE) / VLOOKUP("electricity|NOx|Premature mortality", US_national_yearly!$D:$AM, 10, FALSE), 1)</f>
        <v>3.2824021782012396E-4</v>
      </c>
      <c r="W2" s="7">
        <f>$B2 * IFERROR(VLOOKUP("electricity|NOx|Premature mortality", US_national_yearly!$D:$AM, 31, FALSE) / VLOOKUP("electricity|NOx|Premature mortality", US_national_yearly!$D:$AM, 10, FALSE), 1)</f>
        <v>3.3004528668878654E-4</v>
      </c>
      <c r="X2" s="7">
        <f>$B2 * IFERROR(VLOOKUP("electricity|NOx|Premature mortality", US_national_yearly!$D:$AM, 32, FALSE) / VLOOKUP("electricity|NOx|Premature mortality", US_national_yearly!$D:$AM, 10, FALSE), 1)</f>
        <v>3.3045364934361282E-4</v>
      </c>
      <c r="Y2" s="7">
        <f>$B2 * IFERROR(VLOOKUP("electricity|NOx|Premature mortality", US_national_yearly!$D:$AM, 33, FALSE) / VLOOKUP("electricity|NOx|Premature mortality", US_national_yearly!$D:$AM, 10, FALSE), 1)</f>
        <v>3.308620119984391E-4</v>
      </c>
      <c r="Z2" s="7">
        <f>$B2 * IFERROR(VLOOKUP("electricity|NOx|Premature mortality", US_national_yearly!$D:$AM, 34, FALSE) / VLOOKUP("electricity|NOx|Premature mortality", US_national_yearly!$D:$AM, 10, FALSE), 1)</f>
        <v>3.3127037465326538E-4</v>
      </c>
      <c r="AA2" s="7">
        <f>$B2 * IFERROR(VLOOKUP("electricity|NOx|Premature mortality", US_national_yearly!$D:$AM, 35, FALSE) / VLOOKUP("electricity|NOx|Premature mortality", US_national_yearly!$D:$AM, 10, FALSE), 1)</f>
        <v>3.3167873730809161E-4</v>
      </c>
      <c r="AB2" s="7">
        <f>$B2 * IFERROR(VLOOKUP("electricity|NOx|Premature mortality", US_national_yearly!$D:$AM, 36, FALSE) / VLOOKUP("electricity|NOx|Premature mortality", US_national_yearly!$D:$AM, 10, FALSE), 1)</f>
        <v>3.3208709996291789E-4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6.734392500229951E-7</v>
      </c>
      <c r="C3" s="7">
        <f>$B3 * IFERROR(VLOOKUP("electricity|NOx|Infant mortality", US_national_yearly!$D:$AM, 11, FALSE) / VLOOKUP("electricity|NOx|Infant mortality", US_national_yearly!$D:$AM, 10, FALSE), 1)</f>
        <v>6.6713884106850136E-7</v>
      </c>
      <c r="D3" s="7">
        <f>$B3 * IFERROR(VLOOKUP("electricity|NOx|Infant mortality", US_national_yearly!$D:$AM, 12, FALSE) / VLOOKUP("electricity|NOx|Infant mortality", US_national_yearly!$D:$AM, 10, FALSE), 1)</f>
        <v>6.6083843211400752E-7</v>
      </c>
      <c r="E3" s="7">
        <f>$B3 * IFERROR(VLOOKUP("electricity|NOx|Infant mortality", US_national_yearly!$D:$AM, 13, FALSE) / VLOOKUP("electricity|NOx|Infant mortality", US_national_yearly!$D:$AM, 10, FALSE), 1)</f>
        <v>6.5453802315951389E-7</v>
      </c>
      <c r="F3" s="7">
        <f>$B3 * IFERROR(VLOOKUP("electricity|NOx|Infant mortality", US_national_yearly!$D:$AM, 14, FALSE) / VLOOKUP("electricity|NOx|Infant mortality", US_national_yearly!$D:$AM, 10, FALSE), 1)</f>
        <v>6.4823761420502005E-7</v>
      </c>
      <c r="G3" s="7">
        <f>$B3 * IFERROR(VLOOKUP("electricity|NOx|Infant mortality", US_national_yearly!$D:$AM, 15, FALSE) / VLOOKUP("electricity|NOx|Infant mortality", US_national_yearly!$D:$AM, 10, FALSE), 1)</f>
        <v>4.2948953544537312E-7</v>
      </c>
      <c r="H3" s="7">
        <f>$B3 * IFERROR(VLOOKUP("electricity|NOx|Infant mortality", US_national_yearly!$D:$AM, 16, FALSE) / VLOOKUP("electricity|NOx|Infant mortality", US_national_yearly!$D:$AM, 10, FALSE), 1)</f>
        <v>2.1074145668572625E-7</v>
      </c>
      <c r="I3" s="7">
        <f>$B3 * IFERROR(VLOOKUP("electricity|NOx|Infant mortality", US_national_yearly!$D:$AM, 17, FALSE) / VLOOKUP("electricity|NOx|Infant mortality", US_national_yearly!$D:$AM, 10, FALSE), 1)</f>
        <v>2.0920882965131285E-7</v>
      </c>
      <c r="J3" s="7">
        <f>$B3 * IFERROR(VLOOKUP("electricity|NOx|Infant mortality", US_national_yearly!$D:$AM, 18, FALSE) / VLOOKUP("electricity|NOx|Infant mortality", US_national_yearly!$D:$AM, 10, FALSE), 1)</f>
        <v>2.0767620261689945E-7</v>
      </c>
      <c r="K3" s="7">
        <f>$B3 * IFERROR(VLOOKUP("electricity|NOx|Infant mortality", US_national_yearly!$D:$AM, 19, FALSE) / VLOOKUP("electricity|NOx|Infant mortality", US_national_yearly!$D:$AM, 10, FALSE), 1)</f>
        <v>2.0614357558248607E-7</v>
      </c>
      <c r="L3" s="7">
        <f>$B3 * IFERROR(VLOOKUP("electricity|NOx|Infant mortality", US_national_yearly!$D:$AM, 20, FALSE) / VLOOKUP("electricity|NOx|Infant mortality", US_national_yearly!$D:$AM, 10, FALSE), 1)</f>
        <v>2.0461094854807267E-7</v>
      </c>
      <c r="M3" s="7">
        <f>$B3 * IFERROR(VLOOKUP("electricity|NOx|Infant mortality", US_national_yearly!$D:$AM, 21, FALSE) / VLOOKUP("electricity|NOx|Infant mortality", US_national_yearly!$D:$AM, 10, FALSE), 1)</f>
        <v>2.0307832151365924E-7</v>
      </c>
      <c r="N3" s="7">
        <f>$B3 * IFERROR(VLOOKUP("electricity|NOx|Infant mortality", US_national_yearly!$D:$AM, 22, FALSE) / VLOOKUP("electricity|NOx|Infant mortality", US_national_yearly!$D:$AM, 10, FALSE), 1)</f>
        <v>2.0204915145056295E-7</v>
      </c>
      <c r="O3" s="7">
        <f>$B3 * IFERROR(VLOOKUP("electricity|NOx|Infant mortality", US_national_yearly!$D:$AM, 23, FALSE) / VLOOKUP("electricity|NOx|Infant mortality", US_national_yearly!$D:$AM, 10, FALSE), 1)</f>
        <v>2.0101998138746661E-7</v>
      </c>
      <c r="P3" s="7">
        <f>$B3 * IFERROR(VLOOKUP("electricity|NOx|Infant mortality", US_national_yearly!$D:$AM, 24, FALSE) / VLOOKUP("electricity|NOx|Infant mortality", US_national_yearly!$D:$AM, 10, FALSE), 1)</f>
        <v>1.999908113243703E-7</v>
      </c>
      <c r="Q3" s="7">
        <f>$B3 * IFERROR(VLOOKUP("electricity|NOx|Infant mortality", US_national_yearly!$D:$AM, 25, FALSE) / VLOOKUP("electricity|NOx|Infant mortality", US_national_yearly!$D:$AM, 10, FALSE), 1)</f>
        <v>1.9896164126127398E-7</v>
      </c>
      <c r="R3" s="7">
        <f>$B3 * IFERROR(VLOOKUP("electricity|NOx|Infant mortality", US_national_yearly!$D:$AM, 26, FALSE) / VLOOKUP("electricity|NOx|Infant mortality", US_national_yearly!$D:$AM, 10, FALSE), 1)</f>
        <v>1.9793247119817769E-7</v>
      </c>
      <c r="S3" s="7">
        <f>$B3 * IFERROR(VLOOKUP("electricity|NOx|Infant mortality", US_national_yearly!$D:$AM, 27, FALSE) / VLOOKUP("electricity|NOx|Infant mortality", US_national_yearly!$D:$AM, 10, FALSE), 1)</f>
        <v>1.9671066710900507E-7</v>
      </c>
      <c r="T3" s="7">
        <f>$B3 * IFERROR(VLOOKUP("electricity|NOx|Infant mortality", US_national_yearly!$D:$AM, 28, FALSE) / VLOOKUP("electricity|NOx|Infant mortality", US_national_yearly!$D:$AM, 10, FALSE), 1)</f>
        <v>1.9548886301983245E-7</v>
      </c>
      <c r="U3" s="7">
        <f>$B3 * IFERROR(VLOOKUP("electricity|NOx|Infant mortality", US_national_yearly!$D:$AM, 29, FALSE) / VLOOKUP("electricity|NOx|Infant mortality", US_national_yearly!$D:$AM, 10, FALSE), 1)</f>
        <v>1.9426705893065988E-7</v>
      </c>
      <c r="V3" s="7">
        <f>$B3 * IFERROR(VLOOKUP("electricity|NOx|Infant mortality", US_national_yearly!$D:$AM, 30, FALSE) / VLOOKUP("electricity|NOx|Infant mortality", US_national_yearly!$D:$AM, 10, FALSE), 1)</f>
        <v>1.9304525484148728E-7</v>
      </c>
      <c r="W3" s="7">
        <f>$B3 * IFERROR(VLOOKUP("electricity|NOx|Infant mortality", US_national_yearly!$D:$AM, 31, FALSE) / VLOOKUP("electricity|NOx|Infant mortality", US_national_yearly!$D:$AM, 10, FALSE), 1)</f>
        <v>1.9182345075231468E-7</v>
      </c>
      <c r="X3" s="7">
        <f>$B3 * IFERROR(VLOOKUP("electricity|NOx|Infant mortality", US_national_yearly!$D:$AM, 32, FALSE) / VLOOKUP("electricity|NOx|Infant mortality", US_national_yearly!$D:$AM, 10, FALSE), 1)</f>
        <v>1.9056539039394237E-7</v>
      </c>
      <c r="Y3" s="7">
        <f>$B3 * IFERROR(VLOOKUP("electricity|NOx|Infant mortality", US_national_yearly!$D:$AM, 33, FALSE) / VLOOKUP("electricity|NOx|Infant mortality", US_national_yearly!$D:$AM, 10, FALSE), 1)</f>
        <v>1.8930733003557006E-7</v>
      </c>
      <c r="Z3" s="7">
        <f>$B3 * IFERROR(VLOOKUP("electricity|NOx|Infant mortality", US_national_yearly!$D:$AM, 34, FALSE) / VLOOKUP("electricity|NOx|Infant mortality", US_national_yearly!$D:$AM, 10, FALSE), 1)</f>
        <v>1.8804926967719777E-7</v>
      </c>
      <c r="AA3" s="7">
        <f>$B3 * IFERROR(VLOOKUP("electricity|NOx|Infant mortality", US_national_yearly!$D:$AM, 35, FALSE) / VLOOKUP("electricity|NOx|Infant mortality", US_national_yearly!$D:$AM, 10, FALSE), 1)</f>
        <v>1.8679120931882546E-7</v>
      </c>
      <c r="AB3" s="7">
        <f>$B3 * IFERROR(VLOOKUP("electricity|NOx|Infant mortality", US_national_yearly!$D:$AM, 36, FALSE) / VLOOKUP("electricity|NOx|Infant mortality", US_national_yearly!$D:$AM, 10, FALSE), 1)</f>
        <v>1.8553314896045313E-7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6.4815926902190082E-4</v>
      </c>
      <c r="C6" s="7">
        <f>$B6 * IFERROR(VLOOKUP("electricity|NOx|Asthma symptoms cough", US_national_yearly!$D:$AM, 11, FALSE) / VLOOKUP("electricity|NOx|Asthma symptoms cough", US_national_yearly!$D:$AM, 10, FALSE), 1)</f>
        <v>6.5705767323649428E-4</v>
      </c>
      <c r="D6" s="7">
        <f>$B6 * IFERROR(VLOOKUP("electricity|NOx|Asthma symptoms cough", US_national_yearly!$D:$AM, 12, FALSE) / VLOOKUP("electricity|NOx|Asthma symptoms cough", US_national_yearly!$D:$AM, 10, FALSE), 1)</f>
        <v>6.6595607745108796E-4</v>
      </c>
      <c r="E6" s="7">
        <f>$B6 * IFERROR(VLOOKUP("electricity|NOx|Asthma symptoms cough", US_national_yearly!$D:$AM, 13, FALSE) / VLOOKUP("electricity|NOx|Asthma symptoms cough", US_national_yearly!$D:$AM, 10, FALSE), 1)</f>
        <v>6.7485448166568142E-4</v>
      </c>
      <c r="F6" s="7">
        <f>$B6 * IFERROR(VLOOKUP("electricity|NOx|Asthma symptoms cough", US_national_yearly!$D:$AM, 14, FALSE) / VLOOKUP("electricity|NOx|Asthma symptoms cough", US_national_yearly!$D:$AM, 10, FALSE), 1)</f>
        <v>6.8375288588027488E-4</v>
      </c>
      <c r="G6" s="7">
        <f>$B6 * IFERROR(VLOOKUP("electricity|NOx|Asthma symptoms cough", US_national_yearly!$D:$AM, 15, FALSE) / VLOOKUP("electricity|NOx|Asthma symptoms cough", US_national_yearly!$D:$AM, 10, FALSE), 1)</f>
        <v>6.909877603200683E-4</v>
      </c>
      <c r="H6" s="7">
        <f>$B6 * IFERROR(VLOOKUP("electricity|NOx|Asthma symptoms cough", US_national_yearly!$D:$AM, 16, FALSE) / VLOOKUP("electricity|NOx|Asthma symptoms cough", US_national_yearly!$D:$AM, 10, FALSE), 1)</f>
        <v>6.9822263475986172E-4</v>
      </c>
      <c r="I6" s="7">
        <f>$B6 * IFERROR(VLOOKUP("electricity|NOx|Asthma symptoms cough", US_national_yearly!$D:$AM, 17, FALSE) / VLOOKUP("electricity|NOx|Asthma symptoms cough", US_national_yearly!$D:$AM, 10, FALSE), 1)</f>
        <v>7.0091211282178483E-4</v>
      </c>
      <c r="J6" s="7">
        <f>$B6 * IFERROR(VLOOKUP("electricity|NOx|Asthma symptoms cough", US_national_yearly!$D:$AM, 18, FALSE) / VLOOKUP("electricity|NOx|Asthma symptoms cough", US_national_yearly!$D:$AM, 10, FALSE), 1)</f>
        <v>7.0360159088370784E-4</v>
      </c>
      <c r="K6" s="7">
        <f>$B6 * IFERROR(VLOOKUP("electricity|NOx|Asthma symptoms cough", US_national_yearly!$D:$AM, 19, FALSE) / VLOOKUP("electricity|NOx|Asthma symptoms cough", US_national_yearly!$D:$AM, 10, FALSE), 1)</f>
        <v>7.0629106894563106E-4</v>
      </c>
      <c r="L6" s="7">
        <f>$B6 * IFERROR(VLOOKUP("electricity|NOx|Asthma symptoms cough", US_national_yearly!$D:$AM, 20, FALSE) / VLOOKUP("electricity|NOx|Asthma symptoms cough", US_national_yearly!$D:$AM, 10, FALSE), 1)</f>
        <v>7.0898054700755406E-4</v>
      </c>
      <c r="M6" s="7">
        <f>$B6 * IFERROR(VLOOKUP("electricity|NOx|Asthma symptoms cough", US_national_yearly!$D:$AM, 21, FALSE) / VLOOKUP("electricity|NOx|Asthma symptoms cough", US_national_yearly!$D:$AM, 10, FALSE), 1)</f>
        <v>7.1167002506947728E-4</v>
      </c>
      <c r="N6" s="7">
        <f>$B6 * IFERROR(VLOOKUP("electricity|NOx|Asthma symptoms cough", US_national_yearly!$D:$AM, 22, FALSE) / VLOOKUP("electricity|NOx|Asthma symptoms cough", US_national_yearly!$D:$AM, 10, FALSE), 1)</f>
        <v>7.1464994436000906E-4</v>
      </c>
      <c r="O6" s="7">
        <f>$B6 * IFERROR(VLOOKUP("electricity|NOx|Asthma symptoms cough", US_national_yearly!$D:$AM, 23, FALSE) / VLOOKUP("electricity|NOx|Asthma symptoms cough", US_national_yearly!$D:$AM, 10, FALSE), 1)</f>
        <v>7.1762986365054096E-4</v>
      </c>
      <c r="P6" s="7">
        <f>$B6 * IFERROR(VLOOKUP("electricity|NOx|Asthma symptoms cough", US_national_yearly!$D:$AM, 24, FALSE) / VLOOKUP("electricity|NOx|Asthma symptoms cough", US_national_yearly!$D:$AM, 10, FALSE), 1)</f>
        <v>7.2060978294107285E-4</v>
      </c>
      <c r="Q6" s="7">
        <f>$B6 * IFERROR(VLOOKUP("electricity|NOx|Asthma symptoms cough", US_national_yearly!$D:$AM, 25, FALSE) / VLOOKUP("electricity|NOx|Asthma symptoms cough", US_national_yearly!$D:$AM, 10, FALSE), 1)</f>
        <v>7.2358970223160475E-4</v>
      </c>
      <c r="R6" s="7">
        <f>$B6 * IFERROR(VLOOKUP("electricity|NOx|Asthma symptoms cough", US_national_yearly!$D:$AM, 26, FALSE) / VLOOKUP("electricity|NOx|Asthma symptoms cough", US_national_yearly!$D:$AM, 10, FALSE), 1)</f>
        <v>7.2656962152213653E-4</v>
      </c>
      <c r="S6" s="7">
        <f>$B6 * IFERROR(VLOOKUP("electricity|NOx|Asthma symptoms cough", US_national_yearly!$D:$AM, 27, FALSE) / VLOOKUP("electricity|NOx|Asthma symptoms cough", US_national_yearly!$D:$AM, 10, FALSE), 1)</f>
        <v>7.3028734525158344E-4</v>
      </c>
      <c r="T6" s="7">
        <f>$B6 * IFERROR(VLOOKUP("electricity|NOx|Asthma symptoms cough", US_national_yearly!$D:$AM, 28, FALSE) / VLOOKUP("electricity|NOx|Asthma symptoms cough", US_national_yearly!$D:$AM, 10, FALSE), 1)</f>
        <v>7.3400506898103023E-4</v>
      </c>
      <c r="U6" s="7">
        <f>$B6 * IFERROR(VLOOKUP("electricity|NOx|Asthma symptoms cough", US_national_yearly!$D:$AM, 29, FALSE) / VLOOKUP("electricity|NOx|Asthma symptoms cough", US_national_yearly!$D:$AM, 10, FALSE), 1)</f>
        <v>7.3772279271047735E-4</v>
      </c>
      <c r="V6" s="7">
        <f>$B6 * IFERROR(VLOOKUP("electricity|NOx|Asthma symptoms cough", US_national_yearly!$D:$AM, 30, FALSE) / VLOOKUP("electricity|NOx|Asthma symptoms cough", US_national_yearly!$D:$AM, 10, FALSE), 1)</f>
        <v>7.4144051643992403E-4</v>
      </c>
      <c r="W6" s="7">
        <f>$B6 * IFERROR(VLOOKUP("electricity|NOx|Asthma symptoms cough", US_national_yearly!$D:$AM, 31, FALSE) / VLOOKUP("electricity|NOx|Asthma symptoms cough", US_national_yearly!$D:$AM, 10, FALSE), 1)</f>
        <v>7.4515824016937093E-4</v>
      </c>
      <c r="X6" s="7">
        <f>$B6 * IFERROR(VLOOKUP("electricity|NOx|Asthma symptoms cough", US_national_yearly!$D:$AM, 32, FALSE) / VLOOKUP("electricity|NOx|Asthma symptoms cough", US_national_yearly!$D:$AM, 10, FALSE), 1)</f>
        <v>7.4858340385776584E-4</v>
      </c>
      <c r="Y6" s="7">
        <f>$B6 * IFERROR(VLOOKUP("electricity|NOx|Asthma symptoms cough", US_national_yearly!$D:$AM, 33, FALSE) / VLOOKUP("electricity|NOx|Asthma symptoms cough", US_national_yearly!$D:$AM, 10, FALSE), 1)</f>
        <v>7.5200856754616076E-4</v>
      </c>
      <c r="Z6" s="7">
        <f>$B6 * IFERROR(VLOOKUP("electricity|NOx|Asthma symptoms cough", US_national_yearly!$D:$AM, 34, FALSE) / VLOOKUP("electricity|NOx|Asthma symptoms cough", US_national_yearly!$D:$AM, 10, FALSE), 1)</f>
        <v>7.5543373123455567E-4</v>
      </c>
      <c r="AA6" s="7">
        <f>$B6 * IFERROR(VLOOKUP("electricity|NOx|Asthma symptoms cough", US_national_yearly!$D:$AM, 35, FALSE) / VLOOKUP("electricity|NOx|Asthma symptoms cough", US_national_yearly!$D:$AM, 10, FALSE), 1)</f>
        <v>7.5885889492295047E-4</v>
      </c>
      <c r="AB6" s="7">
        <f>$B6 * IFERROR(VLOOKUP("electricity|NOx|Asthma symptoms cough", US_national_yearly!$D:$AM, 36, FALSE) / VLOOKUP("electricity|NOx|Asthma symptoms cough", US_national_yearly!$D:$AM, 10, FALSE), 1)</f>
        <v>7.6228405861134549E-4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8.72841451083117E-4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8.8482445650124846E-4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8.9680746191938014E-4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9.087904673375116E-4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9.2077347275564307E-4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9.3051629151397175E-4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9.4025911027230023E-4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9.4388088662273359E-4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9.4750266297316651E-4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9.5112443932359955E-4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9.5474621567403248E-4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9.5836799202446562E-4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9.6238089006055942E-4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9.6639378809665344E-4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9.7040668613274713E-4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9.7441958416884114E-4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9.7843248220493484E-4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9.8343894205717305E-4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9.8844540190941126E-4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9.9345186176164947E-4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9.9845832161388746E-4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1.0034647814661257E-3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1.0080772663442082E-3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1.0126897512222912E-3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1.0173022361003737E-3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1.0219147209784565E-3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1.0265272058565394E-3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1.3335504482797824E-3</v>
      </c>
      <c r="C8" s="7">
        <f>$B8 * IFERROR(VLOOKUP("electricity|NOx|Asthma symptoms wheeze", US_national_yearly!$D:$AM, 11, FALSE) / VLOOKUP("electricity|NOx|Asthma symptoms wheeze", US_national_yearly!$D:$AM, 10, FALSE), 1)</f>
        <v>1.3518584035824553E-3</v>
      </c>
      <c r="D8" s="7">
        <f>$B8 * IFERROR(VLOOKUP("electricity|NOx|Asthma symptoms wheeze", US_national_yearly!$D:$AM, 12, FALSE) / VLOOKUP("electricity|NOx|Asthma symptoms wheeze", US_national_yearly!$D:$AM, 10, FALSE), 1)</f>
        <v>1.3701663588851279E-3</v>
      </c>
      <c r="E8" s="7">
        <f>$B8 * IFERROR(VLOOKUP("electricity|NOx|Asthma symptoms wheeze", US_national_yearly!$D:$AM, 13, FALSE) / VLOOKUP("electricity|NOx|Asthma symptoms wheeze", US_national_yearly!$D:$AM, 10, FALSE), 1)</f>
        <v>1.3884743141878008E-3</v>
      </c>
      <c r="F8" s="7">
        <f>$B8 * IFERROR(VLOOKUP("electricity|NOx|Asthma symptoms wheeze", US_national_yearly!$D:$AM, 14, FALSE) / VLOOKUP("electricity|NOx|Asthma symptoms wheeze", US_national_yearly!$D:$AM, 10, FALSE), 1)</f>
        <v>1.4067822694904739E-3</v>
      </c>
      <c r="G8" s="7">
        <f>$B8 * IFERROR(VLOOKUP("electricity|NOx|Asthma symptoms wheeze", US_national_yearly!$D:$AM, 15, FALSE) / VLOOKUP("electricity|NOx|Asthma symptoms wheeze", US_national_yearly!$D:$AM, 10, FALSE), 1)</f>
        <v>1.4216676078770522E-3</v>
      </c>
      <c r="H8" s="7">
        <f>$B8 * IFERROR(VLOOKUP("electricity|NOx|Asthma symptoms wheeze", US_national_yearly!$D:$AM, 16, FALSE) / VLOOKUP("electricity|NOx|Asthma symptoms wheeze", US_national_yearly!$D:$AM, 10, FALSE), 1)</f>
        <v>1.436552946263631E-3</v>
      </c>
      <c r="I8" s="7">
        <f>$B8 * IFERROR(VLOOKUP("electricity|NOx|Asthma symptoms wheeze", US_national_yearly!$D:$AM, 17, FALSE) / VLOOKUP("electricity|NOx|Asthma symptoms wheeze", US_national_yearly!$D:$AM, 10, FALSE), 1)</f>
        <v>1.4420863928096951E-3</v>
      </c>
      <c r="J8" s="7">
        <f>$B8 * IFERROR(VLOOKUP("electricity|NOx|Asthma symptoms wheeze", US_national_yearly!$D:$AM, 18, FALSE) / VLOOKUP("electricity|NOx|Asthma symptoms wheeze", US_national_yearly!$D:$AM, 10, FALSE), 1)</f>
        <v>1.447619839355759E-3</v>
      </c>
      <c r="K8" s="7">
        <f>$B8 * IFERROR(VLOOKUP("electricity|NOx|Asthma symptoms wheeze", US_national_yearly!$D:$AM, 19, FALSE) / VLOOKUP("electricity|NOx|Asthma symptoms wheeze", US_national_yearly!$D:$AM, 10, FALSE), 1)</f>
        <v>1.4531532859018237E-3</v>
      </c>
      <c r="L8" s="7">
        <f>$B8 * IFERROR(VLOOKUP("electricity|NOx|Asthma symptoms wheeze", US_national_yearly!$D:$AM, 20, FALSE) / VLOOKUP("electricity|NOx|Asthma symptoms wheeze", US_national_yearly!$D:$AM, 10, FALSE), 1)</f>
        <v>1.4586867324478876E-3</v>
      </c>
      <c r="M8" s="7">
        <f>$B8 * IFERROR(VLOOKUP("electricity|NOx|Asthma symptoms wheeze", US_national_yearly!$D:$AM, 21, FALSE) / VLOOKUP("electricity|NOx|Asthma symptoms wheeze", US_national_yearly!$D:$AM, 10, FALSE), 1)</f>
        <v>1.4642201789939516E-3</v>
      </c>
      <c r="N8" s="7">
        <f>$B8 * IFERROR(VLOOKUP("electricity|NOx|Asthma symptoms wheeze", US_national_yearly!$D:$AM, 22, FALSE) / VLOOKUP("electricity|NOx|Asthma symptoms wheeze", US_national_yearly!$D:$AM, 10, FALSE), 1)</f>
        <v>1.4703511916766927E-3</v>
      </c>
      <c r="O8" s="7">
        <f>$B8 * IFERROR(VLOOKUP("electricity|NOx|Asthma symptoms wheeze", US_national_yearly!$D:$AM, 23, FALSE) / VLOOKUP("electricity|NOx|Asthma symptoms wheeze", US_national_yearly!$D:$AM, 10, FALSE), 1)</f>
        <v>1.4764822043594342E-3</v>
      </c>
      <c r="P8" s="7">
        <f>$B8 * IFERROR(VLOOKUP("electricity|NOx|Asthma symptoms wheeze", US_national_yearly!$D:$AM, 24, FALSE) / VLOOKUP("electricity|NOx|Asthma symptoms wheeze", US_national_yearly!$D:$AM, 10, FALSE), 1)</f>
        <v>1.4826132170421755E-3</v>
      </c>
      <c r="Q8" s="7">
        <f>$B8 * IFERROR(VLOOKUP("electricity|NOx|Asthma symptoms wheeze", US_national_yearly!$D:$AM, 25, FALSE) / VLOOKUP("electricity|NOx|Asthma symptoms wheeze", US_national_yearly!$D:$AM, 10, FALSE), 1)</f>
        <v>1.4887442297249166E-3</v>
      </c>
      <c r="R8" s="7">
        <f>$B8 * IFERROR(VLOOKUP("electricity|NOx|Asthma symptoms wheeze", US_national_yearly!$D:$AM, 26, FALSE) / VLOOKUP("electricity|NOx|Asthma symptoms wheeze", US_national_yearly!$D:$AM, 10, FALSE), 1)</f>
        <v>1.4948752424076579E-3</v>
      </c>
      <c r="S8" s="7">
        <f>$B8 * IFERROR(VLOOKUP("electricity|NOx|Asthma symptoms wheeze", US_national_yearly!$D:$AM, 27, FALSE) / VLOOKUP("electricity|NOx|Asthma symptoms wheeze", US_national_yearly!$D:$AM, 10, FALSE), 1)</f>
        <v>1.5025242453237172E-3</v>
      </c>
      <c r="T8" s="7">
        <f>$B8 * IFERROR(VLOOKUP("electricity|NOx|Asthma symptoms wheeze", US_national_yearly!$D:$AM, 28, FALSE) / VLOOKUP("electricity|NOx|Asthma symptoms wheeze", US_national_yearly!$D:$AM, 10, FALSE), 1)</f>
        <v>1.5101732482397762E-3</v>
      </c>
      <c r="U8" s="7">
        <f>$B8 * IFERROR(VLOOKUP("electricity|NOx|Asthma symptoms wheeze", US_national_yearly!$D:$AM, 29, FALSE) / VLOOKUP("electricity|NOx|Asthma symptoms wheeze", US_national_yearly!$D:$AM, 10, FALSE), 1)</f>
        <v>1.5178222511558353E-3</v>
      </c>
      <c r="V8" s="7">
        <f>$B8 * IFERROR(VLOOKUP("electricity|NOx|Asthma symptoms wheeze", US_national_yearly!$D:$AM, 30, FALSE) / VLOOKUP("electricity|NOx|Asthma symptoms wheeze", US_national_yearly!$D:$AM, 10, FALSE), 1)</f>
        <v>1.5254712540718946E-3</v>
      </c>
      <c r="W8" s="7">
        <f>$B8 * IFERROR(VLOOKUP("electricity|NOx|Asthma symptoms wheeze", US_national_yearly!$D:$AM, 31, FALSE) / VLOOKUP("electricity|NOx|Asthma symptoms wheeze", US_national_yearly!$D:$AM, 10, FALSE), 1)</f>
        <v>1.5331202569879539E-3</v>
      </c>
      <c r="X8" s="7">
        <f>$B8 * IFERROR(VLOOKUP("electricity|NOx|Asthma symptoms wheeze", US_national_yearly!$D:$AM, 32, FALSE) / VLOOKUP("electricity|NOx|Asthma symptoms wheeze", US_national_yearly!$D:$AM, 10, FALSE), 1)</f>
        <v>1.5401673344317816E-3</v>
      </c>
      <c r="Y8" s="7">
        <f>$B8 * IFERROR(VLOOKUP("electricity|NOx|Asthma symptoms wheeze", US_national_yearly!$D:$AM, 33, FALSE) / VLOOKUP("electricity|NOx|Asthma symptoms wheeze", US_national_yearly!$D:$AM, 10, FALSE), 1)</f>
        <v>1.5472144118756097E-3</v>
      </c>
      <c r="Z8" s="7">
        <f>$B8 * IFERROR(VLOOKUP("electricity|NOx|Asthma symptoms wheeze", US_national_yearly!$D:$AM, 34, FALSE) / VLOOKUP("electricity|NOx|Asthma symptoms wheeze", US_national_yearly!$D:$AM, 10, FALSE), 1)</f>
        <v>1.5542614893194371E-3</v>
      </c>
      <c r="AA8" s="7">
        <f>$B8 * IFERROR(VLOOKUP("electricity|NOx|Asthma symptoms wheeze", US_national_yearly!$D:$AM, 35, FALSE) / VLOOKUP("electricity|NOx|Asthma symptoms wheeze", US_national_yearly!$D:$AM, 10, FALSE), 1)</f>
        <v>1.5613085667632652E-3</v>
      </c>
      <c r="AB8" s="7">
        <f>$B8 * IFERROR(VLOOKUP("electricity|NOx|Asthma symptoms wheeze", US_national_yearly!$D:$AM, 36, FALSE) / VLOOKUP("electricity|NOx|Asthma symptoms wheeze", US_national_yearly!$D:$AM, 10, FALSE), 1)</f>
        <v>1.5683556442070931E-3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1.9545523310185157E-5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2.0046116807818542E-5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2.0546710305451934E-5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2.1047303803085319E-5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2.1547897300718705E-5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2.2029795776203141E-5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2.2511694251687584E-5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2.2926087295597516E-5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2.3340480339507448E-5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2.3754873383417386E-5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2.4169266427327318E-5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2.4583659471237257E-5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2.486764822780017E-5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2.5151636984363083E-5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2.5435625740925993E-5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2.5719614497488906E-5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2.6003603254051819E-5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2.6165343911061854E-5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2.6327084568071893E-5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2.6488825225081924E-5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2.6650565882091959E-5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2.6812306539101994E-5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2.6929947893125837E-5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2.7047589247149677E-5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2.7165230601173527E-5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2.7282871955197371E-5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2.7400513309221211E-5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9.7974028063323876E-5</v>
      </c>
      <c r="C13" s="7">
        <f>$B13 * IFERROR(VLOOKUP("electricity|NOx|Non-fatal heart attacks", US_national_yearly!$D:$AM, 11, FALSE) / VLOOKUP("electricity|NOx|Non-fatal heart attacks", US_national_yearly!$D:$AM, 10, FALSE), 1)</f>
        <v>1.0078561275524527E-4</v>
      </c>
      <c r="D13" s="7">
        <f>$B13 * IFERROR(VLOOKUP("electricity|NOx|Non-fatal heart attacks", US_national_yearly!$D:$AM, 12, FALSE) / VLOOKUP("electricity|NOx|Non-fatal heart attacks", US_national_yearly!$D:$AM, 10, FALSE), 1)</f>
        <v>1.0359719744716665E-4</v>
      </c>
      <c r="E13" s="7">
        <f>$B13 * IFERROR(VLOOKUP("electricity|NOx|Non-fatal heart attacks", US_national_yearly!$D:$AM, 13, FALSE) / VLOOKUP("electricity|NOx|Non-fatal heart attacks", US_national_yearly!$D:$AM, 10, FALSE), 1)</f>
        <v>1.0640878213908805E-4</v>
      </c>
      <c r="F13" s="7">
        <f>$B13 * IFERROR(VLOOKUP("electricity|NOx|Non-fatal heart attacks", US_national_yearly!$D:$AM, 14, FALSE) / VLOOKUP("electricity|NOx|Non-fatal heart attacks", US_national_yearly!$D:$AM, 10, FALSE), 1)</f>
        <v>1.0922036683100946E-4</v>
      </c>
      <c r="G13" s="7">
        <f>$B13 * IFERROR(VLOOKUP("electricity|NOx|Non-fatal heart attacks", US_national_yearly!$D:$AM, 15, FALSE) / VLOOKUP("electricity|NOx|Non-fatal heart attacks", US_national_yearly!$D:$AM, 10, FALSE), 1)</f>
        <v>1.1186898748665292E-4</v>
      </c>
      <c r="H13" s="7">
        <f>$B13 * IFERROR(VLOOKUP("electricity|NOx|Non-fatal heart attacks", US_national_yearly!$D:$AM, 16, FALSE) / VLOOKUP("electricity|NOx|Non-fatal heart attacks", US_national_yearly!$D:$AM, 10, FALSE), 1)</f>
        <v>1.1451760814229638E-4</v>
      </c>
      <c r="I13" s="7">
        <f>$B13 * IFERROR(VLOOKUP("electricity|NOx|Non-fatal heart attacks", US_national_yearly!$D:$AM, 17, FALSE) / VLOOKUP("electricity|NOx|Non-fatal heart attacks", US_national_yearly!$D:$AM, 10, FALSE), 1)</f>
        <v>1.1664153394898489E-4</v>
      </c>
      <c r="J13" s="7">
        <f>$B13 * IFERROR(VLOOKUP("electricity|NOx|Non-fatal heart attacks", US_national_yearly!$D:$AM, 18, FALSE) / VLOOKUP("electricity|NOx|Non-fatal heart attacks", US_national_yearly!$D:$AM, 10, FALSE), 1)</f>
        <v>1.187654597556734E-4</v>
      </c>
      <c r="K13" s="7">
        <f>$B13 * IFERROR(VLOOKUP("electricity|NOx|Non-fatal heart attacks", US_national_yearly!$D:$AM, 19, FALSE) / VLOOKUP("electricity|NOx|Non-fatal heart attacks", US_national_yearly!$D:$AM, 10, FALSE), 1)</f>
        <v>1.208893855623618E-4</v>
      </c>
      <c r="L13" s="7">
        <f>$B13 * IFERROR(VLOOKUP("electricity|NOx|Non-fatal heart attacks", US_national_yearly!$D:$AM, 20, FALSE) / VLOOKUP("electricity|NOx|Non-fatal heart attacks", US_national_yearly!$D:$AM, 10, FALSE), 1)</f>
        <v>1.230133113690503E-4</v>
      </c>
      <c r="M13" s="7">
        <f>$B13 * IFERROR(VLOOKUP("electricity|NOx|Non-fatal heart attacks", US_national_yearly!$D:$AM, 21, FALSE) / VLOOKUP("electricity|NOx|Non-fatal heart attacks", US_national_yearly!$D:$AM, 10, FALSE), 1)</f>
        <v>1.2513723717573884E-4</v>
      </c>
      <c r="N13" s="7">
        <f>$B13 * IFERROR(VLOOKUP("electricity|NOx|Non-fatal heart attacks", US_national_yearly!$D:$AM, 22, FALSE) / VLOOKUP("electricity|NOx|Non-fatal heart attacks", US_national_yearly!$D:$AM, 10, FALSE), 1)</f>
        <v>1.2644710635048296E-4</v>
      </c>
      <c r="O13" s="7">
        <f>$B13 * IFERROR(VLOOKUP("electricity|NOx|Non-fatal heart attacks", US_national_yearly!$D:$AM, 23, FALSE) / VLOOKUP("electricity|NOx|Non-fatal heart attacks", US_national_yearly!$D:$AM, 10, FALSE), 1)</f>
        <v>1.2775697552522714E-4</v>
      </c>
      <c r="P13" s="7">
        <f>$B13 * IFERROR(VLOOKUP("electricity|NOx|Non-fatal heart attacks", US_national_yearly!$D:$AM, 24, FALSE) / VLOOKUP("electricity|NOx|Non-fatal heart attacks", US_national_yearly!$D:$AM, 10, FALSE), 1)</f>
        <v>1.2906684469997129E-4</v>
      </c>
      <c r="Q13" s="7">
        <f>$B13 * IFERROR(VLOOKUP("electricity|NOx|Non-fatal heart attacks", US_national_yearly!$D:$AM, 25, FALSE) / VLOOKUP("electricity|NOx|Non-fatal heart attacks", US_national_yearly!$D:$AM, 10, FALSE), 1)</f>
        <v>1.3037671387471544E-4</v>
      </c>
      <c r="R13" s="7">
        <f>$B13 * IFERROR(VLOOKUP("electricity|NOx|Non-fatal heart attacks", US_national_yearly!$D:$AM, 26, FALSE) / VLOOKUP("electricity|NOx|Non-fatal heart attacks", US_national_yearly!$D:$AM, 10, FALSE), 1)</f>
        <v>1.316865830494596E-4</v>
      </c>
      <c r="S13" s="7">
        <f>$B13 * IFERROR(VLOOKUP("electricity|NOx|Non-fatal heart attacks", US_national_yearly!$D:$AM, 27, FALSE) / VLOOKUP("electricity|NOx|Non-fatal heart attacks", US_national_yearly!$D:$AM, 10, FALSE), 1)</f>
        <v>1.3232658076438804E-4</v>
      </c>
      <c r="T13" s="7">
        <f>$B13 * IFERROR(VLOOKUP("electricity|NOx|Non-fatal heart attacks", US_national_yearly!$D:$AM, 28, FALSE) / VLOOKUP("electricity|NOx|Non-fatal heart attacks", US_national_yearly!$D:$AM, 10, FALSE), 1)</f>
        <v>1.3296657847931646E-4</v>
      </c>
      <c r="U13" s="7">
        <f>$B13 * IFERROR(VLOOKUP("electricity|NOx|Non-fatal heart attacks", US_national_yearly!$D:$AM, 29, FALSE) / VLOOKUP("electricity|NOx|Non-fatal heart attacks", US_national_yearly!$D:$AM, 10, FALSE), 1)</f>
        <v>1.3360657619424494E-4</v>
      </c>
      <c r="V13" s="7">
        <f>$B13 * IFERROR(VLOOKUP("electricity|NOx|Non-fatal heart attacks", US_national_yearly!$D:$AM, 30, FALSE) / VLOOKUP("electricity|NOx|Non-fatal heart attacks", US_national_yearly!$D:$AM, 10, FALSE), 1)</f>
        <v>1.3424657390917336E-4</v>
      </c>
      <c r="W13" s="7">
        <f>$B13 * IFERROR(VLOOKUP("electricity|NOx|Non-fatal heart attacks", US_national_yearly!$D:$AM, 31, FALSE) / VLOOKUP("electricity|NOx|Non-fatal heart attacks", US_national_yearly!$D:$AM, 10, FALSE), 1)</f>
        <v>1.3488657162410184E-4</v>
      </c>
      <c r="X13" s="7">
        <f>$B13 * IFERROR(VLOOKUP("electricity|NOx|Non-fatal heart attacks", US_national_yearly!$D:$AM, 32, FALSE) / VLOOKUP("electricity|NOx|Non-fatal heart attacks", US_national_yearly!$D:$AM, 10, FALSE), 1)</f>
        <v>1.3533327302110143E-4</v>
      </c>
      <c r="Y13" s="7">
        <f>$B13 * IFERROR(VLOOKUP("electricity|NOx|Non-fatal heart attacks", US_national_yearly!$D:$AM, 33, FALSE) / VLOOKUP("electricity|NOx|Non-fatal heart attacks", US_national_yearly!$D:$AM, 10, FALSE), 1)</f>
        <v>1.3577997441810105E-4</v>
      </c>
      <c r="Z13" s="7">
        <f>$B13 * IFERROR(VLOOKUP("electricity|NOx|Non-fatal heart attacks", US_national_yearly!$D:$AM, 34, FALSE) / VLOOKUP("electricity|NOx|Non-fatal heart attacks", US_national_yearly!$D:$AM, 10, FALSE), 1)</f>
        <v>1.3622667581510064E-4</v>
      </c>
      <c r="AA13" s="7">
        <f>$B13 * IFERROR(VLOOKUP("electricity|NOx|Non-fatal heart attacks", US_national_yearly!$D:$AM, 35, FALSE) / VLOOKUP("electricity|NOx|Non-fatal heart attacks", US_national_yearly!$D:$AM, 10, FALSE), 1)</f>
        <v>1.3667337721210023E-4</v>
      </c>
      <c r="AB13" s="7">
        <f>$B13 * IFERROR(VLOOKUP("electricity|NOx|Non-fatal heart attacks", US_national_yearly!$D:$AM, 36, FALSE) / VLOOKUP("electricity|NOx|Non-fatal heart attacks", US_national_yearly!$D:$AM, 10, FALSE), 1)</f>
        <v>1.3712007860909985E-4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8.3012664410328132E-2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8.3139940949883889E-2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8.3267217489439632E-2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8.3394494028995389E-2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8.352177056855116E-2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8.3743785331297629E-2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8.3965800094044085E-2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8.4405054798620913E-2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8.4844309503197685E-2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8.5283564207774498E-2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8.5722818912351284E-2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8.6162073616928098E-2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8.6797272826081628E-2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8.7432472035235131E-2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8.8067671244388634E-2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8.8702870453542151E-2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8.9338069662695682E-2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8.9978072453064065E-2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9.0618075243432461E-2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9.1258078033800871E-2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9.1898080824169268E-2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9.2538083614537664E-2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9.3079336309007402E-2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9.3620589003477084E-2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9.4161841697946891E-2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9.4703094392416615E-2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9.5244347086886325E-2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1.4088096716425736E-2</v>
      </c>
      <c r="C15" s="7">
        <f>$B15 * IFERROR(VLOOKUP("electricity|NOx|Work loss days", US_national_yearly!$D:$AM, 11, FALSE) / VLOOKUP("electricity|NOx|Work loss days", US_national_yearly!$D:$AM, 10, FALSE), 1)</f>
        <v>1.4119518207194233E-2</v>
      </c>
      <c r="D15" s="7">
        <f>$B15 * IFERROR(VLOOKUP("electricity|NOx|Work loss days", US_national_yearly!$D:$AM, 12, FALSE) / VLOOKUP("electricity|NOx|Work loss days", US_national_yearly!$D:$AM, 10, FALSE), 1)</f>
        <v>1.4150939697962732E-2</v>
      </c>
      <c r="E15" s="7">
        <f>$B15 * IFERROR(VLOOKUP("electricity|NOx|Work loss days", US_national_yearly!$D:$AM, 13, FALSE) / VLOOKUP("electricity|NOx|Work loss days", US_national_yearly!$D:$AM, 10, FALSE), 1)</f>
        <v>1.418236118873123E-2</v>
      </c>
      <c r="F15" s="7">
        <f>$B15 * IFERROR(VLOOKUP("electricity|NOx|Work loss days", US_national_yearly!$D:$AM, 14, FALSE) / VLOOKUP("electricity|NOx|Work loss days", US_national_yearly!$D:$AM, 10, FALSE), 1)</f>
        <v>1.4213782679499727E-2</v>
      </c>
      <c r="G15" s="7">
        <f>$B15 * IFERROR(VLOOKUP("electricity|NOx|Work loss days", US_national_yearly!$D:$AM, 15, FALSE) / VLOOKUP("electricity|NOx|Work loss days", US_national_yearly!$D:$AM, 10, FALSE), 1)</f>
        <v>1.425807977836325E-2</v>
      </c>
      <c r="H15" s="7">
        <f>$B15 * IFERROR(VLOOKUP("electricity|NOx|Work loss days", US_national_yearly!$D:$AM, 16, FALSE) / VLOOKUP("electricity|NOx|Work loss days", US_national_yearly!$D:$AM, 10, FALSE), 1)</f>
        <v>1.4302376877226771E-2</v>
      </c>
      <c r="I15" s="7">
        <f>$B15 * IFERROR(VLOOKUP("electricity|NOx|Work loss days", US_national_yearly!$D:$AM, 17, FALSE) / VLOOKUP("electricity|NOx|Work loss days", US_national_yearly!$D:$AM, 10, FALSE), 1)</f>
        <v>1.4374303474334034E-2</v>
      </c>
      <c r="J15" s="7">
        <f>$B15 * IFERROR(VLOOKUP("electricity|NOx|Work loss days", US_national_yearly!$D:$AM, 18, FALSE) / VLOOKUP("electricity|NOx|Work loss days", US_national_yearly!$D:$AM, 10, FALSE), 1)</f>
        <v>1.4446230071441298E-2</v>
      </c>
      <c r="K15" s="7">
        <f>$B15 * IFERROR(VLOOKUP("electricity|NOx|Work loss days", US_national_yearly!$D:$AM, 19, FALSE) / VLOOKUP("electricity|NOx|Work loss days", US_national_yearly!$D:$AM, 10, FALSE), 1)</f>
        <v>1.4518156668548558E-2</v>
      </c>
      <c r="L15" s="7">
        <f>$B15 * IFERROR(VLOOKUP("electricity|NOx|Work loss days", US_national_yearly!$D:$AM, 20, FALSE) / VLOOKUP("electricity|NOx|Work loss days", US_national_yearly!$D:$AM, 10, FALSE), 1)</f>
        <v>1.4590083265655819E-2</v>
      </c>
      <c r="M15" s="7">
        <f>$B15 * IFERROR(VLOOKUP("electricity|NOx|Work loss days", US_national_yearly!$D:$AM, 21, FALSE) / VLOOKUP("electricity|NOx|Work loss days", US_national_yearly!$D:$AM, 10, FALSE), 1)</f>
        <v>1.466200986276308E-2</v>
      </c>
      <c r="N15" s="7">
        <f>$B15 * IFERROR(VLOOKUP("electricity|NOx|Work loss days", US_national_yearly!$D:$AM, 22, FALSE) / VLOOKUP("electricity|NOx|Work loss days", US_national_yearly!$D:$AM, 10, FALSE), 1)</f>
        <v>1.4756907589762691E-2</v>
      </c>
      <c r="O15" s="7">
        <f>$B15 * IFERROR(VLOOKUP("electricity|NOx|Work loss days", US_national_yearly!$D:$AM, 23, FALSE) / VLOOKUP("electricity|NOx|Work loss days", US_national_yearly!$D:$AM, 10, FALSE), 1)</f>
        <v>1.48518053167623E-2</v>
      </c>
      <c r="P15" s="7">
        <f>$B15 * IFERROR(VLOOKUP("electricity|NOx|Work loss days", US_national_yearly!$D:$AM, 24, FALSE) / VLOOKUP("electricity|NOx|Work loss days", US_national_yearly!$D:$AM, 10, FALSE), 1)</f>
        <v>1.4946703043761909E-2</v>
      </c>
      <c r="Q15" s="7">
        <f>$B15 * IFERROR(VLOOKUP("electricity|NOx|Work loss days", US_national_yearly!$D:$AM, 25, FALSE) / VLOOKUP("electricity|NOx|Work loss days", US_national_yearly!$D:$AM, 10, FALSE), 1)</f>
        <v>1.5041600770761521E-2</v>
      </c>
      <c r="R15" s="7">
        <f>$B15 * IFERROR(VLOOKUP("electricity|NOx|Work loss days", US_national_yearly!$D:$AM, 26, FALSE) / VLOOKUP("electricity|NOx|Work loss days", US_national_yearly!$D:$AM, 10, FALSE), 1)</f>
        <v>1.5136498497761127E-2</v>
      </c>
      <c r="S15" s="7">
        <f>$B15 * IFERROR(VLOOKUP("electricity|NOx|Work loss days", US_national_yearly!$D:$AM, 27, FALSE) / VLOOKUP("electricity|NOx|Work loss days", US_national_yearly!$D:$AM, 10, FALSE), 1)</f>
        <v>1.524284348515406E-2</v>
      </c>
      <c r="T15" s="7">
        <f>$B15 * IFERROR(VLOOKUP("electricity|NOx|Work loss days", US_national_yearly!$D:$AM, 28, FALSE) / VLOOKUP("electricity|NOx|Work loss days", US_national_yearly!$D:$AM, 10, FALSE), 1)</f>
        <v>1.5349188472546989E-2</v>
      </c>
      <c r="U15" s="7">
        <f>$B15 * IFERROR(VLOOKUP("electricity|NOx|Work loss days", US_national_yearly!$D:$AM, 29, FALSE) / VLOOKUP("electricity|NOx|Work loss days", US_national_yearly!$D:$AM, 10, FALSE), 1)</f>
        <v>1.545553345993992E-2</v>
      </c>
      <c r="V15" s="7">
        <f>$B15 * IFERROR(VLOOKUP("electricity|NOx|Work loss days", US_national_yearly!$D:$AM, 30, FALSE) / VLOOKUP("electricity|NOx|Work loss days", US_national_yearly!$D:$AM, 10, FALSE), 1)</f>
        <v>1.5561878447332849E-2</v>
      </c>
      <c r="W15" s="7">
        <f>$B15 * IFERROR(VLOOKUP("electricity|NOx|Work loss days", US_national_yearly!$D:$AM, 31, FALSE) / VLOOKUP("electricity|NOx|Work loss days", US_national_yearly!$D:$AM, 10, FALSE), 1)</f>
        <v>1.5668223434725782E-2</v>
      </c>
      <c r="X15" s="7">
        <f>$B15 * IFERROR(VLOOKUP("electricity|NOx|Work loss days", US_national_yearly!$D:$AM, 32, FALSE) / VLOOKUP("electricity|NOx|Work loss days", US_national_yearly!$D:$AM, 10, FALSE), 1)</f>
        <v>1.5760924820672685E-2</v>
      </c>
      <c r="Y15" s="7">
        <f>$B15 * IFERROR(VLOOKUP("electricity|NOx|Work loss days", US_national_yearly!$D:$AM, 33, FALSE) / VLOOKUP("electricity|NOx|Work loss days", US_national_yearly!$D:$AM, 10, FALSE), 1)</f>
        <v>1.5853626206619589E-2</v>
      </c>
      <c r="Z15" s="7">
        <f>$B15 * IFERROR(VLOOKUP("electricity|NOx|Work loss days", US_national_yearly!$D:$AM, 34, FALSE) / VLOOKUP("electricity|NOx|Work loss days", US_national_yearly!$D:$AM, 10, FALSE), 1)</f>
        <v>1.5946327592566489E-2</v>
      </c>
      <c r="AA15" s="7">
        <f>$B15 * IFERROR(VLOOKUP("electricity|NOx|Work loss days", US_national_yearly!$D:$AM, 35, FALSE) / VLOOKUP("electricity|NOx|Work loss days", US_national_yearly!$D:$AM, 10, FALSE), 1)</f>
        <v>1.6039028978513396E-2</v>
      </c>
      <c r="AB15" s="7">
        <f>$B15 * IFERROR(VLOOKUP("electricity|NOx|Work loss days", US_national_yearly!$D:$AM, 36, FALSE) / VLOOKUP("electricity|NOx|Work loss days", US_national_yearly!$D:$AM, 10, FALSE), 1)</f>
        <v>1.6131730364460299E-2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2.3553702012349008E-5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2.4247514777911009E-5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2.4941327543473017E-5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2.5635140309035021E-5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2.6328953074597026E-5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2.6993332667595338E-5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2.7657712260593651E-5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2.8224794348975262E-5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2.8791876437356879E-5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2.9358958525738497E-5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2.9926040614120111E-5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3.0493122702501725E-5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3.0857060178726558E-5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3.1220997654951391E-5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3.1584935131176224E-5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3.1948872607401057E-5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3.231281008362589E-5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3.2491910129417175E-5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3.267101017520846E-5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3.2850110220999746E-5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3.3029210266791038E-5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3.320831031258233E-5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3.3315651772895023E-5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3.3422993233207722E-5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3.3530334693520422E-5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3.3637676153833122E-5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3.3745017614145815E-5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1.8493290129907964E-3</v>
      </c>
      <c r="C2" s="7">
        <f>$B2 * IFERROR(VLOOKUP("electricity|SO2|Premature mortality", US_national_yearly!$D:$AM, 11, FALSE) / VLOOKUP("electricity|SO2|Premature mortality", US_national_yearly!$D:$AM, 10, FALSE), 1)</f>
        <v>1.8730378375895844E-3</v>
      </c>
      <c r="D2" s="7">
        <f>$B2 * IFERROR(VLOOKUP("electricity|SO2|Premature mortality", US_national_yearly!$D:$AM, 12, FALSE) / VLOOKUP("electricity|SO2|Premature mortality", US_national_yearly!$D:$AM, 10, FALSE), 1)</f>
        <v>1.896746662188372E-3</v>
      </c>
      <c r="E2" s="7">
        <f>$B2 * IFERROR(VLOOKUP("electricity|SO2|Premature mortality", US_national_yearly!$D:$AM, 13, FALSE) / VLOOKUP("electricity|SO2|Premature mortality", US_national_yearly!$D:$AM, 10, FALSE), 1)</f>
        <v>1.9204554867871602E-3</v>
      </c>
      <c r="F2" s="7">
        <f>$B2 * IFERROR(VLOOKUP("electricity|SO2|Premature mortality", US_national_yearly!$D:$AM, 14, FALSE) / VLOOKUP("electricity|SO2|Premature mortality", US_national_yearly!$D:$AM, 10, FALSE), 1)</f>
        <v>1.9441643113859478E-3</v>
      </c>
      <c r="G2" s="7">
        <f>$B2 * IFERROR(VLOOKUP("electricity|SO2|Premature mortality", US_national_yearly!$D:$AM, 15, FALSE) / VLOOKUP("electricity|SO2|Premature mortality", US_national_yearly!$D:$AM, 10, FALSE), 1)</f>
        <v>1.9898370170687851E-3</v>
      </c>
      <c r="H2" s="7">
        <f>$B2 * IFERROR(VLOOKUP("electricity|SO2|Premature mortality", US_national_yearly!$D:$AM, 16, FALSE) / VLOOKUP("electricity|SO2|Premature mortality", US_national_yearly!$D:$AM, 10, FALSE), 1)</f>
        <v>2.0355097227516216E-3</v>
      </c>
      <c r="I2" s="7">
        <f>$B2 * IFERROR(VLOOKUP("electricity|SO2|Premature mortality", US_national_yearly!$D:$AM, 17, FALSE) / VLOOKUP("electricity|SO2|Premature mortality", US_national_yearly!$D:$AM, 10, FALSE), 1)</f>
        <v>2.0662537618275066E-3</v>
      </c>
      <c r="J2" s="7">
        <f>$B2 * IFERROR(VLOOKUP("electricity|SO2|Premature mortality", US_national_yearly!$D:$AM, 18, FALSE) / VLOOKUP("electricity|SO2|Premature mortality", US_national_yearly!$D:$AM, 10, FALSE), 1)</f>
        <v>2.0969978009033915E-3</v>
      </c>
      <c r="K2" s="7">
        <f>$B2 * IFERROR(VLOOKUP("electricity|SO2|Premature mortality", US_national_yearly!$D:$AM, 19, FALSE) / VLOOKUP("electricity|SO2|Premature mortality", US_national_yearly!$D:$AM, 10, FALSE), 1)</f>
        <v>2.1277418399792765E-3</v>
      </c>
      <c r="L2" s="7">
        <f>$B2 * IFERROR(VLOOKUP("electricity|SO2|Premature mortality", US_national_yearly!$D:$AM, 20, FALSE) / VLOOKUP("electricity|SO2|Premature mortality", US_national_yearly!$D:$AM, 10, FALSE), 1)</f>
        <v>2.1584858790551619E-3</v>
      </c>
      <c r="M2" s="7">
        <f>$B2 * IFERROR(VLOOKUP("electricity|SO2|Premature mortality", US_national_yearly!$D:$AM, 21, FALSE) / VLOOKUP("electricity|SO2|Premature mortality", US_national_yearly!$D:$AM, 10, FALSE), 1)</f>
        <v>2.1892299181310465E-3</v>
      </c>
      <c r="N2" s="7">
        <f>$B2 * IFERROR(VLOOKUP("electricity|SO2|Premature mortality", US_national_yearly!$D:$AM, 22, FALSE) / VLOOKUP("electricity|SO2|Premature mortality", US_national_yearly!$D:$AM, 10, FALSE), 1)</f>
        <v>2.2138688150164162E-3</v>
      </c>
      <c r="O2" s="7">
        <f>$B2 * IFERROR(VLOOKUP("electricity|SO2|Premature mortality", US_national_yearly!$D:$AM, 23, FALSE) / VLOOKUP("electricity|SO2|Premature mortality", US_national_yearly!$D:$AM, 10, FALSE), 1)</f>
        <v>2.2385077119017869E-3</v>
      </c>
      <c r="P2" s="7">
        <f>$B2 * IFERROR(VLOOKUP("electricity|SO2|Premature mortality", US_national_yearly!$D:$AM, 24, FALSE) / VLOOKUP("electricity|SO2|Premature mortality", US_national_yearly!$D:$AM, 10, FALSE), 1)</f>
        <v>2.2631466087871563E-3</v>
      </c>
      <c r="Q2" s="7">
        <f>$B2 * IFERROR(VLOOKUP("electricity|SO2|Premature mortality", US_national_yearly!$D:$AM, 25, FALSE) / VLOOKUP("electricity|SO2|Premature mortality", US_national_yearly!$D:$AM, 10, FALSE), 1)</f>
        <v>2.2877855056725261E-3</v>
      </c>
      <c r="R2" s="7">
        <f>$B2 * IFERROR(VLOOKUP("electricity|SO2|Premature mortality", US_national_yearly!$D:$AM, 26, FALSE) / VLOOKUP("electricity|SO2|Premature mortality", US_national_yearly!$D:$AM, 10, FALSE), 1)</f>
        <v>2.3124244025578963E-3</v>
      </c>
      <c r="S2" s="7">
        <f>$B2 * IFERROR(VLOOKUP("electricity|SO2|Premature mortality", US_national_yearly!$D:$AM, 27, FALSE) / VLOOKUP("electricity|SO2|Premature mortality", US_national_yearly!$D:$AM, 10, FALSE), 1)</f>
        <v>2.3265506018332596E-3</v>
      </c>
      <c r="T2" s="7">
        <f>$B2 * IFERROR(VLOOKUP("electricity|SO2|Premature mortality", US_national_yearly!$D:$AM, 28, FALSE) / VLOOKUP("electricity|SO2|Premature mortality", US_national_yearly!$D:$AM, 10, FALSE), 1)</f>
        <v>2.3406768011086233E-3</v>
      </c>
      <c r="U2" s="7">
        <f>$B2 * IFERROR(VLOOKUP("electricity|SO2|Premature mortality", US_national_yearly!$D:$AM, 29, FALSE) / VLOOKUP("electricity|SO2|Premature mortality", US_national_yearly!$D:$AM, 10, FALSE), 1)</f>
        <v>2.354803000383987E-3</v>
      </c>
      <c r="V2" s="7">
        <f>$B2 * IFERROR(VLOOKUP("electricity|SO2|Premature mortality", US_national_yearly!$D:$AM, 30, FALSE) / VLOOKUP("electricity|SO2|Premature mortality", US_national_yearly!$D:$AM, 10, FALSE), 1)</f>
        <v>2.3689291996593508E-3</v>
      </c>
      <c r="W2" s="7">
        <f>$B2 * IFERROR(VLOOKUP("electricity|SO2|Premature mortality", US_national_yearly!$D:$AM, 31, FALSE) / VLOOKUP("electricity|SO2|Premature mortality", US_national_yearly!$D:$AM, 10, FALSE), 1)</f>
        <v>2.3830553989347141E-3</v>
      </c>
      <c r="X2" s="7">
        <f>$B2 * IFERROR(VLOOKUP("electricity|SO2|Premature mortality", US_national_yearly!$D:$AM, 32, FALSE) / VLOOKUP("electricity|SO2|Premature mortality", US_national_yearly!$D:$AM, 10, FALSE), 1)</f>
        <v>2.3872176223615595E-3</v>
      </c>
      <c r="Y2" s="7">
        <f>$B2 * IFERROR(VLOOKUP("electricity|SO2|Premature mortality", US_national_yearly!$D:$AM, 33, FALSE) / VLOOKUP("electricity|SO2|Premature mortality", US_national_yearly!$D:$AM, 10, FALSE), 1)</f>
        <v>2.3913798457884041E-3</v>
      </c>
      <c r="Z2" s="7">
        <f>$B2 * IFERROR(VLOOKUP("electricity|SO2|Premature mortality", US_national_yearly!$D:$AM, 34, FALSE) / VLOOKUP("electricity|SO2|Premature mortality", US_national_yearly!$D:$AM, 10, FALSE), 1)</f>
        <v>2.3955420692152486E-3</v>
      </c>
      <c r="AA2" s="7">
        <f>$B2 * IFERROR(VLOOKUP("electricity|SO2|Premature mortality", US_national_yearly!$D:$AM, 35, FALSE) / VLOOKUP("electricity|SO2|Premature mortality", US_national_yearly!$D:$AM, 10, FALSE), 1)</f>
        <v>2.3997042926420936E-3</v>
      </c>
      <c r="AB2" s="7">
        <f>$B2 * IFERROR(VLOOKUP("electricity|SO2|Premature mortality", US_national_yearly!$D:$AM, 36, FALSE) / VLOOKUP("electricity|SO2|Premature mortality", US_national_yearly!$D:$AM, 10, FALSE), 1)</f>
        <v>2.4038665160689386E-3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5.5736692352455633E-6</v>
      </c>
      <c r="C3" s="7">
        <f>$B3 * IFERROR(VLOOKUP("electricity|SO2|Infant mortality", US_national_yearly!$D:$AM, 11, FALSE) / VLOOKUP("electricity|SO2|Infant mortality", US_national_yearly!$D:$AM, 10, FALSE), 1)</f>
        <v>5.5265823277891811E-6</v>
      </c>
      <c r="D3" s="7">
        <f>$B3 * IFERROR(VLOOKUP("electricity|SO2|Infant mortality", US_national_yearly!$D:$AM, 12, FALSE) / VLOOKUP("electricity|SO2|Infant mortality", US_national_yearly!$D:$AM, 10, FALSE), 1)</f>
        <v>5.4794954203327989E-6</v>
      </c>
      <c r="E3" s="7">
        <f>$B3 * IFERROR(VLOOKUP("electricity|SO2|Infant mortality", US_national_yearly!$D:$AM, 13, FALSE) / VLOOKUP("electricity|SO2|Infant mortality", US_national_yearly!$D:$AM, 10, FALSE), 1)</f>
        <v>5.4324085128764159E-6</v>
      </c>
      <c r="F3" s="7">
        <f>$B3 * IFERROR(VLOOKUP("electricity|SO2|Infant mortality", US_national_yearly!$D:$AM, 14, FALSE) / VLOOKUP("electricity|SO2|Infant mortality", US_national_yearly!$D:$AM, 10, FALSE), 1)</f>
        <v>5.3853216054200346E-6</v>
      </c>
      <c r="G3" s="7">
        <f>$B3 * IFERROR(VLOOKUP("electricity|SO2|Infant mortality", US_national_yearly!$D:$AM, 15, FALSE) / VLOOKUP("electricity|SO2|Infant mortality", US_national_yearly!$D:$AM, 10, FALSE), 1)</f>
        <v>3.5815178340854356E-6</v>
      </c>
      <c r="H3" s="7">
        <f>$B3 * IFERROR(VLOOKUP("electricity|SO2|Infant mortality", US_national_yearly!$D:$AM, 16, FALSE) / VLOOKUP("electricity|SO2|Infant mortality", US_national_yearly!$D:$AM, 10, FALSE), 1)</f>
        <v>1.7777140627508368E-6</v>
      </c>
      <c r="I3" s="7">
        <f>$B3 * IFERROR(VLOOKUP("electricity|SO2|Infant mortality", US_national_yearly!$D:$AM, 17, FALSE) / VLOOKUP("electricity|SO2|Infant mortality", US_national_yearly!$D:$AM, 10, FALSE), 1)</f>
        <v>1.7663411714517166E-6</v>
      </c>
      <c r="J3" s="7">
        <f>$B3 * IFERROR(VLOOKUP("electricity|SO2|Infant mortality", US_national_yearly!$D:$AM, 18, FALSE) / VLOOKUP("electricity|SO2|Infant mortality", US_national_yearly!$D:$AM, 10, FALSE), 1)</f>
        <v>1.7549682801525962E-6</v>
      </c>
      <c r="K3" s="7">
        <f>$B3 * IFERROR(VLOOKUP("electricity|SO2|Infant mortality", US_national_yearly!$D:$AM, 19, FALSE) / VLOOKUP("electricity|SO2|Infant mortality", US_national_yearly!$D:$AM, 10, FALSE), 1)</f>
        <v>1.7435953888534765E-6</v>
      </c>
      <c r="L3" s="7">
        <f>$B3 * IFERROR(VLOOKUP("electricity|SO2|Infant mortality", US_national_yearly!$D:$AM, 20, FALSE) / VLOOKUP("electricity|SO2|Infant mortality", US_national_yearly!$D:$AM, 10, FALSE), 1)</f>
        <v>1.7322224975543561E-6</v>
      </c>
      <c r="M3" s="7">
        <f>$B3 * IFERROR(VLOOKUP("electricity|SO2|Infant mortality", US_national_yearly!$D:$AM, 21, FALSE) / VLOOKUP("electricity|SO2|Infant mortality", US_national_yearly!$D:$AM, 10, FALSE), 1)</f>
        <v>1.7208496062552359E-6</v>
      </c>
      <c r="N3" s="7">
        <f>$B3 * IFERROR(VLOOKUP("electricity|SO2|Infant mortality", US_national_yearly!$D:$AM, 22, FALSE) / VLOOKUP("electricity|SO2|Infant mortality", US_national_yearly!$D:$AM, 10, FALSE), 1)</f>
        <v>1.7136432383608444E-6</v>
      </c>
      <c r="O3" s="7">
        <f>$B3 * IFERROR(VLOOKUP("electricity|SO2|Infant mortality", US_national_yearly!$D:$AM, 23, FALSE) / VLOOKUP("electricity|SO2|Infant mortality", US_national_yearly!$D:$AM, 10, FALSE), 1)</f>
        <v>1.7064368704664528E-6</v>
      </c>
      <c r="P3" s="7">
        <f>$B3 * IFERROR(VLOOKUP("electricity|SO2|Infant mortality", US_national_yearly!$D:$AM, 24, FALSE) / VLOOKUP("electricity|SO2|Infant mortality", US_national_yearly!$D:$AM, 10, FALSE), 1)</f>
        <v>1.6992305025720611E-6</v>
      </c>
      <c r="Q3" s="7">
        <f>$B3 * IFERROR(VLOOKUP("electricity|SO2|Infant mortality", US_national_yearly!$D:$AM, 25, FALSE) / VLOOKUP("electricity|SO2|Infant mortality", US_national_yearly!$D:$AM, 10, FALSE), 1)</f>
        <v>1.6920241346776699E-6</v>
      </c>
      <c r="R3" s="7">
        <f>$B3 * IFERROR(VLOOKUP("electricity|SO2|Infant mortality", US_national_yearly!$D:$AM, 26, FALSE) / VLOOKUP("electricity|SO2|Infant mortality", US_national_yearly!$D:$AM, 10, FALSE), 1)</f>
        <v>1.6848177667832785E-6</v>
      </c>
      <c r="S3" s="7">
        <f>$B3 * IFERROR(VLOOKUP("electricity|SO2|Infant mortality", US_national_yearly!$D:$AM, 27, FALSE) / VLOOKUP("electricity|SO2|Infant mortality", US_national_yearly!$D:$AM, 10, FALSE), 1)</f>
        <v>1.6758359423276858E-6</v>
      </c>
      <c r="T3" s="7">
        <f>$B3 * IFERROR(VLOOKUP("electricity|SO2|Infant mortality", US_national_yearly!$D:$AM, 28, FALSE) / VLOOKUP("electricity|SO2|Infant mortality", US_national_yearly!$D:$AM, 10, FALSE), 1)</f>
        <v>1.666854117872093E-6</v>
      </c>
      <c r="U3" s="7">
        <f>$B3 * IFERROR(VLOOKUP("electricity|SO2|Infant mortality", US_national_yearly!$D:$AM, 29, FALSE) / VLOOKUP("electricity|SO2|Infant mortality", US_national_yearly!$D:$AM, 10, FALSE), 1)</f>
        <v>1.6578722934165005E-6</v>
      </c>
      <c r="V3" s="7">
        <f>$B3 * IFERROR(VLOOKUP("electricity|SO2|Infant mortality", US_national_yearly!$D:$AM, 30, FALSE) / VLOOKUP("electricity|SO2|Infant mortality", US_national_yearly!$D:$AM, 10, FALSE), 1)</f>
        <v>1.648890468960908E-6</v>
      </c>
      <c r="W3" s="7">
        <f>$B3 * IFERROR(VLOOKUP("electricity|SO2|Infant mortality", US_national_yearly!$D:$AM, 31, FALSE) / VLOOKUP("electricity|SO2|Infant mortality", US_national_yearly!$D:$AM, 10, FALSE), 1)</f>
        <v>1.6399086445053151E-6</v>
      </c>
      <c r="X3" s="7">
        <f>$B3 * IFERROR(VLOOKUP("electricity|SO2|Infant mortality", US_national_yearly!$D:$AM, 32, FALSE) / VLOOKUP("electricity|SO2|Infant mortality", US_national_yearly!$D:$AM, 10, FALSE), 1)</f>
        <v>1.6303253008341989E-6</v>
      </c>
      <c r="Y3" s="7">
        <f>$B3 * IFERROR(VLOOKUP("electricity|SO2|Infant mortality", US_national_yearly!$D:$AM, 33, FALSE) / VLOOKUP("electricity|SO2|Infant mortality", US_national_yearly!$D:$AM, 10, FALSE), 1)</f>
        <v>1.6207419571630821E-6</v>
      </c>
      <c r="Z3" s="7">
        <f>$B3 * IFERROR(VLOOKUP("electricity|SO2|Infant mortality", US_national_yearly!$D:$AM, 34, FALSE) / VLOOKUP("electricity|SO2|Infant mortality", US_national_yearly!$D:$AM, 10, FALSE), 1)</f>
        <v>1.6111586134919659E-6</v>
      </c>
      <c r="AA3" s="7">
        <f>$B3 * IFERROR(VLOOKUP("electricity|SO2|Infant mortality", US_national_yearly!$D:$AM, 35, FALSE) / VLOOKUP("electricity|SO2|Infant mortality", US_national_yearly!$D:$AM, 10, FALSE), 1)</f>
        <v>1.6015752698208497E-6</v>
      </c>
      <c r="AB3" s="7">
        <f>$B3 * IFERROR(VLOOKUP("electricity|SO2|Infant mortality", US_national_yearly!$D:$AM, 36, FALSE) / VLOOKUP("electricity|SO2|Infant mortality", US_national_yearly!$D:$AM, 10, FALSE), 1)</f>
        <v>1.5919919261497331E-6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5.0846246733852671E-3</v>
      </c>
      <c r="C6" s="7">
        <f>$B6 * IFERROR(VLOOKUP("electricity|SO2|Asthma symptoms cough", US_national_yearly!$D:$AM, 11, FALSE) / VLOOKUP("electricity|SO2|Asthma symptoms cough", US_national_yearly!$D:$AM, 10, FALSE), 1)</f>
        <v>5.0846246733852671E-3</v>
      </c>
      <c r="D6" s="7">
        <f>$B6 * IFERROR(VLOOKUP("electricity|SO2|Asthma symptoms cough", US_national_yearly!$D:$AM, 12, FALSE) / VLOOKUP("electricity|SO2|Asthma symptoms cough", US_national_yearly!$D:$AM, 10, FALSE), 1)</f>
        <v>5.0846246733852671E-3</v>
      </c>
      <c r="E6" s="7">
        <f>$B6 * IFERROR(VLOOKUP("electricity|SO2|Asthma symptoms cough", US_national_yearly!$D:$AM, 13, FALSE) / VLOOKUP("electricity|SO2|Asthma symptoms cough", US_national_yearly!$D:$AM, 10, FALSE), 1)</f>
        <v>5.0846246733852671E-3</v>
      </c>
      <c r="F6" s="7">
        <f>$B6 * IFERROR(VLOOKUP("electricity|SO2|Asthma symptoms cough", US_national_yearly!$D:$AM, 14, FALSE) / VLOOKUP("electricity|SO2|Asthma symptoms cough", US_national_yearly!$D:$AM, 10, FALSE), 1)</f>
        <v>5.0846246733852671E-3</v>
      </c>
      <c r="G6" s="7">
        <f>$B6 * IFERROR(VLOOKUP("electricity|SO2|Asthma symptoms cough", US_national_yearly!$D:$AM, 15, FALSE) / VLOOKUP("electricity|SO2|Asthma symptoms cough", US_national_yearly!$D:$AM, 10, FALSE), 1)</f>
        <v>5.0846246733852671E-3</v>
      </c>
      <c r="H6" s="7">
        <f>$B6 * IFERROR(VLOOKUP("electricity|SO2|Asthma symptoms cough", US_national_yearly!$D:$AM, 16, FALSE) / VLOOKUP("electricity|SO2|Asthma symptoms cough", US_national_yearly!$D:$AM, 10, FALSE), 1)</f>
        <v>5.0846246733852671E-3</v>
      </c>
      <c r="I6" s="7">
        <f>$B6 * IFERROR(VLOOKUP("electricity|SO2|Asthma symptoms cough", US_national_yearly!$D:$AM, 17, FALSE) / VLOOKUP("electricity|SO2|Asthma symptoms cough", US_national_yearly!$D:$AM, 10, FALSE), 1)</f>
        <v>5.0846246733852671E-3</v>
      </c>
      <c r="J6" s="7">
        <f>$B6 * IFERROR(VLOOKUP("electricity|SO2|Asthma symptoms cough", US_national_yearly!$D:$AM, 18, FALSE) / VLOOKUP("electricity|SO2|Asthma symptoms cough", US_national_yearly!$D:$AM, 10, FALSE), 1)</f>
        <v>5.0846246733852671E-3</v>
      </c>
      <c r="K6" s="7">
        <f>$B6 * IFERROR(VLOOKUP("electricity|SO2|Asthma symptoms cough", US_national_yearly!$D:$AM, 19, FALSE) / VLOOKUP("electricity|SO2|Asthma symptoms cough", US_national_yearly!$D:$AM, 10, FALSE), 1)</f>
        <v>5.0846246733852671E-3</v>
      </c>
      <c r="L6" s="7">
        <f>$B6 * IFERROR(VLOOKUP("electricity|SO2|Asthma symptoms cough", US_national_yearly!$D:$AM, 20, FALSE) / VLOOKUP("electricity|SO2|Asthma symptoms cough", US_national_yearly!$D:$AM, 10, FALSE), 1)</f>
        <v>5.0846246733852671E-3</v>
      </c>
      <c r="M6" s="7">
        <f>$B6 * IFERROR(VLOOKUP("electricity|SO2|Asthma symptoms cough", US_national_yearly!$D:$AM, 21, FALSE) / VLOOKUP("electricity|SO2|Asthma symptoms cough", US_national_yearly!$D:$AM, 10, FALSE), 1)</f>
        <v>5.0846246733852671E-3</v>
      </c>
      <c r="N6" s="7">
        <f>$B6 * IFERROR(VLOOKUP("electricity|SO2|Asthma symptoms cough", US_national_yearly!$D:$AM, 22, FALSE) / VLOOKUP("electricity|SO2|Asthma symptoms cough", US_national_yearly!$D:$AM, 10, FALSE), 1)</f>
        <v>5.0846246733852671E-3</v>
      </c>
      <c r="O6" s="7">
        <f>$B6 * IFERROR(VLOOKUP("electricity|SO2|Asthma symptoms cough", US_national_yearly!$D:$AM, 23, FALSE) / VLOOKUP("electricity|SO2|Asthma symptoms cough", US_national_yearly!$D:$AM, 10, FALSE), 1)</f>
        <v>5.0846246733852671E-3</v>
      </c>
      <c r="P6" s="7">
        <f>$B6 * IFERROR(VLOOKUP("electricity|SO2|Asthma symptoms cough", US_national_yearly!$D:$AM, 24, FALSE) / VLOOKUP("electricity|SO2|Asthma symptoms cough", US_national_yearly!$D:$AM, 10, FALSE), 1)</f>
        <v>5.0846246733852671E-3</v>
      </c>
      <c r="Q6" s="7">
        <f>$B6 * IFERROR(VLOOKUP("electricity|SO2|Asthma symptoms cough", US_national_yearly!$D:$AM, 25, FALSE) / VLOOKUP("electricity|SO2|Asthma symptoms cough", US_national_yearly!$D:$AM, 10, FALSE), 1)</f>
        <v>5.0846246733852671E-3</v>
      </c>
      <c r="R6" s="7">
        <f>$B6 * IFERROR(VLOOKUP("electricity|SO2|Asthma symptoms cough", US_national_yearly!$D:$AM, 26, FALSE) / VLOOKUP("electricity|SO2|Asthma symptoms cough", US_national_yearly!$D:$AM, 10, FALSE), 1)</f>
        <v>5.0846246733852671E-3</v>
      </c>
      <c r="S6" s="7">
        <f>$B6 * IFERROR(VLOOKUP("electricity|SO2|Asthma symptoms cough", US_national_yearly!$D:$AM, 27, FALSE) / VLOOKUP("electricity|SO2|Asthma symptoms cough", US_national_yearly!$D:$AM, 10, FALSE), 1)</f>
        <v>5.0846246733852671E-3</v>
      </c>
      <c r="T6" s="7">
        <f>$B6 * IFERROR(VLOOKUP("electricity|SO2|Asthma symptoms cough", US_national_yearly!$D:$AM, 28, FALSE) / VLOOKUP("electricity|SO2|Asthma symptoms cough", US_national_yearly!$D:$AM, 10, FALSE), 1)</f>
        <v>5.0846246733852671E-3</v>
      </c>
      <c r="U6" s="7">
        <f>$B6 * IFERROR(VLOOKUP("electricity|SO2|Asthma symptoms cough", US_national_yearly!$D:$AM, 29, FALSE) / VLOOKUP("electricity|SO2|Asthma symptoms cough", US_national_yearly!$D:$AM, 10, FALSE), 1)</f>
        <v>5.0846246733852671E-3</v>
      </c>
      <c r="V6" s="7">
        <f>$B6 * IFERROR(VLOOKUP("electricity|SO2|Asthma symptoms cough", US_national_yearly!$D:$AM, 30, FALSE) / VLOOKUP("electricity|SO2|Asthma symptoms cough", US_national_yearly!$D:$AM, 10, FALSE), 1)</f>
        <v>5.0846246733852671E-3</v>
      </c>
      <c r="W6" s="7">
        <f>$B6 * IFERROR(VLOOKUP("electricity|SO2|Asthma symptoms cough", US_national_yearly!$D:$AM, 31, FALSE) / VLOOKUP("electricity|SO2|Asthma symptoms cough", US_national_yearly!$D:$AM, 10, FALSE), 1)</f>
        <v>5.0846246733852671E-3</v>
      </c>
      <c r="X6" s="7">
        <f>$B6 * IFERROR(VLOOKUP("electricity|SO2|Asthma symptoms cough", US_national_yearly!$D:$AM, 32, FALSE) / VLOOKUP("electricity|SO2|Asthma symptoms cough", US_national_yearly!$D:$AM, 10, FALSE), 1)</f>
        <v>5.0846246733852671E-3</v>
      </c>
      <c r="Y6" s="7">
        <f>$B6 * IFERROR(VLOOKUP("electricity|SO2|Asthma symptoms cough", US_national_yearly!$D:$AM, 33, FALSE) / VLOOKUP("electricity|SO2|Asthma symptoms cough", US_national_yearly!$D:$AM, 10, FALSE), 1)</f>
        <v>5.0846246733852671E-3</v>
      </c>
      <c r="Z6" s="7">
        <f>$B6 * IFERROR(VLOOKUP("electricity|SO2|Asthma symptoms cough", US_national_yearly!$D:$AM, 34, FALSE) / VLOOKUP("electricity|SO2|Asthma symptoms cough", US_national_yearly!$D:$AM, 10, FALSE), 1)</f>
        <v>5.0846246733852671E-3</v>
      </c>
      <c r="AA6" s="7">
        <f>$B6 * IFERROR(VLOOKUP("electricity|SO2|Asthma symptoms cough", US_national_yearly!$D:$AM, 35, FALSE) / VLOOKUP("electricity|SO2|Asthma symptoms cough", US_national_yearly!$D:$AM, 10, FALSE), 1)</f>
        <v>5.0846246733852671E-3</v>
      </c>
      <c r="AB6" s="7">
        <f>$B6 * IFERROR(VLOOKUP("electricity|SO2|Asthma symptoms cough", US_national_yearly!$D:$AM, 36, FALSE) / VLOOKUP("electricity|SO2|Asthma symptoms cough", US_national_yearly!$D:$AM, 10, FALSE), 1)</f>
        <v>5.0846246733852671E-3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6.8471890517224077E-3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6.8471890517224077E-3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6.8471890517224077E-3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6.8471890517224077E-3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6.8471890517224077E-3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6.8471890517224077E-3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6.8471890517224077E-3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6.8471890517224077E-3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6.8471890517224077E-3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6.8471890517224077E-3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6.8471890517224077E-3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6.8471890517224077E-3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6.8471890517224077E-3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6.8471890517224077E-3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6.8471890517224077E-3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6.8471890517224077E-3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6.8471890517224077E-3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6.8471890517224077E-3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6.8471890517224077E-3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6.8471890517224077E-3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6.8471890517224077E-3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6.8471890517224077E-3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6.8471890517224077E-3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6.8471890517224077E-3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6.8471890517224077E-3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6.8471890517224077E-3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6.8471890517224077E-3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1.0461329691890443E-2</v>
      </c>
      <c r="C8" s="7">
        <f>$B8 * IFERROR(VLOOKUP("electricity|SO2|Asthma symptoms wheeze", US_national_yearly!$D:$AM, 11, FALSE) / VLOOKUP("electricity|SO2|Asthma symptoms wheeze", US_national_yearly!$D:$AM, 10, FALSE), 1)</f>
        <v>1.0461329691890443E-2</v>
      </c>
      <c r="D8" s="7">
        <f>$B8 * IFERROR(VLOOKUP("electricity|SO2|Asthma symptoms wheeze", US_national_yearly!$D:$AM, 12, FALSE) / VLOOKUP("electricity|SO2|Asthma symptoms wheeze", US_national_yearly!$D:$AM, 10, FALSE), 1)</f>
        <v>1.0461329691890443E-2</v>
      </c>
      <c r="E8" s="7">
        <f>$B8 * IFERROR(VLOOKUP("electricity|SO2|Asthma symptoms wheeze", US_national_yearly!$D:$AM, 13, FALSE) / VLOOKUP("electricity|SO2|Asthma symptoms wheeze", US_national_yearly!$D:$AM, 10, FALSE), 1)</f>
        <v>1.0461329691890443E-2</v>
      </c>
      <c r="F8" s="7">
        <f>$B8 * IFERROR(VLOOKUP("electricity|SO2|Asthma symptoms wheeze", US_national_yearly!$D:$AM, 14, FALSE) / VLOOKUP("electricity|SO2|Asthma symptoms wheeze", US_national_yearly!$D:$AM, 10, FALSE), 1)</f>
        <v>1.0461329691890443E-2</v>
      </c>
      <c r="G8" s="7">
        <f>$B8 * IFERROR(VLOOKUP("electricity|SO2|Asthma symptoms wheeze", US_national_yearly!$D:$AM, 15, FALSE) / VLOOKUP("electricity|SO2|Asthma symptoms wheeze", US_national_yearly!$D:$AM, 10, FALSE), 1)</f>
        <v>1.0461329691890443E-2</v>
      </c>
      <c r="H8" s="7">
        <f>$B8 * IFERROR(VLOOKUP("electricity|SO2|Asthma symptoms wheeze", US_national_yearly!$D:$AM, 16, FALSE) / VLOOKUP("electricity|SO2|Asthma symptoms wheeze", US_national_yearly!$D:$AM, 10, FALSE), 1)</f>
        <v>1.0461329691890443E-2</v>
      </c>
      <c r="I8" s="7">
        <f>$B8 * IFERROR(VLOOKUP("electricity|SO2|Asthma symptoms wheeze", US_national_yearly!$D:$AM, 17, FALSE) / VLOOKUP("electricity|SO2|Asthma symptoms wheeze", US_national_yearly!$D:$AM, 10, FALSE), 1)</f>
        <v>1.0461329691890443E-2</v>
      </c>
      <c r="J8" s="7">
        <f>$B8 * IFERROR(VLOOKUP("electricity|SO2|Asthma symptoms wheeze", US_national_yearly!$D:$AM, 18, FALSE) / VLOOKUP("electricity|SO2|Asthma symptoms wheeze", US_national_yearly!$D:$AM, 10, FALSE), 1)</f>
        <v>1.0461329691890443E-2</v>
      </c>
      <c r="K8" s="7">
        <f>$B8 * IFERROR(VLOOKUP("electricity|SO2|Asthma symptoms wheeze", US_national_yearly!$D:$AM, 19, FALSE) / VLOOKUP("electricity|SO2|Asthma symptoms wheeze", US_national_yearly!$D:$AM, 10, FALSE), 1)</f>
        <v>1.0461329691890443E-2</v>
      </c>
      <c r="L8" s="7">
        <f>$B8 * IFERROR(VLOOKUP("electricity|SO2|Asthma symptoms wheeze", US_national_yearly!$D:$AM, 20, FALSE) / VLOOKUP("electricity|SO2|Asthma symptoms wheeze", US_national_yearly!$D:$AM, 10, FALSE), 1)</f>
        <v>1.0461329691890443E-2</v>
      </c>
      <c r="M8" s="7">
        <f>$B8 * IFERROR(VLOOKUP("electricity|SO2|Asthma symptoms wheeze", US_national_yearly!$D:$AM, 21, FALSE) / VLOOKUP("electricity|SO2|Asthma symptoms wheeze", US_national_yearly!$D:$AM, 10, FALSE), 1)</f>
        <v>1.0461329691890443E-2</v>
      </c>
      <c r="N8" s="7">
        <f>$B8 * IFERROR(VLOOKUP("electricity|SO2|Asthma symptoms wheeze", US_national_yearly!$D:$AM, 22, FALSE) / VLOOKUP("electricity|SO2|Asthma symptoms wheeze", US_national_yearly!$D:$AM, 10, FALSE), 1)</f>
        <v>1.0461329691890443E-2</v>
      </c>
      <c r="O8" s="7">
        <f>$B8 * IFERROR(VLOOKUP("electricity|SO2|Asthma symptoms wheeze", US_national_yearly!$D:$AM, 23, FALSE) / VLOOKUP("electricity|SO2|Asthma symptoms wheeze", US_national_yearly!$D:$AM, 10, FALSE), 1)</f>
        <v>1.0461329691890443E-2</v>
      </c>
      <c r="P8" s="7">
        <f>$B8 * IFERROR(VLOOKUP("electricity|SO2|Asthma symptoms wheeze", US_national_yearly!$D:$AM, 24, FALSE) / VLOOKUP("electricity|SO2|Asthma symptoms wheeze", US_national_yearly!$D:$AM, 10, FALSE), 1)</f>
        <v>1.0461329691890443E-2</v>
      </c>
      <c r="Q8" s="7">
        <f>$B8 * IFERROR(VLOOKUP("electricity|SO2|Asthma symptoms wheeze", US_national_yearly!$D:$AM, 25, FALSE) / VLOOKUP("electricity|SO2|Asthma symptoms wheeze", US_national_yearly!$D:$AM, 10, FALSE), 1)</f>
        <v>1.0461329691890443E-2</v>
      </c>
      <c r="R8" s="7">
        <f>$B8 * IFERROR(VLOOKUP("electricity|SO2|Asthma symptoms wheeze", US_national_yearly!$D:$AM, 26, FALSE) / VLOOKUP("electricity|SO2|Asthma symptoms wheeze", US_national_yearly!$D:$AM, 10, FALSE), 1)</f>
        <v>1.0461329691890443E-2</v>
      </c>
      <c r="S8" s="7">
        <f>$B8 * IFERROR(VLOOKUP("electricity|SO2|Asthma symptoms wheeze", US_national_yearly!$D:$AM, 27, FALSE) / VLOOKUP("electricity|SO2|Asthma symptoms wheeze", US_national_yearly!$D:$AM, 10, FALSE), 1)</f>
        <v>1.0461329691890443E-2</v>
      </c>
      <c r="T8" s="7">
        <f>$B8 * IFERROR(VLOOKUP("electricity|SO2|Asthma symptoms wheeze", US_national_yearly!$D:$AM, 28, FALSE) / VLOOKUP("electricity|SO2|Asthma symptoms wheeze", US_national_yearly!$D:$AM, 10, FALSE), 1)</f>
        <v>1.0461329691890443E-2</v>
      </c>
      <c r="U8" s="7">
        <f>$B8 * IFERROR(VLOOKUP("electricity|SO2|Asthma symptoms wheeze", US_national_yearly!$D:$AM, 29, FALSE) / VLOOKUP("electricity|SO2|Asthma symptoms wheeze", US_national_yearly!$D:$AM, 10, FALSE), 1)</f>
        <v>1.0461329691890443E-2</v>
      </c>
      <c r="V8" s="7">
        <f>$B8 * IFERROR(VLOOKUP("electricity|SO2|Asthma symptoms wheeze", US_national_yearly!$D:$AM, 30, FALSE) / VLOOKUP("electricity|SO2|Asthma symptoms wheeze", US_national_yearly!$D:$AM, 10, FALSE), 1)</f>
        <v>1.0461329691890443E-2</v>
      </c>
      <c r="W8" s="7">
        <f>$B8 * IFERROR(VLOOKUP("electricity|SO2|Asthma symptoms wheeze", US_national_yearly!$D:$AM, 31, FALSE) / VLOOKUP("electricity|SO2|Asthma symptoms wheeze", US_national_yearly!$D:$AM, 10, FALSE), 1)</f>
        <v>1.0461329691890443E-2</v>
      </c>
      <c r="X8" s="7">
        <f>$B8 * IFERROR(VLOOKUP("electricity|SO2|Asthma symptoms wheeze", US_national_yearly!$D:$AM, 32, FALSE) / VLOOKUP("electricity|SO2|Asthma symptoms wheeze", US_national_yearly!$D:$AM, 10, FALSE), 1)</f>
        <v>1.0461329691890443E-2</v>
      </c>
      <c r="Y8" s="7">
        <f>$B8 * IFERROR(VLOOKUP("electricity|SO2|Asthma symptoms wheeze", US_national_yearly!$D:$AM, 33, FALSE) / VLOOKUP("electricity|SO2|Asthma symptoms wheeze", US_national_yearly!$D:$AM, 10, FALSE), 1)</f>
        <v>1.0461329691890443E-2</v>
      </c>
      <c r="Z8" s="7">
        <f>$B8 * IFERROR(VLOOKUP("electricity|SO2|Asthma symptoms wheeze", US_national_yearly!$D:$AM, 34, FALSE) / VLOOKUP("electricity|SO2|Asthma symptoms wheeze", US_national_yearly!$D:$AM, 10, FALSE), 1)</f>
        <v>1.0461329691890443E-2</v>
      </c>
      <c r="AA8" s="7">
        <f>$B8 * IFERROR(VLOOKUP("electricity|SO2|Asthma symptoms wheeze", US_national_yearly!$D:$AM, 35, FALSE) / VLOOKUP("electricity|SO2|Asthma symptoms wheeze", US_national_yearly!$D:$AM, 10, FALSE), 1)</f>
        <v>1.0461329691890443E-2</v>
      </c>
      <c r="AB8" s="7">
        <f>$B8 * IFERROR(VLOOKUP("electricity|SO2|Asthma symptoms wheeze", US_national_yearly!$D:$AM, 36, FALSE) / VLOOKUP("electricity|SO2|Asthma symptoms wheeze", US_national_yearly!$D:$AM, 10, FALSE), 1)</f>
        <v>1.0461329691890443E-2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1.3416091240184478E-4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1.349510706594205E-4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1.3574122891699621E-4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1.3653138717457193E-4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1.3732154543214767E-4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1.3818257737976868E-4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1.3904360932738972E-4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1.3987193464430676E-4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1.4070025996122386E-4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1.4152858527814095E-4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1.4235691059505802E-4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1.4318523591197509E-4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1.4377936086187507E-4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1.4437348581177508E-4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1.4496761076167506E-4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1.4556173571157502E-4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1.4615586066147503E-4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1.467166271594829E-4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1.4727739365749079E-4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1.4783816015549866E-4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1.4839892665350653E-4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1.4895969315151442E-4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1.4949765156058813E-4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1.5003560996966191E-4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1.5057356837873566E-4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1.5111152678780936E-4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1.5164948519688312E-4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6.8475368385757264E-4</v>
      </c>
      <c r="C13" s="7">
        <f>$B13 * IFERROR(VLOOKUP("electricity|SO2|Non-fatal heart attacks", US_national_yearly!$D:$AM, 11, FALSE) / VLOOKUP("electricity|SO2|Non-fatal heart attacks", US_national_yearly!$D:$AM, 10, FALSE), 1)</f>
        <v>7.0492349359468508E-4</v>
      </c>
      <c r="D13" s="7">
        <f>$B13 * IFERROR(VLOOKUP("electricity|SO2|Non-fatal heart attacks", US_national_yearly!$D:$AM, 12, FALSE) / VLOOKUP("electricity|SO2|Non-fatal heart attacks", US_national_yearly!$D:$AM, 10, FALSE), 1)</f>
        <v>7.2509330333179708E-4</v>
      </c>
      <c r="E13" s="7">
        <f>$B13 * IFERROR(VLOOKUP("electricity|SO2|Non-fatal heart attacks", US_national_yearly!$D:$AM, 13, FALSE) / VLOOKUP("electricity|SO2|Non-fatal heart attacks", US_national_yearly!$D:$AM, 10, FALSE), 1)</f>
        <v>7.4526311306890951E-4</v>
      </c>
      <c r="F13" s="7">
        <f>$B13 * IFERROR(VLOOKUP("electricity|SO2|Non-fatal heart attacks", US_national_yearly!$D:$AM, 14, FALSE) / VLOOKUP("electricity|SO2|Non-fatal heart attacks", US_national_yearly!$D:$AM, 10, FALSE), 1)</f>
        <v>7.6543292280602173E-4</v>
      </c>
      <c r="G13" s="7">
        <f>$B13 * IFERROR(VLOOKUP("electricity|SO2|Non-fatal heart attacks", US_national_yearly!$D:$AM, 15, FALSE) / VLOOKUP("electricity|SO2|Non-fatal heart attacks", US_national_yearly!$D:$AM, 10, FALSE), 1)</f>
        <v>7.8457467740262728E-4</v>
      </c>
      <c r="H13" s="7">
        <f>$B13 * IFERROR(VLOOKUP("electricity|SO2|Non-fatal heart attacks", US_national_yearly!$D:$AM, 16, FALSE) / VLOOKUP("electricity|SO2|Non-fatal heart attacks", US_national_yearly!$D:$AM, 10, FALSE), 1)</f>
        <v>8.0371643199923294E-4</v>
      </c>
      <c r="I13" s="7">
        <f>$B13 * IFERROR(VLOOKUP("electricity|SO2|Non-fatal heart attacks", US_national_yearly!$D:$AM, 17, FALSE) / VLOOKUP("electricity|SO2|Non-fatal heart attacks", US_national_yearly!$D:$AM, 10, FALSE), 1)</f>
        <v>8.1930520011901282E-4</v>
      </c>
      <c r="J13" s="7">
        <f>$B13 * IFERROR(VLOOKUP("electricity|SO2|Non-fatal heart attacks", US_national_yearly!$D:$AM, 18, FALSE) / VLOOKUP("electricity|SO2|Non-fatal heart attacks", US_national_yearly!$D:$AM, 10, FALSE), 1)</f>
        <v>8.348939682387926E-4</v>
      </c>
      <c r="K13" s="7">
        <f>$B13 * IFERROR(VLOOKUP("electricity|SO2|Non-fatal heart attacks", US_national_yearly!$D:$AM, 19, FALSE) / VLOOKUP("electricity|SO2|Non-fatal heart attacks", US_national_yearly!$D:$AM, 10, FALSE), 1)</f>
        <v>8.5048273635857249E-4</v>
      </c>
      <c r="L13" s="7">
        <f>$B13 * IFERROR(VLOOKUP("electricity|SO2|Non-fatal heart attacks", US_national_yearly!$D:$AM, 20, FALSE) / VLOOKUP("electricity|SO2|Non-fatal heart attacks", US_national_yearly!$D:$AM, 10, FALSE), 1)</f>
        <v>8.6607150447835215E-4</v>
      </c>
      <c r="M13" s="7">
        <f>$B13 * IFERROR(VLOOKUP("electricity|SO2|Non-fatal heart attacks", US_national_yearly!$D:$AM, 21, FALSE) / VLOOKUP("electricity|SO2|Non-fatal heart attacks", US_national_yearly!$D:$AM, 10, FALSE), 1)</f>
        <v>8.8166027259813204E-4</v>
      </c>
      <c r="N13" s="7">
        <f>$B13 * IFERROR(VLOOKUP("electricity|SO2|Non-fatal heart attacks", US_national_yearly!$D:$AM, 22, FALSE) / VLOOKUP("electricity|SO2|Non-fatal heart attacks", US_national_yearly!$D:$AM, 10, FALSE), 1)</f>
        <v>8.9194033127814102E-4</v>
      </c>
      <c r="O13" s="7">
        <f>$B13 * IFERROR(VLOOKUP("electricity|SO2|Non-fatal heart attacks", US_national_yearly!$D:$AM, 23, FALSE) / VLOOKUP("electricity|SO2|Non-fatal heart attacks", US_national_yearly!$D:$AM, 10, FALSE), 1)</f>
        <v>9.0222038995814977E-4</v>
      </c>
      <c r="P13" s="7">
        <f>$B13 * IFERROR(VLOOKUP("electricity|SO2|Non-fatal heart attacks", US_national_yearly!$D:$AM, 24, FALSE) / VLOOKUP("electricity|SO2|Non-fatal heart attacks", US_national_yearly!$D:$AM, 10, FALSE), 1)</f>
        <v>9.1250044863815875E-4</v>
      </c>
      <c r="Q13" s="7">
        <f>$B13 * IFERROR(VLOOKUP("electricity|SO2|Non-fatal heart attacks", US_national_yearly!$D:$AM, 25, FALSE) / VLOOKUP("electricity|SO2|Non-fatal heart attacks", US_national_yearly!$D:$AM, 10, FALSE), 1)</f>
        <v>9.2278050731816772E-4</v>
      </c>
      <c r="R13" s="7">
        <f>$B13 * IFERROR(VLOOKUP("electricity|SO2|Non-fatal heart attacks", US_national_yearly!$D:$AM, 26, FALSE) / VLOOKUP("electricity|SO2|Non-fatal heart attacks", US_national_yearly!$D:$AM, 10, FALSE), 1)</f>
        <v>9.330605659981767E-4</v>
      </c>
      <c r="S13" s="7">
        <f>$B13 * IFERROR(VLOOKUP("electricity|SO2|Non-fatal heart attacks", US_national_yearly!$D:$AM, 27, FALSE) / VLOOKUP("electricity|SO2|Non-fatal heart attacks", US_national_yearly!$D:$AM, 10, FALSE), 1)</f>
        <v>9.386547292970233E-4</v>
      </c>
      <c r="T13" s="7">
        <f>$B13 * IFERROR(VLOOKUP("electricity|SO2|Non-fatal heart attacks", US_national_yearly!$D:$AM, 28, FALSE) / VLOOKUP("electricity|SO2|Non-fatal heart attacks", US_national_yearly!$D:$AM, 10, FALSE), 1)</f>
        <v>9.4424889259587001E-4</v>
      </c>
      <c r="U13" s="7">
        <f>$B13 * IFERROR(VLOOKUP("electricity|SO2|Non-fatal heart attacks", US_national_yearly!$D:$AM, 29, FALSE) / VLOOKUP("electricity|SO2|Non-fatal heart attacks", US_national_yearly!$D:$AM, 10, FALSE), 1)</f>
        <v>9.4984305589471683E-4</v>
      </c>
      <c r="V13" s="7">
        <f>$B13 * IFERROR(VLOOKUP("electricity|SO2|Non-fatal heart attacks", US_national_yearly!$D:$AM, 30, FALSE) / VLOOKUP("electricity|SO2|Non-fatal heart attacks", US_national_yearly!$D:$AM, 10, FALSE), 1)</f>
        <v>9.5543721919356321E-4</v>
      </c>
      <c r="W13" s="7">
        <f>$B13 * IFERROR(VLOOKUP("electricity|SO2|Non-fatal heart attacks", US_national_yearly!$D:$AM, 31, FALSE) / VLOOKUP("electricity|SO2|Non-fatal heart attacks", US_national_yearly!$D:$AM, 10, FALSE), 1)</f>
        <v>9.6103138249241003E-4</v>
      </c>
      <c r="X13" s="7">
        <f>$B13 * IFERROR(VLOOKUP("electricity|SO2|Non-fatal heart attacks", US_national_yearly!$D:$AM, 32, FALSE) / VLOOKUP("electricity|SO2|Non-fatal heart attacks", US_national_yearly!$D:$AM, 10, FALSE), 1)</f>
        <v>9.6532863382865818E-4</v>
      </c>
      <c r="Y13" s="7">
        <f>$B13 * IFERROR(VLOOKUP("electricity|SO2|Non-fatal heart attacks", US_national_yearly!$D:$AM, 33, FALSE) / VLOOKUP("electricity|SO2|Non-fatal heart attacks", US_national_yearly!$D:$AM, 10, FALSE), 1)</f>
        <v>9.6962588516490654E-4</v>
      </c>
      <c r="Z13" s="7">
        <f>$B13 * IFERROR(VLOOKUP("electricity|SO2|Non-fatal heart attacks", US_national_yearly!$D:$AM, 34, FALSE) / VLOOKUP("electricity|SO2|Non-fatal heart attacks", US_national_yearly!$D:$AM, 10, FALSE), 1)</f>
        <v>9.7392313650115447E-4</v>
      </c>
      <c r="AA13" s="7">
        <f>$B13 * IFERROR(VLOOKUP("electricity|SO2|Non-fatal heart attacks", US_national_yearly!$D:$AM, 35, FALSE) / VLOOKUP("electricity|SO2|Non-fatal heart attacks", US_national_yearly!$D:$AM, 10, FALSE), 1)</f>
        <v>9.7822038783740273E-4</v>
      </c>
      <c r="AB13" s="7">
        <f>$B13 * IFERROR(VLOOKUP("electricity|SO2|Non-fatal heart attacks", US_national_yearly!$D:$AM, 36, FALSE) / VLOOKUP("electricity|SO2|Non-fatal heart attacks", US_national_yearly!$D:$AM, 10, FALSE), 1)</f>
        <v>9.8251763917365088E-4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0.6493197645387031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0.65095147404517906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0.6525831835516549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0.65421489305813096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0.6558466025646067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0.65820407003653014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0.66056153750845359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0.66460477572701815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0.66864801394558293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0.67269125216414749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0.67673449038271238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0.68077772860127694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0.68634585166366568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0.69191397472605431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0.69748209778844295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0.70305022085083169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0.70861834391322021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0.7143265479146671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0.72003475191611399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0.72574295591756066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0.73145115991900755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0.73715936392045445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0.74218195783717733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0.7472045517539001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0.75222714567062288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0.75724973958734587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0.76227233350406864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0.11032375829582515</v>
      </c>
      <c r="C15" s="7">
        <f>$B15 * IFERROR(VLOOKUP("electricity|SO2|Work loss days", US_national_yearly!$D:$AM, 11, FALSE) / VLOOKUP("electricity|SO2|Work loss days", US_national_yearly!$D:$AM, 10, FALSE), 1)</f>
        <v>0.11068098996172743</v>
      </c>
      <c r="D15" s="7">
        <f>$B15 * IFERROR(VLOOKUP("electricity|SO2|Work loss days", US_national_yearly!$D:$AM, 12, FALSE) / VLOOKUP("electricity|SO2|Work loss days", US_national_yearly!$D:$AM, 10, FALSE), 1)</f>
        <v>0.11103822162762972</v>
      </c>
      <c r="E15" s="7">
        <f>$B15 * IFERROR(VLOOKUP("electricity|SO2|Work loss days", US_national_yearly!$D:$AM, 13, FALSE) / VLOOKUP("electricity|SO2|Work loss days", US_national_yearly!$D:$AM, 10, FALSE), 1)</f>
        <v>0.11139545329353202</v>
      </c>
      <c r="F15" s="7">
        <f>$B15 * IFERROR(VLOOKUP("electricity|SO2|Work loss days", US_national_yearly!$D:$AM, 14, FALSE) / VLOOKUP("electricity|SO2|Work loss days", US_national_yearly!$D:$AM, 10, FALSE), 1)</f>
        <v>0.11175268495943431</v>
      </c>
      <c r="G15" s="7">
        <f>$B15 * IFERROR(VLOOKUP("electricity|SO2|Work loss days", US_national_yearly!$D:$AM, 15, FALSE) / VLOOKUP("electricity|SO2|Work loss days", US_national_yearly!$D:$AM, 10, FALSE), 1)</f>
        <v>0.11221032085893967</v>
      </c>
      <c r="H15" s="7">
        <f>$B15 * IFERROR(VLOOKUP("electricity|SO2|Work loss days", US_national_yearly!$D:$AM, 16, FALSE) / VLOOKUP("electricity|SO2|Work loss days", US_national_yearly!$D:$AM, 10, FALSE), 1)</f>
        <v>0.11266795675844504</v>
      </c>
      <c r="I15" s="7">
        <f>$B15 * IFERROR(VLOOKUP("electricity|SO2|Work loss days", US_national_yearly!$D:$AM, 17, FALSE) / VLOOKUP("electricity|SO2|Work loss days", US_national_yearly!$D:$AM, 10, FALSE), 1)</f>
        <v>0.11333753191070155</v>
      </c>
      <c r="J15" s="7">
        <f>$B15 * IFERROR(VLOOKUP("electricity|SO2|Work loss days", US_national_yearly!$D:$AM, 18, FALSE) / VLOOKUP("electricity|SO2|Work loss days", US_national_yearly!$D:$AM, 10, FALSE), 1)</f>
        <v>0.11400710706295804</v>
      </c>
      <c r="K15" s="7">
        <f>$B15 * IFERROR(VLOOKUP("electricity|SO2|Work loss days", US_national_yearly!$D:$AM, 19, FALSE) / VLOOKUP("electricity|SO2|Work loss days", US_national_yearly!$D:$AM, 10, FALSE), 1)</f>
        <v>0.11467668221521457</v>
      </c>
      <c r="L15" s="7">
        <f>$B15 * IFERROR(VLOOKUP("electricity|SO2|Work loss days", US_national_yearly!$D:$AM, 20, FALSE) / VLOOKUP("electricity|SO2|Work loss days", US_national_yearly!$D:$AM, 10, FALSE), 1)</f>
        <v>0.11534625736747106</v>
      </c>
      <c r="M15" s="7">
        <f>$B15 * IFERROR(VLOOKUP("electricity|SO2|Work loss days", US_national_yearly!$D:$AM, 21, FALSE) / VLOOKUP("electricity|SO2|Work loss days", US_national_yearly!$D:$AM, 10, FALSE), 1)</f>
        <v>0.11601583251972759</v>
      </c>
      <c r="N15" s="7">
        <f>$B15 * IFERROR(VLOOKUP("electricity|SO2|Work loss days", US_national_yearly!$D:$AM, 22, FALSE) / VLOOKUP("electricity|SO2|Work loss days", US_national_yearly!$D:$AM, 10, FALSE), 1)</f>
        <v>0.11686301160681634</v>
      </c>
      <c r="O15" s="7">
        <f>$B15 * IFERROR(VLOOKUP("electricity|SO2|Work loss days", US_national_yearly!$D:$AM, 23, FALSE) / VLOOKUP("electricity|SO2|Work loss days", US_national_yearly!$D:$AM, 10, FALSE), 1)</f>
        <v>0.11771019069390509</v>
      </c>
      <c r="P15" s="7">
        <f>$B15 * IFERROR(VLOOKUP("electricity|SO2|Work loss days", US_national_yearly!$D:$AM, 24, FALSE) / VLOOKUP("electricity|SO2|Work loss days", US_national_yearly!$D:$AM, 10, FALSE), 1)</f>
        <v>0.11855736978099386</v>
      </c>
      <c r="Q15" s="7">
        <f>$B15 * IFERROR(VLOOKUP("electricity|SO2|Work loss days", US_national_yearly!$D:$AM, 25, FALSE) / VLOOKUP("electricity|SO2|Work loss days", US_national_yearly!$D:$AM, 10, FALSE), 1)</f>
        <v>0.11940454886808259</v>
      </c>
      <c r="R15" s="7">
        <f>$B15 * IFERROR(VLOOKUP("electricity|SO2|Work loss days", US_national_yearly!$D:$AM, 26, FALSE) / VLOOKUP("electricity|SO2|Work loss days", US_national_yearly!$D:$AM, 10, FALSE), 1)</f>
        <v>0.12025172795517136</v>
      </c>
      <c r="S15" s="7">
        <f>$B15 * IFERROR(VLOOKUP("electricity|SO2|Work loss days", US_national_yearly!$D:$AM, 27, FALSE) / VLOOKUP("electricity|SO2|Work loss days", US_national_yearly!$D:$AM, 10, FALSE), 1)</f>
        <v>0.12120149476806234</v>
      </c>
      <c r="T15" s="7">
        <f>$B15 * IFERROR(VLOOKUP("electricity|SO2|Work loss days", US_national_yearly!$D:$AM, 28, FALSE) / VLOOKUP("electricity|SO2|Work loss days", US_national_yearly!$D:$AM, 10, FALSE), 1)</f>
        <v>0.12215126158095335</v>
      </c>
      <c r="U15" s="7">
        <f>$B15 * IFERROR(VLOOKUP("electricity|SO2|Work loss days", US_national_yearly!$D:$AM, 29, FALSE) / VLOOKUP("electricity|SO2|Work loss days", US_national_yearly!$D:$AM, 10, FALSE), 1)</f>
        <v>0.12310102839384436</v>
      </c>
      <c r="V15" s="7">
        <f>$B15 * IFERROR(VLOOKUP("electricity|SO2|Work loss days", US_national_yearly!$D:$AM, 30, FALSE) / VLOOKUP("electricity|SO2|Work loss days", US_national_yearly!$D:$AM, 10, FALSE), 1)</f>
        <v>0.12405079520673537</v>
      </c>
      <c r="W15" s="7">
        <f>$B15 * IFERROR(VLOOKUP("electricity|SO2|Work loss days", US_national_yearly!$D:$AM, 31, FALSE) / VLOOKUP("electricity|SO2|Work loss days", US_national_yearly!$D:$AM, 10, FALSE), 1)</f>
        <v>0.12500056201962639</v>
      </c>
      <c r="X15" s="7">
        <f>$B15 * IFERROR(VLOOKUP("electricity|SO2|Work loss days", US_national_yearly!$D:$AM, 32, FALSE) / VLOOKUP("electricity|SO2|Work loss days", US_national_yearly!$D:$AM, 10, FALSE), 1)</f>
        <v>0.12585620798052477</v>
      </c>
      <c r="Y15" s="7">
        <f>$B15 * IFERROR(VLOOKUP("electricity|SO2|Work loss days", US_national_yearly!$D:$AM, 33, FALSE) / VLOOKUP("electricity|SO2|Work loss days", US_national_yearly!$D:$AM, 10, FALSE), 1)</f>
        <v>0.12671185394142315</v>
      </c>
      <c r="Z15" s="7">
        <f>$B15 * IFERROR(VLOOKUP("electricity|SO2|Work loss days", US_national_yearly!$D:$AM, 34, FALSE) / VLOOKUP("electricity|SO2|Work loss days", US_national_yearly!$D:$AM, 10, FALSE), 1)</f>
        <v>0.1275674999023215</v>
      </c>
      <c r="AA15" s="7">
        <f>$B15 * IFERROR(VLOOKUP("electricity|SO2|Work loss days", US_national_yearly!$D:$AM, 35, FALSE) / VLOOKUP("electricity|SO2|Work loss days", US_national_yearly!$D:$AM, 10, FALSE), 1)</f>
        <v>0.12842314586321987</v>
      </c>
      <c r="AB15" s="7">
        <f>$B15 * IFERROR(VLOOKUP("electricity|SO2|Work loss days", US_national_yearly!$D:$AM, 36, FALSE) / VLOOKUP("electricity|SO2|Work loss days", US_national_yearly!$D:$AM, 10, FALSE), 1)</f>
        <v>0.12927879182411828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1.633888025909006E-4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1.6833993750119366E-4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1.7329107241148675E-4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1.7824220732177984E-4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1.831933422320729E-4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1.8796592079160625E-4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1.9273849935113962E-4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1.9687031409043235E-4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2.0100212882972511E-4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2.0513394356901784E-4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2.0926575830831055E-4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2.1339757304760331E-4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2.1621752559127167E-4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2.1903747813494E-4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2.2185743067860842E-4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2.2467738322227675E-4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2.2749733576594511E-4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2.2904328541013176E-4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2.3058923505431836E-4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2.3213518469850498E-4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2.3368113434269158E-4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2.3522708398687818E-4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2.3629423419815478E-4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2.3736138440943129E-4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2.3842853462070787E-4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2.3949568483198444E-4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2.4056283504326101E-4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4.5459170973718953E-2</v>
      </c>
      <c r="C2" s="7">
        <f>$B2 * IFERROR(VLOOKUP("buildings|PM25|Premature mortality", US_national_yearly!$D:$AM, 11, FALSE) / VLOOKUP("buildings|PM25|Premature mortality", US_national_yearly!$D:$AM, 10, FALSE), 1)</f>
        <v>4.6023173289534335E-2</v>
      </c>
      <c r="D2" s="7">
        <f>$B2 * IFERROR(VLOOKUP("buildings|PM25|Premature mortality", US_national_yearly!$D:$AM, 12, FALSE) / VLOOKUP("buildings|PM25|Premature mortality", US_national_yearly!$D:$AM, 10, FALSE), 1)</f>
        <v>4.6587175605349716E-2</v>
      </c>
      <c r="E2" s="7">
        <f>$B2 * IFERROR(VLOOKUP("buildings|PM25|Premature mortality", US_national_yearly!$D:$AM, 13, FALSE) / VLOOKUP("buildings|PM25|Premature mortality", US_national_yearly!$D:$AM, 10, FALSE), 1)</f>
        <v>4.7151177921165091E-2</v>
      </c>
      <c r="F2" s="7">
        <f>$B2 * IFERROR(VLOOKUP("buildings|PM25|Premature mortality", US_national_yearly!$D:$AM, 14, FALSE) / VLOOKUP("buildings|PM25|Premature mortality", US_national_yearly!$D:$AM, 10, FALSE), 1)</f>
        <v>4.7715180236980473E-2</v>
      </c>
      <c r="G2" s="7">
        <f>$B2 * IFERROR(VLOOKUP("buildings|PM25|Premature mortality", US_national_yearly!$D:$AM, 15, FALSE) / VLOOKUP("buildings|PM25|Premature mortality", US_national_yearly!$D:$AM, 10, FALSE), 1)</f>
        <v>4.8813408406435291E-2</v>
      </c>
      <c r="H2" s="7">
        <f>$B2 * IFERROR(VLOOKUP("buildings|PM25|Premature mortality", US_national_yearly!$D:$AM, 16, FALSE) / VLOOKUP("buildings|PM25|Premature mortality", US_national_yearly!$D:$AM, 10, FALSE), 1)</f>
        <v>4.9911636575890109E-2</v>
      </c>
      <c r="I2" s="7">
        <f>$B2 * IFERROR(VLOOKUP("buildings|PM25|Premature mortality", US_national_yearly!$D:$AM, 17, FALSE) / VLOOKUP("buildings|PM25|Premature mortality", US_national_yearly!$D:$AM, 10, FALSE), 1)</f>
        <v>5.063392232701952E-2</v>
      </c>
      <c r="J2" s="7">
        <f>$B2 * IFERROR(VLOOKUP("buildings|PM25|Premature mortality", US_national_yearly!$D:$AM, 18, FALSE) / VLOOKUP("buildings|PM25|Premature mortality", US_national_yearly!$D:$AM, 10, FALSE), 1)</f>
        <v>5.1356208078148939E-2</v>
      </c>
      <c r="K2" s="7">
        <f>$B2 * IFERROR(VLOOKUP("buildings|PM25|Premature mortality", US_national_yearly!$D:$AM, 19, FALSE) / VLOOKUP("buildings|PM25|Premature mortality", US_national_yearly!$D:$AM, 10, FALSE), 1)</f>
        <v>5.2078493829278351E-2</v>
      </c>
      <c r="L2" s="7">
        <f>$B2 * IFERROR(VLOOKUP("buildings|PM25|Premature mortality", US_national_yearly!$D:$AM, 20, FALSE) / VLOOKUP("buildings|PM25|Premature mortality", US_national_yearly!$D:$AM, 10, FALSE), 1)</f>
        <v>5.280077958040777E-2</v>
      </c>
      <c r="M2" s="7">
        <f>$B2 * IFERROR(VLOOKUP("buildings|PM25|Premature mortality", US_national_yearly!$D:$AM, 21, FALSE) / VLOOKUP("buildings|PM25|Premature mortality", US_national_yearly!$D:$AM, 10, FALSE), 1)</f>
        <v>5.3523065331537181E-2</v>
      </c>
      <c r="N2" s="7">
        <f>$B2 * IFERROR(VLOOKUP("buildings|PM25|Premature mortality", US_national_yearly!$D:$AM, 22, FALSE) / VLOOKUP("buildings|PM25|Premature mortality", US_national_yearly!$D:$AM, 10, FALSE), 1)</f>
        <v>5.4084722779187591E-2</v>
      </c>
      <c r="O2" s="7">
        <f>$B2 * IFERROR(VLOOKUP("buildings|PM25|Premature mortality", US_national_yearly!$D:$AM, 23, FALSE) / VLOOKUP("buildings|PM25|Premature mortality", US_national_yearly!$D:$AM, 10, FALSE), 1)</f>
        <v>5.4646380226838015E-2</v>
      </c>
      <c r="P2" s="7">
        <f>$B2 * IFERROR(VLOOKUP("buildings|PM25|Premature mortality", US_national_yearly!$D:$AM, 24, FALSE) / VLOOKUP("buildings|PM25|Premature mortality", US_national_yearly!$D:$AM, 10, FALSE), 1)</f>
        <v>5.5208037674488425E-2</v>
      </c>
      <c r="Q2" s="7">
        <f>$B2 * IFERROR(VLOOKUP("buildings|PM25|Premature mortality", US_national_yearly!$D:$AM, 25, FALSE) / VLOOKUP("buildings|PM25|Premature mortality", US_national_yearly!$D:$AM, 10, FALSE), 1)</f>
        <v>5.5769695122138856E-2</v>
      </c>
      <c r="R2" s="7">
        <f>$B2 * IFERROR(VLOOKUP("buildings|PM25|Premature mortality", US_national_yearly!$D:$AM, 26, FALSE) / VLOOKUP("buildings|PM25|Premature mortality", US_national_yearly!$D:$AM, 10, FALSE), 1)</f>
        <v>5.6331352569789273E-2</v>
      </c>
      <c r="S2" s="7">
        <f>$B2 * IFERROR(VLOOKUP("buildings|PM25|Premature mortality", US_national_yearly!$D:$AM, 27, FALSE) / VLOOKUP("buildings|PM25|Premature mortality", US_national_yearly!$D:$AM, 10, FALSE), 1)</f>
        <v>5.6629879082090238E-2</v>
      </c>
      <c r="T2" s="7">
        <f>$B2 * IFERROR(VLOOKUP("buildings|PM25|Premature mortality", US_national_yearly!$D:$AM, 28, FALSE) / VLOOKUP("buildings|PM25|Premature mortality", US_national_yearly!$D:$AM, 10, FALSE), 1)</f>
        <v>5.6928405594391211E-2</v>
      </c>
      <c r="U2" s="7">
        <f>$B2 * IFERROR(VLOOKUP("buildings|PM25|Premature mortality", US_national_yearly!$D:$AM, 29, FALSE) / VLOOKUP("buildings|PM25|Premature mortality", US_national_yearly!$D:$AM, 10, FALSE), 1)</f>
        <v>5.7226932106692191E-2</v>
      </c>
      <c r="V2" s="7">
        <f>$B2 * IFERROR(VLOOKUP("buildings|PM25|Premature mortality", US_national_yearly!$D:$AM, 30, FALSE) / VLOOKUP("buildings|PM25|Premature mortality", US_national_yearly!$D:$AM, 10, FALSE), 1)</f>
        <v>5.7525458618993164E-2</v>
      </c>
      <c r="W2" s="7">
        <f>$B2 * IFERROR(VLOOKUP("buildings|PM25|Premature mortality", US_national_yearly!$D:$AM, 31, FALSE) / VLOOKUP("buildings|PM25|Premature mortality", US_national_yearly!$D:$AM, 10, FALSE), 1)</f>
        <v>5.782398513129413E-2</v>
      </c>
      <c r="X2" s="7">
        <f>$B2 * IFERROR(VLOOKUP("buildings|PM25|Premature mortality", US_national_yearly!$D:$AM, 32, FALSE) / VLOOKUP("buildings|PM25|Premature mortality", US_national_yearly!$D:$AM, 10, FALSE), 1)</f>
        <v>5.7877568243631966E-2</v>
      </c>
      <c r="Y2" s="7">
        <f>$B2 * IFERROR(VLOOKUP("buildings|PM25|Premature mortality", US_national_yearly!$D:$AM, 33, FALSE) / VLOOKUP("buildings|PM25|Premature mortality", US_national_yearly!$D:$AM, 10, FALSE), 1)</f>
        <v>5.7931151355969795E-2</v>
      </c>
      <c r="Z2" s="7">
        <f>$B2 * IFERROR(VLOOKUP("buildings|PM25|Premature mortality", US_national_yearly!$D:$AM, 34, FALSE) / VLOOKUP("buildings|PM25|Premature mortality", US_national_yearly!$D:$AM, 10, FALSE), 1)</f>
        <v>5.7984734468307632E-2</v>
      </c>
      <c r="AA2" s="7">
        <f>$B2 * IFERROR(VLOOKUP("buildings|PM25|Premature mortality", US_national_yearly!$D:$AM, 35, FALSE) / VLOOKUP("buildings|PM25|Premature mortality", US_national_yearly!$D:$AM, 10, FALSE), 1)</f>
        <v>5.8038317580645468E-2</v>
      </c>
      <c r="AB2" s="7">
        <f>$B2 * IFERROR(VLOOKUP("buildings|PM25|Premature mortality", US_national_yearly!$D:$AM, 36, FALSE) / VLOOKUP("buildings|PM25|Premature mortality", US_national_yearly!$D:$AM, 10, FALSE), 1)</f>
        <v>5.8091900692983298E-2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1.2703989508080441E-4</v>
      </c>
      <c r="C3" s="7">
        <f>$B3 * IFERROR(VLOOKUP("buildings|PM25|Infant mortality", US_national_yearly!$D:$AM, 11, FALSE) / VLOOKUP("buildings|PM25|Infant mortality", US_national_yearly!$D:$AM, 10, FALSE), 1)</f>
        <v>1.2593952408309321E-4</v>
      </c>
      <c r="D3" s="7">
        <f>$B3 * IFERROR(VLOOKUP("buildings|PM25|Infant mortality", US_national_yearly!$D:$AM, 12, FALSE) / VLOOKUP("buildings|PM25|Infant mortality", US_national_yearly!$D:$AM, 10, FALSE), 1)</f>
        <v>1.2483915308538201E-4</v>
      </c>
      <c r="E3" s="7">
        <f>$B3 * IFERROR(VLOOKUP("buildings|PM25|Infant mortality", US_national_yearly!$D:$AM, 13, FALSE) / VLOOKUP("buildings|PM25|Infant mortality", US_national_yearly!$D:$AM, 10, FALSE), 1)</f>
        <v>1.2373878208767083E-4</v>
      </c>
      <c r="F3" s="7">
        <f>$B3 * IFERROR(VLOOKUP("buildings|PM25|Infant mortality", US_national_yearly!$D:$AM, 14, FALSE) / VLOOKUP("buildings|PM25|Infant mortality", US_national_yearly!$D:$AM, 10, FALSE), 1)</f>
        <v>1.2263841108995963E-4</v>
      </c>
      <c r="G3" s="7">
        <f>$B3 * IFERROR(VLOOKUP("buildings|PM25|Infant mortality", US_national_yearly!$D:$AM, 15, FALSE) / VLOOKUP("buildings|PM25|Infant mortality", US_national_yearly!$D:$AM, 10, FALSE), 1)</f>
        <v>8.1550094154418261E-5</v>
      </c>
      <c r="H3" s="7">
        <f>$B3 * IFERROR(VLOOKUP("buildings|PM25|Infant mortality", US_national_yearly!$D:$AM, 16, FALSE) / VLOOKUP("buildings|PM25|Infant mortality", US_national_yearly!$D:$AM, 10, FALSE), 1)</f>
        <v>4.0461777218876895E-5</v>
      </c>
      <c r="I3" s="7">
        <f>$B3 * IFERROR(VLOOKUP("buildings|PM25|Infant mortality", US_national_yearly!$D:$AM, 17, FALSE) / VLOOKUP("buildings|PM25|Infant mortality", US_national_yearly!$D:$AM, 10, FALSE), 1)</f>
        <v>4.0198111865974156E-5</v>
      </c>
      <c r="J3" s="7">
        <f>$B3 * IFERROR(VLOOKUP("buildings|PM25|Infant mortality", US_national_yearly!$D:$AM, 18, FALSE) / VLOOKUP("buildings|PM25|Infant mortality", US_national_yearly!$D:$AM, 10, FALSE), 1)</f>
        <v>3.9934446513071418E-5</v>
      </c>
      <c r="K3" s="7">
        <f>$B3 * IFERROR(VLOOKUP("buildings|PM25|Infant mortality", US_national_yearly!$D:$AM, 19, FALSE) / VLOOKUP("buildings|PM25|Infant mortality", US_national_yearly!$D:$AM, 10, FALSE), 1)</f>
        <v>3.967078116016868E-5</v>
      </c>
      <c r="L3" s="7">
        <f>$B3 * IFERROR(VLOOKUP("buildings|PM25|Infant mortality", US_national_yearly!$D:$AM, 20, FALSE) / VLOOKUP("buildings|PM25|Infant mortality", US_national_yearly!$D:$AM, 10, FALSE), 1)</f>
        <v>3.9407115807265942E-5</v>
      </c>
      <c r="M3" s="7">
        <f>$B3 * IFERROR(VLOOKUP("buildings|PM25|Infant mortality", US_national_yearly!$D:$AM, 21, FALSE) / VLOOKUP("buildings|PM25|Infant mortality", US_national_yearly!$D:$AM, 10, FALSE), 1)</f>
        <v>3.914345045436321E-5</v>
      </c>
      <c r="N3" s="7">
        <f>$B3 * IFERROR(VLOOKUP("buildings|PM25|Infant mortality", US_national_yearly!$D:$AM, 22, FALSE) / VLOOKUP("buildings|PM25|Infant mortality", US_national_yearly!$D:$AM, 10, FALSE), 1)</f>
        <v>3.8978476174605604E-5</v>
      </c>
      <c r="O3" s="7">
        <f>$B3 * IFERROR(VLOOKUP("buildings|PM25|Infant mortality", US_national_yearly!$D:$AM, 23, FALSE) / VLOOKUP("buildings|PM25|Infant mortality", US_national_yearly!$D:$AM, 10, FALSE), 1)</f>
        <v>3.8813501894848004E-5</v>
      </c>
      <c r="P3" s="7">
        <f>$B3 * IFERROR(VLOOKUP("buildings|PM25|Infant mortality", US_national_yearly!$D:$AM, 24, FALSE) / VLOOKUP("buildings|PM25|Infant mortality", US_national_yearly!$D:$AM, 10, FALSE), 1)</f>
        <v>3.8648527615090398E-5</v>
      </c>
      <c r="Q3" s="7">
        <f>$B3 * IFERROR(VLOOKUP("buildings|PM25|Infant mortality", US_national_yearly!$D:$AM, 25, FALSE) / VLOOKUP("buildings|PM25|Infant mortality", US_national_yearly!$D:$AM, 10, FALSE), 1)</f>
        <v>3.8483553335332799E-5</v>
      </c>
      <c r="R3" s="7">
        <f>$B3 * IFERROR(VLOOKUP("buildings|PM25|Infant mortality", US_national_yearly!$D:$AM, 26, FALSE) / VLOOKUP("buildings|PM25|Infant mortality", US_national_yearly!$D:$AM, 10, FALSE), 1)</f>
        <v>3.8318579055575192E-5</v>
      </c>
      <c r="S3" s="7">
        <f>$B3 * IFERROR(VLOOKUP("buildings|PM25|Infant mortality", US_national_yearly!$D:$AM, 27, FALSE) / VLOOKUP("buildings|PM25|Infant mortality", US_national_yearly!$D:$AM, 10, FALSE), 1)</f>
        <v>3.8112597323240414E-5</v>
      </c>
      <c r="T3" s="7">
        <f>$B3 * IFERROR(VLOOKUP("buildings|PM25|Infant mortality", US_national_yearly!$D:$AM, 28, FALSE) / VLOOKUP("buildings|PM25|Infant mortality", US_national_yearly!$D:$AM, 10, FALSE), 1)</f>
        <v>3.7906615590905636E-5</v>
      </c>
      <c r="U3" s="7">
        <f>$B3 * IFERROR(VLOOKUP("buildings|PM25|Infant mortality", US_national_yearly!$D:$AM, 29, FALSE) / VLOOKUP("buildings|PM25|Infant mortality", US_national_yearly!$D:$AM, 10, FALSE), 1)</f>
        <v>3.770063385857085E-5</v>
      </c>
      <c r="V3" s="7">
        <f>$B3 * IFERROR(VLOOKUP("buildings|PM25|Infant mortality", US_national_yearly!$D:$AM, 30, FALSE) / VLOOKUP("buildings|PM25|Infant mortality", US_national_yearly!$D:$AM, 10, FALSE), 1)</f>
        <v>3.7494652126236072E-5</v>
      </c>
      <c r="W3" s="7">
        <f>$B3 * IFERROR(VLOOKUP("buildings|PM25|Infant mortality", US_national_yearly!$D:$AM, 31, FALSE) / VLOOKUP("buildings|PM25|Infant mortality", US_national_yearly!$D:$AM, 10, FALSE), 1)</f>
        <v>3.7288670393901294E-5</v>
      </c>
      <c r="X3" s="7">
        <f>$B3 * IFERROR(VLOOKUP("buildings|PM25|Infant mortality", US_national_yearly!$D:$AM, 32, FALSE) / VLOOKUP("buildings|PM25|Infant mortality", US_national_yearly!$D:$AM, 10, FALSE), 1)</f>
        <v>3.7066904538105313E-5</v>
      </c>
      <c r="Y3" s="7">
        <f>$B3 * IFERROR(VLOOKUP("buildings|PM25|Infant mortality", US_national_yearly!$D:$AM, 33, FALSE) / VLOOKUP("buildings|PM25|Infant mortality", US_national_yearly!$D:$AM, 10, FALSE), 1)</f>
        <v>3.684513868230934E-5</v>
      </c>
      <c r="Z3" s="7">
        <f>$B3 * IFERROR(VLOOKUP("buildings|PM25|Infant mortality", US_national_yearly!$D:$AM, 34, FALSE) / VLOOKUP("buildings|PM25|Infant mortality", US_national_yearly!$D:$AM, 10, FALSE), 1)</f>
        <v>3.6623372826513367E-5</v>
      </c>
      <c r="AA3" s="7">
        <f>$B3 * IFERROR(VLOOKUP("buildings|PM25|Infant mortality", US_national_yearly!$D:$AM, 35, FALSE) / VLOOKUP("buildings|PM25|Infant mortality", US_national_yearly!$D:$AM, 10, FALSE), 1)</f>
        <v>3.6401606970717386E-5</v>
      </c>
      <c r="AB3" s="7">
        <f>$B3 * IFERROR(VLOOKUP("buildings|PM25|Infant mortality", US_national_yearly!$D:$AM, 36, FALSE) / VLOOKUP("buildings|PM25|Infant mortality", US_national_yearly!$D:$AM, 10, FALSE), 1)</f>
        <v>3.6179841114921413E-5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0.11768897095870406</v>
      </c>
      <c r="C6" s="7">
        <f>$B6 * IFERROR(VLOOKUP("buildings|PM25|Asthma symptoms cough", US_national_yearly!$D:$AM, 11, FALSE) / VLOOKUP("buildings|PM25|Asthma symptoms cough", US_national_yearly!$D:$AM, 10, FALSE), 1)</f>
        <v>0.11768897095870406</v>
      </c>
      <c r="D6" s="7">
        <f>$B6 * IFERROR(VLOOKUP("buildings|PM25|Asthma symptoms cough", US_national_yearly!$D:$AM, 12, FALSE) / VLOOKUP("buildings|PM25|Asthma symptoms cough", US_national_yearly!$D:$AM, 10, FALSE), 1)</f>
        <v>0.11768897095870406</v>
      </c>
      <c r="E6" s="7">
        <f>$B6 * IFERROR(VLOOKUP("buildings|PM25|Asthma symptoms cough", US_national_yearly!$D:$AM, 13, FALSE) / VLOOKUP("buildings|PM25|Asthma symptoms cough", US_national_yearly!$D:$AM, 10, FALSE), 1)</f>
        <v>0.11768897095870406</v>
      </c>
      <c r="F6" s="7">
        <f>$B6 * IFERROR(VLOOKUP("buildings|PM25|Asthma symptoms cough", US_national_yearly!$D:$AM, 14, FALSE) / VLOOKUP("buildings|PM25|Asthma symptoms cough", US_national_yearly!$D:$AM, 10, FALSE), 1)</f>
        <v>0.11768897095870406</v>
      </c>
      <c r="G6" s="7">
        <f>$B6 * IFERROR(VLOOKUP("buildings|PM25|Asthma symptoms cough", US_national_yearly!$D:$AM, 15, FALSE) / VLOOKUP("buildings|PM25|Asthma symptoms cough", US_national_yearly!$D:$AM, 10, FALSE), 1)</f>
        <v>0.11768897095870406</v>
      </c>
      <c r="H6" s="7">
        <f>$B6 * IFERROR(VLOOKUP("buildings|PM25|Asthma symptoms cough", US_national_yearly!$D:$AM, 16, FALSE) / VLOOKUP("buildings|PM25|Asthma symptoms cough", US_national_yearly!$D:$AM, 10, FALSE), 1)</f>
        <v>0.11768897095870406</v>
      </c>
      <c r="I6" s="7">
        <f>$B6 * IFERROR(VLOOKUP("buildings|PM25|Asthma symptoms cough", US_national_yearly!$D:$AM, 17, FALSE) / VLOOKUP("buildings|PM25|Asthma symptoms cough", US_national_yearly!$D:$AM, 10, FALSE), 1)</f>
        <v>0.11768897095870406</v>
      </c>
      <c r="J6" s="7">
        <f>$B6 * IFERROR(VLOOKUP("buildings|PM25|Asthma symptoms cough", US_national_yearly!$D:$AM, 18, FALSE) / VLOOKUP("buildings|PM25|Asthma symptoms cough", US_national_yearly!$D:$AM, 10, FALSE), 1)</f>
        <v>0.11768897095870406</v>
      </c>
      <c r="K6" s="7">
        <f>$B6 * IFERROR(VLOOKUP("buildings|PM25|Asthma symptoms cough", US_national_yearly!$D:$AM, 19, FALSE) / VLOOKUP("buildings|PM25|Asthma symptoms cough", US_national_yearly!$D:$AM, 10, FALSE), 1)</f>
        <v>0.11768897095870406</v>
      </c>
      <c r="L6" s="7">
        <f>$B6 * IFERROR(VLOOKUP("buildings|PM25|Asthma symptoms cough", US_national_yearly!$D:$AM, 20, FALSE) / VLOOKUP("buildings|PM25|Asthma symptoms cough", US_national_yearly!$D:$AM, 10, FALSE), 1)</f>
        <v>0.11768897095870406</v>
      </c>
      <c r="M6" s="7">
        <f>$B6 * IFERROR(VLOOKUP("buildings|PM25|Asthma symptoms cough", US_national_yearly!$D:$AM, 21, FALSE) / VLOOKUP("buildings|PM25|Asthma symptoms cough", US_national_yearly!$D:$AM, 10, FALSE), 1)</f>
        <v>0.11768897095870406</v>
      </c>
      <c r="N6" s="7">
        <f>$B6 * IFERROR(VLOOKUP("buildings|PM25|Asthma symptoms cough", US_national_yearly!$D:$AM, 22, FALSE) / VLOOKUP("buildings|PM25|Asthma symptoms cough", US_national_yearly!$D:$AM, 10, FALSE), 1)</f>
        <v>0.11768897095870406</v>
      </c>
      <c r="O6" s="7">
        <f>$B6 * IFERROR(VLOOKUP("buildings|PM25|Asthma symptoms cough", US_national_yearly!$D:$AM, 23, FALSE) / VLOOKUP("buildings|PM25|Asthma symptoms cough", US_national_yearly!$D:$AM, 10, FALSE), 1)</f>
        <v>0.11768897095870406</v>
      </c>
      <c r="P6" s="7">
        <f>$B6 * IFERROR(VLOOKUP("buildings|PM25|Asthma symptoms cough", US_national_yearly!$D:$AM, 24, FALSE) / VLOOKUP("buildings|PM25|Asthma symptoms cough", US_national_yearly!$D:$AM, 10, FALSE), 1)</f>
        <v>0.11768897095870406</v>
      </c>
      <c r="Q6" s="7">
        <f>$B6 * IFERROR(VLOOKUP("buildings|PM25|Asthma symptoms cough", US_national_yearly!$D:$AM, 25, FALSE) / VLOOKUP("buildings|PM25|Asthma symptoms cough", US_national_yearly!$D:$AM, 10, FALSE), 1)</f>
        <v>0.11768897095870406</v>
      </c>
      <c r="R6" s="7">
        <f>$B6 * IFERROR(VLOOKUP("buildings|PM25|Asthma symptoms cough", US_national_yearly!$D:$AM, 26, FALSE) / VLOOKUP("buildings|PM25|Asthma symptoms cough", US_national_yearly!$D:$AM, 10, FALSE), 1)</f>
        <v>0.11768897095870406</v>
      </c>
      <c r="S6" s="7">
        <f>$B6 * IFERROR(VLOOKUP("buildings|PM25|Asthma symptoms cough", US_national_yearly!$D:$AM, 27, FALSE) / VLOOKUP("buildings|PM25|Asthma symptoms cough", US_national_yearly!$D:$AM, 10, FALSE), 1)</f>
        <v>0.11768897095870406</v>
      </c>
      <c r="T6" s="7">
        <f>$B6 * IFERROR(VLOOKUP("buildings|PM25|Asthma symptoms cough", US_national_yearly!$D:$AM, 28, FALSE) / VLOOKUP("buildings|PM25|Asthma symptoms cough", US_national_yearly!$D:$AM, 10, FALSE), 1)</f>
        <v>0.11768897095870406</v>
      </c>
      <c r="U6" s="7">
        <f>$B6 * IFERROR(VLOOKUP("buildings|PM25|Asthma symptoms cough", US_national_yearly!$D:$AM, 29, FALSE) / VLOOKUP("buildings|PM25|Asthma symptoms cough", US_national_yearly!$D:$AM, 10, FALSE), 1)</f>
        <v>0.11768897095870406</v>
      </c>
      <c r="V6" s="7">
        <f>$B6 * IFERROR(VLOOKUP("buildings|PM25|Asthma symptoms cough", US_national_yearly!$D:$AM, 30, FALSE) / VLOOKUP("buildings|PM25|Asthma symptoms cough", US_national_yearly!$D:$AM, 10, FALSE), 1)</f>
        <v>0.11768897095870406</v>
      </c>
      <c r="W6" s="7">
        <f>$B6 * IFERROR(VLOOKUP("buildings|PM25|Asthma symptoms cough", US_national_yearly!$D:$AM, 31, FALSE) / VLOOKUP("buildings|PM25|Asthma symptoms cough", US_national_yearly!$D:$AM, 10, FALSE), 1)</f>
        <v>0.11768897095870406</v>
      </c>
      <c r="X6" s="7">
        <f>$B6 * IFERROR(VLOOKUP("buildings|PM25|Asthma symptoms cough", US_national_yearly!$D:$AM, 32, FALSE) / VLOOKUP("buildings|PM25|Asthma symptoms cough", US_national_yearly!$D:$AM, 10, FALSE), 1)</f>
        <v>0.11768897095870406</v>
      </c>
      <c r="Y6" s="7">
        <f>$B6 * IFERROR(VLOOKUP("buildings|PM25|Asthma symptoms cough", US_national_yearly!$D:$AM, 33, FALSE) / VLOOKUP("buildings|PM25|Asthma symptoms cough", US_national_yearly!$D:$AM, 10, FALSE), 1)</f>
        <v>0.11768897095870406</v>
      </c>
      <c r="Z6" s="7">
        <f>$B6 * IFERROR(VLOOKUP("buildings|PM25|Asthma symptoms cough", US_national_yearly!$D:$AM, 34, FALSE) / VLOOKUP("buildings|PM25|Asthma symptoms cough", US_national_yearly!$D:$AM, 10, FALSE), 1)</f>
        <v>0.11768897095870406</v>
      </c>
      <c r="AA6" s="7">
        <f>$B6 * IFERROR(VLOOKUP("buildings|PM25|Asthma symptoms cough", US_national_yearly!$D:$AM, 35, FALSE) / VLOOKUP("buildings|PM25|Asthma symptoms cough", US_national_yearly!$D:$AM, 10, FALSE), 1)</f>
        <v>0.11768897095870406</v>
      </c>
      <c r="AB6" s="7">
        <f>$B6 * IFERROR(VLOOKUP("buildings|PM25|Asthma symptoms cough", US_national_yearly!$D:$AM, 36, FALSE) / VLOOKUP("buildings|PM25|Asthma symptoms cough", US_national_yearly!$D:$AM, 10, FALSE), 1)</f>
        <v>0.11768897095870406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0.158484895256606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0.158484895256606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0.158484895256606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0.158484895256606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0.158484895256606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0.158484895256606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0.158484895256606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0.158484895256606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0.158484895256606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0.158484895256606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0.158484895256606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0.158484895256606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0.158484895256606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0.158484895256606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0.158484895256606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0.158484895256606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0.158484895256606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0.158484895256606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0.158484895256606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0.158484895256606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0.158484895256606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0.158484895256606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0.158484895256606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0.158484895256606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0.158484895256606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0.158484895256606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0.158484895256606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0.24213942071343947</v>
      </c>
      <c r="C8" s="7">
        <f>$B8 * IFERROR(VLOOKUP("buildings|PM25|Asthma symptoms wheeze", US_national_yearly!$D:$AM, 11, FALSE) / VLOOKUP("buildings|PM25|Asthma symptoms wheeze", US_national_yearly!$D:$AM, 10, FALSE), 1)</f>
        <v>0.24213942071343947</v>
      </c>
      <c r="D8" s="7">
        <f>$B8 * IFERROR(VLOOKUP("buildings|PM25|Asthma symptoms wheeze", US_national_yearly!$D:$AM, 12, FALSE) / VLOOKUP("buildings|PM25|Asthma symptoms wheeze", US_national_yearly!$D:$AM, 10, FALSE), 1)</f>
        <v>0.24213942071343947</v>
      </c>
      <c r="E8" s="7">
        <f>$B8 * IFERROR(VLOOKUP("buildings|PM25|Asthma symptoms wheeze", US_national_yearly!$D:$AM, 13, FALSE) / VLOOKUP("buildings|PM25|Asthma symptoms wheeze", US_national_yearly!$D:$AM, 10, FALSE), 1)</f>
        <v>0.24213942071343947</v>
      </c>
      <c r="F8" s="7">
        <f>$B8 * IFERROR(VLOOKUP("buildings|PM25|Asthma symptoms wheeze", US_national_yearly!$D:$AM, 14, FALSE) / VLOOKUP("buildings|PM25|Asthma symptoms wheeze", US_national_yearly!$D:$AM, 10, FALSE), 1)</f>
        <v>0.24213942071343947</v>
      </c>
      <c r="G8" s="7">
        <f>$B8 * IFERROR(VLOOKUP("buildings|PM25|Asthma symptoms wheeze", US_national_yearly!$D:$AM, 15, FALSE) / VLOOKUP("buildings|PM25|Asthma symptoms wheeze", US_national_yearly!$D:$AM, 10, FALSE), 1)</f>
        <v>0.24213942071343947</v>
      </c>
      <c r="H8" s="7">
        <f>$B8 * IFERROR(VLOOKUP("buildings|PM25|Asthma symptoms wheeze", US_national_yearly!$D:$AM, 16, FALSE) / VLOOKUP("buildings|PM25|Asthma symptoms wheeze", US_national_yearly!$D:$AM, 10, FALSE), 1)</f>
        <v>0.24213942071343947</v>
      </c>
      <c r="I8" s="7">
        <f>$B8 * IFERROR(VLOOKUP("buildings|PM25|Asthma symptoms wheeze", US_national_yearly!$D:$AM, 17, FALSE) / VLOOKUP("buildings|PM25|Asthma symptoms wheeze", US_national_yearly!$D:$AM, 10, FALSE), 1)</f>
        <v>0.24213942071343947</v>
      </c>
      <c r="J8" s="7">
        <f>$B8 * IFERROR(VLOOKUP("buildings|PM25|Asthma symptoms wheeze", US_national_yearly!$D:$AM, 18, FALSE) / VLOOKUP("buildings|PM25|Asthma symptoms wheeze", US_national_yearly!$D:$AM, 10, FALSE), 1)</f>
        <v>0.24213942071343947</v>
      </c>
      <c r="K8" s="7">
        <f>$B8 * IFERROR(VLOOKUP("buildings|PM25|Asthma symptoms wheeze", US_national_yearly!$D:$AM, 19, FALSE) / VLOOKUP("buildings|PM25|Asthma symptoms wheeze", US_national_yearly!$D:$AM, 10, FALSE), 1)</f>
        <v>0.24213942071343947</v>
      </c>
      <c r="L8" s="7">
        <f>$B8 * IFERROR(VLOOKUP("buildings|PM25|Asthma symptoms wheeze", US_national_yearly!$D:$AM, 20, FALSE) / VLOOKUP("buildings|PM25|Asthma symptoms wheeze", US_national_yearly!$D:$AM, 10, FALSE), 1)</f>
        <v>0.24213942071343947</v>
      </c>
      <c r="M8" s="7">
        <f>$B8 * IFERROR(VLOOKUP("buildings|PM25|Asthma symptoms wheeze", US_national_yearly!$D:$AM, 21, FALSE) / VLOOKUP("buildings|PM25|Asthma symptoms wheeze", US_national_yearly!$D:$AM, 10, FALSE), 1)</f>
        <v>0.24213942071343947</v>
      </c>
      <c r="N8" s="7">
        <f>$B8 * IFERROR(VLOOKUP("buildings|PM25|Asthma symptoms wheeze", US_national_yearly!$D:$AM, 22, FALSE) / VLOOKUP("buildings|PM25|Asthma symptoms wheeze", US_national_yearly!$D:$AM, 10, FALSE), 1)</f>
        <v>0.24213942071343947</v>
      </c>
      <c r="O8" s="7">
        <f>$B8 * IFERROR(VLOOKUP("buildings|PM25|Asthma symptoms wheeze", US_national_yearly!$D:$AM, 23, FALSE) / VLOOKUP("buildings|PM25|Asthma symptoms wheeze", US_national_yearly!$D:$AM, 10, FALSE), 1)</f>
        <v>0.24213942071343947</v>
      </c>
      <c r="P8" s="7">
        <f>$B8 * IFERROR(VLOOKUP("buildings|PM25|Asthma symptoms wheeze", US_national_yearly!$D:$AM, 24, FALSE) / VLOOKUP("buildings|PM25|Asthma symptoms wheeze", US_national_yearly!$D:$AM, 10, FALSE), 1)</f>
        <v>0.24213942071343947</v>
      </c>
      <c r="Q8" s="7">
        <f>$B8 * IFERROR(VLOOKUP("buildings|PM25|Asthma symptoms wheeze", US_national_yearly!$D:$AM, 25, FALSE) / VLOOKUP("buildings|PM25|Asthma symptoms wheeze", US_national_yearly!$D:$AM, 10, FALSE), 1)</f>
        <v>0.24213942071343947</v>
      </c>
      <c r="R8" s="7">
        <f>$B8 * IFERROR(VLOOKUP("buildings|PM25|Asthma symptoms wheeze", US_national_yearly!$D:$AM, 26, FALSE) / VLOOKUP("buildings|PM25|Asthma symptoms wheeze", US_national_yearly!$D:$AM, 10, FALSE), 1)</f>
        <v>0.24213942071343947</v>
      </c>
      <c r="S8" s="7">
        <f>$B8 * IFERROR(VLOOKUP("buildings|PM25|Asthma symptoms wheeze", US_national_yearly!$D:$AM, 27, FALSE) / VLOOKUP("buildings|PM25|Asthma symptoms wheeze", US_national_yearly!$D:$AM, 10, FALSE), 1)</f>
        <v>0.24213942071343947</v>
      </c>
      <c r="T8" s="7">
        <f>$B8 * IFERROR(VLOOKUP("buildings|PM25|Asthma symptoms wheeze", US_national_yearly!$D:$AM, 28, FALSE) / VLOOKUP("buildings|PM25|Asthma symptoms wheeze", US_national_yearly!$D:$AM, 10, FALSE), 1)</f>
        <v>0.24213942071343947</v>
      </c>
      <c r="U8" s="7">
        <f>$B8 * IFERROR(VLOOKUP("buildings|PM25|Asthma symptoms wheeze", US_national_yearly!$D:$AM, 29, FALSE) / VLOOKUP("buildings|PM25|Asthma symptoms wheeze", US_national_yearly!$D:$AM, 10, FALSE), 1)</f>
        <v>0.24213942071343947</v>
      </c>
      <c r="V8" s="7">
        <f>$B8 * IFERROR(VLOOKUP("buildings|PM25|Asthma symptoms wheeze", US_national_yearly!$D:$AM, 30, FALSE) / VLOOKUP("buildings|PM25|Asthma symptoms wheeze", US_national_yearly!$D:$AM, 10, FALSE), 1)</f>
        <v>0.24213942071343947</v>
      </c>
      <c r="W8" s="7">
        <f>$B8 * IFERROR(VLOOKUP("buildings|PM25|Asthma symptoms wheeze", US_national_yearly!$D:$AM, 31, FALSE) / VLOOKUP("buildings|PM25|Asthma symptoms wheeze", US_national_yearly!$D:$AM, 10, FALSE), 1)</f>
        <v>0.24213942071343947</v>
      </c>
      <c r="X8" s="7">
        <f>$B8 * IFERROR(VLOOKUP("buildings|PM25|Asthma symptoms wheeze", US_national_yearly!$D:$AM, 32, FALSE) / VLOOKUP("buildings|PM25|Asthma symptoms wheeze", US_national_yearly!$D:$AM, 10, FALSE), 1)</f>
        <v>0.24213942071343947</v>
      </c>
      <c r="Y8" s="7">
        <f>$B8 * IFERROR(VLOOKUP("buildings|PM25|Asthma symptoms wheeze", US_national_yearly!$D:$AM, 33, FALSE) / VLOOKUP("buildings|PM25|Asthma symptoms wheeze", US_national_yearly!$D:$AM, 10, FALSE), 1)</f>
        <v>0.24213942071343947</v>
      </c>
      <c r="Z8" s="7">
        <f>$B8 * IFERROR(VLOOKUP("buildings|PM25|Asthma symptoms wheeze", US_national_yearly!$D:$AM, 34, FALSE) / VLOOKUP("buildings|PM25|Asthma symptoms wheeze", US_national_yearly!$D:$AM, 10, FALSE), 1)</f>
        <v>0.24213942071343947</v>
      </c>
      <c r="AA8" s="7">
        <f>$B8 * IFERROR(VLOOKUP("buildings|PM25|Asthma symptoms wheeze", US_national_yearly!$D:$AM, 35, FALSE) / VLOOKUP("buildings|PM25|Asthma symptoms wheeze", US_national_yearly!$D:$AM, 10, FALSE), 1)</f>
        <v>0.24213942071343947</v>
      </c>
      <c r="AB8" s="7">
        <f>$B8 * IFERROR(VLOOKUP("buildings|PM25|Asthma symptoms wheeze", US_national_yearly!$D:$AM, 36, FALSE) / VLOOKUP("buildings|PM25|Asthma symptoms wheeze", US_national_yearly!$D:$AM, 10, FALSE), 1)</f>
        <v>0.24213942071343947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3.5926623996177863E-3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3.6133711030314668E-3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3.6340798064451478E-3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3.6547885098588292E-3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3.6754972132725101E-3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3.6978438228826736E-3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3.7201904324928371E-3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3.7414440789975156E-3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3.7626977255021932E-3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3.7839513720068709E-3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3.8052050185115494E-3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3.826458665016227E-3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3.8417457943627068E-3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3.8570329237091862E-3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3.8723200530556656E-3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3.8876071824021441E-3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3.9028943117486235E-3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3.91745947446266E-3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3.9320246371766987E-3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3.9465897998907356E-3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3.9611549626047717E-3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3.9757201253188103E-3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3.9897877636606658E-3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4.0038554020025222E-3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4.0179230403443785E-3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4.0319906786862349E-3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4.0460583170280904E-3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1.7730019555148892E-2</v>
      </c>
      <c r="C13" s="7">
        <f>$B13 * IFERROR(VLOOKUP("buildings|PM25|Non-fatal heart attacks", US_national_yearly!$D:$AM, 11, FALSE) / VLOOKUP("buildings|PM25|Non-fatal heart attacks", US_national_yearly!$D:$AM, 10, FALSE), 1)</f>
        <v>1.8245722262385175E-2</v>
      </c>
      <c r="D13" s="7">
        <f>$B13 * IFERROR(VLOOKUP("buildings|PM25|Non-fatal heart attacks", US_national_yearly!$D:$AM, 12, FALSE) / VLOOKUP("buildings|PM25|Non-fatal heart attacks", US_national_yearly!$D:$AM, 10, FALSE), 1)</f>
        <v>1.8761424969621455E-2</v>
      </c>
      <c r="E13" s="7">
        <f>$B13 * IFERROR(VLOOKUP("buildings|PM25|Non-fatal heart attacks", US_national_yearly!$D:$AM, 13, FALSE) / VLOOKUP("buildings|PM25|Non-fatal heart attacks", US_national_yearly!$D:$AM, 10, FALSE), 1)</f>
        <v>1.9277127676857738E-2</v>
      </c>
      <c r="F13" s="7">
        <f>$B13 * IFERROR(VLOOKUP("buildings|PM25|Non-fatal heart attacks", US_national_yearly!$D:$AM, 14, FALSE) / VLOOKUP("buildings|PM25|Non-fatal heart attacks", US_national_yearly!$D:$AM, 10, FALSE), 1)</f>
        <v>1.9792830384094021E-2</v>
      </c>
      <c r="G13" s="7">
        <f>$B13 * IFERROR(VLOOKUP("buildings|PM25|Non-fatal heart attacks", US_national_yearly!$D:$AM, 15, FALSE) / VLOOKUP("buildings|PM25|Non-fatal heart attacks", US_national_yearly!$D:$AM, 10, FALSE), 1)</f>
        <v>2.0279425342818225E-2</v>
      </c>
      <c r="H13" s="7">
        <f>$B13 * IFERROR(VLOOKUP("buildings|PM25|Non-fatal heart attacks", US_national_yearly!$D:$AM, 16, FALSE) / VLOOKUP("buildings|PM25|Non-fatal heart attacks", US_national_yearly!$D:$AM, 10, FALSE), 1)</f>
        <v>2.0766020301542423E-2</v>
      </c>
      <c r="I13" s="7">
        <f>$B13 * IFERROR(VLOOKUP("buildings|PM25|Non-fatal heart attacks", US_national_yearly!$D:$AM, 17, FALSE) / VLOOKUP("buildings|PM25|Non-fatal heart attacks", US_national_yearly!$D:$AM, 10, FALSE), 1)</f>
        <v>2.1157523739102801E-2</v>
      </c>
      <c r="J13" s="7">
        <f>$B13 * IFERROR(VLOOKUP("buildings|PM25|Non-fatal heart attacks", US_national_yearly!$D:$AM, 18, FALSE) / VLOOKUP("buildings|PM25|Non-fatal heart attacks", US_national_yearly!$D:$AM, 10, FALSE), 1)</f>
        <v>2.1549027176663182E-2</v>
      </c>
      <c r="K13" s="7">
        <f>$B13 * IFERROR(VLOOKUP("buildings|PM25|Non-fatal heart attacks", US_national_yearly!$D:$AM, 19, FALSE) / VLOOKUP("buildings|PM25|Non-fatal heart attacks", US_national_yearly!$D:$AM, 10, FALSE), 1)</f>
        <v>2.1940530614223561E-2</v>
      </c>
      <c r="L13" s="7">
        <f>$B13 * IFERROR(VLOOKUP("buildings|PM25|Non-fatal heart attacks", US_national_yearly!$D:$AM, 20, FALSE) / VLOOKUP("buildings|PM25|Non-fatal heart attacks", US_national_yearly!$D:$AM, 10, FALSE), 1)</f>
        <v>2.2332034051783939E-2</v>
      </c>
      <c r="M13" s="7">
        <f>$B13 * IFERROR(VLOOKUP("buildings|PM25|Non-fatal heart attacks", US_national_yearly!$D:$AM, 21, FALSE) / VLOOKUP("buildings|PM25|Non-fatal heart attacks", US_national_yearly!$D:$AM, 10, FALSE), 1)</f>
        <v>2.2723537489344317E-2</v>
      </c>
      <c r="N13" s="7">
        <f>$B13 * IFERROR(VLOOKUP("buildings|PM25|Non-fatal heart attacks", US_national_yearly!$D:$AM, 22, FALSE) / VLOOKUP("buildings|PM25|Non-fatal heart attacks", US_national_yearly!$D:$AM, 10, FALSE), 1)</f>
        <v>2.2976454826575718E-2</v>
      </c>
      <c r="O13" s="7">
        <f>$B13 * IFERROR(VLOOKUP("buildings|PM25|Non-fatal heart attacks", US_national_yearly!$D:$AM, 23, FALSE) / VLOOKUP("buildings|PM25|Non-fatal heart attacks", US_national_yearly!$D:$AM, 10, FALSE), 1)</f>
        <v>2.3229372163807119E-2</v>
      </c>
      <c r="P13" s="7">
        <f>$B13 * IFERROR(VLOOKUP("buildings|PM25|Non-fatal heart attacks", US_national_yearly!$D:$AM, 24, FALSE) / VLOOKUP("buildings|PM25|Non-fatal heart attacks", US_national_yearly!$D:$AM, 10, FALSE), 1)</f>
        <v>2.3482289501038516E-2</v>
      </c>
      <c r="Q13" s="7">
        <f>$B13 * IFERROR(VLOOKUP("buildings|PM25|Non-fatal heart attacks", US_national_yearly!$D:$AM, 25, FALSE) / VLOOKUP("buildings|PM25|Non-fatal heart attacks", US_national_yearly!$D:$AM, 10, FALSE), 1)</f>
        <v>2.3735206838269921E-2</v>
      </c>
      <c r="R13" s="7">
        <f>$B13 * IFERROR(VLOOKUP("buildings|PM25|Non-fatal heart attacks", US_national_yearly!$D:$AM, 26, FALSE) / VLOOKUP("buildings|PM25|Non-fatal heart attacks", US_national_yearly!$D:$AM, 10, FALSE), 1)</f>
        <v>2.3988124175501321E-2</v>
      </c>
      <c r="S13" s="7">
        <f>$B13 * IFERROR(VLOOKUP("buildings|PM25|Non-fatal heart attacks", US_national_yearly!$D:$AM, 27, FALSE) / VLOOKUP("buildings|PM25|Non-fatal heart attacks", US_national_yearly!$D:$AM, 10, FALSE), 1)</f>
        <v>2.4121894568472163E-2</v>
      </c>
      <c r="T13" s="7">
        <f>$B13 * IFERROR(VLOOKUP("buildings|PM25|Non-fatal heart attacks", US_national_yearly!$D:$AM, 28, FALSE) / VLOOKUP("buildings|PM25|Non-fatal heart attacks", US_national_yearly!$D:$AM, 10, FALSE), 1)</f>
        <v>2.4255664961443012E-2</v>
      </c>
      <c r="U13" s="7">
        <f>$B13 * IFERROR(VLOOKUP("buildings|PM25|Non-fatal heart attacks", US_national_yearly!$D:$AM, 29, FALSE) / VLOOKUP("buildings|PM25|Non-fatal heart attacks", US_national_yearly!$D:$AM, 10, FALSE), 1)</f>
        <v>2.438943535441386E-2</v>
      </c>
      <c r="V13" s="7">
        <f>$B13 * IFERROR(VLOOKUP("buildings|PM25|Non-fatal heart attacks", US_national_yearly!$D:$AM, 30, FALSE) / VLOOKUP("buildings|PM25|Non-fatal heart attacks", US_national_yearly!$D:$AM, 10, FALSE), 1)</f>
        <v>2.4523205747384706E-2</v>
      </c>
      <c r="W13" s="7">
        <f>$B13 * IFERROR(VLOOKUP("buildings|PM25|Non-fatal heart attacks", US_national_yearly!$D:$AM, 31, FALSE) / VLOOKUP("buildings|PM25|Non-fatal heart attacks", US_national_yearly!$D:$AM, 10, FALSE), 1)</f>
        <v>2.4656976140355554E-2</v>
      </c>
      <c r="X13" s="7">
        <f>$B13 * IFERROR(VLOOKUP("buildings|PM25|Non-fatal heart attacks", US_national_yearly!$D:$AM, 32, FALSE) / VLOOKUP("buildings|PM25|Non-fatal heart attacks", US_national_yearly!$D:$AM, 10, FALSE), 1)</f>
        <v>2.4758785179771505E-2</v>
      </c>
      <c r="Y13" s="7">
        <f>$B13 * IFERROR(VLOOKUP("buildings|PM25|Non-fatal heart attacks", US_national_yearly!$D:$AM, 33, FALSE) / VLOOKUP("buildings|PM25|Non-fatal heart attacks", US_national_yearly!$D:$AM, 10, FALSE), 1)</f>
        <v>2.4860594219187456E-2</v>
      </c>
      <c r="Z13" s="7">
        <f>$B13 * IFERROR(VLOOKUP("buildings|PM25|Non-fatal heart attacks", US_national_yearly!$D:$AM, 34, FALSE) / VLOOKUP("buildings|PM25|Non-fatal heart attacks", US_national_yearly!$D:$AM, 10, FALSE), 1)</f>
        <v>2.4962403258603404E-2</v>
      </c>
      <c r="AA13" s="7">
        <f>$B13 * IFERROR(VLOOKUP("buildings|PM25|Non-fatal heart attacks", US_national_yearly!$D:$AM, 35, FALSE) / VLOOKUP("buildings|PM25|Non-fatal heart attacks", US_national_yearly!$D:$AM, 10, FALSE), 1)</f>
        <v>2.5064212298019355E-2</v>
      </c>
      <c r="AB13" s="7">
        <f>$B13 * IFERROR(VLOOKUP("buildings|PM25|Non-fatal heart attacks", US_national_yearly!$D:$AM, 36, FALSE) / VLOOKUP("buildings|PM25|Non-fatal heart attacks", US_national_yearly!$D:$AM, 10, FALSE), 1)</f>
        <v>2.5166021337435313E-2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15.145148007705632</v>
      </c>
      <c r="C14" s="7">
        <f>$B14 * IFERROR(VLOOKUP("buildings|PM25|Minor restricted activity days", US_national_yearly!$D:$AM, 11, FALSE) / VLOOKUP("buildings|PM25|Minor restricted activity days", US_national_yearly!$D:$AM, 10, FALSE), 1)</f>
        <v>15.182814839874995</v>
      </c>
      <c r="D14" s="7">
        <f>$B14 * IFERROR(VLOOKUP("buildings|PM25|Minor restricted activity days", US_national_yearly!$D:$AM, 12, FALSE) / VLOOKUP("buildings|PM25|Minor restricted activity days", US_national_yearly!$D:$AM, 10, FALSE), 1)</f>
        <v>15.220481672044359</v>
      </c>
      <c r="E14" s="7">
        <f>$B14 * IFERROR(VLOOKUP("buildings|PM25|Minor restricted activity days", US_national_yearly!$D:$AM, 13, FALSE) / VLOOKUP("buildings|PM25|Minor restricted activity days", US_national_yearly!$D:$AM, 10, FALSE), 1)</f>
        <v>15.258148504213722</v>
      </c>
      <c r="F14" s="7">
        <f>$B14 * IFERROR(VLOOKUP("buildings|PM25|Minor restricted activity days", US_national_yearly!$D:$AM, 14, FALSE) / VLOOKUP("buildings|PM25|Minor restricted activity days", US_national_yearly!$D:$AM, 10, FALSE), 1)</f>
        <v>15.295815336383082</v>
      </c>
      <c r="G14" s="7">
        <f>$B14 * IFERROR(VLOOKUP("buildings|PM25|Minor restricted activity days", US_national_yearly!$D:$AM, 15, FALSE) / VLOOKUP("buildings|PM25|Minor restricted activity days", US_national_yearly!$D:$AM, 10, FALSE), 1)</f>
        <v>15.351061142707506</v>
      </c>
      <c r="H14" s="7">
        <f>$B14 * IFERROR(VLOOKUP("buildings|PM25|Minor restricted activity days", US_national_yearly!$D:$AM, 16, FALSE) / VLOOKUP("buildings|PM25|Minor restricted activity days", US_national_yearly!$D:$AM, 10, FALSE), 1)</f>
        <v>15.406306949031922</v>
      </c>
      <c r="I14" s="7">
        <f>$B14 * IFERROR(VLOOKUP("buildings|PM25|Minor restricted activity days", US_national_yearly!$D:$AM, 17, FALSE) / VLOOKUP("buildings|PM25|Minor restricted activity days", US_national_yearly!$D:$AM, 10, FALSE), 1)</f>
        <v>15.500249619690397</v>
      </c>
      <c r="J14" s="7">
        <f>$B14 * IFERROR(VLOOKUP("buildings|PM25|Minor restricted activity days", US_national_yearly!$D:$AM, 18, FALSE) / VLOOKUP("buildings|PM25|Minor restricted activity days", US_national_yearly!$D:$AM, 10, FALSE), 1)</f>
        <v>15.594192290348877</v>
      </c>
      <c r="K14" s="7">
        <f>$B14 * IFERROR(VLOOKUP("buildings|PM25|Minor restricted activity days", US_national_yearly!$D:$AM, 19, FALSE) / VLOOKUP("buildings|PM25|Minor restricted activity days", US_national_yearly!$D:$AM, 10, FALSE), 1)</f>
        <v>15.688134961007345</v>
      </c>
      <c r="L14" s="7">
        <f>$B14 * IFERROR(VLOOKUP("buildings|PM25|Minor restricted activity days", US_national_yearly!$D:$AM, 20, FALSE) / VLOOKUP("buildings|PM25|Minor restricted activity days", US_national_yearly!$D:$AM, 10, FALSE), 1)</f>
        <v>15.782077631665816</v>
      </c>
      <c r="M14" s="7">
        <f>$B14 * IFERROR(VLOOKUP("buildings|PM25|Minor restricted activity days", US_national_yearly!$D:$AM, 21, FALSE) / VLOOKUP("buildings|PM25|Minor restricted activity days", US_national_yearly!$D:$AM, 10, FALSE), 1)</f>
        <v>15.876020302324287</v>
      </c>
      <c r="N14" s="7">
        <f>$B14 * IFERROR(VLOOKUP("buildings|PM25|Minor restricted activity days", US_national_yearly!$D:$AM, 22, FALSE) / VLOOKUP("buildings|PM25|Minor restricted activity days", US_national_yearly!$D:$AM, 10, FALSE), 1)</f>
        <v>16.003665726793304</v>
      </c>
      <c r="O14" s="7">
        <f>$B14 * IFERROR(VLOOKUP("buildings|PM25|Minor restricted activity days", US_national_yearly!$D:$AM, 23, FALSE) / VLOOKUP("buildings|PM25|Minor restricted activity days", US_national_yearly!$D:$AM, 10, FALSE), 1)</f>
        <v>16.131311151262317</v>
      </c>
      <c r="P14" s="7">
        <f>$B14 * IFERROR(VLOOKUP("buildings|PM25|Minor restricted activity days", US_national_yearly!$D:$AM, 24, FALSE) / VLOOKUP("buildings|PM25|Minor restricted activity days", US_national_yearly!$D:$AM, 10, FALSE), 1)</f>
        <v>16.258956575731329</v>
      </c>
      <c r="Q14" s="7">
        <f>$B14 * IFERROR(VLOOKUP("buildings|PM25|Minor restricted activity days", US_national_yearly!$D:$AM, 25, FALSE) / VLOOKUP("buildings|PM25|Minor restricted activity days", US_national_yearly!$D:$AM, 10, FALSE), 1)</f>
        <v>16.386602000200345</v>
      </c>
      <c r="R14" s="7">
        <f>$B14 * IFERROR(VLOOKUP("buildings|PM25|Minor restricted activity days", US_national_yearly!$D:$AM, 26, FALSE) / VLOOKUP("buildings|PM25|Minor restricted activity days", US_national_yearly!$D:$AM, 10, FALSE), 1)</f>
        <v>16.514247424669357</v>
      </c>
      <c r="S14" s="7">
        <f>$B14 * IFERROR(VLOOKUP("buildings|PM25|Minor restricted activity days", US_national_yearly!$D:$AM, 27, FALSE) / VLOOKUP("buildings|PM25|Minor restricted activity days", US_national_yearly!$D:$AM, 10, FALSE), 1)</f>
        <v>16.642683874738811</v>
      </c>
      <c r="T14" s="7">
        <f>$B14 * IFERROR(VLOOKUP("buildings|PM25|Minor restricted activity days", US_national_yearly!$D:$AM, 28, FALSE) / VLOOKUP("buildings|PM25|Minor restricted activity days", US_national_yearly!$D:$AM, 10, FALSE), 1)</f>
        <v>16.771120324808258</v>
      </c>
      <c r="U14" s="7">
        <f>$B14 * IFERROR(VLOOKUP("buildings|PM25|Minor restricted activity days", US_national_yearly!$D:$AM, 29, FALSE) / VLOOKUP("buildings|PM25|Minor restricted activity days", US_national_yearly!$D:$AM, 10, FALSE), 1)</f>
        <v>16.899556774877713</v>
      </c>
      <c r="V14" s="7">
        <f>$B14 * IFERROR(VLOOKUP("buildings|PM25|Minor restricted activity days", US_national_yearly!$D:$AM, 30, FALSE) / VLOOKUP("buildings|PM25|Minor restricted activity days", US_national_yearly!$D:$AM, 10, FALSE), 1)</f>
        <v>17.027993224947163</v>
      </c>
      <c r="W14" s="7">
        <f>$B14 * IFERROR(VLOOKUP("buildings|PM25|Minor restricted activity days", US_national_yearly!$D:$AM, 31, FALSE) / VLOOKUP("buildings|PM25|Minor restricted activity days", US_national_yearly!$D:$AM, 10, FALSE), 1)</f>
        <v>17.156429675016614</v>
      </c>
      <c r="X14" s="7">
        <f>$B14 * IFERROR(VLOOKUP("buildings|PM25|Minor restricted activity days", US_national_yearly!$D:$AM, 32, FALSE) / VLOOKUP("buildings|PM25|Minor restricted activity days", US_national_yearly!$D:$AM, 10, FALSE), 1)</f>
        <v>17.267951762617813</v>
      </c>
      <c r="Y14" s="7">
        <f>$B14 * IFERROR(VLOOKUP("buildings|PM25|Minor restricted activity days", US_national_yearly!$D:$AM, 33, FALSE) / VLOOKUP("buildings|PM25|Minor restricted activity days", US_national_yearly!$D:$AM, 10, FALSE), 1)</f>
        <v>17.379473850219011</v>
      </c>
      <c r="Z14" s="7">
        <f>$B14 * IFERROR(VLOOKUP("buildings|PM25|Minor restricted activity days", US_national_yearly!$D:$AM, 34, FALSE) / VLOOKUP("buildings|PM25|Minor restricted activity days", US_national_yearly!$D:$AM, 10, FALSE), 1)</f>
        <v>17.490995937820202</v>
      </c>
      <c r="AA14" s="7">
        <f>$B14 * IFERROR(VLOOKUP("buildings|PM25|Minor restricted activity days", US_national_yearly!$D:$AM, 35, FALSE) / VLOOKUP("buildings|PM25|Minor restricted activity days", US_national_yearly!$D:$AM, 10, FALSE), 1)</f>
        <v>17.602518025421396</v>
      </c>
      <c r="AB14" s="7">
        <f>$B14 * IFERROR(VLOOKUP("buildings|PM25|Minor restricted activity days", US_national_yearly!$D:$AM, 36, FALSE) / VLOOKUP("buildings|PM25|Minor restricted activity days", US_national_yearly!$D:$AM, 10, FALSE), 1)</f>
        <v>17.714040113022591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2.5766341392209604</v>
      </c>
      <c r="C15" s="7">
        <f>$B15 * IFERROR(VLOOKUP("buildings|PM25|Work loss days", US_national_yearly!$D:$AM, 11, FALSE) / VLOOKUP("buildings|PM25|Work loss days", US_national_yearly!$D:$AM, 10, FALSE), 1)</f>
        <v>2.5847201728270601</v>
      </c>
      <c r="D15" s="7">
        <f>$B15 * IFERROR(VLOOKUP("buildings|PM25|Work loss days", US_national_yearly!$D:$AM, 12, FALSE) / VLOOKUP("buildings|PM25|Work loss days", US_national_yearly!$D:$AM, 10, FALSE), 1)</f>
        <v>2.5928062064331594</v>
      </c>
      <c r="E15" s="7">
        <f>$B15 * IFERROR(VLOOKUP("buildings|PM25|Work loss days", US_national_yearly!$D:$AM, 13, FALSE) / VLOOKUP("buildings|PM25|Work loss days", US_national_yearly!$D:$AM, 10, FALSE), 1)</f>
        <v>2.6008922400392587</v>
      </c>
      <c r="F15" s="7">
        <f>$B15 * IFERROR(VLOOKUP("buildings|PM25|Work loss days", US_national_yearly!$D:$AM, 14, FALSE) / VLOOKUP("buildings|PM25|Work loss days", US_national_yearly!$D:$AM, 10, FALSE), 1)</f>
        <v>2.6089782736453579</v>
      </c>
      <c r="G15" s="7">
        <f>$B15 * IFERROR(VLOOKUP("buildings|PM25|Work loss days", US_national_yearly!$D:$AM, 15, FALSE) / VLOOKUP("buildings|PM25|Work loss days", US_national_yearly!$D:$AM, 10, FALSE), 1)</f>
        <v>2.6195474441914577</v>
      </c>
      <c r="H15" s="7">
        <f>$B15 * IFERROR(VLOOKUP("buildings|PM25|Work loss days", US_national_yearly!$D:$AM, 16, FALSE) / VLOOKUP("buildings|PM25|Work loss days", US_national_yearly!$D:$AM, 10, FALSE), 1)</f>
        <v>2.6301166147375579</v>
      </c>
      <c r="I15" s="7">
        <f>$B15 * IFERROR(VLOOKUP("buildings|PM25|Work loss days", US_national_yearly!$D:$AM, 17, FALSE) / VLOOKUP("buildings|PM25|Work loss days", US_national_yearly!$D:$AM, 10, FALSE), 1)</f>
        <v>2.6456391993929111</v>
      </c>
      <c r="J15" s="7">
        <f>$B15 * IFERROR(VLOOKUP("buildings|PM25|Work loss days", US_national_yearly!$D:$AM, 18, FALSE) / VLOOKUP("buildings|PM25|Work loss days", US_national_yearly!$D:$AM, 10, FALSE), 1)</f>
        <v>2.6611617840482644</v>
      </c>
      <c r="K15" s="7">
        <f>$B15 * IFERROR(VLOOKUP("buildings|PM25|Work loss days", US_national_yearly!$D:$AM, 19, FALSE) / VLOOKUP("buildings|PM25|Work loss days", US_national_yearly!$D:$AM, 10, FALSE), 1)</f>
        <v>2.6766843687036177</v>
      </c>
      <c r="L15" s="7">
        <f>$B15 * IFERROR(VLOOKUP("buildings|PM25|Work loss days", US_national_yearly!$D:$AM, 20, FALSE) / VLOOKUP("buildings|PM25|Work loss days", US_national_yearly!$D:$AM, 10, FALSE), 1)</f>
        <v>2.692206953358971</v>
      </c>
      <c r="M15" s="7">
        <f>$B15 * IFERROR(VLOOKUP("buildings|PM25|Work loss days", US_national_yearly!$D:$AM, 21, FALSE) / VLOOKUP("buildings|PM25|Work loss days", US_national_yearly!$D:$AM, 10, FALSE), 1)</f>
        <v>2.7077295380143251</v>
      </c>
      <c r="N15" s="7">
        <f>$B15 * IFERROR(VLOOKUP("buildings|PM25|Work loss days", US_national_yearly!$D:$AM, 22, FALSE) / VLOOKUP("buildings|PM25|Work loss days", US_national_yearly!$D:$AM, 10, FALSE), 1)</f>
        <v>2.7272455470614703</v>
      </c>
      <c r="O15" s="7">
        <f>$B15 * IFERROR(VLOOKUP("buildings|PM25|Work loss days", US_national_yearly!$D:$AM, 23, FALSE) / VLOOKUP("buildings|PM25|Work loss days", US_national_yearly!$D:$AM, 10, FALSE), 1)</f>
        <v>2.7467615561086163</v>
      </c>
      <c r="P15" s="7">
        <f>$B15 * IFERROR(VLOOKUP("buildings|PM25|Work loss days", US_national_yearly!$D:$AM, 24, FALSE) / VLOOKUP("buildings|PM25|Work loss days", US_national_yearly!$D:$AM, 10, FALSE), 1)</f>
        <v>2.7662775651557618</v>
      </c>
      <c r="Q15" s="7">
        <f>$B15 * IFERROR(VLOOKUP("buildings|PM25|Work loss days", US_national_yearly!$D:$AM, 25, FALSE) / VLOOKUP("buildings|PM25|Work loss days", US_national_yearly!$D:$AM, 10, FALSE), 1)</f>
        <v>2.7857935742029074</v>
      </c>
      <c r="R15" s="7">
        <f>$B15 * IFERROR(VLOOKUP("buildings|PM25|Work loss days", US_national_yearly!$D:$AM, 26, FALSE) / VLOOKUP("buildings|PM25|Work loss days", US_national_yearly!$D:$AM, 10, FALSE), 1)</f>
        <v>2.8053095832500534</v>
      </c>
      <c r="S15" s="7">
        <f>$B15 * IFERROR(VLOOKUP("buildings|PM25|Work loss days", US_national_yearly!$D:$AM, 27, FALSE) / VLOOKUP("buildings|PM25|Work loss days", US_national_yearly!$D:$AM, 10, FALSE), 1)</f>
        <v>2.8268674407587833</v>
      </c>
      <c r="T15" s="7">
        <f>$B15 * IFERROR(VLOOKUP("buildings|PM25|Work loss days", US_national_yearly!$D:$AM, 28, FALSE) / VLOOKUP("buildings|PM25|Work loss days", US_national_yearly!$D:$AM, 10, FALSE), 1)</f>
        <v>2.848425298267514</v>
      </c>
      <c r="U15" s="7">
        <f>$B15 * IFERROR(VLOOKUP("buildings|PM25|Work loss days", US_national_yearly!$D:$AM, 29, FALSE) / VLOOKUP("buildings|PM25|Work loss days", US_national_yearly!$D:$AM, 10, FALSE), 1)</f>
        <v>2.8699831557762447</v>
      </c>
      <c r="V15" s="7">
        <f>$B15 * IFERROR(VLOOKUP("buildings|PM25|Work loss days", US_national_yearly!$D:$AM, 30, FALSE) / VLOOKUP("buildings|PM25|Work loss days", US_national_yearly!$D:$AM, 10, FALSE), 1)</f>
        <v>2.891541013284975</v>
      </c>
      <c r="W15" s="7">
        <f>$B15 * IFERROR(VLOOKUP("buildings|PM25|Work loss days", US_national_yearly!$D:$AM, 31, FALSE) / VLOOKUP("buildings|PM25|Work loss days", US_national_yearly!$D:$AM, 10, FALSE), 1)</f>
        <v>2.9130988707937058</v>
      </c>
      <c r="X15" s="7">
        <f>$B15 * IFERROR(VLOOKUP("buildings|PM25|Work loss days", US_national_yearly!$D:$AM, 32, FALSE) / VLOOKUP("buildings|PM25|Work loss days", US_national_yearly!$D:$AM, 10, FALSE), 1)</f>
        <v>2.9322294146660126</v>
      </c>
      <c r="Y15" s="7">
        <f>$B15 * IFERROR(VLOOKUP("buildings|PM25|Work loss days", US_national_yearly!$D:$AM, 33, FALSE) / VLOOKUP("buildings|PM25|Work loss days", US_national_yearly!$D:$AM, 10, FALSE), 1)</f>
        <v>2.9513599585383199</v>
      </c>
      <c r="Z15" s="7">
        <f>$B15 * IFERROR(VLOOKUP("buildings|PM25|Work loss days", US_national_yearly!$D:$AM, 34, FALSE) / VLOOKUP("buildings|PM25|Work loss days", US_national_yearly!$D:$AM, 10, FALSE), 1)</f>
        <v>2.9704905024106267</v>
      </c>
      <c r="AA15" s="7">
        <f>$B15 * IFERROR(VLOOKUP("buildings|PM25|Work loss days", US_national_yearly!$D:$AM, 35, FALSE) / VLOOKUP("buildings|PM25|Work loss days", US_national_yearly!$D:$AM, 10, FALSE), 1)</f>
        <v>2.989621046282934</v>
      </c>
      <c r="AB15" s="7">
        <f>$B15 * IFERROR(VLOOKUP("buildings|PM25|Work loss days", US_national_yearly!$D:$AM, 36, FALSE) / VLOOKUP("buildings|PM25|Work loss days", US_national_yearly!$D:$AM, 10, FALSE), 1)</f>
        <v>3.0087515901552409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4.4039832357431414E-3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4.5356022056070901E-3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4.6672211754710388E-3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4.7988401453349866E-3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4.9304591151989362E-3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5.0565700116583009E-3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5.1826809081176664E-3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5.2906434387119282E-3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5.398605969306189E-3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5.5065684999004516E-3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5.6145310304947143E-3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5.7224935610889769E-3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5.7945856272104065E-3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5.8666776933318371E-3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5.9387697594532668E-3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6.0108618255746973E-3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6.082953891696127E-3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6.1212611962321592E-3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6.1595685007681906E-3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6.1978758053042237E-3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6.2361831098402551E-3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6.2744904143762882E-3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6.3003921471608288E-3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6.3262938799453676E-3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6.3521956127299082E-3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6.378097345514447E-3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6.4039990782989876E-3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2.0296419503937949E-3</v>
      </c>
      <c r="C2" s="7">
        <f>$B2 * IFERROR(VLOOKUP("buildings|NOx|Premature mortality", US_national_yearly!$D:$AM, 11, FALSE) / VLOOKUP("buildings|NOx|Premature mortality", US_national_yearly!$D:$AM, 10, FALSE), 1)</f>
        <v>2.0594953123488895E-3</v>
      </c>
      <c r="D2" s="7">
        <f>$B2 * IFERROR(VLOOKUP("buildings|NOx|Premature mortality", US_national_yearly!$D:$AM, 12, FALSE) / VLOOKUP("buildings|NOx|Premature mortality", US_national_yearly!$D:$AM, 10, FALSE), 1)</f>
        <v>2.0893486743039837E-3</v>
      </c>
      <c r="E2" s="7">
        <f>$B2 * IFERROR(VLOOKUP("buildings|NOx|Premature mortality", US_national_yearly!$D:$AM, 13, FALSE) / VLOOKUP("buildings|NOx|Premature mortality", US_national_yearly!$D:$AM, 10, FALSE), 1)</f>
        <v>2.1192020362590784E-3</v>
      </c>
      <c r="F2" s="7">
        <f>$B2 * IFERROR(VLOOKUP("buildings|NOx|Premature mortality", US_national_yearly!$D:$AM, 14, FALSE) / VLOOKUP("buildings|NOx|Premature mortality", US_national_yearly!$D:$AM, 10, FALSE), 1)</f>
        <v>2.149055398214173E-3</v>
      </c>
      <c r="G2" s="7">
        <f>$B2 * IFERROR(VLOOKUP("buildings|NOx|Premature mortality", US_national_yearly!$D:$AM, 15, FALSE) / VLOOKUP("buildings|NOx|Premature mortality", US_national_yearly!$D:$AM, 10, FALSE), 1)</f>
        <v>2.202653000895765E-3</v>
      </c>
      <c r="H2" s="7">
        <f>$B2 * IFERROR(VLOOKUP("buildings|NOx|Premature mortality", US_national_yearly!$D:$AM, 16, FALSE) / VLOOKUP("buildings|NOx|Premature mortality", US_national_yearly!$D:$AM, 10, FALSE), 1)</f>
        <v>2.2562506035773574E-3</v>
      </c>
      <c r="I2" s="7">
        <f>$B2 * IFERROR(VLOOKUP("buildings|NOx|Premature mortality", US_national_yearly!$D:$AM, 17, FALSE) / VLOOKUP("buildings|NOx|Premature mortality", US_national_yearly!$D:$AM, 10, FALSE), 1)</f>
        <v>2.2908882616184119E-3</v>
      </c>
      <c r="J2" s="7">
        <f>$B2 * IFERROR(VLOOKUP("buildings|NOx|Premature mortality", US_national_yearly!$D:$AM, 18, FALSE) / VLOOKUP("buildings|NOx|Premature mortality", US_national_yearly!$D:$AM, 10, FALSE), 1)</f>
        <v>2.3255259196594655E-3</v>
      </c>
      <c r="K2" s="7">
        <f>$B2 * IFERROR(VLOOKUP("buildings|NOx|Premature mortality", US_national_yearly!$D:$AM, 19, FALSE) / VLOOKUP("buildings|NOx|Premature mortality", US_national_yearly!$D:$AM, 10, FALSE), 1)</f>
        <v>2.36016357770052E-3</v>
      </c>
      <c r="L2" s="7">
        <f>$B2 * IFERROR(VLOOKUP("buildings|NOx|Premature mortality", US_national_yearly!$D:$AM, 20, FALSE) / VLOOKUP("buildings|NOx|Premature mortality", US_national_yearly!$D:$AM, 10, FALSE), 1)</f>
        <v>2.3948012357415745E-3</v>
      </c>
      <c r="M2" s="7">
        <f>$B2 * IFERROR(VLOOKUP("buildings|NOx|Premature mortality", US_national_yearly!$D:$AM, 21, FALSE) / VLOOKUP("buildings|NOx|Premature mortality", US_national_yearly!$D:$AM, 10, FALSE), 1)</f>
        <v>2.429438893782629E-3</v>
      </c>
      <c r="N2" s="7">
        <f>$B2 * IFERROR(VLOOKUP("buildings|NOx|Premature mortality", US_national_yearly!$D:$AM, 22, FALSE) / VLOOKUP("buildings|NOx|Premature mortality", US_national_yearly!$D:$AM, 10, FALSE), 1)</f>
        <v>2.4551040761645717E-3</v>
      </c>
      <c r="O2" s="7">
        <f>$B2 * IFERROR(VLOOKUP("buildings|NOx|Premature mortality", US_national_yearly!$D:$AM, 23, FALSE) / VLOOKUP("buildings|NOx|Premature mortality", US_national_yearly!$D:$AM, 10, FALSE), 1)</f>
        <v>2.4807692585465148E-3</v>
      </c>
      <c r="P2" s="7">
        <f>$B2 * IFERROR(VLOOKUP("buildings|NOx|Premature mortality", US_national_yearly!$D:$AM, 24, FALSE) / VLOOKUP("buildings|NOx|Premature mortality", US_national_yearly!$D:$AM, 10, FALSE), 1)</f>
        <v>2.5064344409284579E-3</v>
      </c>
      <c r="Q2" s="7">
        <f>$B2 * IFERROR(VLOOKUP("buildings|NOx|Premature mortality", US_national_yearly!$D:$AM, 25, FALSE) / VLOOKUP("buildings|NOx|Premature mortality", US_national_yearly!$D:$AM, 10, FALSE), 1)</f>
        <v>2.5320996233104002E-3</v>
      </c>
      <c r="R2" s="7">
        <f>$B2 * IFERROR(VLOOKUP("buildings|NOx|Premature mortality", US_national_yearly!$D:$AM, 26, FALSE) / VLOOKUP("buildings|NOx|Premature mortality", US_national_yearly!$D:$AM, 10, FALSE), 1)</f>
        <v>2.5577648056923433E-3</v>
      </c>
      <c r="S2" s="7">
        <f>$B2 * IFERROR(VLOOKUP("buildings|NOx|Premature mortality", US_national_yearly!$D:$AM, 27, FALSE) / VLOOKUP("buildings|NOx|Premature mortality", US_national_yearly!$D:$AM, 10, FALSE), 1)</f>
        <v>2.5694332094705731E-3</v>
      </c>
      <c r="T2" s="7">
        <f>$B2 * IFERROR(VLOOKUP("buildings|NOx|Premature mortality", US_national_yearly!$D:$AM, 28, FALSE) / VLOOKUP("buildings|NOx|Premature mortality", US_national_yearly!$D:$AM, 10, FALSE), 1)</f>
        <v>2.5811016132488021E-3</v>
      </c>
      <c r="U2" s="7">
        <f>$B2 * IFERROR(VLOOKUP("buildings|NOx|Premature mortality", US_national_yearly!$D:$AM, 29, FALSE) / VLOOKUP("buildings|NOx|Premature mortality", US_national_yearly!$D:$AM, 10, FALSE), 1)</f>
        <v>2.592770017027032E-3</v>
      </c>
      <c r="V2" s="7">
        <f>$B2 * IFERROR(VLOOKUP("buildings|NOx|Premature mortality", US_national_yearly!$D:$AM, 30, FALSE) / VLOOKUP("buildings|NOx|Premature mortality", US_national_yearly!$D:$AM, 10, FALSE), 1)</f>
        <v>2.6044384208052619E-3</v>
      </c>
      <c r="W2" s="7">
        <f>$B2 * IFERROR(VLOOKUP("buildings|NOx|Premature mortality", US_national_yearly!$D:$AM, 31, FALSE) / VLOOKUP("buildings|NOx|Premature mortality", US_national_yearly!$D:$AM, 10, FALSE), 1)</f>
        <v>2.6161068245834909E-3</v>
      </c>
      <c r="X2" s="7">
        <f>$B2 * IFERROR(VLOOKUP("buildings|NOx|Premature mortality", US_national_yearly!$D:$AM, 32, FALSE) / VLOOKUP("buildings|NOx|Premature mortality", US_national_yearly!$D:$AM, 10, FALSE), 1)</f>
        <v>2.6165177762528437E-3</v>
      </c>
      <c r="Y2" s="7">
        <f>$B2 * IFERROR(VLOOKUP("buildings|NOx|Premature mortality", US_national_yearly!$D:$AM, 33, FALSE) / VLOOKUP("buildings|NOx|Premature mortality", US_national_yearly!$D:$AM, 10, FALSE), 1)</f>
        <v>2.616928727922197E-3</v>
      </c>
      <c r="Z2" s="7">
        <f>$B2 * IFERROR(VLOOKUP("buildings|NOx|Premature mortality", US_national_yearly!$D:$AM, 34, FALSE) / VLOOKUP("buildings|NOx|Premature mortality", US_national_yearly!$D:$AM, 10, FALSE), 1)</f>
        <v>2.6173396795915499E-3</v>
      </c>
      <c r="AA2" s="7">
        <f>$B2 * IFERROR(VLOOKUP("buildings|NOx|Premature mortality", US_national_yearly!$D:$AM, 35, FALSE) / VLOOKUP("buildings|NOx|Premature mortality", US_national_yearly!$D:$AM, 10, FALSE), 1)</f>
        <v>2.6177506312609023E-3</v>
      </c>
      <c r="AB2" s="7">
        <f>$B2 * IFERROR(VLOOKUP("buildings|NOx|Premature mortality", US_national_yearly!$D:$AM, 36, FALSE) / VLOOKUP("buildings|NOx|Premature mortality", US_national_yearly!$D:$AM, 10, FALSE), 1)</f>
        <v>2.6181615829302556E-3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5.895559861456593E-6</v>
      </c>
      <c r="C3" s="7">
        <f>$B3 * IFERROR(VLOOKUP("buildings|NOx|Infant mortality", US_national_yearly!$D:$AM, 11, FALSE) / VLOOKUP("buildings|NOx|Infant mortality", US_national_yearly!$D:$AM, 10, FALSE), 1)</f>
        <v>5.8395589620173658E-6</v>
      </c>
      <c r="D3" s="7">
        <f>$B3 * IFERROR(VLOOKUP("buildings|NOx|Infant mortality", US_national_yearly!$D:$AM, 12, FALSE) / VLOOKUP("buildings|NOx|Infant mortality", US_national_yearly!$D:$AM, 10, FALSE), 1)</f>
        <v>5.7835580625781378E-6</v>
      </c>
      <c r="E3" s="7">
        <f>$B3 * IFERROR(VLOOKUP("buildings|NOx|Infant mortality", US_national_yearly!$D:$AM, 13, FALSE) / VLOOKUP("buildings|NOx|Infant mortality", US_national_yearly!$D:$AM, 10, FALSE), 1)</f>
        <v>5.7275571631389106E-6</v>
      </c>
      <c r="F3" s="7">
        <f>$B3 * IFERROR(VLOOKUP("buildings|NOx|Infant mortality", US_national_yearly!$D:$AM, 14, FALSE) / VLOOKUP("buildings|NOx|Infant mortality", US_national_yearly!$D:$AM, 10, FALSE), 1)</f>
        <v>5.6715562636996826E-6</v>
      </c>
      <c r="G3" s="7">
        <f>$B3 * IFERROR(VLOOKUP("buildings|NOx|Infant mortality", US_national_yearly!$D:$AM, 15, FALSE) / VLOOKUP("buildings|NOx|Infant mortality", US_national_yearly!$D:$AM, 10, FALSE), 1)</f>
        <v>3.7644242754901614E-6</v>
      </c>
      <c r="H3" s="7">
        <f>$B3 * IFERROR(VLOOKUP("buildings|NOx|Infant mortality", US_national_yearly!$D:$AM, 16, FALSE) / VLOOKUP("buildings|NOx|Infant mortality", US_national_yearly!$D:$AM, 10, FALSE), 1)</f>
        <v>1.8572922872806405E-6</v>
      </c>
      <c r="I3" s="7">
        <f>$B3 * IFERROR(VLOOKUP("buildings|NOx|Infant mortality", US_national_yearly!$D:$AM, 17, FALSE) / VLOOKUP("buildings|NOx|Infant mortality", US_national_yearly!$D:$AM, 10, FALSE), 1)</f>
        <v>1.8441713374949031E-6</v>
      </c>
      <c r="J3" s="7">
        <f>$B3 * IFERROR(VLOOKUP("buildings|NOx|Infant mortality", US_national_yearly!$D:$AM, 18, FALSE) / VLOOKUP("buildings|NOx|Infant mortality", US_national_yearly!$D:$AM, 10, FALSE), 1)</f>
        <v>1.8310503877091655E-6</v>
      </c>
      <c r="K3" s="7">
        <f>$B3 * IFERROR(VLOOKUP("buildings|NOx|Infant mortality", US_national_yearly!$D:$AM, 19, FALSE) / VLOOKUP("buildings|NOx|Infant mortality", US_national_yearly!$D:$AM, 10, FALSE), 1)</f>
        <v>1.8179294379234281E-6</v>
      </c>
      <c r="L3" s="7">
        <f>$B3 * IFERROR(VLOOKUP("buildings|NOx|Infant mortality", US_national_yearly!$D:$AM, 20, FALSE) / VLOOKUP("buildings|NOx|Infant mortality", US_national_yearly!$D:$AM, 10, FALSE), 1)</f>
        <v>1.8048084881376907E-6</v>
      </c>
      <c r="M3" s="7">
        <f>$B3 * IFERROR(VLOOKUP("buildings|NOx|Infant mortality", US_national_yearly!$D:$AM, 21, FALSE) / VLOOKUP("buildings|NOx|Infant mortality", US_national_yearly!$D:$AM, 10, FALSE), 1)</f>
        <v>1.791687538351953E-6</v>
      </c>
      <c r="N3" s="7">
        <f>$B3 * IFERROR(VLOOKUP("buildings|NOx|Infant mortality", US_national_yearly!$D:$AM, 22, FALSE) / VLOOKUP("buildings|NOx|Infant mortality", US_national_yearly!$D:$AM, 10, FALSE), 1)</f>
        <v>1.7829930195699635E-6</v>
      </c>
      <c r="O3" s="7">
        <f>$B3 * IFERROR(VLOOKUP("buildings|NOx|Infant mortality", US_national_yearly!$D:$AM, 23, FALSE) / VLOOKUP("buildings|NOx|Infant mortality", US_national_yearly!$D:$AM, 10, FALSE), 1)</f>
        <v>1.7742985007879742E-6</v>
      </c>
      <c r="P3" s="7">
        <f>$B3 * IFERROR(VLOOKUP("buildings|NOx|Infant mortality", US_national_yearly!$D:$AM, 24, FALSE) / VLOOKUP("buildings|NOx|Infant mortality", US_national_yearly!$D:$AM, 10, FALSE), 1)</f>
        <v>1.7656039820059848E-6</v>
      </c>
      <c r="Q3" s="7">
        <f>$B3 * IFERROR(VLOOKUP("buildings|NOx|Infant mortality", US_national_yearly!$D:$AM, 25, FALSE) / VLOOKUP("buildings|NOx|Infant mortality", US_national_yearly!$D:$AM, 10, FALSE), 1)</f>
        <v>1.7569094632239957E-6</v>
      </c>
      <c r="R3" s="7">
        <f>$B3 * IFERROR(VLOOKUP("buildings|NOx|Infant mortality", US_national_yearly!$D:$AM, 26, FALSE) / VLOOKUP("buildings|NOx|Infant mortality", US_national_yearly!$D:$AM, 10, FALSE), 1)</f>
        <v>1.7482149444420062E-6</v>
      </c>
      <c r="S3" s="7">
        <f>$B3 * IFERROR(VLOOKUP("buildings|NOx|Infant mortality", US_national_yearly!$D:$AM, 27, FALSE) / VLOOKUP("buildings|NOx|Infant mortality", US_national_yearly!$D:$AM, 10, FALSE), 1)</f>
        <v>1.7377559936473147E-6</v>
      </c>
      <c r="T3" s="7">
        <f>$B3 * IFERROR(VLOOKUP("buildings|NOx|Infant mortality", US_national_yearly!$D:$AM, 28, FALSE) / VLOOKUP("buildings|NOx|Infant mortality", US_national_yearly!$D:$AM, 10, FALSE), 1)</f>
        <v>1.7272970428526236E-6</v>
      </c>
      <c r="U3" s="7">
        <f>$B3 * IFERROR(VLOOKUP("buildings|NOx|Infant mortality", US_national_yearly!$D:$AM, 29, FALSE) / VLOOKUP("buildings|NOx|Infant mortality", US_national_yearly!$D:$AM, 10, FALSE), 1)</f>
        <v>1.7168380920579321E-6</v>
      </c>
      <c r="V3" s="7">
        <f>$B3 * IFERROR(VLOOKUP("buildings|NOx|Infant mortality", US_national_yearly!$D:$AM, 30, FALSE) / VLOOKUP("buildings|NOx|Infant mortality", US_national_yearly!$D:$AM, 10, FALSE), 1)</f>
        <v>1.7063791412632404E-6</v>
      </c>
      <c r="W3" s="7">
        <f>$B3 * IFERROR(VLOOKUP("buildings|NOx|Infant mortality", US_national_yearly!$D:$AM, 31, FALSE) / VLOOKUP("buildings|NOx|Infant mortality", US_national_yearly!$D:$AM, 10, FALSE), 1)</f>
        <v>1.6959201904685493E-6</v>
      </c>
      <c r="X3" s="7">
        <f>$B3 * IFERROR(VLOOKUP("buildings|NOx|Infant mortality", US_national_yearly!$D:$AM, 32, FALSE) / VLOOKUP("buildings|NOx|Infant mortality", US_national_yearly!$D:$AM, 10, FALSE), 1)</f>
        <v>1.6848537038621303E-6</v>
      </c>
      <c r="Y3" s="7">
        <f>$B3 * IFERROR(VLOOKUP("buildings|NOx|Infant mortality", US_national_yearly!$D:$AM, 33, FALSE) / VLOOKUP("buildings|NOx|Infant mortality", US_national_yearly!$D:$AM, 10, FALSE), 1)</f>
        <v>1.6737872172557115E-6</v>
      </c>
      <c r="Z3" s="7">
        <f>$B3 * IFERROR(VLOOKUP("buildings|NOx|Infant mortality", US_national_yearly!$D:$AM, 34, FALSE) / VLOOKUP("buildings|NOx|Infant mortality", US_national_yearly!$D:$AM, 10, FALSE), 1)</f>
        <v>1.6627207306492925E-6</v>
      </c>
      <c r="AA3" s="7">
        <f>$B3 * IFERROR(VLOOKUP("buildings|NOx|Infant mortality", US_national_yearly!$D:$AM, 35, FALSE) / VLOOKUP("buildings|NOx|Infant mortality", US_national_yearly!$D:$AM, 10, FALSE), 1)</f>
        <v>1.6516542440428732E-6</v>
      </c>
      <c r="AB3" s="7">
        <f>$B3 * IFERROR(VLOOKUP("buildings|NOx|Infant mortality", US_national_yearly!$D:$AM, 36, FALSE) / VLOOKUP("buildings|NOx|Infant mortality", US_national_yearly!$D:$AM, 10, FALSE), 1)</f>
        <v>1.6405877574364542E-6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5.2196416754920379E-3</v>
      </c>
      <c r="C6" s="7">
        <f>$B6 * IFERROR(VLOOKUP("buildings|NOx|Asthma symptoms cough", US_national_yearly!$D:$AM, 11, FALSE) / VLOOKUP("buildings|NOx|Asthma symptoms cough", US_national_yearly!$D:$AM, 10, FALSE), 1)</f>
        <v>5.2910738935550298E-3</v>
      </c>
      <c r="D6" s="7">
        <f>$B6 * IFERROR(VLOOKUP("buildings|NOx|Asthma symptoms cough", US_national_yearly!$D:$AM, 12, FALSE) / VLOOKUP("buildings|NOx|Asthma symptoms cough", US_national_yearly!$D:$AM, 10, FALSE), 1)</f>
        <v>5.3625061116180225E-3</v>
      </c>
      <c r="E6" s="7">
        <f>$B6 * IFERROR(VLOOKUP("buildings|NOx|Asthma symptoms cough", US_national_yearly!$D:$AM, 13, FALSE) / VLOOKUP("buildings|NOx|Asthma symptoms cough", US_national_yearly!$D:$AM, 10, FALSE), 1)</f>
        <v>5.4339383296810144E-3</v>
      </c>
      <c r="F6" s="7">
        <f>$B6 * IFERROR(VLOOKUP("buildings|NOx|Asthma symptoms cough", US_national_yearly!$D:$AM, 14, FALSE) / VLOOKUP("buildings|NOx|Asthma symptoms cough", US_national_yearly!$D:$AM, 10, FALSE), 1)</f>
        <v>5.5053705477440063E-3</v>
      </c>
      <c r="G6" s="7">
        <f>$B6 * IFERROR(VLOOKUP("buildings|NOx|Asthma symptoms cough", US_national_yearly!$D:$AM, 15, FALSE) / VLOOKUP("buildings|NOx|Asthma symptoms cough", US_national_yearly!$D:$AM, 10, FALSE), 1)</f>
        <v>5.5624582749178361E-3</v>
      </c>
      <c r="H6" s="7">
        <f>$B6 * IFERROR(VLOOKUP("buildings|NOx|Asthma symptoms cough", US_national_yearly!$D:$AM, 16, FALSE) / VLOOKUP("buildings|NOx|Asthma symptoms cough", US_national_yearly!$D:$AM, 10, FALSE), 1)</f>
        <v>5.619546002091665E-3</v>
      </c>
      <c r="I6" s="7">
        <f>$B6 * IFERROR(VLOOKUP("buildings|NOx|Asthma symptoms cough", US_national_yearly!$D:$AM, 17, FALSE) / VLOOKUP("buildings|NOx|Asthma symptoms cough", US_national_yearly!$D:$AM, 10, FALSE), 1)</f>
        <v>5.6393023783887011E-3</v>
      </c>
      <c r="J6" s="7">
        <f>$B6 * IFERROR(VLOOKUP("buildings|NOx|Asthma symptoms cough", US_national_yearly!$D:$AM, 18, FALSE) / VLOOKUP("buildings|NOx|Asthma symptoms cough", US_national_yearly!$D:$AM, 10, FALSE), 1)</f>
        <v>5.6590587546857373E-3</v>
      </c>
      <c r="K6" s="7">
        <f>$B6 * IFERROR(VLOOKUP("buildings|NOx|Asthma symptoms cough", US_national_yearly!$D:$AM, 19, FALSE) / VLOOKUP("buildings|NOx|Asthma symptoms cough", US_national_yearly!$D:$AM, 10, FALSE), 1)</f>
        <v>5.6788151309827726E-3</v>
      </c>
      <c r="L6" s="7">
        <f>$B6 * IFERROR(VLOOKUP("buildings|NOx|Asthma symptoms cough", US_national_yearly!$D:$AM, 20, FALSE) / VLOOKUP("buildings|NOx|Asthma symptoms cough", US_national_yearly!$D:$AM, 10, FALSE), 1)</f>
        <v>5.6985715072798088E-3</v>
      </c>
      <c r="M6" s="7">
        <f>$B6 * IFERROR(VLOOKUP("buildings|NOx|Asthma symptoms cough", US_national_yearly!$D:$AM, 21, FALSE) / VLOOKUP("buildings|NOx|Asthma symptoms cough", US_national_yearly!$D:$AM, 10, FALSE), 1)</f>
        <v>5.7183278835768441E-3</v>
      </c>
      <c r="N6" s="7">
        <f>$B6 * IFERROR(VLOOKUP("buildings|NOx|Asthma symptoms cough", US_national_yearly!$D:$AM, 22, FALSE) / VLOOKUP("buildings|NOx|Asthma symptoms cough", US_national_yearly!$D:$AM, 10, FALSE), 1)</f>
        <v>5.7411724246619932E-3</v>
      </c>
      <c r="O6" s="7">
        <f>$B6 * IFERROR(VLOOKUP("buildings|NOx|Asthma symptoms cough", US_national_yearly!$D:$AM, 23, FALSE) / VLOOKUP("buildings|NOx|Asthma symptoms cough", US_national_yearly!$D:$AM, 10, FALSE), 1)</f>
        <v>5.7640169657471405E-3</v>
      </c>
      <c r="P6" s="7">
        <f>$B6 * IFERROR(VLOOKUP("buildings|NOx|Asthma symptoms cough", US_national_yearly!$D:$AM, 24, FALSE) / VLOOKUP("buildings|NOx|Asthma symptoms cough", US_national_yearly!$D:$AM, 10, FALSE), 1)</f>
        <v>5.7868615068322887E-3</v>
      </c>
      <c r="Q6" s="7">
        <f>$B6 * IFERROR(VLOOKUP("buildings|NOx|Asthma symptoms cough", US_national_yearly!$D:$AM, 25, FALSE) / VLOOKUP("buildings|NOx|Asthma symptoms cough", US_national_yearly!$D:$AM, 10, FALSE), 1)</f>
        <v>5.8097060479174378E-3</v>
      </c>
      <c r="R6" s="7">
        <f>$B6 * IFERROR(VLOOKUP("buildings|NOx|Asthma symptoms cough", US_national_yearly!$D:$AM, 26, FALSE) / VLOOKUP("buildings|NOx|Asthma symptoms cough", US_national_yearly!$D:$AM, 10, FALSE), 1)</f>
        <v>5.8325505890025851E-3</v>
      </c>
      <c r="S6" s="7">
        <f>$B6 * IFERROR(VLOOKUP("buildings|NOx|Asthma symptoms cough", US_national_yearly!$D:$AM, 27, FALSE) / VLOOKUP("buildings|NOx|Asthma symptoms cough", US_national_yearly!$D:$AM, 10, FALSE), 1)</f>
        <v>5.8623860437981368E-3</v>
      </c>
      <c r="T6" s="7">
        <f>$B6 * IFERROR(VLOOKUP("buildings|NOx|Asthma symptoms cough", US_national_yearly!$D:$AM, 28, FALSE) / VLOOKUP("buildings|NOx|Asthma symptoms cough", US_national_yearly!$D:$AM, 10, FALSE), 1)</f>
        <v>5.8922214985936867E-3</v>
      </c>
      <c r="U6" s="7">
        <f>$B6 * IFERROR(VLOOKUP("buildings|NOx|Asthma symptoms cough", US_national_yearly!$D:$AM, 29, FALSE) / VLOOKUP("buildings|NOx|Asthma symptoms cough", US_national_yearly!$D:$AM, 10, FALSE), 1)</f>
        <v>5.9220569533892367E-3</v>
      </c>
      <c r="V6" s="7">
        <f>$B6 * IFERROR(VLOOKUP("buildings|NOx|Asthma symptoms cough", US_national_yearly!$D:$AM, 30, FALSE) / VLOOKUP("buildings|NOx|Asthma symptoms cough", US_national_yearly!$D:$AM, 10, FALSE), 1)</f>
        <v>5.9518924081847883E-3</v>
      </c>
      <c r="W6" s="7">
        <f>$B6 * IFERROR(VLOOKUP("buildings|NOx|Asthma symptoms cough", US_national_yearly!$D:$AM, 31, FALSE) / VLOOKUP("buildings|NOx|Asthma symptoms cough", US_national_yearly!$D:$AM, 10, FALSE), 1)</f>
        <v>5.9817278629803383E-3</v>
      </c>
      <c r="X6" s="7">
        <f>$B6 * IFERROR(VLOOKUP("buildings|NOx|Asthma symptoms cough", US_national_yearly!$D:$AM, 32, FALSE) / VLOOKUP("buildings|NOx|Asthma symptoms cough", US_national_yearly!$D:$AM, 10, FALSE), 1)</f>
        <v>6.009449105923474E-3</v>
      </c>
      <c r="Y6" s="7">
        <f>$B6 * IFERROR(VLOOKUP("buildings|NOx|Asthma symptoms cough", US_national_yearly!$D:$AM, 33, FALSE) / VLOOKUP("buildings|NOx|Asthma symptoms cough", US_national_yearly!$D:$AM, 10, FALSE), 1)</f>
        <v>6.0371703488666098E-3</v>
      </c>
      <c r="Z6" s="7">
        <f>$B6 * IFERROR(VLOOKUP("buildings|NOx|Asthma symptoms cough", US_national_yearly!$D:$AM, 34, FALSE) / VLOOKUP("buildings|NOx|Asthma symptoms cough", US_national_yearly!$D:$AM, 10, FALSE), 1)</f>
        <v>6.0648915918097464E-3</v>
      </c>
      <c r="AA6" s="7">
        <f>$B6 * IFERROR(VLOOKUP("buildings|NOx|Asthma symptoms cough", US_national_yearly!$D:$AM, 35, FALSE) / VLOOKUP("buildings|NOx|Asthma symptoms cough", US_national_yearly!$D:$AM, 10, FALSE), 1)</f>
        <v>6.0926128347528821E-3</v>
      </c>
      <c r="AB6" s="7">
        <f>$B6 * IFERROR(VLOOKUP("buildings|NOx|Asthma symptoms cough", US_national_yearly!$D:$AM, 36, FALSE) / VLOOKUP("buildings|NOx|Asthma symptoms cough", US_national_yearly!$D:$AM, 10, FALSE), 1)</f>
        <v>6.1203340776960187E-3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7.0289253182880922E-3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7.1251180756277547E-3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7.2213108329674171E-3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7.3175035903070788E-3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7.4136963476467413E-3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7.4905723851720315E-3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7.5674484226973216E-3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7.5940529484997419E-3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7.6206574743021603E-3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7.6472620001045823E-3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7.6738665259070025E-3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7.7004710517094227E-3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7.7312341924669348E-3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7.7619973332244477E-3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7.7927604739819597E-3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7.8235236147394718E-3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7.8542867554969847E-3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7.8944640694852269E-3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7.9346413834734675E-3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7.974818697461708E-3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8.0149960114499486E-3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8.0551733254381891E-3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8.0925035786154655E-3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8.1298338317927401E-3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8.1671640849700165E-3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8.2044943381472894E-3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8.2418245913245657E-3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1.0739290498123643E-2</v>
      </c>
      <c r="C8" s="7">
        <f>$B8 * IFERROR(VLOOKUP("buildings|NOx|Asthma symptoms wheeze", US_national_yearly!$D:$AM, 11, FALSE) / VLOOKUP("buildings|NOx|Asthma symptoms wheeze", US_national_yearly!$D:$AM, 10, FALSE), 1)</f>
        <v>1.0886260613832695E-2</v>
      </c>
      <c r="D8" s="7">
        <f>$B8 * IFERROR(VLOOKUP("buildings|NOx|Asthma symptoms wheeze", US_national_yearly!$D:$AM, 12, FALSE) / VLOOKUP("buildings|NOx|Asthma symptoms wheeze", US_national_yearly!$D:$AM, 10, FALSE), 1)</f>
        <v>1.1033230729541746E-2</v>
      </c>
      <c r="E8" s="7">
        <f>$B8 * IFERROR(VLOOKUP("buildings|NOx|Asthma symptoms wheeze", US_national_yearly!$D:$AM, 13, FALSE) / VLOOKUP("buildings|NOx|Asthma symptoms wheeze", US_national_yearly!$D:$AM, 10, FALSE), 1)</f>
        <v>1.1180200845250794E-2</v>
      </c>
      <c r="F8" s="7">
        <f>$B8 * IFERROR(VLOOKUP("buildings|NOx|Asthma symptoms wheeze", US_national_yearly!$D:$AM, 14, FALSE) / VLOOKUP("buildings|NOx|Asthma symptoms wheeze", US_national_yearly!$D:$AM, 10, FALSE), 1)</f>
        <v>1.1327170960959849E-2</v>
      </c>
      <c r="G8" s="7">
        <f>$B8 * IFERROR(VLOOKUP("buildings|NOx|Asthma symptoms wheeze", US_national_yearly!$D:$AM, 15, FALSE) / VLOOKUP("buildings|NOx|Asthma symptoms wheeze", US_national_yearly!$D:$AM, 10, FALSE), 1)</f>
        <v>1.1444627622617349E-2</v>
      </c>
      <c r="H8" s="7">
        <f>$B8 * IFERROR(VLOOKUP("buildings|NOx|Asthma symptoms wheeze", US_national_yearly!$D:$AM, 16, FALSE) / VLOOKUP("buildings|NOx|Asthma symptoms wheeze", US_national_yearly!$D:$AM, 10, FALSE), 1)</f>
        <v>1.1562084284274845E-2</v>
      </c>
      <c r="I8" s="7">
        <f>$B8 * IFERROR(VLOOKUP("buildings|NOx|Asthma symptoms wheeze", US_national_yearly!$D:$AM, 17, FALSE) / VLOOKUP("buildings|NOx|Asthma symptoms wheeze", US_national_yearly!$D:$AM, 10, FALSE), 1)</f>
        <v>1.1602732565815135E-2</v>
      </c>
      <c r="J8" s="7">
        <f>$B8 * IFERROR(VLOOKUP("buildings|NOx|Asthma symptoms wheeze", US_national_yearly!$D:$AM, 18, FALSE) / VLOOKUP("buildings|NOx|Asthma symptoms wheeze", US_national_yearly!$D:$AM, 10, FALSE), 1)</f>
        <v>1.1643380847355422E-2</v>
      </c>
      <c r="K8" s="7">
        <f>$B8 * IFERROR(VLOOKUP("buildings|NOx|Asthma symptoms wheeze", US_national_yearly!$D:$AM, 19, FALSE) / VLOOKUP("buildings|NOx|Asthma symptoms wheeze", US_national_yearly!$D:$AM, 10, FALSE), 1)</f>
        <v>1.1684029128895709E-2</v>
      </c>
      <c r="L8" s="7">
        <f>$B8 * IFERROR(VLOOKUP("buildings|NOx|Asthma symptoms wheeze", US_national_yearly!$D:$AM, 20, FALSE) / VLOOKUP("buildings|NOx|Asthma symptoms wheeze", US_national_yearly!$D:$AM, 10, FALSE), 1)</f>
        <v>1.1724677410435994E-2</v>
      </c>
      <c r="M8" s="7">
        <f>$B8 * IFERROR(VLOOKUP("buildings|NOx|Asthma symptoms wheeze", US_national_yearly!$D:$AM, 21, FALSE) / VLOOKUP("buildings|NOx|Asthma symptoms wheeze", US_national_yearly!$D:$AM, 10, FALSE), 1)</f>
        <v>1.1765325691976284E-2</v>
      </c>
      <c r="N8" s="7">
        <f>$B8 * IFERROR(VLOOKUP("buildings|NOx|Asthma symptoms wheeze", US_national_yearly!$D:$AM, 22, FALSE) / VLOOKUP("buildings|NOx|Asthma symptoms wheeze", US_national_yearly!$D:$AM, 10, FALSE), 1)</f>
        <v>1.1812327800245574E-2</v>
      </c>
      <c r="O8" s="7">
        <f>$B8 * IFERROR(VLOOKUP("buildings|NOx|Asthma symptoms wheeze", US_national_yearly!$D:$AM, 23, FALSE) / VLOOKUP("buildings|NOx|Asthma symptoms wheeze", US_national_yearly!$D:$AM, 10, FALSE), 1)</f>
        <v>1.1859329908514866E-2</v>
      </c>
      <c r="P8" s="7">
        <f>$B8 * IFERROR(VLOOKUP("buildings|NOx|Asthma symptoms wheeze", US_national_yearly!$D:$AM, 24, FALSE) / VLOOKUP("buildings|NOx|Asthma symptoms wheeze", US_national_yearly!$D:$AM, 10, FALSE), 1)</f>
        <v>1.1906332016784156E-2</v>
      </c>
      <c r="Q8" s="7">
        <f>$B8 * IFERROR(VLOOKUP("buildings|NOx|Asthma symptoms wheeze", US_national_yearly!$D:$AM, 25, FALSE) / VLOOKUP("buildings|NOx|Asthma symptoms wheeze", US_national_yearly!$D:$AM, 10, FALSE), 1)</f>
        <v>1.1953334125053448E-2</v>
      </c>
      <c r="R8" s="7">
        <f>$B8 * IFERROR(VLOOKUP("buildings|NOx|Asthma symptoms wheeze", US_national_yearly!$D:$AM, 26, FALSE) / VLOOKUP("buildings|NOx|Asthma symptoms wheeze", US_national_yearly!$D:$AM, 10, FALSE), 1)</f>
        <v>1.2000336233322738E-2</v>
      </c>
      <c r="S8" s="7">
        <f>$B8 * IFERROR(VLOOKUP("buildings|NOx|Asthma symptoms wheeze", US_national_yearly!$D:$AM, 27, FALSE) / VLOOKUP("buildings|NOx|Asthma symptoms wheeze", US_national_yearly!$D:$AM, 10, FALSE), 1)</f>
        <v>1.2061721982840237E-2</v>
      </c>
      <c r="T8" s="7">
        <f>$B8 * IFERROR(VLOOKUP("buildings|NOx|Asthma symptoms wheeze", US_national_yearly!$D:$AM, 28, FALSE) / VLOOKUP("buildings|NOx|Asthma symptoms wheeze", US_national_yearly!$D:$AM, 10, FALSE), 1)</f>
        <v>1.2123107732357736E-2</v>
      </c>
      <c r="U8" s="7">
        <f>$B8 * IFERROR(VLOOKUP("buildings|NOx|Asthma symptoms wheeze", US_national_yearly!$D:$AM, 29, FALSE) / VLOOKUP("buildings|NOx|Asthma symptoms wheeze", US_national_yearly!$D:$AM, 10, FALSE), 1)</f>
        <v>1.2184493481875235E-2</v>
      </c>
      <c r="V8" s="7">
        <f>$B8 * IFERROR(VLOOKUP("buildings|NOx|Asthma symptoms wheeze", US_national_yearly!$D:$AM, 30, FALSE) / VLOOKUP("buildings|NOx|Asthma symptoms wheeze", US_national_yearly!$D:$AM, 10, FALSE), 1)</f>
        <v>1.2245879231392736E-2</v>
      </c>
      <c r="W8" s="7">
        <f>$B8 * IFERROR(VLOOKUP("buildings|NOx|Asthma symptoms wheeze", US_national_yearly!$D:$AM, 31, FALSE) / VLOOKUP("buildings|NOx|Asthma symptoms wheeze", US_national_yearly!$D:$AM, 10, FALSE), 1)</f>
        <v>1.2307264980910235E-2</v>
      </c>
      <c r="X8" s="7">
        <f>$B8 * IFERROR(VLOOKUP("buildings|NOx|Asthma symptoms wheeze", US_national_yearly!$D:$AM, 32, FALSE) / VLOOKUP("buildings|NOx|Asthma symptoms wheeze", US_national_yearly!$D:$AM, 10, FALSE), 1)</f>
        <v>1.2364300789057606E-2</v>
      </c>
      <c r="Y8" s="7">
        <f>$B8 * IFERROR(VLOOKUP("buildings|NOx|Asthma symptoms wheeze", US_national_yearly!$D:$AM, 33, FALSE) / VLOOKUP("buildings|NOx|Asthma symptoms wheeze", US_national_yearly!$D:$AM, 10, FALSE), 1)</f>
        <v>1.2421336597204978E-2</v>
      </c>
      <c r="Z8" s="7">
        <f>$B8 * IFERROR(VLOOKUP("buildings|NOx|Asthma symptoms wheeze", US_national_yearly!$D:$AM, 34, FALSE) / VLOOKUP("buildings|NOx|Asthma symptoms wheeze", US_national_yearly!$D:$AM, 10, FALSE), 1)</f>
        <v>1.247837240535235E-2</v>
      </c>
      <c r="AA8" s="7">
        <f>$B8 * IFERROR(VLOOKUP("buildings|NOx|Asthma symptoms wheeze", US_national_yearly!$D:$AM, 35, FALSE) / VLOOKUP("buildings|NOx|Asthma symptoms wheeze", US_national_yearly!$D:$AM, 10, FALSE), 1)</f>
        <v>1.2535408213499723E-2</v>
      </c>
      <c r="AB8" s="7">
        <f>$B8 * IFERROR(VLOOKUP("buildings|NOx|Asthma symptoms wheeze", US_national_yearly!$D:$AM, 36, FALSE) / VLOOKUP("buildings|NOx|Asthma symptoms wheeze", US_national_yearly!$D:$AM, 10, FALSE), 1)</f>
        <v>1.2592444021647095E-2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1.5427187524271041E-4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1.581262578444581E-4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1.619806404462058E-4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1.6583502304795349E-4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1.6968940564970122E-4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1.7337431270499792E-4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1.7705921976029457E-4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1.8018946148638074E-4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1.8331970321246695E-4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1.8644994493855312E-4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1.8958018666463932E-4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1.927104283907255E-4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1.9480297776137552E-4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1.9689552713202555E-4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1.9898807650267557E-4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2.0108062587332562E-4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2.031731752439756E-4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2.0429513684645917E-4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2.0541709844894271E-4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2.0653906005142626E-4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2.0766102165390983E-4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2.0878298325639335E-4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2.0955101891257912E-4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2.1031905456876489E-4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2.1108709022495071E-4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2.1185512588113646E-4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2.1262316153732226E-4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7.8257668347987068E-4</v>
      </c>
      <c r="C13" s="7">
        <f>$B13 * IFERROR(VLOOKUP("buildings|NOx|Non-fatal heart attacks", US_national_yearly!$D:$AM, 11, FALSE) / VLOOKUP("buildings|NOx|Non-fatal heart attacks", US_national_yearly!$D:$AM, 10, FALSE), 1)</f>
        <v>8.0496460682755796E-4</v>
      </c>
      <c r="D13" s="7">
        <f>$B13 * IFERROR(VLOOKUP("buildings|NOx|Non-fatal heart attacks", US_national_yearly!$D:$AM, 12, FALSE) / VLOOKUP("buildings|NOx|Non-fatal heart attacks", US_national_yearly!$D:$AM, 10, FALSE), 1)</f>
        <v>8.2735253017524545E-4</v>
      </c>
      <c r="E13" s="7">
        <f>$B13 * IFERROR(VLOOKUP("buildings|NOx|Non-fatal heart attacks", US_national_yearly!$D:$AM, 13, FALSE) / VLOOKUP("buildings|NOx|Non-fatal heart attacks", US_national_yearly!$D:$AM, 10, FALSE), 1)</f>
        <v>8.4974045352293273E-4</v>
      </c>
      <c r="F13" s="7">
        <f>$B13 * IFERROR(VLOOKUP("buildings|NOx|Non-fatal heart attacks", US_national_yearly!$D:$AM, 14, FALSE) / VLOOKUP("buildings|NOx|Non-fatal heart attacks", US_national_yearly!$D:$AM, 10, FALSE), 1)</f>
        <v>8.7212837687062001E-4</v>
      </c>
      <c r="G13" s="7">
        <f>$B13 * IFERROR(VLOOKUP("buildings|NOx|Non-fatal heart attacks", US_national_yearly!$D:$AM, 15, FALSE) / VLOOKUP("buildings|NOx|Non-fatal heart attacks", US_national_yearly!$D:$AM, 10, FALSE), 1)</f>
        <v>8.9305429352327763E-4</v>
      </c>
      <c r="H13" s="7">
        <f>$B13 * IFERROR(VLOOKUP("buildings|NOx|Non-fatal heart attacks", US_national_yearly!$D:$AM, 16, FALSE) / VLOOKUP("buildings|NOx|Non-fatal heart attacks", US_national_yearly!$D:$AM, 10, FALSE), 1)</f>
        <v>9.1398021017593547E-4</v>
      </c>
      <c r="I13" s="7">
        <f>$B13 * IFERROR(VLOOKUP("buildings|NOx|Non-fatal heart attacks", US_national_yearly!$D:$AM, 17, FALSE) / VLOOKUP("buildings|NOx|Non-fatal heart attacks", US_national_yearly!$D:$AM, 10, FALSE), 1)</f>
        <v>9.3048925416479246E-4</v>
      </c>
      <c r="J13" s="7">
        <f>$B13 * IFERROR(VLOOKUP("buildings|NOx|Non-fatal heart attacks", US_national_yearly!$D:$AM, 18, FALSE) / VLOOKUP("buildings|NOx|Non-fatal heart attacks", US_national_yearly!$D:$AM, 10, FALSE), 1)</f>
        <v>9.4699829815364945E-4</v>
      </c>
      <c r="K13" s="7">
        <f>$B13 * IFERROR(VLOOKUP("buildings|NOx|Non-fatal heart attacks", US_national_yearly!$D:$AM, 19, FALSE) / VLOOKUP("buildings|NOx|Non-fatal heart attacks", US_national_yearly!$D:$AM, 10, FALSE), 1)</f>
        <v>9.6350734214250677E-4</v>
      </c>
      <c r="L13" s="7">
        <f>$B13 * IFERROR(VLOOKUP("buildings|NOx|Non-fatal heart attacks", US_national_yearly!$D:$AM, 20, FALSE) / VLOOKUP("buildings|NOx|Non-fatal heart attacks", US_national_yearly!$D:$AM, 10, FALSE), 1)</f>
        <v>9.8001638613136322E-4</v>
      </c>
      <c r="M13" s="7">
        <f>$B13 * IFERROR(VLOOKUP("buildings|NOx|Non-fatal heart attacks", US_national_yearly!$D:$AM, 21, FALSE) / VLOOKUP("buildings|NOx|Non-fatal heart attacks", US_national_yearly!$D:$AM, 10, FALSE), 1)</f>
        <v>9.9652543012022053E-4</v>
      </c>
      <c r="N13" s="7">
        <f>$B13 * IFERROR(VLOOKUP("buildings|NOx|Non-fatal heart attacks", US_national_yearly!$D:$AM, 22, FALSE) / VLOOKUP("buildings|NOx|Non-fatal heart attacks", US_national_yearly!$D:$AM, 10, FALSE), 1)</f>
        <v>1.0064610732483559E-3</v>
      </c>
      <c r="O13" s="7">
        <f>$B13 * IFERROR(VLOOKUP("buildings|NOx|Non-fatal heart attacks", US_national_yearly!$D:$AM, 23, FALSE) / VLOOKUP("buildings|NOx|Non-fatal heart attacks", US_national_yearly!$D:$AM, 10, FALSE), 1)</f>
        <v>1.0163967163764908E-3</v>
      </c>
      <c r="P13" s="7">
        <f>$B13 * IFERROR(VLOOKUP("buildings|NOx|Non-fatal heart attacks", US_national_yearly!$D:$AM, 24, FALSE) / VLOOKUP("buildings|NOx|Non-fatal heart attacks", US_national_yearly!$D:$AM, 10, FALSE), 1)</f>
        <v>1.0263323595046262E-3</v>
      </c>
      <c r="Q13" s="7">
        <f>$B13 * IFERROR(VLOOKUP("buildings|NOx|Non-fatal heart attacks", US_national_yearly!$D:$AM, 25, FALSE) / VLOOKUP("buildings|NOx|Non-fatal heart attacks", US_national_yearly!$D:$AM, 10, FALSE), 1)</f>
        <v>1.0362680026327613E-3</v>
      </c>
      <c r="R13" s="7">
        <f>$B13 * IFERROR(VLOOKUP("buildings|NOx|Non-fatal heart attacks", US_national_yearly!$D:$AM, 26, FALSE) / VLOOKUP("buildings|NOx|Non-fatal heart attacks", US_national_yearly!$D:$AM, 10, FALSE), 1)</f>
        <v>1.0462036457608965E-3</v>
      </c>
      <c r="S13" s="7">
        <f>$B13 * IFERROR(VLOOKUP("buildings|NOx|Non-fatal heart attacks", US_national_yearly!$D:$AM, 27, FALSE) / VLOOKUP("buildings|NOx|Non-fatal heart attacks", US_national_yearly!$D:$AM, 10, FALSE), 1)</f>
        <v>1.0507187917751346E-3</v>
      </c>
      <c r="T13" s="7">
        <f>$B13 * IFERROR(VLOOKUP("buildings|NOx|Non-fatal heart attacks", US_national_yearly!$D:$AM, 28, FALSE) / VLOOKUP("buildings|NOx|Non-fatal heart attacks", US_national_yearly!$D:$AM, 10, FALSE), 1)</f>
        <v>1.0552339377893729E-3</v>
      </c>
      <c r="U13" s="7">
        <f>$B13 * IFERROR(VLOOKUP("buildings|NOx|Non-fatal heart attacks", US_national_yearly!$D:$AM, 29, FALSE) / VLOOKUP("buildings|NOx|Non-fatal heart attacks", US_national_yearly!$D:$AM, 10, FALSE), 1)</f>
        <v>1.059749083803611E-3</v>
      </c>
      <c r="V13" s="7">
        <f>$B13 * IFERROR(VLOOKUP("buildings|NOx|Non-fatal heart attacks", US_national_yearly!$D:$AM, 30, FALSE) / VLOOKUP("buildings|NOx|Non-fatal heart attacks", US_national_yearly!$D:$AM, 10, FALSE), 1)</f>
        <v>1.0642642298178489E-3</v>
      </c>
      <c r="W13" s="7">
        <f>$B13 * IFERROR(VLOOKUP("buildings|NOx|Non-fatal heart attacks", US_national_yearly!$D:$AM, 31, FALSE) / VLOOKUP("buildings|NOx|Non-fatal heart attacks", US_national_yearly!$D:$AM, 10, FALSE), 1)</f>
        <v>1.0687793758320872E-3</v>
      </c>
      <c r="X13" s="7">
        <f>$B13 * IFERROR(VLOOKUP("buildings|NOx|Non-fatal heart attacks", US_national_yearly!$D:$AM, 32, FALSE) / VLOOKUP("buildings|NOx|Non-fatal heart attacks", US_national_yearly!$D:$AM, 10, FALSE), 1)</f>
        <v>1.0717996408405057E-3</v>
      </c>
      <c r="Y13" s="7">
        <f>$B13 * IFERROR(VLOOKUP("buildings|NOx|Non-fatal heart attacks", US_national_yearly!$D:$AM, 33, FALSE) / VLOOKUP("buildings|NOx|Non-fatal heart attacks", US_national_yearly!$D:$AM, 10, FALSE), 1)</f>
        <v>1.0748199058489239E-3</v>
      </c>
      <c r="Z13" s="7">
        <f>$B13 * IFERROR(VLOOKUP("buildings|NOx|Non-fatal heart attacks", US_national_yearly!$D:$AM, 34, FALSE) / VLOOKUP("buildings|NOx|Non-fatal heart attacks", US_national_yearly!$D:$AM, 10, FALSE), 1)</f>
        <v>1.0778401708573426E-3</v>
      </c>
      <c r="AA13" s="7">
        <f>$B13 * IFERROR(VLOOKUP("buildings|NOx|Non-fatal heart attacks", US_national_yearly!$D:$AM, 35, FALSE) / VLOOKUP("buildings|NOx|Non-fatal heart attacks", US_national_yearly!$D:$AM, 10, FALSE), 1)</f>
        <v>1.0808604358657611E-3</v>
      </c>
      <c r="AB13" s="7">
        <f>$B13 * IFERROR(VLOOKUP("buildings|NOx|Non-fatal heart attacks", US_national_yearly!$D:$AM, 36, FALSE) / VLOOKUP("buildings|NOx|Non-fatal heart attacks", US_national_yearly!$D:$AM, 10, FALSE), 1)</f>
        <v>1.0838807008741794E-3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0.67208119910160391</v>
      </c>
      <c r="C14" s="7">
        <f>$B14 * IFERROR(VLOOKUP("buildings|NOx|Minor restricted activity days", US_national_yearly!$D:$AM, 11, FALSE) / VLOOKUP("buildings|NOx|Minor restricted activity days", US_national_yearly!$D:$AM, 10, FALSE), 1)</f>
        <v>0.67312411018017226</v>
      </c>
      <c r="D14" s="7">
        <f>$B14 * IFERROR(VLOOKUP("buildings|NOx|Minor restricted activity days", US_national_yearly!$D:$AM, 12, FALSE) / VLOOKUP("buildings|NOx|Minor restricted activity days", US_national_yearly!$D:$AM, 10, FALSE), 1)</f>
        <v>0.67416702125874073</v>
      </c>
      <c r="E14" s="7">
        <f>$B14 * IFERROR(VLOOKUP("buildings|NOx|Minor restricted activity days", US_national_yearly!$D:$AM, 13, FALSE) / VLOOKUP("buildings|NOx|Minor restricted activity days", US_national_yearly!$D:$AM, 10, FALSE), 1)</f>
        <v>0.67520993233730908</v>
      </c>
      <c r="F14" s="7">
        <f>$B14 * IFERROR(VLOOKUP("buildings|NOx|Minor restricted activity days", US_national_yearly!$D:$AM, 14, FALSE) / VLOOKUP("buildings|NOx|Minor restricted activity days", US_national_yearly!$D:$AM, 10, FALSE), 1)</f>
        <v>0.67625284341587755</v>
      </c>
      <c r="G14" s="7">
        <f>$B14 * IFERROR(VLOOKUP("buildings|NOx|Minor restricted activity days", US_national_yearly!$D:$AM, 15, FALSE) / VLOOKUP("buildings|NOx|Minor restricted activity days", US_national_yearly!$D:$AM, 10, FALSE), 1)</f>
        <v>0.67812643497830771</v>
      </c>
      <c r="H14" s="7">
        <f>$B14 * IFERROR(VLOOKUP("buildings|NOx|Minor restricted activity days", US_national_yearly!$D:$AM, 16, FALSE) / VLOOKUP("buildings|NOx|Minor restricted activity days", US_national_yearly!$D:$AM, 10, FALSE), 1)</f>
        <v>0.68000002654073799</v>
      </c>
      <c r="I14" s="7">
        <f>$B14 * IFERROR(VLOOKUP("buildings|NOx|Minor restricted activity days", US_national_yearly!$D:$AM, 17, FALSE) / VLOOKUP("buildings|NOx|Minor restricted activity days", US_national_yearly!$D:$AM, 10, FALSE), 1)</f>
        <v>0.68365299554910575</v>
      </c>
      <c r="J14" s="7">
        <f>$B14 * IFERROR(VLOOKUP("buildings|NOx|Minor restricted activity days", US_national_yearly!$D:$AM, 18, FALSE) / VLOOKUP("buildings|NOx|Minor restricted activity days", US_national_yearly!$D:$AM, 10, FALSE), 1)</f>
        <v>0.68730596455747361</v>
      </c>
      <c r="K14" s="7">
        <f>$B14 * IFERROR(VLOOKUP("buildings|NOx|Minor restricted activity days", US_national_yearly!$D:$AM, 19, FALSE) / VLOOKUP("buildings|NOx|Minor restricted activity days", US_national_yearly!$D:$AM, 10, FALSE), 1)</f>
        <v>0.69095893356584148</v>
      </c>
      <c r="L14" s="7">
        <f>$B14 * IFERROR(VLOOKUP("buildings|NOx|Minor restricted activity days", US_national_yearly!$D:$AM, 20, FALSE) / VLOOKUP("buildings|NOx|Minor restricted activity days", US_national_yearly!$D:$AM, 10, FALSE), 1)</f>
        <v>0.69461190257420935</v>
      </c>
      <c r="M14" s="7">
        <f>$B14 * IFERROR(VLOOKUP("buildings|NOx|Minor restricted activity days", US_national_yearly!$D:$AM, 21, FALSE) / VLOOKUP("buildings|NOx|Minor restricted activity days", US_national_yearly!$D:$AM, 10, FALSE), 1)</f>
        <v>0.69826487158257722</v>
      </c>
      <c r="N14" s="7">
        <f>$B14 * IFERROR(VLOOKUP("buildings|NOx|Minor restricted activity days", US_national_yearly!$D:$AM, 22, FALSE) / VLOOKUP("buildings|NOx|Minor restricted activity days", US_national_yearly!$D:$AM, 10, FALSE), 1)</f>
        <v>0.70349083931099399</v>
      </c>
      <c r="O14" s="7">
        <f>$B14 * IFERROR(VLOOKUP("buildings|NOx|Minor restricted activity days", US_national_yearly!$D:$AM, 23, FALSE) / VLOOKUP("buildings|NOx|Minor restricted activity days", US_national_yearly!$D:$AM, 10, FALSE), 1)</f>
        <v>0.70871680703941065</v>
      </c>
      <c r="P14" s="7">
        <f>$B14 * IFERROR(VLOOKUP("buildings|NOx|Minor restricted activity days", US_national_yearly!$D:$AM, 24, FALSE) / VLOOKUP("buildings|NOx|Minor restricted activity days", US_national_yearly!$D:$AM, 10, FALSE), 1)</f>
        <v>0.71394277476782753</v>
      </c>
      <c r="Q14" s="7">
        <f>$B14 * IFERROR(VLOOKUP("buildings|NOx|Minor restricted activity days", US_national_yearly!$D:$AM, 25, FALSE) / VLOOKUP("buildings|NOx|Minor restricted activity days", US_national_yearly!$D:$AM, 10, FALSE), 1)</f>
        <v>0.71916874249624418</v>
      </c>
      <c r="R14" s="7">
        <f>$B14 * IFERROR(VLOOKUP("buildings|NOx|Minor restricted activity days", US_national_yearly!$D:$AM, 26, FALSE) / VLOOKUP("buildings|NOx|Minor restricted activity days", US_national_yearly!$D:$AM, 10, FALSE), 1)</f>
        <v>0.72439471022466084</v>
      </c>
      <c r="S14" s="7">
        <f>$B14 * IFERROR(VLOOKUP("buildings|NOx|Minor restricted activity days", US_national_yearly!$D:$AM, 27, FALSE) / VLOOKUP("buildings|NOx|Minor restricted activity days", US_national_yearly!$D:$AM, 10, FALSE), 1)</f>
        <v>0.72961917353886052</v>
      </c>
      <c r="T14" s="7">
        <f>$B14 * IFERROR(VLOOKUP("buildings|NOx|Minor restricted activity days", US_national_yearly!$D:$AM, 28, FALSE) / VLOOKUP("buildings|NOx|Minor restricted activity days", US_national_yearly!$D:$AM, 10, FALSE), 1)</f>
        <v>0.7348436368530602</v>
      </c>
      <c r="U14" s="7">
        <f>$B14 * IFERROR(VLOOKUP("buildings|NOx|Minor restricted activity days", US_national_yearly!$D:$AM, 29, FALSE) / VLOOKUP("buildings|NOx|Minor restricted activity days", US_national_yearly!$D:$AM, 10, FALSE), 1)</f>
        <v>0.74006810016725999</v>
      </c>
      <c r="V14" s="7">
        <f>$B14 * IFERROR(VLOOKUP("buildings|NOx|Minor restricted activity days", US_national_yearly!$D:$AM, 30, FALSE) / VLOOKUP("buildings|NOx|Minor restricted activity days", US_national_yearly!$D:$AM, 10, FALSE), 1)</f>
        <v>0.74529256348145967</v>
      </c>
      <c r="W14" s="7">
        <f>$B14 * IFERROR(VLOOKUP("buildings|NOx|Minor restricted activity days", US_national_yearly!$D:$AM, 31, FALSE) / VLOOKUP("buildings|NOx|Minor restricted activity days", US_national_yearly!$D:$AM, 10, FALSE), 1)</f>
        <v>0.75051702679565935</v>
      </c>
      <c r="X14" s="7">
        <f>$B14 * IFERROR(VLOOKUP("buildings|NOx|Minor restricted activity days", US_national_yearly!$D:$AM, 32, FALSE) / VLOOKUP("buildings|NOx|Minor restricted activity days", US_national_yearly!$D:$AM, 10, FALSE), 1)</f>
        <v>0.75493557002515332</v>
      </c>
      <c r="Y14" s="7">
        <f>$B14 * IFERROR(VLOOKUP("buildings|NOx|Minor restricted activity days", US_national_yearly!$D:$AM, 33, FALSE) / VLOOKUP("buildings|NOx|Minor restricted activity days", US_national_yearly!$D:$AM, 10, FALSE), 1)</f>
        <v>0.75935411325464741</v>
      </c>
      <c r="Z14" s="7">
        <f>$B14 * IFERROR(VLOOKUP("buildings|NOx|Minor restricted activity days", US_national_yearly!$D:$AM, 34, FALSE) / VLOOKUP("buildings|NOx|Minor restricted activity days", US_national_yearly!$D:$AM, 10, FALSE), 1)</f>
        <v>0.76377265648414117</v>
      </c>
      <c r="AA14" s="7">
        <f>$B14 * IFERROR(VLOOKUP("buildings|NOx|Minor restricted activity days", US_national_yearly!$D:$AM, 35, FALSE) / VLOOKUP("buildings|NOx|Minor restricted activity days", US_national_yearly!$D:$AM, 10, FALSE), 1)</f>
        <v>0.76819119971363525</v>
      </c>
      <c r="AB14" s="7">
        <f>$B14 * IFERROR(VLOOKUP("buildings|NOx|Minor restricted activity days", US_national_yearly!$D:$AM, 36, FALSE) / VLOOKUP("buildings|NOx|Minor restricted activity days", US_national_yearly!$D:$AM, 10, FALSE), 1)</f>
        <v>0.77260974294312912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0.11446949496272787</v>
      </c>
      <c r="C15" s="7">
        <f>$B15 * IFERROR(VLOOKUP("buildings|NOx|Work loss days", US_national_yearly!$D:$AM, 11, FALSE) / VLOOKUP("buildings|NOx|Work loss days", US_national_yearly!$D:$AM, 10, FALSE), 1)</f>
        <v>0.11472610524304999</v>
      </c>
      <c r="D15" s="7">
        <f>$B15 * IFERROR(VLOOKUP("buildings|NOx|Work loss days", US_national_yearly!$D:$AM, 12, FALSE) / VLOOKUP("buildings|NOx|Work loss days", US_national_yearly!$D:$AM, 10, FALSE), 1)</f>
        <v>0.11498271552337208</v>
      </c>
      <c r="E15" s="7">
        <f>$B15 * IFERROR(VLOOKUP("buildings|NOx|Work loss days", US_national_yearly!$D:$AM, 13, FALSE) / VLOOKUP("buildings|NOx|Work loss days", US_national_yearly!$D:$AM, 10, FALSE), 1)</f>
        <v>0.11523932580369418</v>
      </c>
      <c r="F15" s="7">
        <f>$B15 * IFERROR(VLOOKUP("buildings|NOx|Work loss days", US_national_yearly!$D:$AM, 14, FALSE) / VLOOKUP("buildings|NOx|Work loss days", US_national_yearly!$D:$AM, 10, FALSE), 1)</f>
        <v>0.1154959360840163</v>
      </c>
      <c r="G15" s="7">
        <f>$B15 * IFERROR(VLOOKUP("buildings|NOx|Work loss days", US_national_yearly!$D:$AM, 15, FALSE) / VLOOKUP("buildings|NOx|Work loss days", US_national_yearly!$D:$AM, 10, FALSE), 1)</f>
        <v>0.11586971772718958</v>
      </c>
      <c r="H15" s="7">
        <f>$B15 * IFERROR(VLOOKUP("buildings|NOx|Work loss days", US_national_yearly!$D:$AM, 16, FALSE) / VLOOKUP("buildings|NOx|Work loss days", US_national_yearly!$D:$AM, 10, FALSE), 1)</f>
        <v>0.11624349937036288</v>
      </c>
      <c r="I15" s="7">
        <f>$B15 * IFERROR(VLOOKUP("buildings|NOx|Work loss days", US_national_yearly!$D:$AM, 17, FALSE) / VLOOKUP("buildings|NOx|Work loss days", US_national_yearly!$D:$AM, 10, FALSE), 1)</f>
        <v>0.11684801695188669</v>
      </c>
      <c r="J15" s="7">
        <f>$B15 * IFERROR(VLOOKUP("buildings|NOx|Work loss days", US_national_yearly!$D:$AM, 18, FALSE) / VLOOKUP("buildings|NOx|Work loss days", US_national_yearly!$D:$AM, 10, FALSE), 1)</f>
        <v>0.11745253453341048</v>
      </c>
      <c r="K15" s="7">
        <f>$B15 * IFERROR(VLOOKUP("buildings|NOx|Work loss days", US_national_yearly!$D:$AM, 19, FALSE) / VLOOKUP("buildings|NOx|Work loss days", US_national_yearly!$D:$AM, 10, FALSE), 1)</f>
        <v>0.11805705211493429</v>
      </c>
      <c r="L15" s="7">
        <f>$B15 * IFERROR(VLOOKUP("buildings|NOx|Work loss days", US_national_yearly!$D:$AM, 20, FALSE) / VLOOKUP("buildings|NOx|Work loss days", US_national_yearly!$D:$AM, 10, FALSE), 1)</f>
        <v>0.11866156969645811</v>
      </c>
      <c r="M15" s="7">
        <f>$B15 * IFERROR(VLOOKUP("buildings|NOx|Work loss days", US_national_yearly!$D:$AM, 21, FALSE) / VLOOKUP("buildings|NOx|Work loss days", US_national_yearly!$D:$AM, 10, FALSE), 1)</f>
        <v>0.11926608727798189</v>
      </c>
      <c r="N15" s="7">
        <f>$B15 * IFERROR(VLOOKUP("buildings|NOx|Work loss days", US_national_yearly!$D:$AM, 22, FALSE) / VLOOKUP("buildings|NOx|Work loss days", US_national_yearly!$D:$AM, 10, FALSE), 1)</f>
        <v>0.12005256564868634</v>
      </c>
      <c r="O15" s="7">
        <f>$B15 * IFERROR(VLOOKUP("buildings|NOx|Work loss days", US_national_yearly!$D:$AM, 23, FALSE) / VLOOKUP("buildings|NOx|Work loss days", US_national_yearly!$D:$AM, 10, FALSE), 1)</f>
        <v>0.1208390440193908</v>
      </c>
      <c r="P15" s="7">
        <f>$B15 * IFERROR(VLOOKUP("buildings|NOx|Work loss days", US_national_yearly!$D:$AM, 24, FALSE) / VLOOKUP("buildings|NOx|Work loss days", US_national_yearly!$D:$AM, 10, FALSE), 1)</f>
        <v>0.12162552239009525</v>
      </c>
      <c r="Q15" s="7">
        <f>$B15 * IFERROR(VLOOKUP("buildings|NOx|Work loss days", US_national_yearly!$D:$AM, 25, FALSE) / VLOOKUP("buildings|NOx|Work loss days", US_national_yearly!$D:$AM, 10, FALSE), 1)</f>
        <v>0.12241200076079972</v>
      </c>
      <c r="R15" s="7">
        <f>$B15 * IFERROR(VLOOKUP("buildings|NOx|Work loss days", US_national_yearly!$D:$AM, 26, FALSE) / VLOOKUP("buildings|NOx|Work loss days", US_national_yearly!$D:$AM, 10, FALSE), 1)</f>
        <v>0.12319847913150418</v>
      </c>
      <c r="S15" s="7">
        <f>$B15 * IFERROR(VLOOKUP("buildings|NOx|Work loss days", US_national_yearly!$D:$AM, 27, FALSE) / VLOOKUP("buildings|NOx|Work loss days", US_national_yearly!$D:$AM, 10, FALSE), 1)</f>
        <v>0.12407487144636219</v>
      </c>
      <c r="T15" s="7">
        <f>$B15 * IFERROR(VLOOKUP("buildings|NOx|Work loss days", US_national_yearly!$D:$AM, 28, FALSE) / VLOOKUP("buildings|NOx|Work loss days", US_national_yearly!$D:$AM, 10, FALSE), 1)</f>
        <v>0.12495126376122022</v>
      </c>
      <c r="U15" s="7">
        <f>$B15 * IFERROR(VLOOKUP("buildings|NOx|Work loss days", US_national_yearly!$D:$AM, 29, FALSE) / VLOOKUP("buildings|NOx|Work loss days", US_national_yearly!$D:$AM, 10, FALSE), 1)</f>
        <v>0.12582765607607824</v>
      </c>
      <c r="V15" s="7">
        <f>$B15 * IFERROR(VLOOKUP("buildings|NOx|Work loss days", US_national_yearly!$D:$AM, 30, FALSE) / VLOOKUP("buildings|NOx|Work loss days", US_national_yearly!$D:$AM, 10, FALSE), 1)</f>
        <v>0.12670404839093624</v>
      </c>
      <c r="W15" s="7">
        <f>$B15 * IFERROR(VLOOKUP("buildings|NOx|Work loss days", US_national_yearly!$D:$AM, 31, FALSE) / VLOOKUP("buildings|NOx|Work loss days", US_national_yearly!$D:$AM, 10, FALSE), 1)</f>
        <v>0.12758044070579425</v>
      </c>
      <c r="X15" s="7">
        <f>$B15 * IFERROR(VLOOKUP("buildings|NOx|Work loss days", US_national_yearly!$D:$AM, 32, FALSE) / VLOOKUP("buildings|NOx|Work loss days", US_national_yearly!$D:$AM, 10, FALSE), 1)</f>
        <v>0.12834133234607178</v>
      </c>
      <c r="Y15" s="7">
        <f>$B15 * IFERROR(VLOOKUP("buildings|NOx|Work loss days", US_national_yearly!$D:$AM, 33, FALSE) / VLOOKUP("buildings|NOx|Work loss days", US_national_yearly!$D:$AM, 10, FALSE), 1)</f>
        <v>0.1291022239863493</v>
      </c>
      <c r="Z15" s="7">
        <f>$B15 * IFERROR(VLOOKUP("buildings|NOx|Work loss days", US_national_yearly!$D:$AM, 34, FALSE) / VLOOKUP("buildings|NOx|Work loss days", US_national_yearly!$D:$AM, 10, FALSE), 1)</f>
        <v>0.12986311562662683</v>
      </c>
      <c r="AA15" s="7">
        <f>$B15 * IFERROR(VLOOKUP("buildings|NOx|Work loss days", US_national_yearly!$D:$AM, 35, FALSE) / VLOOKUP("buildings|NOx|Work loss days", US_national_yearly!$D:$AM, 10, FALSE), 1)</f>
        <v>0.13062400726690437</v>
      </c>
      <c r="AB15" s="7">
        <f>$B15 * IFERROR(VLOOKUP("buildings|NOx|Work loss days", US_national_yearly!$D:$AM, 36, FALSE) / VLOOKUP("buildings|NOx|Work loss days", US_national_yearly!$D:$AM, 10, FALSE), 1)</f>
        <v>0.13138489890718191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1.9125805748706372E-4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1.9688106137222253E-4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2.0250406525738142E-4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2.0812706914254023E-4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2.1375007302769903E-4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2.1909182444965726E-4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2.2443357587161546E-4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2.2892813230111843E-4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2.3342268873062134E-4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2.3791724516012425E-4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2.4241180158962716E-4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2.4690635801913005E-4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2.4971785659646183E-4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2.5252935517379357E-4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2.5534085375112536E-4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2.5815235232845714E-4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2.6096385090578888E-4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2.6224850460121799E-4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2.6353315829664704E-4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2.648178119920761E-4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2.6610246568750515E-4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2.6738711938293426E-4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2.6810317238183451E-4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2.688192253807348E-4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2.6953527837963504E-4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2.7025133137853534E-4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2.7096738437743558E-4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5.7738373855509163E-3</v>
      </c>
      <c r="C2" s="7">
        <f>$B2 * IFERROR(VLOOKUP("buildings|SO2|Premature mortality", US_national_yearly!$D:$AM, 11, FALSE) / VLOOKUP("buildings|SO2|Premature mortality", US_national_yearly!$D:$AM, 10, FALSE), 1)</f>
        <v>5.8469827354168539E-3</v>
      </c>
      <c r="D2" s="7">
        <f>$B2 * IFERROR(VLOOKUP("buildings|SO2|Premature mortality", US_national_yearly!$D:$AM, 12, FALSE) / VLOOKUP("buildings|SO2|Premature mortality", US_national_yearly!$D:$AM, 10, FALSE), 1)</f>
        <v>5.9201280852827906E-3</v>
      </c>
      <c r="E2" s="7">
        <f>$B2 * IFERROR(VLOOKUP("buildings|SO2|Premature mortality", US_national_yearly!$D:$AM, 13, FALSE) / VLOOKUP("buildings|SO2|Premature mortality", US_national_yearly!$D:$AM, 10, FALSE), 1)</f>
        <v>5.9932734351487282E-3</v>
      </c>
      <c r="F2" s="7">
        <f>$B2 * IFERROR(VLOOKUP("buildings|SO2|Premature mortality", US_national_yearly!$D:$AM, 14, FALSE) / VLOOKUP("buildings|SO2|Premature mortality", US_national_yearly!$D:$AM, 10, FALSE), 1)</f>
        <v>6.0664187850146658E-3</v>
      </c>
      <c r="G2" s="7">
        <f>$B2 * IFERROR(VLOOKUP("buildings|SO2|Premature mortality", US_national_yearly!$D:$AM, 15, FALSE) / VLOOKUP("buildings|SO2|Premature mortality", US_national_yearly!$D:$AM, 10, FALSE), 1)</f>
        <v>6.2073550324917301E-3</v>
      </c>
      <c r="H2" s="7">
        <f>$B2 * IFERROR(VLOOKUP("buildings|SO2|Premature mortality", US_national_yearly!$D:$AM, 16, FALSE) / VLOOKUP("buildings|SO2|Premature mortality", US_national_yearly!$D:$AM, 10, FALSE), 1)</f>
        <v>6.3482912799687962E-3</v>
      </c>
      <c r="I2" s="7">
        <f>$B2 * IFERROR(VLOOKUP("buildings|SO2|Premature mortality", US_national_yearly!$D:$AM, 17, FALSE) / VLOOKUP("buildings|SO2|Premature mortality", US_national_yearly!$D:$AM, 10, FALSE), 1)</f>
        <v>6.4414775172863675E-3</v>
      </c>
      <c r="J2" s="7">
        <f>$B2 * IFERROR(VLOOKUP("buildings|SO2|Premature mortality", US_national_yearly!$D:$AM, 18, FALSE) / VLOOKUP("buildings|SO2|Premature mortality", US_national_yearly!$D:$AM, 10, FALSE), 1)</f>
        <v>6.5346637546039371E-3</v>
      </c>
      <c r="K2" s="7">
        <f>$B2 * IFERROR(VLOOKUP("buildings|SO2|Premature mortality", US_national_yearly!$D:$AM, 19, FALSE) / VLOOKUP("buildings|SO2|Premature mortality", US_national_yearly!$D:$AM, 10, FALSE), 1)</f>
        <v>6.6278499919215084E-3</v>
      </c>
      <c r="L2" s="7">
        <f>$B2 * IFERROR(VLOOKUP("buildings|SO2|Premature mortality", US_national_yearly!$D:$AM, 20, FALSE) / VLOOKUP("buildings|SO2|Premature mortality", US_national_yearly!$D:$AM, 10, FALSE), 1)</f>
        <v>6.7210362292390788E-3</v>
      </c>
      <c r="M2" s="7">
        <f>$B2 * IFERROR(VLOOKUP("buildings|SO2|Premature mortality", US_national_yearly!$D:$AM, 21, FALSE) / VLOOKUP("buildings|SO2|Premature mortality", US_national_yearly!$D:$AM, 10, FALSE), 1)</f>
        <v>6.8142224665566501E-3</v>
      </c>
      <c r="N2" s="7">
        <f>$B2 * IFERROR(VLOOKUP("buildings|SO2|Premature mortality", US_national_yearly!$D:$AM, 22, FALSE) / VLOOKUP("buildings|SO2|Premature mortality", US_national_yearly!$D:$AM, 10, FALSE), 1)</f>
        <v>6.8870162819151615E-3</v>
      </c>
      <c r="O2" s="7">
        <f>$B2 * IFERROR(VLOOKUP("buildings|SO2|Premature mortality", US_national_yearly!$D:$AM, 23, FALSE) / VLOOKUP("buildings|SO2|Premature mortality", US_national_yearly!$D:$AM, 10, FALSE), 1)</f>
        <v>6.9598100972736686E-3</v>
      </c>
      <c r="P2" s="7">
        <f>$B2 * IFERROR(VLOOKUP("buildings|SO2|Premature mortality", US_national_yearly!$D:$AM, 24, FALSE) / VLOOKUP("buildings|SO2|Premature mortality", US_national_yearly!$D:$AM, 10, FALSE), 1)</f>
        <v>7.0326039126321783E-3</v>
      </c>
      <c r="Q2" s="7">
        <f>$B2 * IFERROR(VLOOKUP("buildings|SO2|Premature mortality", US_national_yearly!$D:$AM, 25, FALSE) / VLOOKUP("buildings|SO2|Premature mortality", US_national_yearly!$D:$AM, 10, FALSE), 1)</f>
        <v>7.1053977279906862E-3</v>
      </c>
      <c r="R2" s="7">
        <f>$B2 * IFERROR(VLOOKUP("buildings|SO2|Premature mortality", US_national_yearly!$D:$AM, 26, FALSE) / VLOOKUP("buildings|SO2|Premature mortality", US_national_yearly!$D:$AM, 10, FALSE), 1)</f>
        <v>7.1781915433491959E-3</v>
      </c>
      <c r="S2" s="7">
        <f>$B2 * IFERROR(VLOOKUP("buildings|SO2|Premature mortality", US_national_yearly!$D:$AM, 27, FALSE) / VLOOKUP("buildings|SO2|Premature mortality", US_national_yearly!$D:$AM, 10, FALSE), 1)</f>
        <v>7.2171516242516267E-3</v>
      </c>
      <c r="T2" s="7">
        <f>$B2 * IFERROR(VLOOKUP("buildings|SO2|Premature mortality", US_national_yearly!$D:$AM, 28, FALSE) / VLOOKUP("buildings|SO2|Premature mortality", US_national_yearly!$D:$AM, 10, FALSE), 1)</f>
        <v>7.2561117051540575E-3</v>
      </c>
      <c r="U2" s="7">
        <f>$B2 * IFERROR(VLOOKUP("buildings|SO2|Premature mortality", US_national_yearly!$D:$AM, 29, FALSE) / VLOOKUP("buildings|SO2|Premature mortality", US_national_yearly!$D:$AM, 10, FALSE), 1)</f>
        <v>7.2950717860564883E-3</v>
      </c>
      <c r="V2" s="7">
        <f>$B2 * IFERROR(VLOOKUP("buildings|SO2|Premature mortality", US_national_yearly!$D:$AM, 30, FALSE) / VLOOKUP("buildings|SO2|Premature mortality", US_national_yearly!$D:$AM, 10, FALSE), 1)</f>
        <v>7.33403186695892E-3</v>
      </c>
      <c r="W2" s="7">
        <f>$B2 * IFERROR(VLOOKUP("buildings|SO2|Premature mortality", US_national_yearly!$D:$AM, 31, FALSE) / VLOOKUP("buildings|SO2|Premature mortality", US_national_yearly!$D:$AM, 10, FALSE), 1)</f>
        <v>7.3729919478613499E-3</v>
      </c>
      <c r="X2" s="7">
        <f>$B2 * IFERROR(VLOOKUP("buildings|SO2|Premature mortality", US_national_yearly!$D:$AM, 32, FALSE) / VLOOKUP("buildings|SO2|Premature mortality", US_national_yearly!$D:$AM, 10, FALSE), 1)</f>
        <v>7.3808644148970473E-3</v>
      </c>
      <c r="Y2" s="7">
        <f>$B2 * IFERROR(VLOOKUP("buildings|SO2|Premature mortality", US_national_yearly!$D:$AM, 33, FALSE) / VLOOKUP("buildings|SO2|Premature mortality", US_national_yearly!$D:$AM, 10, FALSE), 1)</f>
        <v>7.3887368819327446E-3</v>
      </c>
      <c r="Z2" s="7">
        <f>$B2 * IFERROR(VLOOKUP("buildings|SO2|Premature mortality", US_national_yearly!$D:$AM, 34, FALSE) / VLOOKUP("buildings|SO2|Premature mortality", US_national_yearly!$D:$AM, 10, FALSE), 1)</f>
        <v>7.3966093489684403E-3</v>
      </c>
      <c r="AA2" s="7">
        <f>$B2 * IFERROR(VLOOKUP("buildings|SO2|Premature mortality", US_national_yearly!$D:$AM, 35, FALSE) / VLOOKUP("buildings|SO2|Premature mortality", US_national_yearly!$D:$AM, 10, FALSE), 1)</f>
        <v>7.4044818160041376E-3</v>
      </c>
      <c r="AB2" s="7">
        <f>$B2 * IFERROR(VLOOKUP("buildings|SO2|Premature mortality", US_national_yearly!$D:$AM, 36, FALSE) / VLOOKUP("buildings|SO2|Premature mortality", US_national_yearly!$D:$AM, 10, FALSE), 1)</f>
        <v>7.4123542830398341E-3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1.5878047539425277E-5</v>
      </c>
      <c r="C3" s="7">
        <f>$B3 * IFERROR(VLOOKUP("buildings|SO2|Infant mortality", US_national_yearly!$D:$AM, 11, FALSE) / VLOOKUP("buildings|SO2|Infant mortality", US_national_yearly!$D:$AM, 10, FALSE), 1)</f>
        <v>1.5741950328366321E-5</v>
      </c>
      <c r="D3" s="7">
        <f>$B3 * IFERROR(VLOOKUP("buildings|SO2|Infant mortality", US_national_yearly!$D:$AM, 12, FALSE) / VLOOKUP("buildings|SO2|Infant mortality", US_national_yearly!$D:$AM, 10, FALSE), 1)</f>
        <v>1.5605853117307365E-5</v>
      </c>
      <c r="E3" s="7">
        <f>$B3 * IFERROR(VLOOKUP("buildings|SO2|Infant mortality", US_national_yearly!$D:$AM, 13, FALSE) / VLOOKUP("buildings|SO2|Infant mortality", US_national_yearly!$D:$AM, 10, FALSE), 1)</f>
        <v>1.5469755906248413E-5</v>
      </c>
      <c r="F3" s="7">
        <f>$B3 * IFERROR(VLOOKUP("buildings|SO2|Infant mortality", US_national_yearly!$D:$AM, 14, FALSE) / VLOOKUP("buildings|SO2|Infant mortality", US_national_yearly!$D:$AM, 10, FALSE), 1)</f>
        <v>1.5333658695189458E-5</v>
      </c>
      <c r="G3" s="7">
        <f>$B3 * IFERROR(VLOOKUP("buildings|SO2|Infant mortality", US_national_yearly!$D:$AM, 15, FALSE) / VLOOKUP("buildings|SO2|Infant mortality", US_national_yearly!$D:$AM, 10, FALSE), 1)</f>
        <v>1.0211609221374482E-5</v>
      </c>
      <c r="H3" s="7">
        <f>$B3 * IFERROR(VLOOKUP("buildings|SO2|Infant mortality", US_national_yearly!$D:$AM, 16, FALSE) / VLOOKUP("buildings|SO2|Infant mortality", US_national_yearly!$D:$AM, 10, FALSE), 1)</f>
        <v>5.0895597475595052E-6</v>
      </c>
      <c r="I3" s="7">
        <f>$B3 * IFERROR(VLOOKUP("buildings|SO2|Infant mortality", US_national_yearly!$D:$AM, 17, FALSE) / VLOOKUP("buildings|SO2|Infant mortality", US_national_yearly!$D:$AM, 10, FALSE), 1)</f>
        <v>5.0576272876634141E-6</v>
      </c>
      <c r="J3" s="7">
        <f>$B3 * IFERROR(VLOOKUP("buildings|SO2|Infant mortality", US_national_yearly!$D:$AM, 18, FALSE) / VLOOKUP("buildings|SO2|Infant mortality", US_national_yearly!$D:$AM, 10, FALSE), 1)</f>
        <v>5.0256948277673221E-6</v>
      </c>
      <c r="K3" s="7">
        <f>$B3 * IFERROR(VLOOKUP("buildings|SO2|Infant mortality", US_national_yearly!$D:$AM, 19, FALSE) / VLOOKUP("buildings|SO2|Infant mortality", US_national_yearly!$D:$AM, 10, FALSE), 1)</f>
        <v>4.99376236787123E-6</v>
      </c>
      <c r="L3" s="7">
        <f>$B3 * IFERROR(VLOOKUP("buildings|SO2|Infant mortality", US_national_yearly!$D:$AM, 20, FALSE) / VLOOKUP("buildings|SO2|Infant mortality", US_national_yearly!$D:$AM, 10, FALSE), 1)</f>
        <v>4.961829907975138E-6</v>
      </c>
      <c r="M3" s="7">
        <f>$B3 * IFERROR(VLOOKUP("buildings|SO2|Infant mortality", US_national_yearly!$D:$AM, 21, FALSE) / VLOOKUP("buildings|SO2|Infant mortality", US_national_yearly!$D:$AM, 10, FALSE), 1)</f>
        <v>4.929897448079046E-6</v>
      </c>
      <c r="N3" s="7">
        <f>$B3 * IFERROR(VLOOKUP("buildings|SO2|Infant mortality", US_national_yearly!$D:$AM, 22, FALSE) / VLOOKUP("buildings|SO2|Infant mortality", US_national_yearly!$D:$AM, 10, FALSE), 1)</f>
        <v>4.9098791879740364E-6</v>
      </c>
      <c r="O3" s="7">
        <f>$B3 * IFERROR(VLOOKUP("buildings|SO2|Infant mortality", US_national_yearly!$D:$AM, 23, FALSE) / VLOOKUP("buildings|SO2|Infant mortality", US_national_yearly!$D:$AM, 10, FALSE), 1)</f>
        <v>4.889860927869026E-6</v>
      </c>
      <c r="P3" s="7">
        <f>$B3 * IFERROR(VLOOKUP("buildings|SO2|Infant mortality", US_national_yearly!$D:$AM, 24, FALSE) / VLOOKUP("buildings|SO2|Infant mortality", US_national_yearly!$D:$AM, 10, FALSE), 1)</f>
        <v>4.8698426677640155E-6</v>
      </c>
      <c r="Q3" s="7">
        <f>$B3 * IFERROR(VLOOKUP("buildings|SO2|Infant mortality", US_national_yearly!$D:$AM, 25, FALSE) / VLOOKUP("buildings|SO2|Infant mortality", US_national_yearly!$D:$AM, 10, FALSE), 1)</f>
        <v>4.849824407659005E-6</v>
      </c>
      <c r="R3" s="7">
        <f>$B3 * IFERROR(VLOOKUP("buildings|SO2|Infant mortality", US_national_yearly!$D:$AM, 26, FALSE) / VLOOKUP("buildings|SO2|Infant mortality", US_national_yearly!$D:$AM, 10, FALSE), 1)</f>
        <v>4.8298061475539954E-6</v>
      </c>
      <c r="S3" s="7">
        <f>$B3 * IFERROR(VLOOKUP("buildings|SO2|Infant mortality", US_national_yearly!$D:$AM, 27, FALSE) / VLOOKUP("buildings|SO2|Infant mortality", US_national_yearly!$D:$AM, 10, FALSE), 1)</f>
        <v>4.8046695592710778E-6</v>
      </c>
      <c r="T3" s="7">
        <f>$B3 * IFERROR(VLOOKUP("buildings|SO2|Infant mortality", US_national_yearly!$D:$AM, 28, FALSE) / VLOOKUP("buildings|SO2|Infant mortality", US_national_yearly!$D:$AM, 10, FALSE), 1)</f>
        <v>4.7795329709881602E-6</v>
      </c>
      <c r="U3" s="7">
        <f>$B3 * IFERROR(VLOOKUP("buildings|SO2|Infant mortality", US_national_yearly!$D:$AM, 29, FALSE) / VLOOKUP("buildings|SO2|Infant mortality", US_national_yearly!$D:$AM, 10, FALSE), 1)</f>
        <v>4.7543963827052426E-6</v>
      </c>
      <c r="V3" s="7">
        <f>$B3 * IFERROR(VLOOKUP("buildings|SO2|Infant mortality", US_national_yearly!$D:$AM, 30, FALSE) / VLOOKUP("buildings|SO2|Infant mortality", US_national_yearly!$D:$AM, 10, FALSE), 1)</f>
        <v>4.7292597944223249E-6</v>
      </c>
      <c r="W3" s="7">
        <f>$B3 * IFERROR(VLOOKUP("buildings|SO2|Infant mortality", US_national_yearly!$D:$AM, 31, FALSE) / VLOOKUP("buildings|SO2|Infant mortality", US_national_yearly!$D:$AM, 10, FALSE), 1)</f>
        <v>4.7041232061394073E-6</v>
      </c>
      <c r="X3" s="7">
        <f>$B3 * IFERROR(VLOOKUP("buildings|SO2|Infant mortality", US_national_yearly!$D:$AM, 32, FALSE) / VLOOKUP("buildings|SO2|Infant mortality", US_national_yearly!$D:$AM, 10, FALSE), 1)</f>
        <v>4.6766700688023696E-6</v>
      </c>
      <c r="Y3" s="7">
        <f>$B3 * IFERROR(VLOOKUP("buildings|SO2|Infant mortality", US_national_yearly!$D:$AM, 33, FALSE) / VLOOKUP("buildings|SO2|Infant mortality", US_national_yearly!$D:$AM, 10, FALSE), 1)</f>
        <v>4.6492169314653311E-6</v>
      </c>
      <c r="Z3" s="7">
        <f>$B3 * IFERROR(VLOOKUP("buildings|SO2|Infant mortality", US_national_yearly!$D:$AM, 34, FALSE) / VLOOKUP("buildings|SO2|Infant mortality", US_national_yearly!$D:$AM, 10, FALSE), 1)</f>
        <v>4.6217637941282943E-6</v>
      </c>
      <c r="AA3" s="7">
        <f>$B3 * IFERROR(VLOOKUP("buildings|SO2|Infant mortality", US_national_yearly!$D:$AM, 35, FALSE) / VLOOKUP("buildings|SO2|Infant mortality", US_national_yearly!$D:$AM, 10, FALSE), 1)</f>
        <v>4.5943106567912557E-6</v>
      </c>
      <c r="AB3" s="7">
        <f>$B3 * IFERROR(VLOOKUP("buildings|SO2|Infant mortality", US_national_yearly!$D:$AM, 36, FALSE) / VLOOKUP("buildings|SO2|Infant mortality", US_national_yearly!$D:$AM, 10, FALSE), 1)</f>
        <v>4.566857519454218E-6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1.4706161377422703E-2</v>
      </c>
      <c r="C6" s="7">
        <f>$B6 * IFERROR(VLOOKUP("buildings|SO2|Asthma symptoms cough", US_national_yearly!$D:$AM, 11, FALSE) / VLOOKUP("buildings|SO2|Asthma symptoms cough", US_national_yearly!$D:$AM, 10, FALSE), 1)</f>
        <v>1.4706161377422703E-2</v>
      </c>
      <c r="D6" s="7">
        <f>$B6 * IFERROR(VLOOKUP("buildings|SO2|Asthma symptoms cough", US_national_yearly!$D:$AM, 12, FALSE) / VLOOKUP("buildings|SO2|Asthma symptoms cough", US_national_yearly!$D:$AM, 10, FALSE), 1)</f>
        <v>1.4706161377422703E-2</v>
      </c>
      <c r="E6" s="7">
        <f>$B6 * IFERROR(VLOOKUP("buildings|SO2|Asthma symptoms cough", US_national_yearly!$D:$AM, 13, FALSE) / VLOOKUP("buildings|SO2|Asthma symptoms cough", US_national_yearly!$D:$AM, 10, FALSE), 1)</f>
        <v>1.4706161377422703E-2</v>
      </c>
      <c r="F6" s="7">
        <f>$B6 * IFERROR(VLOOKUP("buildings|SO2|Asthma symptoms cough", US_national_yearly!$D:$AM, 14, FALSE) / VLOOKUP("buildings|SO2|Asthma symptoms cough", US_national_yearly!$D:$AM, 10, FALSE), 1)</f>
        <v>1.4706161377422703E-2</v>
      </c>
      <c r="G6" s="7">
        <f>$B6 * IFERROR(VLOOKUP("buildings|SO2|Asthma symptoms cough", US_national_yearly!$D:$AM, 15, FALSE) / VLOOKUP("buildings|SO2|Asthma symptoms cough", US_national_yearly!$D:$AM, 10, FALSE), 1)</f>
        <v>1.4706161377422703E-2</v>
      </c>
      <c r="H6" s="7">
        <f>$B6 * IFERROR(VLOOKUP("buildings|SO2|Asthma symptoms cough", US_national_yearly!$D:$AM, 16, FALSE) / VLOOKUP("buildings|SO2|Asthma symptoms cough", US_national_yearly!$D:$AM, 10, FALSE), 1)</f>
        <v>1.4706161377422703E-2</v>
      </c>
      <c r="I6" s="7">
        <f>$B6 * IFERROR(VLOOKUP("buildings|SO2|Asthma symptoms cough", US_national_yearly!$D:$AM, 17, FALSE) / VLOOKUP("buildings|SO2|Asthma symptoms cough", US_national_yearly!$D:$AM, 10, FALSE), 1)</f>
        <v>1.4706161377422703E-2</v>
      </c>
      <c r="J6" s="7">
        <f>$B6 * IFERROR(VLOOKUP("buildings|SO2|Asthma symptoms cough", US_national_yearly!$D:$AM, 18, FALSE) / VLOOKUP("buildings|SO2|Asthma symptoms cough", US_national_yearly!$D:$AM, 10, FALSE), 1)</f>
        <v>1.4706161377422703E-2</v>
      </c>
      <c r="K6" s="7">
        <f>$B6 * IFERROR(VLOOKUP("buildings|SO2|Asthma symptoms cough", US_national_yearly!$D:$AM, 19, FALSE) / VLOOKUP("buildings|SO2|Asthma symptoms cough", US_national_yearly!$D:$AM, 10, FALSE), 1)</f>
        <v>1.4706161377422703E-2</v>
      </c>
      <c r="L6" s="7">
        <f>$B6 * IFERROR(VLOOKUP("buildings|SO2|Asthma symptoms cough", US_national_yearly!$D:$AM, 20, FALSE) / VLOOKUP("buildings|SO2|Asthma symptoms cough", US_national_yearly!$D:$AM, 10, FALSE), 1)</f>
        <v>1.4706161377422703E-2</v>
      </c>
      <c r="M6" s="7">
        <f>$B6 * IFERROR(VLOOKUP("buildings|SO2|Asthma symptoms cough", US_national_yearly!$D:$AM, 21, FALSE) / VLOOKUP("buildings|SO2|Asthma symptoms cough", US_national_yearly!$D:$AM, 10, FALSE), 1)</f>
        <v>1.4706161377422703E-2</v>
      </c>
      <c r="N6" s="7">
        <f>$B6 * IFERROR(VLOOKUP("buildings|SO2|Asthma symptoms cough", US_national_yearly!$D:$AM, 22, FALSE) / VLOOKUP("buildings|SO2|Asthma symptoms cough", US_national_yearly!$D:$AM, 10, FALSE), 1)</f>
        <v>1.4706161377422703E-2</v>
      </c>
      <c r="O6" s="7">
        <f>$B6 * IFERROR(VLOOKUP("buildings|SO2|Asthma symptoms cough", US_national_yearly!$D:$AM, 23, FALSE) / VLOOKUP("buildings|SO2|Asthma symptoms cough", US_national_yearly!$D:$AM, 10, FALSE), 1)</f>
        <v>1.4706161377422703E-2</v>
      </c>
      <c r="P6" s="7">
        <f>$B6 * IFERROR(VLOOKUP("buildings|SO2|Asthma symptoms cough", US_national_yearly!$D:$AM, 24, FALSE) / VLOOKUP("buildings|SO2|Asthma symptoms cough", US_national_yearly!$D:$AM, 10, FALSE), 1)</f>
        <v>1.4706161377422703E-2</v>
      </c>
      <c r="Q6" s="7">
        <f>$B6 * IFERROR(VLOOKUP("buildings|SO2|Asthma symptoms cough", US_national_yearly!$D:$AM, 25, FALSE) / VLOOKUP("buildings|SO2|Asthma symptoms cough", US_national_yearly!$D:$AM, 10, FALSE), 1)</f>
        <v>1.4706161377422703E-2</v>
      </c>
      <c r="R6" s="7">
        <f>$B6 * IFERROR(VLOOKUP("buildings|SO2|Asthma symptoms cough", US_national_yearly!$D:$AM, 26, FALSE) / VLOOKUP("buildings|SO2|Asthma symptoms cough", US_national_yearly!$D:$AM, 10, FALSE), 1)</f>
        <v>1.4706161377422703E-2</v>
      </c>
      <c r="S6" s="7">
        <f>$B6 * IFERROR(VLOOKUP("buildings|SO2|Asthma symptoms cough", US_national_yearly!$D:$AM, 27, FALSE) / VLOOKUP("buildings|SO2|Asthma symptoms cough", US_national_yearly!$D:$AM, 10, FALSE), 1)</f>
        <v>1.4706161377422703E-2</v>
      </c>
      <c r="T6" s="7">
        <f>$B6 * IFERROR(VLOOKUP("buildings|SO2|Asthma symptoms cough", US_national_yearly!$D:$AM, 28, FALSE) / VLOOKUP("buildings|SO2|Asthma symptoms cough", US_national_yearly!$D:$AM, 10, FALSE), 1)</f>
        <v>1.4706161377422703E-2</v>
      </c>
      <c r="U6" s="7">
        <f>$B6 * IFERROR(VLOOKUP("buildings|SO2|Asthma symptoms cough", US_national_yearly!$D:$AM, 29, FALSE) / VLOOKUP("buildings|SO2|Asthma symptoms cough", US_national_yearly!$D:$AM, 10, FALSE), 1)</f>
        <v>1.4706161377422703E-2</v>
      </c>
      <c r="V6" s="7">
        <f>$B6 * IFERROR(VLOOKUP("buildings|SO2|Asthma symptoms cough", US_national_yearly!$D:$AM, 30, FALSE) / VLOOKUP("buildings|SO2|Asthma symptoms cough", US_national_yearly!$D:$AM, 10, FALSE), 1)</f>
        <v>1.4706161377422703E-2</v>
      </c>
      <c r="W6" s="7">
        <f>$B6 * IFERROR(VLOOKUP("buildings|SO2|Asthma symptoms cough", US_national_yearly!$D:$AM, 31, FALSE) / VLOOKUP("buildings|SO2|Asthma symptoms cough", US_national_yearly!$D:$AM, 10, FALSE), 1)</f>
        <v>1.4706161377422703E-2</v>
      </c>
      <c r="X6" s="7">
        <f>$B6 * IFERROR(VLOOKUP("buildings|SO2|Asthma symptoms cough", US_national_yearly!$D:$AM, 32, FALSE) / VLOOKUP("buildings|SO2|Asthma symptoms cough", US_national_yearly!$D:$AM, 10, FALSE), 1)</f>
        <v>1.4706161377422703E-2</v>
      </c>
      <c r="Y6" s="7">
        <f>$B6 * IFERROR(VLOOKUP("buildings|SO2|Asthma symptoms cough", US_national_yearly!$D:$AM, 33, FALSE) / VLOOKUP("buildings|SO2|Asthma symptoms cough", US_national_yearly!$D:$AM, 10, FALSE), 1)</f>
        <v>1.4706161377422703E-2</v>
      </c>
      <c r="Z6" s="7">
        <f>$B6 * IFERROR(VLOOKUP("buildings|SO2|Asthma symptoms cough", US_national_yearly!$D:$AM, 34, FALSE) / VLOOKUP("buildings|SO2|Asthma symptoms cough", US_national_yearly!$D:$AM, 10, FALSE), 1)</f>
        <v>1.4706161377422703E-2</v>
      </c>
      <c r="AA6" s="7">
        <f>$B6 * IFERROR(VLOOKUP("buildings|SO2|Asthma symptoms cough", US_national_yearly!$D:$AM, 35, FALSE) / VLOOKUP("buildings|SO2|Asthma symptoms cough", US_national_yearly!$D:$AM, 10, FALSE), 1)</f>
        <v>1.4706161377422703E-2</v>
      </c>
      <c r="AB6" s="7">
        <f>$B6 * IFERROR(VLOOKUP("buildings|SO2|Asthma symptoms cough", US_national_yearly!$D:$AM, 36, FALSE) / VLOOKUP("buildings|SO2|Asthma symptoms cough", US_national_yearly!$D:$AM, 10, FALSE), 1)</f>
        <v>1.4706161377422703E-2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1.9803905110699155E-2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1.9803905110699155E-2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1.9803905110699155E-2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1.9803905110699155E-2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1.9803905110699155E-2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1.9803905110699155E-2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1.9803905110699155E-2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1.9803905110699155E-2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1.9803905110699155E-2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1.9803905110699155E-2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1.9803905110699155E-2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1.9803905110699155E-2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1.9803905110699155E-2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1.9803905110699155E-2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1.9803905110699155E-2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1.9803905110699155E-2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1.9803905110699155E-2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1.9803905110699155E-2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1.9803905110699155E-2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1.9803905110699155E-2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1.9803905110699155E-2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1.9803905110699155E-2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1.9803905110699155E-2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1.9803905110699155E-2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1.9803905110699155E-2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1.9803905110699155E-2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1.9803905110699155E-2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3.0257278638352876E-2</v>
      </c>
      <c r="C8" s="7">
        <f>$B8 * IFERROR(VLOOKUP("buildings|SO2|Asthma symptoms wheeze", US_national_yearly!$D:$AM, 11, FALSE) / VLOOKUP("buildings|SO2|Asthma symptoms wheeze", US_national_yearly!$D:$AM, 10, FALSE), 1)</f>
        <v>3.0257278638352876E-2</v>
      </c>
      <c r="D8" s="7">
        <f>$B8 * IFERROR(VLOOKUP("buildings|SO2|Asthma symptoms wheeze", US_national_yearly!$D:$AM, 12, FALSE) / VLOOKUP("buildings|SO2|Asthma symptoms wheeze", US_national_yearly!$D:$AM, 10, FALSE), 1)</f>
        <v>3.0257278638352876E-2</v>
      </c>
      <c r="E8" s="7">
        <f>$B8 * IFERROR(VLOOKUP("buildings|SO2|Asthma symptoms wheeze", US_national_yearly!$D:$AM, 13, FALSE) / VLOOKUP("buildings|SO2|Asthma symptoms wheeze", US_national_yearly!$D:$AM, 10, FALSE), 1)</f>
        <v>3.0257278638352876E-2</v>
      </c>
      <c r="F8" s="7">
        <f>$B8 * IFERROR(VLOOKUP("buildings|SO2|Asthma symptoms wheeze", US_national_yearly!$D:$AM, 14, FALSE) / VLOOKUP("buildings|SO2|Asthma symptoms wheeze", US_national_yearly!$D:$AM, 10, FALSE), 1)</f>
        <v>3.0257278638352876E-2</v>
      </c>
      <c r="G8" s="7">
        <f>$B8 * IFERROR(VLOOKUP("buildings|SO2|Asthma symptoms wheeze", US_national_yearly!$D:$AM, 15, FALSE) / VLOOKUP("buildings|SO2|Asthma symptoms wheeze", US_national_yearly!$D:$AM, 10, FALSE), 1)</f>
        <v>3.0257278638352876E-2</v>
      </c>
      <c r="H8" s="7">
        <f>$B8 * IFERROR(VLOOKUP("buildings|SO2|Asthma symptoms wheeze", US_national_yearly!$D:$AM, 16, FALSE) / VLOOKUP("buildings|SO2|Asthma symptoms wheeze", US_national_yearly!$D:$AM, 10, FALSE), 1)</f>
        <v>3.0257278638352876E-2</v>
      </c>
      <c r="I8" s="7">
        <f>$B8 * IFERROR(VLOOKUP("buildings|SO2|Asthma symptoms wheeze", US_national_yearly!$D:$AM, 17, FALSE) / VLOOKUP("buildings|SO2|Asthma symptoms wheeze", US_national_yearly!$D:$AM, 10, FALSE), 1)</f>
        <v>3.0257278638352876E-2</v>
      </c>
      <c r="J8" s="7">
        <f>$B8 * IFERROR(VLOOKUP("buildings|SO2|Asthma symptoms wheeze", US_national_yearly!$D:$AM, 18, FALSE) / VLOOKUP("buildings|SO2|Asthma symptoms wheeze", US_national_yearly!$D:$AM, 10, FALSE), 1)</f>
        <v>3.0257278638352876E-2</v>
      </c>
      <c r="K8" s="7">
        <f>$B8 * IFERROR(VLOOKUP("buildings|SO2|Asthma symptoms wheeze", US_national_yearly!$D:$AM, 19, FALSE) / VLOOKUP("buildings|SO2|Asthma symptoms wheeze", US_national_yearly!$D:$AM, 10, FALSE), 1)</f>
        <v>3.0257278638352876E-2</v>
      </c>
      <c r="L8" s="7">
        <f>$B8 * IFERROR(VLOOKUP("buildings|SO2|Asthma symptoms wheeze", US_national_yearly!$D:$AM, 20, FALSE) / VLOOKUP("buildings|SO2|Asthma symptoms wheeze", US_national_yearly!$D:$AM, 10, FALSE), 1)</f>
        <v>3.0257278638352876E-2</v>
      </c>
      <c r="M8" s="7">
        <f>$B8 * IFERROR(VLOOKUP("buildings|SO2|Asthma symptoms wheeze", US_national_yearly!$D:$AM, 21, FALSE) / VLOOKUP("buildings|SO2|Asthma symptoms wheeze", US_national_yearly!$D:$AM, 10, FALSE), 1)</f>
        <v>3.0257278638352876E-2</v>
      </c>
      <c r="N8" s="7">
        <f>$B8 * IFERROR(VLOOKUP("buildings|SO2|Asthma symptoms wheeze", US_national_yearly!$D:$AM, 22, FALSE) / VLOOKUP("buildings|SO2|Asthma symptoms wheeze", US_national_yearly!$D:$AM, 10, FALSE), 1)</f>
        <v>3.0257278638352876E-2</v>
      </c>
      <c r="O8" s="7">
        <f>$B8 * IFERROR(VLOOKUP("buildings|SO2|Asthma symptoms wheeze", US_national_yearly!$D:$AM, 23, FALSE) / VLOOKUP("buildings|SO2|Asthma symptoms wheeze", US_national_yearly!$D:$AM, 10, FALSE), 1)</f>
        <v>3.0257278638352876E-2</v>
      </c>
      <c r="P8" s="7">
        <f>$B8 * IFERROR(VLOOKUP("buildings|SO2|Asthma symptoms wheeze", US_national_yearly!$D:$AM, 24, FALSE) / VLOOKUP("buildings|SO2|Asthma symptoms wheeze", US_national_yearly!$D:$AM, 10, FALSE), 1)</f>
        <v>3.0257278638352876E-2</v>
      </c>
      <c r="Q8" s="7">
        <f>$B8 * IFERROR(VLOOKUP("buildings|SO2|Asthma symptoms wheeze", US_national_yearly!$D:$AM, 25, FALSE) / VLOOKUP("buildings|SO2|Asthma symptoms wheeze", US_national_yearly!$D:$AM, 10, FALSE), 1)</f>
        <v>3.0257278638352876E-2</v>
      </c>
      <c r="R8" s="7">
        <f>$B8 * IFERROR(VLOOKUP("buildings|SO2|Asthma symptoms wheeze", US_national_yearly!$D:$AM, 26, FALSE) / VLOOKUP("buildings|SO2|Asthma symptoms wheeze", US_national_yearly!$D:$AM, 10, FALSE), 1)</f>
        <v>3.0257278638352876E-2</v>
      </c>
      <c r="S8" s="7">
        <f>$B8 * IFERROR(VLOOKUP("buildings|SO2|Asthma symptoms wheeze", US_national_yearly!$D:$AM, 27, FALSE) / VLOOKUP("buildings|SO2|Asthma symptoms wheeze", US_national_yearly!$D:$AM, 10, FALSE), 1)</f>
        <v>3.0257278638352876E-2</v>
      </c>
      <c r="T8" s="7">
        <f>$B8 * IFERROR(VLOOKUP("buildings|SO2|Asthma symptoms wheeze", US_national_yearly!$D:$AM, 28, FALSE) / VLOOKUP("buildings|SO2|Asthma symptoms wheeze", US_national_yearly!$D:$AM, 10, FALSE), 1)</f>
        <v>3.0257278638352876E-2</v>
      </c>
      <c r="U8" s="7">
        <f>$B8 * IFERROR(VLOOKUP("buildings|SO2|Asthma symptoms wheeze", US_national_yearly!$D:$AM, 29, FALSE) / VLOOKUP("buildings|SO2|Asthma symptoms wheeze", US_national_yearly!$D:$AM, 10, FALSE), 1)</f>
        <v>3.0257278638352876E-2</v>
      </c>
      <c r="V8" s="7">
        <f>$B8 * IFERROR(VLOOKUP("buildings|SO2|Asthma symptoms wheeze", US_national_yearly!$D:$AM, 30, FALSE) / VLOOKUP("buildings|SO2|Asthma symptoms wheeze", US_national_yearly!$D:$AM, 10, FALSE), 1)</f>
        <v>3.0257278638352876E-2</v>
      </c>
      <c r="W8" s="7">
        <f>$B8 * IFERROR(VLOOKUP("buildings|SO2|Asthma symptoms wheeze", US_national_yearly!$D:$AM, 31, FALSE) / VLOOKUP("buildings|SO2|Asthma symptoms wheeze", US_national_yearly!$D:$AM, 10, FALSE), 1)</f>
        <v>3.0257278638352876E-2</v>
      </c>
      <c r="X8" s="7">
        <f>$B8 * IFERROR(VLOOKUP("buildings|SO2|Asthma symptoms wheeze", US_national_yearly!$D:$AM, 32, FALSE) / VLOOKUP("buildings|SO2|Asthma symptoms wheeze", US_national_yearly!$D:$AM, 10, FALSE), 1)</f>
        <v>3.0257278638352876E-2</v>
      </c>
      <c r="Y8" s="7">
        <f>$B8 * IFERROR(VLOOKUP("buildings|SO2|Asthma symptoms wheeze", US_national_yearly!$D:$AM, 33, FALSE) / VLOOKUP("buildings|SO2|Asthma symptoms wheeze", US_national_yearly!$D:$AM, 10, FALSE), 1)</f>
        <v>3.0257278638352876E-2</v>
      </c>
      <c r="Z8" s="7">
        <f>$B8 * IFERROR(VLOOKUP("buildings|SO2|Asthma symptoms wheeze", US_national_yearly!$D:$AM, 34, FALSE) / VLOOKUP("buildings|SO2|Asthma symptoms wheeze", US_national_yearly!$D:$AM, 10, FALSE), 1)</f>
        <v>3.0257278638352876E-2</v>
      </c>
      <c r="AA8" s="7">
        <f>$B8 * IFERROR(VLOOKUP("buildings|SO2|Asthma symptoms wheeze", US_national_yearly!$D:$AM, 35, FALSE) / VLOOKUP("buildings|SO2|Asthma symptoms wheeze", US_national_yearly!$D:$AM, 10, FALSE), 1)</f>
        <v>3.0257278638352876E-2</v>
      </c>
      <c r="AB8" s="7">
        <f>$B8 * IFERROR(VLOOKUP("buildings|SO2|Asthma symptoms wheeze", US_national_yearly!$D:$AM, 36, FALSE) / VLOOKUP("buildings|SO2|Asthma symptoms wheeze", US_national_yearly!$D:$AM, 10, FALSE), 1)</f>
        <v>3.0257278638352876E-2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4.4718935896829586E-4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4.4983063060496925E-4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4.5247190224164264E-4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4.5511317387831609E-4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4.5775444551498937E-4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4.6063309883571561E-4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4.6351175215644179E-4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4.6634466459766726E-4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4.6917757703889283E-4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4.7201048948011831E-4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4.7484340192134378E-4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4.776763143625693E-4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4.7974480940711522E-4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4.8181330445166114E-4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4.83881799496207E-4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4.8595029454075292E-4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4.8801878958529884E-4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4.8999112389086182E-4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4.9196345819642491E-4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4.939357925019879E-4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4.9590812680755088E-4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4.9788046111311397E-4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4.9975469331252213E-4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5.016289255119305E-4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5.0350315771133865E-4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5.0537738991074692E-4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5.0725162211015518E-4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2.2589126241371266E-3</v>
      </c>
      <c r="C13" s="7">
        <f>$B13 * IFERROR(VLOOKUP("buildings|SO2|Non-fatal heart attacks", US_national_yearly!$D:$AM, 11, FALSE) / VLOOKUP("buildings|SO2|Non-fatal heart attacks", US_national_yearly!$D:$AM, 10, FALSE), 1)</f>
        <v>2.3252475335915506E-3</v>
      </c>
      <c r="D13" s="7">
        <f>$B13 * IFERROR(VLOOKUP("buildings|SO2|Non-fatal heart attacks", US_national_yearly!$D:$AM, 12, FALSE) / VLOOKUP("buildings|SO2|Non-fatal heart attacks", US_national_yearly!$D:$AM, 10, FALSE), 1)</f>
        <v>2.3915824430459742E-3</v>
      </c>
      <c r="E13" s="7">
        <f>$B13 * IFERROR(VLOOKUP("buildings|SO2|Non-fatal heart attacks", US_national_yearly!$D:$AM, 13, FALSE) / VLOOKUP("buildings|SO2|Non-fatal heart attacks", US_national_yearly!$D:$AM, 10, FALSE), 1)</f>
        <v>2.4579173525003974E-3</v>
      </c>
      <c r="F13" s="7">
        <f>$B13 * IFERROR(VLOOKUP("buildings|SO2|Non-fatal heart attacks", US_national_yearly!$D:$AM, 14, FALSE) / VLOOKUP("buildings|SO2|Non-fatal heart attacks", US_national_yearly!$D:$AM, 10, FALSE), 1)</f>
        <v>2.5242522619548214E-3</v>
      </c>
      <c r="G13" s="7">
        <f>$B13 * IFERROR(VLOOKUP("buildings|SO2|Non-fatal heart attacks", US_national_yearly!$D:$AM, 15, FALSE) / VLOOKUP("buildings|SO2|Non-fatal heart attacks", US_national_yearly!$D:$AM, 10, FALSE), 1)</f>
        <v>2.5868167800839176E-3</v>
      </c>
      <c r="H13" s="7">
        <f>$B13 * IFERROR(VLOOKUP("buildings|SO2|Non-fatal heart attacks", US_national_yearly!$D:$AM, 16, FALSE) / VLOOKUP("buildings|SO2|Non-fatal heart attacks", US_national_yearly!$D:$AM, 10, FALSE), 1)</f>
        <v>2.6493812982130143E-3</v>
      </c>
      <c r="I13" s="7">
        <f>$B13 * IFERROR(VLOOKUP("buildings|SO2|Non-fatal heart attacks", US_national_yearly!$D:$AM, 17, FALSE) / VLOOKUP("buildings|SO2|Non-fatal heart attacks", US_national_yearly!$D:$AM, 10, FALSE), 1)</f>
        <v>2.6997415882948294E-3</v>
      </c>
      <c r="J13" s="7">
        <f>$B13 * IFERROR(VLOOKUP("buildings|SO2|Non-fatal heart attacks", US_national_yearly!$D:$AM, 18, FALSE) / VLOOKUP("buildings|SO2|Non-fatal heart attacks", US_national_yearly!$D:$AM, 10, FALSE), 1)</f>
        <v>2.7501018783766444E-3</v>
      </c>
      <c r="K13" s="7">
        <f>$B13 * IFERROR(VLOOKUP("buildings|SO2|Non-fatal heart attacks", US_national_yearly!$D:$AM, 19, FALSE) / VLOOKUP("buildings|SO2|Non-fatal heart attacks", US_national_yearly!$D:$AM, 10, FALSE), 1)</f>
        <v>2.8004621684584599E-3</v>
      </c>
      <c r="L13" s="7">
        <f>$B13 * IFERROR(VLOOKUP("buildings|SO2|Non-fatal heart attacks", US_national_yearly!$D:$AM, 20, FALSE) / VLOOKUP("buildings|SO2|Non-fatal heart attacks", US_national_yearly!$D:$AM, 10, FALSE), 1)</f>
        <v>2.8508224585402759E-3</v>
      </c>
      <c r="M13" s="7">
        <f>$B13 * IFERROR(VLOOKUP("buildings|SO2|Non-fatal heart attacks", US_national_yearly!$D:$AM, 21, FALSE) / VLOOKUP("buildings|SO2|Non-fatal heart attacks", US_national_yearly!$D:$AM, 10, FALSE), 1)</f>
        <v>2.9011827486220914E-3</v>
      </c>
      <c r="N13" s="7">
        <f>$B13 * IFERROR(VLOOKUP("buildings|SO2|Non-fatal heart attacks", US_national_yearly!$D:$AM, 22, FALSE) / VLOOKUP("buildings|SO2|Non-fatal heart attacks", US_national_yearly!$D:$AM, 10, FALSE), 1)</f>
        <v>2.9338689179253617E-3</v>
      </c>
      <c r="O13" s="7">
        <f>$B13 * IFERROR(VLOOKUP("buildings|SO2|Non-fatal heart attacks", US_national_yearly!$D:$AM, 23, FALSE) / VLOOKUP("buildings|SO2|Non-fatal heart attacks", US_national_yearly!$D:$AM, 10, FALSE), 1)</f>
        <v>2.9665550872286332E-3</v>
      </c>
      <c r="P13" s="7">
        <f>$B13 * IFERROR(VLOOKUP("buildings|SO2|Non-fatal heart attacks", US_national_yearly!$D:$AM, 24, FALSE) / VLOOKUP("buildings|SO2|Non-fatal heart attacks", US_national_yearly!$D:$AM, 10, FALSE), 1)</f>
        <v>2.9992412565319035E-3</v>
      </c>
      <c r="Q13" s="7">
        <f>$B13 * IFERROR(VLOOKUP("buildings|SO2|Non-fatal heart attacks", US_national_yearly!$D:$AM, 25, FALSE) / VLOOKUP("buildings|SO2|Non-fatal heart attacks", US_national_yearly!$D:$AM, 10, FALSE), 1)</f>
        <v>3.0319274258351742E-3</v>
      </c>
      <c r="R13" s="7">
        <f>$B13 * IFERROR(VLOOKUP("buildings|SO2|Non-fatal heart attacks", US_national_yearly!$D:$AM, 26, FALSE) / VLOOKUP("buildings|SO2|Non-fatal heart attacks", US_national_yearly!$D:$AM, 10, FALSE), 1)</f>
        <v>3.0646135951384458E-3</v>
      </c>
      <c r="S13" s="7">
        <f>$B13 * IFERROR(VLOOKUP("buildings|SO2|Non-fatal heart attacks", US_national_yearly!$D:$AM, 27, FALSE) / VLOOKUP("buildings|SO2|Non-fatal heart attacks", US_national_yearly!$D:$AM, 10, FALSE), 1)</f>
        <v>3.0816822592290381E-3</v>
      </c>
      <c r="T13" s="7">
        <f>$B13 * IFERROR(VLOOKUP("buildings|SO2|Non-fatal heart attacks", US_national_yearly!$D:$AM, 28, FALSE) / VLOOKUP("buildings|SO2|Non-fatal heart attacks", US_national_yearly!$D:$AM, 10, FALSE), 1)</f>
        <v>3.0987509233196308E-3</v>
      </c>
      <c r="U13" s="7">
        <f>$B13 * IFERROR(VLOOKUP("buildings|SO2|Non-fatal heart attacks", US_national_yearly!$D:$AM, 29, FALSE) / VLOOKUP("buildings|SO2|Non-fatal heart attacks", US_national_yearly!$D:$AM, 10, FALSE), 1)</f>
        <v>3.1158195874102226E-3</v>
      </c>
      <c r="V13" s="7">
        <f>$B13 * IFERROR(VLOOKUP("buildings|SO2|Non-fatal heart attacks", US_national_yearly!$D:$AM, 30, FALSE) / VLOOKUP("buildings|SO2|Non-fatal heart attacks", US_national_yearly!$D:$AM, 10, FALSE), 1)</f>
        <v>3.1328882515008153E-3</v>
      </c>
      <c r="W13" s="7">
        <f>$B13 * IFERROR(VLOOKUP("buildings|SO2|Non-fatal heart attacks", US_national_yearly!$D:$AM, 31, FALSE) / VLOOKUP("buildings|SO2|Non-fatal heart attacks", US_national_yearly!$D:$AM, 10, FALSE), 1)</f>
        <v>3.1499569155914076E-3</v>
      </c>
      <c r="X13" s="7">
        <f>$B13 * IFERROR(VLOOKUP("buildings|SO2|Non-fatal heart attacks", US_national_yearly!$D:$AM, 32, FALSE) / VLOOKUP("buildings|SO2|Non-fatal heart attacks", US_national_yearly!$D:$AM, 10, FALSE), 1)</f>
        <v>3.1628484241416188E-3</v>
      </c>
      <c r="Y13" s="7">
        <f>$B13 * IFERROR(VLOOKUP("buildings|SO2|Non-fatal heart attacks", US_national_yearly!$D:$AM, 33, FALSE) / VLOOKUP("buildings|SO2|Non-fatal heart attacks", US_national_yearly!$D:$AM, 10, FALSE), 1)</f>
        <v>3.1757399326918299E-3</v>
      </c>
      <c r="Z13" s="7">
        <f>$B13 * IFERROR(VLOOKUP("buildings|SO2|Non-fatal heart attacks", US_national_yearly!$D:$AM, 34, FALSE) / VLOOKUP("buildings|SO2|Non-fatal heart attacks", US_national_yearly!$D:$AM, 10, FALSE), 1)</f>
        <v>3.1886314412420402E-3</v>
      </c>
      <c r="AA13" s="7">
        <f>$B13 * IFERROR(VLOOKUP("buildings|SO2|Non-fatal heart attacks", US_national_yearly!$D:$AM, 35, FALSE) / VLOOKUP("buildings|SO2|Non-fatal heart attacks", US_national_yearly!$D:$AM, 10, FALSE), 1)</f>
        <v>3.2015229497922514E-3</v>
      </c>
      <c r="AB13" s="7">
        <f>$B13 * IFERROR(VLOOKUP("buildings|SO2|Non-fatal heart attacks", US_national_yearly!$D:$AM, 36, FALSE) / VLOOKUP("buildings|SO2|Non-fatal heart attacks", US_national_yearly!$D:$AM, 10, FALSE), 1)</f>
        <v>3.2144144583424621E-3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1.8936514614874054</v>
      </c>
      <c r="C14" s="7">
        <f>$B14 * IFERROR(VLOOKUP("buildings|SO2|Minor restricted activity days", US_national_yearly!$D:$AM, 11, FALSE) / VLOOKUP("buildings|SO2|Minor restricted activity days", US_national_yearly!$D:$AM, 10, FALSE), 1)</f>
        <v>1.8984451404078533</v>
      </c>
      <c r="D14" s="7">
        <f>$B14 * IFERROR(VLOOKUP("buildings|SO2|Minor restricted activity days", US_national_yearly!$D:$AM, 12, FALSE) / VLOOKUP("buildings|SO2|Minor restricted activity days", US_national_yearly!$D:$AM, 10, FALSE), 1)</f>
        <v>1.9032388193283016</v>
      </c>
      <c r="E14" s="7">
        <f>$B14 * IFERROR(VLOOKUP("buildings|SO2|Minor restricted activity days", US_national_yearly!$D:$AM, 13, FALSE) / VLOOKUP("buildings|SO2|Minor restricted activity days", US_national_yearly!$D:$AM, 10, FALSE), 1)</f>
        <v>1.90803249824875</v>
      </c>
      <c r="F14" s="7">
        <f>$B14 * IFERROR(VLOOKUP("buildings|SO2|Minor restricted activity days", US_national_yearly!$D:$AM, 14, FALSE) / VLOOKUP("buildings|SO2|Minor restricted activity days", US_national_yearly!$D:$AM, 10, FALSE), 1)</f>
        <v>1.9128261771691979</v>
      </c>
      <c r="G14" s="7">
        <f>$B14 * IFERROR(VLOOKUP("buildings|SO2|Minor restricted activity days", US_national_yearly!$D:$AM, 15, FALSE) / VLOOKUP("buildings|SO2|Minor restricted activity days", US_national_yearly!$D:$AM, 10, FALSE), 1)</f>
        <v>1.9198747845522217</v>
      </c>
      <c r="H14" s="7">
        <f>$B14 * IFERROR(VLOOKUP("buildings|SO2|Minor restricted activity days", US_national_yearly!$D:$AM, 16, FALSE) / VLOOKUP("buildings|SO2|Minor restricted activity days", US_national_yearly!$D:$AM, 10, FALSE), 1)</f>
        <v>1.9269233919352458</v>
      </c>
      <c r="I14" s="7">
        <f>$B14 * IFERROR(VLOOKUP("buildings|SO2|Minor restricted activity days", US_national_yearly!$D:$AM, 17, FALSE) / VLOOKUP("buildings|SO2|Minor restricted activity days", US_national_yearly!$D:$AM, 10, FALSE), 1)</f>
        <v>1.9389278796491733</v>
      </c>
      <c r="J14" s="7">
        <f>$B14 * IFERROR(VLOOKUP("buildings|SO2|Minor restricted activity days", US_national_yearly!$D:$AM, 18, FALSE) / VLOOKUP("buildings|SO2|Minor restricted activity days", US_national_yearly!$D:$AM, 10, FALSE), 1)</f>
        <v>1.9509323673631014</v>
      </c>
      <c r="K14" s="7">
        <f>$B14 * IFERROR(VLOOKUP("buildings|SO2|Minor restricted activity days", US_national_yearly!$D:$AM, 19, FALSE) / VLOOKUP("buildings|SO2|Minor restricted activity days", US_national_yearly!$D:$AM, 10, FALSE), 1)</f>
        <v>1.9629368550770292</v>
      </c>
      <c r="L14" s="7">
        <f>$B14 * IFERROR(VLOOKUP("buildings|SO2|Minor restricted activity days", US_national_yearly!$D:$AM, 20, FALSE) / VLOOKUP("buildings|SO2|Minor restricted activity days", US_national_yearly!$D:$AM, 10, FALSE), 1)</f>
        <v>1.9749413427909568</v>
      </c>
      <c r="M14" s="7">
        <f>$B14 * IFERROR(VLOOKUP("buildings|SO2|Minor restricted activity days", US_national_yearly!$D:$AM, 21, FALSE) / VLOOKUP("buildings|SO2|Minor restricted activity days", US_national_yearly!$D:$AM, 10, FALSE), 1)</f>
        <v>1.9869458305048844</v>
      </c>
      <c r="N14" s="7">
        <f>$B14 * IFERROR(VLOOKUP("buildings|SO2|Minor restricted activity days", US_national_yearly!$D:$AM, 22, FALSE) / VLOOKUP("buildings|SO2|Minor restricted activity days", US_national_yearly!$D:$AM, 10, FALSE), 1)</f>
        <v>2.0033613366275995</v>
      </c>
      <c r="O14" s="7">
        <f>$B14 * IFERROR(VLOOKUP("buildings|SO2|Minor restricted activity days", US_national_yearly!$D:$AM, 23, FALSE) / VLOOKUP("buildings|SO2|Minor restricted activity days", US_national_yearly!$D:$AM, 10, FALSE), 1)</f>
        <v>2.0197768427503147</v>
      </c>
      <c r="P14" s="7">
        <f>$B14 * IFERROR(VLOOKUP("buildings|SO2|Minor restricted activity days", US_national_yearly!$D:$AM, 24, FALSE) / VLOOKUP("buildings|SO2|Minor restricted activity days", US_national_yearly!$D:$AM, 10, FALSE), 1)</f>
        <v>2.0361923488730294</v>
      </c>
      <c r="Q14" s="7">
        <f>$B14 * IFERROR(VLOOKUP("buildings|SO2|Minor restricted activity days", US_national_yearly!$D:$AM, 25, FALSE) / VLOOKUP("buildings|SO2|Minor restricted activity days", US_national_yearly!$D:$AM, 10, FALSE), 1)</f>
        <v>2.0526078549957445</v>
      </c>
      <c r="R14" s="7">
        <f>$B14 * IFERROR(VLOOKUP("buildings|SO2|Minor restricted activity days", US_national_yearly!$D:$AM, 26, FALSE) / VLOOKUP("buildings|SO2|Minor restricted activity days", US_national_yearly!$D:$AM, 10, FALSE), 1)</f>
        <v>2.0690233611184596</v>
      </c>
      <c r="S14" s="7">
        <f>$B14 * IFERROR(VLOOKUP("buildings|SO2|Minor restricted activity days", US_national_yearly!$D:$AM, 27, FALSE) / VLOOKUP("buildings|SO2|Minor restricted activity days", US_national_yearly!$D:$AM, 10, FALSE), 1)</f>
        <v>2.085757903887433</v>
      </c>
      <c r="T14" s="7">
        <f>$B14 * IFERROR(VLOOKUP("buildings|SO2|Minor restricted activity days", US_national_yearly!$D:$AM, 28, FALSE) / VLOOKUP("buildings|SO2|Minor restricted activity days", US_national_yearly!$D:$AM, 10, FALSE), 1)</f>
        <v>2.1024924466564059</v>
      </c>
      <c r="U14" s="7">
        <f>$B14 * IFERROR(VLOOKUP("buildings|SO2|Minor restricted activity days", US_national_yearly!$D:$AM, 29, FALSE) / VLOOKUP("buildings|SO2|Minor restricted activity days", US_national_yearly!$D:$AM, 10, FALSE), 1)</f>
        <v>2.1192269894253792</v>
      </c>
      <c r="V14" s="7">
        <f>$B14 * IFERROR(VLOOKUP("buildings|SO2|Minor restricted activity days", US_national_yearly!$D:$AM, 30, FALSE) / VLOOKUP("buildings|SO2|Minor restricted activity days", US_national_yearly!$D:$AM, 10, FALSE), 1)</f>
        <v>2.1359615321943526</v>
      </c>
      <c r="W14" s="7">
        <f>$B14 * IFERROR(VLOOKUP("buildings|SO2|Minor restricted activity days", US_national_yearly!$D:$AM, 31, FALSE) / VLOOKUP("buildings|SO2|Minor restricted activity days", US_national_yearly!$D:$AM, 10, FALSE), 1)</f>
        <v>2.1526960749633264</v>
      </c>
      <c r="X14" s="7">
        <f>$B14 * IFERROR(VLOOKUP("buildings|SO2|Minor restricted activity days", US_national_yearly!$D:$AM, 32, FALSE) / VLOOKUP("buildings|SO2|Minor restricted activity days", US_national_yearly!$D:$AM, 10, FALSE), 1)</f>
        <v>2.1674131368843446</v>
      </c>
      <c r="Y14" s="7">
        <f>$B14 * IFERROR(VLOOKUP("buildings|SO2|Minor restricted activity days", US_national_yearly!$D:$AM, 33, FALSE) / VLOOKUP("buildings|SO2|Minor restricted activity days", US_national_yearly!$D:$AM, 10, FALSE), 1)</f>
        <v>2.1821301988053632</v>
      </c>
      <c r="Z14" s="7">
        <f>$B14 * IFERROR(VLOOKUP("buildings|SO2|Minor restricted activity days", US_national_yearly!$D:$AM, 34, FALSE) / VLOOKUP("buildings|SO2|Minor restricted activity days", US_national_yearly!$D:$AM, 10, FALSE), 1)</f>
        <v>2.1968472607263814</v>
      </c>
      <c r="AA14" s="7">
        <f>$B14 * IFERROR(VLOOKUP("buildings|SO2|Minor restricted activity days", US_national_yearly!$D:$AM, 35, FALSE) / VLOOKUP("buildings|SO2|Minor restricted activity days", US_national_yearly!$D:$AM, 10, FALSE), 1)</f>
        <v>2.2115643226473995</v>
      </c>
      <c r="AB14" s="7">
        <f>$B14 * IFERROR(VLOOKUP("buildings|SO2|Minor restricted activity days", US_national_yearly!$D:$AM, 36, FALSE) / VLOOKUP("buildings|SO2|Minor restricted activity days", US_national_yearly!$D:$AM, 10, FALSE), 1)</f>
        <v>2.2262813845684177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0.32196989793501563</v>
      </c>
      <c r="C15" s="7">
        <f>$B15 * IFERROR(VLOOKUP("buildings|SO2|Work loss days", US_national_yearly!$D:$AM, 11, FALSE) / VLOOKUP("buildings|SO2|Work loss days", US_national_yearly!$D:$AM, 10, FALSE), 1)</f>
        <v>0.32301597289002221</v>
      </c>
      <c r="D15" s="7">
        <f>$B15 * IFERROR(VLOOKUP("buildings|SO2|Work loss days", US_national_yearly!$D:$AM, 12, FALSE) / VLOOKUP("buildings|SO2|Work loss days", US_national_yearly!$D:$AM, 10, FALSE), 1)</f>
        <v>0.32406204784502879</v>
      </c>
      <c r="E15" s="7">
        <f>$B15 * IFERROR(VLOOKUP("buildings|SO2|Work loss days", US_national_yearly!$D:$AM, 13, FALSE) / VLOOKUP("buildings|SO2|Work loss days", US_national_yearly!$D:$AM, 10, FALSE), 1)</f>
        <v>0.32510812280003532</v>
      </c>
      <c r="F15" s="7">
        <f>$B15 * IFERROR(VLOOKUP("buildings|SO2|Work loss days", US_national_yearly!$D:$AM, 14, FALSE) / VLOOKUP("buildings|SO2|Work loss days", US_national_yearly!$D:$AM, 10, FALSE), 1)</f>
        <v>0.32615419775504184</v>
      </c>
      <c r="G15" s="7">
        <f>$B15 * IFERROR(VLOOKUP("buildings|SO2|Work loss days", US_national_yearly!$D:$AM, 15, FALSE) / VLOOKUP("buildings|SO2|Work loss days", US_national_yearly!$D:$AM, 10, FALSE), 1)</f>
        <v>0.32752042953462585</v>
      </c>
      <c r="H15" s="7">
        <f>$B15 * IFERROR(VLOOKUP("buildings|SO2|Work loss days", US_national_yearly!$D:$AM, 16, FALSE) / VLOOKUP("buildings|SO2|Work loss days", US_national_yearly!$D:$AM, 10, FALSE), 1)</f>
        <v>0.32888666131420996</v>
      </c>
      <c r="I15" s="7">
        <f>$B15 * IFERROR(VLOOKUP("buildings|SO2|Work loss days", US_national_yearly!$D:$AM, 17, FALSE) / VLOOKUP("buildings|SO2|Work loss days", US_national_yearly!$D:$AM, 10, FALSE), 1)</f>
        <v>0.33088416864691417</v>
      </c>
      <c r="J15" s="7">
        <f>$B15 * IFERROR(VLOOKUP("buildings|SO2|Work loss days", US_national_yearly!$D:$AM, 18, FALSE) / VLOOKUP("buildings|SO2|Work loss days", US_national_yearly!$D:$AM, 10, FALSE), 1)</f>
        <v>0.33288167597961826</v>
      </c>
      <c r="K15" s="7">
        <f>$B15 * IFERROR(VLOOKUP("buildings|SO2|Work loss days", US_national_yearly!$D:$AM, 19, FALSE) / VLOOKUP("buildings|SO2|Work loss days", US_national_yearly!$D:$AM, 10, FALSE), 1)</f>
        <v>0.33487918331232247</v>
      </c>
      <c r="L15" s="7">
        <f>$B15 * IFERROR(VLOOKUP("buildings|SO2|Work loss days", US_national_yearly!$D:$AM, 20, FALSE) / VLOOKUP("buildings|SO2|Work loss days", US_national_yearly!$D:$AM, 10, FALSE), 1)</f>
        <v>0.33687669064502657</v>
      </c>
      <c r="M15" s="7">
        <f>$B15 * IFERROR(VLOOKUP("buildings|SO2|Work loss days", US_national_yearly!$D:$AM, 21, FALSE) / VLOOKUP("buildings|SO2|Work loss days", US_national_yearly!$D:$AM, 10, FALSE), 1)</f>
        <v>0.33887419797773072</v>
      </c>
      <c r="N15" s="7">
        <f>$B15 * IFERROR(VLOOKUP("buildings|SO2|Work loss days", US_national_yearly!$D:$AM, 22, FALSE) / VLOOKUP("buildings|SO2|Work loss days", US_national_yearly!$D:$AM, 10, FALSE), 1)</f>
        <v>0.34137903945120446</v>
      </c>
      <c r="O15" s="7">
        <f>$B15 * IFERROR(VLOOKUP("buildings|SO2|Work loss days", US_national_yearly!$D:$AM, 23, FALSE) / VLOOKUP("buildings|SO2|Work loss days", US_national_yearly!$D:$AM, 10, FALSE), 1)</f>
        <v>0.34388388092467814</v>
      </c>
      <c r="P15" s="7">
        <f>$B15 * IFERROR(VLOOKUP("buildings|SO2|Work loss days", US_national_yearly!$D:$AM, 24, FALSE) / VLOOKUP("buildings|SO2|Work loss days", US_national_yearly!$D:$AM, 10, FALSE), 1)</f>
        <v>0.34638872239815183</v>
      </c>
      <c r="Q15" s="7">
        <f>$B15 * IFERROR(VLOOKUP("buildings|SO2|Work loss days", US_national_yearly!$D:$AM, 25, FALSE) / VLOOKUP("buildings|SO2|Work loss days", US_national_yearly!$D:$AM, 10, FALSE), 1)</f>
        <v>0.34889356387162557</v>
      </c>
      <c r="R15" s="7">
        <f>$B15 * IFERROR(VLOOKUP("buildings|SO2|Work loss days", US_national_yearly!$D:$AM, 26, FALSE) / VLOOKUP("buildings|SO2|Work loss days", US_national_yearly!$D:$AM, 10, FALSE), 1)</f>
        <v>0.3513984053450992</v>
      </c>
      <c r="S15" s="7">
        <f>$B15 * IFERROR(VLOOKUP("buildings|SO2|Work loss days", US_national_yearly!$D:$AM, 27, FALSE) / VLOOKUP("buildings|SO2|Work loss days", US_national_yearly!$D:$AM, 10, FALSE), 1)</f>
        <v>0.35419653268136869</v>
      </c>
      <c r="T15" s="7">
        <f>$B15 * IFERROR(VLOOKUP("buildings|SO2|Work loss days", US_national_yearly!$D:$AM, 28, FALSE) / VLOOKUP("buildings|SO2|Work loss days", US_national_yearly!$D:$AM, 10, FALSE), 1)</f>
        <v>0.35699466001763819</v>
      </c>
      <c r="U15" s="7">
        <f>$B15 * IFERROR(VLOOKUP("buildings|SO2|Work loss days", US_national_yearly!$D:$AM, 29, FALSE) / VLOOKUP("buildings|SO2|Work loss days", US_national_yearly!$D:$AM, 10, FALSE), 1)</f>
        <v>0.35979278735390774</v>
      </c>
      <c r="V15" s="7">
        <f>$B15 * IFERROR(VLOOKUP("buildings|SO2|Work loss days", US_national_yearly!$D:$AM, 30, FALSE) / VLOOKUP("buildings|SO2|Work loss days", US_national_yearly!$D:$AM, 10, FALSE), 1)</f>
        <v>0.36259091469017718</v>
      </c>
      <c r="W15" s="7">
        <f>$B15 * IFERROR(VLOOKUP("buildings|SO2|Work loss days", US_national_yearly!$D:$AM, 31, FALSE) / VLOOKUP("buildings|SO2|Work loss days", US_national_yearly!$D:$AM, 10, FALSE), 1)</f>
        <v>0.36538904202644668</v>
      </c>
      <c r="X15" s="7">
        <f>$B15 * IFERROR(VLOOKUP("buildings|SO2|Work loss days", US_national_yearly!$D:$AM, 32, FALSE) / VLOOKUP("buildings|SO2|Work loss days", US_national_yearly!$D:$AM, 10, FALSE), 1)</f>
        <v>0.36790143054809599</v>
      </c>
      <c r="Y15" s="7">
        <f>$B15 * IFERROR(VLOOKUP("buildings|SO2|Work loss days", US_national_yearly!$D:$AM, 33, FALSE) / VLOOKUP("buildings|SO2|Work loss days", US_national_yearly!$D:$AM, 10, FALSE), 1)</f>
        <v>0.37041381906974524</v>
      </c>
      <c r="Z15" s="7">
        <f>$B15 * IFERROR(VLOOKUP("buildings|SO2|Work loss days", US_national_yearly!$D:$AM, 34, FALSE) / VLOOKUP("buildings|SO2|Work loss days", US_national_yearly!$D:$AM, 10, FALSE), 1)</f>
        <v>0.37292620759139444</v>
      </c>
      <c r="AA15" s="7">
        <f>$B15 * IFERROR(VLOOKUP("buildings|SO2|Work loss days", US_national_yearly!$D:$AM, 35, FALSE) / VLOOKUP("buildings|SO2|Work loss days", US_national_yearly!$D:$AM, 10, FALSE), 1)</f>
        <v>0.37543859611304375</v>
      </c>
      <c r="AB15" s="7">
        <f>$B15 * IFERROR(VLOOKUP("buildings|SO2|Work loss days", US_national_yearly!$D:$AM, 36, FALSE) / VLOOKUP("buildings|SO2|Work loss days", US_national_yearly!$D:$AM, 10, FALSE), 1)</f>
        <v>0.37795098463469295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5.4933758218753614E-4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5.6595469164616398E-4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5.8257180110479171E-4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5.9918891056341965E-4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6.1580602002204738E-4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6.31724215540044E-4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6.4764241105804039E-4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6.6128427255017291E-4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6.749261340423052E-4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6.8856799553443772E-4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7.0220985702657013E-4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7.1585171851870242E-4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7.2501195511259233E-4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7.3417219170648234E-4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7.4333242830037236E-4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7.5249266489426227E-4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7.6165290148815228E-4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7.6647007640544295E-4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7.7128725132273362E-4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7.7610442624002419E-4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7.8092160115731486E-4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7.8573877607460542E-4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7.8897351986078148E-4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7.9220826364695754E-4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7.9544300743313349E-4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7.9867775121930966E-4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8.0191249500548561E-4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3.4090436241374235E-2</v>
      </c>
      <c r="C2" s="7">
        <f>$B2 * IFERROR(VLOOKUP("industry|PM25|Premature mortality", US_national_yearly!$D:$AM, 11, FALSE) / VLOOKUP("industry|PM25|Premature mortality", US_national_yearly!$D:$AM, 10, FALSE), 1)</f>
        <v>3.4514973576526962E-2</v>
      </c>
      <c r="D2" s="7">
        <f>$B2 * IFERROR(VLOOKUP("industry|PM25|Premature mortality", US_national_yearly!$D:$AM, 12, FALSE) / VLOOKUP("industry|PM25|Premature mortality", US_national_yearly!$D:$AM, 10, FALSE), 1)</f>
        <v>3.4939510911679683E-2</v>
      </c>
      <c r="E2" s="7">
        <f>$B2 * IFERROR(VLOOKUP("industry|PM25|Premature mortality", US_national_yearly!$D:$AM, 13, FALSE) / VLOOKUP("industry|PM25|Premature mortality", US_national_yearly!$D:$AM, 10, FALSE), 1)</f>
        <v>3.5364048246832411E-2</v>
      </c>
      <c r="F2" s="7">
        <f>$B2 * IFERROR(VLOOKUP("industry|PM25|Premature mortality", US_national_yearly!$D:$AM, 14, FALSE) / VLOOKUP("industry|PM25|Premature mortality", US_national_yearly!$D:$AM, 10, FALSE), 1)</f>
        <v>3.5788585581985131E-2</v>
      </c>
      <c r="G2" s="7">
        <f>$B2 * IFERROR(VLOOKUP("industry|PM25|Premature mortality", US_national_yearly!$D:$AM, 15, FALSE) / VLOOKUP("industry|PM25|Premature mortality", US_national_yearly!$D:$AM, 10, FALSE), 1)</f>
        <v>3.6614516373421092E-2</v>
      </c>
      <c r="H2" s="7">
        <f>$B2 * IFERROR(VLOOKUP("industry|PM25|Premature mortality", US_national_yearly!$D:$AM, 16, FALSE) / VLOOKUP("industry|PM25|Premature mortality", US_national_yearly!$D:$AM, 10, FALSE), 1)</f>
        <v>3.7440447164857053E-2</v>
      </c>
      <c r="I2" s="7">
        <f>$B2 * IFERROR(VLOOKUP("industry|PM25|Premature mortality", US_national_yearly!$D:$AM, 17, FALSE) / VLOOKUP("industry|PM25|Premature mortality", US_national_yearly!$D:$AM, 10, FALSE), 1)</f>
        <v>3.7985806520780756E-2</v>
      </c>
      <c r="J2" s="7">
        <f>$B2 * IFERROR(VLOOKUP("industry|PM25|Premature mortality", US_national_yearly!$D:$AM, 18, FALSE) / VLOOKUP("industry|PM25|Premature mortality", US_national_yearly!$D:$AM, 10, FALSE), 1)</f>
        <v>3.8531165876704451E-2</v>
      </c>
      <c r="K2" s="7">
        <f>$B2 * IFERROR(VLOOKUP("industry|PM25|Premature mortality", US_national_yearly!$D:$AM, 19, FALSE) / VLOOKUP("industry|PM25|Premature mortality", US_national_yearly!$D:$AM, 10, FALSE), 1)</f>
        <v>3.907652523262814E-2</v>
      </c>
      <c r="L2" s="7">
        <f>$B2 * IFERROR(VLOOKUP("industry|PM25|Premature mortality", US_national_yearly!$D:$AM, 20, FALSE) / VLOOKUP("industry|PM25|Premature mortality", US_national_yearly!$D:$AM, 10, FALSE), 1)</f>
        <v>3.9621884588551835E-2</v>
      </c>
      <c r="M2" s="7">
        <f>$B2 * IFERROR(VLOOKUP("industry|PM25|Premature mortality", US_national_yearly!$D:$AM, 21, FALSE) / VLOOKUP("industry|PM25|Premature mortality", US_national_yearly!$D:$AM, 10, FALSE), 1)</f>
        <v>4.0167243944475538E-2</v>
      </c>
      <c r="N2" s="7">
        <f>$B2 * IFERROR(VLOOKUP("industry|PM25|Premature mortality", US_national_yearly!$D:$AM, 22, FALSE) / VLOOKUP("industry|PM25|Premature mortality", US_national_yearly!$D:$AM, 10, FALSE), 1)</f>
        <v>4.0592125509255589E-2</v>
      </c>
      <c r="O2" s="7">
        <f>$B2 * IFERROR(VLOOKUP("industry|PM25|Premature mortality", US_national_yearly!$D:$AM, 23, FALSE) / VLOOKUP("industry|PM25|Premature mortality", US_national_yearly!$D:$AM, 10, FALSE), 1)</f>
        <v>4.101700707403564E-2</v>
      </c>
      <c r="P2" s="7">
        <f>$B2 * IFERROR(VLOOKUP("industry|PM25|Premature mortality", US_national_yearly!$D:$AM, 24, FALSE) / VLOOKUP("industry|PM25|Premature mortality", US_national_yearly!$D:$AM, 10, FALSE), 1)</f>
        <v>4.1441888638815691E-2</v>
      </c>
      <c r="Q2" s="7">
        <f>$B2 * IFERROR(VLOOKUP("industry|PM25|Premature mortality", US_national_yearly!$D:$AM, 25, FALSE) / VLOOKUP("industry|PM25|Premature mortality", US_national_yearly!$D:$AM, 10, FALSE), 1)</f>
        <v>4.1866770203595749E-2</v>
      </c>
      <c r="R2" s="7">
        <f>$B2 * IFERROR(VLOOKUP("industry|PM25|Premature mortality", US_national_yearly!$D:$AM, 26, FALSE) / VLOOKUP("industry|PM25|Premature mortality", US_national_yearly!$D:$AM, 10, FALSE), 1)</f>
        <v>4.2291651768375793E-2</v>
      </c>
      <c r="S2" s="7">
        <f>$B2 * IFERROR(VLOOKUP("industry|PM25|Premature mortality", US_national_yearly!$D:$AM, 27, FALSE) / VLOOKUP("industry|PM25|Premature mortality", US_national_yearly!$D:$AM, 10, FALSE), 1)</f>
        <v>4.2521072054617311E-2</v>
      </c>
      <c r="T2" s="7">
        <f>$B2 * IFERROR(VLOOKUP("industry|PM25|Premature mortality", US_national_yearly!$D:$AM, 28, FALSE) / VLOOKUP("industry|PM25|Premature mortality", US_national_yearly!$D:$AM, 10, FALSE), 1)</f>
        <v>4.2750492340858835E-2</v>
      </c>
      <c r="U2" s="7">
        <f>$B2 * IFERROR(VLOOKUP("industry|PM25|Premature mortality", US_national_yearly!$D:$AM, 29, FALSE) / VLOOKUP("industry|PM25|Premature mortality", US_national_yearly!$D:$AM, 10, FALSE), 1)</f>
        <v>4.2979912627100367E-2</v>
      </c>
      <c r="V2" s="7">
        <f>$B2 * IFERROR(VLOOKUP("industry|PM25|Premature mortality", US_national_yearly!$D:$AM, 30, FALSE) / VLOOKUP("industry|PM25|Premature mortality", US_national_yearly!$D:$AM, 10, FALSE), 1)</f>
        <v>4.3209332913341884E-2</v>
      </c>
      <c r="W2" s="7">
        <f>$B2 * IFERROR(VLOOKUP("industry|PM25|Premature mortality", US_national_yearly!$D:$AM, 31, FALSE) / VLOOKUP("industry|PM25|Premature mortality", US_national_yearly!$D:$AM, 10, FALSE), 1)</f>
        <v>4.3438753199583402E-2</v>
      </c>
      <c r="X2" s="7">
        <f>$B2 * IFERROR(VLOOKUP("industry|PM25|Premature mortality", US_national_yearly!$D:$AM, 32, FALSE) / VLOOKUP("industry|PM25|Premature mortality", US_national_yearly!$D:$AM, 10, FALSE), 1)</f>
        <v>4.3486120447363774E-2</v>
      </c>
      <c r="Y2" s="7">
        <f>$B2 * IFERROR(VLOOKUP("industry|PM25|Premature mortality", US_national_yearly!$D:$AM, 33, FALSE) / VLOOKUP("industry|PM25|Premature mortality", US_national_yearly!$D:$AM, 10, FALSE), 1)</f>
        <v>4.3533487695144174E-2</v>
      </c>
      <c r="Z2" s="7">
        <f>$B2 * IFERROR(VLOOKUP("industry|PM25|Premature mortality", US_national_yearly!$D:$AM, 34, FALSE) / VLOOKUP("industry|PM25|Premature mortality", US_national_yearly!$D:$AM, 10, FALSE), 1)</f>
        <v>4.3580854942924546E-2</v>
      </c>
      <c r="AA2" s="7">
        <f>$B2 * IFERROR(VLOOKUP("industry|PM25|Premature mortality", US_national_yearly!$D:$AM, 35, FALSE) / VLOOKUP("industry|PM25|Premature mortality", US_national_yearly!$D:$AM, 10, FALSE), 1)</f>
        <v>4.3628222190704932E-2</v>
      </c>
      <c r="AB2" s="7">
        <f>$B2 * IFERROR(VLOOKUP("industry|PM25|Premature mortality", US_national_yearly!$D:$AM, 36, FALSE) / VLOOKUP("industry|PM25|Premature mortality", US_national_yearly!$D:$AM, 10, FALSE), 1)</f>
        <v>4.3675589438485311E-2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9.1265820902913097E-5</v>
      </c>
      <c r="C3" s="7">
        <f>$B3 * IFERROR(VLOOKUP("industry|PM25|Infant mortality", US_national_yearly!$D:$AM, 11, FALSE) / VLOOKUP("industry|PM25|Infant mortality", US_national_yearly!$D:$AM, 10, FALSE), 1)</f>
        <v>9.0471183195221506E-5</v>
      </c>
      <c r="D3" s="7">
        <f>$B3 * IFERROR(VLOOKUP("industry|PM25|Infant mortality", US_national_yearly!$D:$AM, 12, FALSE) / VLOOKUP("industry|PM25|Infant mortality", US_national_yearly!$D:$AM, 10, FALSE), 1)</f>
        <v>8.9676545487529915E-5</v>
      </c>
      <c r="E3" s="7">
        <f>$B3 * IFERROR(VLOOKUP("industry|PM25|Infant mortality", US_national_yearly!$D:$AM, 13, FALSE) / VLOOKUP("industry|PM25|Infant mortality", US_national_yearly!$D:$AM, 10, FALSE), 1)</f>
        <v>8.8881907779838311E-5</v>
      </c>
      <c r="F3" s="7">
        <f>$B3 * IFERROR(VLOOKUP("industry|PM25|Infant mortality", US_national_yearly!$D:$AM, 14, FALSE) / VLOOKUP("industry|PM25|Infant mortality", US_national_yearly!$D:$AM, 10, FALSE), 1)</f>
        <v>8.808727007214672E-5</v>
      </c>
      <c r="G3" s="7">
        <f>$B3 * IFERROR(VLOOKUP("industry|PM25|Infant mortality", US_national_yearly!$D:$AM, 15, FALSE) / VLOOKUP("industry|PM25|Infant mortality", US_national_yearly!$D:$AM, 10, FALSE), 1)</f>
        <v>5.8528265553040514E-5</v>
      </c>
      <c r="H3" s="7">
        <f>$B3 * IFERROR(VLOOKUP("industry|PM25|Infant mortality", US_national_yearly!$D:$AM, 16, FALSE) / VLOOKUP("industry|PM25|Infant mortality", US_national_yearly!$D:$AM, 10, FALSE), 1)</f>
        <v>2.8969261033934312E-5</v>
      </c>
      <c r="I3" s="7">
        <f>$B3 * IFERROR(VLOOKUP("industry|PM25|Infant mortality", US_national_yearly!$D:$AM, 17, FALSE) / VLOOKUP("industry|PM25|Infant mortality", US_national_yearly!$D:$AM, 10, FALSE), 1)</f>
        <v>2.8776442028983807E-5</v>
      </c>
      <c r="J3" s="7">
        <f>$B3 * IFERROR(VLOOKUP("industry|PM25|Infant mortality", US_national_yearly!$D:$AM, 18, FALSE) / VLOOKUP("industry|PM25|Infant mortality", US_national_yearly!$D:$AM, 10, FALSE), 1)</f>
        <v>2.8583623024033298E-5</v>
      </c>
      <c r="K3" s="7">
        <f>$B3 * IFERROR(VLOOKUP("industry|PM25|Infant mortality", US_national_yearly!$D:$AM, 19, FALSE) / VLOOKUP("industry|PM25|Infant mortality", US_national_yearly!$D:$AM, 10, FALSE), 1)</f>
        <v>2.8390804019082792E-5</v>
      </c>
      <c r="L3" s="7">
        <f>$B3 * IFERROR(VLOOKUP("industry|PM25|Infant mortality", US_national_yearly!$D:$AM, 20, FALSE) / VLOOKUP("industry|PM25|Infant mortality", US_national_yearly!$D:$AM, 10, FALSE), 1)</f>
        <v>2.819798501413228E-5</v>
      </c>
      <c r="M3" s="7">
        <f>$B3 * IFERROR(VLOOKUP("industry|PM25|Infant mortality", US_national_yearly!$D:$AM, 21, FALSE) / VLOOKUP("industry|PM25|Infant mortality", US_national_yearly!$D:$AM, 10, FALSE), 1)</f>
        <v>2.8005166009181777E-5</v>
      </c>
      <c r="N3" s="7">
        <f>$B3 * IFERROR(VLOOKUP("industry|PM25|Infant mortality", US_national_yearly!$D:$AM, 22, FALSE) / VLOOKUP("industry|PM25|Infant mortality", US_national_yearly!$D:$AM, 10, FALSE), 1)</f>
        <v>2.7882128707475506E-5</v>
      </c>
      <c r="O3" s="7">
        <f>$B3 * IFERROR(VLOOKUP("industry|PM25|Infant mortality", US_national_yearly!$D:$AM, 23, FALSE) / VLOOKUP("industry|PM25|Infant mortality", US_national_yearly!$D:$AM, 10, FALSE), 1)</f>
        <v>2.7759091405769241E-5</v>
      </c>
      <c r="P3" s="7">
        <f>$B3 * IFERROR(VLOOKUP("industry|PM25|Infant mortality", US_national_yearly!$D:$AM, 24, FALSE) / VLOOKUP("industry|PM25|Infant mortality", US_national_yearly!$D:$AM, 10, FALSE), 1)</f>
        <v>2.763605410406298E-5</v>
      </c>
      <c r="Q3" s="7">
        <f>$B3 * IFERROR(VLOOKUP("industry|PM25|Infant mortality", US_national_yearly!$D:$AM, 25, FALSE) / VLOOKUP("industry|PM25|Infant mortality", US_national_yearly!$D:$AM, 10, FALSE), 1)</f>
        <v>2.7513016802356712E-5</v>
      </c>
      <c r="R3" s="7">
        <f>$B3 * IFERROR(VLOOKUP("industry|PM25|Infant mortality", US_national_yearly!$D:$AM, 26, FALSE) / VLOOKUP("industry|PM25|Infant mortality", US_national_yearly!$D:$AM, 10, FALSE), 1)</f>
        <v>2.7389979500650448E-5</v>
      </c>
      <c r="S3" s="7">
        <f>$B3 * IFERROR(VLOOKUP("industry|PM25|Infant mortality", US_national_yearly!$D:$AM, 27, FALSE) / VLOOKUP("industry|PM25|Infant mortality", US_national_yearly!$D:$AM, 10, FALSE), 1)</f>
        <v>2.7238654728635188E-5</v>
      </c>
      <c r="T3" s="7">
        <f>$B3 * IFERROR(VLOOKUP("industry|PM25|Infant mortality", US_national_yearly!$D:$AM, 28, FALSE) / VLOOKUP("industry|PM25|Infant mortality", US_national_yearly!$D:$AM, 10, FALSE), 1)</f>
        <v>2.7087329956619932E-5</v>
      </c>
      <c r="U3" s="7">
        <f>$B3 * IFERROR(VLOOKUP("industry|PM25|Infant mortality", US_national_yearly!$D:$AM, 29, FALSE) / VLOOKUP("industry|PM25|Infant mortality", US_national_yearly!$D:$AM, 10, FALSE), 1)</f>
        <v>2.6936005184604673E-5</v>
      </c>
      <c r="V3" s="7">
        <f>$B3 * IFERROR(VLOOKUP("industry|PM25|Infant mortality", US_national_yearly!$D:$AM, 30, FALSE) / VLOOKUP("industry|PM25|Infant mortality", US_national_yearly!$D:$AM, 10, FALSE), 1)</f>
        <v>2.6784680412589416E-5</v>
      </c>
      <c r="W3" s="7">
        <f>$B3 * IFERROR(VLOOKUP("industry|PM25|Infant mortality", US_national_yearly!$D:$AM, 31, FALSE) / VLOOKUP("industry|PM25|Infant mortality", US_national_yearly!$D:$AM, 10, FALSE), 1)</f>
        <v>2.6633355640574164E-5</v>
      </c>
      <c r="X3" s="7">
        <f>$B3 * IFERROR(VLOOKUP("industry|PM25|Infant mortality", US_national_yearly!$D:$AM, 32, FALSE) / VLOOKUP("industry|PM25|Infant mortality", US_national_yearly!$D:$AM, 10, FALSE), 1)</f>
        <v>2.6471646160156642E-5</v>
      </c>
      <c r="Y3" s="7">
        <f>$B3 * IFERROR(VLOOKUP("industry|PM25|Infant mortality", US_national_yearly!$D:$AM, 33, FALSE) / VLOOKUP("industry|PM25|Infant mortality", US_national_yearly!$D:$AM, 10, FALSE), 1)</f>
        <v>2.6309936679739121E-5</v>
      </c>
      <c r="Z3" s="7">
        <f>$B3 * IFERROR(VLOOKUP("industry|PM25|Infant mortality", US_national_yearly!$D:$AM, 34, FALSE) / VLOOKUP("industry|PM25|Infant mortality", US_national_yearly!$D:$AM, 10, FALSE), 1)</f>
        <v>2.61482271993216E-5</v>
      </c>
      <c r="AA3" s="7">
        <f>$B3 * IFERROR(VLOOKUP("industry|PM25|Infant mortality", US_national_yearly!$D:$AM, 35, FALSE) / VLOOKUP("industry|PM25|Infant mortality", US_national_yearly!$D:$AM, 10, FALSE), 1)</f>
        <v>2.5986517718904078E-5</v>
      </c>
      <c r="AB3" s="7">
        <f>$B3 * IFERROR(VLOOKUP("industry|PM25|Infant mortality", US_national_yearly!$D:$AM, 36, FALSE) / VLOOKUP("industry|PM25|Infant mortality", US_national_yearly!$D:$AM, 10, FALSE), 1)</f>
        <v>2.582480823848656E-5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8.8210759577315348E-2</v>
      </c>
      <c r="C6" s="7">
        <f>$B6 * IFERROR(VLOOKUP("industry|PM25|Asthma symptoms cough", US_national_yearly!$D:$AM, 11, FALSE) / VLOOKUP("industry|PM25|Asthma symptoms cough", US_national_yearly!$D:$AM, 10, FALSE), 1)</f>
        <v>8.8210759577315348E-2</v>
      </c>
      <c r="D6" s="7">
        <f>$B6 * IFERROR(VLOOKUP("industry|PM25|Asthma symptoms cough", US_national_yearly!$D:$AM, 12, FALSE) / VLOOKUP("industry|PM25|Asthma symptoms cough", US_national_yearly!$D:$AM, 10, FALSE), 1)</f>
        <v>8.8210759577315348E-2</v>
      </c>
      <c r="E6" s="7">
        <f>$B6 * IFERROR(VLOOKUP("industry|PM25|Asthma symptoms cough", US_national_yearly!$D:$AM, 13, FALSE) / VLOOKUP("industry|PM25|Asthma symptoms cough", US_national_yearly!$D:$AM, 10, FALSE), 1)</f>
        <v>8.8210759577315348E-2</v>
      </c>
      <c r="F6" s="7">
        <f>$B6 * IFERROR(VLOOKUP("industry|PM25|Asthma symptoms cough", US_national_yearly!$D:$AM, 14, FALSE) / VLOOKUP("industry|PM25|Asthma symptoms cough", US_national_yearly!$D:$AM, 10, FALSE), 1)</f>
        <v>8.8210759577315348E-2</v>
      </c>
      <c r="G6" s="7">
        <f>$B6 * IFERROR(VLOOKUP("industry|PM25|Asthma symptoms cough", US_national_yearly!$D:$AM, 15, FALSE) / VLOOKUP("industry|PM25|Asthma symptoms cough", US_national_yearly!$D:$AM, 10, FALSE), 1)</f>
        <v>8.8210759577315348E-2</v>
      </c>
      <c r="H6" s="7">
        <f>$B6 * IFERROR(VLOOKUP("industry|PM25|Asthma symptoms cough", US_national_yearly!$D:$AM, 16, FALSE) / VLOOKUP("industry|PM25|Asthma symptoms cough", US_national_yearly!$D:$AM, 10, FALSE), 1)</f>
        <v>8.8210759577315348E-2</v>
      </c>
      <c r="I6" s="7">
        <f>$B6 * IFERROR(VLOOKUP("industry|PM25|Asthma symptoms cough", US_national_yearly!$D:$AM, 17, FALSE) / VLOOKUP("industry|PM25|Asthma symptoms cough", US_national_yearly!$D:$AM, 10, FALSE), 1)</f>
        <v>8.8210759577315348E-2</v>
      </c>
      <c r="J6" s="7">
        <f>$B6 * IFERROR(VLOOKUP("industry|PM25|Asthma symptoms cough", US_national_yearly!$D:$AM, 18, FALSE) / VLOOKUP("industry|PM25|Asthma symptoms cough", US_national_yearly!$D:$AM, 10, FALSE), 1)</f>
        <v>8.8210759577315348E-2</v>
      </c>
      <c r="K6" s="7">
        <f>$B6 * IFERROR(VLOOKUP("industry|PM25|Asthma symptoms cough", US_national_yearly!$D:$AM, 19, FALSE) / VLOOKUP("industry|PM25|Asthma symptoms cough", US_national_yearly!$D:$AM, 10, FALSE), 1)</f>
        <v>8.8210759577315348E-2</v>
      </c>
      <c r="L6" s="7">
        <f>$B6 * IFERROR(VLOOKUP("industry|PM25|Asthma symptoms cough", US_national_yearly!$D:$AM, 20, FALSE) / VLOOKUP("industry|PM25|Asthma symptoms cough", US_national_yearly!$D:$AM, 10, FALSE), 1)</f>
        <v>8.8210759577315348E-2</v>
      </c>
      <c r="M6" s="7">
        <f>$B6 * IFERROR(VLOOKUP("industry|PM25|Asthma symptoms cough", US_national_yearly!$D:$AM, 21, FALSE) / VLOOKUP("industry|PM25|Asthma symptoms cough", US_national_yearly!$D:$AM, 10, FALSE), 1)</f>
        <v>8.8210759577315348E-2</v>
      </c>
      <c r="N6" s="7">
        <f>$B6 * IFERROR(VLOOKUP("industry|PM25|Asthma symptoms cough", US_national_yearly!$D:$AM, 22, FALSE) / VLOOKUP("industry|PM25|Asthma symptoms cough", US_national_yearly!$D:$AM, 10, FALSE), 1)</f>
        <v>8.8210759577315348E-2</v>
      </c>
      <c r="O6" s="7">
        <f>$B6 * IFERROR(VLOOKUP("industry|PM25|Asthma symptoms cough", US_national_yearly!$D:$AM, 23, FALSE) / VLOOKUP("industry|PM25|Asthma symptoms cough", US_national_yearly!$D:$AM, 10, FALSE), 1)</f>
        <v>8.8210759577315348E-2</v>
      </c>
      <c r="P6" s="7">
        <f>$B6 * IFERROR(VLOOKUP("industry|PM25|Asthma symptoms cough", US_national_yearly!$D:$AM, 24, FALSE) / VLOOKUP("industry|PM25|Asthma symptoms cough", US_national_yearly!$D:$AM, 10, FALSE), 1)</f>
        <v>8.8210759577315348E-2</v>
      </c>
      <c r="Q6" s="7">
        <f>$B6 * IFERROR(VLOOKUP("industry|PM25|Asthma symptoms cough", US_national_yearly!$D:$AM, 25, FALSE) / VLOOKUP("industry|PM25|Asthma symptoms cough", US_national_yearly!$D:$AM, 10, FALSE), 1)</f>
        <v>8.8210759577315348E-2</v>
      </c>
      <c r="R6" s="7">
        <f>$B6 * IFERROR(VLOOKUP("industry|PM25|Asthma symptoms cough", US_national_yearly!$D:$AM, 26, FALSE) / VLOOKUP("industry|PM25|Asthma symptoms cough", US_national_yearly!$D:$AM, 10, FALSE), 1)</f>
        <v>8.8210759577315348E-2</v>
      </c>
      <c r="S6" s="7">
        <f>$B6 * IFERROR(VLOOKUP("industry|PM25|Asthma symptoms cough", US_national_yearly!$D:$AM, 27, FALSE) / VLOOKUP("industry|PM25|Asthma symptoms cough", US_national_yearly!$D:$AM, 10, FALSE), 1)</f>
        <v>8.8210759577315348E-2</v>
      </c>
      <c r="T6" s="7">
        <f>$B6 * IFERROR(VLOOKUP("industry|PM25|Asthma symptoms cough", US_national_yearly!$D:$AM, 28, FALSE) / VLOOKUP("industry|PM25|Asthma symptoms cough", US_national_yearly!$D:$AM, 10, FALSE), 1)</f>
        <v>8.8210759577315348E-2</v>
      </c>
      <c r="U6" s="7">
        <f>$B6 * IFERROR(VLOOKUP("industry|PM25|Asthma symptoms cough", US_national_yearly!$D:$AM, 29, FALSE) / VLOOKUP("industry|PM25|Asthma symptoms cough", US_national_yearly!$D:$AM, 10, FALSE), 1)</f>
        <v>8.8210759577315348E-2</v>
      </c>
      <c r="V6" s="7">
        <f>$B6 * IFERROR(VLOOKUP("industry|PM25|Asthma symptoms cough", US_national_yearly!$D:$AM, 30, FALSE) / VLOOKUP("industry|PM25|Asthma symptoms cough", US_national_yearly!$D:$AM, 10, FALSE), 1)</f>
        <v>8.8210759577315348E-2</v>
      </c>
      <c r="W6" s="7">
        <f>$B6 * IFERROR(VLOOKUP("industry|PM25|Asthma symptoms cough", US_national_yearly!$D:$AM, 31, FALSE) / VLOOKUP("industry|PM25|Asthma symptoms cough", US_national_yearly!$D:$AM, 10, FALSE), 1)</f>
        <v>8.8210759577315348E-2</v>
      </c>
      <c r="X6" s="7">
        <f>$B6 * IFERROR(VLOOKUP("industry|PM25|Asthma symptoms cough", US_national_yearly!$D:$AM, 32, FALSE) / VLOOKUP("industry|PM25|Asthma symptoms cough", US_national_yearly!$D:$AM, 10, FALSE), 1)</f>
        <v>8.8210759577315348E-2</v>
      </c>
      <c r="Y6" s="7">
        <f>$B6 * IFERROR(VLOOKUP("industry|PM25|Asthma symptoms cough", US_national_yearly!$D:$AM, 33, FALSE) / VLOOKUP("industry|PM25|Asthma symptoms cough", US_national_yearly!$D:$AM, 10, FALSE), 1)</f>
        <v>8.8210759577315348E-2</v>
      </c>
      <c r="Z6" s="7">
        <f>$B6 * IFERROR(VLOOKUP("industry|PM25|Asthma symptoms cough", US_national_yearly!$D:$AM, 34, FALSE) / VLOOKUP("industry|PM25|Asthma symptoms cough", US_national_yearly!$D:$AM, 10, FALSE), 1)</f>
        <v>8.8210759577315348E-2</v>
      </c>
      <c r="AA6" s="7">
        <f>$B6 * IFERROR(VLOOKUP("industry|PM25|Asthma symptoms cough", US_national_yearly!$D:$AM, 35, FALSE) / VLOOKUP("industry|PM25|Asthma symptoms cough", US_national_yearly!$D:$AM, 10, FALSE), 1)</f>
        <v>8.8210759577315348E-2</v>
      </c>
      <c r="AB6" s="7">
        <f>$B6 * IFERROR(VLOOKUP("industry|PM25|Asthma symptoms cough", US_national_yearly!$D:$AM, 36, FALSE) / VLOOKUP("industry|PM25|Asthma symptoms cough", US_national_yearly!$D:$AM, 10, FALSE), 1)</f>
        <v>8.8210759577315348E-2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0.11878351340561204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0.11878351340561204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0.11878351340561204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0.11878351340561204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0.11878351340561204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0.11878351340561204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0.11878351340561204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0.11878351340561204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0.11878351340561204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0.11878351340561204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0.11878351340561204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0.11878351340561204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0.11878351340561204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0.11878351340561204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0.11878351340561204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0.11878351340561204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0.11878351340561204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0.11878351340561204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0.11878351340561204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0.11878351340561204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0.11878351340561204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0.11878351340561204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0.11878351340561204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0.11878351340561204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0.11878351340561204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0.11878351340561204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0.11878351340561204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0.18149916667699736</v>
      </c>
      <c r="C8" s="7">
        <f>$B8 * IFERROR(VLOOKUP("industry|PM25|Asthma symptoms wheeze", US_national_yearly!$D:$AM, 11, FALSE) / VLOOKUP("industry|PM25|Asthma symptoms wheeze", US_national_yearly!$D:$AM, 10, FALSE), 1)</f>
        <v>0.18149916667699736</v>
      </c>
      <c r="D8" s="7">
        <f>$B8 * IFERROR(VLOOKUP("industry|PM25|Asthma symptoms wheeze", US_national_yearly!$D:$AM, 12, FALSE) / VLOOKUP("industry|PM25|Asthma symptoms wheeze", US_national_yearly!$D:$AM, 10, FALSE), 1)</f>
        <v>0.18149916667699736</v>
      </c>
      <c r="E8" s="7">
        <f>$B8 * IFERROR(VLOOKUP("industry|PM25|Asthma symptoms wheeze", US_national_yearly!$D:$AM, 13, FALSE) / VLOOKUP("industry|PM25|Asthma symptoms wheeze", US_national_yearly!$D:$AM, 10, FALSE), 1)</f>
        <v>0.18149916667699736</v>
      </c>
      <c r="F8" s="7">
        <f>$B8 * IFERROR(VLOOKUP("industry|PM25|Asthma symptoms wheeze", US_national_yearly!$D:$AM, 14, FALSE) / VLOOKUP("industry|PM25|Asthma symptoms wheeze", US_national_yearly!$D:$AM, 10, FALSE), 1)</f>
        <v>0.18149916667699736</v>
      </c>
      <c r="G8" s="7">
        <f>$B8 * IFERROR(VLOOKUP("industry|PM25|Asthma symptoms wheeze", US_national_yearly!$D:$AM, 15, FALSE) / VLOOKUP("industry|PM25|Asthma symptoms wheeze", US_national_yearly!$D:$AM, 10, FALSE), 1)</f>
        <v>0.18149916667699736</v>
      </c>
      <c r="H8" s="7">
        <f>$B8 * IFERROR(VLOOKUP("industry|PM25|Asthma symptoms wheeze", US_national_yearly!$D:$AM, 16, FALSE) / VLOOKUP("industry|PM25|Asthma symptoms wheeze", US_national_yearly!$D:$AM, 10, FALSE), 1)</f>
        <v>0.18149916667699736</v>
      </c>
      <c r="I8" s="7">
        <f>$B8 * IFERROR(VLOOKUP("industry|PM25|Asthma symptoms wheeze", US_national_yearly!$D:$AM, 17, FALSE) / VLOOKUP("industry|PM25|Asthma symptoms wheeze", US_national_yearly!$D:$AM, 10, FALSE), 1)</f>
        <v>0.18149916667699736</v>
      </c>
      <c r="J8" s="7">
        <f>$B8 * IFERROR(VLOOKUP("industry|PM25|Asthma symptoms wheeze", US_national_yearly!$D:$AM, 18, FALSE) / VLOOKUP("industry|PM25|Asthma symptoms wheeze", US_national_yearly!$D:$AM, 10, FALSE), 1)</f>
        <v>0.18149916667699736</v>
      </c>
      <c r="K8" s="7">
        <f>$B8 * IFERROR(VLOOKUP("industry|PM25|Asthma symptoms wheeze", US_national_yearly!$D:$AM, 19, FALSE) / VLOOKUP("industry|PM25|Asthma symptoms wheeze", US_national_yearly!$D:$AM, 10, FALSE), 1)</f>
        <v>0.18149916667699736</v>
      </c>
      <c r="L8" s="7">
        <f>$B8 * IFERROR(VLOOKUP("industry|PM25|Asthma symptoms wheeze", US_national_yearly!$D:$AM, 20, FALSE) / VLOOKUP("industry|PM25|Asthma symptoms wheeze", US_national_yearly!$D:$AM, 10, FALSE), 1)</f>
        <v>0.18149916667699736</v>
      </c>
      <c r="M8" s="7">
        <f>$B8 * IFERROR(VLOOKUP("industry|PM25|Asthma symptoms wheeze", US_national_yearly!$D:$AM, 21, FALSE) / VLOOKUP("industry|PM25|Asthma symptoms wheeze", US_national_yearly!$D:$AM, 10, FALSE), 1)</f>
        <v>0.18149916667699736</v>
      </c>
      <c r="N8" s="7">
        <f>$B8 * IFERROR(VLOOKUP("industry|PM25|Asthma symptoms wheeze", US_national_yearly!$D:$AM, 22, FALSE) / VLOOKUP("industry|PM25|Asthma symptoms wheeze", US_national_yearly!$D:$AM, 10, FALSE), 1)</f>
        <v>0.18149916667699736</v>
      </c>
      <c r="O8" s="7">
        <f>$B8 * IFERROR(VLOOKUP("industry|PM25|Asthma symptoms wheeze", US_national_yearly!$D:$AM, 23, FALSE) / VLOOKUP("industry|PM25|Asthma symptoms wheeze", US_national_yearly!$D:$AM, 10, FALSE), 1)</f>
        <v>0.18149916667699736</v>
      </c>
      <c r="P8" s="7">
        <f>$B8 * IFERROR(VLOOKUP("industry|PM25|Asthma symptoms wheeze", US_national_yearly!$D:$AM, 24, FALSE) / VLOOKUP("industry|PM25|Asthma symptoms wheeze", US_national_yearly!$D:$AM, 10, FALSE), 1)</f>
        <v>0.18149916667699736</v>
      </c>
      <c r="Q8" s="7">
        <f>$B8 * IFERROR(VLOOKUP("industry|PM25|Asthma symptoms wheeze", US_national_yearly!$D:$AM, 25, FALSE) / VLOOKUP("industry|PM25|Asthma symptoms wheeze", US_national_yearly!$D:$AM, 10, FALSE), 1)</f>
        <v>0.18149916667699736</v>
      </c>
      <c r="R8" s="7">
        <f>$B8 * IFERROR(VLOOKUP("industry|PM25|Asthma symptoms wheeze", US_national_yearly!$D:$AM, 26, FALSE) / VLOOKUP("industry|PM25|Asthma symptoms wheeze", US_national_yearly!$D:$AM, 10, FALSE), 1)</f>
        <v>0.18149916667699736</v>
      </c>
      <c r="S8" s="7">
        <f>$B8 * IFERROR(VLOOKUP("industry|PM25|Asthma symptoms wheeze", US_national_yearly!$D:$AM, 27, FALSE) / VLOOKUP("industry|PM25|Asthma symptoms wheeze", US_national_yearly!$D:$AM, 10, FALSE), 1)</f>
        <v>0.18149916667699736</v>
      </c>
      <c r="T8" s="7">
        <f>$B8 * IFERROR(VLOOKUP("industry|PM25|Asthma symptoms wheeze", US_national_yearly!$D:$AM, 28, FALSE) / VLOOKUP("industry|PM25|Asthma symptoms wheeze", US_national_yearly!$D:$AM, 10, FALSE), 1)</f>
        <v>0.18149916667699736</v>
      </c>
      <c r="U8" s="7">
        <f>$B8 * IFERROR(VLOOKUP("industry|PM25|Asthma symptoms wheeze", US_national_yearly!$D:$AM, 29, FALSE) / VLOOKUP("industry|PM25|Asthma symptoms wheeze", US_national_yearly!$D:$AM, 10, FALSE), 1)</f>
        <v>0.18149916667699736</v>
      </c>
      <c r="V8" s="7">
        <f>$B8 * IFERROR(VLOOKUP("industry|PM25|Asthma symptoms wheeze", US_national_yearly!$D:$AM, 30, FALSE) / VLOOKUP("industry|PM25|Asthma symptoms wheeze", US_national_yearly!$D:$AM, 10, FALSE), 1)</f>
        <v>0.18149916667699736</v>
      </c>
      <c r="W8" s="7">
        <f>$B8 * IFERROR(VLOOKUP("industry|PM25|Asthma symptoms wheeze", US_national_yearly!$D:$AM, 31, FALSE) / VLOOKUP("industry|PM25|Asthma symptoms wheeze", US_national_yearly!$D:$AM, 10, FALSE), 1)</f>
        <v>0.18149916667699736</v>
      </c>
      <c r="X8" s="7">
        <f>$B8 * IFERROR(VLOOKUP("industry|PM25|Asthma symptoms wheeze", US_national_yearly!$D:$AM, 32, FALSE) / VLOOKUP("industry|PM25|Asthma symptoms wheeze", US_national_yearly!$D:$AM, 10, FALSE), 1)</f>
        <v>0.18149916667699736</v>
      </c>
      <c r="Y8" s="7">
        <f>$B8 * IFERROR(VLOOKUP("industry|PM25|Asthma symptoms wheeze", US_national_yearly!$D:$AM, 33, FALSE) / VLOOKUP("industry|PM25|Asthma symptoms wheeze", US_national_yearly!$D:$AM, 10, FALSE), 1)</f>
        <v>0.18149916667699736</v>
      </c>
      <c r="Z8" s="7">
        <f>$B8 * IFERROR(VLOOKUP("industry|PM25|Asthma symptoms wheeze", US_national_yearly!$D:$AM, 34, FALSE) / VLOOKUP("industry|PM25|Asthma symptoms wheeze", US_national_yearly!$D:$AM, 10, FALSE), 1)</f>
        <v>0.18149916667699736</v>
      </c>
      <c r="AA8" s="7">
        <f>$B8 * IFERROR(VLOOKUP("industry|PM25|Asthma symptoms wheeze", US_national_yearly!$D:$AM, 35, FALSE) / VLOOKUP("industry|PM25|Asthma symptoms wheeze", US_national_yearly!$D:$AM, 10, FALSE), 1)</f>
        <v>0.18149916667699736</v>
      </c>
      <c r="AB8" s="7">
        <f>$B8 * IFERROR(VLOOKUP("industry|PM25|Asthma symptoms wheeze", US_national_yearly!$D:$AM, 36, FALSE) / VLOOKUP("industry|PM25|Asthma symptoms wheeze", US_national_yearly!$D:$AM, 10, FALSE), 1)</f>
        <v>0.18149916667699736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2.7180479778230642E-3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2.7334798682442248E-3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2.7489117586653859E-3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2.7643436490865465E-3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2.779775539507708E-3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2.7964603238433785E-3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2.8131451081790495E-3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2.82897272517492E-3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2.8448003421707902E-3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2.8606279591666594E-3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2.87645557616253E-3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2.8922831931584001E-3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2.903477623290351E-3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2.914672053422301E-3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2.9258664835542518E-3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2.9370609136862022E-3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2.9482553438181531E-3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2.9588136705789815E-3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2.9693719973398099E-3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2.9799303241006387E-3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2.9904886508614671E-3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3.0010469776222963E-3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3.0112131112575093E-3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3.0213792448927218E-3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3.0315453785279356E-3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3.041711512163149E-3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3.0518776457983616E-3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1.325959798430004E-2</v>
      </c>
      <c r="C13" s="7">
        <f>$B13 * IFERROR(VLOOKUP("industry|PM25|Non-fatal heart attacks", US_national_yearly!$D:$AM, 11, FALSE) / VLOOKUP("industry|PM25|Non-fatal heart attacks", US_national_yearly!$D:$AM, 10, FALSE), 1)</f>
        <v>1.3645588358368E-2</v>
      </c>
      <c r="D13" s="7">
        <f>$B13 * IFERROR(VLOOKUP("industry|PM25|Non-fatal heart attacks", US_national_yearly!$D:$AM, 12, FALSE) / VLOOKUP("industry|PM25|Non-fatal heart attacks", US_national_yearly!$D:$AM, 10, FALSE), 1)</f>
        <v>1.4031578732435959E-2</v>
      </c>
      <c r="E13" s="7">
        <f>$B13 * IFERROR(VLOOKUP("industry|PM25|Non-fatal heart attacks", US_national_yearly!$D:$AM, 13, FALSE) / VLOOKUP("industry|PM25|Non-fatal heart attacks", US_national_yearly!$D:$AM, 10, FALSE), 1)</f>
        <v>1.4417569106503918E-2</v>
      </c>
      <c r="F13" s="7">
        <f>$B13 * IFERROR(VLOOKUP("industry|PM25|Non-fatal heart attacks", US_national_yearly!$D:$AM, 14, FALSE) / VLOOKUP("industry|PM25|Non-fatal heart attacks", US_national_yearly!$D:$AM, 10, FALSE), 1)</f>
        <v>1.4803559480571878E-2</v>
      </c>
      <c r="G13" s="7">
        <f>$B13 * IFERROR(VLOOKUP("industry|PM25|Non-fatal heart attacks", US_national_yearly!$D:$AM, 15, FALSE) / VLOOKUP("industry|PM25|Non-fatal heart attacks", US_national_yearly!$D:$AM, 10, FALSE), 1)</f>
        <v>1.5167961533921323E-2</v>
      </c>
      <c r="H13" s="7">
        <f>$B13 * IFERROR(VLOOKUP("industry|PM25|Non-fatal heart attacks", US_national_yearly!$D:$AM, 16, FALSE) / VLOOKUP("industry|PM25|Non-fatal heart attacks", US_national_yearly!$D:$AM, 10, FALSE), 1)</f>
        <v>1.5532363587270772E-2</v>
      </c>
      <c r="I13" s="7">
        <f>$B13 * IFERROR(VLOOKUP("industry|PM25|Non-fatal heart attacks", US_national_yearly!$D:$AM, 17, FALSE) / VLOOKUP("industry|PM25|Non-fatal heart attacks", US_national_yearly!$D:$AM, 10, FALSE), 1)</f>
        <v>1.5826621610688086E-2</v>
      </c>
      <c r="J13" s="7">
        <f>$B13 * IFERROR(VLOOKUP("industry|PM25|Non-fatal heart attacks", US_national_yearly!$D:$AM, 18, FALSE) / VLOOKUP("industry|PM25|Non-fatal heart attacks", US_national_yearly!$D:$AM, 10, FALSE), 1)</f>
        <v>1.6120879634105394E-2</v>
      </c>
      <c r="K13" s="7">
        <f>$B13 * IFERROR(VLOOKUP("industry|PM25|Non-fatal heart attacks", US_national_yearly!$D:$AM, 19, FALSE) / VLOOKUP("industry|PM25|Non-fatal heart attacks", US_national_yearly!$D:$AM, 10, FALSE), 1)</f>
        <v>1.6415137657522703E-2</v>
      </c>
      <c r="L13" s="7">
        <f>$B13 * IFERROR(VLOOKUP("industry|PM25|Non-fatal heart attacks", US_national_yearly!$D:$AM, 20, FALSE) / VLOOKUP("industry|PM25|Non-fatal heart attacks", US_national_yearly!$D:$AM, 10, FALSE), 1)</f>
        <v>1.6709395680940015E-2</v>
      </c>
      <c r="M13" s="7">
        <f>$B13 * IFERROR(VLOOKUP("industry|PM25|Non-fatal heart attacks", US_national_yearly!$D:$AM, 21, FALSE) / VLOOKUP("industry|PM25|Non-fatal heart attacks", US_national_yearly!$D:$AM, 10, FALSE), 1)</f>
        <v>1.7003653704357323E-2</v>
      </c>
      <c r="N13" s="7">
        <f>$B13 * IFERROR(VLOOKUP("industry|PM25|Non-fatal heart attacks", US_national_yearly!$D:$AM, 22, FALSE) / VLOOKUP("industry|PM25|Non-fatal heart attacks", US_national_yearly!$D:$AM, 10, FALSE), 1)</f>
        <v>1.7193907903998433E-2</v>
      </c>
      <c r="O13" s="7">
        <f>$B13 * IFERROR(VLOOKUP("industry|PM25|Non-fatal heart attacks", US_national_yearly!$D:$AM, 23, FALSE) / VLOOKUP("industry|PM25|Non-fatal heart attacks", US_national_yearly!$D:$AM, 10, FALSE), 1)</f>
        <v>1.7384162103639543E-2</v>
      </c>
      <c r="P13" s="7">
        <f>$B13 * IFERROR(VLOOKUP("industry|PM25|Non-fatal heart attacks", US_national_yearly!$D:$AM, 24, FALSE) / VLOOKUP("industry|PM25|Non-fatal heart attacks", US_national_yearly!$D:$AM, 10, FALSE), 1)</f>
        <v>1.7574416303280653E-2</v>
      </c>
      <c r="Q13" s="7">
        <f>$B13 * IFERROR(VLOOKUP("industry|PM25|Non-fatal heart attacks", US_national_yearly!$D:$AM, 25, FALSE) / VLOOKUP("industry|PM25|Non-fatal heart attacks", US_national_yearly!$D:$AM, 10, FALSE), 1)</f>
        <v>1.776467050292176E-2</v>
      </c>
      <c r="R13" s="7">
        <f>$B13 * IFERROR(VLOOKUP("industry|PM25|Non-fatal heart attacks", US_national_yearly!$D:$AM, 26, FALSE) / VLOOKUP("industry|PM25|Non-fatal heart attacks", US_national_yearly!$D:$AM, 10, FALSE), 1)</f>
        <v>1.795492470256287E-2</v>
      </c>
      <c r="S13" s="7">
        <f>$B13 * IFERROR(VLOOKUP("industry|PM25|Non-fatal heart attacks", US_national_yearly!$D:$AM, 27, FALSE) / VLOOKUP("industry|PM25|Non-fatal heart attacks", US_national_yearly!$D:$AM, 10, FALSE), 1)</f>
        <v>1.8056540191587877E-2</v>
      </c>
      <c r="T13" s="7">
        <f>$B13 * IFERROR(VLOOKUP("industry|PM25|Non-fatal heart attacks", US_national_yearly!$D:$AM, 28, FALSE) / VLOOKUP("industry|PM25|Non-fatal heart attacks", US_national_yearly!$D:$AM, 10, FALSE), 1)</f>
        <v>1.8158155680612888E-2</v>
      </c>
      <c r="U13" s="7">
        <f>$B13 * IFERROR(VLOOKUP("industry|PM25|Non-fatal heart attacks", US_national_yearly!$D:$AM, 29, FALSE) / VLOOKUP("industry|PM25|Non-fatal heart attacks", US_national_yearly!$D:$AM, 10, FALSE), 1)</f>
        <v>1.8259771169637895E-2</v>
      </c>
      <c r="V13" s="7">
        <f>$B13 * IFERROR(VLOOKUP("industry|PM25|Non-fatal heart attacks", US_national_yearly!$D:$AM, 30, FALSE) / VLOOKUP("industry|PM25|Non-fatal heart attacks", US_national_yearly!$D:$AM, 10, FALSE), 1)</f>
        <v>1.8361386658662899E-2</v>
      </c>
      <c r="W13" s="7">
        <f>$B13 * IFERROR(VLOOKUP("industry|PM25|Non-fatal heart attacks", US_national_yearly!$D:$AM, 31, FALSE) / VLOOKUP("industry|PM25|Non-fatal heart attacks", US_national_yearly!$D:$AM, 10, FALSE), 1)</f>
        <v>1.846300214768791E-2</v>
      </c>
      <c r="X13" s="7">
        <f>$B13 * IFERROR(VLOOKUP("industry|PM25|Non-fatal heart attacks", US_national_yearly!$D:$AM, 32, FALSE) / VLOOKUP("industry|PM25|Non-fatal heart attacks", US_national_yearly!$D:$AM, 10, FALSE), 1)</f>
        <v>1.8541428326373479E-2</v>
      </c>
      <c r="Y13" s="7">
        <f>$B13 * IFERROR(VLOOKUP("industry|PM25|Non-fatal heart attacks", US_national_yearly!$D:$AM, 33, FALSE) / VLOOKUP("industry|PM25|Non-fatal heart attacks", US_national_yearly!$D:$AM, 10, FALSE), 1)</f>
        <v>1.8619854505059045E-2</v>
      </c>
      <c r="Z13" s="7">
        <f>$B13 * IFERROR(VLOOKUP("industry|PM25|Non-fatal heart attacks", US_national_yearly!$D:$AM, 34, FALSE) / VLOOKUP("industry|PM25|Non-fatal heart attacks", US_national_yearly!$D:$AM, 10, FALSE), 1)</f>
        <v>1.8698280683744618E-2</v>
      </c>
      <c r="AA13" s="7">
        <f>$B13 * IFERROR(VLOOKUP("industry|PM25|Non-fatal heart attacks", US_national_yearly!$D:$AM, 35, FALSE) / VLOOKUP("industry|PM25|Non-fatal heart attacks", US_national_yearly!$D:$AM, 10, FALSE), 1)</f>
        <v>1.8776706862430187E-2</v>
      </c>
      <c r="AB13" s="7">
        <f>$B13 * IFERROR(VLOOKUP("industry|PM25|Non-fatal heart attacks", US_national_yearly!$D:$AM, 36, FALSE) / VLOOKUP("industry|PM25|Non-fatal heart attacks", US_national_yearly!$D:$AM, 10, FALSE), 1)</f>
        <v>1.8855133041115756E-2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11.374251075347582</v>
      </c>
      <c r="C14" s="7">
        <f>$B14 * IFERROR(VLOOKUP("industry|PM25|Minor restricted activity days", US_national_yearly!$D:$AM, 11, FALSE) / VLOOKUP("industry|PM25|Minor restricted activity days", US_national_yearly!$D:$AM, 10, FALSE), 1)</f>
        <v>11.402108501578999</v>
      </c>
      <c r="D14" s="7">
        <f>$B14 * IFERROR(VLOOKUP("industry|PM25|Minor restricted activity days", US_national_yearly!$D:$AM, 12, FALSE) / VLOOKUP("industry|PM25|Minor restricted activity days", US_national_yearly!$D:$AM, 10, FALSE), 1)</f>
        <v>11.429965927810418</v>
      </c>
      <c r="E14" s="7">
        <f>$B14 * IFERROR(VLOOKUP("industry|PM25|Minor restricted activity days", US_national_yearly!$D:$AM, 13, FALSE) / VLOOKUP("industry|PM25|Minor restricted activity days", US_national_yearly!$D:$AM, 10, FALSE), 1)</f>
        <v>11.457823354041835</v>
      </c>
      <c r="F14" s="7">
        <f>$B14 * IFERROR(VLOOKUP("industry|PM25|Minor restricted activity days", US_national_yearly!$D:$AM, 14, FALSE) / VLOOKUP("industry|PM25|Minor restricted activity days", US_national_yearly!$D:$AM, 10, FALSE), 1)</f>
        <v>11.485680780273253</v>
      </c>
      <c r="G14" s="7">
        <f>$B14 * IFERROR(VLOOKUP("industry|PM25|Minor restricted activity days", US_national_yearly!$D:$AM, 15, FALSE) / VLOOKUP("industry|PM25|Minor restricted activity days", US_national_yearly!$D:$AM, 10, FALSE), 1)</f>
        <v>11.52657095435057</v>
      </c>
      <c r="H14" s="7">
        <f>$B14 * IFERROR(VLOOKUP("industry|PM25|Minor restricted activity days", US_national_yearly!$D:$AM, 16, FALSE) / VLOOKUP("industry|PM25|Minor restricted activity days", US_national_yearly!$D:$AM, 10, FALSE), 1)</f>
        <v>11.567461128427885</v>
      </c>
      <c r="I14" s="7">
        <f>$B14 * IFERROR(VLOOKUP("industry|PM25|Minor restricted activity days", US_national_yearly!$D:$AM, 17, FALSE) / VLOOKUP("industry|PM25|Minor restricted activity days", US_national_yearly!$D:$AM, 10, FALSE), 1)</f>
        <v>11.636923020200605</v>
      </c>
      <c r="J14" s="7">
        <f>$B14 * IFERROR(VLOOKUP("industry|PM25|Minor restricted activity days", US_national_yearly!$D:$AM, 18, FALSE) / VLOOKUP("industry|PM25|Minor restricted activity days", US_national_yearly!$D:$AM, 10, FALSE), 1)</f>
        <v>11.706384911973329</v>
      </c>
      <c r="K14" s="7">
        <f>$B14 * IFERROR(VLOOKUP("industry|PM25|Minor restricted activity days", US_national_yearly!$D:$AM, 19, FALSE) / VLOOKUP("industry|PM25|Minor restricted activity days", US_national_yearly!$D:$AM, 10, FALSE), 1)</f>
        <v>11.775846803746045</v>
      </c>
      <c r="L14" s="7">
        <f>$B14 * IFERROR(VLOOKUP("industry|PM25|Minor restricted activity days", US_national_yearly!$D:$AM, 20, FALSE) / VLOOKUP("industry|PM25|Minor restricted activity days", US_national_yearly!$D:$AM, 10, FALSE), 1)</f>
        <v>11.845308695518765</v>
      </c>
      <c r="M14" s="7">
        <f>$B14 * IFERROR(VLOOKUP("industry|PM25|Minor restricted activity days", US_national_yearly!$D:$AM, 21, FALSE) / VLOOKUP("industry|PM25|Minor restricted activity days", US_national_yearly!$D:$AM, 10, FALSE), 1)</f>
        <v>11.914770587291486</v>
      </c>
      <c r="N14" s="7">
        <f>$B14 * IFERROR(VLOOKUP("industry|PM25|Minor restricted activity days", US_national_yearly!$D:$AM, 22, FALSE) / VLOOKUP("industry|PM25|Minor restricted activity days", US_national_yearly!$D:$AM, 10, FALSE), 1)</f>
        <v>12.009662390184827</v>
      </c>
      <c r="O14" s="7">
        <f>$B14 * IFERROR(VLOOKUP("industry|PM25|Minor restricted activity days", US_national_yearly!$D:$AM, 23, FALSE) / VLOOKUP("industry|PM25|Minor restricted activity days", US_national_yearly!$D:$AM, 10, FALSE), 1)</f>
        <v>12.104554193078178</v>
      </c>
      <c r="P14" s="7">
        <f>$B14 * IFERROR(VLOOKUP("industry|PM25|Minor restricted activity days", US_national_yearly!$D:$AM, 24, FALSE) / VLOOKUP("industry|PM25|Minor restricted activity days", US_national_yearly!$D:$AM, 10, FALSE), 1)</f>
        <v>12.199445995971518</v>
      </c>
      <c r="Q14" s="7">
        <f>$B14 * IFERROR(VLOOKUP("industry|PM25|Minor restricted activity days", US_national_yearly!$D:$AM, 25, FALSE) / VLOOKUP("industry|PM25|Minor restricted activity days", US_national_yearly!$D:$AM, 10, FALSE), 1)</f>
        <v>12.294337798864872</v>
      </c>
      <c r="R14" s="7">
        <f>$B14 * IFERROR(VLOOKUP("industry|PM25|Minor restricted activity days", US_national_yearly!$D:$AM, 26, FALSE) / VLOOKUP("industry|PM25|Minor restricted activity days", US_national_yearly!$D:$AM, 10, FALSE), 1)</f>
        <v>12.389229601758212</v>
      </c>
      <c r="S14" s="7">
        <f>$B14 * IFERROR(VLOOKUP("industry|PM25|Minor restricted activity days", US_national_yearly!$D:$AM, 27, FALSE) / VLOOKUP("industry|PM25|Minor restricted activity days", US_national_yearly!$D:$AM, 10, FALSE), 1)</f>
        <v>12.48503240307123</v>
      </c>
      <c r="T14" s="7">
        <f>$B14 * IFERROR(VLOOKUP("industry|PM25|Minor restricted activity days", US_national_yearly!$D:$AM, 28, FALSE) / VLOOKUP("industry|PM25|Minor restricted activity days", US_national_yearly!$D:$AM, 10, FALSE), 1)</f>
        <v>12.580835204384252</v>
      </c>
      <c r="U14" s="7">
        <f>$B14 * IFERROR(VLOOKUP("industry|PM25|Minor restricted activity days", US_national_yearly!$D:$AM, 29, FALSE) / VLOOKUP("industry|PM25|Minor restricted activity days", US_national_yearly!$D:$AM, 10, FALSE), 1)</f>
        <v>12.676638005697271</v>
      </c>
      <c r="V14" s="7">
        <f>$B14 * IFERROR(VLOOKUP("industry|PM25|Minor restricted activity days", US_national_yearly!$D:$AM, 30, FALSE) / VLOOKUP("industry|PM25|Minor restricted activity days", US_national_yearly!$D:$AM, 10, FALSE), 1)</f>
        <v>12.772440807010291</v>
      </c>
      <c r="W14" s="7">
        <f>$B14 * IFERROR(VLOOKUP("industry|PM25|Minor restricted activity days", US_national_yearly!$D:$AM, 31, FALSE) / VLOOKUP("industry|PM25|Minor restricted activity days", US_national_yearly!$D:$AM, 10, FALSE), 1)</f>
        <v>12.868243608323311</v>
      </c>
      <c r="X14" s="7">
        <f>$B14 * IFERROR(VLOOKUP("industry|PM25|Minor restricted activity days", US_national_yearly!$D:$AM, 32, FALSE) / VLOOKUP("industry|PM25|Minor restricted activity days", US_national_yearly!$D:$AM, 10, FALSE), 1)</f>
        <v>12.951492734080324</v>
      </c>
      <c r="Y14" s="7">
        <f>$B14 * IFERROR(VLOOKUP("industry|PM25|Minor restricted activity days", US_national_yearly!$D:$AM, 33, FALSE) / VLOOKUP("industry|PM25|Minor restricted activity days", US_national_yearly!$D:$AM, 10, FALSE), 1)</f>
        <v>13.034741859837338</v>
      </c>
      <c r="Z14" s="7">
        <f>$B14 * IFERROR(VLOOKUP("industry|PM25|Minor restricted activity days", US_national_yearly!$D:$AM, 34, FALSE) / VLOOKUP("industry|PM25|Minor restricted activity days", US_national_yearly!$D:$AM, 10, FALSE), 1)</f>
        <v>13.117990985594352</v>
      </c>
      <c r="AA14" s="7">
        <f>$B14 * IFERROR(VLOOKUP("industry|PM25|Minor restricted activity days", US_national_yearly!$D:$AM, 35, FALSE) / VLOOKUP("industry|PM25|Minor restricted activity days", US_national_yearly!$D:$AM, 10, FALSE), 1)</f>
        <v>13.201240111351364</v>
      </c>
      <c r="AB14" s="7">
        <f>$B14 * IFERROR(VLOOKUP("industry|PM25|Minor restricted activity days", US_national_yearly!$D:$AM, 36, FALSE) / VLOOKUP("industry|PM25|Minor restricted activity days", US_national_yearly!$D:$AM, 10, FALSE), 1)</f>
        <v>13.284489237108378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1.9328141570559032</v>
      </c>
      <c r="C15" s="7">
        <f>$B15 * IFERROR(VLOOKUP("industry|PM25|Work loss days", US_national_yearly!$D:$AM, 11, FALSE) / VLOOKUP("industry|PM25|Work loss days", US_national_yearly!$D:$AM, 10, FALSE), 1)</f>
        <v>1.9388066569667246</v>
      </c>
      <c r="D15" s="7">
        <f>$B15 * IFERROR(VLOOKUP("industry|PM25|Work loss days", US_national_yearly!$D:$AM, 12, FALSE) / VLOOKUP("industry|PM25|Work loss days", US_national_yearly!$D:$AM, 10, FALSE), 1)</f>
        <v>1.944799156877546</v>
      </c>
      <c r="E15" s="7">
        <f>$B15 * IFERROR(VLOOKUP("industry|PM25|Work loss days", US_national_yearly!$D:$AM, 13, FALSE) / VLOOKUP("industry|PM25|Work loss days", US_national_yearly!$D:$AM, 10, FALSE), 1)</f>
        <v>1.950791656788367</v>
      </c>
      <c r="F15" s="7">
        <f>$B15 * IFERROR(VLOOKUP("industry|PM25|Work loss days", US_national_yearly!$D:$AM, 14, FALSE) / VLOOKUP("industry|PM25|Work loss days", US_national_yearly!$D:$AM, 10, FALSE), 1)</f>
        <v>1.9567841566991881</v>
      </c>
      <c r="G15" s="7">
        <f>$B15 * IFERROR(VLOOKUP("industry|PM25|Work loss days", US_national_yearly!$D:$AM, 15, FALSE) / VLOOKUP("industry|PM25|Work loss days", US_national_yearly!$D:$AM, 10, FALSE), 1)</f>
        <v>1.9646076277134261</v>
      </c>
      <c r="H15" s="7">
        <f>$B15 * IFERROR(VLOOKUP("industry|PM25|Work loss days", US_national_yearly!$D:$AM, 16, FALSE) / VLOOKUP("industry|PM25|Work loss days", US_national_yearly!$D:$AM, 10, FALSE), 1)</f>
        <v>1.9724310987276643</v>
      </c>
      <c r="I15" s="7">
        <f>$B15 * IFERROR(VLOOKUP("industry|PM25|Work loss days", US_national_yearly!$D:$AM, 17, FALSE) / VLOOKUP("industry|PM25|Work loss days", US_national_yearly!$D:$AM, 10, FALSE), 1)</f>
        <v>1.9838871502202575</v>
      </c>
      <c r="J15" s="7">
        <f>$B15 * IFERROR(VLOOKUP("industry|PM25|Work loss days", US_national_yearly!$D:$AM, 18, FALSE) / VLOOKUP("industry|PM25|Work loss days", US_national_yearly!$D:$AM, 10, FALSE), 1)</f>
        <v>1.995343201712851</v>
      </c>
      <c r="K15" s="7">
        <f>$B15 * IFERROR(VLOOKUP("industry|PM25|Work loss days", US_national_yearly!$D:$AM, 19, FALSE) / VLOOKUP("industry|PM25|Work loss days", US_national_yearly!$D:$AM, 10, FALSE), 1)</f>
        <v>2.0067992532054437</v>
      </c>
      <c r="L15" s="7">
        <f>$B15 * IFERROR(VLOOKUP("industry|PM25|Work loss days", US_national_yearly!$D:$AM, 20, FALSE) / VLOOKUP("industry|PM25|Work loss days", US_national_yearly!$D:$AM, 10, FALSE), 1)</f>
        <v>2.0182553046980374</v>
      </c>
      <c r="M15" s="7">
        <f>$B15 * IFERROR(VLOOKUP("industry|PM25|Work loss days", US_national_yearly!$D:$AM, 21, FALSE) / VLOOKUP("industry|PM25|Work loss days", US_national_yearly!$D:$AM, 10, FALSE), 1)</f>
        <v>2.0297113561906306</v>
      </c>
      <c r="N15" s="7">
        <f>$B15 * IFERROR(VLOOKUP("industry|PM25|Work loss days", US_national_yearly!$D:$AM, 22, FALSE) / VLOOKUP("industry|PM25|Work loss days", US_national_yearly!$D:$AM, 10, FALSE), 1)</f>
        <v>2.0441673894771815</v>
      </c>
      <c r="O15" s="7">
        <f>$B15 * IFERROR(VLOOKUP("industry|PM25|Work loss days", US_national_yearly!$D:$AM, 23, FALSE) / VLOOKUP("industry|PM25|Work loss days", US_national_yearly!$D:$AM, 10, FALSE), 1)</f>
        <v>2.0586234227637323</v>
      </c>
      <c r="P15" s="7">
        <f>$B15 * IFERROR(VLOOKUP("industry|PM25|Work loss days", US_national_yearly!$D:$AM, 24, FALSE) / VLOOKUP("industry|PM25|Work loss days", US_national_yearly!$D:$AM, 10, FALSE), 1)</f>
        <v>2.0730794560502828</v>
      </c>
      <c r="Q15" s="7">
        <f>$B15 * IFERROR(VLOOKUP("industry|PM25|Work loss days", US_national_yearly!$D:$AM, 25, FALSE) / VLOOKUP("industry|PM25|Work loss days", US_national_yearly!$D:$AM, 10, FALSE), 1)</f>
        <v>2.0875354893368332</v>
      </c>
      <c r="R15" s="7">
        <f>$B15 * IFERROR(VLOOKUP("industry|PM25|Work loss days", US_national_yearly!$D:$AM, 26, FALSE) / VLOOKUP("industry|PM25|Work loss days", US_national_yearly!$D:$AM, 10, FALSE), 1)</f>
        <v>2.1019915226233836</v>
      </c>
      <c r="S15" s="7">
        <f>$B15 * IFERROR(VLOOKUP("industry|PM25|Work loss days", US_national_yearly!$D:$AM, 27, FALSE) / VLOOKUP("industry|PM25|Work loss days", US_national_yearly!$D:$AM, 10, FALSE), 1)</f>
        <v>2.1180212141283681</v>
      </c>
      <c r="T15" s="7">
        <f>$B15 * IFERROR(VLOOKUP("industry|PM25|Work loss days", US_national_yearly!$D:$AM, 28, FALSE) / VLOOKUP("industry|PM25|Work loss days", US_national_yearly!$D:$AM, 10, FALSE), 1)</f>
        <v>2.1340509056333525</v>
      </c>
      <c r="U15" s="7">
        <f>$B15 * IFERROR(VLOOKUP("industry|PM25|Work loss days", US_national_yearly!$D:$AM, 29, FALSE) / VLOOKUP("industry|PM25|Work loss days", US_national_yearly!$D:$AM, 10, FALSE), 1)</f>
        <v>2.1500805971383365</v>
      </c>
      <c r="V15" s="7">
        <f>$B15 * IFERROR(VLOOKUP("industry|PM25|Work loss days", US_national_yearly!$D:$AM, 30, FALSE) / VLOOKUP("industry|PM25|Work loss days", US_national_yearly!$D:$AM, 10, FALSE), 1)</f>
        <v>2.1661102886433206</v>
      </c>
      <c r="W15" s="7">
        <f>$B15 * IFERROR(VLOOKUP("industry|PM25|Work loss days", US_national_yearly!$D:$AM, 31, FALSE) / VLOOKUP("industry|PM25|Work loss days", US_national_yearly!$D:$AM, 10, FALSE), 1)</f>
        <v>2.182139980148305</v>
      </c>
      <c r="X15" s="7">
        <f>$B15 * IFERROR(VLOOKUP("industry|PM25|Work loss days", US_national_yearly!$D:$AM, 32, FALSE) / VLOOKUP("industry|PM25|Work loss days", US_national_yearly!$D:$AM, 10, FALSE), 1)</f>
        <v>2.1963844687952387</v>
      </c>
      <c r="Y15" s="7">
        <f>$B15 * IFERROR(VLOOKUP("industry|PM25|Work loss days", US_national_yearly!$D:$AM, 33, FALSE) / VLOOKUP("industry|PM25|Work loss days", US_national_yearly!$D:$AM, 10, FALSE), 1)</f>
        <v>2.2106289574421725</v>
      </c>
      <c r="Z15" s="7">
        <f>$B15 * IFERROR(VLOOKUP("industry|PM25|Work loss days", US_national_yearly!$D:$AM, 34, FALSE) / VLOOKUP("industry|PM25|Work loss days", US_national_yearly!$D:$AM, 10, FALSE), 1)</f>
        <v>2.2248734460891062</v>
      </c>
      <c r="AA15" s="7">
        <f>$B15 * IFERROR(VLOOKUP("industry|PM25|Work loss days", US_national_yearly!$D:$AM, 35, FALSE) / VLOOKUP("industry|PM25|Work loss days", US_national_yearly!$D:$AM, 10, FALSE), 1)</f>
        <v>2.2391179347360395</v>
      </c>
      <c r="AB15" s="7">
        <f>$B15 * IFERROR(VLOOKUP("industry|PM25|Work loss days", US_national_yearly!$D:$AM, 36, FALSE) / VLOOKUP("industry|PM25|Work loss days", US_national_yearly!$D:$AM, 10, FALSE), 1)</f>
        <v>2.2533624233829737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3.3273750863489311E-3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3.4268990084300381E-3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3.5264229305111451E-3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3.6259468525922521E-3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3.7254707746733583E-3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3.8208572804317937E-3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3.9162437861902282E-3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3.9981414605214302E-3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4.0800391348526322E-3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4.161936809183836E-3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4.2438344835150381E-3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4.325732157846241E-3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4.3804401130658217E-3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4.4351480682854015E-3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4.4898560235049813E-3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4.5445639787245612E-3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4.599271933944141E-3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4.6285831296533075E-3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4.657894325362474E-3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4.6872055210716414E-3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4.716516716780807E-3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4.7458279124899735E-3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4.7659557510084626E-3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4.786083589526949E-3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4.8062114280454371E-3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4.8263392665639235E-3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4.8464671050824117E-3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4.6032463057914648E-4</v>
      </c>
      <c r="C2" s="7">
        <f>$B2 * IFERROR(VLOOKUP("industry|NOx|Premature mortality", US_national_yearly!$D:$AM, 11, FALSE) / VLOOKUP("industry|NOx|Premature mortality", US_national_yearly!$D:$AM, 10, FALSE), 1)</f>
        <v>4.6713133006621256E-4</v>
      </c>
      <c r="D2" s="7">
        <f>$B2 * IFERROR(VLOOKUP("industry|NOx|Premature mortality", US_national_yearly!$D:$AM, 12, FALSE) / VLOOKUP("industry|NOx|Premature mortality", US_national_yearly!$D:$AM, 10, FALSE), 1)</f>
        <v>4.7393802955327869E-4</v>
      </c>
      <c r="E2" s="7">
        <f>$B2 * IFERROR(VLOOKUP("industry|NOx|Premature mortality", US_national_yearly!$D:$AM, 13, FALSE) / VLOOKUP("industry|NOx|Premature mortality", US_national_yearly!$D:$AM, 10, FALSE), 1)</f>
        <v>4.8074472904034471E-4</v>
      </c>
      <c r="F2" s="7">
        <f>$B2 * IFERROR(VLOOKUP("industry|NOx|Premature mortality", US_national_yearly!$D:$AM, 14, FALSE) / VLOOKUP("industry|NOx|Premature mortality", US_national_yearly!$D:$AM, 10, FALSE), 1)</f>
        <v>4.875514285274109E-4</v>
      </c>
      <c r="G2" s="7">
        <f>$B2 * IFERROR(VLOOKUP("industry|NOx|Premature mortality", US_national_yearly!$D:$AM, 15, FALSE) / VLOOKUP("industry|NOx|Premature mortality", US_national_yearly!$D:$AM, 10, FALSE), 1)</f>
        <v>4.9975838969749942E-4</v>
      </c>
      <c r="H2" s="7">
        <f>$B2 * IFERROR(VLOOKUP("industry|NOx|Premature mortality", US_national_yearly!$D:$AM, 16, FALSE) / VLOOKUP("industry|NOx|Premature mortality", US_national_yearly!$D:$AM, 10, FALSE), 1)</f>
        <v>5.1196535086758788E-4</v>
      </c>
      <c r="I2" s="7">
        <f>$B2 * IFERROR(VLOOKUP("industry|NOx|Premature mortality", US_national_yearly!$D:$AM, 17, FALSE) / VLOOKUP("industry|NOx|Premature mortality", US_national_yearly!$D:$AM, 10, FALSE), 1)</f>
        <v>5.1988441732428632E-4</v>
      </c>
      <c r="J2" s="7">
        <f>$B2 * IFERROR(VLOOKUP("industry|NOx|Premature mortality", US_national_yearly!$D:$AM, 18, FALSE) / VLOOKUP("industry|NOx|Premature mortality", US_national_yearly!$D:$AM, 10, FALSE), 1)</f>
        <v>5.2780348378098476E-4</v>
      </c>
      <c r="K2" s="7">
        <f>$B2 * IFERROR(VLOOKUP("industry|NOx|Premature mortality", US_national_yearly!$D:$AM, 19, FALSE) / VLOOKUP("industry|NOx|Premature mortality", US_national_yearly!$D:$AM, 10, FALSE), 1)</f>
        <v>5.357225502376833E-4</v>
      </c>
      <c r="L2" s="7">
        <f>$B2 * IFERROR(VLOOKUP("industry|NOx|Premature mortality", US_national_yearly!$D:$AM, 20, FALSE) / VLOOKUP("industry|NOx|Premature mortality", US_national_yearly!$D:$AM, 10, FALSE), 1)</f>
        <v>5.4364161669438163E-4</v>
      </c>
      <c r="M2" s="7">
        <f>$B2 * IFERROR(VLOOKUP("industry|NOx|Premature mortality", US_national_yearly!$D:$AM, 21, FALSE) / VLOOKUP("industry|NOx|Premature mortality", US_national_yearly!$D:$AM, 10, FALSE), 1)</f>
        <v>5.5156068315108007E-4</v>
      </c>
      <c r="N2" s="7">
        <f>$B2 * IFERROR(VLOOKUP("industry|NOx|Premature mortality", US_national_yearly!$D:$AM, 22, FALSE) / VLOOKUP("industry|NOx|Premature mortality", US_national_yearly!$D:$AM, 10, FALSE), 1)</f>
        <v>5.5745350195738534E-4</v>
      </c>
      <c r="O2" s="7">
        <f>$B2 * IFERROR(VLOOKUP("industry|NOx|Premature mortality", US_national_yearly!$D:$AM, 23, FALSE) / VLOOKUP("industry|NOx|Premature mortality", US_national_yearly!$D:$AM, 10, FALSE), 1)</f>
        <v>5.633463207636904E-4</v>
      </c>
      <c r="P2" s="7">
        <f>$B2 * IFERROR(VLOOKUP("industry|NOx|Premature mortality", US_national_yearly!$D:$AM, 24, FALSE) / VLOOKUP("industry|NOx|Premature mortality", US_national_yearly!$D:$AM, 10, FALSE), 1)</f>
        <v>5.6923913956999535E-4</v>
      </c>
      <c r="Q2" s="7">
        <f>$B2 * IFERROR(VLOOKUP("industry|NOx|Premature mortality", US_national_yearly!$D:$AM, 25, FALSE) / VLOOKUP("industry|NOx|Premature mortality", US_national_yearly!$D:$AM, 10, FALSE), 1)</f>
        <v>5.7513195837630051E-4</v>
      </c>
      <c r="R2" s="7">
        <f>$B2 * IFERROR(VLOOKUP("industry|NOx|Premature mortality", US_national_yearly!$D:$AM, 26, FALSE) / VLOOKUP("industry|NOx|Premature mortality", US_national_yearly!$D:$AM, 10, FALSE), 1)</f>
        <v>5.8102477718260557E-4</v>
      </c>
      <c r="S2" s="7">
        <f>$B2 * IFERROR(VLOOKUP("industry|NOx|Premature mortality", US_national_yearly!$D:$AM, 27, FALSE) / VLOOKUP("industry|NOx|Premature mortality", US_national_yearly!$D:$AM, 10, FALSE), 1)</f>
        <v>5.8376882939459155E-4</v>
      </c>
      <c r="T2" s="7">
        <f>$B2 * IFERROR(VLOOKUP("industry|NOx|Premature mortality", US_national_yearly!$D:$AM, 28, FALSE) / VLOOKUP("industry|NOx|Premature mortality", US_national_yearly!$D:$AM, 10, FALSE), 1)</f>
        <v>5.8651288160657764E-4</v>
      </c>
      <c r="U2" s="7">
        <f>$B2 * IFERROR(VLOOKUP("industry|NOx|Premature mortality", US_national_yearly!$D:$AM, 29, FALSE) / VLOOKUP("industry|NOx|Premature mortality", US_national_yearly!$D:$AM, 10, FALSE), 1)</f>
        <v>5.8925693381856362E-4</v>
      </c>
      <c r="V2" s="7">
        <f>$B2 * IFERROR(VLOOKUP("industry|NOx|Premature mortality", US_national_yearly!$D:$AM, 30, FALSE) / VLOOKUP("industry|NOx|Premature mortality", US_national_yearly!$D:$AM, 10, FALSE), 1)</f>
        <v>5.9200098603054961E-4</v>
      </c>
      <c r="W2" s="7">
        <f>$B2 * IFERROR(VLOOKUP("industry|NOx|Premature mortality", US_national_yearly!$D:$AM, 31, FALSE) / VLOOKUP("industry|NOx|Premature mortality", US_national_yearly!$D:$AM, 10, FALSE), 1)</f>
        <v>5.9474503824253559E-4</v>
      </c>
      <c r="X2" s="7">
        <f>$B2 * IFERROR(VLOOKUP("industry|NOx|Premature mortality", US_national_yearly!$D:$AM, 32, FALSE) / VLOOKUP("industry|NOx|Premature mortality", US_national_yearly!$D:$AM, 10, FALSE), 1)</f>
        <v>5.9495474748853816E-4</v>
      </c>
      <c r="Y2" s="7">
        <f>$B2 * IFERROR(VLOOKUP("industry|NOx|Premature mortality", US_national_yearly!$D:$AM, 33, FALSE) / VLOOKUP("industry|NOx|Premature mortality", US_national_yearly!$D:$AM, 10, FALSE), 1)</f>
        <v>5.9516445673454073E-4</v>
      </c>
      <c r="Z2" s="7">
        <f>$B2 * IFERROR(VLOOKUP("industry|NOx|Premature mortality", US_national_yearly!$D:$AM, 34, FALSE) / VLOOKUP("industry|NOx|Premature mortality", US_national_yearly!$D:$AM, 10, FALSE), 1)</f>
        <v>5.9537416598054341E-4</v>
      </c>
      <c r="AA2" s="7">
        <f>$B2 * IFERROR(VLOOKUP("industry|NOx|Premature mortality", US_national_yearly!$D:$AM, 35, FALSE) / VLOOKUP("industry|NOx|Premature mortality", US_national_yearly!$D:$AM, 10, FALSE), 1)</f>
        <v>5.9558387522654598E-4</v>
      </c>
      <c r="AB2" s="7">
        <f>$B2 * IFERROR(VLOOKUP("industry|NOx|Premature mortality", US_national_yearly!$D:$AM, 36, FALSE) / VLOOKUP("industry|NOx|Premature mortality", US_national_yearly!$D:$AM, 10, FALSE), 1)</f>
        <v>5.9579358447254854E-4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1.1266153248921373E-6</v>
      </c>
      <c r="C3" s="7">
        <f>$B3 * IFERROR(VLOOKUP("industry|NOx|Infant mortality", US_national_yearly!$D:$AM, 11, FALSE) / VLOOKUP("industry|NOx|Infant mortality", US_national_yearly!$D:$AM, 10, FALSE), 1)</f>
        <v>1.1158259187262676E-6</v>
      </c>
      <c r="D3" s="7">
        <f>$B3 * IFERROR(VLOOKUP("industry|NOx|Infant mortality", US_national_yearly!$D:$AM, 12, FALSE) / VLOOKUP("industry|NOx|Infant mortality", US_national_yearly!$D:$AM, 10, FALSE), 1)</f>
        <v>1.105036512560398E-6</v>
      </c>
      <c r="E3" s="7">
        <f>$B3 * IFERROR(VLOOKUP("industry|NOx|Infant mortality", US_national_yearly!$D:$AM, 13, FALSE) / VLOOKUP("industry|NOx|Infant mortality", US_national_yearly!$D:$AM, 10, FALSE), 1)</f>
        <v>1.0942471063945283E-6</v>
      </c>
      <c r="F3" s="7">
        <f>$B3 * IFERROR(VLOOKUP("industry|NOx|Infant mortality", US_national_yearly!$D:$AM, 14, FALSE) / VLOOKUP("industry|NOx|Infant mortality", US_national_yearly!$D:$AM, 10, FALSE), 1)</f>
        <v>1.0834577002286584E-6</v>
      </c>
      <c r="G3" s="7">
        <f>$B3 * IFERROR(VLOOKUP("industry|NOx|Infant mortality", US_national_yearly!$D:$AM, 15, FALSE) / VLOOKUP("industry|NOx|Infant mortality", US_national_yearly!$D:$AM, 10, FALSE), 1)</f>
        <v>7.1864474632822134E-7</v>
      </c>
      <c r="H3" s="7">
        <f>$B3 * IFERROR(VLOOKUP("industry|NOx|Infant mortality", US_national_yearly!$D:$AM, 16, FALSE) / VLOOKUP("industry|NOx|Infant mortality", US_national_yearly!$D:$AM, 10, FALSE), 1)</f>
        <v>3.5383179242778433E-7</v>
      </c>
      <c r="I3" s="7">
        <f>$B3 * IFERROR(VLOOKUP("industry|NOx|Infant mortality", US_national_yearly!$D:$AM, 17, FALSE) / VLOOKUP("industry|NOx|Infant mortality", US_national_yearly!$D:$AM, 10, FALSE), 1)</f>
        <v>3.512808179758709E-7</v>
      </c>
      <c r="J3" s="7">
        <f>$B3 * IFERROR(VLOOKUP("industry|NOx|Infant mortality", US_national_yearly!$D:$AM, 18, FALSE) / VLOOKUP("industry|NOx|Infant mortality", US_national_yearly!$D:$AM, 10, FALSE), 1)</f>
        <v>3.4872984352395747E-7</v>
      </c>
      <c r="K3" s="7">
        <f>$B3 * IFERROR(VLOOKUP("industry|NOx|Infant mortality", US_national_yearly!$D:$AM, 19, FALSE) / VLOOKUP("industry|NOx|Infant mortality", US_national_yearly!$D:$AM, 10, FALSE), 1)</f>
        <v>3.4617886907204404E-7</v>
      </c>
      <c r="L3" s="7">
        <f>$B3 * IFERROR(VLOOKUP("industry|NOx|Infant mortality", US_national_yearly!$D:$AM, 20, FALSE) / VLOOKUP("industry|NOx|Infant mortality", US_national_yearly!$D:$AM, 10, FALSE), 1)</f>
        <v>3.436278946201305E-7</v>
      </c>
      <c r="M3" s="7">
        <f>$B3 * IFERROR(VLOOKUP("industry|NOx|Infant mortality", US_national_yearly!$D:$AM, 21, FALSE) / VLOOKUP("industry|NOx|Infant mortality", US_national_yearly!$D:$AM, 10, FALSE), 1)</f>
        <v>3.4107692016821707E-7</v>
      </c>
      <c r="N3" s="7">
        <f>$B3 * IFERROR(VLOOKUP("industry|NOx|Infant mortality", US_national_yearly!$D:$AM, 22, FALSE) / VLOOKUP("industry|NOx|Infant mortality", US_national_yearly!$D:$AM, 10, FALSE), 1)</f>
        <v>3.3935818864922448E-7</v>
      </c>
      <c r="O3" s="7">
        <f>$B3 * IFERROR(VLOOKUP("industry|NOx|Infant mortality", US_national_yearly!$D:$AM, 23, FALSE) / VLOOKUP("industry|NOx|Infant mortality", US_national_yearly!$D:$AM, 10, FALSE), 1)</f>
        <v>3.3763945713023183E-7</v>
      </c>
      <c r="P3" s="7">
        <f>$B3 * IFERROR(VLOOKUP("industry|NOx|Infant mortality", US_national_yearly!$D:$AM, 24, FALSE) / VLOOKUP("industry|NOx|Infant mortality", US_national_yearly!$D:$AM, 10, FALSE), 1)</f>
        <v>3.3592072561123924E-7</v>
      </c>
      <c r="Q3" s="7">
        <f>$B3 * IFERROR(VLOOKUP("industry|NOx|Infant mortality", US_national_yearly!$D:$AM, 25, FALSE) / VLOOKUP("industry|NOx|Infant mortality", US_national_yearly!$D:$AM, 10, FALSE), 1)</f>
        <v>3.3420199409224665E-7</v>
      </c>
      <c r="R3" s="7">
        <f>$B3 * IFERROR(VLOOKUP("industry|NOx|Infant mortality", US_national_yearly!$D:$AM, 26, FALSE) / VLOOKUP("industry|NOx|Infant mortality", US_national_yearly!$D:$AM, 10, FALSE), 1)</f>
        <v>3.3248326257325406E-7</v>
      </c>
      <c r="S3" s="7">
        <f>$B3 * IFERROR(VLOOKUP("industry|NOx|Infant mortality", US_national_yearly!$D:$AM, 27, FALSE) / VLOOKUP("industry|NOx|Infant mortality", US_national_yearly!$D:$AM, 10, FALSE), 1)</f>
        <v>3.3044229962206244E-7</v>
      </c>
      <c r="T3" s="7">
        <f>$B3 * IFERROR(VLOOKUP("industry|NOx|Infant mortality", US_national_yearly!$D:$AM, 28, FALSE) / VLOOKUP("industry|NOx|Infant mortality", US_national_yearly!$D:$AM, 10, FALSE), 1)</f>
        <v>3.2840133667087077E-7</v>
      </c>
      <c r="U3" s="7">
        <f>$B3 * IFERROR(VLOOKUP("industry|NOx|Infant mortality", US_national_yearly!$D:$AM, 29, FALSE) / VLOOKUP("industry|NOx|Infant mortality", US_national_yearly!$D:$AM, 10, FALSE), 1)</f>
        <v>3.263603737196791E-7</v>
      </c>
      <c r="V3" s="7">
        <f>$B3 * IFERROR(VLOOKUP("industry|NOx|Infant mortality", US_national_yearly!$D:$AM, 30, FALSE) / VLOOKUP("industry|NOx|Infant mortality", US_national_yearly!$D:$AM, 10, FALSE), 1)</f>
        <v>3.2431941076848749E-7</v>
      </c>
      <c r="W3" s="7">
        <f>$B3 * IFERROR(VLOOKUP("industry|NOx|Infant mortality", US_national_yearly!$D:$AM, 31, FALSE) / VLOOKUP("industry|NOx|Infant mortality", US_national_yearly!$D:$AM, 10, FALSE), 1)</f>
        <v>3.2227844781729587E-7</v>
      </c>
      <c r="X3" s="7">
        <f>$B3 * IFERROR(VLOOKUP("industry|NOx|Infant mortality", US_national_yearly!$D:$AM, 32, FALSE) / VLOOKUP("industry|NOx|Infant mortality", US_national_yearly!$D:$AM, 10, FALSE), 1)</f>
        <v>3.2013521072665336E-7</v>
      </c>
      <c r="Y3" s="7">
        <f>$B3 * IFERROR(VLOOKUP("industry|NOx|Infant mortality", US_national_yearly!$D:$AM, 33, FALSE) / VLOOKUP("industry|NOx|Infant mortality", US_national_yearly!$D:$AM, 10, FALSE), 1)</f>
        <v>3.1799197363601085E-7</v>
      </c>
      <c r="Z3" s="7">
        <f>$B3 * IFERROR(VLOOKUP("industry|NOx|Infant mortality", US_national_yearly!$D:$AM, 34, FALSE) / VLOOKUP("industry|NOx|Infant mortality", US_national_yearly!$D:$AM, 10, FALSE), 1)</f>
        <v>3.1584873654536839E-7</v>
      </c>
      <c r="AA3" s="7">
        <f>$B3 * IFERROR(VLOOKUP("industry|NOx|Infant mortality", US_national_yearly!$D:$AM, 35, FALSE) / VLOOKUP("industry|NOx|Infant mortality", US_national_yearly!$D:$AM, 10, FALSE), 1)</f>
        <v>3.1370549945472593E-7</v>
      </c>
      <c r="AB3" s="7">
        <f>$B3 * IFERROR(VLOOKUP("industry|NOx|Infant mortality", US_national_yearly!$D:$AM, 36, FALSE) / VLOOKUP("industry|NOx|Infant mortality", US_national_yearly!$D:$AM, 10, FALSE), 1)</f>
        <v>3.1156226236408342E-7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1.1343322202396929E-3</v>
      </c>
      <c r="C6" s="7">
        <f>$B6 * IFERROR(VLOOKUP("industry|NOx|Asthma symptoms cough", US_national_yearly!$D:$AM, 11, FALSE) / VLOOKUP("industry|NOx|Asthma symptoms cough", US_national_yearly!$D:$AM, 10, FALSE), 1)</f>
        <v>1.1498502699119517E-3</v>
      </c>
      <c r="D6" s="7">
        <f>$B6 * IFERROR(VLOOKUP("industry|NOx|Asthma symptoms cough", US_national_yearly!$D:$AM, 12, FALSE) / VLOOKUP("industry|NOx|Asthma symptoms cough", US_national_yearly!$D:$AM, 10, FALSE), 1)</f>
        <v>1.1653683195842106E-3</v>
      </c>
      <c r="E6" s="7">
        <f>$B6 * IFERROR(VLOOKUP("industry|NOx|Asthma symptoms cough", US_national_yearly!$D:$AM, 13, FALSE) / VLOOKUP("industry|NOx|Asthma symptoms cough", US_national_yearly!$D:$AM, 10, FALSE), 1)</f>
        <v>1.1808863692564695E-3</v>
      </c>
      <c r="F6" s="7">
        <f>$B6 * IFERROR(VLOOKUP("industry|NOx|Asthma symptoms cough", US_national_yearly!$D:$AM, 14, FALSE) / VLOOKUP("industry|NOx|Asthma symptoms cough", US_national_yearly!$D:$AM, 10, FALSE), 1)</f>
        <v>1.1964044189287286E-3</v>
      </c>
      <c r="G6" s="7">
        <f>$B6 * IFERROR(VLOOKUP("industry|NOx|Asthma symptoms cough", US_national_yearly!$D:$AM, 15, FALSE) / VLOOKUP("industry|NOx|Asthma symptoms cough", US_national_yearly!$D:$AM, 10, FALSE), 1)</f>
        <v>1.2088474873352467E-3</v>
      </c>
      <c r="H6" s="7">
        <f>$B6 * IFERROR(VLOOKUP("industry|NOx|Asthma symptoms cough", US_national_yearly!$D:$AM, 16, FALSE) / VLOOKUP("industry|NOx|Asthma symptoms cough", US_national_yearly!$D:$AM, 10, FALSE), 1)</f>
        <v>1.221290555741765E-3</v>
      </c>
      <c r="I6" s="7">
        <f>$B6 * IFERROR(VLOOKUP("industry|NOx|Asthma symptoms cough", US_national_yearly!$D:$AM, 17, FALSE) / VLOOKUP("industry|NOx|Asthma symptoms cough", US_national_yearly!$D:$AM, 10, FALSE), 1)</f>
        <v>1.2256208538558671E-3</v>
      </c>
      <c r="J6" s="7">
        <f>$B6 * IFERROR(VLOOKUP("industry|NOx|Asthma symptoms cough", US_national_yearly!$D:$AM, 18, FALSE) / VLOOKUP("industry|NOx|Asthma symptoms cough", US_national_yearly!$D:$AM, 10, FALSE), 1)</f>
        <v>1.2299511519699693E-3</v>
      </c>
      <c r="K6" s="7">
        <f>$B6 * IFERROR(VLOOKUP("industry|NOx|Asthma symptoms cough", US_national_yearly!$D:$AM, 19, FALSE) / VLOOKUP("industry|NOx|Asthma symptoms cough", US_national_yearly!$D:$AM, 10, FALSE), 1)</f>
        <v>1.2342814500840714E-3</v>
      </c>
      <c r="L6" s="7">
        <f>$B6 * IFERROR(VLOOKUP("industry|NOx|Asthma symptoms cough", US_national_yearly!$D:$AM, 20, FALSE) / VLOOKUP("industry|NOx|Asthma symptoms cough", US_national_yearly!$D:$AM, 10, FALSE), 1)</f>
        <v>1.2386117481981737E-3</v>
      </c>
      <c r="M6" s="7">
        <f>$B6 * IFERROR(VLOOKUP("industry|NOx|Asthma symptoms cough", US_national_yearly!$D:$AM, 21, FALSE) / VLOOKUP("industry|NOx|Asthma symptoms cough", US_national_yearly!$D:$AM, 10, FALSE), 1)</f>
        <v>1.242942046312276E-3</v>
      </c>
      <c r="N6" s="7">
        <f>$B6 * IFERROR(VLOOKUP("industry|NOx|Asthma symptoms cough", US_national_yearly!$D:$AM, 22, FALSE) / VLOOKUP("industry|NOx|Asthma symptoms cough", US_national_yearly!$D:$AM, 10, FALSE), 1)</f>
        <v>1.247885199820915E-3</v>
      </c>
      <c r="O6" s="7">
        <f>$B6 * IFERROR(VLOOKUP("industry|NOx|Asthma symptoms cough", US_national_yearly!$D:$AM, 23, FALSE) / VLOOKUP("industry|NOx|Asthma symptoms cough", US_national_yearly!$D:$AM, 10, FALSE), 1)</f>
        <v>1.2528283533295537E-3</v>
      </c>
      <c r="P6" s="7">
        <f>$B6 * IFERROR(VLOOKUP("industry|NOx|Asthma symptoms cough", US_national_yearly!$D:$AM, 24, FALSE) / VLOOKUP("industry|NOx|Asthma symptoms cough", US_national_yearly!$D:$AM, 10, FALSE), 1)</f>
        <v>1.2577715068381927E-3</v>
      </c>
      <c r="Q6" s="7">
        <f>$B6 * IFERROR(VLOOKUP("industry|NOx|Asthma symptoms cough", US_national_yearly!$D:$AM, 25, FALSE) / VLOOKUP("industry|NOx|Asthma symptoms cough", US_national_yearly!$D:$AM, 10, FALSE), 1)</f>
        <v>1.2627146603468318E-3</v>
      </c>
      <c r="R6" s="7">
        <f>$B6 * IFERROR(VLOOKUP("industry|NOx|Asthma symptoms cough", US_national_yearly!$D:$AM, 26, FALSE) / VLOOKUP("industry|NOx|Asthma symptoms cough", US_national_yearly!$D:$AM, 10, FALSE), 1)</f>
        <v>1.2676578138554708E-3</v>
      </c>
      <c r="S6" s="7">
        <f>$B6 * IFERROR(VLOOKUP("industry|NOx|Asthma symptoms cough", US_national_yearly!$D:$AM, 27, FALSE) / VLOOKUP("industry|NOx|Asthma symptoms cough", US_national_yearly!$D:$AM, 10, FALSE), 1)</f>
        <v>1.2740342631667979E-3</v>
      </c>
      <c r="T6" s="7">
        <f>$B6 * IFERROR(VLOOKUP("industry|NOx|Asthma symptoms cough", US_national_yearly!$D:$AM, 28, FALSE) / VLOOKUP("industry|NOx|Asthma symptoms cough", US_national_yearly!$D:$AM, 10, FALSE), 1)</f>
        <v>1.2804107124781249E-3</v>
      </c>
      <c r="U6" s="7">
        <f>$B6 * IFERROR(VLOOKUP("industry|NOx|Asthma symptoms cough", US_national_yearly!$D:$AM, 29, FALSE) / VLOOKUP("industry|NOx|Asthma symptoms cough", US_national_yearly!$D:$AM, 10, FALSE), 1)</f>
        <v>1.286787161789452E-3</v>
      </c>
      <c r="V6" s="7">
        <f>$B6 * IFERROR(VLOOKUP("industry|NOx|Asthma symptoms cough", US_national_yearly!$D:$AM, 30, FALSE) / VLOOKUP("industry|NOx|Asthma symptoms cough", US_national_yearly!$D:$AM, 10, FALSE), 1)</f>
        <v>1.2931636111007789E-3</v>
      </c>
      <c r="W6" s="7">
        <f>$B6 * IFERROR(VLOOKUP("industry|NOx|Asthma symptoms cough", US_national_yearly!$D:$AM, 31, FALSE) / VLOOKUP("industry|NOx|Asthma symptoms cough", US_national_yearly!$D:$AM, 10, FALSE), 1)</f>
        <v>1.2995400604121062E-3</v>
      </c>
      <c r="X6" s="7">
        <f>$B6 * IFERROR(VLOOKUP("industry|NOx|Asthma symptoms cough", US_national_yearly!$D:$AM, 32, FALSE) / VLOOKUP("industry|NOx|Asthma symptoms cough", US_national_yearly!$D:$AM, 10, FALSE), 1)</f>
        <v>1.3054515192638429E-3</v>
      </c>
      <c r="Y6" s="7">
        <f>$B6 * IFERROR(VLOOKUP("industry|NOx|Asthma symptoms cough", US_national_yearly!$D:$AM, 33, FALSE) / VLOOKUP("industry|NOx|Asthma symptoms cough", US_national_yearly!$D:$AM, 10, FALSE), 1)</f>
        <v>1.3113629781155794E-3</v>
      </c>
      <c r="Z6" s="7">
        <f>$B6 * IFERROR(VLOOKUP("industry|NOx|Asthma symptoms cough", US_national_yearly!$D:$AM, 34, FALSE) / VLOOKUP("industry|NOx|Asthma symptoms cough", US_national_yearly!$D:$AM, 10, FALSE), 1)</f>
        <v>1.3172744369673161E-3</v>
      </c>
      <c r="AA6" s="7">
        <f>$B6 * IFERROR(VLOOKUP("industry|NOx|Asthma symptoms cough", US_national_yearly!$D:$AM, 35, FALSE) / VLOOKUP("industry|NOx|Asthma symptoms cough", US_national_yearly!$D:$AM, 10, FALSE), 1)</f>
        <v>1.3231858958190526E-3</v>
      </c>
      <c r="AB6" s="7">
        <f>$B6 * IFERROR(VLOOKUP("industry|NOx|Asthma symptoms cough", US_national_yearly!$D:$AM, 36, FALSE) / VLOOKUP("industry|NOx|Asthma symptoms cough", US_national_yearly!$D:$AM, 10, FALSE), 1)</f>
        <v>1.3290973546707893E-3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1.5275413210406211E-3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1.5484386045904767E-3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1.5693358881403326E-3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1.5902331716901882E-3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1.6111304552400443E-3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1.6278868346693103E-3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1.6446432140985762E-3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1.6504745826311392E-3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1.6563059511637021E-3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1.6621373196962651E-3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1.6679686882288287E-3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1.6738000567613916E-3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1.6804567231484206E-3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1.6871133895354493E-3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1.6937700559224787E-3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1.7004267223095079E-3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1.7070833886965368E-3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1.7156701938403323E-3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1.724256998984128E-3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1.7328438041279235E-3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1.7414306092717194E-3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1.7500174144155145E-3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1.7579780430877353E-3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1.7659386717599559E-3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1.7738993004321763E-3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1.7818599291043969E-3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1.7898205577766173E-3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2.3338299992894302E-3</v>
      </c>
      <c r="C8" s="7">
        <f>$B8 * IFERROR(VLOOKUP("industry|NOx|Asthma symptoms wheeze", US_national_yearly!$D:$AM, 11, FALSE) / VLOOKUP("industry|NOx|Asthma symptoms wheeze", US_national_yearly!$D:$AM, 10, FALSE), 1)</f>
        <v>2.3657575856118641E-3</v>
      </c>
      <c r="D8" s="7">
        <f>$B8 * IFERROR(VLOOKUP("industry|NOx|Asthma symptoms wheeze", US_national_yearly!$D:$AM, 12, FALSE) / VLOOKUP("industry|NOx|Asthma symptoms wheeze", US_national_yearly!$D:$AM, 10, FALSE), 1)</f>
        <v>2.3976851719342981E-3</v>
      </c>
      <c r="E8" s="7">
        <f>$B8 * IFERROR(VLOOKUP("industry|NOx|Asthma symptoms wheeze", US_national_yearly!$D:$AM, 13, FALSE) / VLOOKUP("industry|NOx|Asthma symptoms wheeze", US_national_yearly!$D:$AM, 10, FALSE), 1)</f>
        <v>2.429612758256732E-3</v>
      </c>
      <c r="F8" s="7">
        <f>$B8 * IFERROR(VLOOKUP("industry|NOx|Asthma symptoms wheeze", US_national_yearly!$D:$AM, 14, FALSE) / VLOOKUP("industry|NOx|Asthma symptoms wheeze", US_national_yearly!$D:$AM, 10, FALSE), 1)</f>
        <v>2.461540344579165E-3</v>
      </c>
      <c r="G8" s="7">
        <f>$B8 * IFERROR(VLOOKUP("industry|NOx|Asthma symptoms wheeze", US_national_yearly!$D:$AM, 15, FALSE) / VLOOKUP("industry|NOx|Asthma symptoms wheeze", US_national_yearly!$D:$AM, 10, FALSE), 1)</f>
        <v>2.4871413156519581E-3</v>
      </c>
      <c r="H8" s="7">
        <f>$B8 * IFERROR(VLOOKUP("industry|NOx|Asthma symptoms wheeze", US_national_yearly!$D:$AM, 16, FALSE) / VLOOKUP("industry|NOx|Asthma symptoms wheeze", US_national_yearly!$D:$AM, 10, FALSE), 1)</f>
        <v>2.5127422867247499E-3</v>
      </c>
      <c r="I8" s="7">
        <f>$B8 * IFERROR(VLOOKUP("industry|NOx|Asthma symptoms wheeze", US_national_yearly!$D:$AM, 17, FALSE) / VLOOKUP("industry|NOx|Asthma symptoms wheeze", US_national_yearly!$D:$AM, 10, FALSE), 1)</f>
        <v>2.5216516516198932E-3</v>
      </c>
      <c r="J8" s="7">
        <f>$B8 * IFERROR(VLOOKUP("industry|NOx|Asthma symptoms wheeze", US_national_yearly!$D:$AM, 18, FALSE) / VLOOKUP("industry|NOx|Asthma symptoms wheeze", US_national_yearly!$D:$AM, 10, FALSE), 1)</f>
        <v>2.530561016515036E-3</v>
      </c>
      <c r="K8" s="7">
        <f>$B8 * IFERROR(VLOOKUP("industry|NOx|Asthma symptoms wheeze", US_national_yearly!$D:$AM, 19, FALSE) / VLOOKUP("industry|NOx|Asthma symptoms wheeze", US_national_yearly!$D:$AM, 10, FALSE), 1)</f>
        <v>2.5394703814101793E-3</v>
      </c>
      <c r="L8" s="7">
        <f>$B8 * IFERROR(VLOOKUP("industry|NOx|Asthma symptoms wheeze", US_national_yearly!$D:$AM, 20, FALSE) / VLOOKUP("industry|NOx|Asthma symptoms wheeze", US_national_yearly!$D:$AM, 10, FALSE), 1)</f>
        <v>2.5483797463053217E-3</v>
      </c>
      <c r="M8" s="7">
        <f>$B8 * IFERROR(VLOOKUP("industry|NOx|Asthma symptoms wheeze", US_national_yearly!$D:$AM, 21, FALSE) / VLOOKUP("industry|NOx|Asthma symptoms wheeze", US_national_yearly!$D:$AM, 10, FALSE), 1)</f>
        <v>2.5572891112004654E-3</v>
      </c>
      <c r="N8" s="7">
        <f>$B8 * IFERROR(VLOOKUP("industry|NOx|Asthma symptoms wheeze", US_national_yearly!$D:$AM, 22, FALSE) / VLOOKUP("industry|NOx|Asthma symptoms wheeze", US_national_yearly!$D:$AM, 10, FALSE), 1)</f>
        <v>2.5674593944399848E-3</v>
      </c>
      <c r="O8" s="7">
        <f>$B8 * IFERROR(VLOOKUP("industry|NOx|Asthma symptoms wheeze", US_national_yearly!$D:$AM, 23, FALSE) / VLOOKUP("industry|NOx|Asthma symptoms wheeze", US_national_yearly!$D:$AM, 10, FALSE), 1)</f>
        <v>2.5776296776795046E-3</v>
      </c>
      <c r="P8" s="7">
        <f>$B8 * IFERROR(VLOOKUP("industry|NOx|Asthma symptoms wheeze", US_national_yearly!$D:$AM, 24, FALSE) / VLOOKUP("industry|NOx|Asthma symptoms wheeze", US_national_yearly!$D:$AM, 10, FALSE), 1)</f>
        <v>2.5877999609190236E-3</v>
      </c>
      <c r="Q8" s="7">
        <f>$B8 * IFERROR(VLOOKUP("industry|NOx|Asthma symptoms wheeze", US_national_yearly!$D:$AM, 25, FALSE) / VLOOKUP("industry|NOx|Asthma symptoms wheeze", US_national_yearly!$D:$AM, 10, FALSE), 1)</f>
        <v>2.5979702441585434E-3</v>
      </c>
      <c r="R8" s="7">
        <f>$B8 * IFERROR(VLOOKUP("industry|NOx|Asthma symptoms wheeze", US_national_yearly!$D:$AM, 26, FALSE) / VLOOKUP("industry|NOx|Asthma symptoms wheeze", US_national_yearly!$D:$AM, 10, FALSE), 1)</f>
        <v>2.6081405273980633E-3</v>
      </c>
      <c r="S8" s="7">
        <f>$B8 * IFERROR(VLOOKUP("industry|NOx|Asthma symptoms wheeze", US_national_yearly!$D:$AM, 27, FALSE) / VLOOKUP("industry|NOx|Asthma symptoms wheeze", US_national_yearly!$D:$AM, 10, FALSE), 1)</f>
        <v>2.6212597427782134E-3</v>
      </c>
      <c r="T8" s="7">
        <f>$B8 * IFERROR(VLOOKUP("industry|NOx|Asthma symptoms wheeze", US_national_yearly!$D:$AM, 28, FALSE) / VLOOKUP("industry|NOx|Asthma symptoms wheeze", US_national_yearly!$D:$AM, 10, FALSE), 1)</f>
        <v>2.6343789581583631E-3</v>
      </c>
      <c r="U8" s="7">
        <f>$B8 * IFERROR(VLOOKUP("industry|NOx|Asthma symptoms wheeze", US_national_yearly!$D:$AM, 29, FALSE) / VLOOKUP("industry|NOx|Asthma symptoms wheeze", US_national_yearly!$D:$AM, 10, FALSE), 1)</f>
        <v>2.6474981735385129E-3</v>
      </c>
      <c r="V8" s="7">
        <f>$B8 * IFERROR(VLOOKUP("industry|NOx|Asthma symptoms wheeze", US_national_yearly!$D:$AM, 30, FALSE) / VLOOKUP("industry|NOx|Asthma symptoms wheeze", US_national_yearly!$D:$AM, 10, FALSE), 1)</f>
        <v>2.6606173889186626E-3</v>
      </c>
      <c r="W8" s="7">
        <f>$B8 * IFERROR(VLOOKUP("industry|NOx|Asthma symptoms wheeze", US_national_yearly!$D:$AM, 31, FALSE) / VLOOKUP("industry|NOx|Asthma symptoms wheeze", US_national_yearly!$D:$AM, 10, FALSE), 1)</f>
        <v>2.6737366042988123E-3</v>
      </c>
      <c r="X8" s="7">
        <f>$B8 * IFERROR(VLOOKUP("industry|NOx|Asthma symptoms wheeze", US_national_yearly!$D:$AM, 32, FALSE) / VLOOKUP("industry|NOx|Asthma symptoms wheeze", US_national_yearly!$D:$AM, 10, FALSE), 1)</f>
        <v>2.6858991258055494E-3</v>
      </c>
      <c r="Y8" s="7">
        <f>$B8 * IFERROR(VLOOKUP("industry|NOx|Asthma symptoms wheeze", US_national_yearly!$D:$AM, 33, FALSE) / VLOOKUP("industry|NOx|Asthma symptoms wheeze", US_national_yearly!$D:$AM, 10, FALSE), 1)</f>
        <v>2.6980616473122861E-3</v>
      </c>
      <c r="Z8" s="7">
        <f>$B8 * IFERROR(VLOOKUP("industry|NOx|Asthma symptoms wheeze", US_national_yearly!$D:$AM, 34, FALSE) / VLOOKUP("industry|NOx|Asthma symptoms wheeze", US_national_yearly!$D:$AM, 10, FALSE), 1)</f>
        <v>2.7102241688190224E-3</v>
      </c>
      <c r="AA8" s="7">
        <f>$B8 * IFERROR(VLOOKUP("industry|NOx|Asthma symptoms wheeze", US_national_yearly!$D:$AM, 35, FALSE) / VLOOKUP("industry|NOx|Asthma symptoms wheeze", US_national_yearly!$D:$AM, 10, FALSE), 1)</f>
        <v>2.7223866903257586E-3</v>
      </c>
      <c r="AB8" s="7">
        <f>$B8 * IFERROR(VLOOKUP("industry|NOx|Asthma symptoms wheeze", US_national_yearly!$D:$AM, 36, FALSE) / VLOOKUP("industry|NOx|Asthma symptoms wheeze", US_national_yearly!$D:$AM, 10, FALSE), 1)</f>
        <v>2.734549211832497E-3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3.5494632247140543E-5</v>
      </c>
      <c r="C12" s="7">
        <f>$B12 * IFERROR(VLOOKUP("industry|NOx|Respiratory hospital admissions", US_national_yearly!$D:$AM, 11, FALSE) / VLOOKUP("industry|NOx|Respiratory hospital admissions", US_national_yearly!$D:$AM, 10, FALSE), 1)</f>
        <v>3.638637500339692E-5</v>
      </c>
      <c r="D12" s="7">
        <f>$B12 * IFERROR(VLOOKUP("industry|NOx|Respiratory hospital admissions", US_national_yearly!$D:$AM, 12, FALSE) / VLOOKUP("industry|NOx|Respiratory hospital admissions", US_national_yearly!$D:$AM, 10, FALSE), 1)</f>
        <v>3.7278117759653304E-5</v>
      </c>
      <c r="E12" s="7">
        <f>$B12 * IFERROR(VLOOKUP("industry|NOx|Respiratory hospital admissions", US_national_yearly!$D:$AM, 13, FALSE) / VLOOKUP("industry|NOx|Respiratory hospital admissions", US_national_yearly!$D:$AM, 10, FALSE), 1)</f>
        <v>3.8169860515909695E-5</v>
      </c>
      <c r="F12" s="7">
        <f>$B12 * IFERROR(VLOOKUP("industry|NOx|Respiratory hospital admissions", US_national_yearly!$D:$AM, 14, FALSE) / VLOOKUP("industry|NOx|Respiratory hospital admissions", US_national_yearly!$D:$AM, 10, FALSE), 1)</f>
        <v>3.9061603272166066E-5</v>
      </c>
      <c r="G12" s="7">
        <f>$B12 * IFERROR(VLOOKUP("industry|NOx|Respiratory hospital admissions", US_national_yearly!$D:$AM, 15, FALSE) / VLOOKUP("industry|NOx|Respiratory hospital admissions", US_national_yearly!$D:$AM, 10, FALSE), 1)</f>
        <v>3.9914594871869779E-5</v>
      </c>
      <c r="H12" s="7">
        <f>$B12 * IFERROR(VLOOKUP("industry|NOx|Respiratory hospital admissions", US_national_yearly!$D:$AM, 16, FALSE) / VLOOKUP("industry|NOx|Respiratory hospital admissions", US_national_yearly!$D:$AM, 10, FALSE), 1)</f>
        <v>4.0767586471573499E-5</v>
      </c>
      <c r="I12" s="7">
        <f>$B12 * IFERROR(VLOOKUP("industry|NOx|Respiratory hospital admissions", US_national_yearly!$D:$AM, 17, FALSE) / VLOOKUP("industry|NOx|Respiratory hospital admissions", US_national_yearly!$D:$AM, 10, FALSE), 1)</f>
        <v>4.1494024648258369E-5</v>
      </c>
      <c r="J12" s="7">
        <f>$B12 * IFERROR(VLOOKUP("industry|NOx|Respiratory hospital admissions", US_national_yearly!$D:$AM, 18, FALSE) / VLOOKUP("industry|NOx|Respiratory hospital admissions", US_national_yearly!$D:$AM, 10, FALSE), 1)</f>
        <v>4.2220462824943246E-5</v>
      </c>
      <c r="K12" s="7">
        <f>$B12 * IFERROR(VLOOKUP("industry|NOx|Respiratory hospital admissions", US_national_yearly!$D:$AM, 19, FALSE) / VLOOKUP("industry|NOx|Respiratory hospital admissions", US_national_yearly!$D:$AM, 10, FALSE), 1)</f>
        <v>4.2946901001628122E-5</v>
      </c>
      <c r="L12" s="7">
        <f>$B12 * IFERROR(VLOOKUP("industry|NOx|Respiratory hospital admissions", US_national_yearly!$D:$AM, 20, FALSE) / VLOOKUP("industry|NOx|Respiratory hospital admissions", US_national_yearly!$D:$AM, 10, FALSE), 1)</f>
        <v>4.3673339178313006E-5</v>
      </c>
      <c r="M12" s="7">
        <f>$B12 * IFERROR(VLOOKUP("industry|NOx|Respiratory hospital admissions", US_national_yearly!$D:$AM, 21, FALSE) / VLOOKUP("industry|NOx|Respiratory hospital admissions", US_national_yearly!$D:$AM, 10, FALSE), 1)</f>
        <v>4.4399777354997883E-5</v>
      </c>
      <c r="N12" s="7">
        <f>$B12 * IFERROR(VLOOKUP("industry|NOx|Respiratory hospital admissions", US_national_yearly!$D:$AM, 22, FALSE) / VLOOKUP("industry|NOx|Respiratory hospital admissions", US_national_yearly!$D:$AM, 10, FALSE), 1)</f>
        <v>4.488664856233901E-5</v>
      </c>
      <c r="O12" s="7">
        <f>$B12 * IFERROR(VLOOKUP("industry|NOx|Respiratory hospital admissions", US_national_yearly!$D:$AM, 23, FALSE) / VLOOKUP("industry|NOx|Respiratory hospital admissions", US_national_yearly!$D:$AM, 10, FALSE), 1)</f>
        <v>4.5373519769680137E-5</v>
      </c>
      <c r="P12" s="7">
        <f>$B12 * IFERROR(VLOOKUP("industry|NOx|Respiratory hospital admissions", US_national_yearly!$D:$AM, 24, FALSE) / VLOOKUP("industry|NOx|Respiratory hospital admissions", US_national_yearly!$D:$AM, 10, FALSE), 1)</f>
        <v>4.5860390977021271E-5</v>
      </c>
      <c r="Q12" s="7">
        <f>$B12 * IFERROR(VLOOKUP("industry|NOx|Respiratory hospital admissions", US_national_yearly!$D:$AM, 25, FALSE) / VLOOKUP("industry|NOx|Respiratory hospital admissions", US_national_yearly!$D:$AM, 10, FALSE), 1)</f>
        <v>4.6347262184362398E-5</v>
      </c>
      <c r="R12" s="7">
        <f>$B12 * IFERROR(VLOOKUP("industry|NOx|Respiratory hospital admissions", US_national_yearly!$D:$AM, 26, FALSE) / VLOOKUP("industry|NOx|Respiratory hospital admissions", US_national_yearly!$D:$AM, 10, FALSE), 1)</f>
        <v>4.6834133391703532E-5</v>
      </c>
      <c r="S12" s="7">
        <f>$B12 * IFERROR(VLOOKUP("industry|NOx|Respiratory hospital admissions", US_national_yearly!$D:$AM, 27, FALSE) / VLOOKUP("industry|NOx|Respiratory hospital admissions", US_national_yearly!$D:$AM, 10, FALSE), 1)</f>
        <v>4.7098462154454729E-5</v>
      </c>
      <c r="T12" s="7">
        <f>$B12 * IFERROR(VLOOKUP("industry|NOx|Respiratory hospital admissions", US_national_yearly!$D:$AM, 28, FALSE) / VLOOKUP("industry|NOx|Respiratory hospital admissions", US_national_yearly!$D:$AM, 10, FALSE), 1)</f>
        <v>4.736279091720594E-5</v>
      </c>
      <c r="U12" s="7">
        <f>$B12 * IFERROR(VLOOKUP("industry|NOx|Respiratory hospital admissions", US_national_yearly!$D:$AM, 29, FALSE) / VLOOKUP("industry|NOx|Respiratory hospital admissions", US_national_yearly!$D:$AM, 10, FALSE), 1)</f>
        <v>4.7627119679957144E-5</v>
      </c>
      <c r="V12" s="7">
        <f>$B12 * IFERROR(VLOOKUP("industry|NOx|Respiratory hospital admissions", US_national_yearly!$D:$AM, 30, FALSE) / VLOOKUP("industry|NOx|Respiratory hospital admissions", US_national_yearly!$D:$AM, 10, FALSE), 1)</f>
        <v>4.7891448442708341E-5</v>
      </c>
      <c r="W12" s="7">
        <f>$B12 * IFERROR(VLOOKUP("industry|NOx|Respiratory hospital admissions", US_national_yearly!$D:$AM, 31, FALSE) / VLOOKUP("industry|NOx|Respiratory hospital admissions", US_national_yearly!$D:$AM, 10, FALSE), 1)</f>
        <v>4.8155777205459552E-5</v>
      </c>
      <c r="X12" s="7">
        <f>$B12 * IFERROR(VLOOKUP("industry|NOx|Respiratory hospital admissions", US_national_yearly!$D:$AM, 32, FALSE) / VLOOKUP("industry|NOx|Respiratory hospital admissions", US_national_yearly!$D:$AM, 10, FALSE), 1)</f>
        <v>4.8340083501813233E-5</v>
      </c>
      <c r="Y12" s="7">
        <f>$B12 * IFERROR(VLOOKUP("industry|NOx|Respiratory hospital admissions", US_national_yearly!$D:$AM, 33, FALSE) / VLOOKUP("industry|NOx|Respiratory hospital admissions", US_national_yearly!$D:$AM, 10, FALSE), 1)</f>
        <v>4.8524389798166914E-5</v>
      </c>
      <c r="Z12" s="7">
        <f>$B12 * IFERROR(VLOOKUP("industry|NOx|Respiratory hospital admissions", US_national_yearly!$D:$AM, 34, FALSE) / VLOOKUP("industry|NOx|Respiratory hospital admissions", US_national_yearly!$D:$AM, 10, FALSE), 1)</f>
        <v>4.8708696094520602E-5</v>
      </c>
      <c r="AA12" s="7">
        <f>$B12 * IFERROR(VLOOKUP("industry|NOx|Respiratory hospital admissions", US_national_yearly!$D:$AM, 35, FALSE) / VLOOKUP("industry|NOx|Respiratory hospital admissions", US_national_yearly!$D:$AM, 10, FALSE), 1)</f>
        <v>4.8893002390874283E-5</v>
      </c>
      <c r="AB12" s="7">
        <f>$B12 * IFERROR(VLOOKUP("industry|NOx|Respiratory hospital admissions", US_national_yearly!$D:$AM, 36, FALSE) / VLOOKUP("industry|NOx|Respiratory hospital admissions", US_national_yearly!$D:$AM, 10, FALSE), 1)</f>
        <v>4.9077308687227965E-5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1.777260036228957E-4</v>
      </c>
      <c r="C13" s="7">
        <f>$B13 * IFERROR(VLOOKUP("industry|NOx|Non-fatal heart attacks", US_national_yearly!$D:$AM, 11, FALSE) / VLOOKUP("industry|NOx|Non-fatal heart attacks", US_national_yearly!$D:$AM, 10, FALSE), 1)</f>
        <v>1.8280380585768572E-4</v>
      </c>
      <c r="D13" s="7">
        <f>$B13 * IFERROR(VLOOKUP("industry|NOx|Non-fatal heart attacks", US_national_yearly!$D:$AM, 12, FALSE) / VLOOKUP("industry|NOx|Non-fatal heart attacks", US_national_yearly!$D:$AM, 10, FALSE), 1)</f>
        <v>1.8788160809247577E-4</v>
      </c>
      <c r="E13" s="7">
        <f>$B13 * IFERROR(VLOOKUP("industry|NOx|Non-fatal heart attacks", US_national_yearly!$D:$AM, 13, FALSE) / VLOOKUP("industry|NOx|Non-fatal heart attacks", US_national_yearly!$D:$AM, 10, FALSE), 1)</f>
        <v>1.929594103272658E-4</v>
      </c>
      <c r="F13" s="7">
        <f>$B13 * IFERROR(VLOOKUP("industry|NOx|Non-fatal heart attacks", US_national_yearly!$D:$AM, 14, FALSE) / VLOOKUP("industry|NOx|Non-fatal heart attacks", US_national_yearly!$D:$AM, 10, FALSE), 1)</f>
        <v>1.9803721256205585E-4</v>
      </c>
      <c r="G13" s="7">
        <f>$B13 * IFERROR(VLOOKUP("industry|NOx|Non-fatal heart attacks", US_national_yearly!$D:$AM, 15, FALSE) / VLOOKUP("industry|NOx|Non-fatal heart attacks", US_national_yearly!$D:$AM, 10, FALSE), 1)</f>
        <v>2.0278643684190669E-4</v>
      </c>
      <c r="H13" s="7">
        <f>$B13 * IFERROR(VLOOKUP("industry|NOx|Non-fatal heart attacks", US_national_yearly!$D:$AM, 16, FALSE) / VLOOKUP("industry|NOx|Non-fatal heart attacks", US_national_yearly!$D:$AM, 10, FALSE), 1)</f>
        <v>2.075356611217575E-4</v>
      </c>
      <c r="I13" s="7">
        <f>$B13 * IFERROR(VLOOKUP("industry|NOx|Non-fatal heart attacks", US_national_yearly!$D:$AM, 17, FALSE) / VLOOKUP("industry|NOx|Non-fatal heart attacks", US_national_yearly!$D:$AM, 10, FALSE), 1)</f>
        <v>2.1129179829262374E-4</v>
      </c>
      <c r="J13" s="7">
        <f>$B13 * IFERROR(VLOOKUP("industry|NOx|Non-fatal heart attacks", US_national_yearly!$D:$AM, 18, FALSE) / VLOOKUP("industry|NOx|Non-fatal heart attacks", US_national_yearly!$D:$AM, 10, FALSE), 1)</f>
        <v>2.1504793546348999E-4</v>
      </c>
      <c r="K13" s="7">
        <f>$B13 * IFERROR(VLOOKUP("industry|NOx|Non-fatal heart attacks", US_national_yearly!$D:$AM, 19, FALSE) / VLOOKUP("industry|NOx|Non-fatal heart attacks", US_national_yearly!$D:$AM, 10, FALSE), 1)</f>
        <v>2.1880407263435615E-4</v>
      </c>
      <c r="L13" s="7">
        <f>$B13 * IFERROR(VLOOKUP("industry|NOx|Non-fatal heart attacks", US_national_yearly!$D:$AM, 20, FALSE) / VLOOKUP("industry|NOx|Non-fatal heart attacks", US_national_yearly!$D:$AM, 10, FALSE), 1)</f>
        <v>2.2256020980522244E-4</v>
      </c>
      <c r="M13" s="7">
        <f>$B13 * IFERROR(VLOOKUP("industry|NOx|Non-fatal heart attacks", US_national_yearly!$D:$AM, 21, FALSE) / VLOOKUP("industry|NOx|Non-fatal heart attacks", US_national_yearly!$D:$AM, 10, FALSE), 1)</f>
        <v>2.2631634697608874E-4</v>
      </c>
      <c r="N13" s="7">
        <f>$B13 * IFERROR(VLOOKUP("industry|NOx|Non-fatal heart attacks", US_national_yearly!$D:$AM, 22, FALSE) / VLOOKUP("industry|NOx|Non-fatal heart attacks", US_national_yearly!$D:$AM, 10, FALSE), 1)</f>
        <v>2.2857923934416343E-4</v>
      </c>
      <c r="O13" s="7">
        <f>$B13 * IFERROR(VLOOKUP("industry|NOx|Non-fatal heart attacks", US_national_yearly!$D:$AM, 23, FALSE) / VLOOKUP("industry|NOx|Non-fatal heart attacks", US_national_yearly!$D:$AM, 10, FALSE), 1)</f>
        <v>2.308421317122381E-4</v>
      </c>
      <c r="P13" s="7">
        <f>$B13 * IFERROR(VLOOKUP("industry|NOx|Non-fatal heart attacks", US_national_yearly!$D:$AM, 24, FALSE) / VLOOKUP("industry|NOx|Non-fatal heart attacks", US_national_yearly!$D:$AM, 10, FALSE), 1)</f>
        <v>2.3310502408031277E-4</v>
      </c>
      <c r="Q13" s="7">
        <f>$B13 * IFERROR(VLOOKUP("industry|NOx|Non-fatal heart attacks", US_national_yearly!$D:$AM, 25, FALSE) / VLOOKUP("industry|NOx|Non-fatal heart attacks", US_national_yearly!$D:$AM, 10, FALSE), 1)</f>
        <v>2.3536791644838745E-4</v>
      </c>
      <c r="R13" s="7">
        <f>$B13 * IFERROR(VLOOKUP("industry|NOx|Non-fatal heart attacks", US_national_yearly!$D:$AM, 26, FALSE) / VLOOKUP("industry|NOx|Non-fatal heart attacks", US_national_yearly!$D:$AM, 10, FALSE), 1)</f>
        <v>2.3763080881646212E-4</v>
      </c>
      <c r="S13" s="7">
        <f>$B13 * IFERROR(VLOOKUP("industry|NOx|Non-fatal heart attacks", US_national_yearly!$D:$AM, 27, FALSE) / VLOOKUP("industry|NOx|Non-fatal heart attacks", US_national_yearly!$D:$AM, 10, FALSE), 1)</f>
        <v>2.3866906897152942E-4</v>
      </c>
      <c r="T13" s="7">
        <f>$B13 * IFERROR(VLOOKUP("industry|NOx|Non-fatal heart attacks", US_national_yearly!$D:$AM, 28, FALSE) / VLOOKUP("industry|NOx|Non-fatal heart attacks", US_national_yearly!$D:$AM, 10, FALSE), 1)</f>
        <v>2.3970732912659669E-4</v>
      </c>
      <c r="U13" s="7">
        <f>$B13 * IFERROR(VLOOKUP("industry|NOx|Non-fatal heart attacks", US_national_yearly!$D:$AM, 29, FALSE) / VLOOKUP("industry|NOx|Non-fatal heart attacks", US_national_yearly!$D:$AM, 10, FALSE), 1)</f>
        <v>2.4074558928166394E-4</v>
      </c>
      <c r="V13" s="7">
        <f>$B13 * IFERROR(VLOOKUP("industry|NOx|Non-fatal heart attacks", US_national_yearly!$D:$AM, 30, FALSE) / VLOOKUP("industry|NOx|Non-fatal heart attacks", US_national_yearly!$D:$AM, 10, FALSE), 1)</f>
        <v>2.4178384943673124E-4</v>
      </c>
      <c r="W13" s="7">
        <f>$B13 * IFERROR(VLOOKUP("industry|NOx|Non-fatal heart attacks", US_national_yearly!$D:$AM, 31, FALSE) / VLOOKUP("industry|NOx|Non-fatal heart attacks", US_national_yearly!$D:$AM, 10, FALSE), 1)</f>
        <v>2.4282210959179849E-4</v>
      </c>
      <c r="X13" s="7">
        <f>$B13 * IFERROR(VLOOKUP("industry|NOx|Non-fatal heart attacks", US_national_yearly!$D:$AM, 32, FALSE) / VLOOKUP("industry|NOx|Non-fatal heart attacks", US_national_yearly!$D:$AM, 10, FALSE), 1)</f>
        <v>2.435228214502828E-4</v>
      </c>
      <c r="Y13" s="7">
        <f>$B13 * IFERROR(VLOOKUP("industry|NOx|Non-fatal heart attacks", US_national_yearly!$D:$AM, 33, FALSE) / VLOOKUP("industry|NOx|Non-fatal heart attacks", US_national_yearly!$D:$AM, 10, FALSE), 1)</f>
        <v>2.4422353330876711E-4</v>
      </c>
      <c r="Z13" s="7">
        <f>$B13 * IFERROR(VLOOKUP("industry|NOx|Non-fatal heart attacks", US_national_yearly!$D:$AM, 34, FALSE) / VLOOKUP("industry|NOx|Non-fatal heart attacks", US_national_yearly!$D:$AM, 10, FALSE), 1)</f>
        <v>2.449242451672514E-4</v>
      </c>
      <c r="AA13" s="7">
        <f>$B13 * IFERROR(VLOOKUP("industry|NOx|Non-fatal heart attacks", US_national_yearly!$D:$AM, 35, FALSE) / VLOOKUP("industry|NOx|Non-fatal heart attacks", US_national_yearly!$D:$AM, 10, FALSE), 1)</f>
        <v>2.4562495702573574E-4</v>
      </c>
      <c r="AB13" s="7">
        <f>$B13 * IFERROR(VLOOKUP("industry|NOx|Non-fatal heart attacks", US_national_yearly!$D:$AM, 36, FALSE) / VLOOKUP("industry|NOx|Non-fatal heart attacks", US_national_yearly!$D:$AM, 10, FALSE), 1)</f>
        <v>2.4632566888422008E-4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0.14781093313842605</v>
      </c>
      <c r="C14" s="7">
        <f>$B14 * IFERROR(VLOOKUP("industry|NOx|Minor restricted activity days", US_national_yearly!$D:$AM, 11, FALSE) / VLOOKUP("industry|NOx|Minor restricted activity days", US_national_yearly!$D:$AM, 10, FALSE), 1)</f>
        <v>0.14802992644162979</v>
      </c>
      <c r="D14" s="7">
        <f>$B14 * IFERROR(VLOOKUP("industry|NOx|Minor restricted activity days", US_national_yearly!$D:$AM, 12, FALSE) / VLOOKUP("industry|NOx|Minor restricted activity days", US_national_yearly!$D:$AM, 10, FALSE), 1)</f>
        <v>0.14824891974483348</v>
      </c>
      <c r="E14" s="7">
        <f>$B14 * IFERROR(VLOOKUP("industry|NOx|Minor restricted activity days", US_national_yearly!$D:$AM, 13, FALSE) / VLOOKUP("industry|NOx|Minor restricted activity days", US_national_yearly!$D:$AM, 10, FALSE), 1)</f>
        <v>0.14846791304803722</v>
      </c>
      <c r="F14" s="7">
        <f>$B14 * IFERROR(VLOOKUP("industry|NOx|Minor restricted activity days", US_national_yearly!$D:$AM, 14, FALSE) / VLOOKUP("industry|NOx|Minor restricted activity days", US_national_yearly!$D:$AM, 10, FALSE), 1)</f>
        <v>0.14868690635124091</v>
      </c>
      <c r="G14" s="7">
        <f>$B14 * IFERROR(VLOOKUP("industry|NOx|Minor restricted activity days", US_national_yearly!$D:$AM, 15, FALSE) / VLOOKUP("industry|NOx|Minor restricted activity days", US_national_yearly!$D:$AM, 10, FALSE), 1)</f>
        <v>0.14908556317985269</v>
      </c>
      <c r="H14" s="7">
        <f>$B14 * IFERROR(VLOOKUP("industry|NOx|Minor restricted activity days", US_national_yearly!$D:$AM, 16, FALSE) / VLOOKUP("industry|NOx|Minor restricted activity days", US_national_yearly!$D:$AM, 10, FALSE), 1)</f>
        <v>0.14948422000846451</v>
      </c>
      <c r="I14" s="7">
        <f>$B14 * IFERROR(VLOOKUP("industry|NOx|Minor restricted activity days", US_national_yearly!$D:$AM, 17, FALSE) / VLOOKUP("industry|NOx|Minor restricted activity days", US_national_yearly!$D:$AM, 10, FALSE), 1)</f>
        <v>0.15026903272340508</v>
      </c>
      <c r="J14" s="7">
        <f>$B14 * IFERROR(VLOOKUP("industry|NOx|Minor restricted activity days", US_national_yearly!$D:$AM, 18, FALSE) / VLOOKUP("industry|NOx|Minor restricted activity days", US_national_yearly!$D:$AM, 10, FALSE), 1)</f>
        <v>0.15105384543834563</v>
      </c>
      <c r="K14" s="7">
        <f>$B14 * IFERROR(VLOOKUP("industry|NOx|Minor restricted activity days", US_national_yearly!$D:$AM, 19, FALSE) / VLOOKUP("industry|NOx|Minor restricted activity days", US_national_yearly!$D:$AM, 10, FALSE), 1)</f>
        <v>0.15183865815328612</v>
      </c>
      <c r="L14" s="7">
        <f>$B14 * IFERROR(VLOOKUP("industry|NOx|Minor restricted activity days", US_national_yearly!$D:$AM, 20, FALSE) / VLOOKUP("industry|NOx|Minor restricted activity days", US_national_yearly!$D:$AM, 10, FALSE), 1)</f>
        <v>0.15262347086822672</v>
      </c>
      <c r="M14" s="7">
        <f>$B14 * IFERROR(VLOOKUP("industry|NOx|Minor restricted activity days", US_national_yearly!$D:$AM, 21, FALSE) / VLOOKUP("industry|NOx|Minor restricted activity days", US_national_yearly!$D:$AM, 10, FALSE), 1)</f>
        <v>0.15340828358316724</v>
      </c>
      <c r="N14" s="7">
        <f>$B14 * IFERROR(VLOOKUP("industry|NOx|Minor restricted activity days", US_national_yearly!$D:$AM, 22, FALSE) / VLOOKUP("industry|NOx|Minor restricted activity days", US_national_yearly!$D:$AM, 10, FALSE), 1)</f>
        <v>0.15453846635903296</v>
      </c>
      <c r="O14" s="7">
        <f>$B14 * IFERROR(VLOOKUP("industry|NOx|Minor restricted activity days", US_national_yearly!$D:$AM, 23, FALSE) / VLOOKUP("industry|NOx|Minor restricted activity days", US_national_yearly!$D:$AM, 10, FALSE), 1)</f>
        <v>0.15566864913489872</v>
      </c>
      <c r="P14" s="7">
        <f>$B14 * IFERROR(VLOOKUP("industry|NOx|Minor restricted activity days", US_national_yearly!$D:$AM, 24, FALSE) / VLOOKUP("industry|NOx|Minor restricted activity days", US_national_yearly!$D:$AM, 10, FALSE), 1)</f>
        <v>0.15679883191076446</v>
      </c>
      <c r="Q14" s="7">
        <f>$B14 * IFERROR(VLOOKUP("industry|NOx|Minor restricted activity days", US_national_yearly!$D:$AM, 25, FALSE) / VLOOKUP("industry|NOx|Minor restricted activity days", US_national_yearly!$D:$AM, 10, FALSE), 1)</f>
        <v>0.15792901468663018</v>
      </c>
      <c r="R14" s="7">
        <f>$B14 * IFERROR(VLOOKUP("industry|NOx|Minor restricted activity days", US_national_yearly!$D:$AM, 26, FALSE) / VLOOKUP("industry|NOx|Minor restricted activity days", US_national_yearly!$D:$AM, 10, FALSE), 1)</f>
        <v>0.15905919746249592</v>
      </c>
      <c r="S14" s="7">
        <f>$B14 * IFERROR(VLOOKUP("industry|NOx|Minor restricted activity days", US_national_yearly!$D:$AM, 27, FALSE) / VLOOKUP("industry|NOx|Minor restricted activity days", US_national_yearly!$D:$AM, 10, FALSE), 1)</f>
        <v>0.16019059025026927</v>
      </c>
      <c r="T14" s="7">
        <f>$B14 * IFERROR(VLOOKUP("industry|NOx|Minor restricted activity days", US_national_yearly!$D:$AM, 28, FALSE) / VLOOKUP("industry|NOx|Minor restricted activity days", US_national_yearly!$D:$AM, 10, FALSE), 1)</f>
        <v>0.16132198303804265</v>
      </c>
      <c r="U14" s="7">
        <f>$B14 * IFERROR(VLOOKUP("industry|NOx|Minor restricted activity days", US_national_yearly!$D:$AM, 29, FALSE) / VLOOKUP("industry|NOx|Minor restricted activity days", US_national_yearly!$D:$AM, 10, FALSE), 1)</f>
        <v>0.16245337582581601</v>
      </c>
      <c r="V14" s="7">
        <f>$B14 * IFERROR(VLOOKUP("industry|NOx|Minor restricted activity days", US_national_yearly!$D:$AM, 30, FALSE) / VLOOKUP("industry|NOx|Minor restricted activity days", US_national_yearly!$D:$AM, 10, FALSE), 1)</f>
        <v>0.16358476861358939</v>
      </c>
      <c r="W14" s="7">
        <f>$B14 * IFERROR(VLOOKUP("industry|NOx|Minor restricted activity days", US_national_yearly!$D:$AM, 31, FALSE) / VLOOKUP("industry|NOx|Minor restricted activity days", US_national_yearly!$D:$AM, 10, FALSE), 1)</f>
        <v>0.16471616140136278</v>
      </c>
      <c r="X14" s="7">
        <f>$B14 * IFERROR(VLOOKUP("industry|NOx|Minor restricted activity days", US_national_yearly!$D:$AM, 32, FALSE) / VLOOKUP("industry|NOx|Minor restricted activity days", US_national_yearly!$D:$AM, 10, FALSE), 1)</f>
        <v>0.16567137981996347</v>
      </c>
      <c r="Y14" s="7">
        <f>$B14 * IFERROR(VLOOKUP("industry|NOx|Minor restricted activity days", US_national_yearly!$D:$AM, 33, FALSE) / VLOOKUP("industry|NOx|Minor restricted activity days", US_national_yearly!$D:$AM, 10, FALSE), 1)</f>
        <v>0.1666265982385641</v>
      </c>
      <c r="Z14" s="7">
        <f>$B14 * IFERROR(VLOOKUP("industry|NOx|Minor restricted activity days", US_national_yearly!$D:$AM, 34, FALSE) / VLOOKUP("industry|NOx|Minor restricted activity days", US_national_yearly!$D:$AM, 10, FALSE), 1)</f>
        <v>0.16758181665716476</v>
      </c>
      <c r="AA14" s="7">
        <f>$B14 * IFERROR(VLOOKUP("industry|NOx|Minor restricted activity days", US_national_yearly!$D:$AM, 35, FALSE) / VLOOKUP("industry|NOx|Minor restricted activity days", US_national_yearly!$D:$AM, 10, FALSE), 1)</f>
        <v>0.16853703507576545</v>
      </c>
      <c r="AB14" s="7">
        <f>$B14 * IFERROR(VLOOKUP("industry|NOx|Minor restricted activity days", US_national_yearly!$D:$AM, 36, FALSE) / VLOOKUP("industry|NOx|Minor restricted activity days", US_national_yearly!$D:$AM, 10, FALSE), 1)</f>
        <v>0.16949225349436611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2.5079529851918005E-2</v>
      </c>
      <c r="C15" s="7">
        <f>$B15 * IFERROR(VLOOKUP("industry|NOx|Work loss days", US_national_yearly!$D:$AM, 11, FALSE) / VLOOKUP("industry|NOx|Work loss days", US_national_yearly!$D:$AM, 10, FALSE), 1)</f>
        <v>2.513386908941951E-2</v>
      </c>
      <c r="D15" s="7">
        <f>$B15 * IFERROR(VLOOKUP("industry|NOx|Work loss days", US_national_yearly!$D:$AM, 12, FALSE) / VLOOKUP("industry|NOx|Work loss days", US_national_yearly!$D:$AM, 10, FALSE), 1)</f>
        <v>2.5188208326921001E-2</v>
      </c>
      <c r="E15" s="7">
        <f>$B15 * IFERROR(VLOOKUP("industry|NOx|Work loss days", US_national_yearly!$D:$AM, 13, FALSE) / VLOOKUP("industry|NOx|Work loss days", US_national_yearly!$D:$AM, 10, FALSE), 1)</f>
        <v>2.5242547564422506E-2</v>
      </c>
      <c r="F15" s="7">
        <f>$B15 * IFERROR(VLOOKUP("industry|NOx|Work loss days", US_national_yearly!$D:$AM, 14, FALSE) / VLOOKUP("industry|NOx|Work loss days", US_national_yearly!$D:$AM, 10, FALSE), 1)</f>
        <v>2.5296886801924004E-2</v>
      </c>
      <c r="G15" s="7">
        <f>$B15 * IFERROR(VLOOKUP("industry|NOx|Work loss days", US_national_yearly!$D:$AM, 15, FALSE) / VLOOKUP("industry|NOx|Work loss days", US_national_yearly!$D:$AM, 10, FALSE), 1)</f>
        <v>2.5376371477711521E-2</v>
      </c>
      <c r="H15" s="7">
        <f>$B15 * IFERROR(VLOOKUP("industry|NOx|Work loss days", US_national_yearly!$D:$AM, 16, FALSE) / VLOOKUP("industry|NOx|Work loss days", US_national_yearly!$D:$AM, 10, FALSE), 1)</f>
        <v>2.5455856153499039E-2</v>
      </c>
      <c r="I15" s="7">
        <f>$B15 * IFERROR(VLOOKUP("industry|NOx|Work loss days", US_national_yearly!$D:$AM, 17, FALSE) / VLOOKUP("industry|NOx|Work loss days", US_national_yearly!$D:$AM, 10, FALSE), 1)</f>
        <v>2.5584998597948307E-2</v>
      </c>
      <c r="J15" s="7">
        <f>$B15 * IFERROR(VLOOKUP("industry|NOx|Work loss days", US_national_yearly!$D:$AM, 18, FALSE) / VLOOKUP("industry|NOx|Work loss days", US_national_yearly!$D:$AM, 10, FALSE), 1)</f>
        <v>2.5714141042397571E-2</v>
      </c>
      <c r="K15" s="7">
        <f>$B15 * IFERROR(VLOOKUP("industry|NOx|Work loss days", US_national_yearly!$D:$AM, 19, FALSE) / VLOOKUP("industry|NOx|Work loss days", US_national_yearly!$D:$AM, 10, FALSE), 1)</f>
        <v>2.5843283486846839E-2</v>
      </c>
      <c r="L15" s="7">
        <f>$B15 * IFERROR(VLOOKUP("industry|NOx|Work loss days", US_national_yearly!$D:$AM, 20, FALSE) / VLOOKUP("industry|NOx|Work loss days", US_national_yearly!$D:$AM, 10, FALSE), 1)</f>
        <v>2.59724259312961E-2</v>
      </c>
      <c r="M15" s="7">
        <f>$B15 * IFERROR(VLOOKUP("industry|NOx|Work loss days", US_national_yearly!$D:$AM, 21, FALSE) / VLOOKUP("industry|NOx|Work loss days", US_national_yearly!$D:$AM, 10, FALSE), 1)</f>
        <v>2.6101568375745367E-2</v>
      </c>
      <c r="N15" s="7">
        <f>$B15 * IFERROR(VLOOKUP("industry|NOx|Work loss days", US_national_yearly!$D:$AM, 22, FALSE) / VLOOKUP("industry|NOx|Work loss days", US_national_yearly!$D:$AM, 10, FALSE), 1)</f>
        <v>2.6270457406580256E-2</v>
      </c>
      <c r="O15" s="7">
        <f>$B15 * IFERROR(VLOOKUP("industry|NOx|Work loss days", US_national_yearly!$D:$AM, 23, FALSE) / VLOOKUP("industry|NOx|Work loss days", US_national_yearly!$D:$AM, 10, FALSE), 1)</f>
        <v>2.6439346437415148E-2</v>
      </c>
      <c r="P15" s="7">
        <f>$B15 * IFERROR(VLOOKUP("industry|NOx|Work loss days", US_national_yearly!$D:$AM, 24, FALSE) / VLOOKUP("industry|NOx|Work loss days", US_national_yearly!$D:$AM, 10, FALSE), 1)</f>
        <v>2.6608235468250033E-2</v>
      </c>
      <c r="Q15" s="7">
        <f>$B15 * IFERROR(VLOOKUP("industry|NOx|Work loss days", US_national_yearly!$D:$AM, 25, FALSE) / VLOOKUP("industry|NOx|Work loss days", US_national_yearly!$D:$AM, 10, FALSE), 1)</f>
        <v>2.6777124499084919E-2</v>
      </c>
      <c r="R15" s="7">
        <f>$B15 * IFERROR(VLOOKUP("industry|NOx|Work loss days", US_national_yearly!$D:$AM, 26, FALSE) / VLOOKUP("industry|NOx|Work loss days", US_national_yearly!$D:$AM, 10, FALSE), 1)</f>
        <v>2.6946013529919811E-2</v>
      </c>
      <c r="S15" s="7">
        <f>$B15 * IFERROR(VLOOKUP("industry|NOx|Work loss days", US_national_yearly!$D:$AM, 27, FALSE) / VLOOKUP("industry|NOx|Work loss days", US_national_yearly!$D:$AM, 10, FALSE), 1)</f>
        <v>2.7134821236462405E-2</v>
      </c>
      <c r="T15" s="7">
        <f>$B15 * IFERROR(VLOOKUP("industry|NOx|Work loss days", US_national_yearly!$D:$AM, 28, FALSE) / VLOOKUP("industry|NOx|Work loss days", US_national_yearly!$D:$AM, 10, FALSE), 1)</f>
        <v>2.7323628943005007E-2</v>
      </c>
      <c r="U15" s="7">
        <f>$B15 * IFERROR(VLOOKUP("industry|NOx|Work loss days", US_national_yearly!$D:$AM, 29, FALSE) / VLOOKUP("industry|NOx|Work loss days", US_national_yearly!$D:$AM, 10, FALSE), 1)</f>
        <v>2.7512436649547604E-2</v>
      </c>
      <c r="V15" s="7">
        <f>$B15 * IFERROR(VLOOKUP("industry|NOx|Work loss days", US_national_yearly!$D:$AM, 30, FALSE) / VLOOKUP("industry|NOx|Work loss days", US_national_yearly!$D:$AM, 10, FALSE), 1)</f>
        <v>2.7701244356090199E-2</v>
      </c>
      <c r="W15" s="7">
        <f>$B15 * IFERROR(VLOOKUP("industry|NOx|Work loss days", US_national_yearly!$D:$AM, 31, FALSE) / VLOOKUP("industry|NOx|Work loss days", US_national_yearly!$D:$AM, 10, FALSE), 1)</f>
        <v>2.78900520626328E-2</v>
      </c>
      <c r="X15" s="7">
        <f>$B15 * IFERROR(VLOOKUP("industry|NOx|Work loss days", US_national_yearly!$D:$AM, 32, FALSE) / VLOOKUP("industry|NOx|Work loss days", US_national_yearly!$D:$AM, 10, FALSE), 1)</f>
        <v>2.8053849332726595E-2</v>
      </c>
      <c r="Y15" s="7">
        <f>$B15 * IFERROR(VLOOKUP("industry|NOx|Work loss days", US_national_yearly!$D:$AM, 33, FALSE) / VLOOKUP("industry|NOx|Work loss days", US_national_yearly!$D:$AM, 10, FALSE), 1)</f>
        <v>2.8217646602820393E-2</v>
      </c>
      <c r="Z15" s="7">
        <f>$B15 * IFERROR(VLOOKUP("industry|NOx|Work loss days", US_national_yearly!$D:$AM, 34, FALSE) / VLOOKUP("industry|NOx|Work loss days", US_national_yearly!$D:$AM, 10, FALSE), 1)</f>
        <v>2.8381443872914192E-2</v>
      </c>
      <c r="AA15" s="7">
        <f>$B15 * IFERROR(VLOOKUP("industry|NOx|Work loss days", US_national_yearly!$D:$AM, 35, FALSE) / VLOOKUP("industry|NOx|Work loss days", US_national_yearly!$D:$AM, 10, FALSE), 1)</f>
        <v>2.854524114300799E-2</v>
      </c>
      <c r="AB15" s="7">
        <f>$B15 * IFERROR(VLOOKUP("industry|NOx|Work loss days", US_national_yearly!$D:$AM, 36, FALSE) / VLOOKUP("industry|NOx|Work loss days", US_national_yearly!$D:$AM, 10, FALSE), 1)</f>
        <v>2.8709038413101788E-2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4.317204534836505E-5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4.4439691918955419E-5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4.5707338489545795E-5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4.6974985060136164E-5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4.8242631630726546E-5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4.9447433544108453E-5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5.0652235457490374E-5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5.1667970646445359E-5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5.2683705835400344E-5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5.3699441024355323E-5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5.4715176213310308E-5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5.5730911402265286E-5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5.6366803428773281E-5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5.7002695455281261E-5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5.7638587481789249E-5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5.8274479508297236E-5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5.8910371534805217E-5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5.9203721033089818E-5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5.9497070531374411E-5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5.9790420029659012E-5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6.0083769527943612E-5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6.0377119026228213E-5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6.0542859442615102E-5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6.0708599859001991E-5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6.087434027538888E-5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6.1040080691775756E-5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6.1205821108162658E-5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1.3035056603765702E-3</v>
      </c>
      <c r="C2" s="7">
        <f>$B2 * IFERROR(VLOOKUP("industry|SO2|Premature mortality", US_national_yearly!$D:$AM, 11, FALSE) / VLOOKUP("industry|SO2|Premature mortality", US_national_yearly!$D:$AM, 10, FALSE), 1)</f>
        <v>1.3200300747968719E-3</v>
      </c>
      <c r="D2" s="7">
        <f>$B2 * IFERROR(VLOOKUP("industry|SO2|Premature mortality", US_national_yearly!$D:$AM, 12, FALSE) / VLOOKUP("industry|SO2|Premature mortality", US_national_yearly!$D:$AM, 10, FALSE), 1)</f>
        <v>1.3365544892171733E-3</v>
      </c>
      <c r="E2" s="7">
        <f>$B2 * IFERROR(VLOOKUP("industry|SO2|Premature mortality", US_national_yearly!$D:$AM, 13, FALSE) / VLOOKUP("industry|SO2|Premature mortality", US_national_yearly!$D:$AM, 10, FALSE), 1)</f>
        <v>1.3530789036374747E-3</v>
      </c>
      <c r="F2" s="7">
        <f>$B2 * IFERROR(VLOOKUP("industry|SO2|Premature mortality", US_national_yearly!$D:$AM, 14, FALSE) / VLOOKUP("industry|SO2|Premature mortality", US_national_yearly!$D:$AM, 10, FALSE), 1)</f>
        <v>1.3696033180577763E-3</v>
      </c>
      <c r="G2" s="7">
        <f>$B2 * IFERROR(VLOOKUP("industry|SO2|Premature mortality", US_national_yearly!$D:$AM, 15, FALSE) / VLOOKUP("industry|SO2|Premature mortality", US_national_yearly!$D:$AM, 10, FALSE), 1)</f>
        <v>1.4014535256213548E-3</v>
      </c>
      <c r="H2" s="7">
        <f>$B2 * IFERROR(VLOOKUP("industry|SO2|Premature mortality", US_national_yearly!$D:$AM, 16, FALSE) / VLOOKUP("industry|SO2|Premature mortality", US_national_yearly!$D:$AM, 10, FALSE), 1)</f>
        <v>1.433303733184933E-3</v>
      </c>
      <c r="I2" s="7">
        <f>$B2 * IFERROR(VLOOKUP("industry|SO2|Premature mortality", US_national_yearly!$D:$AM, 17, FALSE) / VLOOKUP("industry|SO2|Premature mortality", US_national_yearly!$D:$AM, 10, FALSE), 1)</f>
        <v>1.4543940084112692E-3</v>
      </c>
      <c r="J2" s="7">
        <f>$B2 * IFERROR(VLOOKUP("industry|SO2|Premature mortality", US_national_yearly!$D:$AM, 18, FALSE) / VLOOKUP("industry|SO2|Premature mortality", US_national_yearly!$D:$AM, 10, FALSE), 1)</f>
        <v>1.4754842836376049E-3</v>
      </c>
      <c r="K2" s="7">
        <f>$B2 * IFERROR(VLOOKUP("industry|SO2|Premature mortality", US_national_yearly!$D:$AM, 19, FALSE) / VLOOKUP("industry|SO2|Premature mortality", US_national_yearly!$D:$AM, 10, FALSE), 1)</f>
        <v>1.4965745588639407E-3</v>
      </c>
      <c r="L2" s="7">
        <f>$B2 * IFERROR(VLOOKUP("industry|SO2|Premature mortality", US_national_yearly!$D:$AM, 20, FALSE) / VLOOKUP("industry|SO2|Premature mortality", US_national_yearly!$D:$AM, 10, FALSE), 1)</f>
        <v>1.5176648340902768E-3</v>
      </c>
      <c r="M2" s="7">
        <f>$B2 * IFERROR(VLOOKUP("industry|SO2|Premature mortality", US_national_yearly!$D:$AM, 21, FALSE) / VLOOKUP("industry|SO2|Premature mortality", US_national_yearly!$D:$AM, 10, FALSE), 1)</f>
        <v>1.5387551093166128E-3</v>
      </c>
      <c r="N2" s="7">
        <f>$B2 * IFERROR(VLOOKUP("industry|SO2|Premature mortality", US_national_yearly!$D:$AM, 22, FALSE) / VLOOKUP("industry|SO2|Premature mortality", US_national_yearly!$D:$AM, 10, FALSE), 1)</f>
        <v>1.5552527189961571E-3</v>
      </c>
      <c r="O2" s="7">
        <f>$B2 * IFERROR(VLOOKUP("industry|SO2|Premature mortality", US_national_yearly!$D:$AM, 23, FALSE) / VLOOKUP("industry|SO2|Premature mortality", US_national_yearly!$D:$AM, 10, FALSE), 1)</f>
        <v>1.5717503286757015E-3</v>
      </c>
      <c r="P2" s="7">
        <f>$B2 * IFERROR(VLOOKUP("industry|SO2|Premature mortality", US_national_yearly!$D:$AM, 24, FALSE) / VLOOKUP("industry|SO2|Premature mortality", US_national_yearly!$D:$AM, 10, FALSE), 1)</f>
        <v>1.5882479383552458E-3</v>
      </c>
      <c r="Q2" s="7">
        <f>$B2 * IFERROR(VLOOKUP("industry|SO2|Premature mortality", US_national_yearly!$D:$AM, 25, FALSE) / VLOOKUP("industry|SO2|Premature mortality", US_national_yearly!$D:$AM, 10, FALSE), 1)</f>
        <v>1.6047455480347902E-3</v>
      </c>
      <c r="R2" s="7">
        <f>$B2 * IFERROR(VLOOKUP("industry|SO2|Premature mortality", US_national_yearly!$D:$AM, 26, FALSE) / VLOOKUP("industry|SO2|Premature mortality", US_national_yearly!$D:$AM, 10, FALSE), 1)</f>
        <v>1.6212431577143347E-3</v>
      </c>
      <c r="S2" s="7">
        <f>$B2 * IFERROR(VLOOKUP("industry|SO2|Premature mortality", US_national_yearly!$D:$AM, 27, FALSE) / VLOOKUP("industry|SO2|Premature mortality", US_national_yearly!$D:$AM, 10, FALSE), 1)</f>
        <v>1.6301509580766917E-3</v>
      </c>
      <c r="T2" s="7">
        <f>$B2 * IFERROR(VLOOKUP("industry|SO2|Premature mortality", US_national_yearly!$D:$AM, 28, FALSE) / VLOOKUP("industry|SO2|Premature mortality", US_national_yearly!$D:$AM, 10, FALSE), 1)</f>
        <v>1.6390587584390489E-3</v>
      </c>
      <c r="U2" s="7">
        <f>$B2 * IFERROR(VLOOKUP("industry|SO2|Premature mortality", US_national_yearly!$D:$AM, 29, FALSE) / VLOOKUP("industry|SO2|Premature mortality", US_national_yearly!$D:$AM, 10, FALSE), 1)</f>
        <v>1.6479665588014065E-3</v>
      </c>
      <c r="V2" s="7">
        <f>$B2 * IFERROR(VLOOKUP("industry|SO2|Premature mortality", US_national_yearly!$D:$AM, 30, FALSE) / VLOOKUP("industry|SO2|Premature mortality", US_national_yearly!$D:$AM, 10, FALSE), 1)</f>
        <v>1.6568743591637639E-3</v>
      </c>
      <c r="W2" s="7">
        <f>$B2 * IFERROR(VLOOKUP("industry|SO2|Premature mortality", US_national_yearly!$D:$AM, 31, FALSE) / VLOOKUP("industry|SO2|Premature mortality", US_national_yearly!$D:$AM, 10, FALSE), 1)</f>
        <v>1.665782159526121E-3</v>
      </c>
      <c r="X2" s="7">
        <f>$B2 * IFERROR(VLOOKUP("industry|SO2|Premature mortality", US_national_yearly!$D:$AM, 32, FALSE) / VLOOKUP("industry|SO2|Premature mortality", US_national_yearly!$D:$AM, 10, FALSE), 1)</f>
        <v>1.6676993899758926E-3</v>
      </c>
      <c r="Y2" s="7">
        <f>$B2 * IFERROR(VLOOKUP("industry|SO2|Premature mortality", US_national_yearly!$D:$AM, 33, FALSE) / VLOOKUP("industry|SO2|Premature mortality", US_national_yearly!$D:$AM, 10, FALSE), 1)</f>
        <v>1.6696166204256643E-3</v>
      </c>
      <c r="Z2" s="7">
        <f>$B2 * IFERROR(VLOOKUP("industry|SO2|Premature mortality", US_national_yearly!$D:$AM, 34, FALSE) / VLOOKUP("industry|SO2|Premature mortality", US_national_yearly!$D:$AM, 10, FALSE), 1)</f>
        <v>1.6715338508754359E-3</v>
      </c>
      <c r="AA2" s="7">
        <f>$B2 * IFERROR(VLOOKUP("industry|SO2|Premature mortality", US_national_yearly!$D:$AM, 35, FALSE) / VLOOKUP("industry|SO2|Premature mortality", US_national_yearly!$D:$AM, 10, FALSE), 1)</f>
        <v>1.6734510813252075E-3</v>
      </c>
      <c r="AB2" s="7">
        <f>$B2 * IFERROR(VLOOKUP("industry|SO2|Premature mortality", US_national_yearly!$D:$AM, 36, FALSE) / VLOOKUP("industry|SO2|Premature mortality", US_national_yearly!$D:$AM, 10, FALSE), 1)</f>
        <v>1.6753683117749791E-3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3.6438034902301879E-6</v>
      </c>
      <c r="C3" s="7">
        <f>$B3 * IFERROR(VLOOKUP("industry|SO2|Infant mortality", US_national_yearly!$D:$AM, 11, FALSE) / VLOOKUP("industry|SO2|Infant mortality", US_national_yearly!$D:$AM, 10, FALSE), 1)</f>
        <v>3.6124555678054195E-6</v>
      </c>
      <c r="D3" s="7">
        <f>$B3 * IFERROR(VLOOKUP("industry|SO2|Infant mortality", US_national_yearly!$D:$AM, 12, FALSE) / VLOOKUP("industry|SO2|Infant mortality", US_national_yearly!$D:$AM, 10, FALSE), 1)</f>
        <v>3.5811076453806515E-6</v>
      </c>
      <c r="E3" s="7">
        <f>$B3 * IFERROR(VLOOKUP("industry|SO2|Infant mortality", US_national_yearly!$D:$AM, 13, FALSE) / VLOOKUP("industry|SO2|Infant mortality", US_national_yearly!$D:$AM, 10, FALSE), 1)</f>
        <v>3.5497597229558831E-6</v>
      </c>
      <c r="F3" s="7">
        <f>$B3 * IFERROR(VLOOKUP("industry|SO2|Infant mortality", US_national_yearly!$D:$AM, 14, FALSE) / VLOOKUP("industry|SO2|Infant mortality", US_national_yearly!$D:$AM, 10, FALSE), 1)</f>
        <v>3.5184118005311152E-6</v>
      </c>
      <c r="G3" s="7">
        <f>$B3 * IFERROR(VLOOKUP("industry|SO2|Infant mortality", US_national_yearly!$D:$AM, 15, FALSE) / VLOOKUP("industry|SO2|Infant mortality", US_national_yearly!$D:$AM, 10, FALSE), 1)</f>
        <v>2.3422009171008177E-6</v>
      </c>
      <c r="H3" s="7">
        <f>$B3 * IFERROR(VLOOKUP("industry|SO2|Infant mortality", US_national_yearly!$D:$AM, 16, FALSE) / VLOOKUP("industry|SO2|Infant mortality", US_national_yearly!$D:$AM, 10, FALSE), 1)</f>
        <v>1.1659900336705203E-6</v>
      </c>
      <c r="I3" s="7">
        <f>$B3 * IFERROR(VLOOKUP("industry|SO2|Infant mortality", US_national_yearly!$D:$AM, 17, FALSE) / VLOOKUP("industry|SO2|Infant mortality", US_national_yearly!$D:$AM, 10, FALSE), 1)</f>
        <v>1.1585860964048563E-6</v>
      </c>
      <c r="J3" s="7">
        <f>$B3 * IFERROR(VLOOKUP("industry|SO2|Infant mortality", US_national_yearly!$D:$AM, 18, FALSE) / VLOOKUP("industry|SO2|Infant mortality", US_national_yearly!$D:$AM, 10, FALSE), 1)</f>
        <v>1.1511821591391924E-6</v>
      </c>
      <c r="K3" s="7">
        <f>$B3 * IFERROR(VLOOKUP("industry|SO2|Infant mortality", US_national_yearly!$D:$AM, 19, FALSE) / VLOOKUP("industry|SO2|Infant mortality", US_national_yearly!$D:$AM, 10, FALSE), 1)</f>
        <v>1.1437782218735282E-6</v>
      </c>
      <c r="L3" s="7">
        <f>$B3 * IFERROR(VLOOKUP("industry|SO2|Infant mortality", US_national_yearly!$D:$AM, 20, FALSE) / VLOOKUP("industry|SO2|Infant mortality", US_national_yearly!$D:$AM, 10, FALSE), 1)</f>
        <v>1.1363742846078642E-6</v>
      </c>
      <c r="M3" s="7">
        <f>$B3 * IFERROR(VLOOKUP("industry|SO2|Infant mortality", US_national_yearly!$D:$AM, 21, FALSE) / VLOOKUP("industry|SO2|Infant mortality", US_national_yearly!$D:$AM, 10, FALSE), 1)</f>
        <v>1.1289703473422003E-6</v>
      </c>
      <c r="N3" s="7">
        <f>$B3 * IFERROR(VLOOKUP("industry|SO2|Infant mortality", US_national_yearly!$D:$AM, 22, FALSE) / VLOOKUP("industry|SO2|Infant mortality", US_national_yearly!$D:$AM, 10, FALSE), 1)</f>
        <v>1.1242776971199126E-6</v>
      </c>
      <c r="O3" s="7">
        <f>$B3 * IFERROR(VLOOKUP("industry|SO2|Infant mortality", US_national_yearly!$D:$AM, 23, FALSE) / VLOOKUP("industry|SO2|Infant mortality", US_national_yearly!$D:$AM, 10, FALSE), 1)</f>
        <v>1.119585046897625E-6</v>
      </c>
      <c r="P3" s="7">
        <f>$B3 * IFERROR(VLOOKUP("industry|SO2|Infant mortality", US_national_yearly!$D:$AM, 24, FALSE) / VLOOKUP("industry|SO2|Infant mortality", US_national_yearly!$D:$AM, 10, FALSE), 1)</f>
        <v>1.1148923966753371E-6</v>
      </c>
      <c r="Q3" s="7">
        <f>$B3 * IFERROR(VLOOKUP("industry|SO2|Infant mortality", US_national_yearly!$D:$AM, 25, FALSE) / VLOOKUP("industry|SO2|Infant mortality", US_national_yearly!$D:$AM, 10, FALSE), 1)</f>
        <v>1.1101997464530494E-6</v>
      </c>
      <c r="R3" s="7">
        <f>$B3 * IFERROR(VLOOKUP("industry|SO2|Infant mortality", US_national_yearly!$D:$AM, 26, FALSE) / VLOOKUP("industry|SO2|Infant mortality", US_national_yearly!$D:$AM, 10, FALSE), 1)</f>
        <v>1.1055070962307618E-6</v>
      </c>
      <c r="S3" s="7">
        <f>$B3 * IFERROR(VLOOKUP("industry|SO2|Infant mortality", US_national_yearly!$D:$AM, 27, FALSE) / VLOOKUP("industry|SO2|Infant mortality", US_national_yearly!$D:$AM, 10, FALSE), 1)</f>
        <v>1.0996671465613961E-6</v>
      </c>
      <c r="T3" s="7">
        <f>$B3 * IFERROR(VLOOKUP("industry|SO2|Infant mortality", US_national_yearly!$D:$AM, 28, FALSE) / VLOOKUP("industry|SO2|Infant mortality", US_national_yearly!$D:$AM, 10, FALSE), 1)</f>
        <v>1.0938271968920307E-6</v>
      </c>
      <c r="U3" s="7">
        <f>$B3 * IFERROR(VLOOKUP("industry|SO2|Infant mortality", US_national_yearly!$D:$AM, 29, FALSE) / VLOOKUP("industry|SO2|Infant mortality", US_national_yearly!$D:$AM, 10, FALSE), 1)</f>
        <v>1.0879872472226653E-6</v>
      </c>
      <c r="V3" s="7">
        <f>$B3 * IFERROR(VLOOKUP("industry|SO2|Infant mortality", US_national_yearly!$D:$AM, 30, FALSE) / VLOOKUP("industry|SO2|Infant mortality", US_national_yearly!$D:$AM, 10, FALSE), 1)</f>
        <v>1.0821472975532996E-6</v>
      </c>
      <c r="W3" s="7">
        <f>$B3 * IFERROR(VLOOKUP("industry|SO2|Infant mortality", US_national_yearly!$D:$AM, 31, FALSE) / VLOOKUP("industry|SO2|Infant mortality", US_national_yearly!$D:$AM, 10, FALSE), 1)</f>
        <v>1.0763073478839342E-6</v>
      </c>
      <c r="X3" s="7">
        <f>$B3 * IFERROR(VLOOKUP("industry|SO2|Infant mortality", US_national_yearly!$D:$AM, 32, FALSE) / VLOOKUP("industry|SO2|Infant mortality", US_national_yearly!$D:$AM, 10, FALSE), 1)</f>
        <v>1.0699610653574922E-6</v>
      </c>
      <c r="Y3" s="7">
        <f>$B3 * IFERROR(VLOOKUP("industry|SO2|Infant mortality", US_national_yearly!$D:$AM, 33, FALSE) / VLOOKUP("industry|SO2|Infant mortality", US_national_yearly!$D:$AM, 10, FALSE), 1)</f>
        <v>1.0636147828310502E-6</v>
      </c>
      <c r="Z3" s="7">
        <f>$B3 * IFERROR(VLOOKUP("industry|SO2|Infant mortality", US_national_yearly!$D:$AM, 34, FALSE) / VLOOKUP("industry|SO2|Infant mortality", US_national_yearly!$D:$AM, 10, FALSE), 1)</f>
        <v>1.0572685003046082E-6</v>
      </c>
      <c r="AA3" s="7">
        <f>$B3 * IFERROR(VLOOKUP("industry|SO2|Infant mortality", US_national_yearly!$D:$AM, 35, FALSE) / VLOOKUP("industry|SO2|Infant mortality", US_national_yearly!$D:$AM, 10, FALSE), 1)</f>
        <v>1.0509222177781662E-6</v>
      </c>
      <c r="AB3" s="7">
        <f>$B3 * IFERROR(VLOOKUP("industry|SO2|Infant mortality", US_national_yearly!$D:$AM, 36, FALSE) / VLOOKUP("industry|SO2|Infant mortality", US_national_yearly!$D:$AM, 10, FALSE), 1)</f>
        <v>1.0445759352517242E-6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3.1133532003715151E-3</v>
      </c>
      <c r="C6" s="7">
        <f>$B6 * IFERROR(VLOOKUP("industry|SO2|Asthma symptoms cough", US_national_yearly!$D:$AM, 11, FALSE) / VLOOKUP("industry|SO2|Asthma symptoms cough", US_national_yearly!$D:$AM, 10, FALSE), 1)</f>
        <v>3.1133532003715151E-3</v>
      </c>
      <c r="D6" s="7">
        <f>$B6 * IFERROR(VLOOKUP("industry|SO2|Asthma symptoms cough", US_national_yearly!$D:$AM, 12, FALSE) / VLOOKUP("industry|SO2|Asthma symptoms cough", US_national_yearly!$D:$AM, 10, FALSE), 1)</f>
        <v>3.1133532003715151E-3</v>
      </c>
      <c r="E6" s="7">
        <f>$B6 * IFERROR(VLOOKUP("industry|SO2|Asthma symptoms cough", US_national_yearly!$D:$AM, 13, FALSE) / VLOOKUP("industry|SO2|Asthma symptoms cough", US_national_yearly!$D:$AM, 10, FALSE), 1)</f>
        <v>3.1133532003715151E-3</v>
      </c>
      <c r="F6" s="7">
        <f>$B6 * IFERROR(VLOOKUP("industry|SO2|Asthma symptoms cough", US_national_yearly!$D:$AM, 14, FALSE) / VLOOKUP("industry|SO2|Asthma symptoms cough", US_national_yearly!$D:$AM, 10, FALSE), 1)</f>
        <v>3.1133532003715151E-3</v>
      </c>
      <c r="G6" s="7">
        <f>$B6 * IFERROR(VLOOKUP("industry|SO2|Asthma symptoms cough", US_national_yearly!$D:$AM, 15, FALSE) / VLOOKUP("industry|SO2|Asthma symptoms cough", US_national_yearly!$D:$AM, 10, FALSE), 1)</f>
        <v>3.1133532003715151E-3</v>
      </c>
      <c r="H6" s="7">
        <f>$B6 * IFERROR(VLOOKUP("industry|SO2|Asthma symptoms cough", US_national_yearly!$D:$AM, 16, FALSE) / VLOOKUP("industry|SO2|Asthma symptoms cough", US_national_yearly!$D:$AM, 10, FALSE), 1)</f>
        <v>3.1133532003715151E-3</v>
      </c>
      <c r="I6" s="7">
        <f>$B6 * IFERROR(VLOOKUP("industry|SO2|Asthma symptoms cough", US_national_yearly!$D:$AM, 17, FALSE) / VLOOKUP("industry|SO2|Asthma symptoms cough", US_national_yearly!$D:$AM, 10, FALSE), 1)</f>
        <v>3.1133532003715151E-3</v>
      </c>
      <c r="J6" s="7">
        <f>$B6 * IFERROR(VLOOKUP("industry|SO2|Asthma symptoms cough", US_national_yearly!$D:$AM, 18, FALSE) / VLOOKUP("industry|SO2|Asthma symptoms cough", US_national_yearly!$D:$AM, 10, FALSE), 1)</f>
        <v>3.1133532003715151E-3</v>
      </c>
      <c r="K6" s="7">
        <f>$B6 * IFERROR(VLOOKUP("industry|SO2|Asthma symptoms cough", US_national_yearly!$D:$AM, 19, FALSE) / VLOOKUP("industry|SO2|Asthma symptoms cough", US_national_yearly!$D:$AM, 10, FALSE), 1)</f>
        <v>3.1133532003715151E-3</v>
      </c>
      <c r="L6" s="7">
        <f>$B6 * IFERROR(VLOOKUP("industry|SO2|Asthma symptoms cough", US_national_yearly!$D:$AM, 20, FALSE) / VLOOKUP("industry|SO2|Asthma symptoms cough", US_national_yearly!$D:$AM, 10, FALSE), 1)</f>
        <v>3.1133532003715151E-3</v>
      </c>
      <c r="M6" s="7">
        <f>$B6 * IFERROR(VLOOKUP("industry|SO2|Asthma symptoms cough", US_national_yearly!$D:$AM, 21, FALSE) / VLOOKUP("industry|SO2|Asthma symptoms cough", US_national_yearly!$D:$AM, 10, FALSE), 1)</f>
        <v>3.1133532003715151E-3</v>
      </c>
      <c r="N6" s="7">
        <f>$B6 * IFERROR(VLOOKUP("industry|SO2|Asthma symptoms cough", US_national_yearly!$D:$AM, 22, FALSE) / VLOOKUP("industry|SO2|Asthma symptoms cough", US_national_yearly!$D:$AM, 10, FALSE), 1)</f>
        <v>3.1133532003715151E-3</v>
      </c>
      <c r="O6" s="7">
        <f>$B6 * IFERROR(VLOOKUP("industry|SO2|Asthma symptoms cough", US_national_yearly!$D:$AM, 23, FALSE) / VLOOKUP("industry|SO2|Asthma symptoms cough", US_national_yearly!$D:$AM, 10, FALSE), 1)</f>
        <v>3.1133532003715151E-3</v>
      </c>
      <c r="P6" s="7">
        <f>$B6 * IFERROR(VLOOKUP("industry|SO2|Asthma symptoms cough", US_national_yearly!$D:$AM, 24, FALSE) / VLOOKUP("industry|SO2|Asthma symptoms cough", US_national_yearly!$D:$AM, 10, FALSE), 1)</f>
        <v>3.1133532003715151E-3</v>
      </c>
      <c r="Q6" s="7">
        <f>$B6 * IFERROR(VLOOKUP("industry|SO2|Asthma symptoms cough", US_national_yearly!$D:$AM, 25, FALSE) / VLOOKUP("industry|SO2|Asthma symptoms cough", US_national_yearly!$D:$AM, 10, FALSE), 1)</f>
        <v>3.1133532003715151E-3</v>
      </c>
      <c r="R6" s="7">
        <f>$B6 * IFERROR(VLOOKUP("industry|SO2|Asthma symptoms cough", US_national_yearly!$D:$AM, 26, FALSE) / VLOOKUP("industry|SO2|Asthma symptoms cough", US_national_yearly!$D:$AM, 10, FALSE), 1)</f>
        <v>3.1133532003715151E-3</v>
      </c>
      <c r="S6" s="7">
        <f>$B6 * IFERROR(VLOOKUP("industry|SO2|Asthma symptoms cough", US_national_yearly!$D:$AM, 27, FALSE) / VLOOKUP("industry|SO2|Asthma symptoms cough", US_national_yearly!$D:$AM, 10, FALSE), 1)</f>
        <v>3.1133532003715151E-3</v>
      </c>
      <c r="T6" s="7">
        <f>$B6 * IFERROR(VLOOKUP("industry|SO2|Asthma symptoms cough", US_national_yearly!$D:$AM, 28, FALSE) / VLOOKUP("industry|SO2|Asthma symptoms cough", US_national_yearly!$D:$AM, 10, FALSE), 1)</f>
        <v>3.1133532003715151E-3</v>
      </c>
      <c r="U6" s="7">
        <f>$B6 * IFERROR(VLOOKUP("industry|SO2|Asthma symptoms cough", US_national_yearly!$D:$AM, 29, FALSE) / VLOOKUP("industry|SO2|Asthma symptoms cough", US_national_yearly!$D:$AM, 10, FALSE), 1)</f>
        <v>3.1133532003715151E-3</v>
      </c>
      <c r="V6" s="7">
        <f>$B6 * IFERROR(VLOOKUP("industry|SO2|Asthma symptoms cough", US_national_yearly!$D:$AM, 30, FALSE) / VLOOKUP("industry|SO2|Asthma symptoms cough", US_national_yearly!$D:$AM, 10, FALSE), 1)</f>
        <v>3.1133532003715151E-3</v>
      </c>
      <c r="W6" s="7">
        <f>$B6 * IFERROR(VLOOKUP("industry|SO2|Asthma symptoms cough", US_national_yearly!$D:$AM, 31, FALSE) / VLOOKUP("industry|SO2|Asthma symptoms cough", US_national_yearly!$D:$AM, 10, FALSE), 1)</f>
        <v>3.1133532003715151E-3</v>
      </c>
      <c r="X6" s="7">
        <f>$B6 * IFERROR(VLOOKUP("industry|SO2|Asthma symptoms cough", US_national_yearly!$D:$AM, 32, FALSE) / VLOOKUP("industry|SO2|Asthma symptoms cough", US_national_yearly!$D:$AM, 10, FALSE), 1)</f>
        <v>3.1133532003715151E-3</v>
      </c>
      <c r="Y6" s="7">
        <f>$B6 * IFERROR(VLOOKUP("industry|SO2|Asthma symptoms cough", US_national_yearly!$D:$AM, 33, FALSE) / VLOOKUP("industry|SO2|Asthma symptoms cough", US_national_yearly!$D:$AM, 10, FALSE), 1)</f>
        <v>3.1133532003715151E-3</v>
      </c>
      <c r="Z6" s="7">
        <f>$B6 * IFERROR(VLOOKUP("industry|SO2|Asthma symptoms cough", US_national_yearly!$D:$AM, 34, FALSE) / VLOOKUP("industry|SO2|Asthma symptoms cough", US_national_yearly!$D:$AM, 10, FALSE), 1)</f>
        <v>3.1133532003715151E-3</v>
      </c>
      <c r="AA6" s="7">
        <f>$B6 * IFERROR(VLOOKUP("industry|SO2|Asthma symptoms cough", US_national_yearly!$D:$AM, 35, FALSE) / VLOOKUP("industry|SO2|Asthma symptoms cough", US_national_yearly!$D:$AM, 10, FALSE), 1)</f>
        <v>3.1133532003715151E-3</v>
      </c>
      <c r="AB6" s="7">
        <f>$B6 * IFERROR(VLOOKUP("industry|SO2|Asthma symptoms cough", US_national_yearly!$D:$AM, 36, FALSE) / VLOOKUP("industry|SO2|Asthma symptoms cough", US_national_yearly!$D:$AM, 10, FALSE), 1)</f>
        <v>3.1133532003715151E-3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4.1925682735119308E-3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4.1925682735119308E-3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4.1925682735119308E-3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4.1925682735119308E-3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4.1925682735119308E-3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4.1925682735119308E-3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4.1925682735119308E-3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4.1925682735119308E-3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4.1925682735119308E-3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4.1925682735119308E-3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4.1925682735119308E-3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4.1925682735119308E-3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4.1925682735119308E-3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4.1925682735119308E-3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4.1925682735119308E-3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4.1925682735119308E-3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4.1925682735119308E-3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4.1925682735119308E-3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4.1925682735119308E-3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4.1925682735119308E-3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4.1925682735119308E-3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4.1925682735119308E-3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4.1925682735119308E-3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4.1925682735119308E-3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4.1925682735119308E-3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4.1925682735119308E-3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4.1925682735119308E-3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6.4055821926412891E-3</v>
      </c>
      <c r="C8" s="7">
        <f>$B8 * IFERROR(VLOOKUP("industry|SO2|Asthma symptoms wheeze", US_national_yearly!$D:$AM, 11, FALSE) / VLOOKUP("industry|SO2|Asthma symptoms wheeze", US_national_yearly!$D:$AM, 10, FALSE), 1)</f>
        <v>6.4055821926412891E-3</v>
      </c>
      <c r="D8" s="7">
        <f>$B8 * IFERROR(VLOOKUP("industry|SO2|Asthma symptoms wheeze", US_national_yearly!$D:$AM, 12, FALSE) / VLOOKUP("industry|SO2|Asthma symptoms wheeze", US_national_yearly!$D:$AM, 10, FALSE), 1)</f>
        <v>6.4055821926412891E-3</v>
      </c>
      <c r="E8" s="7">
        <f>$B8 * IFERROR(VLOOKUP("industry|SO2|Asthma symptoms wheeze", US_national_yearly!$D:$AM, 13, FALSE) / VLOOKUP("industry|SO2|Asthma symptoms wheeze", US_national_yearly!$D:$AM, 10, FALSE), 1)</f>
        <v>6.4055821926412891E-3</v>
      </c>
      <c r="F8" s="7">
        <f>$B8 * IFERROR(VLOOKUP("industry|SO2|Asthma symptoms wheeze", US_national_yearly!$D:$AM, 14, FALSE) / VLOOKUP("industry|SO2|Asthma symptoms wheeze", US_national_yearly!$D:$AM, 10, FALSE), 1)</f>
        <v>6.4055821926412891E-3</v>
      </c>
      <c r="G8" s="7">
        <f>$B8 * IFERROR(VLOOKUP("industry|SO2|Asthma symptoms wheeze", US_national_yearly!$D:$AM, 15, FALSE) / VLOOKUP("industry|SO2|Asthma symptoms wheeze", US_national_yearly!$D:$AM, 10, FALSE), 1)</f>
        <v>6.4055821926412891E-3</v>
      </c>
      <c r="H8" s="7">
        <f>$B8 * IFERROR(VLOOKUP("industry|SO2|Asthma symptoms wheeze", US_national_yearly!$D:$AM, 16, FALSE) / VLOOKUP("industry|SO2|Asthma symptoms wheeze", US_national_yearly!$D:$AM, 10, FALSE), 1)</f>
        <v>6.4055821926412891E-3</v>
      </c>
      <c r="I8" s="7">
        <f>$B8 * IFERROR(VLOOKUP("industry|SO2|Asthma symptoms wheeze", US_national_yearly!$D:$AM, 17, FALSE) / VLOOKUP("industry|SO2|Asthma symptoms wheeze", US_national_yearly!$D:$AM, 10, FALSE), 1)</f>
        <v>6.4055821926412891E-3</v>
      </c>
      <c r="J8" s="7">
        <f>$B8 * IFERROR(VLOOKUP("industry|SO2|Asthma symptoms wheeze", US_national_yearly!$D:$AM, 18, FALSE) / VLOOKUP("industry|SO2|Asthma symptoms wheeze", US_national_yearly!$D:$AM, 10, FALSE), 1)</f>
        <v>6.4055821926412891E-3</v>
      </c>
      <c r="K8" s="7">
        <f>$B8 * IFERROR(VLOOKUP("industry|SO2|Asthma symptoms wheeze", US_national_yearly!$D:$AM, 19, FALSE) / VLOOKUP("industry|SO2|Asthma symptoms wheeze", US_national_yearly!$D:$AM, 10, FALSE), 1)</f>
        <v>6.4055821926412891E-3</v>
      </c>
      <c r="L8" s="7">
        <f>$B8 * IFERROR(VLOOKUP("industry|SO2|Asthma symptoms wheeze", US_national_yearly!$D:$AM, 20, FALSE) / VLOOKUP("industry|SO2|Asthma symptoms wheeze", US_national_yearly!$D:$AM, 10, FALSE), 1)</f>
        <v>6.4055821926412891E-3</v>
      </c>
      <c r="M8" s="7">
        <f>$B8 * IFERROR(VLOOKUP("industry|SO2|Asthma symptoms wheeze", US_national_yearly!$D:$AM, 21, FALSE) / VLOOKUP("industry|SO2|Asthma symptoms wheeze", US_national_yearly!$D:$AM, 10, FALSE), 1)</f>
        <v>6.4055821926412891E-3</v>
      </c>
      <c r="N8" s="7">
        <f>$B8 * IFERROR(VLOOKUP("industry|SO2|Asthma symptoms wheeze", US_national_yearly!$D:$AM, 22, FALSE) / VLOOKUP("industry|SO2|Asthma symptoms wheeze", US_national_yearly!$D:$AM, 10, FALSE), 1)</f>
        <v>6.4055821926412891E-3</v>
      </c>
      <c r="O8" s="7">
        <f>$B8 * IFERROR(VLOOKUP("industry|SO2|Asthma symptoms wheeze", US_national_yearly!$D:$AM, 23, FALSE) / VLOOKUP("industry|SO2|Asthma symptoms wheeze", US_national_yearly!$D:$AM, 10, FALSE), 1)</f>
        <v>6.4055821926412891E-3</v>
      </c>
      <c r="P8" s="7">
        <f>$B8 * IFERROR(VLOOKUP("industry|SO2|Asthma symptoms wheeze", US_national_yearly!$D:$AM, 24, FALSE) / VLOOKUP("industry|SO2|Asthma symptoms wheeze", US_national_yearly!$D:$AM, 10, FALSE), 1)</f>
        <v>6.4055821926412891E-3</v>
      </c>
      <c r="Q8" s="7">
        <f>$B8 * IFERROR(VLOOKUP("industry|SO2|Asthma symptoms wheeze", US_national_yearly!$D:$AM, 25, FALSE) / VLOOKUP("industry|SO2|Asthma symptoms wheeze", US_national_yearly!$D:$AM, 10, FALSE), 1)</f>
        <v>6.4055821926412891E-3</v>
      </c>
      <c r="R8" s="7">
        <f>$B8 * IFERROR(VLOOKUP("industry|SO2|Asthma symptoms wheeze", US_national_yearly!$D:$AM, 26, FALSE) / VLOOKUP("industry|SO2|Asthma symptoms wheeze", US_national_yearly!$D:$AM, 10, FALSE), 1)</f>
        <v>6.4055821926412891E-3</v>
      </c>
      <c r="S8" s="7">
        <f>$B8 * IFERROR(VLOOKUP("industry|SO2|Asthma symptoms wheeze", US_national_yearly!$D:$AM, 27, FALSE) / VLOOKUP("industry|SO2|Asthma symptoms wheeze", US_national_yearly!$D:$AM, 10, FALSE), 1)</f>
        <v>6.4055821926412891E-3</v>
      </c>
      <c r="T8" s="7">
        <f>$B8 * IFERROR(VLOOKUP("industry|SO2|Asthma symptoms wheeze", US_national_yearly!$D:$AM, 28, FALSE) / VLOOKUP("industry|SO2|Asthma symptoms wheeze", US_national_yearly!$D:$AM, 10, FALSE), 1)</f>
        <v>6.4055821926412891E-3</v>
      </c>
      <c r="U8" s="7">
        <f>$B8 * IFERROR(VLOOKUP("industry|SO2|Asthma symptoms wheeze", US_national_yearly!$D:$AM, 29, FALSE) / VLOOKUP("industry|SO2|Asthma symptoms wheeze", US_national_yearly!$D:$AM, 10, FALSE), 1)</f>
        <v>6.4055821926412891E-3</v>
      </c>
      <c r="V8" s="7">
        <f>$B8 * IFERROR(VLOOKUP("industry|SO2|Asthma symptoms wheeze", US_national_yearly!$D:$AM, 30, FALSE) / VLOOKUP("industry|SO2|Asthma symptoms wheeze", US_national_yearly!$D:$AM, 10, FALSE), 1)</f>
        <v>6.4055821926412891E-3</v>
      </c>
      <c r="W8" s="7">
        <f>$B8 * IFERROR(VLOOKUP("industry|SO2|Asthma symptoms wheeze", US_national_yearly!$D:$AM, 31, FALSE) / VLOOKUP("industry|SO2|Asthma symptoms wheeze", US_national_yearly!$D:$AM, 10, FALSE), 1)</f>
        <v>6.4055821926412891E-3</v>
      </c>
      <c r="X8" s="7">
        <f>$B8 * IFERROR(VLOOKUP("industry|SO2|Asthma symptoms wheeze", US_national_yearly!$D:$AM, 32, FALSE) / VLOOKUP("industry|SO2|Asthma symptoms wheeze", US_national_yearly!$D:$AM, 10, FALSE), 1)</f>
        <v>6.4055821926412891E-3</v>
      </c>
      <c r="Y8" s="7">
        <f>$B8 * IFERROR(VLOOKUP("industry|SO2|Asthma symptoms wheeze", US_national_yearly!$D:$AM, 33, FALSE) / VLOOKUP("industry|SO2|Asthma symptoms wheeze", US_national_yearly!$D:$AM, 10, FALSE), 1)</f>
        <v>6.4055821926412891E-3</v>
      </c>
      <c r="Z8" s="7">
        <f>$B8 * IFERROR(VLOOKUP("industry|SO2|Asthma symptoms wheeze", US_national_yearly!$D:$AM, 34, FALSE) / VLOOKUP("industry|SO2|Asthma symptoms wheeze", US_national_yearly!$D:$AM, 10, FALSE), 1)</f>
        <v>6.4055821926412891E-3</v>
      </c>
      <c r="AA8" s="7">
        <f>$B8 * IFERROR(VLOOKUP("industry|SO2|Asthma symptoms wheeze", US_national_yearly!$D:$AM, 35, FALSE) / VLOOKUP("industry|SO2|Asthma symptoms wheeze", US_national_yearly!$D:$AM, 10, FALSE), 1)</f>
        <v>6.4055821926412891E-3</v>
      </c>
      <c r="AB8" s="7">
        <f>$B8 * IFERROR(VLOOKUP("industry|SO2|Asthma symptoms wheeze", US_national_yearly!$D:$AM, 36, FALSE) / VLOOKUP("industry|SO2|Asthma symptoms wheeze", US_national_yearly!$D:$AM, 10, FALSE), 1)</f>
        <v>6.4055821926412891E-3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9.369235484870425E-5</v>
      </c>
      <c r="C12" s="7">
        <f>$B12 * IFERROR(VLOOKUP("industry|SO2|Respiratory hospital admissions", US_national_yearly!$D:$AM, 11, FALSE) / VLOOKUP("industry|SO2|Respiratory hospital admissions", US_national_yearly!$D:$AM, 10, FALSE), 1)</f>
        <v>9.4241213184579332E-5</v>
      </c>
      <c r="D12" s="7">
        <f>$B12 * IFERROR(VLOOKUP("industry|SO2|Respiratory hospital admissions", US_national_yearly!$D:$AM, 12, FALSE) / VLOOKUP("industry|SO2|Respiratory hospital admissions", US_national_yearly!$D:$AM, 10, FALSE), 1)</f>
        <v>9.4790071520454414E-5</v>
      </c>
      <c r="E12" s="7">
        <f>$B12 * IFERROR(VLOOKUP("industry|SO2|Respiratory hospital admissions", US_national_yearly!$D:$AM, 13, FALSE) / VLOOKUP("industry|SO2|Respiratory hospital admissions", US_national_yearly!$D:$AM, 10, FALSE), 1)</f>
        <v>9.5338929856329495E-5</v>
      </c>
      <c r="F12" s="7">
        <f>$B12 * IFERROR(VLOOKUP("industry|SO2|Respiratory hospital admissions", US_national_yearly!$D:$AM, 14, FALSE) / VLOOKUP("industry|SO2|Respiratory hospital admissions", US_national_yearly!$D:$AM, 10, FALSE), 1)</f>
        <v>9.5887788192204604E-5</v>
      </c>
      <c r="G12" s="7">
        <f>$B12 * IFERROR(VLOOKUP("industry|SO2|Respiratory hospital admissions", US_national_yearly!$D:$AM, 15, FALSE) / VLOOKUP("industry|SO2|Respiratory hospital admissions", US_national_yearly!$D:$AM, 10, FALSE), 1)</f>
        <v>9.6486149950661992E-5</v>
      </c>
      <c r="H12" s="7">
        <f>$B12 * IFERROR(VLOOKUP("industry|SO2|Respiratory hospital admissions", US_national_yearly!$D:$AM, 16, FALSE) / VLOOKUP("industry|SO2|Respiratory hospital admissions", US_national_yearly!$D:$AM, 10, FALSE), 1)</f>
        <v>9.7084511709119394E-5</v>
      </c>
      <c r="I12" s="7">
        <f>$B12 * IFERROR(VLOOKUP("industry|SO2|Respiratory hospital admissions", US_national_yearly!$D:$AM, 17, FALSE) / VLOOKUP("industry|SO2|Respiratory hospital admissions", US_national_yearly!$D:$AM, 10, FALSE), 1)</f>
        <v>9.7672201069973194E-5</v>
      </c>
      <c r="J12" s="7">
        <f>$B12 * IFERROR(VLOOKUP("industry|SO2|Respiratory hospital admissions", US_national_yearly!$D:$AM, 18, FALSE) / VLOOKUP("industry|SO2|Respiratory hospital admissions", US_national_yearly!$D:$AM, 10, FALSE), 1)</f>
        <v>9.8259890430826995E-5</v>
      </c>
      <c r="K12" s="7">
        <f>$B12 * IFERROR(VLOOKUP("industry|SO2|Respiratory hospital admissions", US_national_yearly!$D:$AM, 19, FALSE) / VLOOKUP("industry|SO2|Respiratory hospital admissions", US_national_yearly!$D:$AM, 10, FALSE), 1)</f>
        <v>9.8847579791680782E-5</v>
      </c>
      <c r="L12" s="7">
        <f>$B12 * IFERROR(VLOOKUP("industry|SO2|Respiratory hospital admissions", US_national_yearly!$D:$AM, 20, FALSE) / VLOOKUP("industry|SO2|Respiratory hospital admissions", US_national_yearly!$D:$AM, 10, FALSE), 1)</f>
        <v>9.9435269152534583E-5</v>
      </c>
      <c r="M12" s="7">
        <f>$B12 * IFERROR(VLOOKUP("industry|SO2|Respiratory hospital admissions", US_national_yearly!$D:$AM, 21, FALSE) / VLOOKUP("industry|SO2|Respiratory hospital admissions", US_national_yearly!$D:$AM, 10, FALSE), 1)</f>
        <v>1.0002295851338838E-4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1.0044821880670661E-4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1.0087347910002484E-4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1.0129873939334304E-4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1.0172399968666127E-4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1.0214925997997948E-4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1.0255340488454255E-4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1.029575497891056E-4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1.0336169469366865E-4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1.0376583959823173E-4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1.0416998450279477E-4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1.0455376657518709E-4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1.0493754864757941E-4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1.0532133071997172E-4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1.0570511279236404E-4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1.0608889486475636E-4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4.7446502758807509E-4</v>
      </c>
      <c r="C13" s="7">
        <f>$B13 * IFERROR(VLOOKUP("industry|SO2|Non-fatal heart attacks", US_national_yearly!$D:$AM, 11, FALSE) / VLOOKUP("industry|SO2|Non-fatal heart attacks", US_national_yearly!$D:$AM, 10, FALSE), 1)</f>
        <v>4.883935415847902E-4</v>
      </c>
      <c r="D13" s="7">
        <f>$B13 * IFERROR(VLOOKUP("industry|SO2|Non-fatal heart attacks", US_national_yearly!$D:$AM, 12, FALSE) / VLOOKUP("industry|SO2|Non-fatal heart attacks", US_national_yearly!$D:$AM, 10, FALSE), 1)</f>
        <v>5.0232205558150525E-4</v>
      </c>
      <c r="E13" s="7">
        <f>$B13 * IFERROR(VLOOKUP("industry|SO2|Non-fatal heart attacks", US_national_yearly!$D:$AM, 13, FALSE) / VLOOKUP("industry|SO2|Non-fatal heart attacks", US_national_yearly!$D:$AM, 10, FALSE), 1)</f>
        <v>5.162505695782202E-4</v>
      </c>
      <c r="F13" s="7">
        <f>$B13 * IFERROR(VLOOKUP("industry|SO2|Non-fatal heart attacks", US_national_yearly!$D:$AM, 14, FALSE) / VLOOKUP("industry|SO2|Non-fatal heart attacks", US_national_yearly!$D:$AM, 10, FALSE), 1)</f>
        <v>5.3017908357493536E-4</v>
      </c>
      <c r="G13" s="7">
        <f>$B13 * IFERROR(VLOOKUP("industry|SO2|Non-fatal heart attacks", US_national_yearly!$D:$AM, 15, FALSE) / VLOOKUP("industry|SO2|Non-fatal heart attacks", US_national_yearly!$D:$AM, 10, FALSE), 1)</f>
        <v>5.4332369888035719E-4</v>
      </c>
      <c r="H13" s="7">
        <f>$B13 * IFERROR(VLOOKUP("industry|SO2|Non-fatal heart attacks", US_national_yearly!$D:$AM, 16, FALSE) / VLOOKUP("industry|SO2|Non-fatal heart attacks", US_national_yearly!$D:$AM, 10, FALSE), 1)</f>
        <v>5.5646831418577902E-4</v>
      </c>
      <c r="I13" s="7">
        <f>$B13 * IFERROR(VLOOKUP("industry|SO2|Non-fatal heart attacks", US_national_yearly!$D:$AM, 17, FALSE) / VLOOKUP("industry|SO2|Non-fatal heart attacks", US_national_yearly!$D:$AM, 10, FALSE), 1)</f>
        <v>5.6706514937660967E-4</v>
      </c>
      <c r="J13" s="7">
        <f>$B13 * IFERROR(VLOOKUP("industry|SO2|Non-fatal heart attacks", US_national_yearly!$D:$AM, 18, FALSE) / VLOOKUP("industry|SO2|Non-fatal heart attacks", US_national_yearly!$D:$AM, 10, FALSE), 1)</f>
        <v>5.7766198456744053E-4</v>
      </c>
      <c r="K13" s="7">
        <f>$B13 * IFERROR(VLOOKUP("industry|SO2|Non-fatal heart attacks", US_national_yearly!$D:$AM, 19, FALSE) / VLOOKUP("industry|SO2|Non-fatal heart attacks", US_national_yearly!$D:$AM, 10, FALSE), 1)</f>
        <v>5.8825881975827128E-4</v>
      </c>
      <c r="L13" s="7">
        <f>$B13 * IFERROR(VLOOKUP("industry|SO2|Non-fatal heart attacks", US_national_yearly!$D:$AM, 20, FALSE) / VLOOKUP("industry|SO2|Non-fatal heart attacks", US_national_yearly!$D:$AM, 10, FALSE), 1)</f>
        <v>5.9885565494910203E-4</v>
      </c>
      <c r="M13" s="7">
        <f>$B13 * IFERROR(VLOOKUP("industry|SO2|Non-fatal heart attacks", US_national_yearly!$D:$AM, 21, FALSE) / VLOOKUP("industry|SO2|Non-fatal heart attacks", US_national_yearly!$D:$AM, 10, FALSE), 1)</f>
        <v>6.0945249013993278E-4</v>
      </c>
      <c r="N13" s="7">
        <f>$B13 * IFERROR(VLOOKUP("industry|SO2|Non-fatal heart attacks", US_national_yearly!$D:$AM, 22, FALSE) / VLOOKUP("industry|SO2|Non-fatal heart attacks", US_national_yearly!$D:$AM, 10, FALSE), 1)</f>
        <v>6.1633675883603523E-4</v>
      </c>
      <c r="O13" s="7">
        <f>$B13 * IFERROR(VLOOKUP("industry|SO2|Non-fatal heart attacks", US_national_yearly!$D:$AM, 23, FALSE) / VLOOKUP("industry|SO2|Non-fatal heart attacks", US_national_yearly!$D:$AM, 10, FALSE), 1)</f>
        <v>6.2322102753213779E-4</v>
      </c>
      <c r="P13" s="7">
        <f>$B13 * IFERROR(VLOOKUP("industry|SO2|Non-fatal heart attacks", US_national_yearly!$D:$AM, 24, FALSE) / VLOOKUP("industry|SO2|Non-fatal heart attacks", US_national_yearly!$D:$AM, 10, FALSE), 1)</f>
        <v>6.3010529622824012E-4</v>
      </c>
      <c r="Q13" s="7">
        <f>$B13 * IFERROR(VLOOKUP("industry|SO2|Non-fatal heart attacks", US_national_yearly!$D:$AM, 25, FALSE) / VLOOKUP("industry|SO2|Non-fatal heart attacks", US_national_yearly!$D:$AM, 10, FALSE), 1)</f>
        <v>6.3698956492434257E-4</v>
      </c>
      <c r="R13" s="7">
        <f>$B13 * IFERROR(VLOOKUP("industry|SO2|Non-fatal heart attacks", US_national_yearly!$D:$AM, 26, FALSE) / VLOOKUP("industry|SO2|Non-fatal heart attacks", US_national_yearly!$D:$AM, 10, FALSE), 1)</f>
        <v>6.4387383362044502E-4</v>
      </c>
      <c r="S13" s="7">
        <f>$B13 * IFERROR(VLOOKUP("industry|SO2|Non-fatal heart attacks", US_national_yearly!$D:$AM, 27, FALSE) / VLOOKUP("industry|SO2|Non-fatal heart attacks", US_national_yearly!$D:$AM, 10, FALSE), 1)</f>
        <v>6.4748955275881659E-4</v>
      </c>
      <c r="T13" s="7">
        <f>$B13 * IFERROR(VLOOKUP("industry|SO2|Non-fatal heart attacks", US_national_yearly!$D:$AM, 28, FALSE) / VLOOKUP("industry|SO2|Non-fatal heart attacks", US_national_yearly!$D:$AM, 10, FALSE), 1)</f>
        <v>6.5110527189718816E-4</v>
      </c>
      <c r="U13" s="7">
        <f>$B13 * IFERROR(VLOOKUP("industry|SO2|Non-fatal heart attacks", US_national_yearly!$D:$AM, 29, FALSE) / VLOOKUP("industry|SO2|Non-fatal heart attacks", US_national_yearly!$D:$AM, 10, FALSE), 1)</f>
        <v>6.5472099103555973E-4</v>
      </c>
      <c r="V13" s="7">
        <f>$B13 * IFERROR(VLOOKUP("industry|SO2|Non-fatal heart attacks", US_national_yearly!$D:$AM, 30, FALSE) / VLOOKUP("industry|SO2|Non-fatal heart attacks", US_national_yearly!$D:$AM, 10, FALSE), 1)</f>
        <v>6.583367101739312E-4</v>
      </c>
      <c r="W13" s="7">
        <f>$B13 * IFERROR(VLOOKUP("industry|SO2|Non-fatal heart attacks", US_national_yearly!$D:$AM, 31, FALSE) / VLOOKUP("industry|SO2|Non-fatal heart attacks", US_national_yearly!$D:$AM, 10, FALSE), 1)</f>
        <v>6.6195242931230277E-4</v>
      </c>
      <c r="X13" s="7">
        <f>$B13 * IFERROR(VLOOKUP("industry|SO2|Non-fatal heart attacks", US_national_yearly!$D:$AM, 32, FALSE) / VLOOKUP("industry|SO2|Non-fatal heart attacks", US_national_yearly!$D:$AM, 10, FALSE), 1)</f>
        <v>6.6469846365873437E-4</v>
      </c>
      <c r="Y13" s="7">
        <f>$B13 * IFERROR(VLOOKUP("industry|SO2|Non-fatal heart attacks", US_national_yearly!$D:$AM, 33, FALSE) / VLOOKUP("industry|SO2|Non-fatal heart attacks", US_national_yearly!$D:$AM, 10, FALSE), 1)</f>
        <v>6.6744449800516586E-4</v>
      </c>
      <c r="Z13" s="7">
        <f>$B13 * IFERROR(VLOOKUP("industry|SO2|Non-fatal heart attacks", US_national_yearly!$D:$AM, 34, FALSE) / VLOOKUP("industry|SO2|Non-fatal heart attacks", US_national_yearly!$D:$AM, 10, FALSE), 1)</f>
        <v>6.7019053235159746E-4</v>
      </c>
      <c r="AA13" s="7">
        <f>$B13 * IFERROR(VLOOKUP("industry|SO2|Non-fatal heart attacks", US_national_yearly!$D:$AM, 35, FALSE) / VLOOKUP("industry|SO2|Non-fatal heart attacks", US_national_yearly!$D:$AM, 10, FALSE), 1)</f>
        <v>6.7293656669802906E-4</v>
      </c>
      <c r="AB13" s="7">
        <f>$B13 * IFERROR(VLOOKUP("industry|SO2|Non-fatal heart attacks", US_national_yearly!$D:$AM, 36, FALSE) / VLOOKUP("industry|SO2|Non-fatal heart attacks", US_national_yearly!$D:$AM, 10, FALSE), 1)</f>
        <v>6.7568260104446055E-4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0.40465439893578459</v>
      </c>
      <c r="C14" s="7">
        <f>$B14 * IFERROR(VLOOKUP("industry|SO2|Minor restricted activity days", US_national_yearly!$D:$AM, 11, FALSE) / VLOOKUP("industry|SO2|Minor restricted activity days", US_national_yearly!$D:$AM, 10, FALSE), 1)</f>
        <v>0.40566659701660662</v>
      </c>
      <c r="D14" s="7">
        <f>$B14 * IFERROR(VLOOKUP("industry|SO2|Minor restricted activity days", US_national_yearly!$D:$AM, 12, FALSE) / VLOOKUP("industry|SO2|Minor restricted activity days", US_national_yearly!$D:$AM, 10, FALSE), 1)</f>
        <v>0.40667879509742855</v>
      </c>
      <c r="E14" s="7">
        <f>$B14 * IFERROR(VLOOKUP("industry|SO2|Minor restricted activity days", US_national_yearly!$D:$AM, 13, FALSE) / VLOOKUP("industry|SO2|Minor restricted activity days", US_national_yearly!$D:$AM, 10, FALSE), 1)</f>
        <v>0.40769099317825053</v>
      </c>
      <c r="F14" s="7">
        <f>$B14 * IFERROR(VLOOKUP("industry|SO2|Minor restricted activity days", US_national_yearly!$D:$AM, 14, FALSE) / VLOOKUP("industry|SO2|Minor restricted activity days", US_national_yearly!$D:$AM, 10, FALSE), 1)</f>
        <v>0.40870319125907256</v>
      </c>
      <c r="G14" s="7">
        <f>$B14 * IFERROR(VLOOKUP("industry|SO2|Minor restricted activity days", US_national_yearly!$D:$AM, 15, FALSE) / VLOOKUP("industry|SO2|Minor restricted activity days", US_national_yearly!$D:$AM, 10, FALSE), 1)</f>
        <v>0.41019223108557035</v>
      </c>
      <c r="H14" s="7">
        <f>$B14 * IFERROR(VLOOKUP("industry|SO2|Minor restricted activity days", US_national_yearly!$D:$AM, 16, FALSE) / VLOOKUP("industry|SO2|Minor restricted activity days", US_national_yearly!$D:$AM, 10, FALSE), 1)</f>
        <v>0.41168127091206808</v>
      </c>
      <c r="I14" s="7">
        <f>$B14 * IFERROR(VLOOKUP("industry|SO2|Minor restricted activity days", US_national_yearly!$D:$AM, 17, FALSE) / VLOOKUP("industry|SO2|Minor restricted activity days", US_national_yearly!$D:$AM, 10, FALSE), 1)</f>
        <v>0.41422053421683508</v>
      </c>
      <c r="J14" s="7">
        <f>$B14 * IFERROR(VLOOKUP("industry|SO2|Minor restricted activity days", US_national_yearly!$D:$AM, 18, FALSE) / VLOOKUP("industry|SO2|Minor restricted activity days", US_national_yearly!$D:$AM, 10, FALSE), 1)</f>
        <v>0.41675979752160214</v>
      </c>
      <c r="K14" s="7">
        <f>$B14 * IFERROR(VLOOKUP("industry|SO2|Minor restricted activity days", US_national_yearly!$D:$AM, 19, FALSE) / VLOOKUP("industry|SO2|Minor restricted activity days", US_national_yearly!$D:$AM, 10, FALSE), 1)</f>
        <v>0.4192990608263692</v>
      </c>
      <c r="L14" s="7">
        <f>$B14 * IFERROR(VLOOKUP("industry|SO2|Minor restricted activity days", US_national_yearly!$D:$AM, 20, FALSE) / VLOOKUP("industry|SO2|Minor restricted activity days", US_national_yearly!$D:$AM, 10, FALSE), 1)</f>
        <v>0.4218383241311362</v>
      </c>
      <c r="M14" s="7">
        <f>$B14 * IFERROR(VLOOKUP("industry|SO2|Minor restricted activity days", US_national_yearly!$D:$AM, 21, FALSE) / VLOOKUP("industry|SO2|Minor restricted activity days", US_national_yearly!$D:$AM, 10, FALSE), 1)</f>
        <v>0.42437758743590326</v>
      </c>
      <c r="N14" s="7">
        <f>$B14 * IFERROR(VLOOKUP("industry|SO2|Minor restricted activity days", US_national_yearly!$D:$AM, 22, FALSE) / VLOOKUP("industry|SO2|Minor restricted activity days", US_national_yearly!$D:$AM, 10, FALSE), 1)</f>
        <v>0.42785922281687311</v>
      </c>
      <c r="O14" s="7">
        <f>$B14 * IFERROR(VLOOKUP("industry|SO2|Minor restricted activity days", US_national_yearly!$D:$AM, 23, FALSE) / VLOOKUP("industry|SO2|Minor restricted activity days", US_national_yearly!$D:$AM, 10, FALSE), 1)</f>
        <v>0.43134085819784296</v>
      </c>
      <c r="P14" s="7">
        <f>$B14 * IFERROR(VLOOKUP("industry|SO2|Minor restricted activity days", US_national_yearly!$D:$AM, 24, FALSE) / VLOOKUP("industry|SO2|Minor restricted activity days", US_national_yearly!$D:$AM, 10, FALSE), 1)</f>
        <v>0.43482249357881281</v>
      </c>
      <c r="Q14" s="7">
        <f>$B14 * IFERROR(VLOOKUP("industry|SO2|Minor restricted activity days", US_national_yearly!$D:$AM, 25, FALSE) / VLOOKUP("industry|SO2|Minor restricted activity days", US_national_yearly!$D:$AM, 10, FALSE), 1)</f>
        <v>0.43830412895978271</v>
      </c>
      <c r="R14" s="7">
        <f>$B14 * IFERROR(VLOOKUP("industry|SO2|Minor restricted activity days", US_national_yearly!$D:$AM, 26, FALSE) / VLOOKUP("industry|SO2|Minor restricted activity days", US_national_yearly!$D:$AM, 10, FALSE), 1)</f>
        <v>0.44178576434075256</v>
      </c>
      <c r="S14" s="7">
        <f>$B14 * IFERROR(VLOOKUP("industry|SO2|Minor restricted activity days", US_national_yearly!$D:$AM, 27, FALSE) / VLOOKUP("industry|SO2|Minor restricted activity days", US_national_yearly!$D:$AM, 10, FALSE), 1)</f>
        <v>0.44533905443081345</v>
      </c>
      <c r="T14" s="7">
        <f>$B14 * IFERROR(VLOOKUP("industry|SO2|Minor restricted activity days", US_national_yearly!$D:$AM, 28, FALSE) / VLOOKUP("industry|SO2|Minor restricted activity days", US_national_yearly!$D:$AM, 10, FALSE), 1)</f>
        <v>0.4488923445208744</v>
      </c>
      <c r="U14" s="7">
        <f>$B14 * IFERROR(VLOOKUP("industry|SO2|Minor restricted activity days", US_national_yearly!$D:$AM, 29, FALSE) / VLOOKUP("industry|SO2|Minor restricted activity days", US_national_yearly!$D:$AM, 10, FALSE), 1)</f>
        <v>0.45244563461093529</v>
      </c>
      <c r="V14" s="7">
        <f>$B14 * IFERROR(VLOOKUP("industry|SO2|Minor restricted activity days", US_national_yearly!$D:$AM, 30, FALSE) / VLOOKUP("industry|SO2|Minor restricted activity days", US_national_yearly!$D:$AM, 10, FALSE), 1)</f>
        <v>0.45599892470099623</v>
      </c>
      <c r="W14" s="7">
        <f>$B14 * IFERROR(VLOOKUP("industry|SO2|Minor restricted activity days", US_national_yearly!$D:$AM, 31, FALSE) / VLOOKUP("industry|SO2|Minor restricted activity days", US_national_yearly!$D:$AM, 10, FALSE), 1)</f>
        <v>0.45955221479105707</v>
      </c>
      <c r="X14" s="7">
        <f>$B14 * IFERROR(VLOOKUP("industry|SO2|Minor restricted activity days", US_national_yearly!$D:$AM, 32, FALSE) / VLOOKUP("industry|SO2|Minor restricted activity days", US_national_yearly!$D:$AM, 10, FALSE), 1)</f>
        <v>0.46267659472264644</v>
      </c>
      <c r="Y14" s="7">
        <f>$B14 * IFERROR(VLOOKUP("industry|SO2|Minor restricted activity days", US_national_yearly!$D:$AM, 33, FALSE) / VLOOKUP("industry|SO2|Minor restricted activity days", US_national_yearly!$D:$AM, 10, FALSE), 1)</f>
        <v>0.46580097465423564</v>
      </c>
      <c r="Z14" s="7">
        <f>$B14 * IFERROR(VLOOKUP("industry|SO2|Minor restricted activity days", US_national_yearly!$D:$AM, 34, FALSE) / VLOOKUP("industry|SO2|Minor restricted activity days", US_national_yearly!$D:$AM, 10, FALSE), 1)</f>
        <v>0.46892535458582491</v>
      </c>
      <c r="AA14" s="7">
        <f>$B14 * IFERROR(VLOOKUP("industry|SO2|Minor restricted activity days", US_national_yearly!$D:$AM, 35, FALSE) / VLOOKUP("industry|SO2|Minor restricted activity days", US_national_yearly!$D:$AM, 10, FALSE), 1)</f>
        <v>0.47204973451741411</v>
      </c>
      <c r="AB14" s="7">
        <f>$B14 * IFERROR(VLOOKUP("industry|SO2|Minor restricted activity days", US_national_yearly!$D:$AM, 36, FALSE) / VLOOKUP("industry|SO2|Minor restricted activity days", US_national_yearly!$D:$AM, 10, FALSE), 1)</f>
        <v>0.47517411444900343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6.8871984510554179E-2</v>
      </c>
      <c r="C15" s="7">
        <f>$B15 * IFERROR(VLOOKUP("industry|SO2|Work loss days", US_national_yearly!$D:$AM, 11, FALSE) / VLOOKUP("industry|SO2|Work loss days", US_national_yearly!$D:$AM, 10, FALSE), 1)</f>
        <v>6.9093469031798832E-2</v>
      </c>
      <c r="D15" s="7">
        <f>$B15 * IFERROR(VLOOKUP("industry|SO2|Work loss days", US_national_yearly!$D:$AM, 12, FALSE) / VLOOKUP("industry|SO2|Work loss days", US_national_yearly!$D:$AM, 10, FALSE), 1)</f>
        <v>6.9314953553043526E-2</v>
      </c>
      <c r="E15" s="7">
        <f>$B15 * IFERROR(VLOOKUP("industry|SO2|Work loss days", US_national_yearly!$D:$AM, 13, FALSE) / VLOOKUP("industry|SO2|Work loss days", US_national_yearly!$D:$AM, 10, FALSE), 1)</f>
        <v>6.9536438074288179E-2</v>
      </c>
      <c r="F15" s="7">
        <f>$B15 * IFERROR(VLOOKUP("industry|SO2|Work loss days", US_national_yearly!$D:$AM, 14, FALSE) / VLOOKUP("industry|SO2|Work loss days", US_national_yearly!$D:$AM, 10, FALSE), 1)</f>
        <v>6.9757922595532873E-2</v>
      </c>
      <c r="G15" s="7">
        <f>$B15 * IFERROR(VLOOKUP("industry|SO2|Work loss days", US_national_yearly!$D:$AM, 15, FALSE) / VLOOKUP("industry|SO2|Work loss days", US_national_yearly!$D:$AM, 10, FALSE), 1)</f>
        <v>7.0047019749337469E-2</v>
      </c>
      <c r="H15" s="7">
        <f>$B15 * IFERROR(VLOOKUP("industry|SO2|Work loss days", US_national_yearly!$D:$AM, 16, FALSE) / VLOOKUP("industry|SO2|Work loss days", US_national_yearly!$D:$AM, 10, FALSE), 1)</f>
        <v>7.0336116903142093E-2</v>
      </c>
      <c r="I15" s="7">
        <f>$B15 * IFERROR(VLOOKUP("industry|SO2|Work loss days", US_national_yearly!$D:$AM, 17, FALSE) / VLOOKUP("industry|SO2|Work loss days", US_national_yearly!$D:$AM, 10, FALSE), 1)</f>
        <v>7.0758695478511685E-2</v>
      </c>
      <c r="J15" s="7">
        <f>$B15 * IFERROR(VLOOKUP("industry|SO2|Work loss days", US_national_yearly!$D:$AM, 18, FALSE) / VLOOKUP("industry|SO2|Work loss days", US_national_yearly!$D:$AM, 10, FALSE), 1)</f>
        <v>7.1181274053881249E-2</v>
      </c>
      <c r="K15" s="7">
        <f>$B15 * IFERROR(VLOOKUP("industry|SO2|Work loss days", US_national_yearly!$D:$AM, 19, FALSE) / VLOOKUP("industry|SO2|Work loss days", US_national_yearly!$D:$AM, 10, FALSE), 1)</f>
        <v>7.1603852629250828E-2</v>
      </c>
      <c r="L15" s="7">
        <f>$B15 * IFERROR(VLOOKUP("industry|SO2|Work loss days", US_national_yearly!$D:$AM, 20, FALSE) / VLOOKUP("industry|SO2|Work loss days", US_national_yearly!$D:$AM, 10, FALSE), 1)</f>
        <v>7.202643120462042E-2</v>
      </c>
      <c r="M15" s="7">
        <f>$B15 * IFERROR(VLOOKUP("industry|SO2|Work loss days", US_national_yearly!$D:$AM, 21, FALSE) / VLOOKUP("industry|SO2|Work loss days", US_national_yearly!$D:$AM, 10, FALSE), 1)</f>
        <v>7.2449009779989998E-2</v>
      </c>
      <c r="N15" s="7">
        <f>$B15 * IFERROR(VLOOKUP("industry|SO2|Work loss days", US_national_yearly!$D:$AM, 22, FALSE) / VLOOKUP("industry|SO2|Work loss days", US_national_yearly!$D:$AM, 10, FALSE), 1)</f>
        <v>7.2980128837493718E-2</v>
      </c>
      <c r="O15" s="7">
        <f>$B15 * IFERROR(VLOOKUP("industry|SO2|Work loss days", US_national_yearly!$D:$AM, 23, FALSE) / VLOOKUP("industry|SO2|Work loss days", US_national_yearly!$D:$AM, 10, FALSE), 1)</f>
        <v>7.3511247894997425E-2</v>
      </c>
      <c r="P15" s="7">
        <f>$B15 * IFERROR(VLOOKUP("industry|SO2|Work loss days", US_national_yearly!$D:$AM, 24, FALSE) / VLOOKUP("industry|SO2|Work loss days", US_national_yearly!$D:$AM, 10, FALSE), 1)</f>
        <v>7.4042366952501132E-2</v>
      </c>
      <c r="Q15" s="7">
        <f>$B15 * IFERROR(VLOOKUP("industry|SO2|Work loss days", US_national_yearly!$D:$AM, 25, FALSE) / VLOOKUP("industry|SO2|Work loss days", US_national_yearly!$D:$AM, 10, FALSE), 1)</f>
        <v>7.4573486010004852E-2</v>
      </c>
      <c r="R15" s="7">
        <f>$B15 * IFERROR(VLOOKUP("industry|SO2|Work loss days", US_national_yearly!$D:$AM, 26, FALSE) / VLOOKUP("industry|SO2|Work loss days", US_national_yearly!$D:$AM, 10, FALSE), 1)</f>
        <v>7.5104605067508559E-2</v>
      </c>
      <c r="S15" s="7">
        <f>$B15 * IFERROR(VLOOKUP("industry|SO2|Work loss days", US_national_yearly!$D:$AM, 27, FALSE) / VLOOKUP("industry|SO2|Work loss days", US_national_yearly!$D:$AM, 10, FALSE), 1)</f>
        <v>7.569890540404757E-2</v>
      </c>
      <c r="T15" s="7">
        <f>$B15 * IFERROR(VLOOKUP("industry|SO2|Work loss days", US_national_yearly!$D:$AM, 28, FALSE) / VLOOKUP("industry|SO2|Work loss days", US_national_yearly!$D:$AM, 10, FALSE), 1)</f>
        <v>7.6293205740586595E-2</v>
      </c>
      <c r="U15" s="7">
        <f>$B15 * IFERROR(VLOOKUP("industry|SO2|Work loss days", US_national_yearly!$D:$AM, 29, FALSE) / VLOOKUP("industry|SO2|Work loss days", US_national_yearly!$D:$AM, 10, FALSE), 1)</f>
        <v>7.6887506077125634E-2</v>
      </c>
      <c r="V15" s="7">
        <f>$B15 * IFERROR(VLOOKUP("industry|SO2|Work loss days", US_national_yearly!$D:$AM, 30, FALSE) / VLOOKUP("industry|SO2|Work loss days", US_national_yearly!$D:$AM, 10, FALSE), 1)</f>
        <v>7.7481806413664644E-2</v>
      </c>
      <c r="W15" s="7">
        <f>$B15 * IFERROR(VLOOKUP("industry|SO2|Work loss days", US_national_yearly!$D:$AM, 31, FALSE) / VLOOKUP("industry|SO2|Work loss days", US_national_yearly!$D:$AM, 10, FALSE), 1)</f>
        <v>7.8076106750203669E-2</v>
      </c>
      <c r="X15" s="7">
        <f>$B15 * IFERROR(VLOOKUP("industry|SO2|Work loss days", US_national_yearly!$D:$AM, 32, FALSE) / VLOOKUP("industry|SO2|Work loss days", US_national_yearly!$D:$AM, 10, FALSE), 1)</f>
        <v>7.8609891203173007E-2</v>
      </c>
      <c r="Y15" s="7">
        <f>$B15 * IFERROR(VLOOKUP("industry|SO2|Work loss days", US_national_yearly!$D:$AM, 33, FALSE) / VLOOKUP("industry|SO2|Work loss days", US_national_yearly!$D:$AM, 10, FALSE), 1)</f>
        <v>7.9143675656142373E-2</v>
      </c>
      <c r="Z15" s="7">
        <f>$B15 * IFERROR(VLOOKUP("industry|SO2|Work loss days", US_national_yearly!$D:$AM, 34, FALSE) / VLOOKUP("industry|SO2|Work loss days", US_national_yearly!$D:$AM, 10, FALSE), 1)</f>
        <v>7.9677460109111697E-2</v>
      </c>
      <c r="AA15" s="7">
        <f>$B15 * IFERROR(VLOOKUP("industry|SO2|Work loss days", US_national_yearly!$D:$AM, 35, FALSE) / VLOOKUP("industry|SO2|Work loss days", US_national_yearly!$D:$AM, 10, FALSE), 1)</f>
        <v>8.0211244562081063E-2</v>
      </c>
      <c r="AB15" s="7">
        <f>$B15 * IFERROR(VLOOKUP("industry|SO2|Work loss days", US_national_yearly!$D:$AM, 36, FALSE) / VLOOKUP("industry|SO2|Work loss days", US_national_yearly!$D:$AM, 10, FALSE), 1)</f>
        <v>8.0745029015050401E-2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1.1828703468174745E-4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1.2186370299466028E-4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1.2544037130757311E-4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1.2901703962048597E-4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1.3259370793339883E-4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1.3602144624886729E-4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1.3944918456433578E-4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1.4239030406650496E-4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1.453314235686742E-4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1.4827254307084344E-4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1.5121366257301268E-4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1.5415478207518189E-4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1.5613078558538327E-4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1.5810678909558467E-4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1.6008279260578605E-4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1.6205879611598742E-4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1.6403479962618883E-4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1.6507963367587137E-4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1.66124467725554E-4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1.6716930177523655E-4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1.6821413582491918E-4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1.6925896987460173E-4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1.6996555471668318E-4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1.7067213955876458E-4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1.7137872440084603E-4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1.7208530924292748E-4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1.7279189408500888E-4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4.6032463057914648E-4</v>
      </c>
      <c r="C2" s="7">
        <f>$B2 * IFERROR(VLOOKUP("LULUCF|PM25|Premature mortality", US_national_yearly!$D:$AM, 11, FALSE) / VLOOKUP("LULUCF|PM25|Premature mortality", US_national_yearly!$D:$AM, 10, FALSE), 1)</f>
        <v>4.6603164720328288E-4</v>
      </c>
      <c r="D2" s="7">
        <f>$B2 * IFERROR(VLOOKUP("LULUCF|PM25|Premature mortality", US_national_yearly!$D:$AM, 12, FALSE) / VLOOKUP("LULUCF|PM25|Premature mortality", US_national_yearly!$D:$AM, 10, FALSE), 1)</f>
        <v>4.7173866382741917E-4</v>
      </c>
      <c r="E2" s="7">
        <f>$B2 * IFERROR(VLOOKUP("LULUCF|PM25|Premature mortality", US_national_yearly!$D:$AM, 13, FALSE) / VLOOKUP("LULUCF|PM25|Premature mortality", US_national_yearly!$D:$AM, 10, FALSE), 1)</f>
        <v>4.7744568045155546E-4</v>
      </c>
      <c r="F2" s="7">
        <f>$B2 * IFERROR(VLOOKUP("LULUCF|PM25|Premature mortality", US_national_yearly!$D:$AM, 14, FALSE) / VLOOKUP("LULUCF|PM25|Premature mortality", US_national_yearly!$D:$AM, 10, FALSE), 1)</f>
        <v>4.8315269707569175E-4</v>
      </c>
      <c r="G2" s="7">
        <f>$B2 * IFERROR(VLOOKUP("LULUCF|PM25|Premature mortality", US_national_yearly!$D:$AM, 15, FALSE) / VLOOKUP("LULUCF|PM25|Premature mortality", US_national_yearly!$D:$AM, 10, FALSE), 1)</f>
        <v>4.9426706890989673E-4</v>
      </c>
      <c r="H2" s="7">
        <f>$B2 * IFERROR(VLOOKUP("LULUCF|PM25|Premature mortality", US_national_yearly!$D:$AM, 16, FALSE) / VLOOKUP("LULUCF|PM25|Premature mortality", US_national_yearly!$D:$AM, 10, FALSE), 1)</f>
        <v>5.0538144074410176E-4</v>
      </c>
      <c r="I2" s="7">
        <f>$B2 * IFERROR(VLOOKUP("LULUCF|PM25|Premature mortality", US_national_yearly!$D:$AM, 17, FALSE) / VLOOKUP("LULUCF|PM25|Premature mortality", US_national_yearly!$D:$AM, 10, FALSE), 1)</f>
        <v>5.1268182802579514E-4</v>
      </c>
      <c r="J2" s="7">
        <f>$B2 * IFERROR(VLOOKUP("LULUCF|PM25|Premature mortality", US_national_yearly!$D:$AM, 18, FALSE) / VLOOKUP("LULUCF|PM25|Premature mortality", US_national_yearly!$D:$AM, 10, FALSE), 1)</f>
        <v>5.1998221530748874E-4</v>
      </c>
      <c r="K2" s="7">
        <f>$B2 * IFERROR(VLOOKUP("LULUCF|PM25|Premature mortality", US_national_yearly!$D:$AM, 19, FALSE) / VLOOKUP("LULUCF|PM25|Premature mortality", US_national_yearly!$D:$AM, 10, FALSE), 1)</f>
        <v>5.2728260258918234E-4</v>
      </c>
      <c r="L2" s="7">
        <f>$B2 * IFERROR(VLOOKUP("LULUCF|PM25|Premature mortality", US_national_yearly!$D:$AM, 20, FALSE) / VLOOKUP("LULUCF|PM25|Premature mortality", US_national_yearly!$D:$AM, 10, FALSE), 1)</f>
        <v>5.3458298987087594E-4</v>
      </c>
      <c r="M2" s="7">
        <f>$B2 * IFERROR(VLOOKUP("LULUCF|PM25|Premature mortality", US_national_yearly!$D:$AM, 21, FALSE) / VLOOKUP("LULUCF|PM25|Premature mortality", US_national_yearly!$D:$AM, 10, FALSE), 1)</f>
        <v>5.4188337715256943E-4</v>
      </c>
      <c r="N2" s="7">
        <f>$B2 * IFERROR(VLOOKUP("LULUCF|PM25|Premature mortality", US_national_yearly!$D:$AM, 22, FALSE) / VLOOKUP("LULUCF|PM25|Premature mortality", US_national_yearly!$D:$AM, 10, FALSE), 1)</f>
        <v>5.4755166325066865E-4</v>
      </c>
      <c r="O2" s="7">
        <f>$B2 * IFERROR(VLOOKUP("LULUCF|PM25|Premature mortality", US_national_yearly!$D:$AM, 23, FALSE) / VLOOKUP("LULUCF|PM25|Premature mortality", US_national_yearly!$D:$AM, 10, FALSE), 1)</f>
        <v>5.5321994934876776E-4</v>
      </c>
      <c r="P2" s="7">
        <f>$B2 * IFERROR(VLOOKUP("LULUCF|PM25|Premature mortality", US_national_yearly!$D:$AM, 24, FALSE) / VLOOKUP("LULUCF|PM25|Premature mortality", US_national_yearly!$D:$AM, 10, FALSE), 1)</f>
        <v>5.5888823544686698E-4</v>
      </c>
      <c r="Q2" s="7">
        <f>$B2 * IFERROR(VLOOKUP("LULUCF|PM25|Premature mortality", US_national_yearly!$D:$AM, 25, FALSE) / VLOOKUP("LULUCF|PM25|Premature mortality", US_national_yearly!$D:$AM, 10, FALSE), 1)</f>
        <v>5.6455652154496609E-4</v>
      </c>
      <c r="R2" s="7">
        <f>$B2 * IFERROR(VLOOKUP("LULUCF|PM25|Premature mortality", US_national_yearly!$D:$AM, 26, FALSE) / VLOOKUP("LULUCF|PM25|Premature mortality", US_national_yearly!$D:$AM, 10, FALSE), 1)</f>
        <v>5.7022480764306542E-4</v>
      </c>
      <c r="S2" s="7">
        <f>$B2 * IFERROR(VLOOKUP("LULUCF|PM25|Premature mortality", US_national_yearly!$D:$AM, 27, FALSE) / VLOOKUP("LULUCF|PM25|Premature mortality", US_national_yearly!$D:$AM, 10, FALSE), 1)</f>
        <v>5.7322769720744514E-4</v>
      </c>
      <c r="T2" s="7">
        <f>$B2 * IFERROR(VLOOKUP("LULUCF|PM25|Premature mortality", US_national_yearly!$D:$AM, 28, FALSE) / VLOOKUP("LULUCF|PM25|Premature mortality", US_national_yearly!$D:$AM, 10, FALSE), 1)</f>
        <v>5.7623058677182476E-4</v>
      </c>
      <c r="U2" s="7">
        <f>$B2 * IFERROR(VLOOKUP("LULUCF|PM25|Premature mortality", US_national_yearly!$D:$AM, 29, FALSE) / VLOOKUP("LULUCF|PM25|Premature mortality", US_national_yearly!$D:$AM, 10, FALSE), 1)</f>
        <v>5.7923347633620449E-4</v>
      </c>
      <c r="V2" s="7">
        <f>$B2 * IFERROR(VLOOKUP("LULUCF|PM25|Premature mortality", US_national_yearly!$D:$AM, 30, FALSE) / VLOOKUP("LULUCF|PM25|Premature mortality", US_national_yearly!$D:$AM, 10, FALSE), 1)</f>
        <v>5.8223636590058411E-4</v>
      </c>
      <c r="W2" s="7">
        <f>$B2 * IFERROR(VLOOKUP("LULUCF|PM25|Premature mortality", US_national_yearly!$D:$AM, 31, FALSE) / VLOOKUP("LULUCF|PM25|Premature mortality", US_national_yearly!$D:$AM, 10, FALSE), 1)</f>
        <v>5.8523925546496373E-4</v>
      </c>
      <c r="X2" s="7">
        <f>$B2 * IFERROR(VLOOKUP("LULUCF|PM25|Premature mortality", US_national_yearly!$D:$AM, 32, FALSE) / VLOOKUP("LULUCF|PM25|Premature mortality", US_national_yearly!$D:$AM, 10, FALSE), 1)</f>
        <v>5.8576433393425548E-4</v>
      </c>
      <c r="Y2" s="7">
        <f>$B2 * IFERROR(VLOOKUP("LULUCF|PM25|Premature mortality", US_national_yearly!$D:$AM, 33, FALSE) / VLOOKUP("LULUCF|PM25|Premature mortality", US_national_yearly!$D:$AM, 10, FALSE), 1)</f>
        <v>5.8628941240354733E-4</v>
      </c>
      <c r="Z2" s="7">
        <f>$B2 * IFERROR(VLOOKUP("LULUCF|PM25|Premature mortality", US_national_yearly!$D:$AM, 34, FALSE) / VLOOKUP("LULUCF|PM25|Premature mortality", US_national_yearly!$D:$AM, 10, FALSE), 1)</f>
        <v>5.8681449087283908E-4</v>
      </c>
      <c r="AA2" s="7">
        <f>$B2 * IFERROR(VLOOKUP("LULUCF|PM25|Premature mortality", US_national_yearly!$D:$AM, 35, FALSE) / VLOOKUP("LULUCF|PM25|Premature mortality", US_national_yearly!$D:$AM, 10, FALSE), 1)</f>
        <v>5.8733956934213093E-4</v>
      </c>
      <c r="AB2" s="7">
        <f>$B2 * IFERROR(VLOOKUP("LULUCF|PM25|Premature mortality", US_national_yearly!$D:$AM, 36, FALSE) / VLOOKUP("LULUCF|PM25|Premature mortality", US_national_yearly!$D:$AM, 10, FALSE), 1)</f>
        <v>5.8786464781142268E-4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1.1266153248921373E-6</v>
      </c>
      <c r="C3" s="7">
        <f>$B3 * IFERROR(VLOOKUP("LULUCF|PM25|Infant mortality", US_national_yearly!$D:$AM, 11, FALSE) / VLOOKUP("LULUCF|PM25|Infant mortality", US_national_yearly!$D:$AM, 10, FALSE), 1)</f>
        <v>1.1167922673028895E-6</v>
      </c>
      <c r="D3" s="7">
        <f>$B3 * IFERROR(VLOOKUP("LULUCF|PM25|Infant mortality", US_national_yearly!$D:$AM, 12, FALSE) / VLOOKUP("LULUCF|PM25|Infant mortality", US_national_yearly!$D:$AM, 10, FALSE), 1)</f>
        <v>1.1069692097136417E-6</v>
      </c>
      <c r="E3" s="7">
        <f>$B3 * IFERROR(VLOOKUP("LULUCF|PM25|Infant mortality", US_national_yearly!$D:$AM, 13, FALSE) / VLOOKUP("LULUCF|PM25|Infant mortality", US_national_yearly!$D:$AM, 10, FALSE), 1)</f>
        <v>1.097146152124394E-6</v>
      </c>
      <c r="F3" s="7">
        <f>$B3 * IFERROR(VLOOKUP("LULUCF|PM25|Infant mortality", US_national_yearly!$D:$AM, 14, FALSE) / VLOOKUP("LULUCF|PM25|Infant mortality", US_national_yearly!$D:$AM, 10, FALSE), 1)</f>
        <v>1.087323094535146E-6</v>
      </c>
      <c r="G3" s="7">
        <f>$B3 * IFERROR(VLOOKUP("LULUCF|PM25|Infant mortality", US_national_yearly!$D:$AM, 15, FALSE) / VLOOKUP("LULUCF|PM25|Infant mortality", US_national_yearly!$D:$AM, 10, FALSE), 1)</f>
        <v>7.2312802090509399E-7</v>
      </c>
      <c r="H3" s="7">
        <f>$B3 * IFERROR(VLOOKUP("LULUCF|PM25|Infant mortality", US_national_yearly!$D:$AM, 16, FALSE) / VLOOKUP("LULUCF|PM25|Infant mortality", US_national_yearly!$D:$AM, 10, FALSE), 1)</f>
        <v>3.5893294727504181E-7</v>
      </c>
      <c r="I3" s="7">
        <f>$B3 * IFERROR(VLOOKUP("LULUCF|PM25|Infant mortality", US_national_yearly!$D:$AM, 17, FALSE) / VLOOKUP("LULUCF|PM25|Infant mortality", US_national_yearly!$D:$AM, 10, FALSE), 1)</f>
        <v>3.5658672756024573E-7</v>
      </c>
      <c r="J3" s="7">
        <f>$B3 * IFERROR(VLOOKUP("LULUCF|PM25|Infant mortality", US_national_yearly!$D:$AM, 18, FALSE) / VLOOKUP("LULUCF|PM25|Infant mortality", US_national_yearly!$D:$AM, 10, FALSE), 1)</f>
        <v>3.5424050784544964E-7</v>
      </c>
      <c r="K3" s="7">
        <f>$B3 * IFERROR(VLOOKUP("LULUCF|PM25|Infant mortality", US_national_yearly!$D:$AM, 19, FALSE) / VLOOKUP("LULUCF|PM25|Infant mortality", US_national_yearly!$D:$AM, 10, FALSE), 1)</f>
        <v>3.5189428813065356E-7</v>
      </c>
      <c r="L3" s="7">
        <f>$B3 * IFERROR(VLOOKUP("LULUCF|PM25|Infant mortality", US_national_yearly!$D:$AM, 20, FALSE) / VLOOKUP("LULUCF|PM25|Infant mortality", US_national_yearly!$D:$AM, 10, FALSE), 1)</f>
        <v>3.4954806841585748E-7</v>
      </c>
      <c r="M3" s="7">
        <f>$B3 * IFERROR(VLOOKUP("LULUCF|PM25|Infant mortality", US_national_yearly!$D:$AM, 21, FALSE) / VLOOKUP("LULUCF|PM25|Infant mortality", US_national_yearly!$D:$AM, 10, FALSE), 1)</f>
        <v>3.4720184870106145E-7</v>
      </c>
      <c r="N3" s="7">
        <f>$B3 * IFERROR(VLOOKUP("LULUCF|PM25|Infant mortality", US_national_yearly!$D:$AM, 22, FALSE) / VLOOKUP("LULUCF|PM25|Infant mortality", US_national_yearly!$D:$AM, 10, FALSE), 1)</f>
        <v>3.4572816296827858E-7</v>
      </c>
      <c r="O3" s="7">
        <f>$B3 * IFERROR(VLOOKUP("LULUCF|PM25|Infant mortality", US_national_yearly!$D:$AM, 23, FALSE) / VLOOKUP("LULUCF|PM25|Infant mortality", US_national_yearly!$D:$AM, 10, FALSE), 1)</f>
        <v>3.4425447723549572E-7</v>
      </c>
      <c r="P3" s="7">
        <f>$B3 * IFERROR(VLOOKUP("LULUCF|PM25|Infant mortality", US_national_yearly!$D:$AM, 24, FALSE) / VLOOKUP("LULUCF|PM25|Infant mortality", US_national_yearly!$D:$AM, 10, FALSE), 1)</f>
        <v>3.4278079150271274E-7</v>
      </c>
      <c r="Q3" s="7">
        <f>$B3 * IFERROR(VLOOKUP("LULUCF|PM25|Infant mortality", US_national_yearly!$D:$AM, 25, FALSE) / VLOOKUP("LULUCF|PM25|Infant mortality", US_national_yearly!$D:$AM, 10, FALSE), 1)</f>
        <v>3.4130710576992993E-7</v>
      </c>
      <c r="R3" s="7">
        <f>$B3 * IFERROR(VLOOKUP("LULUCF|PM25|Infant mortality", US_national_yearly!$D:$AM, 26, FALSE) / VLOOKUP("LULUCF|PM25|Infant mortality", US_national_yearly!$D:$AM, 10, FALSE), 1)</f>
        <v>3.3983342003714701E-7</v>
      </c>
      <c r="S3" s="7">
        <f>$B3 * IFERROR(VLOOKUP("LULUCF|PM25|Infant mortality", US_national_yearly!$D:$AM, 27, FALSE) / VLOOKUP("LULUCF|PM25|Infant mortality", US_national_yearly!$D:$AM, 10, FALSE), 1)</f>
        <v>3.3799644063937248E-7</v>
      </c>
      <c r="T3" s="7">
        <f>$B3 * IFERROR(VLOOKUP("LULUCF|PM25|Infant mortality", US_national_yearly!$D:$AM, 28, FALSE) / VLOOKUP("LULUCF|PM25|Infant mortality", US_national_yearly!$D:$AM, 10, FALSE), 1)</f>
        <v>3.3615946124159785E-7</v>
      </c>
      <c r="U3" s="7">
        <f>$B3 * IFERROR(VLOOKUP("LULUCF|PM25|Infant mortality", US_national_yearly!$D:$AM, 29, FALSE) / VLOOKUP("LULUCF|PM25|Infant mortality", US_national_yearly!$D:$AM, 10, FALSE), 1)</f>
        <v>3.3432248184382327E-7</v>
      </c>
      <c r="V3" s="7">
        <f>$B3 * IFERROR(VLOOKUP("LULUCF|PM25|Infant mortality", US_national_yearly!$D:$AM, 30, FALSE) / VLOOKUP("LULUCF|PM25|Infant mortality", US_national_yearly!$D:$AM, 10, FALSE), 1)</f>
        <v>3.3248550244604874E-7</v>
      </c>
      <c r="W3" s="7">
        <f>$B3 * IFERROR(VLOOKUP("LULUCF|PM25|Infant mortality", US_national_yearly!$D:$AM, 31, FALSE) / VLOOKUP("LULUCF|PM25|Infant mortality", US_national_yearly!$D:$AM, 10, FALSE), 1)</f>
        <v>3.306485230482741E-7</v>
      </c>
      <c r="X3" s="7">
        <f>$B3 * IFERROR(VLOOKUP("LULUCF|PM25|Infant mortality", US_national_yearly!$D:$AM, 32, FALSE) / VLOOKUP("LULUCF|PM25|Infant mortality", US_national_yearly!$D:$AM, 10, FALSE), 1)</f>
        <v>3.2866802837338534E-7</v>
      </c>
      <c r="Y3" s="7">
        <f>$B3 * IFERROR(VLOOKUP("LULUCF|PM25|Infant mortality", US_national_yearly!$D:$AM, 33, FALSE) / VLOOKUP("LULUCF|PM25|Infant mortality", US_national_yearly!$D:$AM, 10, FALSE), 1)</f>
        <v>3.2668753369849648E-7</v>
      </c>
      <c r="Z3" s="7">
        <f>$B3 * IFERROR(VLOOKUP("LULUCF|PM25|Infant mortality", US_national_yearly!$D:$AM, 34, FALSE) / VLOOKUP("LULUCF|PM25|Infant mortality", US_national_yearly!$D:$AM, 10, FALSE), 1)</f>
        <v>3.2470703902360771E-7</v>
      </c>
      <c r="AA3" s="7">
        <f>$B3 * IFERROR(VLOOKUP("LULUCF|PM25|Infant mortality", US_national_yearly!$D:$AM, 35, FALSE) / VLOOKUP("LULUCF|PM25|Infant mortality", US_national_yearly!$D:$AM, 10, FALSE), 1)</f>
        <v>3.227265443487189E-7</v>
      </c>
      <c r="AB3" s="7">
        <f>$B3 * IFERROR(VLOOKUP("LULUCF|PM25|Infant mortality", US_national_yearly!$D:$AM, 36, FALSE) / VLOOKUP("LULUCF|PM25|Infant mortality", US_national_yearly!$D:$AM, 10, FALSE), 1)</f>
        <v>3.2074604967383019E-7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1.1343322202396929E-3</v>
      </c>
      <c r="C6" s="7">
        <f>$B6 * IFERROR(VLOOKUP("LULUCF|PM25|Asthma symptoms cough", US_national_yearly!$D:$AM, 11, FALSE) / VLOOKUP("LULUCF|PM25|Asthma symptoms cough", US_national_yearly!$D:$AM, 10, FALSE), 1)</f>
        <v>1.1343322202396929E-3</v>
      </c>
      <c r="D6" s="7">
        <f>$B6 * IFERROR(VLOOKUP("LULUCF|PM25|Asthma symptoms cough", US_national_yearly!$D:$AM, 12, FALSE) / VLOOKUP("LULUCF|PM25|Asthma symptoms cough", US_national_yearly!$D:$AM, 10, FALSE), 1)</f>
        <v>1.1343322202396929E-3</v>
      </c>
      <c r="E6" s="7">
        <f>$B6 * IFERROR(VLOOKUP("LULUCF|PM25|Asthma symptoms cough", US_national_yearly!$D:$AM, 13, FALSE) / VLOOKUP("LULUCF|PM25|Asthma symptoms cough", US_national_yearly!$D:$AM, 10, FALSE), 1)</f>
        <v>1.1343322202396929E-3</v>
      </c>
      <c r="F6" s="7">
        <f>$B6 * IFERROR(VLOOKUP("LULUCF|PM25|Asthma symptoms cough", US_national_yearly!$D:$AM, 14, FALSE) / VLOOKUP("LULUCF|PM25|Asthma symptoms cough", US_national_yearly!$D:$AM, 10, FALSE), 1)</f>
        <v>1.1343322202396929E-3</v>
      </c>
      <c r="G6" s="7">
        <f>$B6 * IFERROR(VLOOKUP("LULUCF|PM25|Asthma symptoms cough", US_national_yearly!$D:$AM, 15, FALSE) / VLOOKUP("LULUCF|PM25|Asthma symptoms cough", US_national_yearly!$D:$AM, 10, FALSE), 1)</f>
        <v>1.1343322202396929E-3</v>
      </c>
      <c r="H6" s="7">
        <f>$B6 * IFERROR(VLOOKUP("LULUCF|PM25|Asthma symptoms cough", US_national_yearly!$D:$AM, 16, FALSE) / VLOOKUP("LULUCF|PM25|Asthma symptoms cough", US_national_yearly!$D:$AM, 10, FALSE), 1)</f>
        <v>1.1343322202396929E-3</v>
      </c>
      <c r="I6" s="7">
        <f>$B6 * IFERROR(VLOOKUP("LULUCF|PM25|Asthma symptoms cough", US_national_yearly!$D:$AM, 17, FALSE) / VLOOKUP("LULUCF|PM25|Asthma symptoms cough", US_national_yearly!$D:$AM, 10, FALSE), 1)</f>
        <v>1.1343322202396929E-3</v>
      </c>
      <c r="J6" s="7">
        <f>$B6 * IFERROR(VLOOKUP("LULUCF|PM25|Asthma symptoms cough", US_national_yearly!$D:$AM, 18, FALSE) / VLOOKUP("LULUCF|PM25|Asthma symptoms cough", US_national_yearly!$D:$AM, 10, FALSE), 1)</f>
        <v>1.1343322202396929E-3</v>
      </c>
      <c r="K6" s="7">
        <f>$B6 * IFERROR(VLOOKUP("LULUCF|PM25|Asthma symptoms cough", US_national_yearly!$D:$AM, 19, FALSE) / VLOOKUP("LULUCF|PM25|Asthma symptoms cough", US_national_yearly!$D:$AM, 10, FALSE), 1)</f>
        <v>1.1343322202396929E-3</v>
      </c>
      <c r="L6" s="7">
        <f>$B6 * IFERROR(VLOOKUP("LULUCF|PM25|Asthma symptoms cough", US_national_yearly!$D:$AM, 20, FALSE) / VLOOKUP("LULUCF|PM25|Asthma symptoms cough", US_national_yearly!$D:$AM, 10, FALSE), 1)</f>
        <v>1.1343322202396929E-3</v>
      </c>
      <c r="M6" s="7">
        <f>$B6 * IFERROR(VLOOKUP("LULUCF|PM25|Asthma symptoms cough", US_national_yearly!$D:$AM, 21, FALSE) / VLOOKUP("LULUCF|PM25|Asthma symptoms cough", US_national_yearly!$D:$AM, 10, FALSE), 1)</f>
        <v>1.1343322202396929E-3</v>
      </c>
      <c r="N6" s="7">
        <f>$B6 * IFERROR(VLOOKUP("LULUCF|PM25|Asthma symptoms cough", US_national_yearly!$D:$AM, 22, FALSE) / VLOOKUP("LULUCF|PM25|Asthma symptoms cough", US_national_yearly!$D:$AM, 10, FALSE), 1)</f>
        <v>1.1343322202396929E-3</v>
      </c>
      <c r="O6" s="7">
        <f>$B6 * IFERROR(VLOOKUP("LULUCF|PM25|Asthma symptoms cough", US_national_yearly!$D:$AM, 23, FALSE) / VLOOKUP("LULUCF|PM25|Asthma symptoms cough", US_national_yearly!$D:$AM, 10, FALSE), 1)</f>
        <v>1.1343322202396929E-3</v>
      </c>
      <c r="P6" s="7">
        <f>$B6 * IFERROR(VLOOKUP("LULUCF|PM25|Asthma symptoms cough", US_national_yearly!$D:$AM, 24, FALSE) / VLOOKUP("LULUCF|PM25|Asthma symptoms cough", US_national_yearly!$D:$AM, 10, FALSE), 1)</f>
        <v>1.1343322202396929E-3</v>
      </c>
      <c r="Q6" s="7">
        <f>$B6 * IFERROR(VLOOKUP("LULUCF|PM25|Asthma symptoms cough", US_national_yearly!$D:$AM, 25, FALSE) / VLOOKUP("LULUCF|PM25|Asthma symptoms cough", US_national_yearly!$D:$AM, 10, FALSE), 1)</f>
        <v>1.1343322202396929E-3</v>
      </c>
      <c r="R6" s="7">
        <f>$B6 * IFERROR(VLOOKUP("LULUCF|PM25|Asthma symptoms cough", US_national_yearly!$D:$AM, 26, FALSE) / VLOOKUP("LULUCF|PM25|Asthma symptoms cough", US_national_yearly!$D:$AM, 10, FALSE), 1)</f>
        <v>1.1343322202396929E-3</v>
      </c>
      <c r="S6" s="7">
        <f>$B6 * IFERROR(VLOOKUP("LULUCF|PM25|Asthma symptoms cough", US_national_yearly!$D:$AM, 27, FALSE) / VLOOKUP("LULUCF|PM25|Asthma symptoms cough", US_national_yearly!$D:$AM, 10, FALSE), 1)</f>
        <v>1.1343322202396929E-3</v>
      </c>
      <c r="T6" s="7">
        <f>$B6 * IFERROR(VLOOKUP("LULUCF|PM25|Asthma symptoms cough", US_national_yearly!$D:$AM, 28, FALSE) / VLOOKUP("LULUCF|PM25|Asthma symptoms cough", US_national_yearly!$D:$AM, 10, FALSE), 1)</f>
        <v>1.1343322202396929E-3</v>
      </c>
      <c r="U6" s="7">
        <f>$B6 * IFERROR(VLOOKUP("LULUCF|PM25|Asthma symptoms cough", US_national_yearly!$D:$AM, 29, FALSE) / VLOOKUP("LULUCF|PM25|Asthma symptoms cough", US_national_yearly!$D:$AM, 10, FALSE), 1)</f>
        <v>1.1343322202396929E-3</v>
      </c>
      <c r="V6" s="7">
        <f>$B6 * IFERROR(VLOOKUP("LULUCF|PM25|Asthma symptoms cough", US_national_yearly!$D:$AM, 30, FALSE) / VLOOKUP("LULUCF|PM25|Asthma symptoms cough", US_national_yearly!$D:$AM, 10, FALSE), 1)</f>
        <v>1.1343322202396929E-3</v>
      </c>
      <c r="W6" s="7">
        <f>$B6 * IFERROR(VLOOKUP("LULUCF|PM25|Asthma symptoms cough", US_national_yearly!$D:$AM, 31, FALSE) / VLOOKUP("LULUCF|PM25|Asthma symptoms cough", US_national_yearly!$D:$AM, 10, FALSE), 1)</f>
        <v>1.1343322202396929E-3</v>
      </c>
      <c r="X6" s="7">
        <f>$B6 * IFERROR(VLOOKUP("LULUCF|PM25|Asthma symptoms cough", US_national_yearly!$D:$AM, 32, FALSE) / VLOOKUP("LULUCF|PM25|Asthma symptoms cough", US_national_yearly!$D:$AM, 10, FALSE), 1)</f>
        <v>1.1343322202396929E-3</v>
      </c>
      <c r="Y6" s="7">
        <f>$B6 * IFERROR(VLOOKUP("LULUCF|PM25|Asthma symptoms cough", US_national_yearly!$D:$AM, 33, FALSE) / VLOOKUP("LULUCF|PM25|Asthma symptoms cough", US_national_yearly!$D:$AM, 10, FALSE), 1)</f>
        <v>1.1343322202396929E-3</v>
      </c>
      <c r="Z6" s="7">
        <f>$B6 * IFERROR(VLOOKUP("LULUCF|PM25|Asthma symptoms cough", US_national_yearly!$D:$AM, 34, FALSE) / VLOOKUP("LULUCF|PM25|Asthma symptoms cough", US_national_yearly!$D:$AM, 10, FALSE), 1)</f>
        <v>1.1343322202396929E-3</v>
      </c>
      <c r="AA6" s="7">
        <f>$B6 * IFERROR(VLOOKUP("LULUCF|PM25|Asthma symptoms cough", US_national_yearly!$D:$AM, 35, FALSE) / VLOOKUP("LULUCF|PM25|Asthma symptoms cough", US_national_yearly!$D:$AM, 10, FALSE), 1)</f>
        <v>1.1343322202396929E-3</v>
      </c>
      <c r="AB6" s="7">
        <f>$B6 * IFERROR(VLOOKUP("LULUCF|PM25|Asthma symptoms cough", US_national_yearly!$D:$AM, 36, FALSE) / VLOOKUP("LULUCF|PM25|Asthma symptoms cough", US_national_yearly!$D:$AM, 10, FALSE), 1)</f>
        <v>1.1343322202396929E-3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1.5275413210406211E-3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1.5275413210406211E-3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1.5275413210406211E-3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1.5275413210406211E-3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1.5275413210406211E-3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1.5275413210406211E-3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1.5275413210406211E-3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1.5275413210406211E-3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1.5275413210406211E-3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1.5275413210406211E-3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1.5275413210406211E-3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1.5275413210406211E-3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1.5275413210406211E-3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1.5275413210406211E-3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1.5275413210406211E-3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1.5275413210406211E-3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1.5275413210406211E-3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1.5275413210406211E-3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1.5275413210406211E-3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1.5275413210406211E-3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1.5275413210406211E-3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1.5275413210406211E-3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1.5275413210406211E-3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1.5275413210406211E-3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1.5275413210406211E-3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1.5275413210406211E-3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1.5275413210406211E-3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2.3338299992894302E-3</v>
      </c>
      <c r="C8" s="7">
        <f>$B8 * IFERROR(VLOOKUP("LULUCF|PM25|Asthma symptoms wheeze", US_national_yearly!$D:$AM, 11, FALSE) / VLOOKUP("LULUCF|PM25|Asthma symptoms wheeze", US_national_yearly!$D:$AM, 10, FALSE), 1)</f>
        <v>2.3338299992894302E-3</v>
      </c>
      <c r="D8" s="7">
        <f>$B8 * IFERROR(VLOOKUP("LULUCF|PM25|Asthma symptoms wheeze", US_national_yearly!$D:$AM, 12, FALSE) / VLOOKUP("LULUCF|PM25|Asthma symptoms wheeze", US_national_yearly!$D:$AM, 10, FALSE), 1)</f>
        <v>2.3338299992894302E-3</v>
      </c>
      <c r="E8" s="7">
        <f>$B8 * IFERROR(VLOOKUP("LULUCF|PM25|Asthma symptoms wheeze", US_national_yearly!$D:$AM, 13, FALSE) / VLOOKUP("LULUCF|PM25|Asthma symptoms wheeze", US_national_yearly!$D:$AM, 10, FALSE), 1)</f>
        <v>2.3338299992894302E-3</v>
      </c>
      <c r="F8" s="7">
        <f>$B8 * IFERROR(VLOOKUP("LULUCF|PM25|Asthma symptoms wheeze", US_national_yearly!$D:$AM, 14, FALSE) / VLOOKUP("LULUCF|PM25|Asthma symptoms wheeze", US_national_yearly!$D:$AM, 10, FALSE), 1)</f>
        <v>2.3338299992894302E-3</v>
      </c>
      <c r="G8" s="7">
        <f>$B8 * IFERROR(VLOOKUP("LULUCF|PM25|Asthma symptoms wheeze", US_national_yearly!$D:$AM, 15, FALSE) / VLOOKUP("LULUCF|PM25|Asthma symptoms wheeze", US_national_yearly!$D:$AM, 10, FALSE), 1)</f>
        <v>2.3338299992894302E-3</v>
      </c>
      <c r="H8" s="7">
        <f>$B8 * IFERROR(VLOOKUP("LULUCF|PM25|Asthma symptoms wheeze", US_national_yearly!$D:$AM, 16, FALSE) / VLOOKUP("LULUCF|PM25|Asthma symptoms wheeze", US_national_yearly!$D:$AM, 10, FALSE), 1)</f>
        <v>2.3338299992894302E-3</v>
      </c>
      <c r="I8" s="7">
        <f>$B8 * IFERROR(VLOOKUP("LULUCF|PM25|Asthma symptoms wheeze", US_national_yearly!$D:$AM, 17, FALSE) / VLOOKUP("LULUCF|PM25|Asthma symptoms wheeze", US_national_yearly!$D:$AM, 10, FALSE), 1)</f>
        <v>2.3338299992894302E-3</v>
      </c>
      <c r="J8" s="7">
        <f>$B8 * IFERROR(VLOOKUP("LULUCF|PM25|Asthma symptoms wheeze", US_national_yearly!$D:$AM, 18, FALSE) / VLOOKUP("LULUCF|PM25|Asthma symptoms wheeze", US_national_yearly!$D:$AM, 10, FALSE), 1)</f>
        <v>2.3338299992894302E-3</v>
      </c>
      <c r="K8" s="7">
        <f>$B8 * IFERROR(VLOOKUP("LULUCF|PM25|Asthma symptoms wheeze", US_national_yearly!$D:$AM, 19, FALSE) / VLOOKUP("LULUCF|PM25|Asthma symptoms wheeze", US_national_yearly!$D:$AM, 10, FALSE), 1)</f>
        <v>2.3338299992894302E-3</v>
      </c>
      <c r="L8" s="7">
        <f>$B8 * IFERROR(VLOOKUP("LULUCF|PM25|Asthma symptoms wheeze", US_national_yearly!$D:$AM, 20, FALSE) / VLOOKUP("LULUCF|PM25|Asthma symptoms wheeze", US_national_yearly!$D:$AM, 10, FALSE), 1)</f>
        <v>2.3338299992894302E-3</v>
      </c>
      <c r="M8" s="7">
        <f>$B8 * IFERROR(VLOOKUP("LULUCF|PM25|Asthma symptoms wheeze", US_national_yearly!$D:$AM, 21, FALSE) / VLOOKUP("LULUCF|PM25|Asthma symptoms wheeze", US_national_yearly!$D:$AM, 10, FALSE), 1)</f>
        <v>2.3338299992894302E-3</v>
      </c>
      <c r="N8" s="7">
        <f>$B8 * IFERROR(VLOOKUP("LULUCF|PM25|Asthma symptoms wheeze", US_national_yearly!$D:$AM, 22, FALSE) / VLOOKUP("LULUCF|PM25|Asthma symptoms wheeze", US_national_yearly!$D:$AM, 10, FALSE), 1)</f>
        <v>2.3338299992894302E-3</v>
      </c>
      <c r="O8" s="7">
        <f>$B8 * IFERROR(VLOOKUP("LULUCF|PM25|Asthma symptoms wheeze", US_national_yearly!$D:$AM, 23, FALSE) / VLOOKUP("LULUCF|PM25|Asthma symptoms wheeze", US_national_yearly!$D:$AM, 10, FALSE), 1)</f>
        <v>2.3338299992894302E-3</v>
      </c>
      <c r="P8" s="7">
        <f>$B8 * IFERROR(VLOOKUP("LULUCF|PM25|Asthma symptoms wheeze", US_national_yearly!$D:$AM, 24, FALSE) / VLOOKUP("LULUCF|PM25|Asthma symptoms wheeze", US_national_yearly!$D:$AM, 10, FALSE), 1)</f>
        <v>2.3338299992894302E-3</v>
      </c>
      <c r="Q8" s="7">
        <f>$B8 * IFERROR(VLOOKUP("LULUCF|PM25|Asthma symptoms wheeze", US_national_yearly!$D:$AM, 25, FALSE) / VLOOKUP("LULUCF|PM25|Asthma symptoms wheeze", US_national_yearly!$D:$AM, 10, FALSE), 1)</f>
        <v>2.3338299992894302E-3</v>
      </c>
      <c r="R8" s="7">
        <f>$B8 * IFERROR(VLOOKUP("LULUCF|PM25|Asthma symptoms wheeze", US_national_yearly!$D:$AM, 26, FALSE) / VLOOKUP("LULUCF|PM25|Asthma symptoms wheeze", US_national_yearly!$D:$AM, 10, FALSE), 1)</f>
        <v>2.3338299992894302E-3</v>
      </c>
      <c r="S8" s="7">
        <f>$B8 * IFERROR(VLOOKUP("LULUCF|PM25|Asthma symptoms wheeze", US_national_yearly!$D:$AM, 27, FALSE) / VLOOKUP("LULUCF|PM25|Asthma symptoms wheeze", US_national_yearly!$D:$AM, 10, FALSE), 1)</f>
        <v>2.3338299992894302E-3</v>
      </c>
      <c r="T8" s="7">
        <f>$B8 * IFERROR(VLOOKUP("LULUCF|PM25|Asthma symptoms wheeze", US_national_yearly!$D:$AM, 28, FALSE) / VLOOKUP("LULUCF|PM25|Asthma symptoms wheeze", US_national_yearly!$D:$AM, 10, FALSE), 1)</f>
        <v>2.3338299992894302E-3</v>
      </c>
      <c r="U8" s="7">
        <f>$B8 * IFERROR(VLOOKUP("LULUCF|PM25|Asthma symptoms wheeze", US_national_yearly!$D:$AM, 29, FALSE) / VLOOKUP("LULUCF|PM25|Asthma symptoms wheeze", US_national_yearly!$D:$AM, 10, FALSE), 1)</f>
        <v>2.3338299992894302E-3</v>
      </c>
      <c r="V8" s="7">
        <f>$B8 * IFERROR(VLOOKUP("LULUCF|PM25|Asthma symptoms wheeze", US_national_yearly!$D:$AM, 30, FALSE) / VLOOKUP("LULUCF|PM25|Asthma symptoms wheeze", US_national_yearly!$D:$AM, 10, FALSE), 1)</f>
        <v>2.3338299992894302E-3</v>
      </c>
      <c r="W8" s="7">
        <f>$B8 * IFERROR(VLOOKUP("LULUCF|PM25|Asthma symptoms wheeze", US_national_yearly!$D:$AM, 31, FALSE) / VLOOKUP("LULUCF|PM25|Asthma symptoms wheeze", US_national_yearly!$D:$AM, 10, FALSE), 1)</f>
        <v>2.3338299992894302E-3</v>
      </c>
      <c r="X8" s="7">
        <f>$B8 * IFERROR(VLOOKUP("LULUCF|PM25|Asthma symptoms wheeze", US_national_yearly!$D:$AM, 32, FALSE) / VLOOKUP("LULUCF|PM25|Asthma symptoms wheeze", US_national_yearly!$D:$AM, 10, FALSE), 1)</f>
        <v>2.3338299992894302E-3</v>
      </c>
      <c r="Y8" s="7">
        <f>$B8 * IFERROR(VLOOKUP("LULUCF|PM25|Asthma symptoms wheeze", US_national_yearly!$D:$AM, 33, FALSE) / VLOOKUP("LULUCF|PM25|Asthma symptoms wheeze", US_national_yearly!$D:$AM, 10, FALSE), 1)</f>
        <v>2.3338299992894302E-3</v>
      </c>
      <c r="Z8" s="7">
        <f>$B8 * IFERROR(VLOOKUP("LULUCF|PM25|Asthma symptoms wheeze", US_national_yearly!$D:$AM, 34, FALSE) / VLOOKUP("LULUCF|PM25|Asthma symptoms wheeze", US_national_yearly!$D:$AM, 10, FALSE), 1)</f>
        <v>2.3338299992894302E-3</v>
      </c>
      <c r="AA8" s="7">
        <f>$B8 * IFERROR(VLOOKUP("LULUCF|PM25|Asthma symptoms wheeze", US_national_yearly!$D:$AM, 35, FALSE) / VLOOKUP("LULUCF|PM25|Asthma symptoms wheeze", US_national_yearly!$D:$AM, 10, FALSE), 1)</f>
        <v>2.3338299992894302E-3</v>
      </c>
      <c r="AB8" s="7">
        <f>$B8 * IFERROR(VLOOKUP("LULUCF|PM25|Asthma symptoms wheeze", US_national_yearly!$D:$AM, 36, FALSE) / VLOOKUP("LULUCF|PM25|Asthma symptoms wheeze", US_national_yearly!$D:$AM, 10, FALSE), 1)</f>
        <v>2.3338299992894302E-3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3.5494632247140543E-5</v>
      </c>
      <c r="C12" s="7">
        <f>$B12 * IFERROR(VLOOKUP("LULUCF|PM25|Respiratory hospital admissions", US_national_yearly!$D:$AM, 11, FALSE) / VLOOKUP("LULUCF|PM25|Respiratory hospital admissions", US_national_yearly!$D:$AM, 10, FALSE), 1)</f>
        <v>3.5698073172822852E-5</v>
      </c>
      <c r="D12" s="7">
        <f>$B12 * IFERROR(VLOOKUP("LULUCF|PM25|Respiratory hospital admissions", US_national_yearly!$D:$AM, 12, FALSE) / VLOOKUP("LULUCF|PM25|Respiratory hospital admissions", US_national_yearly!$D:$AM, 10, FALSE), 1)</f>
        <v>3.5901514098505155E-5</v>
      </c>
      <c r="E12" s="7">
        <f>$B12 * IFERROR(VLOOKUP("LULUCF|PM25|Respiratory hospital admissions", US_national_yearly!$D:$AM, 13, FALSE) / VLOOKUP("LULUCF|PM25|Respiratory hospital admissions", US_national_yearly!$D:$AM, 10, FALSE), 1)</f>
        <v>3.6104955024187464E-5</v>
      </c>
      <c r="F12" s="7">
        <f>$B12 * IFERROR(VLOOKUP("LULUCF|PM25|Respiratory hospital admissions", US_national_yearly!$D:$AM, 14, FALSE) / VLOOKUP("LULUCF|PM25|Respiratory hospital admissions", US_national_yearly!$D:$AM, 10, FALSE), 1)</f>
        <v>3.6308395949869766E-5</v>
      </c>
      <c r="G12" s="7">
        <f>$B12 * IFERROR(VLOOKUP("LULUCF|PM25|Respiratory hospital admissions", US_national_yearly!$D:$AM, 15, FALSE) / VLOOKUP("LULUCF|PM25|Respiratory hospital admissions", US_national_yearly!$D:$AM, 10, FALSE), 1)</f>
        <v>3.6528120827435425E-5</v>
      </c>
      <c r="H12" s="7">
        <f>$B12 * IFERROR(VLOOKUP("LULUCF|PM25|Respiratory hospital admissions", US_national_yearly!$D:$AM, 16, FALSE) / VLOOKUP("LULUCF|PM25|Respiratory hospital admissions", US_national_yearly!$D:$AM, 10, FALSE), 1)</f>
        <v>3.6747845705001084E-5</v>
      </c>
      <c r="I12" s="7">
        <f>$B12 * IFERROR(VLOOKUP("LULUCF|PM25|Respiratory hospital admissions", US_national_yearly!$D:$AM, 17, FALSE) / VLOOKUP("LULUCF|PM25|Respiratory hospital admissions", US_national_yearly!$D:$AM, 10, FALSE), 1)</f>
        <v>3.6957784477395301E-5</v>
      </c>
      <c r="J12" s="7">
        <f>$B12 * IFERROR(VLOOKUP("LULUCF|PM25|Respiratory hospital admissions", US_national_yearly!$D:$AM, 18, FALSE) / VLOOKUP("LULUCF|PM25|Respiratory hospital admissions", US_national_yearly!$D:$AM, 10, FALSE), 1)</f>
        <v>3.7167723249789538E-5</v>
      </c>
      <c r="K12" s="7">
        <f>$B12 * IFERROR(VLOOKUP("LULUCF|PM25|Respiratory hospital admissions", US_national_yearly!$D:$AM, 19, FALSE) / VLOOKUP("LULUCF|PM25|Respiratory hospital admissions", US_national_yearly!$D:$AM, 10, FALSE), 1)</f>
        <v>3.7377662022183761E-5</v>
      </c>
      <c r="L12" s="7">
        <f>$B12 * IFERROR(VLOOKUP("LULUCF|PM25|Respiratory hospital admissions", US_national_yearly!$D:$AM, 20, FALSE) / VLOOKUP("LULUCF|PM25|Respiratory hospital admissions", US_national_yearly!$D:$AM, 10, FALSE), 1)</f>
        <v>3.7587600794577998E-5</v>
      </c>
      <c r="M12" s="7">
        <f>$B12 * IFERROR(VLOOKUP("LULUCF|PM25|Respiratory hospital admissions", US_national_yearly!$D:$AM, 21, FALSE) / VLOOKUP("LULUCF|PM25|Respiratory hospital admissions", US_national_yearly!$D:$AM, 10, FALSE), 1)</f>
        <v>3.7797539566972215E-5</v>
      </c>
      <c r="N12" s="7">
        <f>$B12 * IFERROR(VLOOKUP("LULUCF|PM25|Respiratory hospital admissions", US_national_yearly!$D:$AM, 22, FALSE) / VLOOKUP("LULUCF|PM25|Respiratory hospital admissions", US_national_yearly!$D:$AM, 10, FALSE), 1)</f>
        <v>3.7948218750316916E-5</v>
      </c>
      <c r="O12" s="7">
        <f>$B12 * IFERROR(VLOOKUP("LULUCF|PM25|Respiratory hospital admissions", US_national_yearly!$D:$AM, 23, FALSE) / VLOOKUP("LULUCF|PM25|Respiratory hospital admissions", US_national_yearly!$D:$AM, 10, FALSE), 1)</f>
        <v>3.8098897933661603E-5</v>
      </c>
      <c r="P12" s="7">
        <f>$B12 * IFERROR(VLOOKUP("LULUCF|PM25|Respiratory hospital admissions", US_national_yearly!$D:$AM, 24, FALSE) / VLOOKUP("LULUCF|PM25|Respiratory hospital admissions", US_national_yearly!$D:$AM, 10, FALSE), 1)</f>
        <v>3.824957711700629E-5</v>
      </c>
      <c r="Q12" s="7">
        <f>$B12 * IFERROR(VLOOKUP("LULUCF|PM25|Respiratory hospital admissions", US_national_yearly!$D:$AM, 25, FALSE) / VLOOKUP("LULUCF|PM25|Respiratory hospital admissions", US_national_yearly!$D:$AM, 10, FALSE), 1)</f>
        <v>3.8400256300350977E-5</v>
      </c>
      <c r="R12" s="7">
        <f>$B12 * IFERROR(VLOOKUP("LULUCF|PM25|Respiratory hospital admissions", US_national_yearly!$D:$AM, 26, FALSE) / VLOOKUP("LULUCF|PM25|Respiratory hospital admissions", US_national_yearly!$D:$AM, 10, FALSE), 1)</f>
        <v>3.8550935483695677E-5</v>
      </c>
      <c r="S12" s="7">
        <f>$B12 * IFERROR(VLOOKUP("LULUCF|PM25|Respiratory hospital admissions", US_national_yearly!$D:$AM, 27, FALSE) / VLOOKUP("LULUCF|PM25|Respiratory hospital admissions", US_national_yearly!$D:$AM, 10, FALSE), 1)</f>
        <v>3.8694401920914877E-5</v>
      </c>
      <c r="T12" s="7">
        <f>$B12 * IFERROR(VLOOKUP("LULUCF|PM25|Respiratory hospital admissions", US_national_yearly!$D:$AM, 28, FALSE) / VLOOKUP("LULUCF|PM25|Respiratory hospital admissions", US_national_yearly!$D:$AM, 10, FALSE), 1)</f>
        <v>3.8837868358134091E-5</v>
      </c>
      <c r="U12" s="7">
        <f>$B12 * IFERROR(VLOOKUP("LULUCF|PM25|Respiratory hospital admissions", US_national_yearly!$D:$AM, 29, FALSE) / VLOOKUP("LULUCF|PM25|Respiratory hospital admissions", US_national_yearly!$D:$AM, 10, FALSE), 1)</f>
        <v>3.8981334795353297E-5</v>
      </c>
      <c r="V12" s="7">
        <f>$B12 * IFERROR(VLOOKUP("LULUCF|PM25|Respiratory hospital admissions", US_national_yearly!$D:$AM, 30, FALSE) / VLOOKUP("LULUCF|PM25|Respiratory hospital admissions", US_national_yearly!$D:$AM, 10, FALSE), 1)</f>
        <v>3.9124801232572497E-5</v>
      </c>
      <c r="W12" s="7">
        <f>$B12 * IFERROR(VLOOKUP("LULUCF|PM25|Respiratory hospital admissions", US_national_yearly!$D:$AM, 31, FALSE) / VLOOKUP("LULUCF|PM25|Respiratory hospital admissions", US_national_yearly!$D:$AM, 10, FALSE), 1)</f>
        <v>3.9268267669791704E-5</v>
      </c>
      <c r="X12" s="7">
        <f>$B12 * IFERROR(VLOOKUP("LULUCF|PM25|Respiratory hospital admissions", US_national_yearly!$D:$AM, 32, FALSE) / VLOOKUP("LULUCF|PM25|Respiratory hospital admissions", US_national_yearly!$D:$AM, 10, FALSE), 1)</f>
        <v>3.9406284212478871E-5</v>
      </c>
      <c r="Y12" s="7">
        <f>$B12 * IFERROR(VLOOKUP("LULUCF|PM25|Respiratory hospital admissions", US_national_yearly!$D:$AM, 33, FALSE) / VLOOKUP("LULUCF|PM25|Respiratory hospital admissions", US_national_yearly!$D:$AM, 10, FALSE), 1)</f>
        <v>3.9544300755166017E-5</v>
      </c>
      <c r="Z12" s="7">
        <f>$B12 * IFERROR(VLOOKUP("LULUCF|PM25|Respiratory hospital admissions", US_national_yearly!$D:$AM, 34, FALSE) / VLOOKUP("LULUCF|PM25|Respiratory hospital admissions", US_national_yearly!$D:$AM, 10, FALSE), 1)</f>
        <v>3.9682317297853177E-5</v>
      </c>
      <c r="AA12" s="7">
        <f>$B12 * IFERROR(VLOOKUP("LULUCF|PM25|Respiratory hospital admissions", US_national_yearly!$D:$AM, 35, FALSE) / VLOOKUP("LULUCF|PM25|Respiratory hospital admissions", US_national_yearly!$D:$AM, 10, FALSE), 1)</f>
        <v>3.9820333840540324E-5</v>
      </c>
      <c r="AB12" s="7">
        <f>$B12 * IFERROR(VLOOKUP("LULUCF|PM25|Respiratory hospital admissions", US_national_yearly!$D:$AM, 36, FALSE) / VLOOKUP("LULUCF|PM25|Respiratory hospital admissions", US_national_yearly!$D:$AM, 10, FALSE), 1)</f>
        <v>3.9958350383227484E-5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1.777260036228957E-4</v>
      </c>
      <c r="C13" s="7">
        <f>$B13 * IFERROR(VLOOKUP("LULUCF|PM25|Non-fatal heart attacks", US_national_yearly!$D:$AM, 11, FALSE) / VLOOKUP("LULUCF|PM25|Non-fatal heart attacks", US_national_yearly!$D:$AM, 10, FALSE), 1)</f>
        <v>1.8289297017904876E-4</v>
      </c>
      <c r="D13" s="7">
        <f>$B13 * IFERROR(VLOOKUP("LULUCF|PM25|Non-fatal heart attacks", US_national_yearly!$D:$AM, 12, FALSE) / VLOOKUP("LULUCF|PM25|Non-fatal heart attacks", US_national_yearly!$D:$AM, 10, FALSE), 1)</f>
        <v>1.8805993673520185E-4</v>
      </c>
      <c r="E13" s="7">
        <f>$B13 * IFERROR(VLOOKUP("LULUCF|PM25|Non-fatal heart attacks", US_national_yearly!$D:$AM, 13, FALSE) / VLOOKUP("LULUCF|PM25|Non-fatal heart attacks", US_national_yearly!$D:$AM, 10, FALSE), 1)</f>
        <v>1.9322690329135489E-4</v>
      </c>
      <c r="F13" s="7">
        <f>$B13 * IFERROR(VLOOKUP("LULUCF|PM25|Non-fatal heart attacks", US_national_yearly!$D:$AM, 14, FALSE) / VLOOKUP("LULUCF|PM25|Non-fatal heart attacks", US_national_yearly!$D:$AM, 10, FALSE), 1)</f>
        <v>1.9839386984750801E-4</v>
      </c>
      <c r="G13" s="7">
        <f>$B13 * IFERROR(VLOOKUP("LULUCF|PM25|Non-fatal heart attacks", US_national_yearly!$D:$AM, 15, FALSE) / VLOOKUP("LULUCF|PM25|Non-fatal heart attacks", US_national_yearly!$D:$AM, 10, FALSE), 1)</f>
        <v>2.0326664595925325E-4</v>
      </c>
      <c r="H13" s="7">
        <f>$B13 * IFERROR(VLOOKUP("LULUCF|PM25|Non-fatal heart attacks", US_national_yearly!$D:$AM, 16, FALSE) / VLOOKUP("LULUCF|PM25|Non-fatal heart attacks", US_national_yearly!$D:$AM, 10, FALSE), 1)</f>
        <v>2.0813942207099844E-4</v>
      </c>
      <c r="I13" s="7">
        <f>$B13 * IFERROR(VLOOKUP("LULUCF|PM25|Non-fatal heart attacks", US_national_yearly!$D:$AM, 17, FALSE) / VLOOKUP("LULUCF|PM25|Non-fatal heart attacks", US_national_yearly!$D:$AM, 10, FALSE), 1)</f>
        <v>2.1205551262419928E-4</v>
      </c>
      <c r="J13" s="7">
        <f>$B13 * IFERROR(VLOOKUP("LULUCF|PM25|Non-fatal heart attacks", US_national_yearly!$D:$AM, 18, FALSE) / VLOOKUP("LULUCF|PM25|Non-fatal heart attacks", US_national_yearly!$D:$AM, 10, FALSE), 1)</f>
        <v>2.1597160317740014E-4</v>
      </c>
      <c r="K13" s="7">
        <f>$B13 * IFERROR(VLOOKUP("LULUCF|PM25|Non-fatal heart attacks", US_national_yearly!$D:$AM, 19, FALSE) / VLOOKUP("LULUCF|PM25|Non-fatal heart attacks", US_national_yearly!$D:$AM, 10, FALSE), 1)</f>
        <v>2.19887693730601E-4</v>
      </c>
      <c r="L13" s="7">
        <f>$B13 * IFERROR(VLOOKUP("LULUCF|PM25|Non-fatal heart attacks", US_national_yearly!$D:$AM, 20, FALSE) / VLOOKUP("LULUCF|PM25|Non-fatal heart attacks", US_national_yearly!$D:$AM, 10, FALSE), 1)</f>
        <v>2.2380378428380187E-4</v>
      </c>
      <c r="M13" s="7">
        <f>$B13 * IFERROR(VLOOKUP("LULUCF|PM25|Non-fatal heart attacks", US_national_yearly!$D:$AM, 21, FALSE) / VLOOKUP("LULUCF|PM25|Non-fatal heart attacks", US_national_yearly!$D:$AM, 10, FALSE), 1)</f>
        <v>2.2771987483700276E-4</v>
      </c>
      <c r="N13" s="7">
        <f>$B13 * IFERROR(VLOOKUP("LULUCF|PM25|Non-fatal heart attacks", US_national_yearly!$D:$AM, 22, FALSE) / VLOOKUP("LULUCF|PM25|Non-fatal heart attacks", US_national_yearly!$D:$AM, 10, FALSE), 1)</f>
        <v>2.3024536654757716E-4</v>
      </c>
      <c r="O13" s="7">
        <f>$B13 * IFERROR(VLOOKUP("LULUCF|PM25|Non-fatal heart attacks", US_national_yearly!$D:$AM, 23, FALSE) / VLOOKUP("LULUCF|PM25|Non-fatal heart attacks", US_national_yearly!$D:$AM, 10, FALSE), 1)</f>
        <v>2.3277085825815162E-4</v>
      </c>
      <c r="P13" s="7">
        <f>$B13 * IFERROR(VLOOKUP("LULUCF|PM25|Non-fatal heart attacks", US_national_yearly!$D:$AM, 24, FALSE) / VLOOKUP("LULUCF|PM25|Non-fatal heart attacks", US_national_yearly!$D:$AM, 10, FALSE), 1)</f>
        <v>2.3529634996872608E-4</v>
      </c>
      <c r="Q13" s="7">
        <f>$B13 * IFERROR(VLOOKUP("LULUCF|PM25|Non-fatal heart attacks", US_national_yearly!$D:$AM, 25, FALSE) / VLOOKUP("LULUCF|PM25|Non-fatal heart attacks", US_national_yearly!$D:$AM, 10, FALSE), 1)</f>
        <v>2.3782184167930049E-4</v>
      </c>
      <c r="R13" s="7">
        <f>$B13 * IFERROR(VLOOKUP("LULUCF|PM25|Non-fatal heart attacks", US_national_yearly!$D:$AM, 26, FALSE) / VLOOKUP("LULUCF|PM25|Non-fatal heart attacks", US_national_yearly!$D:$AM, 10, FALSE), 1)</f>
        <v>2.4034733338987495E-4</v>
      </c>
      <c r="S13" s="7">
        <f>$B13 * IFERROR(VLOOKUP("LULUCF|PM25|Non-fatal heart attacks", US_national_yearly!$D:$AM, 27, FALSE) / VLOOKUP("LULUCF|PM25|Non-fatal heart attacks", US_national_yearly!$D:$AM, 10, FALSE), 1)</f>
        <v>2.4167732947741094E-4</v>
      </c>
      <c r="T13" s="7">
        <f>$B13 * IFERROR(VLOOKUP("LULUCF|PM25|Non-fatal heart attacks", US_national_yearly!$D:$AM, 28, FALSE) / VLOOKUP("LULUCF|PM25|Non-fatal heart attacks", US_national_yearly!$D:$AM, 10, FALSE), 1)</f>
        <v>2.4300732556494704E-4</v>
      </c>
      <c r="U13" s="7">
        <f>$B13 * IFERROR(VLOOKUP("LULUCF|PM25|Non-fatal heart attacks", US_national_yearly!$D:$AM, 29, FALSE) / VLOOKUP("LULUCF|PM25|Non-fatal heart attacks", US_national_yearly!$D:$AM, 10, FALSE), 1)</f>
        <v>2.4433732165248315E-4</v>
      </c>
      <c r="V13" s="7">
        <f>$B13 * IFERROR(VLOOKUP("LULUCF|PM25|Non-fatal heart attacks", US_national_yearly!$D:$AM, 30, FALSE) / VLOOKUP("LULUCF|PM25|Non-fatal heart attacks", US_national_yearly!$D:$AM, 10, FALSE), 1)</f>
        <v>2.4566731774001917E-4</v>
      </c>
      <c r="W13" s="7">
        <f>$B13 * IFERROR(VLOOKUP("LULUCF|PM25|Non-fatal heart attacks", US_national_yearly!$D:$AM, 31, FALSE) / VLOOKUP("LULUCF|PM25|Non-fatal heart attacks", US_national_yearly!$D:$AM, 10, FALSE), 1)</f>
        <v>2.4699731382755524E-4</v>
      </c>
      <c r="X13" s="7">
        <f>$B13 * IFERROR(VLOOKUP("LULUCF|PM25|Non-fatal heart attacks", US_national_yearly!$D:$AM, 32, FALSE) / VLOOKUP("LULUCF|PM25|Non-fatal heart attacks", US_national_yearly!$D:$AM, 10, FALSE), 1)</f>
        <v>2.4800697317147694E-4</v>
      </c>
      <c r="Y13" s="7">
        <f>$B13 * IFERROR(VLOOKUP("LULUCF|PM25|Non-fatal heart attacks", US_national_yearly!$D:$AM, 33, FALSE) / VLOOKUP("LULUCF|PM25|Non-fatal heart attacks", US_national_yearly!$D:$AM, 10, FALSE), 1)</f>
        <v>2.4901663251539863E-4</v>
      </c>
      <c r="Z13" s="7">
        <f>$B13 * IFERROR(VLOOKUP("LULUCF|PM25|Non-fatal heart attacks", US_national_yearly!$D:$AM, 34, FALSE) / VLOOKUP("LULUCF|PM25|Non-fatal heart attacks", US_national_yearly!$D:$AM, 10, FALSE), 1)</f>
        <v>2.5002629185932033E-4</v>
      </c>
      <c r="AA13" s="7">
        <f>$B13 * IFERROR(VLOOKUP("LULUCF|PM25|Non-fatal heart attacks", US_national_yearly!$D:$AM, 35, FALSE) / VLOOKUP("LULUCF|PM25|Non-fatal heart attacks", US_national_yearly!$D:$AM, 10, FALSE), 1)</f>
        <v>2.5103595120324208E-4</v>
      </c>
      <c r="AB13" s="7">
        <f>$B13 * IFERROR(VLOOKUP("LULUCF|PM25|Non-fatal heart attacks", US_national_yearly!$D:$AM, 36, FALSE) / VLOOKUP("LULUCF|PM25|Non-fatal heart attacks", US_national_yearly!$D:$AM, 10, FALSE), 1)</f>
        <v>2.5204561054716377E-4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0.14781093313842605</v>
      </c>
      <c r="C14" s="7">
        <f>$B14 * IFERROR(VLOOKUP("LULUCF|PM25|Minor restricted activity days", US_national_yearly!$D:$AM, 11, FALSE) / VLOOKUP("LULUCF|PM25|Minor restricted activity days", US_national_yearly!$D:$AM, 10, FALSE), 1)</f>
        <v>0.1481719049661793</v>
      </c>
      <c r="D14" s="7">
        <f>$B14 * IFERROR(VLOOKUP("LULUCF|PM25|Minor restricted activity days", US_national_yearly!$D:$AM, 12, FALSE) / VLOOKUP("LULUCF|PM25|Minor restricted activity days", US_national_yearly!$D:$AM, 10, FALSE), 1)</f>
        <v>0.14853287679393254</v>
      </c>
      <c r="E14" s="7">
        <f>$B14 * IFERROR(VLOOKUP("LULUCF|PM25|Minor restricted activity days", US_national_yearly!$D:$AM, 13, FALSE) / VLOOKUP("LULUCF|PM25|Minor restricted activity days", US_national_yearly!$D:$AM, 10, FALSE), 1)</f>
        <v>0.14889384862168581</v>
      </c>
      <c r="F14" s="7">
        <f>$B14 * IFERROR(VLOOKUP("LULUCF|PM25|Minor restricted activity days", US_national_yearly!$D:$AM, 14, FALSE) / VLOOKUP("LULUCF|PM25|Minor restricted activity days", US_national_yearly!$D:$AM, 10, FALSE), 1)</f>
        <v>0.149254820449439</v>
      </c>
      <c r="G14" s="7">
        <f>$B14 * IFERROR(VLOOKUP("LULUCF|PM25|Minor restricted activity days", US_national_yearly!$D:$AM, 15, FALSE) / VLOOKUP("LULUCF|PM25|Minor restricted activity days", US_national_yearly!$D:$AM, 10, FALSE), 1)</f>
        <v>0.14978742357833827</v>
      </c>
      <c r="H14" s="7">
        <f>$B14 * IFERROR(VLOOKUP("LULUCF|PM25|Minor restricted activity days", US_national_yearly!$D:$AM, 16, FALSE) / VLOOKUP("LULUCF|PM25|Minor restricted activity days", US_national_yearly!$D:$AM, 10, FALSE), 1)</f>
        <v>0.15032002670723751</v>
      </c>
      <c r="I14" s="7">
        <f>$B14 * IFERROR(VLOOKUP("LULUCF|PM25|Minor restricted activity days", US_national_yearly!$D:$AM, 17, FALSE) / VLOOKUP("LULUCF|PM25|Minor restricted activity days", US_national_yearly!$D:$AM, 10, FALSE), 1)</f>
        <v>0.15123053416314691</v>
      </c>
      <c r="J14" s="7">
        <f>$B14 * IFERROR(VLOOKUP("LULUCF|PM25|Minor restricted activity days", US_national_yearly!$D:$AM, 18, FALSE) / VLOOKUP("LULUCF|PM25|Minor restricted activity days", US_national_yearly!$D:$AM, 10, FALSE), 1)</f>
        <v>0.15214104161905623</v>
      </c>
      <c r="K14" s="7">
        <f>$B14 * IFERROR(VLOOKUP("LULUCF|PM25|Minor restricted activity days", US_national_yearly!$D:$AM, 19, FALSE) / VLOOKUP("LULUCF|PM25|Minor restricted activity days", US_national_yearly!$D:$AM, 10, FALSE), 1)</f>
        <v>0.1530515490749656</v>
      </c>
      <c r="L14" s="7">
        <f>$B14 * IFERROR(VLOOKUP("LULUCF|PM25|Minor restricted activity days", US_national_yearly!$D:$AM, 20, FALSE) / VLOOKUP("LULUCF|PM25|Minor restricted activity days", US_national_yearly!$D:$AM, 10, FALSE), 1)</f>
        <v>0.15396205653087494</v>
      </c>
      <c r="M14" s="7">
        <f>$B14 * IFERROR(VLOOKUP("LULUCF|PM25|Minor restricted activity days", US_national_yearly!$D:$AM, 21, FALSE) / VLOOKUP("LULUCF|PM25|Minor restricted activity days", US_national_yearly!$D:$AM, 10, FALSE), 1)</f>
        <v>0.15487256398678431</v>
      </c>
      <c r="N14" s="7">
        <f>$B14 * IFERROR(VLOOKUP("LULUCF|PM25|Minor restricted activity days", US_national_yearly!$D:$AM, 22, FALSE) / VLOOKUP("LULUCF|PM25|Minor restricted activity days", US_national_yearly!$D:$AM, 10, FALSE), 1)</f>
        <v>0.15611285642344491</v>
      </c>
      <c r="O14" s="7">
        <f>$B14 * IFERROR(VLOOKUP("LULUCF|PM25|Minor restricted activity days", US_national_yearly!$D:$AM, 23, FALSE) / VLOOKUP("LULUCF|PM25|Minor restricted activity days", US_national_yearly!$D:$AM, 10, FALSE), 1)</f>
        <v>0.15735314886010551</v>
      </c>
      <c r="P14" s="7">
        <f>$B14 * IFERROR(VLOOKUP("LULUCF|PM25|Minor restricted activity days", US_national_yearly!$D:$AM, 24, FALSE) / VLOOKUP("LULUCF|PM25|Minor restricted activity days", US_national_yearly!$D:$AM, 10, FALSE), 1)</f>
        <v>0.15859344129676614</v>
      </c>
      <c r="Q14" s="7">
        <f>$B14 * IFERROR(VLOOKUP("LULUCF|PM25|Minor restricted activity days", US_national_yearly!$D:$AM, 25, FALSE) / VLOOKUP("LULUCF|PM25|Minor restricted activity days", US_national_yearly!$D:$AM, 10, FALSE), 1)</f>
        <v>0.15983373373342671</v>
      </c>
      <c r="R14" s="7">
        <f>$B14 * IFERROR(VLOOKUP("LULUCF|PM25|Minor restricted activity days", US_national_yearly!$D:$AM, 26, FALSE) / VLOOKUP("LULUCF|PM25|Minor restricted activity days", US_national_yearly!$D:$AM, 10, FALSE), 1)</f>
        <v>0.16107402617008731</v>
      </c>
      <c r="S14" s="7">
        <f>$B14 * IFERROR(VLOOKUP("LULUCF|PM25|Minor restricted activity days", US_national_yearly!$D:$AM, 27, FALSE) / VLOOKUP("LULUCF|PM25|Minor restricted activity days", US_national_yearly!$D:$AM, 10, FALSE), 1)</f>
        <v>0.16232286009434091</v>
      </c>
      <c r="T14" s="7">
        <f>$B14 * IFERROR(VLOOKUP("LULUCF|PM25|Minor restricted activity days", US_national_yearly!$D:$AM, 28, FALSE) / VLOOKUP("LULUCF|PM25|Minor restricted activity days", US_national_yearly!$D:$AM, 10, FALSE), 1)</f>
        <v>0.16357169401859453</v>
      </c>
      <c r="U14" s="7">
        <f>$B14 * IFERROR(VLOOKUP("LULUCF|PM25|Minor restricted activity days", US_national_yearly!$D:$AM, 29, FALSE) / VLOOKUP("LULUCF|PM25|Minor restricted activity days", US_national_yearly!$D:$AM, 10, FALSE), 1)</f>
        <v>0.16482052794284813</v>
      </c>
      <c r="V14" s="7">
        <f>$B14 * IFERROR(VLOOKUP("LULUCF|PM25|Minor restricted activity days", US_national_yearly!$D:$AM, 30, FALSE) / VLOOKUP("LULUCF|PM25|Minor restricted activity days", US_national_yearly!$D:$AM, 10, FALSE), 1)</f>
        <v>0.16606936186710175</v>
      </c>
      <c r="W14" s="7">
        <f>$B14 * IFERROR(VLOOKUP("LULUCF|PM25|Minor restricted activity days", US_national_yearly!$D:$AM, 31, FALSE) / VLOOKUP("LULUCF|PM25|Minor restricted activity days", US_national_yearly!$D:$AM, 10, FALSE), 1)</f>
        <v>0.16731819579135535</v>
      </c>
      <c r="X14" s="7">
        <f>$B14 * IFERROR(VLOOKUP("LULUCF|PM25|Minor restricted activity days", US_national_yearly!$D:$AM, 32, FALSE) / VLOOKUP("LULUCF|PM25|Minor restricted activity days", US_national_yearly!$D:$AM, 10, FALSE), 1)</f>
        <v>0.16840230927269062</v>
      </c>
      <c r="Y14" s="7">
        <f>$B14 * IFERROR(VLOOKUP("LULUCF|PM25|Minor restricted activity days", US_national_yearly!$D:$AM, 33, FALSE) / VLOOKUP("LULUCF|PM25|Minor restricted activity days", US_national_yearly!$D:$AM, 10, FALSE), 1)</f>
        <v>0.16948642275402587</v>
      </c>
      <c r="Z14" s="7">
        <f>$B14 * IFERROR(VLOOKUP("LULUCF|PM25|Minor restricted activity days", US_national_yearly!$D:$AM, 34, FALSE) / VLOOKUP("LULUCF|PM25|Minor restricted activity days", US_national_yearly!$D:$AM, 10, FALSE), 1)</f>
        <v>0.17057053623536114</v>
      </c>
      <c r="AA14" s="7">
        <f>$B14 * IFERROR(VLOOKUP("LULUCF|PM25|Minor restricted activity days", US_national_yearly!$D:$AM, 35, FALSE) / VLOOKUP("LULUCF|PM25|Minor restricted activity days", US_national_yearly!$D:$AM, 10, FALSE), 1)</f>
        <v>0.17165464971669636</v>
      </c>
      <c r="AB14" s="7">
        <f>$B14 * IFERROR(VLOOKUP("LULUCF|PM25|Minor restricted activity days", US_national_yearly!$D:$AM, 36, FALSE) / VLOOKUP("LULUCF|PM25|Minor restricted activity days", US_national_yearly!$D:$AM, 10, FALSE), 1)</f>
        <v>0.17273876319803164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2.5079529851918005E-2</v>
      </c>
      <c r="C15" s="7">
        <f>$B15 * IFERROR(VLOOKUP("LULUCF|PM25|Work loss days", US_national_yearly!$D:$AM, 11, FALSE) / VLOOKUP("LULUCF|PM25|Work loss days", US_national_yearly!$D:$AM, 10, FALSE), 1)</f>
        <v>2.5157267361544739E-2</v>
      </c>
      <c r="D15" s="7">
        <f>$B15 * IFERROR(VLOOKUP("LULUCF|PM25|Work loss days", US_national_yearly!$D:$AM, 12, FALSE) / VLOOKUP("LULUCF|PM25|Work loss days", US_national_yearly!$D:$AM, 10, FALSE), 1)</f>
        <v>2.5235004871171477E-2</v>
      </c>
      <c r="E15" s="7">
        <f>$B15 * IFERROR(VLOOKUP("LULUCF|PM25|Work loss days", US_national_yearly!$D:$AM, 13, FALSE) / VLOOKUP("LULUCF|PM25|Work loss days", US_national_yearly!$D:$AM, 10, FALSE), 1)</f>
        <v>2.5312742380798208E-2</v>
      </c>
      <c r="F15" s="7">
        <f>$B15 * IFERROR(VLOOKUP("LULUCF|PM25|Work loss days", US_national_yearly!$D:$AM, 14, FALSE) / VLOOKUP("LULUCF|PM25|Work loss days", US_national_yearly!$D:$AM, 10, FALSE), 1)</f>
        <v>2.5390479890424943E-2</v>
      </c>
      <c r="G15" s="7">
        <f>$B15 * IFERROR(VLOOKUP("LULUCF|PM25|Work loss days", US_national_yearly!$D:$AM, 15, FALSE) / VLOOKUP("LULUCF|PM25|Work loss days", US_national_yearly!$D:$AM, 10, FALSE), 1)</f>
        <v>2.5492398726050639E-2</v>
      </c>
      <c r="H15" s="7">
        <f>$B15 * IFERROR(VLOOKUP("LULUCF|PM25|Work loss days", US_national_yearly!$D:$AM, 16, FALSE) / VLOOKUP("LULUCF|PM25|Work loss days", US_national_yearly!$D:$AM, 10, FALSE), 1)</f>
        <v>2.5594317561676339E-2</v>
      </c>
      <c r="I15" s="7">
        <f>$B15 * IFERROR(VLOOKUP("LULUCF|PM25|Work loss days", US_national_yearly!$D:$AM, 17, FALSE) / VLOOKUP("LULUCF|PM25|Work loss days", US_national_yearly!$D:$AM, 10, FALSE), 1)</f>
        <v>2.5744404256668924E-2</v>
      </c>
      <c r="J15" s="7">
        <f>$B15 * IFERROR(VLOOKUP("LULUCF|PM25|Work loss days", US_national_yearly!$D:$AM, 18, FALSE) / VLOOKUP("LULUCF|PM25|Work loss days", US_national_yearly!$D:$AM, 10, FALSE), 1)</f>
        <v>2.5894490951661509E-2</v>
      </c>
      <c r="K15" s="7">
        <f>$B15 * IFERROR(VLOOKUP("LULUCF|PM25|Work loss days", US_national_yearly!$D:$AM, 19, FALSE) / VLOOKUP("LULUCF|PM25|Work loss days", US_national_yearly!$D:$AM, 10, FALSE), 1)</f>
        <v>2.6044577646654098E-2</v>
      </c>
      <c r="L15" s="7">
        <f>$B15 * IFERROR(VLOOKUP("LULUCF|PM25|Work loss days", US_national_yearly!$D:$AM, 20, FALSE) / VLOOKUP("LULUCF|PM25|Work loss days", US_national_yearly!$D:$AM, 10, FALSE), 1)</f>
        <v>2.6194664341646683E-2</v>
      </c>
      <c r="M15" s="7">
        <f>$B15 * IFERROR(VLOOKUP("LULUCF|PM25|Work loss days", US_national_yearly!$D:$AM, 21, FALSE) / VLOOKUP("LULUCF|PM25|Work loss days", US_national_yearly!$D:$AM, 10, FALSE), 1)</f>
        <v>2.6344751036639268E-2</v>
      </c>
      <c r="N15" s="7">
        <f>$B15 * IFERROR(VLOOKUP("LULUCF|PM25|Work loss days", US_national_yearly!$D:$AM, 22, FALSE) / VLOOKUP("LULUCF|PM25|Work loss days", US_national_yearly!$D:$AM, 10, FALSE), 1)</f>
        <v>2.6533646502169439E-2</v>
      </c>
      <c r="O15" s="7">
        <f>$B15 * IFERROR(VLOOKUP("LULUCF|PM25|Work loss days", US_national_yearly!$D:$AM, 23, FALSE) / VLOOKUP("LULUCF|PM25|Work loss days", US_national_yearly!$D:$AM, 10, FALSE), 1)</f>
        <v>2.6722541967699607E-2</v>
      </c>
      <c r="P15" s="7">
        <f>$B15 * IFERROR(VLOOKUP("LULUCF|PM25|Work loss days", US_national_yearly!$D:$AM, 24, FALSE) / VLOOKUP("LULUCF|PM25|Work loss days", US_national_yearly!$D:$AM, 10, FALSE), 1)</f>
        <v>2.6911437433229778E-2</v>
      </c>
      <c r="Q15" s="7">
        <f>$B15 * IFERROR(VLOOKUP("LULUCF|PM25|Work loss days", US_national_yearly!$D:$AM, 25, FALSE) / VLOOKUP("LULUCF|PM25|Work loss days", US_national_yearly!$D:$AM, 10, FALSE), 1)</f>
        <v>2.7100332898759943E-2</v>
      </c>
      <c r="R15" s="7">
        <f>$B15 * IFERROR(VLOOKUP("LULUCF|PM25|Work loss days", US_national_yearly!$D:$AM, 26, FALSE) / VLOOKUP("LULUCF|PM25|Work loss days", US_national_yearly!$D:$AM, 10, FALSE), 1)</f>
        <v>2.7289228364290118E-2</v>
      </c>
      <c r="S15" s="7">
        <f>$B15 * IFERROR(VLOOKUP("LULUCF|PM25|Work loss days", US_national_yearly!$D:$AM, 27, FALSE) / VLOOKUP("LULUCF|PM25|Work loss days", US_national_yearly!$D:$AM, 10, FALSE), 1)</f>
        <v>2.749815481376618E-2</v>
      </c>
      <c r="T15" s="7">
        <f>$B15 * IFERROR(VLOOKUP("LULUCF|PM25|Work loss days", US_national_yearly!$D:$AM, 28, FALSE) / VLOOKUP("LULUCF|PM25|Work loss days", US_national_yearly!$D:$AM, 10, FALSE), 1)</f>
        <v>2.7707081263242249E-2</v>
      </c>
      <c r="U15" s="7">
        <f>$B15 * IFERROR(VLOOKUP("LULUCF|PM25|Work loss days", US_national_yearly!$D:$AM, 29, FALSE) / VLOOKUP("LULUCF|PM25|Work loss days", US_national_yearly!$D:$AM, 10, FALSE), 1)</f>
        <v>2.7916007712718308E-2</v>
      </c>
      <c r="V15" s="7">
        <f>$B15 * IFERROR(VLOOKUP("LULUCF|PM25|Work loss days", US_national_yearly!$D:$AM, 30, FALSE) / VLOOKUP("LULUCF|PM25|Work loss days", US_national_yearly!$D:$AM, 10, FALSE), 1)</f>
        <v>2.812493416219438E-2</v>
      </c>
      <c r="W15" s="7">
        <f>$B15 * IFERROR(VLOOKUP("LULUCF|PM25|Work loss days", US_national_yearly!$D:$AM, 31, FALSE) / VLOOKUP("LULUCF|PM25|Work loss days", US_national_yearly!$D:$AM, 10, FALSE), 1)</f>
        <v>2.8333860611670442E-2</v>
      </c>
      <c r="X15" s="7">
        <f>$B15 * IFERROR(VLOOKUP("LULUCF|PM25|Work loss days", US_national_yearly!$D:$AM, 32, FALSE) / VLOOKUP("LULUCF|PM25|Work loss days", US_national_yearly!$D:$AM, 10, FALSE), 1)</f>
        <v>2.8519234720575951E-2</v>
      </c>
      <c r="Y15" s="7">
        <f>$B15 * IFERROR(VLOOKUP("LULUCF|PM25|Work loss days", US_national_yearly!$D:$AM, 33, FALSE) / VLOOKUP("LULUCF|PM25|Work loss days", US_national_yearly!$D:$AM, 10, FALSE), 1)</f>
        <v>2.8704608829481455E-2</v>
      </c>
      <c r="Z15" s="7">
        <f>$B15 * IFERROR(VLOOKUP("LULUCF|PM25|Work loss days", US_national_yearly!$D:$AM, 34, FALSE) / VLOOKUP("LULUCF|PM25|Work loss days", US_national_yearly!$D:$AM, 10, FALSE), 1)</f>
        <v>2.8889982938386967E-2</v>
      </c>
      <c r="AA15" s="7">
        <f>$B15 * IFERROR(VLOOKUP("LULUCF|PM25|Work loss days", US_national_yearly!$D:$AM, 35, FALSE) / VLOOKUP("LULUCF|PM25|Work loss days", US_national_yearly!$D:$AM, 10, FALSE), 1)</f>
        <v>2.9075357047292479E-2</v>
      </c>
      <c r="AB15" s="7">
        <f>$B15 * IFERROR(VLOOKUP("LULUCF|PM25|Work loss days", US_national_yearly!$D:$AM, 36, FALSE) / VLOOKUP("LULUCF|PM25|Work loss days", US_national_yearly!$D:$AM, 10, FALSE), 1)</f>
        <v>2.9260731156197983E-2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4.317204534836505E-5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4.4462056167969136E-5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4.5752066987573229E-5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4.7042077807177322E-5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4.8332088626781414E-5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4.9567688561521299E-5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5.0803288496261204E-5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5.1860041397606563E-5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5.2916794298951915E-5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5.397354720029726E-5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5.5030300101642633E-5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5.6087053002987978E-5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5.6791614289392451E-5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5.7496175575796936E-5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5.8200736862201408E-5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5.8905298148605887E-5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5.960985943501036E-5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5.9982638134113025E-5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6.0355416833215684E-5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6.0728195532318329E-5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6.1100974231420981E-5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6.1473752930523646E-5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6.1724712454279418E-5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6.1975671978035203E-5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6.2226631501790974E-5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6.2477591025546759E-5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6.2728550549302531E-5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4.6032463057914648E-4</v>
      </c>
      <c r="C2" s="7">
        <f>$B2 * IFERROR(VLOOKUP("LULUCF|NOx|Premature mortality", US_national_yearly!$D:$AM, 11, FALSE) / VLOOKUP("LULUCF|NOx|Premature mortality", US_national_yearly!$D:$AM, 10, FALSE), 1)</f>
        <v>4.6708602133714073E-4</v>
      </c>
      <c r="D2" s="7">
        <f>$B2 * IFERROR(VLOOKUP("LULUCF|NOx|Premature mortality", US_national_yearly!$D:$AM, 12, FALSE) / VLOOKUP("LULUCF|NOx|Premature mortality", US_national_yearly!$D:$AM, 10, FALSE), 1)</f>
        <v>4.7384741209513493E-4</v>
      </c>
      <c r="E2" s="7">
        <f>$B2 * IFERROR(VLOOKUP("LULUCF|NOx|Premature mortality", US_national_yearly!$D:$AM, 13, FALSE) / VLOOKUP("LULUCF|NOx|Premature mortality", US_national_yearly!$D:$AM, 10, FALSE), 1)</f>
        <v>4.8060880285312918E-4</v>
      </c>
      <c r="F2" s="7">
        <f>$B2 * IFERROR(VLOOKUP("LULUCF|NOx|Premature mortality", US_national_yearly!$D:$AM, 14, FALSE) / VLOOKUP("LULUCF|NOx|Premature mortality", US_national_yearly!$D:$AM, 10, FALSE), 1)</f>
        <v>4.8737019361112344E-4</v>
      </c>
      <c r="G2" s="7">
        <f>$B2 * IFERROR(VLOOKUP("LULUCF|NOx|Premature mortality", US_national_yearly!$D:$AM, 15, FALSE) / VLOOKUP("LULUCF|NOx|Premature mortality", US_national_yearly!$D:$AM, 10, FALSE), 1)</f>
        <v>4.995152499689112E-4</v>
      </c>
      <c r="H2" s="7">
        <f>$B2 * IFERROR(VLOOKUP("LULUCF|NOx|Premature mortality", US_national_yearly!$D:$AM, 16, FALSE) / VLOOKUP("LULUCF|NOx|Premature mortality", US_national_yearly!$D:$AM, 10, FALSE), 1)</f>
        <v>5.1166030632669919E-4</v>
      </c>
      <c r="I2" s="7">
        <f>$B2 * IFERROR(VLOOKUP("LULUCF|NOx|Premature mortality", US_national_yearly!$D:$AM, 17, FALSE) / VLOOKUP("LULUCF|NOx|Premature mortality", US_national_yearly!$D:$AM, 10, FALSE), 1)</f>
        <v>5.1950017058079222E-4</v>
      </c>
      <c r="J2" s="7">
        <f>$B2 * IFERROR(VLOOKUP("LULUCF|NOx|Premature mortality", US_national_yearly!$D:$AM, 18, FALSE) / VLOOKUP("LULUCF|NOx|Premature mortality", US_national_yearly!$D:$AM, 10, FALSE), 1)</f>
        <v>5.2734003483488536E-4</v>
      </c>
      <c r="K2" s="7">
        <f>$B2 * IFERROR(VLOOKUP("LULUCF|NOx|Premature mortality", US_national_yearly!$D:$AM, 19, FALSE) / VLOOKUP("LULUCF|NOx|Premature mortality", US_national_yearly!$D:$AM, 10, FALSE), 1)</f>
        <v>5.3517989908897839E-4</v>
      </c>
      <c r="L2" s="7">
        <f>$B2 * IFERROR(VLOOKUP("LULUCF|NOx|Premature mortality", US_national_yearly!$D:$AM, 20, FALSE) / VLOOKUP("LULUCF|NOx|Premature mortality", US_national_yearly!$D:$AM, 10, FALSE), 1)</f>
        <v>5.4301976334307153E-4</v>
      </c>
      <c r="M2" s="7">
        <f>$B2 * IFERROR(VLOOKUP("LULUCF|NOx|Premature mortality", US_national_yearly!$D:$AM, 21, FALSE) / VLOOKUP("LULUCF|NOx|Premature mortality", US_national_yearly!$D:$AM, 10, FALSE), 1)</f>
        <v>5.5085962759716467E-4</v>
      </c>
      <c r="N2" s="7">
        <f>$B2 * IFERROR(VLOOKUP("LULUCF|NOx|Premature mortality", US_national_yearly!$D:$AM, 22, FALSE) / VLOOKUP("LULUCF|NOx|Premature mortality", US_national_yearly!$D:$AM, 10, FALSE), 1)</f>
        <v>5.5666736855878197E-4</v>
      </c>
      <c r="O2" s="7">
        <f>$B2 * IFERROR(VLOOKUP("LULUCF|NOx|Premature mortality", US_national_yearly!$D:$AM, 23, FALSE) / VLOOKUP("LULUCF|NOx|Premature mortality", US_national_yearly!$D:$AM, 10, FALSE), 1)</f>
        <v>5.6247510952039926E-4</v>
      </c>
      <c r="P2" s="7">
        <f>$B2 * IFERROR(VLOOKUP("LULUCF|NOx|Premature mortality", US_national_yearly!$D:$AM, 24, FALSE) / VLOOKUP("LULUCF|NOx|Premature mortality", US_national_yearly!$D:$AM, 10, FALSE), 1)</f>
        <v>5.6828285048201644E-4</v>
      </c>
      <c r="Q2" s="7">
        <f>$B2 * IFERROR(VLOOKUP("LULUCF|NOx|Premature mortality", US_national_yearly!$D:$AM, 25, FALSE) / VLOOKUP("LULUCF|NOx|Premature mortality", US_national_yearly!$D:$AM, 10, FALSE), 1)</f>
        <v>5.7409059144363384E-4</v>
      </c>
      <c r="R2" s="7">
        <f>$B2 * IFERROR(VLOOKUP("LULUCF|NOx|Premature mortality", US_national_yearly!$D:$AM, 26, FALSE) / VLOOKUP("LULUCF|NOx|Premature mortality", US_national_yearly!$D:$AM, 10, FALSE), 1)</f>
        <v>5.7989833240525113E-4</v>
      </c>
      <c r="S2" s="7">
        <f>$B2 * IFERROR(VLOOKUP("LULUCF|NOx|Premature mortality", US_national_yearly!$D:$AM, 27, FALSE) / VLOOKUP("LULUCF|NOx|Premature mortality", US_national_yearly!$D:$AM, 10, FALSE), 1)</f>
        <v>5.8253800915548048E-4</v>
      </c>
      <c r="T2" s="7">
        <f>$B2 * IFERROR(VLOOKUP("LULUCF|NOx|Premature mortality", US_national_yearly!$D:$AM, 28, FALSE) / VLOOKUP("LULUCF|NOx|Premature mortality", US_national_yearly!$D:$AM, 10, FALSE), 1)</f>
        <v>5.8517768590570993E-4</v>
      </c>
      <c r="U2" s="7">
        <f>$B2 * IFERROR(VLOOKUP("LULUCF|NOx|Premature mortality", US_national_yearly!$D:$AM, 29, FALSE) / VLOOKUP("LULUCF|NOx|Premature mortality", US_national_yearly!$D:$AM, 10, FALSE), 1)</f>
        <v>5.8781736265593927E-4</v>
      </c>
      <c r="V2" s="7">
        <f>$B2 * IFERROR(VLOOKUP("LULUCF|NOx|Premature mortality", US_national_yearly!$D:$AM, 30, FALSE) / VLOOKUP("LULUCF|NOx|Premature mortality", US_national_yearly!$D:$AM, 10, FALSE), 1)</f>
        <v>5.9045703940616861E-4</v>
      </c>
      <c r="W2" s="7">
        <f>$B2 * IFERROR(VLOOKUP("LULUCF|NOx|Premature mortality", US_national_yearly!$D:$AM, 31, FALSE) / VLOOKUP("LULUCF|NOx|Premature mortality", US_national_yearly!$D:$AM, 10, FALSE), 1)</f>
        <v>5.9309671615639806E-4</v>
      </c>
      <c r="X2" s="7">
        <f>$B2 * IFERROR(VLOOKUP("LULUCF|NOx|Premature mortality", US_national_yearly!$D:$AM, 32, FALSE) / VLOOKUP("LULUCF|NOx|Premature mortality", US_national_yearly!$D:$AM, 10, FALSE), 1)</f>
        <v>5.9318815304383935E-4</v>
      </c>
      <c r="Y2" s="7">
        <f>$B2 * IFERROR(VLOOKUP("LULUCF|NOx|Premature mortality", US_national_yearly!$D:$AM, 33, FALSE) / VLOOKUP("LULUCF|NOx|Premature mortality", US_national_yearly!$D:$AM, 10, FALSE), 1)</f>
        <v>5.9327958993128074E-4</v>
      </c>
      <c r="Z2" s="7">
        <f>$B2 * IFERROR(VLOOKUP("LULUCF|NOx|Premature mortality", US_national_yearly!$D:$AM, 34, FALSE) / VLOOKUP("LULUCF|NOx|Premature mortality", US_national_yearly!$D:$AM, 10, FALSE), 1)</f>
        <v>5.9337102681872203E-4</v>
      </c>
      <c r="AA2" s="7">
        <f>$B2 * IFERROR(VLOOKUP("LULUCF|NOx|Premature mortality", US_national_yearly!$D:$AM, 35, FALSE) / VLOOKUP("LULUCF|NOx|Premature mortality", US_national_yearly!$D:$AM, 10, FALSE), 1)</f>
        <v>5.9346246370616353E-4</v>
      </c>
      <c r="AB2" s="7">
        <f>$B2 * IFERROR(VLOOKUP("LULUCF|NOx|Premature mortality", US_national_yearly!$D:$AM, 36, FALSE) / VLOOKUP("LULUCF|NOx|Premature mortality", US_national_yearly!$D:$AM, 10, FALSE), 1)</f>
        <v>5.9355390059360493E-4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1.1266153248921373E-6</v>
      </c>
      <c r="C3" s="7">
        <f>$B3 * IFERROR(VLOOKUP("LULUCF|NOx|Infant mortality", US_national_yearly!$D:$AM, 11, FALSE) / VLOOKUP("LULUCF|NOx|Infant mortality", US_national_yearly!$D:$AM, 10, FALSE), 1)</f>
        <v>1.1158814431236136E-6</v>
      </c>
      <c r="D3" s="7">
        <f>$B3 * IFERROR(VLOOKUP("LULUCF|NOx|Infant mortality", US_national_yearly!$D:$AM, 12, FALSE) / VLOOKUP("LULUCF|NOx|Infant mortality", US_national_yearly!$D:$AM, 10, FALSE), 1)</f>
        <v>1.1051475613550896E-6</v>
      </c>
      <c r="E3" s="7">
        <f>$B3 * IFERROR(VLOOKUP("LULUCF|NOx|Infant mortality", US_national_yearly!$D:$AM, 13, FALSE) / VLOOKUP("LULUCF|NOx|Infant mortality", US_national_yearly!$D:$AM, 10, FALSE), 1)</f>
        <v>1.0944136795865657E-6</v>
      </c>
      <c r="F3" s="7">
        <f>$B3 * IFERROR(VLOOKUP("LULUCF|NOx|Infant mortality", US_national_yearly!$D:$AM, 14, FALSE) / VLOOKUP("LULUCF|NOx|Infant mortality", US_national_yearly!$D:$AM, 10, FALSE), 1)</f>
        <v>1.083679797818042E-6</v>
      </c>
      <c r="G3" s="7">
        <f>$B3 * IFERROR(VLOOKUP("LULUCF|NOx|Infant mortality", US_national_yearly!$D:$AM, 15, FALSE) / VLOOKUP("LULUCF|NOx|Infant mortality", US_national_yearly!$D:$AM, 10, FALSE), 1)</f>
        <v>7.1940016296490394E-7</v>
      </c>
      <c r="H3" s="7">
        <f>$B3 * IFERROR(VLOOKUP("LULUCF|NOx|Infant mortality", US_national_yearly!$D:$AM, 16, FALSE) / VLOOKUP("LULUCF|NOx|Infant mortality", US_national_yearly!$D:$AM, 10, FALSE), 1)</f>
        <v>3.5512052811176608E-7</v>
      </c>
      <c r="I3" s="7">
        <f>$B3 * IFERROR(VLOOKUP("LULUCF|NOx|Infant mortality", US_national_yearly!$D:$AM, 17, FALSE) / VLOOKUP("LULUCF|NOx|Infant mortality", US_national_yearly!$D:$AM, 10, FALSE), 1)</f>
        <v>3.5260948690755395E-7</v>
      </c>
      <c r="J3" s="7">
        <f>$B3 * IFERROR(VLOOKUP("LULUCF|NOx|Infant mortality", US_national_yearly!$D:$AM, 18, FALSE) / VLOOKUP("LULUCF|NOx|Infant mortality", US_national_yearly!$D:$AM, 10, FALSE), 1)</f>
        <v>3.5009844570334176E-7</v>
      </c>
      <c r="K3" s="7">
        <f>$B3 * IFERROR(VLOOKUP("LULUCF|NOx|Infant mortality", US_national_yearly!$D:$AM, 19, FALSE) / VLOOKUP("LULUCF|NOx|Infant mortality", US_national_yearly!$D:$AM, 10, FALSE), 1)</f>
        <v>3.4758740449912963E-7</v>
      </c>
      <c r="L3" s="7">
        <f>$B3 * IFERROR(VLOOKUP("LULUCF|NOx|Infant mortality", US_national_yearly!$D:$AM, 20, FALSE) / VLOOKUP("LULUCF|NOx|Infant mortality", US_national_yearly!$D:$AM, 10, FALSE), 1)</f>
        <v>3.450763632949175E-7</v>
      </c>
      <c r="M3" s="7">
        <f>$B3 * IFERROR(VLOOKUP("LULUCF|NOx|Infant mortality", US_national_yearly!$D:$AM, 21, FALSE) / VLOOKUP("LULUCF|NOx|Infant mortality", US_national_yearly!$D:$AM, 10, FALSE), 1)</f>
        <v>3.4256532209070532E-7</v>
      </c>
      <c r="N3" s="7">
        <f>$B3 * IFERROR(VLOOKUP("LULUCF|NOx|Infant mortality", US_national_yearly!$D:$AM, 22, FALSE) / VLOOKUP("LULUCF|NOx|Infant mortality", US_national_yearly!$D:$AM, 10, FALSE), 1)</f>
        <v>3.4089859793222104E-7</v>
      </c>
      <c r="O3" s="7">
        <f>$B3 * IFERROR(VLOOKUP("LULUCF|NOx|Infant mortality", US_national_yearly!$D:$AM, 23, FALSE) / VLOOKUP("LULUCF|NOx|Infant mortality", US_national_yearly!$D:$AM, 10, FALSE), 1)</f>
        <v>3.3923187377373677E-7</v>
      </c>
      <c r="P3" s="7">
        <f>$B3 * IFERROR(VLOOKUP("LULUCF|NOx|Infant mortality", US_national_yearly!$D:$AM, 24, FALSE) / VLOOKUP("LULUCF|NOx|Infant mortality", US_national_yearly!$D:$AM, 10, FALSE), 1)</f>
        <v>3.375651496152525E-7</v>
      </c>
      <c r="Q3" s="7">
        <f>$B3 * IFERROR(VLOOKUP("LULUCF|NOx|Infant mortality", US_national_yearly!$D:$AM, 25, FALSE) / VLOOKUP("LULUCF|NOx|Infant mortality", US_national_yearly!$D:$AM, 10, FALSE), 1)</f>
        <v>3.3589842545676822E-7</v>
      </c>
      <c r="R3" s="7">
        <f>$B3 * IFERROR(VLOOKUP("LULUCF|NOx|Infant mortality", US_national_yearly!$D:$AM, 26, FALSE) / VLOOKUP("LULUCF|NOx|Infant mortality", US_national_yearly!$D:$AM, 10, FALSE), 1)</f>
        <v>3.3423170129828395E-7</v>
      </c>
      <c r="S3" s="7">
        <f>$B3 * IFERROR(VLOOKUP("LULUCF|NOx|Infant mortality", US_national_yearly!$D:$AM, 27, FALSE) / VLOOKUP("LULUCF|NOx|Infant mortality", US_national_yearly!$D:$AM, 10, FALSE), 1)</f>
        <v>3.3222803381093369E-7</v>
      </c>
      <c r="T3" s="7">
        <f>$B3 * IFERROR(VLOOKUP("LULUCF|NOx|Infant mortality", US_national_yearly!$D:$AM, 28, FALSE) / VLOOKUP("LULUCF|NOx|Infant mortality", US_national_yearly!$D:$AM, 10, FALSE), 1)</f>
        <v>3.3022436632358348E-7</v>
      </c>
      <c r="U3" s="7">
        <f>$B3 * IFERROR(VLOOKUP("LULUCF|NOx|Infant mortality", US_national_yearly!$D:$AM, 29, FALSE) / VLOOKUP("LULUCF|NOx|Infant mortality", US_national_yearly!$D:$AM, 10, FALSE), 1)</f>
        <v>3.2822069883623323E-7</v>
      </c>
      <c r="V3" s="7">
        <f>$B3 * IFERROR(VLOOKUP("LULUCF|NOx|Infant mortality", US_national_yearly!$D:$AM, 30, FALSE) / VLOOKUP("LULUCF|NOx|Infant mortality", US_national_yearly!$D:$AM, 10, FALSE), 1)</f>
        <v>3.2621703134888297E-7</v>
      </c>
      <c r="W3" s="7">
        <f>$B3 * IFERROR(VLOOKUP("LULUCF|NOx|Infant mortality", US_national_yearly!$D:$AM, 31, FALSE) / VLOOKUP("LULUCF|NOx|Infant mortality", US_national_yearly!$D:$AM, 10, FALSE), 1)</f>
        <v>3.2421336386153271E-7</v>
      </c>
      <c r="X3" s="7">
        <f>$B3 * IFERROR(VLOOKUP("LULUCF|NOx|Infant mortality", US_national_yearly!$D:$AM, 32, FALSE) / VLOOKUP("LULUCF|NOx|Infant mortality", US_national_yearly!$D:$AM, 10, FALSE), 1)</f>
        <v>3.220913830990238E-7</v>
      </c>
      <c r="Y3" s="7">
        <f>$B3 * IFERROR(VLOOKUP("LULUCF|NOx|Infant mortality", US_national_yearly!$D:$AM, 33, FALSE) / VLOOKUP("LULUCF|NOx|Infant mortality", US_national_yearly!$D:$AM, 10, FALSE), 1)</f>
        <v>3.1996940233651483E-7</v>
      </c>
      <c r="Z3" s="7">
        <f>$B3 * IFERROR(VLOOKUP("LULUCF|NOx|Infant mortality", US_national_yearly!$D:$AM, 34, FALSE) / VLOOKUP("LULUCF|NOx|Infant mortality", US_national_yearly!$D:$AM, 10, FALSE), 1)</f>
        <v>3.1784742157400582E-7</v>
      </c>
      <c r="AA3" s="7">
        <f>$B3 * IFERROR(VLOOKUP("LULUCF|NOx|Infant mortality", US_national_yearly!$D:$AM, 35, FALSE) / VLOOKUP("LULUCF|NOx|Infant mortality", US_national_yearly!$D:$AM, 10, FALSE), 1)</f>
        <v>3.1572544081149686E-7</v>
      </c>
      <c r="AB3" s="7">
        <f>$B3 * IFERROR(VLOOKUP("LULUCF|NOx|Infant mortality", US_national_yearly!$D:$AM, 36, FALSE) / VLOOKUP("LULUCF|NOx|Infant mortality", US_national_yearly!$D:$AM, 10, FALSE), 1)</f>
        <v>3.1360346004898784E-7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1.1343322202396929E-3</v>
      </c>
      <c r="C6" s="7">
        <f>$B6 * IFERROR(VLOOKUP("LULUCF|NOx|Asthma symptoms cough", US_national_yearly!$D:$AM, 11, FALSE) / VLOOKUP("LULUCF|NOx|Asthma symptoms cough", US_national_yearly!$D:$AM, 10, FALSE), 1)</f>
        <v>1.1498403962501374E-3</v>
      </c>
      <c r="D6" s="7">
        <f>$B6 * IFERROR(VLOOKUP("LULUCF|NOx|Asthma symptoms cough", US_national_yearly!$D:$AM, 12, FALSE) / VLOOKUP("LULUCF|NOx|Asthma symptoms cough", US_national_yearly!$D:$AM, 10, FALSE), 1)</f>
        <v>1.1653485722605821E-3</v>
      </c>
      <c r="E6" s="7">
        <f>$B6 * IFERROR(VLOOKUP("LULUCF|NOx|Asthma symptoms cough", US_national_yearly!$D:$AM, 13, FALSE) / VLOOKUP("LULUCF|NOx|Asthma symptoms cough", US_national_yearly!$D:$AM, 10, FALSE), 1)</f>
        <v>1.1808567482710266E-3</v>
      </c>
      <c r="F6" s="7">
        <f>$B6 * IFERROR(VLOOKUP("LULUCF|NOx|Asthma symptoms cough", US_national_yearly!$D:$AM, 14, FALSE) / VLOOKUP("LULUCF|NOx|Asthma symptoms cough", US_national_yearly!$D:$AM, 10, FALSE), 1)</f>
        <v>1.1963649242814713E-3</v>
      </c>
      <c r="G6" s="7">
        <f>$B6 * IFERROR(VLOOKUP("LULUCF|NOx|Asthma symptoms cough", US_national_yearly!$D:$AM, 15, FALSE) / VLOOKUP("LULUCF|NOx|Asthma symptoms cough", US_national_yearly!$D:$AM, 10, FALSE), 1)</f>
        <v>1.2087460357046236E-3</v>
      </c>
      <c r="H6" s="7">
        <f>$B6 * IFERROR(VLOOKUP("LULUCF|NOx|Asthma symptoms cough", US_national_yearly!$D:$AM, 16, FALSE) / VLOOKUP("LULUCF|NOx|Asthma symptoms cough", US_national_yearly!$D:$AM, 10, FALSE), 1)</f>
        <v>1.2211271471277761E-3</v>
      </c>
      <c r="I6" s="7">
        <f>$B6 * IFERROR(VLOOKUP("LULUCF|NOx|Asthma symptoms cough", US_national_yearly!$D:$AM, 17, FALSE) / VLOOKUP("LULUCF|NOx|Asthma symptoms cough", US_national_yearly!$D:$AM, 10, FALSE), 1)</f>
        <v>1.2253885486823355E-3</v>
      </c>
      <c r="J6" s="7">
        <f>$B6 * IFERROR(VLOOKUP("LULUCF|NOx|Asthma symptoms cough", US_national_yearly!$D:$AM, 18, FALSE) / VLOOKUP("LULUCF|NOx|Asthma symptoms cough", US_national_yearly!$D:$AM, 10, FALSE), 1)</f>
        <v>1.2296499502368948E-3</v>
      </c>
      <c r="K6" s="7">
        <f>$B6 * IFERROR(VLOOKUP("LULUCF|NOx|Asthma symptoms cough", US_national_yearly!$D:$AM, 19, FALSE) / VLOOKUP("LULUCF|NOx|Asthma symptoms cough", US_national_yearly!$D:$AM, 10, FALSE), 1)</f>
        <v>1.2339113517914541E-3</v>
      </c>
      <c r="L6" s="7">
        <f>$B6 * IFERROR(VLOOKUP("LULUCF|NOx|Asthma symptoms cough", US_national_yearly!$D:$AM, 20, FALSE) / VLOOKUP("LULUCF|NOx|Asthma symptoms cough", US_national_yearly!$D:$AM, 10, FALSE), 1)</f>
        <v>1.2381727533460132E-3</v>
      </c>
      <c r="M6" s="7">
        <f>$B6 * IFERROR(VLOOKUP("LULUCF|NOx|Asthma symptoms cough", US_national_yearly!$D:$AM, 21, FALSE) / VLOOKUP("LULUCF|NOx|Asthma symptoms cough", US_national_yearly!$D:$AM, 10, FALSE), 1)</f>
        <v>1.2424341549005726E-3</v>
      </c>
      <c r="N6" s="7">
        <f>$B6 * IFERROR(VLOOKUP("LULUCF|NOx|Asthma symptoms cough", US_national_yearly!$D:$AM, 22, FALSE) / VLOOKUP("LULUCF|NOx|Asthma symptoms cough", US_national_yearly!$D:$AM, 10, FALSE), 1)</f>
        <v>1.2473755673380225E-3</v>
      </c>
      <c r="O6" s="7">
        <f>$B6 * IFERROR(VLOOKUP("LULUCF|NOx|Asthma symptoms cough", US_national_yearly!$D:$AM, 23, FALSE) / VLOOKUP("LULUCF|NOx|Asthma symptoms cough", US_national_yearly!$D:$AM, 10, FALSE), 1)</f>
        <v>1.2523169797754726E-3</v>
      </c>
      <c r="P6" s="7">
        <f>$B6 * IFERROR(VLOOKUP("LULUCF|NOx|Asthma symptoms cough", US_national_yearly!$D:$AM, 24, FALSE) / VLOOKUP("LULUCF|NOx|Asthma symptoms cough", US_national_yearly!$D:$AM, 10, FALSE), 1)</f>
        <v>1.2572583922129225E-3</v>
      </c>
      <c r="Q6" s="7">
        <f>$B6 * IFERROR(VLOOKUP("LULUCF|NOx|Asthma symptoms cough", US_national_yearly!$D:$AM, 25, FALSE) / VLOOKUP("LULUCF|NOx|Asthma symptoms cough", US_national_yearly!$D:$AM, 10, FALSE), 1)</f>
        <v>1.2621998046503727E-3</v>
      </c>
      <c r="R6" s="7">
        <f>$B6 * IFERROR(VLOOKUP("LULUCF|NOx|Asthma symptoms cough", US_national_yearly!$D:$AM, 26, FALSE) / VLOOKUP("LULUCF|NOx|Asthma symptoms cough", US_national_yearly!$D:$AM, 10, FALSE), 1)</f>
        <v>1.2671412170878226E-3</v>
      </c>
      <c r="S6" s="7">
        <f>$B6 * IFERROR(VLOOKUP("LULUCF|NOx|Asthma symptoms cough", US_national_yearly!$D:$AM, 27, FALSE) / VLOOKUP("LULUCF|NOx|Asthma symptoms cough", US_national_yearly!$D:$AM, 10, FALSE), 1)</f>
        <v>1.2735962755593317E-3</v>
      </c>
      <c r="T6" s="7">
        <f>$B6 * IFERROR(VLOOKUP("LULUCF|NOx|Asthma symptoms cough", US_national_yearly!$D:$AM, 28, FALSE) / VLOOKUP("LULUCF|NOx|Asthma symptoms cough", US_national_yearly!$D:$AM, 10, FALSE), 1)</f>
        <v>1.2800513340308405E-3</v>
      </c>
      <c r="U6" s="7">
        <f>$B6 * IFERROR(VLOOKUP("LULUCF|NOx|Asthma symptoms cough", US_national_yearly!$D:$AM, 29, FALSE) / VLOOKUP("LULUCF|NOx|Asthma symptoms cough", US_national_yearly!$D:$AM, 10, FALSE), 1)</f>
        <v>1.286506392502349E-3</v>
      </c>
      <c r="V6" s="7">
        <f>$B6 * IFERROR(VLOOKUP("LULUCF|NOx|Asthma symptoms cough", US_national_yearly!$D:$AM, 30, FALSE) / VLOOKUP("LULUCF|NOx|Asthma symptoms cough", US_national_yearly!$D:$AM, 10, FALSE), 1)</f>
        <v>1.2929614509738581E-3</v>
      </c>
      <c r="W6" s="7">
        <f>$B6 * IFERROR(VLOOKUP("LULUCF|NOx|Asthma symptoms cough", US_national_yearly!$D:$AM, 31, FALSE) / VLOOKUP("LULUCF|NOx|Asthma symptoms cough", US_national_yearly!$D:$AM, 10, FALSE), 1)</f>
        <v>1.2994165094453668E-3</v>
      </c>
      <c r="X6" s="7">
        <f>$B6 * IFERROR(VLOOKUP("LULUCF|NOx|Asthma symptoms cough", US_national_yearly!$D:$AM, 32, FALSE) / VLOOKUP("LULUCF|NOx|Asthma symptoms cough", US_national_yearly!$D:$AM, 10, FALSE), 1)</f>
        <v>1.3054141862640105E-3</v>
      </c>
      <c r="Y6" s="7">
        <f>$B6 * IFERROR(VLOOKUP("LULUCF|NOx|Asthma symptoms cough", US_national_yearly!$D:$AM, 33, FALSE) / VLOOKUP("LULUCF|NOx|Asthma symptoms cough", US_national_yearly!$D:$AM, 10, FALSE), 1)</f>
        <v>1.3114118630826541E-3</v>
      </c>
      <c r="Z6" s="7">
        <f>$B6 * IFERROR(VLOOKUP("LULUCF|NOx|Asthma symptoms cough", US_national_yearly!$D:$AM, 34, FALSE) / VLOOKUP("LULUCF|NOx|Asthma symptoms cough", US_national_yearly!$D:$AM, 10, FALSE), 1)</f>
        <v>1.3174095399012976E-3</v>
      </c>
      <c r="AA6" s="7">
        <f>$B6 * IFERROR(VLOOKUP("LULUCF|NOx|Asthma symptoms cough", US_national_yearly!$D:$AM, 35, FALSE) / VLOOKUP("LULUCF|NOx|Asthma symptoms cough", US_national_yearly!$D:$AM, 10, FALSE), 1)</f>
        <v>1.3234072167199412E-3</v>
      </c>
      <c r="AB6" s="7">
        <f>$B6 * IFERROR(VLOOKUP("LULUCF|NOx|Asthma symptoms cough", US_national_yearly!$D:$AM, 36, FALSE) / VLOOKUP("LULUCF|NOx|Asthma symptoms cough", US_national_yearly!$D:$AM, 10, FALSE), 1)</f>
        <v>1.3294048935385851E-3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1.5275413210406211E-3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1.5484253083141086E-3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1.5693092955875957E-3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1.5901932828610832E-3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1.6110772701345708E-3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1.627750215617906E-3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1.6444231611012412E-3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1.6501617505557513E-3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1.6559003400102616E-3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1.6616389294647716E-3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1.6673775189192819E-3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1.673116108373792E-3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1.6797704302059105E-3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1.6864247520380288E-3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1.6930790738701469E-3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1.6997333957022654E-3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1.7063877175343839E-3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1.7150803812572895E-3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1.7237730449801956E-3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1.7324657087031015E-3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1.7411583724260069E-3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1.7498510361489128E-3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1.7579277697523184E-3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1.7660045033557239E-3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1.7740812369591299E-3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1.7821579705625354E-3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1.790234704165941E-3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2.3338299992894302E-3</v>
      </c>
      <c r="C8" s="7">
        <f>$B8 * IFERROR(VLOOKUP("LULUCF|NOx|Asthma symptoms wheeze", US_national_yearly!$D:$AM, 11, FALSE) / VLOOKUP("LULUCF|NOx|Asthma symptoms wheeze", US_national_yearly!$D:$AM, 10, FALSE), 1)</f>
        <v>2.3657372710847225E-3</v>
      </c>
      <c r="D8" s="7">
        <f>$B8 * IFERROR(VLOOKUP("LULUCF|NOx|Asthma symptoms wheeze", US_national_yearly!$D:$AM, 12, FALSE) / VLOOKUP("LULUCF|NOx|Asthma symptoms wheeze", US_national_yearly!$D:$AM, 10, FALSE), 1)</f>
        <v>2.3976445428800157E-3</v>
      </c>
      <c r="E8" s="7">
        <f>$B8 * IFERROR(VLOOKUP("LULUCF|NOx|Asthma symptoms wheeze", US_national_yearly!$D:$AM, 13, FALSE) / VLOOKUP("LULUCF|NOx|Asthma symptoms wheeze", US_national_yearly!$D:$AM, 10, FALSE), 1)</f>
        <v>2.429551814675308E-3</v>
      </c>
      <c r="F8" s="7">
        <f>$B8 * IFERROR(VLOOKUP("LULUCF|NOx|Asthma symptoms wheeze", US_national_yearly!$D:$AM, 14, FALSE) / VLOOKUP("LULUCF|NOx|Asthma symptoms wheeze", US_national_yearly!$D:$AM, 10, FALSE), 1)</f>
        <v>2.4614590864706003E-3</v>
      </c>
      <c r="G8" s="7">
        <f>$B8 * IFERROR(VLOOKUP("LULUCF|NOx|Asthma symptoms wheeze", US_national_yearly!$D:$AM, 15, FALSE) / VLOOKUP("LULUCF|NOx|Asthma symptoms wheeze", US_national_yearly!$D:$AM, 10, FALSE), 1)</f>
        <v>2.4869325842781158E-3</v>
      </c>
      <c r="H8" s="7">
        <f>$B8 * IFERROR(VLOOKUP("LULUCF|NOx|Asthma symptoms wheeze", US_national_yearly!$D:$AM, 16, FALSE) / VLOOKUP("LULUCF|NOx|Asthma symptoms wheeze", US_national_yearly!$D:$AM, 10, FALSE), 1)</f>
        <v>2.5124060820856313E-3</v>
      </c>
      <c r="I8" s="7">
        <f>$B8 * IFERROR(VLOOKUP("LULUCF|NOx|Asthma symptoms wheeze", US_national_yearly!$D:$AM, 17, FALSE) / VLOOKUP("LULUCF|NOx|Asthma symptoms wheeze", US_national_yearly!$D:$AM, 10, FALSE), 1)</f>
        <v>2.5211736959005701E-3</v>
      </c>
      <c r="J8" s="7">
        <f>$B8 * IFERROR(VLOOKUP("LULUCF|NOx|Asthma symptoms wheeze", US_national_yearly!$D:$AM, 18, FALSE) / VLOOKUP("LULUCF|NOx|Asthma symptoms wheeze", US_national_yearly!$D:$AM, 10, FALSE), 1)</f>
        <v>2.5299413097155088E-3</v>
      </c>
      <c r="K8" s="7">
        <f>$B8 * IFERROR(VLOOKUP("LULUCF|NOx|Asthma symptoms wheeze", US_national_yearly!$D:$AM, 19, FALSE) / VLOOKUP("LULUCF|NOx|Asthma symptoms wheeze", US_national_yearly!$D:$AM, 10, FALSE), 1)</f>
        <v>2.5387089235304468E-3</v>
      </c>
      <c r="L8" s="7">
        <f>$B8 * IFERROR(VLOOKUP("LULUCF|NOx|Asthma symptoms wheeze", US_national_yearly!$D:$AM, 20, FALSE) / VLOOKUP("LULUCF|NOx|Asthma symptoms wheeze", US_national_yearly!$D:$AM, 10, FALSE), 1)</f>
        <v>2.547476537345386E-3</v>
      </c>
      <c r="M8" s="7">
        <f>$B8 * IFERROR(VLOOKUP("LULUCF|NOx|Asthma symptoms wheeze", US_national_yearly!$D:$AM, 21, FALSE) / VLOOKUP("LULUCF|NOx|Asthma symptoms wheeze", US_national_yearly!$D:$AM, 10, FALSE), 1)</f>
        <v>2.5562441511603243E-3</v>
      </c>
      <c r="N8" s="7">
        <f>$B8 * IFERROR(VLOOKUP("LULUCF|NOx|Asthma symptoms wheeze", US_national_yearly!$D:$AM, 22, FALSE) / VLOOKUP("LULUCF|NOx|Asthma symptoms wheeze", US_national_yearly!$D:$AM, 10, FALSE), 1)</f>
        <v>2.5664108522830639E-3</v>
      </c>
      <c r="O8" s="7">
        <f>$B8 * IFERROR(VLOOKUP("LULUCF|NOx|Asthma symptoms wheeze", US_national_yearly!$D:$AM, 23, FALSE) / VLOOKUP("LULUCF|NOx|Asthma symptoms wheeze", US_national_yearly!$D:$AM, 10, FALSE), 1)</f>
        <v>2.5765775534058039E-3</v>
      </c>
      <c r="P8" s="7">
        <f>$B8 * IFERROR(VLOOKUP("LULUCF|NOx|Asthma symptoms wheeze", US_national_yearly!$D:$AM, 24, FALSE) / VLOOKUP("LULUCF|NOx|Asthma symptoms wheeze", US_national_yearly!$D:$AM, 10, FALSE), 1)</f>
        <v>2.5867442545285434E-3</v>
      </c>
      <c r="Q8" s="7">
        <f>$B8 * IFERROR(VLOOKUP("LULUCF|NOx|Asthma symptoms wheeze", US_national_yearly!$D:$AM, 25, FALSE) / VLOOKUP("LULUCF|NOx|Asthma symptoms wheeze", US_national_yearly!$D:$AM, 10, FALSE), 1)</f>
        <v>2.5969109556512834E-3</v>
      </c>
      <c r="R8" s="7">
        <f>$B8 * IFERROR(VLOOKUP("LULUCF|NOx|Asthma symptoms wheeze", US_national_yearly!$D:$AM, 26, FALSE) / VLOOKUP("LULUCF|NOx|Asthma symptoms wheeze", US_national_yearly!$D:$AM, 10, FALSE), 1)</f>
        <v>2.6070776567740229E-3</v>
      </c>
      <c r="S8" s="7">
        <f>$B8 * IFERROR(VLOOKUP("LULUCF|NOx|Asthma symptoms wheeze", US_national_yearly!$D:$AM, 27, FALSE) / VLOOKUP("LULUCF|NOx|Asthma symptoms wheeze", US_national_yearly!$D:$AM, 10, FALSE), 1)</f>
        <v>2.620358606502767E-3</v>
      </c>
      <c r="T8" s="7">
        <f>$B8 * IFERROR(VLOOKUP("LULUCF|NOx|Asthma symptoms wheeze", US_national_yearly!$D:$AM, 28, FALSE) / VLOOKUP("LULUCF|NOx|Asthma symptoms wheeze", US_national_yearly!$D:$AM, 10, FALSE), 1)</f>
        <v>2.6336395562315115E-3</v>
      </c>
      <c r="U8" s="7">
        <f>$B8 * IFERROR(VLOOKUP("LULUCF|NOx|Asthma symptoms wheeze", US_national_yearly!$D:$AM, 29, FALSE) / VLOOKUP("LULUCF|NOx|Asthma symptoms wheeze", US_national_yearly!$D:$AM, 10, FALSE), 1)</f>
        <v>2.6469205059602556E-3</v>
      </c>
      <c r="V8" s="7">
        <f>$B8 * IFERROR(VLOOKUP("LULUCF|NOx|Asthma symptoms wheeze", US_national_yearly!$D:$AM, 30, FALSE) / VLOOKUP("LULUCF|NOx|Asthma symptoms wheeze", US_national_yearly!$D:$AM, 10, FALSE), 1)</f>
        <v>2.660201455689E-3</v>
      </c>
      <c r="W8" s="7">
        <f>$B8 * IFERROR(VLOOKUP("LULUCF|NOx|Asthma symptoms wheeze", US_national_yearly!$D:$AM, 31, FALSE) / VLOOKUP("LULUCF|NOx|Asthma symptoms wheeze", US_national_yearly!$D:$AM, 10, FALSE), 1)</f>
        <v>2.6734824054177441E-3</v>
      </c>
      <c r="X8" s="7">
        <f>$B8 * IFERROR(VLOOKUP("LULUCF|NOx|Asthma symptoms wheeze", US_national_yearly!$D:$AM, 32, FALSE) / VLOOKUP("LULUCF|NOx|Asthma symptoms wheeze", US_national_yearly!$D:$AM, 10, FALSE), 1)</f>
        <v>2.6858223159920906E-3</v>
      </c>
      <c r="Y8" s="7">
        <f>$B8 * IFERROR(VLOOKUP("LULUCF|NOx|Asthma symptoms wheeze", US_national_yearly!$D:$AM, 33, FALSE) / VLOOKUP("LULUCF|NOx|Asthma symptoms wheeze", US_national_yearly!$D:$AM, 10, FALSE), 1)</f>
        <v>2.6981622265664362E-3</v>
      </c>
      <c r="Z8" s="7">
        <f>$B8 * IFERROR(VLOOKUP("LULUCF|NOx|Asthma symptoms wheeze", US_national_yearly!$D:$AM, 34, FALSE) / VLOOKUP("LULUCF|NOx|Asthma symptoms wheeze", US_national_yearly!$D:$AM, 10, FALSE), 1)</f>
        <v>2.7105021371407827E-3</v>
      </c>
      <c r="AA8" s="7">
        <f>$B8 * IFERROR(VLOOKUP("LULUCF|NOx|Asthma symptoms wheeze", US_national_yearly!$D:$AM, 35, FALSE) / VLOOKUP("LULUCF|NOx|Asthma symptoms wheeze", US_national_yearly!$D:$AM, 10, FALSE), 1)</f>
        <v>2.7228420477151288E-3</v>
      </c>
      <c r="AB8" s="7">
        <f>$B8 * IFERROR(VLOOKUP("LULUCF|NOx|Asthma symptoms wheeze", US_national_yearly!$D:$AM, 36, FALSE) / VLOOKUP("LULUCF|NOx|Asthma symptoms wheeze", US_national_yearly!$D:$AM, 10, FALSE), 1)</f>
        <v>2.7351819582894753E-3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3.5494632247140543E-5</v>
      </c>
      <c r="C12" s="7">
        <f>$B12 * IFERROR(VLOOKUP("LULUCF|NOx|Respiratory hospital admissions", US_national_yearly!$D:$AM, 11, FALSE) / VLOOKUP("LULUCF|NOx|Respiratory hospital admissions", US_national_yearly!$D:$AM, 10, FALSE), 1)</f>
        <v>3.6380033947287283E-5</v>
      </c>
      <c r="D12" s="7">
        <f>$B12 * IFERROR(VLOOKUP("LULUCF|NOx|Respiratory hospital admissions", US_national_yearly!$D:$AM, 12, FALSE) / VLOOKUP("LULUCF|NOx|Respiratory hospital admissions", US_national_yearly!$D:$AM, 10, FALSE), 1)</f>
        <v>3.7265435647434038E-5</v>
      </c>
      <c r="E12" s="7">
        <f>$B12 * IFERROR(VLOOKUP("LULUCF|NOx|Respiratory hospital admissions", US_national_yearly!$D:$AM, 13, FALSE) / VLOOKUP("LULUCF|NOx|Respiratory hospital admissions", US_national_yearly!$D:$AM, 10, FALSE), 1)</f>
        <v>3.8150837347580792E-5</v>
      </c>
      <c r="F12" s="7">
        <f>$B12 * IFERROR(VLOOKUP("LULUCF|NOx|Respiratory hospital admissions", US_national_yearly!$D:$AM, 14, FALSE) / VLOOKUP("LULUCF|NOx|Respiratory hospital admissions", US_national_yearly!$D:$AM, 10, FALSE), 1)</f>
        <v>3.9036239047727539E-5</v>
      </c>
      <c r="G12" s="7">
        <f>$B12 * IFERROR(VLOOKUP("LULUCF|NOx|Respiratory hospital admissions", US_national_yearly!$D:$AM, 15, FALSE) / VLOOKUP("LULUCF|NOx|Respiratory hospital admissions", US_national_yearly!$D:$AM, 10, FALSE), 1)</f>
        <v>3.988271320855452E-5</v>
      </c>
      <c r="H12" s="7">
        <f>$B12 * IFERROR(VLOOKUP("LULUCF|NOx|Respiratory hospital admissions", US_national_yearly!$D:$AM, 16, FALSE) / VLOOKUP("LULUCF|NOx|Respiratory hospital admissions", US_national_yearly!$D:$AM, 10, FALSE), 1)</f>
        <v>4.0729187369381501E-5</v>
      </c>
      <c r="I12" s="7">
        <f>$B12 * IFERROR(VLOOKUP("LULUCF|NOx|Respiratory hospital admissions", US_national_yearly!$D:$AM, 17, FALSE) / VLOOKUP("LULUCF|NOx|Respiratory hospital admissions", US_national_yearly!$D:$AM, 10, FALSE), 1)</f>
        <v>4.1447861333671282E-5</v>
      </c>
      <c r="J12" s="7">
        <f>$B12 * IFERROR(VLOOKUP("LULUCF|NOx|Respiratory hospital admissions", US_national_yearly!$D:$AM, 18, FALSE) / VLOOKUP("LULUCF|NOx|Respiratory hospital admissions", US_national_yearly!$D:$AM, 10, FALSE), 1)</f>
        <v>4.216653529796105E-5</v>
      </c>
      <c r="K12" s="7">
        <f>$B12 * IFERROR(VLOOKUP("LULUCF|NOx|Respiratory hospital admissions", US_national_yearly!$D:$AM, 19, FALSE) / VLOOKUP("LULUCF|NOx|Respiratory hospital admissions", US_national_yearly!$D:$AM, 10, FALSE), 1)</f>
        <v>4.2885209262250832E-5</v>
      </c>
      <c r="L12" s="7">
        <f>$B12 * IFERROR(VLOOKUP("LULUCF|NOx|Respiratory hospital admissions", US_national_yearly!$D:$AM, 20, FALSE) / VLOOKUP("LULUCF|NOx|Respiratory hospital admissions", US_national_yearly!$D:$AM, 10, FALSE), 1)</f>
        <v>4.3603883226540613E-5</v>
      </c>
      <c r="M12" s="7">
        <f>$B12 * IFERROR(VLOOKUP("LULUCF|NOx|Respiratory hospital admissions", US_national_yearly!$D:$AM, 21, FALSE) / VLOOKUP("LULUCF|NOx|Respiratory hospital admissions", US_national_yearly!$D:$AM, 10, FALSE), 1)</f>
        <v>4.4322557190830394E-5</v>
      </c>
      <c r="N12" s="7">
        <f>$B12 * IFERROR(VLOOKUP("LULUCF|NOx|Respiratory hospital admissions", US_national_yearly!$D:$AM, 22, FALSE) / VLOOKUP("LULUCF|NOx|Respiratory hospital admissions", US_national_yearly!$D:$AM, 10, FALSE), 1)</f>
        <v>4.4803003675366155E-5</v>
      </c>
      <c r="O12" s="7">
        <f>$B12 * IFERROR(VLOOKUP("LULUCF|NOx|Respiratory hospital admissions", US_national_yearly!$D:$AM, 23, FALSE) / VLOOKUP("LULUCF|NOx|Respiratory hospital admissions", US_national_yearly!$D:$AM, 10, FALSE), 1)</f>
        <v>4.5283450159901929E-5</v>
      </c>
      <c r="P12" s="7">
        <f>$B12 * IFERROR(VLOOKUP("LULUCF|NOx|Respiratory hospital admissions", US_national_yearly!$D:$AM, 24, FALSE) / VLOOKUP("LULUCF|NOx|Respiratory hospital admissions", US_national_yearly!$D:$AM, 10, FALSE), 1)</f>
        <v>4.5763896644437696E-5</v>
      </c>
      <c r="Q12" s="7">
        <f>$B12 * IFERROR(VLOOKUP("LULUCF|NOx|Respiratory hospital admissions", US_national_yearly!$D:$AM, 25, FALSE) / VLOOKUP("LULUCF|NOx|Respiratory hospital admissions", US_national_yearly!$D:$AM, 10, FALSE), 1)</f>
        <v>4.624434312897347E-5</v>
      </c>
      <c r="R12" s="7">
        <f>$B12 * IFERROR(VLOOKUP("LULUCF|NOx|Respiratory hospital admissions", US_national_yearly!$D:$AM, 26, FALSE) / VLOOKUP("LULUCF|NOx|Respiratory hospital admissions", US_national_yearly!$D:$AM, 10, FALSE), 1)</f>
        <v>4.6724789613509244E-5</v>
      </c>
      <c r="S12" s="7">
        <f>$B12 * IFERROR(VLOOKUP("LULUCF|NOx|Respiratory hospital admissions", US_national_yearly!$D:$AM, 27, FALSE) / VLOOKUP("LULUCF|NOx|Respiratory hospital admissions", US_national_yearly!$D:$AM, 10, FALSE), 1)</f>
        <v>4.6982199821331761E-5</v>
      </c>
      <c r="T12" s="7">
        <f>$B12 * IFERROR(VLOOKUP("LULUCF|NOx|Respiratory hospital admissions", US_national_yearly!$D:$AM, 28, FALSE) / VLOOKUP("LULUCF|NOx|Respiratory hospital admissions", US_national_yearly!$D:$AM, 10, FALSE), 1)</f>
        <v>4.7239610029154279E-5</v>
      </c>
      <c r="U12" s="7">
        <f>$B12 * IFERROR(VLOOKUP("LULUCF|NOx|Respiratory hospital admissions", US_national_yearly!$D:$AM, 29, FALSE) / VLOOKUP("LULUCF|NOx|Respiratory hospital admissions", US_national_yearly!$D:$AM, 10, FALSE), 1)</f>
        <v>4.7497020236976804E-5</v>
      </c>
      <c r="V12" s="7">
        <f>$B12 * IFERROR(VLOOKUP("LULUCF|NOx|Respiratory hospital admissions", US_national_yearly!$D:$AM, 30, FALSE) / VLOOKUP("LULUCF|NOx|Respiratory hospital admissions", US_national_yearly!$D:$AM, 10, FALSE), 1)</f>
        <v>4.7754430444799315E-5</v>
      </c>
      <c r="W12" s="7">
        <f>$B12 * IFERROR(VLOOKUP("LULUCF|NOx|Respiratory hospital admissions", US_national_yearly!$D:$AM, 31, FALSE) / VLOOKUP("LULUCF|NOx|Respiratory hospital admissions", US_national_yearly!$D:$AM, 10, FALSE), 1)</f>
        <v>4.8011840652621846E-5</v>
      </c>
      <c r="X12" s="7">
        <f>$B12 * IFERROR(VLOOKUP("LULUCF|NOx|Respiratory hospital admissions", US_national_yearly!$D:$AM, 32, FALSE) / VLOOKUP("LULUCF|NOx|Respiratory hospital admissions", US_national_yearly!$D:$AM, 10, FALSE), 1)</f>
        <v>4.8187747087839141E-5</v>
      </c>
      <c r="Y12" s="7">
        <f>$B12 * IFERROR(VLOOKUP("LULUCF|NOx|Respiratory hospital admissions", US_national_yearly!$D:$AM, 33, FALSE) / VLOOKUP("LULUCF|NOx|Respiratory hospital admissions", US_national_yearly!$D:$AM, 10, FALSE), 1)</f>
        <v>4.8363653523056442E-5</v>
      </c>
      <c r="Z12" s="7">
        <f>$B12 * IFERROR(VLOOKUP("LULUCF|NOx|Respiratory hospital admissions", US_national_yearly!$D:$AM, 34, FALSE) / VLOOKUP("LULUCF|NOx|Respiratory hospital admissions", US_national_yearly!$D:$AM, 10, FALSE), 1)</f>
        <v>4.8539559958273743E-5</v>
      </c>
      <c r="AA12" s="7">
        <f>$B12 * IFERROR(VLOOKUP("LULUCF|NOx|Respiratory hospital admissions", US_national_yearly!$D:$AM, 35, FALSE) / VLOOKUP("LULUCF|NOx|Respiratory hospital admissions", US_national_yearly!$D:$AM, 10, FALSE), 1)</f>
        <v>4.8715466393491045E-5</v>
      </c>
      <c r="AB12" s="7">
        <f>$B12 * IFERROR(VLOOKUP("LULUCF|NOx|Respiratory hospital admissions", US_national_yearly!$D:$AM, 36, FALSE) / VLOOKUP("LULUCF|NOx|Respiratory hospital admissions", US_national_yearly!$D:$AM, 10, FALSE), 1)</f>
        <v>4.8891372828708339E-5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1.777260036228957E-4</v>
      </c>
      <c r="C13" s="7">
        <f>$B13 * IFERROR(VLOOKUP("LULUCF|NOx|Non-fatal heart attacks", US_national_yearly!$D:$AM, 11, FALSE) / VLOOKUP("LULUCF|NOx|Non-fatal heart attacks", US_national_yearly!$D:$AM, 10, FALSE), 1)</f>
        <v>1.828070334798745E-4</v>
      </c>
      <c r="D13" s="7">
        <f>$B13 * IFERROR(VLOOKUP("LULUCF|NOx|Non-fatal heart attacks", US_national_yearly!$D:$AM, 12, FALSE) / VLOOKUP("LULUCF|NOx|Non-fatal heart attacks", US_national_yearly!$D:$AM, 10, FALSE), 1)</f>
        <v>1.8788806333685333E-4</v>
      </c>
      <c r="E13" s="7">
        <f>$B13 * IFERROR(VLOOKUP("LULUCF|NOx|Non-fatal heart attacks", US_national_yearly!$D:$AM, 13, FALSE) / VLOOKUP("LULUCF|NOx|Non-fatal heart attacks", US_national_yearly!$D:$AM, 10, FALSE), 1)</f>
        <v>1.9296909319383207E-4</v>
      </c>
      <c r="F13" s="7">
        <f>$B13 * IFERROR(VLOOKUP("LULUCF|NOx|Non-fatal heart attacks", US_national_yearly!$D:$AM, 14, FALSE) / VLOOKUP("LULUCF|NOx|Non-fatal heart attacks", US_national_yearly!$D:$AM, 10, FALSE), 1)</f>
        <v>1.980501230508109E-4</v>
      </c>
      <c r="G13" s="7">
        <f>$B13 * IFERROR(VLOOKUP("LULUCF|NOx|Non-fatal heart attacks", US_national_yearly!$D:$AM, 15, FALSE) / VLOOKUP("LULUCF|NOx|Non-fatal heart attacks", US_national_yearly!$D:$AM, 10, FALSE), 1)</f>
        <v>2.0279833489201382E-4</v>
      </c>
      <c r="H13" s="7">
        <f>$B13 * IFERROR(VLOOKUP("LULUCF|NOx|Non-fatal heart attacks", US_national_yearly!$D:$AM, 16, FALSE) / VLOOKUP("LULUCF|NOx|Non-fatal heart attacks", US_national_yearly!$D:$AM, 10, FALSE), 1)</f>
        <v>2.0754654673321677E-4</v>
      </c>
      <c r="I13" s="7">
        <f>$B13 * IFERROR(VLOOKUP("LULUCF|NOx|Non-fatal heart attacks", US_national_yearly!$D:$AM, 17, FALSE) / VLOOKUP("LULUCF|NOx|Non-fatal heart attacks", US_national_yearly!$D:$AM, 10, FALSE), 1)</f>
        <v>2.1128996899756722E-4</v>
      </c>
      <c r="J13" s="7">
        <f>$B13 * IFERROR(VLOOKUP("LULUCF|NOx|Non-fatal heart attacks", US_national_yearly!$D:$AM, 18, FALSE) / VLOOKUP("LULUCF|NOx|Non-fatal heart attacks", US_national_yearly!$D:$AM, 10, FALSE), 1)</f>
        <v>2.1503339126191767E-4</v>
      </c>
      <c r="K13" s="7">
        <f>$B13 * IFERROR(VLOOKUP("LULUCF|NOx|Non-fatal heart attacks", US_national_yearly!$D:$AM, 19, FALSE) / VLOOKUP("LULUCF|NOx|Non-fatal heart attacks", US_national_yearly!$D:$AM, 10, FALSE), 1)</f>
        <v>2.1877681352626798E-4</v>
      </c>
      <c r="L13" s="7">
        <f>$B13 * IFERROR(VLOOKUP("LULUCF|NOx|Non-fatal heart attacks", US_national_yearly!$D:$AM, 20, FALSE) / VLOOKUP("LULUCF|NOx|Non-fatal heart attacks", US_national_yearly!$D:$AM, 10, FALSE), 1)</f>
        <v>2.2252023579061856E-4</v>
      </c>
      <c r="M13" s="7">
        <f>$B13 * IFERROR(VLOOKUP("LULUCF|NOx|Non-fatal heart attacks", US_national_yearly!$D:$AM, 21, FALSE) / VLOOKUP("LULUCF|NOx|Non-fatal heart attacks", US_national_yearly!$D:$AM, 10, FALSE), 1)</f>
        <v>2.2626365805496895E-4</v>
      </c>
      <c r="N13" s="7">
        <f>$B13 * IFERROR(VLOOKUP("LULUCF|NOx|Non-fatal heart attacks", US_national_yearly!$D:$AM, 22, FALSE) / VLOOKUP("LULUCF|NOx|Non-fatal heart attacks", US_national_yearly!$D:$AM, 10, FALSE), 1)</f>
        <v>2.2851581441438848E-4</v>
      </c>
      <c r="O13" s="7">
        <f>$B13 * IFERROR(VLOOKUP("LULUCF|NOx|Non-fatal heart attacks", US_national_yearly!$D:$AM, 23, FALSE) / VLOOKUP("LULUCF|NOx|Non-fatal heart attacks", US_national_yearly!$D:$AM, 10, FALSE), 1)</f>
        <v>2.3076797077380801E-4</v>
      </c>
      <c r="P13" s="7">
        <f>$B13 * IFERROR(VLOOKUP("LULUCF|NOx|Non-fatal heart attacks", US_national_yearly!$D:$AM, 24, FALSE) / VLOOKUP("LULUCF|NOx|Non-fatal heart attacks", US_national_yearly!$D:$AM, 10, FALSE), 1)</f>
        <v>2.3302012713322749E-4</v>
      </c>
      <c r="Q13" s="7">
        <f>$B13 * IFERROR(VLOOKUP("LULUCF|NOx|Non-fatal heart attacks", US_national_yearly!$D:$AM, 25, FALSE) / VLOOKUP("LULUCF|NOx|Non-fatal heart attacks", US_national_yearly!$D:$AM, 10, FALSE), 1)</f>
        <v>2.3527228349264708E-4</v>
      </c>
      <c r="R13" s="7">
        <f>$B13 * IFERROR(VLOOKUP("LULUCF|NOx|Non-fatal heart attacks", US_national_yearly!$D:$AM, 26, FALSE) / VLOOKUP("LULUCF|NOx|Non-fatal heart attacks", US_national_yearly!$D:$AM, 10, FALSE), 1)</f>
        <v>2.3752443985206661E-4</v>
      </c>
      <c r="S13" s="7">
        <f>$B13 * IFERROR(VLOOKUP("LULUCF|NOx|Non-fatal heart attacks", US_national_yearly!$D:$AM, 27, FALSE) / VLOOKUP("LULUCF|NOx|Non-fatal heart attacks", US_national_yearly!$D:$AM, 10, FALSE), 1)</f>
        <v>2.3854603355345051E-4</v>
      </c>
      <c r="T13" s="7">
        <f>$B13 * IFERROR(VLOOKUP("LULUCF|NOx|Non-fatal heart attacks", US_national_yearly!$D:$AM, 28, FALSE) / VLOOKUP("LULUCF|NOx|Non-fatal heart attacks", US_national_yearly!$D:$AM, 10, FALSE), 1)</f>
        <v>2.3956762725483441E-4</v>
      </c>
      <c r="U13" s="7">
        <f>$B13 * IFERROR(VLOOKUP("LULUCF|NOx|Non-fatal heart attacks", US_national_yearly!$D:$AM, 29, FALSE) / VLOOKUP("LULUCF|NOx|Non-fatal heart attacks", US_national_yearly!$D:$AM, 10, FALSE), 1)</f>
        <v>2.4058922095621831E-4</v>
      </c>
      <c r="V13" s="7">
        <f>$B13 * IFERROR(VLOOKUP("LULUCF|NOx|Non-fatal heart attacks", US_national_yearly!$D:$AM, 30, FALSE) / VLOOKUP("LULUCF|NOx|Non-fatal heart attacks", US_national_yearly!$D:$AM, 10, FALSE), 1)</f>
        <v>2.4161081465760224E-4</v>
      </c>
      <c r="W13" s="7">
        <f>$B13 * IFERROR(VLOOKUP("LULUCF|NOx|Non-fatal heart attacks", US_national_yearly!$D:$AM, 31, FALSE) / VLOOKUP("LULUCF|NOx|Non-fatal heart attacks", US_national_yearly!$D:$AM, 10, FALSE), 1)</f>
        <v>2.4263240835898614E-4</v>
      </c>
      <c r="X13" s="7">
        <f>$B13 * IFERROR(VLOOKUP("LULUCF|NOx|Non-fatal heart attacks", US_national_yearly!$D:$AM, 32, FALSE) / VLOOKUP("LULUCF|NOx|Non-fatal heart attacks", US_national_yearly!$D:$AM, 10, FALSE), 1)</f>
        <v>2.4331509102468328E-4</v>
      </c>
      <c r="Y13" s="7">
        <f>$B13 * IFERROR(VLOOKUP("LULUCF|NOx|Non-fatal heart attacks", US_national_yearly!$D:$AM, 33, FALSE) / VLOOKUP("LULUCF|NOx|Non-fatal heart attacks", US_national_yearly!$D:$AM, 10, FALSE), 1)</f>
        <v>2.4399777369038048E-4</v>
      </c>
      <c r="Z13" s="7">
        <f>$B13 * IFERROR(VLOOKUP("LULUCF|NOx|Non-fatal heart attacks", US_national_yearly!$D:$AM, 34, FALSE) / VLOOKUP("LULUCF|NOx|Non-fatal heart attacks", US_national_yearly!$D:$AM, 10, FALSE), 1)</f>
        <v>2.446804563560776E-4</v>
      </c>
      <c r="AA13" s="7">
        <f>$B13 * IFERROR(VLOOKUP("LULUCF|NOx|Non-fatal heart attacks", US_national_yearly!$D:$AM, 35, FALSE) / VLOOKUP("LULUCF|NOx|Non-fatal heart attacks", US_national_yearly!$D:$AM, 10, FALSE), 1)</f>
        <v>2.4536313902177474E-4</v>
      </c>
      <c r="AB13" s="7">
        <f>$B13 * IFERROR(VLOOKUP("LULUCF|NOx|Non-fatal heart attacks", US_national_yearly!$D:$AM, 36, FALSE) / VLOOKUP("LULUCF|NOx|Non-fatal heart attacks", US_national_yearly!$D:$AM, 10, FALSE), 1)</f>
        <v>2.4604582168747194E-4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0.14781093313842605</v>
      </c>
      <c r="C14" s="7">
        <f>$B14 * IFERROR(VLOOKUP("LULUCF|NOx|Minor restricted activity days", US_national_yearly!$D:$AM, 11, FALSE) / VLOOKUP("LULUCF|NOx|Minor restricted activity days", US_national_yearly!$D:$AM, 10, FALSE), 1)</f>
        <v>0.14803755210435443</v>
      </c>
      <c r="D14" s="7">
        <f>$B14 * IFERROR(VLOOKUP("LULUCF|NOx|Minor restricted activity days", US_national_yearly!$D:$AM, 12, FALSE) / VLOOKUP("LULUCF|NOx|Minor restricted activity days", US_national_yearly!$D:$AM, 10, FALSE), 1)</f>
        <v>0.14826417107028284</v>
      </c>
      <c r="E14" s="7">
        <f>$B14 * IFERROR(VLOOKUP("LULUCF|NOx|Minor restricted activity days", US_national_yearly!$D:$AM, 13, FALSE) / VLOOKUP("LULUCF|NOx|Minor restricted activity days", US_national_yearly!$D:$AM, 10, FALSE), 1)</f>
        <v>0.14849079003621124</v>
      </c>
      <c r="F14" s="7">
        <f>$B14 * IFERROR(VLOOKUP("LULUCF|NOx|Minor restricted activity days", US_national_yearly!$D:$AM, 14, FALSE) / VLOOKUP("LULUCF|NOx|Minor restricted activity days", US_national_yearly!$D:$AM, 10, FALSE), 1)</f>
        <v>0.14871740900213962</v>
      </c>
      <c r="G14" s="7">
        <f>$B14 * IFERROR(VLOOKUP("LULUCF|NOx|Minor restricted activity days", US_national_yearly!$D:$AM, 15, FALSE) / VLOOKUP("LULUCF|NOx|Minor restricted activity days", US_national_yearly!$D:$AM, 10, FALSE), 1)</f>
        <v>0.14912662891465739</v>
      </c>
      <c r="H14" s="7">
        <f>$B14 * IFERROR(VLOOKUP("LULUCF|NOx|Minor restricted activity days", US_national_yearly!$D:$AM, 16, FALSE) / VLOOKUP("LULUCF|NOx|Minor restricted activity days", US_national_yearly!$D:$AM, 10, FALSE), 1)</f>
        <v>0.14953584882717516</v>
      </c>
      <c r="I14" s="7">
        <f>$B14 * IFERROR(VLOOKUP("LULUCF|NOx|Minor restricted activity days", US_national_yearly!$D:$AM, 17, FALSE) / VLOOKUP("LULUCF|NOx|Minor restricted activity days", US_national_yearly!$D:$AM, 10, FALSE), 1)</f>
        <v>0.15033626679383014</v>
      </c>
      <c r="J14" s="7">
        <f>$B14 * IFERROR(VLOOKUP("LULUCF|NOx|Minor restricted activity days", US_national_yearly!$D:$AM, 18, FALSE) / VLOOKUP("LULUCF|NOx|Minor restricted activity days", US_national_yearly!$D:$AM, 10, FALSE), 1)</f>
        <v>0.15113668476048508</v>
      </c>
      <c r="K14" s="7">
        <f>$B14 * IFERROR(VLOOKUP("LULUCF|NOx|Minor restricted activity days", US_national_yearly!$D:$AM, 19, FALSE) / VLOOKUP("LULUCF|NOx|Minor restricted activity days", US_national_yearly!$D:$AM, 10, FALSE), 1)</f>
        <v>0.15193710272714006</v>
      </c>
      <c r="L14" s="7">
        <f>$B14 * IFERROR(VLOOKUP("LULUCF|NOx|Minor restricted activity days", US_national_yearly!$D:$AM, 20, FALSE) / VLOOKUP("LULUCF|NOx|Minor restricted activity days", US_national_yearly!$D:$AM, 10, FALSE), 1)</f>
        <v>0.15273752069379501</v>
      </c>
      <c r="M14" s="7">
        <f>$B14 * IFERROR(VLOOKUP("LULUCF|NOx|Minor restricted activity days", US_national_yearly!$D:$AM, 21, FALSE) / VLOOKUP("LULUCF|NOx|Minor restricted activity days", US_national_yearly!$D:$AM, 10, FALSE), 1)</f>
        <v>0.15353793866044999</v>
      </c>
      <c r="N14" s="7">
        <f>$B14 * IFERROR(VLOOKUP("LULUCF|NOx|Minor restricted activity days", US_national_yearly!$D:$AM, 22, FALSE) / VLOOKUP("LULUCF|NOx|Minor restricted activity days", US_national_yearly!$D:$AM, 10, FALSE), 1)</f>
        <v>0.15468395569785695</v>
      </c>
      <c r="O14" s="7">
        <f>$B14 * IFERROR(VLOOKUP("LULUCF|NOx|Minor restricted activity days", US_national_yearly!$D:$AM, 23, FALSE) / VLOOKUP("LULUCF|NOx|Minor restricted activity days", US_national_yearly!$D:$AM, 10, FALSE), 1)</f>
        <v>0.15582997273526392</v>
      </c>
      <c r="P14" s="7">
        <f>$B14 * IFERROR(VLOOKUP("LULUCF|NOx|Minor restricted activity days", US_national_yearly!$D:$AM, 24, FALSE) / VLOOKUP("LULUCF|NOx|Minor restricted activity days", US_national_yearly!$D:$AM, 10, FALSE), 1)</f>
        <v>0.15697598977267091</v>
      </c>
      <c r="Q14" s="7">
        <f>$B14 * IFERROR(VLOOKUP("LULUCF|NOx|Minor restricted activity days", US_national_yearly!$D:$AM, 25, FALSE) / VLOOKUP("LULUCF|NOx|Minor restricted activity days", US_national_yearly!$D:$AM, 10, FALSE), 1)</f>
        <v>0.15812200681007788</v>
      </c>
      <c r="R14" s="7">
        <f>$B14 * IFERROR(VLOOKUP("LULUCF|NOx|Minor restricted activity days", US_national_yearly!$D:$AM, 26, FALSE) / VLOOKUP("LULUCF|NOx|Minor restricted activity days", US_national_yearly!$D:$AM, 10, FALSE), 1)</f>
        <v>0.15926802384748484</v>
      </c>
      <c r="S14" s="7">
        <f>$B14 * IFERROR(VLOOKUP("LULUCF|NOx|Minor restricted activity days", US_national_yearly!$D:$AM, 27, FALSE) / VLOOKUP("LULUCF|NOx|Minor restricted activity days", US_national_yearly!$D:$AM, 10, FALSE), 1)</f>
        <v>0.16041379993726257</v>
      </c>
      <c r="T14" s="7">
        <f>$B14 * IFERROR(VLOOKUP("LULUCF|NOx|Minor restricted activity days", US_national_yearly!$D:$AM, 28, FALSE) / VLOOKUP("LULUCF|NOx|Minor restricted activity days", US_national_yearly!$D:$AM, 10, FALSE), 1)</f>
        <v>0.16155957602704027</v>
      </c>
      <c r="U14" s="7">
        <f>$B14 * IFERROR(VLOOKUP("LULUCF|NOx|Minor restricted activity days", US_national_yearly!$D:$AM, 29, FALSE) / VLOOKUP("LULUCF|NOx|Minor restricted activity days", US_national_yearly!$D:$AM, 10, FALSE), 1)</f>
        <v>0.162705352116818</v>
      </c>
      <c r="V14" s="7">
        <f>$B14 * IFERROR(VLOOKUP("LULUCF|NOx|Minor restricted activity days", US_national_yearly!$D:$AM, 30, FALSE) / VLOOKUP("LULUCF|NOx|Minor restricted activity days", US_national_yearly!$D:$AM, 10, FALSE), 1)</f>
        <v>0.16385112820659573</v>
      </c>
      <c r="W14" s="7">
        <f>$B14 * IFERROR(VLOOKUP("LULUCF|NOx|Minor restricted activity days", US_national_yearly!$D:$AM, 31, FALSE) / VLOOKUP("LULUCF|NOx|Minor restricted activity days", US_national_yearly!$D:$AM, 10, FALSE), 1)</f>
        <v>0.1649969042963734</v>
      </c>
      <c r="X14" s="7">
        <f>$B14 * IFERROR(VLOOKUP("LULUCF|NOx|Minor restricted activity days", US_national_yearly!$D:$AM, 32, FALSE) / VLOOKUP("LULUCF|NOx|Minor restricted activity days", US_national_yearly!$D:$AM, 10, FALSE), 1)</f>
        <v>0.1659656143309895</v>
      </c>
      <c r="Y14" s="7">
        <f>$B14 * IFERROR(VLOOKUP("LULUCF|NOx|Minor restricted activity days", US_national_yearly!$D:$AM, 33, FALSE) / VLOOKUP("LULUCF|NOx|Minor restricted activity days", US_national_yearly!$D:$AM, 10, FALSE), 1)</f>
        <v>0.16693432436560557</v>
      </c>
      <c r="Z14" s="7">
        <f>$B14 * IFERROR(VLOOKUP("LULUCF|NOx|Minor restricted activity days", US_national_yearly!$D:$AM, 34, FALSE) / VLOOKUP("LULUCF|NOx|Minor restricted activity days", US_national_yearly!$D:$AM, 10, FALSE), 1)</f>
        <v>0.16790303440022164</v>
      </c>
      <c r="AA14" s="7">
        <f>$B14 * IFERROR(VLOOKUP("LULUCF|NOx|Minor restricted activity days", US_national_yearly!$D:$AM, 35, FALSE) / VLOOKUP("LULUCF|NOx|Minor restricted activity days", US_national_yearly!$D:$AM, 10, FALSE), 1)</f>
        <v>0.16887174443483771</v>
      </c>
      <c r="AB14" s="7">
        <f>$B14 * IFERROR(VLOOKUP("LULUCF|NOx|Minor restricted activity days", US_national_yearly!$D:$AM, 36, FALSE) / VLOOKUP("LULUCF|NOx|Minor restricted activity days", US_national_yearly!$D:$AM, 10, FALSE), 1)</f>
        <v>0.16984045446945378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2.5079529851918005E-2</v>
      </c>
      <c r="C15" s="7">
        <f>$B15 * IFERROR(VLOOKUP("LULUCF|NOx|Work loss days", US_national_yearly!$D:$AM, 11, FALSE) / VLOOKUP("LULUCF|NOx|Work loss days", US_national_yearly!$D:$AM, 10, FALSE), 1)</f>
        <v>2.5135317916880118E-2</v>
      </c>
      <c r="D15" s="7">
        <f>$B15 * IFERROR(VLOOKUP("LULUCF|NOx|Work loss days", US_national_yearly!$D:$AM, 12, FALSE) / VLOOKUP("LULUCF|NOx|Work loss days", US_national_yearly!$D:$AM, 10, FALSE), 1)</f>
        <v>2.5191105981842234E-2</v>
      </c>
      <c r="E15" s="7">
        <f>$B15 * IFERROR(VLOOKUP("LULUCF|NOx|Work loss days", US_national_yearly!$D:$AM, 13, FALSE) / VLOOKUP("LULUCF|NOx|Work loss days", US_national_yearly!$D:$AM, 10, FALSE), 1)</f>
        <v>2.5246894046804344E-2</v>
      </c>
      <c r="F15" s="7">
        <f>$B15 * IFERROR(VLOOKUP("LULUCF|NOx|Work loss days", US_national_yearly!$D:$AM, 14, FALSE) / VLOOKUP("LULUCF|NOx|Work loss days", US_national_yearly!$D:$AM, 10, FALSE), 1)</f>
        <v>2.5302682111766464E-2</v>
      </c>
      <c r="G15" s="7">
        <f>$B15 * IFERROR(VLOOKUP("LULUCF|NOx|Work loss days", US_national_yearly!$D:$AM, 15, FALSE) / VLOOKUP("LULUCF|NOx|Work loss days", US_national_yearly!$D:$AM, 10, FALSE), 1)</f>
        <v>2.5384133162508111E-2</v>
      </c>
      <c r="H15" s="7">
        <f>$B15 * IFERROR(VLOOKUP("LULUCF|NOx|Work loss days", US_national_yearly!$D:$AM, 16, FALSE) / VLOOKUP("LULUCF|NOx|Work loss days", US_national_yearly!$D:$AM, 10, FALSE), 1)</f>
        <v>2.5465584213249768E-2</v>
      </c>
      <c r="I15" s="7">
        <f>$B15 * IFERROR(VLOOKUP("LULUCF|NOx|Work loss days", US_national_yearly!$D:$AM, 17, FALSE) / VLOOKUP("LULUCF|NOx|Work loss days", US_national_yearly!$D:$AM, 10, FALSE), 1)</f>
        <v>2.5597530501112443E-2</v>
      </c>
      <c r="J15" s="7">
        <f>$B15 * IFERROR(VLOOKUP("LULUCF|NOx|Work loss days", US_national_yearly!$D:$AM, 18, FALSE) / VLOOKUP("LULUCF|NOx|Work loss days", US_national_yearly!$D:$AM, 10, FALSE), 1)</f>
        <v>2.5729476788975129E-2</v>
      </c>
      <c r="K15" s="7">
        <f>$B15 * IFERROR(VLOOKUP("LULUCF|NOx|Work loss days", US_national_yearly!$D:$AM, 19, FALSE) / VLOOKUP("LULUCF|NOx|Work loss days", US_national_yearly!$D:$AM, 10, FALSE), 1)</f>
        <v>2.5861423076837805E-2</v>
      </c>
      <c r="L15" s="7">
        <f>$B15 * IFERROR(VLOOKUP("LULUCF|NOx|Work loss days", US_national_yearly!$D:$AM, 20, FALSE) / VLOOKUP("LULUCF|NOx|Work loss days", US_national_yearly!$D:$AM, 10, FALSE), 1)</f>
        <v>2.5993369364700484E-2</v>
      </c>
      <c r="M15" s="7">
        <f>$B15 * IFERROR(VLOOKUP("LULUCF|NOx|Work loss days", US_national_yearly!$D:$AM, 21, FALSE) / VLOOKUP("LULUCF|NOx|Work loss days", US_national_yearly!$D:$AM, 10, FALSE), 1)</f>
        <v>2.6125315652563166E-2</v>
      </c>
      <c r="N15" s="7">
        <f>$B15 * IFERROR(VLOOKUP("LULUCF|NOx|Work loss days", US_national_yearly!$D:$AM, 22, FALSE) / VLOOKUP("LULUCF|NOx|Work loss days", US_national_yearly!$D:$AM, 10, FALSE), 1)</f>
        <v>2.6297035649631571E-2</v>
      </c>
      <c r="O15" s="7">
        <f>$B15 * IFERROR(VLOOKUP("LULUCF|NOx|Work loss days", US_national_yearly!$D:$AM, 23, FALSE) / VLOOKUP("LULUCF|NOx|Work loss days", US_national_yearly!$D:$AM, 10, FALSE), 1)</f>
        <v>2.6468755646699978E-2</v>
      </c>
      <c r="P15" s="7">
        <f>$B15 * IFERROR(VLOOKUP("LULUCF|NOx|Work loss days", US_national_yearly!$D:$AM, 24, FALSE) / VLOOKUP("LULUCF|NOx|Work loss days", US_national_yearly!$D:$AM, 10, FALSE), 1)</f>
        <v>2.6640475643768383E-2</v>
      </c>
      <c r="Q15" s="7">
        <f>$B15 * IFERROR(VLOOKUP("LULUCF|NOx|Work loss days", US_national_yearly!$D:$AM, 25, FALSE) / VLOOKUP("LULUCF|NOx|Work loss days", US_national_yearly!$D:$AM, 10, FALSE), 1)</f>
        <v>2.6812195640836783E-2</v>
      </c>
      <c r="R15" s="7">
        <f>$B15 * IFERROR(VLOOKUP("LULUCF|NOx|Work loss days", US_national_yearly!$D:$AM, 26, FALSE) / VLOOKUP("LULUCF|NOx|Work loss days", US_national_yearly!$D:$AM, 10, FALSE), 1)</f>
        <v>2.6983915637905198E-2</v>
      </c>
      <c r="S15" s="7">
        <f>$B15 * IFERROR(VLOOKUP("LULUCF|NOx|Work loss days", US_national_yearly!$D:$AM, 27, FALSE) / VLOOKUP("LULUCF|NOx|Work loss days", US_national_yearly!$D:$AM, 10, FALSE), 1)</f>
        <v>2.7175361478173399E-2</v>
      </c>
      <c r="T15" s="7">
        <f>$B15 * IFERROR(VLOOKUP("LULUCF|NOx|Work loss days", US_national_yearly!$D:$AM, 28, FALSE) / VLOOKUP("LULUCF|NOx|Work loss days", US_national_yearly!$D:$AM, 10, FALSE), 1)</f>
        <v>2.7366807318441603E-2</v>
      </c>
      <c r="U15" s="7">
        <f>$B15 * IFERROR(VLOOKUP("LULUCF|NOx|Work loss days", US_national_yearly!$D:$AM, 29, FALSE) / VLOOKUP("LULUCF|NOx|Work loss days", US_national_yearly!$D:$AM, 10, FALSE), 1)</f>
        <v>2.75582531587098E-2</v>
      </c>
      <c r="V15" s="7">
        <f>$B15 * IFERROR(VLOOKUP("LULUCF|NOx|Work loss days", US_national_yearly!$D:$AM, 30, FALSE) / VLOOKUP("LULUCF|NOx|Work loss days", US_national_yearly!$D:$AM, 10, FALSE), 1)</f>
        <v>2.7749698998978004E-2</v>
      </c>
      <c r="W15" s="7">
        <f>$B15 * IFERROR(VLOOKUP("LULUCF|NOx|Work loss days", US_national_yearly!$D:$AM, 31, FALSE) / VLOOKUP("LULUCF|NOx|Work loss days", US_national_yearly!$D:$AM, 10, FALSE), 1)</f>
        <v>2.7941144839246205E-2</v>
      </c>
      <c r="X15" s="7">
        <f>$B15 * IFERROR(VLOOKUP("LULUCF|NOx|Work loss days", US_national_yearly!$D:$AM, 32, FALSE) / VLOOKUP("LULUCF|NOx|Work loss days", US_national_yearly!$D:$AM, 10, FALSE), 1)</f>
        <v>2.8107309621330807E-2</v>
      </c>
      <c r="Y15" s="7">
        <f>$B15 * IFERROR(VLOOKUP("LULUCF|NOx|Work loss days", US_national_yearly!$D:$AM, 33, FALSE) / VLOOKUP("LULUCF|NOx|Work loss days", US_national_yearly!$D:$AM, 10, FALSE), 1)</f>
        <v>2.8273474403415405E-2</v>
      </c>
      <c r="Z15" s="7">
        <f>$B15 * IFERROR(VLOOKUP("LULUCF|NOx|Work loss days", US_national_yearly!$D:$AM, 34, FALSE) / VLOOKUP("LULUCF|NOx|Work loss days", US_national_yearly!$D:$AM, 10, FALSE), 1)</f>
        <v>2.8439639185500007E-2</v>
      </c>
      <c r="AA15" s="7">
        <f>$B15 * IFERROR(VLOOKUP("LULUCF|NOx|Work loss days", US_national_yearly!$D:$AM, 35, FALSE) / VLOOKUP("LULUCF|NOx|Work loss days", US_national_yearly!$D:$AM, 10, FALSE), 1)</f>
        <v>2.8605803967584605E-2</v>
      </c>
      <c r="AB15" s="7">
        <f>$B15 * IFERROR(VLOOKUP("LULUCF|NOx|Work loss days", US_national_yearly!$D:$AM, 36, FALSE) / VLOOKUP("LULUCF|NOx|Work loss days", US_national_yearly!$D:$AM, 10, FALSE), 1)</f>
        <v>2.8771968749669204E-2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4.317204534836505E-5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4.4440640001375201E-5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4.5709234654385338E-5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4.6977829307395482E-5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4.8246423960405633E-5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4.9451379087433859E-5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5.0656334214462099E-5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5.1669608519251579E-5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5.2682882824041059E-5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5.3696157128830538E-5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5.4709431433620018E-5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5.5722705738409511E-5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5.6356339735821439E-5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5.6989973733233381E-5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5.7623607730645309E-5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5.825724172805725E-5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5.8890875725469178E-5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5.9179985518594091E-5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5.9469095311719003E-5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5.9758205104843902E-5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6.0047314897968815E-5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6.033642469109372E-5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6.049732431429291E-5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6.0658223937492093E-5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6.0819123560691282E-5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6.0980023183890472E-5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6.1140922807089655E-5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4.6032463057914648E-4</v>
      </c>
      <c r="C2" s="7">
        <f>$B2 * IFERROR(VLOOKUP("LULUCF|SO2|Premature mortality", US_national_yearly!$D:$AM, 11, FALSE) / VLOOKUP("LULUCF|SO2|Premature mortality", US_national_yearly!$D:$AM, 10, FALSE), 1)</f>
        <v>4.661543929601471E-4</v>
      </c>
      <c r="D2" s="7">
        <f>$B2 * IFERROR(VLOOKUP("LULUCF|SO2|Premature mortality", US_national_yearly!$D:$AM, 12, FALSE) / VLOOKUP("LULUCF|SO2|Premature mortality", US_national_yearly!$D:$AM, 10, FALSE), 1)</f>
        <v>4.7198415534114782E-4</v>
      </c>
      <c r="E2" s="7">
        <f>$B2 * IFERROR(VLOOKUP("LULUCF|SO2|Premature mortality", US_national_yearly!$D:$AM, 13, FALSE) / VLOOKUP("LULUCF|SO2|Premature mortality", US_national_yearly!$D:$AM, 10, FALSE), 1)</f>
        <v>4.7781391772214844E-4</v>
      </c>
      <c r="F2" s="7">
        <f>$B2 * IFERROR(VLOOKUP("LULUCF|SO2|Premature mortality", US_national_yearly!$D:$AM, 14, FALSE) / VLOOKUP("LULUCF|SO2|Premature mortality", US_national_yearly!$D:$AM, 10, FALSE), 1)</f>
        <v>4.8364368010314905E-4</v>
      </c>
      <c r="G2" s="7">
        <f>$B2 * IFERROR(VLOOKUP("LULUCF|SO2|Premature mortality", US_national_yearly!$D:$AM, 15, FALSE) / VLOOKUP("LULUCF|SO2|Premature mortality", US_national_yearly!$D:$AM, 10, FALSE), 1)</f>
        <v>4.9487730181624844E-4</v>
      </c>
      <c r="H2" s="7">
        <f>$B2 * IFERROR(VLOOKUP("LULUCF|SO2|Premature mortality", US_national_yearly!$D:$AM, 16, FALSE) / VLOOKUP("LULUCF|SO2|Premature mortality", US_national_yearly!$D:$AM, 10, FALSE), 1)</f>
        <v>5.0611092352934766E-4</v>
      </c>
      <c r="I2" s="7">
        <f>$B2 * IFERROR(VLOOKUP("LULUCF|SO2|Premature mortality", US_national_yearly!$D:$AM, 17, FALSE) / VLOOKUP("LULUCF|SO2|Premature mortality", US_national_yearly!$D:$AM, 10, FALSE), 1)</f>
        <v>5.1353478908651874E-4</v>
      </c>
      <c r="J2" s="7">
        <f>$B2 * IFERROR(VLOOKUP("LULUCF|SO2|Premature mortality", US_national_yearly!$D:$AM, 18, FALSE) / VLOOKUP("LULUCF|SO2|Premature mortality", US_national_yearly!$D:$AM, 10, FALSE), 1)</f>
        <v>5.2095865464368981E-4</v>
      </c>
      <c r="K2" s="7">
        <f>$B2 * IFERROR(VLOOKUP("LULUCF|SO2|Premature mortality", US_national_yearly!$D:$AM, 19, FALSE) / VLOOKUP("LULUCF|SO2|Premature mortality", US_national_yearly!$D:$AM, 10, FALSE), 1)</f>
        <v>5.2838252020086078E-4</v>
      </c>
      <c r="L2" s="7">
        <f>$B2 * IFERROR(VLOOKUP("LULUCF|SO2|Premature mortality", US_national_yearly!$D:$AM, 20, FALSE) / VLOOKUP("LULUCF|SO2|Premature mortality", US_national_yearly!$D:$AM, 10, FALSE), 1)</f>
        <v>5.3580638575803185E-4</v>
      </c>
      <c r="M2" s="7">
        <f>$B2 * IFERROR(VLOOKUP("LULUCF|SO2|Premature mortality", US_national_yearly!$D:$AM, 21, FALSE) / VLOOKUP("LULUCF|SO2|Premature mortality", US_national_yearly!$D:$AM, 10, FALSE), 1)</f>
        <v>5.4323025131520304E-4</v>
      </c>
      <c r="N2" s="7">
        <f>$B2 * IFERROR(VLOOKUP("LULUCF|SO2|Premature mortality", US_national_yearly!$D:$AM, 22, FALSE) / VLOOKUP("LULUCF|SO2|Premature mortality", US_national_yearly!$D:$AM, 10, FALSE), 1)</f>
        <v>5.490308571708658E-4</v>
      </c>
      <c r="O2" s="7">
        <f>$B2 * IFERROR(VLOOKUP("LULUCF|SO2|Premature mortality", US_national_yearly!$D:$AM, 23, FALSE) / VLOOKUP("LULUCF|SO2|Premature mortality", US_national_yearly!$D:$AM, 10, FALSE), 1)</f>
        <v>5.5483146302652867E-4</v>
      </c>
      <c r="P2" s="7">
        <f>$B2 * IFERROR(VLOOKUP("LULUCF|SO2|Premature mortality", US_national_yearly!$D:$AM, 24, FALSE) / VLOOKUP("LULUCF|SO2|Premature mortality", US_national_yearly!$D:$AM, 10, FALSE), 1)</f>
        <v>5.6063206888219154E-4</v>
      </c>
      <c r="Q2" s="7">
        <f>$B2 * IFERROR(VLOOKUP("LULUCF|SO2|Premature mortality", US_national_yearly!$D:$AM, 25, FALSE) / VLOOKUP("LULUCF|SO2|Premature mortality", US_national_yearly!$D:$AM, 10, FALSE), 1)</f>
        <v>5.6643267473785431E-4</v>
      </c>
      <c r="R2" s="7">
        <f>$B2 * IFERROR(VLOOKUP("LULUCF|SO2|Premature mortality", US_national_yearly!$D:$AM, 26, FALSE) / VLOOKUP("LULUCF|SO2|Premature mortality", US_national_yearly!$D:$AM, 10, FALSE), 1)</f>
        <v>5.7223328059351707E-4</v>
      </c>
      <c r="S2" s="7">
        <f>$B2 * IFERROR(VLOOKUP("LULUCF|SO2|Premature mortality", US_national_yearly!$D:$AM, 27, FALSE) / VLOOKUP("LULUCF|SO2|Premature mortality", US_national_yearly!$D:$AM, 10, FALSE), 1)</f>
        <v>5.7533958226544724E-4</v>
      </c>
      <c r="T2" s="7">
        <f>$B2 * IFERROR(VLOOKUP("LULUCF|SO2|Premature mortality", US_national_yearly!$D:$AM, 28, FALSE) / VLOOKUP("LULUCF|SO2|Premature mortality", US_national_yearly!$D:$AM, 10, FALSE), 1)</f>
        <v>5.7844588393737731E-4</v>
      </c>
      <c r="U2" s="7">
        <f>$B2 * IFERROR(VLOOKUP("LULUCF|SO2|Premature mortality", US_national_yearly!$D:$AM, 29, FALSE) / VLOOKUP("LULUCF|SO2|Premature mortality", US_national_yearly!$D:$AM, 10, FALSE), 1)</f>
        <v>5.8155218560930748E-4</v>
      </c>
      <c r="V2" s="7">
        <f>$B2 * IFERROR(VLOOKUP("LULUCF|SO2|Premature mortality", US_national_yearly!$D:$AM, 30, FALSE) / VLOOKUP("LULUCF|SO2|Premature mortality", US_national_yearly!$D:$AM, 10, FALSE), 1)</f>
        <v>5.8465848728123755E-4</v>
      </c>
      <c r="W2" s="7">
        <f>$B2 * IFERROR(VLOOKUP("LULUCF|SO2|Premature mortality", US_national_yearly!$D:$AM, 31, FALSE) / VLOOKUP("LULUCF|SO2|Premature mortality", US_national_yearly!$D:$AM, 10, FALSE), 1)</f>
        <v>5.8776478895316772E-4</v>
      </c>
      <c r="X2" s="7">
        <f>$B2 * IFERROR(VLOOKUP("LULUCF|SO2|Premature mortality", US_national_yearly!$D:$AM, 32, FALSE) / VLOOKUP("LULUCF|SO2|Premature mortality", US_national_yearly!$D:$AM, 10, FALSE), 1)</f>
        <v>5.8839584363928259E-4</v>
      </c>
      <c r="Y2" s="7">
        <f>$B2 * IFERROR(VLOOKUP("LULUCF|SO2|Premature mortality", US_national_yearly!$D:$AM, 33, FALSE) / VLOOKUP("LULUCF|SO2|Premature mortality", US_national_yearly!$D:$AM, 10, FALSE), 1)</f>
        <v>5.8902689832539756E-4</v>
      </c>
      <c r="Z2" s="7">
        <f>$B2 * IFERROR(VLOOKUP("LULUCF|SO2|Premature mortality", US_national_yearly!$D:$AM, 34, FALSE) / VLOOKUP("LULUCF|SO2|Premature mortality", US_national_yearly!$D:$AM, 10, FALSE), 1)</f>
        <v>5.8965795301151253E-4</v>
      </c>
      <c r="AA2" s="7">
        <f>$B2 * IFERROR(VLOOKUP("LULUCF|SO2|Premature mortality", US_national_yearly!$D:$AM, 35, FALSE) / VLOOKUP("LULUCF|SO2|Premature mortality", US_national_yearly!$D:$AM, 10, FALSE), 1)</f>
        <v>5.902890076976275E-4</v>
      </c>
      <c r="AB2" s="7">
        <f>$B2 * IFERROR(VLOOKUP("LULUCF|SO2|Premature mortality", US_national_yearly!$D:$AM, 36, FALSE) / VLOOKUP("LULUCF|SO2|Premature mortality", US_national_yearly!$D:$AM, 10, FALSE), 1)</f>
        <v>5.9092006238374226E-4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1.1266153248921373E-6</v>
      </c>
      <c r="C3" s="7">
        <f>$B3 * IFERROR(VLOOKUP("LULUCF|SO2|Infant mortality", US_national_yearly!$D:$AM, 11, FALSE) / VLOOKUP("LULUCF|SO2|Infant mortality", US_national_yearly!$D:$AM, 10, FALSE), 1)</f>
        <v>1.1169374937504022E-6</v>
      </c>
      <c r="D3" s="7">
        <f>$B3 * IFERROR(VLOOKUP("LULUCF|SO2|Infant mortality", US_national_yearly!$D:$AM, 12, FALSE) / VLOOKUP("LULUCF|SO2|Infant mortality", US_national_yearly!$D:$AM, 10, FALSE), 1)</f>
        <v>1.1072596626086673E-6</v>
      </c>
      <c r="E3" s="7">
        <f>$B3 * IFERROR(VLOOKUP("LULUCF|SO2|Infant mortality", US_national_yearly!$D:$AM, 13, FALSE) / VLOOKUP("LULUCF|SO2|Infant mortality", US_national_yearly!$D:$AM, 10, FALSE), 1)</f>
        <v>1.0975818314669321E-6</v>
      </c>
      <c r="F3" s="7">
        <f>$B3 * IFERROR(VLOOKUP("LULUCF|SO2|Infant mortality", US_national_yearly!$D:$AM, 14, FALSE) / VLOOKUP("LULUCF|SO2|Infant mortality", US_national_yearly!$D:$AM, 10, FALSE), 1)</f>
        <v>1.0879040003251972E-6</v>
      </c>
      <c r="G3" s="7">
        <f>$B3 * IFERROR(VLOOKUP("LULUCF|SO2|Infant mortality", US_national_yearly!$D:$AM, 15, FALSE) / VLOOKUP("LULUCF|SO2|Infant mortality", US_national_yearly!$D:$AM, 10, FALSE), 1)</f>
        <v>7.2463168572440753E-7</v>
      </c>
      <c r="H3" s="7">
        <f>$B3 * IFERROR(VLOOKUP("LULUCF|SO2|Infant mortality", US_national_yearly!$D:$AM, 16, FALSE) / VLOOKUP("LULUCF|SO2|Infant mortality", US_national_yearly!$D:$AM, 10, FALSE), 1)</f>
        <v>3.6135937112361842E-7</v>
      </c>
      <c r="I3" s="7">
        <f>$B3 * IFERROR(VLOOKUP("LULUCF|SO2|Infant mortality", US_national_yearly!$D:$AM, 17, FALSE) / VLOOKUP("LULUCF|SO2|Infant mortality", US_national_yearly!$D:$AM, 10, FALSE), 1)</f>
        <v>3.5909245466739873E-7</v>
      </c>
      <c r="J3" s="7">
        <f>$B3 * IFERROR(VLOOKUP("LULUCF|SO2|Infant mortality", US_national_yearly!$D:$AM, 18, FALSE) / VLOOKUP("LULUCF|SO2|Infant mortality", US_national_yearly!$D:$AM, 10, FALSE), 1)</f>
        <v>3.5682553821117904E-7</v>
      </c>
      <c r="K3" s="7">
        <f>$B3 * IFERROR(VLOOKUP("LULUCF|SO2|Infant mortality", US_national_yearly!$D:$AM, 19, FALSE) / VLOOKUP("LULUCF|SO2|Infant mortality", US_national_yearly!$D:$AM, 10, FALSE), 1)</f>
        <v>3.545586217549594E-7</v>
      </c>
      <c r="L3" s="7">
        <f>$B3 * IFERROR(VLOOKUP("LULUCF|SO2|Infant mortality", US_national_yearly!$D:$AM, 20, FALSE) / VLOOKUP("LULUCF|SO2|Infant mortality", US_national_yearly!$D:$AM, 10, FALSE), 1)</f>
        <v>3.5229170529873976E-7</v>
      </c>
      <c r="M3" s="7">
        <f>$B3 * IFERROR(VLOOKUP("LULUCF|SO2|Infant mortality", US_national_yearly!$D:$AM, 21, FALSE) / VLOOKUP("LULUCF|SO2|Infant mortality", US_national_yearly!$D:$AM, 10, FALSE), 1)</f>
        <v>3.5002478884252007E-7</v>
      </c>
      <c r="N3" s="7">
        <f>$B3 * IFERROR(VLOOKUP("LULUCF|SO2|Infant mortality", US_national_yearly!$D:$AM, 22, FALSE) / VLOOKUP("LULUCF|SO2|Infant mortality", US_national_yearly!$D:$AM, 10, FALSE), 1)</f>
        <v>3.4860186235458881E-7</v>
      </c>
      <c r="O3" s="7">
        <f>$B3 * IFERROR(VLOOKUP("LULUCF|SO2|Infant mortality", US_national_yearly!$D:$AM, 23, FALSE) / VLOOKUP("LULUCF|SO2|Infant mortality", US_national_yearly!$D:$AM, 10, FALSE), 1)</f>
        <v>3.4717893586665755E-7</v>
      </c>
      <c r="P3" s="7">
        <f>$B3 * IFERROR(VLOOKUP("LULUCF|SO2|Infant mortality", US_national_yearly!$D:$AM, 24, FALSE) / VLOOKUP("LULUCF|SO2|Infant mortality", US_national_yearly!$D:$AM, 10, FALSE), 1)</f>
        <v>3.4575600937872619E-7</v>
      </c>
      <c r="Q3" s="7">
        <f>$B3 * IFERROR(VLOOKUP("LULUCF|SO2|Infant mortality", US_national_yearly!$D:$AM, 25, FALSE) / VLOOKUP("LULUCF|SO2|Infant mortality", US_national_yearly!$D:$AM, 10, FALSE), 1)</f>
        <v>3.4433308289079493E-7</v>
      </c>
      <c r="R3" s="7">
        <f>$B3 * IFERROR(VLOOKUP("LULUCF|SO2|Infant mortality", US_national_yearly!$D:$AM, 26, FALSE) / VLOOKUP("LULUCF|SO2|Infant mortality", US_national_yearly!$D:$AM, 10, FALSE), 1)</f>
        <v>3.4291015640286356E-7</v>
      </c>
      <c r="S3" s="7">
        <f>$B3 * IFERROR(VLOOKUP("LULUCF|SO2|Infant mortality", US_national_yearly!$D:$AM, 27, FALSE) / VLOOKUP("LULUCF|SO2|Infant mortality", US_national_yearly!$D:$AM, 10, FALSE), 1)</f>
        <v>3.4112358551072858E-7</v>
      </c>
      <c r="T3" s="7">
        <f>$B3 * IFERROR(VLOOKUP("LULUCF|SO2|Infant mortality", US_national_yearly!$D:$AM, 28, FALSE) / VLOOKUP("LULUCF|SO2|Infant mortality", US_national_yearly!$D:$AM, 10, FALSE), 1)</f>
        <v>3.393370146185936E-7</v>
      </c>
      <c r="U3" s="7">
        <f>$B3 * IFERROR(VLOOKUP("LULUCF|SO2|Infant mortality", US_national_yearly!$D:$AM, 29, FALSE) / VLOOKUP("LULUCF|SO2|Infant mortality", US_national_yearly!$D:$AM, 10, FALSE), 1)</f>
        <v>3.3755044372645852E-7</v>
      </c>
      <c r="V3" s="7">
        <f>$B3 * IFERROR(VLOOKUP("LULUCF|SO2|Infant mortality", US_national_yearly!$D:$AM, 30, FALSE) / VLOOKUP("LULUCF|SO2|Infant mortality", US_national_yearly!$D:$AM, 10, FALSE), 1)</f>
        <v>3.3576387283432359E-7</v>
      </c>
      <c r="W3" s="7">
        <f>$B3 * IFERROR(VLOOKUP("LULUCF|SO2|Infant mortality", US_national_yearly!$D:$AM, 31, FALSE) / VLOOKUP("LULUCF|SO2|Infant mortality", US_national_yearly!$D:$AM, 10, FALSE), 1)</f>
        <v>3.3397730194218856E-7</v>
      </c>
      <c r="X3" s="7">
        <f>$B3 * IFERROR(VLOOKUP("LULUCF|SO2|Infant mortality", US_national_yearly!$D:$AM, 32, FALSE) / VLOOKUP("LULUCF|SO2|Infant mortality", US_national_yearly!$D:$AM, 10, FALSE), 1)</f>
        <v>3.3202402849254635E-7</v>
      </c>
      <c r="Y3" s="7">
        <f>$B3 * IFERROR(VLOOKUP("LULUCF|SO2|Infant mortality", US_national_yearly!$D:$AM, 33, FALSE) / VLOOKUP("LULUCF|SO2|Infant mortality", US_national_yearly!$D:$AM, 10, FALSE), 1)</f>
        <v>3.3007075504290399E-7</v>
      </c>
      <c r="Z3" s="7">
        <f>$B3 * IFERROR(VLOOKUP("LULUCF|SO2|Infant mortality", US_national_yearly!$D:$AM, 34, FALSE) / VLOOKUP("LULUCF|SO2|Infant mortality", US_national_yearly!$D:$AM, 10, FALSE), 1)</f>
        <v>3.2811748159326179E-7</v>
      </c>
      <c r="AA3" s="7">
        <f>$B3 * IFERROR(VLOOKUP("LULUCF|SO2|Infant mortality", US_national_yearly!$D:$AM, 35, FALSE) / VLOOKUP("LULUCF|SO2|Infant mortality", US_national_yearly!$D:$AM, 10, FALSE), 1)</f>
        <v>3.2616420814361943E-7</v>
      </c>
      <c r="AB3" s="7">
        <f>$B3 * IFERROR(VLOOKUP("LULUCF|SO2|Infant mortality", US_national_yearly!$D:$AM, 36, FALSE) / VLOOKUP("LULUCF|SO2|Infant mortality", US_national_yearly!$D:$AM, 10, FALSE), 1)</f>
        <v>3.2421093469397723E-7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1.1343322202396929E-3</v>
      </c>
      <c r="C6" s="7">
        <f>$B6 * IFERROR(VLOOKUP("LULUCF|SO2|Asthma symptoms cough", US_national_yearly!$D:$AM, 11, FALSE) / VLOOKUP("LULUCF|SO2|Asthma symptoms cough", US_national_yearly!$D:$AM, 10, FALSE), 1)</f>
        <v>1.1343322202396929E-3</v>
      </c>
      <c r="D6" s="7">
        <f>$B6 * IFERROR(VLOOKUP("LULUCF|SO2|Asthma symptoms cough", US_national_yearly!$D:$AM, 12, FALSE) / VLOOKUP("LULUCF|SO2|Asthma symptoms cough", US_national_yearly!$D:$AM, 10, FALSE), 1)</f>
        <v>1.1343322202396929E-3</v>
      </c>
      <c r="E6" s="7">
        <f>$B6 * IFERROR(VLOOKUP("LULUCF|SO2|Asthma symptoms cough", US_national_yearly!$D:$AM, 13, FALSE) / VLOOKUP("LULUCF|SO2|Asthma symptoms cough", US_national_yearly!$D:$AM, 10, FALSE), 1)</f>
        <v>1.1343322202396929E-3</v>
      </c>
      <c r="F6" s="7">
        <f>$B6 * IFERROR(VLOOKUP("LULUCF|SO2|Asthma symptoms cough", US_national_yearly!$D:$AM, 14, FALSE) / VLOOKUP("LULUCF|SO2|Asthma symptoms cough", US_national_yearly!$D:$AM, 10, FALSE), 1)</f>
        <v>1.1343322202396929E-3</v>
      </c>
      <c r="G6" s="7">
        <f>$B6 * IFERROR(VLOOKUP("LULUCF|SO2|Asthma symptoms cough", US_national_yearly!$D:$AM, 15, FALSE) / VLOOKUP("LULUCF|SO2|Asthma symptoms cough", US_national_yearly!$D:$AM, 10, FALSE), 1)</f>
        <v>1.1343322202396929E-3</v>
      </c>
      <c r="H6" s="7">
        <f>$B6 * IFERROR(VLOOKUP("LULUCF|SO2|Asthma symptoms cough", US_national_yearly!$D:$AM, 16, FALSE) / VLOOKUP("LULUCF|SO2|Asthma symptoms cough", US_national_yearly!$D:$AM, 10, FALSE), 1)</f>
        <v>1.1343322202396929E-3</v>
      </c>
      <c r="I6" s="7">
        <f>$B6 * IFERROR(VLOOKUP("LULUCF|SO2|Asthma symptoms cough", US_national_yearly!$D:$AM, 17, FALSE) / VLOOKUP("LULUCF|SO2|Asthma symptoms cough", US_national_yearly!$D:$AM, 10, FALSE), 1)</f>
        <v>1.1343322202396929E-3</v>
      </c>
      <c r="J6" s="7">
        <f>$B6 * IFERROR(VLOOKUP("LULUCF|SO2|Asthma symptoms cough", US_national_yearly!$D:$AM, 18, FALSE) / VLOOKUP("LULUCF|SO2|Asthma symptoms cough", US_national_yearly!$D:$AM, 10, FALSE), 1)</f>
        <v>1.1343322202396929E-3</v>
      </c>
      <c r="K6" s="7">
        <f>$B6 * IFERROR(VLOOKUP("LULUCF|SO2|Asthma symptoms cough", US_national_yearly!$D:$AM, 19, FALSE) / VLOOKUP("LULUCF|SO2|Asthma symptoms cough", US_national_yearly!$D:$AM, 10, FALSE), 1)</f>
        <v>1.1343322202396929E-3</v>
      </c>
      <c r="L6" s="7">
        <f>$B6 * IFERROR(VLOOKUP("LULUCF|SO2|Asthma symptoms cough", US_national_yearly!$D:$AM, 20, FALSE) / VLOOKUP("LULUCF|SO2|Asthma symptoms cough", US_national_yearly!$D:$AM, 10, FALSE), 1)</f>
        <v>1.1343322202396929E-3</v>
      </c>
      <c r="M6" s="7">
        <f>$B6 * IFERROR(VLOOKUP("LULUCF|SO2|Asthma symptoms cough", US_national_yearly!$D:$AM, 21, FALSE) / VLOOKUP("LULUCF|SO2|Asthma symptoms cough", US_national_yearly!$D:$AM, 10, FALSE), 1)</f>
        <v>1.1343322202396929E-3</v>
      </c>
      <c r="N6" s="7">
        <f>$B6 * IFERROR(VLOOKUP("LULUCF|SO2|Asthma symptoms cough", US_national_yearly!$D:$AM, 22, FALSE) / VLOOKUP("LULUCF|SO2|Asthma symptoms cough", US_national_yearly!$D:$AM, 10, FALSE), 1)</f>
        <v>1.1343322202396929E-3</v>
      </c>
      <c r="O6" s="7">
        <f>$B6 * IFERROR(VLOOKUP("LULUCF|SO2|Asthma symptoms cough", US_national_yearly!$D:$AM, 23, FALSE) / VLOOKUP("LULUCF|SO2|Asthma symptoms cough", US_national_yearly!$D:$AM, 10, FALSE), 1)</f>
        <v>1.1343322202396929E-3</v>
      </c>
      <c r="P6" s="7">
        <f>$B6 * IFERROR(VLOOKUP("LULUCF|SO2|Asthma symptoms cough", US_national_yearly!$D:$AM, 24, FALSE) / VLOOKUP("LULUCF|SO2|Asthma symptoms cough", US_national_yearly!$D:$AM, 10, FALSE), 1)</f>
        <v>1.1343322202396929E-3</v>
      </c>
      <c r="Q6" s="7">
        <f>$B6 * IFERROR(VLOOKUP("LULUCF|SO2|Asthma symptoms cough", US_national_yearly!$D:$AM, 25, FALSE) / VLOOKUP("LULUCF|SO2|Asthma symptoms cough", US_national_yearly!$D:$AM, 10, FALSE), 1)</f>
        <v>1.1343322202396929E-3</v>
      </c>
      <c r="R6" s="7">
        <f>$B6 * IFERROR(VLOOKUP("LULUCF|SO2|Asthma symptoms cough", US_national_yearly!$D:$AM, 26, FALSE) / VLOOKUP("LULUCF|SO2|Asthma symptoms cough", US_national_yearly!$D:$AM, 10, FALSE), 1)</f>
        <v>1.1343322202396929E-3</v>
      </c>
      <c r="S6" s="7">
        <f>$B6 * IFERROR(VLOOKUP("LULUCF|SO2|Asthma symptoms cough", US_national_yearly!$D:$AM, 27, FALSE) / VLOOKUP("LULUCF|SO2|Asthma symptoms cough", US_national_yearly!$D:$AM, 10, FALSE), 1)</f>
        <v>1.1343322202396929E-3</v>
      </c>
      <c r="T6" s="7">
        <f>$B6 * IFERROR(VLOOKUP("LULUCF|SO2|Asthma symptoms cough", US_national_yearly!$D:$AM, 28, FALSE) / VLOOKUP("LULUCF|SO2|Asthma symptoms cough", US_national_yearly!$D:$AM, 10, FALSE), 1)</f>
        <v>1.1343322202396929E-3</v>
      </c>
      <c r="U6" s="7">
        <f>$B6 * IFERROR(VLOOKUP("LULUCF|SO2|Asthma symptoms cough", US_national_yearly!$D:$AM, 29, FALSE) / VLOOKUP("LULUCF|SO2|Asthma symptoms cough", US_national_yearly!$D:$AM, 10, FALSE), 1)</f>
        <v>1.1343322202396929E-3</v>
      </c>
      <c r="V6" s="7">
        <f>$B6 * IFERROR(VLOOKUP("LULUCF|SO2|Asthma symptoms cough", US_national_yearly!$D:$AM, 30, FALSE) / VLOOKUP("LULUCF|SO2|Asthma symptoms cough", US_national_yearly!$D:$AM, 10, FALSE), 1)</f>
        <v>1.1343322202396929E-3</v>
      </c>
      <c r="W6" s="7">
        <f>$B6 * IFERROR(VLOOKUP("LULUCF|SO2|Asthma symptoms cough", US_national_yearly!$D:$AM, 31, FALSE) / VLOOKUP("LULUCF|SO2|Asthma symptoms cough", US_national_yearly!$D:$AM, 10, FALSE), 1)</f>
        <v>1.1343322202396929E-3</v>
      </c>
      <c r="X6" s="7">
        <f>$B6 * IFERROR(VLOOKUP("LULUCF|SO2|Asthma symptoms cough", US_national_yearly!$D:$AM, 32, FALSE) / VLOOKUP("LULUCF|SO2|Asthma symptoms cough", US_national_yearly!$D:$AM, 10, FALSE), 1)</f>
        <v>1.1343322202396929E-3</v>
      </c>
      <c r="Y6" s="7">
        <f>$B6 * IFERROR(VLOOKUP("LULUCF|SO2|Asthma symptoms cough", US_national_yearly!$D:$AM, 33, FALSE) / VLOOKUP("LULUCF|SO2|Asthma symptoms cough", US_national_yearly!$D:$AM, 10, FALSE), 1)</f>
        <v>1.1343322202396929E-3</v>
      </c>
      <c r="Z6" s="7">
        <f>$B6 * IFERROR(VLOOKUP("LULUCF|SO2|Asthma symptoms cough", US_national_yearly!$D:$AM, 34, FALSE) / VLOOKUP("LULUCF|SO2|Asthma symptoms cough", US_national_yearly!$D:$AM, 10, FALSE), 1)</f>
        <v>1.1343322202396929E-3</v>
      </c>
      <c r="AA6" s="7">
        <f>$B6 * IFERROR(VLOOKUP("LULUCF|SO2|Asthma symptoms cough", US_national_yearly!$D:$AM, 35, FALSE) / VLOOKUP("LULUCF|SO2|Asthma symptoms cough", US_national_yearly!$D:$AM, 10, FALSE), 1)</f>
        <v>1.1343322202396929E-3</v>
      </c>
      <c r="AB6" s="7">
        <f>$B6 * IFERROR(VLOOKUP("LULUCF|SO2|Asthma symptoms cough", US_national_yearly!$D:$AM, 36, FALSE) / VLOOKUP("LULUCF|SO2|Asthma symptoms cough", US_national_yearly!$D:$AM, 10, FALSE), 1)</f>
        <v>1.1343322202396929E-3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1.5275413210406211E-3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1.5275413210406211E-3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1.5275413210406211E-3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1.5275413210406211E-3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1.5275413210406211E-3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1.5275413210406211E-3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1.5275413210406211E-3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1.5275413210406211E-3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1.5275413210406211E-3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1.5275413210406211E-3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1.5275413210406211E-3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1.5275413210406211E-3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1.5275413210406211E-3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1.5275413210406211E-3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1.5275413210406211E-3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1.5275413210406211E-3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1.5275413210406211E-3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1.5275413210406211E-3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1.5275413210406211E-3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1.5275413210406211E-3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1.5275413210406211E-3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1.5275413210406211E-3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1.5275413210406211E-3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1.5275413210406211E-3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1.5275413210406211E-3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1.5275413210406211E-3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1.5275413210406211E-3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2.3338299992894302E-3</v>
      </c>
      <c r="C8" s="7">
        <f>$B8 * IFERROR(VLOOKUP("LULUCF|SO2|Asthma symptoms wheeze", US_national_yearly!$D:$AM, 11, FALSE) / VLOOKUP("LULUCF|SO2|Asthma symptoms wheeze", US_national_yearly!$D:$AM, 10, FALSE), 1)</f>
        <v>2.3338299992894302E-3</v>
      </c>
      <c r="D8" s="7">
        <f>$B8 * IFERROR(VLOOKUP("LULUCF|SO2|Asthma symptoms wheeze", US_national_yearly!$D:$AM, 12, FALSE) / VLOOKUP("LULUCF|SO2|Asthma symptoms wheeze", US_national_yearly!$D:$AM, 10, FALSE), 1)</f>
        <v>2.3338299992894302E-3</v>
      </c>
      <c r="E8" s="7">
        <f>$B8 * IFERROR(VLOOKUP("LULUCF|SO2|Asthma symptoms wheeze", US_national_yearly!$D:$AM, 13, FALSE) / VLOOKUP("LULUCF|SO2|Asthma symptoms wheeze", US_national_yearly!$D:$AM, 10, FALSE), 1)</f>
        <v>2.3338299992894302E-3</v>
      </c>
      <c r="F8" s="7">
        <f>$B8 * IFERROR(VLOOKUP("LULUCF|SO2|Asthma symptoms wheeze", US_national_yearly!$D:$AM, 14, FALSE) / VLOOKUP("LULUCF|SO2|Asthma symptoms wheeze", US_national_yearly!$D:$AM, 10, FALSE), 1)</f>
        <v>2.3338299992894302E-3</v>
      </c>
      <c r="G8" s="7">
        <f>$B8 * IFERROR(VLOOKUP("LULUCF|SO2|Asthma symptoms wheeze", US_national_yearly!$D:$AM, 15, FALSE) / VLOOKUP("LULUCF|SO2|Asthma symptoms wheeze", US_national_yearly!$D:$AM, 10, FALSE), 1)</f>
        <v>2.3338299992894302E-3</v>
      </c>
      <c r="H8" s="7">
        <f>$B8 * IFERROR(VLOOKUP("LULUCF|SO2|Asthma symptoms wheeze", US_national_yearly!$D:$AM, 16, FALSE) / VLOOKUP("LULUCF|SO2|Asthma symptoms wheeze", US_national_yearly!$D:$AM, 10, FALSE), 1)</f>
        <v>2.3338299992894302E-3</v>
      </c>
      <c r="I8" s="7">
        <f>$B8 * IFERROR(VLOOKUP("LULUCF|SO2|Asthma symptoms wheeze", US_national_yearly!$D:$AM, 17, FALSE) / VLOOKUP("LULUCF|SO2|Asthma symptoms wheeze", US_national_yearly!$D:$AM, 10, FALSE), 1)</f>
        <v>2.3338299992894302E-3</v>
      </c>
      <c r="J8" s="7">
        <f>$B8 * IFERROR(VLOOKUP("LULUCF|SO2|Asthma symptoms wheeze", US_national_yearly!$D:$AM, 18, FALSE) / VLOOKUP("LULUCF|SO2|Asthma symptoms wheeze", US_national_yearly!$D:$AM, 10, FALSE), 1)</f>
        <v>2.3338299992894302E-3</v>
      </c>
      <c r="K8" s="7">
        <f>$B8 * IFERROR(VLOOKUP("LULUCF|SO2|Asthma symptoms wheeze", US_national_yearly!$D:$AM, 19, FALSE) / VLOOKUP("LULUCF|SO2|Asthma symptoms wheeze", US_national_yearly!$D:$AM, 10, FALSE), 1)</f>
        <v>2.3338299992894302E-3</v>
      </c>
      <c r="L8" s="7">
        <f>$B8 * IFERROR(VLOOKUP("LULUCF|SO2|Asthma symptoms wheeze", US_national_yearly!$D:$AM, 20, FALSE) / VLOOKUP("LULUCF|SO2|Asthma symptoms wheeze", US_national_yearly!$D:$AM, 10, FALSE), 1)</f>
        <v>2.3338299992894302E-3</v>
      </c>
      <c r="M8" s="7">
        <f>$B8 * IFERROR(VLOOKUP("LULUCF|SO2|Asthma symptoms wheeze", US_national_yearly!$D:$AM, 21, FALSE) / VLOOKUP("LULUCF|SO2|Asthma symptoms wheeze", US_national_yearly!$D:$AM, 10, FALSE), 1)</f>
        <v>2.3338299992894302E-3</v>
      </c>
      <c r="N8" s="7">
        <f>$B8 * IFERROR(VLOOKUP("LULUCF|SO2|Asthma symptoms wheeze", US_national_yearly!$D:$AM, 22, FALSE) / VLOOKUP("LULUCF|SO2|Asthma symptoms wheeze", US_national_yearly!$D:$AM, 10, FALSE), 1)</f>
        <v>2.3338299992894302E-3</v>
      </c>
      <c r="O8" s="7">
        <f>$B8 * IFERROR(VLOOKUP("LULUCF|SO2|Asthma symptoms wheeze", US_national_yearly!$D:$AM, 23, FALSE) / VLOOKUP("LULUCF|SO2|Asthma symptoms wheeze", US_national_yearly!$D:$AM, 10, FALSE), 1)</f>
        <v>2.3338299992894302E-3</v>
      </c>
      <c r="P8" s="7">
        <f>$B8 * IFERROR(VLOOKUP("LULUCF|SO2|Asthma symptoms wheeze", US_national_yearly!$D:$AM, 24, FALSE) / VLOOKUP("LULUCF|SO2|Asthma symptoms wheeze", US_national_yearly!$D:$AM, 10, FALSE), 1)</f>
        <v>2.3338299992894302E-3</v>
      </c>
      <c r="Q8" s="7">
        <f>$B8 * IFERROR(VLOOKUP("LULUCF|SO2|Asthma symptoms wheeze", US_national_yearly!$D:$AM, 25, FALSE) / VLOOKUP("LULUCF|SO2|Asthma symptoms wheeze", US_national_yearly!$D:$AM, 10, FALSE), 1)</f>
        <v>2.3338299992894302E-3</v>
      </c>
      <c r="R8" s="7">
        <f>$B8 * IFERROR(VLOOKUP("LULUCF|SO2|Asthma symptoms wheeze", US_national_yearly!$D:$AM, 26, FALSE) / VLOOKUP("LULUCF|SO2|Asthma symptoms wheeze", US_national_yearly!$D:$AM, 10, FALSE), 1)</f>
        <v>2.3338299992894302E-3</v>
      </c>
      <c r="S8" s="7">
        <f>$B8 * IFERROR(VLOOKUP("LULUCF|SO2|Asthma symptoms wheeze", US_national_yearly!$D:$AM, 27, FALSE) / VLOOKUP("LULUCF|SO2|Asthma symptoms wheeze", US_national_yearly!$D:$AM, 10, FALSE), 1)</f>
        <v>2.3338299992894302E-3</v>
      </c>
      <c r="T8" s="7">
        <f>$B8 * IFERROR(VLOOKUP("LULUCF|SO2|Asthma symptoms wheeze", US_national_yearly!$D:$AM, 28, FALSE) / VLOOKUP("LULUCF|SO2|Asthma symptoms wheeze", US_national_yearly!$D:$AM, 10, FALSE), 1)</f>
        <v>2.3338299992894302E-3</v>
      </c>
      <c r="U8" s="7">
        <f>$B8 * IFERROR(VLOOKUP("LULUCF|SO2|Asthma symptoms wheeze", US_national_yearly!$D:$AM, 29, FALSE) / VLOOKUP("LULUCF|SO2|Asthma symptoms wheeze", US_national_yearly!$D:$AM, 10, FALSE), 1)</f>
        <v>2.3338299992894302E-3</v>
      </c>
      <c r="V8" s="7">
        <f>$B8 * IFERROR(VLOOKUP("LULUCF|SO2|Asthma symptoms wheeze", US_national_yearly!$D:$AM, 30, FALSE) / VLOOKUP("LULUCF|SO2|Asthma symptoms wheeze", US_national_yearly!$D:$AM, 10, FALSE), 1)</f>
        <v>2.3338299992894302E-3</v>
      </c>
      <c r="W8" s="7">
        <f>$B8 * IFERROR(VLOOKUP("LULUCF|SO2|Asthma symptoms wheeze", US_national_yearly!$D:$AM, 31, FALSE) / VLOOKUP("LULUCF|SO2|Asthma symptoms wheeze", US_national_yearly!$D:$AM, 10, FALSE), 1)</f>
        <v>2.3338299992894302E-3</v>
      </c>
      <c r="X8" s="7">
        <f>$B8 * IFERROR(VLOOKUP("LULUCF|SO2|Asthma symptoms wheeze", US_national_yearly!$D:$AM, 32, FALSE) / VLOOKUP("LULUCF|SO2|Asthma symptoms wheeze", US_national_yearly!$D:$AM, 10, FALSE), 1)</f>
        <v>2.3338299992894302E-3</v>
      </c>
      <c r="Y8" s="7">
        <f>$B8 * IFERROR(VLOOKUP("LULUCF|SO2|Asthma symptoms wheeze", US_national_yearly!$D:$AM, 33, FALSE) / VLOOKUP("LULUCF|SO2|Asthma symptoms wheeze", US_national_yearly!$D:$AM, 10, FALSE), 1)</f>
        <v>2.3338299992894302E-3</v>
      </c>
      <c r="Z8" s="7">
        <f>$B8 * IFERROR(VLOOKUP("LULUCF|SO2|Asthma symptoms wheeze", US_national_yearly!$D:$AM, 34, FALSE) / VLOOKUP("LULUCF|SO2|Asthma symptoms wheeze", US_national_yearly!$D:$AM, 10, FALSE), 1)</f>
        <v>2.3338299992894302E-3</v>
      </c>
      <c r="AA8" s="7">
        <f>$B8 * IFERROR(VLOOKUP("LULUCF|SO2|Asthma symptoms wheeze", US_national_yearly!$D:$AM, 35, FALSE) / VLOOKUP("LULUCF|SO2|Asthma symptoms wheeze", US_national_yearly!$D:$AM, 10, FALSE), 1)</f>
        <v>2.3338299992894302E-3</v>
      </c>
      <c r="AB8" s="7">
        <f>$B8 * IFERROR(VLOOKUP("LULUCF|SO2|Asthma symptoms wheeze", US_national_yearly!$D:$AM, 36, FALSE) / VLOOKUP("LULUCF|SO2|Asthma symptoms wheeze", US_national_yearly!$D:$AM, 10, FALSE), 1)</f>
        <v>2.3338299992894302E-3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3.5494632247140543E-5</v>
      </c>
      <c r="C12" s="7">
        <f>$B12 * IFERROR(VLOOKUP("LULUCF|SO2|Respiratory hospital admissions", US_national_yearly!$D:$AM, 11, FALSE) / VLOOKUP("LULUCF|SO2|Respiratory hospital admissions", US_national_yearly!$D:$AM, 10, FALSE), 1)</f>
        <v>3.5703981352036356E-5</v>
      </c>
      <c r="D12" s="7">
        <f>$B12 * IFERROR(VLOOKUP("LULUCF|SO2|Respiratory hospital admissions", US_national_yearly!$D:$AM, 12, FALSE) / VLOOKUP("LULUCF|SO2|Respiratory hospital admissions", US_national_yearly!$D:$AM, 10, FALSE), 1)</f>
        <v>3.5913330456932177E-5</v>
      </c>
      <c r="E12" s="7">
        <f>$B12 * IFERROR(VLOOKUP("LULUCF|SO2|Respiratory hospital admissions", US_national_yearly!$D:$AM, 13, FALSE) / VLOOKUP("LULUCF|SO2|Respiratory hospital admissions", US_national_yearly!$D:$AM, 10, FALSE), 1)</f>
        <v>3.612267956182799E-5</v>
      </c>
      <c r="F12" s="7">
        <f>$B12 * IFERROR(VLOOKUP("LULUCF|SO2|Respiratory hospital admissions", US_national_yearly!$D:$AM, 14, FALSE) / VLOOKUP("LULUCF|SO2|Respiratory hospital admissions", US_national_yearly!$D:$AM, 10, FALSE), 1)</f>
        <v>3.6332028666723811E-5</v>
      </c>
      <c r="G12" s="7">
        <f>$B12 * IFERROR(VLOOKUP("LULUCF|SO2|Respiratory hospital admissions", US_national_yearly!$D:$AM, 15, FALSE) / VLOOKUP("LULUCF|SO2|Respiratory hospital admissions", US_national_yearly!$D:$AM, 10, FALSE), 1)</f>
        <v>3.656025450218202E-5</v>
      </c>
      <c r="H12" s="7">
        <f>$B12 * IFERROR(VLOOKUP("LULUCF|SO2|Respiratory hospital admissions", US_national_yearly!$D:$AM, 16, FALSE) / VLOOKUP("LULUCF|SO2|Respiratory hospital admissions", US_national_yearly!$D:$AM, 10, FALSE), 1)</f>
        <v>3.6788480337640229E-5</v>
      </c>
      <c r="I12" s="7">
        <f>$B12 * IFERROR(VLOOKUP("LULUCF|SO2|Respiratory hospital admissions", US_national_yearly!$D:$AM, 17, FALSE) / VLOOKUP("LULUCF|SO2|Respiratory hospital admissions", US_national_yearly!$D:$AM, 10, FALSE), 1)</f>
        <v>3.7013538184912671E-5</v>
      </c>
      <c r="J12" s="7">
        <f>$B12 * IFERROR(VLOOKUP("LULUCF|SO2|Respiratory hospital admissions", US_national_yearly!$D:$AM, 18, FALSE) / VLOOKUP("LULUCF|SO2|Respiratory hospital admissions", US_national_yearly!$D:$AM, 10, FALSE), 1)</f>
        <v>3.7238596032185126E-5</v>
      </c>
      <c r="K12" s="7">
        <f>$B12 * IFERROR(VLOOKUP("LULUCF|SO2|Respiratory hospital admissions", US_national_yearly!$D:$AM, 19, FALSE) / VLOOKUP("LULUCF|SO2|Respiratory hospital admissions", US_national_yearly!$D:$AM, 10, FALSE), 1)</f>
        <v>3.7463653879457568E-5</v>
      </c>
      <c r="L12" s="7">
        <f>$B12 * IFERROR(VLOOKUP("LULUCF|SO2|Respiratory hospital admissions", US_national_yearly!$D:$AM, 20, FALSE) / VLOOKUP("LULUCF|SO2|Respiratory hospital admissions", US_national_yearly!$D:$AM, 10, FALSE), 1)</f>
        <v>3.7688711726730024E-5</v>
      </c>
      <c r="M12" s="7">
        <f>$B12 * IFERROR(VLOOKUP("LULUCF|SO2|Respiratory hospital admissions", US_national_yearly!$D:$AM, 21, FALSE) / VLOOKUP("LULUCF|SO2|Respiratory hospital admissions", US_national_yearly!$D:$AM, 10, FALSE), 1)</f>
        <v>3.7913769574002466E-5</v>
      </c>
      <c r="N12" s="7">
        <f>$B12 * IFERROR(VLOOKUP("LULUCF|SO2|Respiratory hospital admissions", US_national_yearly!$D:$AM, 22, FALSE) / VLOOKUP("LULUCF|SO2|Respiratory hospital admissions", US_national_yearly!$D:$AM, 10, FALSE), 1)</f>
        <v>3.8078054855291212E-5</v>
      </c>
      <c r="O12" s="7">
        <f>$B12 * IFERROR(VLOOKUP("LULUCF|SO2|Respiratory hospital admissions", US_national_yearly!$D:$AM, 23, FALSE) / VLOOKUP("LULUCF|SO2|Respiratory hospital admissions", US_national_yearly!$D:$AM, 10, FALSE), 1)</f>
        <v>3.8242340136579957E-5</v>
      </c>
      <c r="P12" s="7">
        <f>$B12 * IFERROR(VLOOKUP("LULUCF|SO2|Respiratory hospital admissions", US_national_yearly!$D:$AM, 24, FALSE) / VLOOKUP("LULUCF|SO2|Respiratory hospital admissions", US_national_yearly!$D:$AM, 10, FALSE), 1)</f>
        <v>3.8406625417868703E-5</v>
      </c>
      <c r="Q12" s="7">
        <f>$B12 * IFERROR(VLOOKUP("LULUCF|SO2|Respiratory hospital admissions", US_national_yearly!$D:$AM, 25, FALSE) / VLOOKUP("LULUCF|SO2|Respiratory hospital admissions", US_national_yearly!$D:$AM, 10, FALSE), 1)</f>
        <v>3.8570910699157448E-5</v>
      </c>
      <c r="R12" s="7">
        <f>$B12 * IFERROR(VLOOKUP("LULUCF|SO2|Respiratory hospital admissions", US_national_yearly!$D:$AM, 26, FALSE) / VLOOKUP("LULUCF|SO2|Respiratory hospital admissions", US_national_yearly!$D:$AM, 10, FALSE), 1)</f>
        <v>3.8735195980446194E-5</v>
      </c>
      <c r="S12" s="7">
        <f>$B12 * IFERROR(VLOOKUP("LULUCF|SO2|Respiratory hospital admissions", US_national_yearly!$D:$AM, 27, FALSE) / VLOOKUP("LULUCF|SO2|Respiratory hospital admissions", US_national_yearly!$D:$AM, 10, FALSE), 1)</f>
        <v>3.8891911603474976E-5</v>
      </c>
      <c r="T12" s="7">
        <f>$B12 * IFERROR(VLOOKUP("LULUCF|SO2|Respiratory hospital admissions", US_national_yearly!$D:$AM, 28, FALSE) / VLOOKUP("LULUCF|SO2|Respiratory hospital admissions", US_national_yearly!$D:$AM, 10, FALSE), 1)</f>
        <v>3.904862722650375E-5</v>
      </c>
      <c r="U12" s="7">
        <f>$B12 * IFERROR(VLOOKUP("LULUCF|SO2|Respiratory hospital admissions", US_national_yearly!$D:$AM, 29, FALSE) / VLOOKUP("LULUCF|SO2|Respiratory hospital admissions", US_national_yearly!$D:$AM, 10, FALSE), 1)</f>
        <v>3.9205342849532532E-5</v>
      </c>
      <c r="V12" s="7">
        <f>$B12 * IFERROR(VLOOKUP("LULUCF|SO2|Respiratory hospital admissions", US_national_yearly!$D:$AM, 30, FALSE) / VLOOKUP("LULUCF|SO2|Respiratory hospital admissions", US_national_yearly!$D:$AM, 10, FALSE), 1)</f>
        <v>3.9362058472561313E-5</v>
      </c>
      <c r="W12" s="7">
        <f>$B12 * IFERROR(VLOOKUP("LULUCF|SO2|Respiratory hospital admissions", US_national_yearly!$D:$AM, 31, FALSE) / VLOOKUP("LULUCF|SO2|Respiratory hospital admissions", US_national_yearly!$D:$AM, 10, FALSE), 1)</f>
        <v>3.9518774095590095E-5</v>
      </c>
      <c r="X12" s="7">
        <f>$B12 * IFERROR(VLOOKUP("LULUCF|SO2|Respiratory hospital admissions", US_national_yearly!$D:$AM, 32, FALSE) / VLOOKUP("LULUCF|SO2|Respiratory hospital admissions", US_national_yearly!$D:$AM, 10, FALSE), 1)</f>
        <v>3.9667471492196805E-5</v>
      </c>
      <c r="Y12" s="7">
        <f>$B12 * IFERROR(VLOOKUP("LULUCF|SO2|Respiratory hospital admissions", US_national_yearly!$D:$AM, 33, FALSE) / VLOOKUP("LULUCF|SO2|Respiratory hospital admissions", US_national_yearly!$D:$AM, 10, FALSE), 1)</f>
        <v>3.9816168888803516E-5</v>
      </c>
      <c r="Z12" s="7">
        <f>$B12 * IFERROR(VLOOKUP("LULUCF|SO2|Respiratory hospital admissions", US_national_yearly!$D:$AM, 34, FALSE) / VLOOKUP("LULUCF|SO2|Respiratory hospital admissions", US_national_yearly!$D:$AM, 10, FALSE), 1)</f>
        <v>3.9964866285410226E-5</v>
      </c>
      <c r="AA12" s="7">
        <f>$B12 * IFERROR(VLOOKUP("LULUCF|SO2|Respiratory hospital admissions", US_national_yearly!$D:$AM, 35, FALSE) / VLOOKUP("LULUCF|SO2|Respiratory hospital admissions", US_national_yearly!$D:$AM, 10, FALSE), 1)</f>
        <v>4.0113563682016937E-5</v>
      </c>
      <c r="AB12" s="7">
        <f>$B12 * IFERROR(VLOOKUP("LULUCF|SO2|Respiratory hospital admissions", US_national_yearly!$D:$AM, 36, FALSE) / VLOOKUP("LULUCF|SO2|Respiratory hospital admissions", US_national_yearly!$D:$AM, 10, FALSE), 1)</f>
        <v>4.0262261078623654E-5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1.777260036228957E-4</v>
      </c>
      <c r="C13" s="7">
        <f>$B13 * IFERROR(VLOOKUP("LULUCF|SO2|Non-fatal heart attacks", US_national_yearly!$D:$AM, 11, FALSE) / VLOOKUP("LULUCF|SO2|Non-fatal heart attacks", US_national_yearly!$D:$AM, 10, FALSE), 1)</f>
        <v>1.829433935530235E-4</v>
      </c>
      <c r="D13" s="7">
        <f>$B13 * IFERROR(VLOOKUP("LULUCF|SO2|Non-fatal heart attacks", US_national_yearly!$D:$AM, 12, FALSE) / VLOOKUP("LULUCF|SO2|Non-fatal heart attacks", US_national_yearly!$D:$AM, 10, FALSE), 1)</f>
        <v>1.8816078348315131E-4</v>
      </c>
      <c r="E13" s="7">
        <f>$B13 * IFERROR(VLOOKUP("LULUCF|SO2|Non-fatal heart attacks", US_national_yearly!$D:$AM, 13, FALSE) / VLOOKUP("LULUCF|SO2|Non-fatal heart attacks", US_national_yearly!$D:$AM, 10, FALSE), 1)</f>
        <v>1.9337817341327912E-4</v>
      </c>
      <c r="F13" s="7">
        <f>$B13 * IFERROR(VLOOKUP("LULUCF|SO2|Non-fatal heart attacks", US_national_yearly!$D:$AM, 14, FALSE) / VLOOKUP("LULUCF|SO2|Non-fatal heart attacks", US_national_yearly!$D:$AM, 10, FALSE), 1)</f>
        <v>1.9859556334340689E-4</v>
      </c>
      <c r="G13" s="7">
        <f>$B13 * IFERROR(VLOOKUP("LULUCF|SO2|Non-fatal heart attacks", US_national_yearly!$D:$AM, 15, FALSE) / VLOOKUP("LULUCF|SO2|Non-fatal heart attacks", US_national_yearly!$D:$AM, 10, FALSE), 1)</f>
        <v>2.0351604598999742E-4</v>
      </c>
      <c r="H13" s="7">
        <f>$B13 * IFERROR(VLOOKUP("LULUCF|SO2|Non-fatal heart attacks", US_national_yearly!$D:$AM, 16, FALSE) / VLOOKUP("LULUCF|SO2|Non-fatal heart attacks", US_national_yearly!$D:$AM, 10, FALSE), 1)</f>
        <v>2.0843652863658792E-4</v>
      </c>
      <c r="I13" s="7">
        <f>$B13 * IFERROR(VLOOKUP("LULUCF|SO2|Non-fatal heart attacks", US_national_yearly!$D:$AM, 17, FALSE) / VLOOKUP("LULUCF|SO2|Non-fatal heart attacks", US_national_yearly!$D:$AM, 10, FALSE), 1)</f>
        <v>2.1239597466712274E-4</v>
      </c>
      <c r="J13" s="7">
        <f>$B13 * IFERROR(VLOOKUP("LULUCF|SO2|Non-fatal heart attacks", US_national_yearly!$D:$AM, 18, FALSE) / VLOOKUP("LULUCF|SO2|Non-fatal heart attacks", US_national_yearly!$D:$AM, 10, FALSE), 1)</f>
        <v>2.1635542069765756E-4</v>
      </c>
      <c r="K13" s="7">
        <f>$B13 * IFERROR(VLOOKUP("LULUCF|SO2|Non-fatal heart attacks", US_national_yearly!$D:$AM, 19, FALSE) / VLOOKUP("LULUCF|SO2|Non-fatal heart attacks", US_national_yearly!$D:$AM, 10, FALSE), 1)</f>
        <v>2.2031486672819236E-4</v>
      </c>
      <c r="L13" s="7">
        <f>$B13 * IFERROR(VLOOKUP("LULUCF|SO2|Non-fatal heart attacks", US_national_yearly!$D:$AM, 20, FALSE) / VLOOKUP("LULUCF|SO2|Non-fatal heart attacks", US_national_yearly!$D:$AM, 10, FALSE), 1)</f>
        <v>2.2427431275872726E-4</v>
      </c>
      <c r="M13" s="7">
        <f>$B13 * IFERROR(VLOOKUP("LULUCF|SO2|Non-fatal heart attacks", US_national_yearly!$D:$AM, 21, FALSE) / VLOOKUP("LULUCF|SO2|Non-fatal heart attacks", US_national_yearly!$D:$AM, 10, FALSE), 1)</f>
        <v>2.2823375878926208E-4</v>
      </c>
      <c r="N13" s="7">
        <f>$B13 * IFERROR(VLOOKUP("LULUCF|SO2|Non-fatal heart attacks", US_national_yearly!$D:$AM, 22, FALSE) / VLOOKUP("LULUCF|SO2|Non-fatal heart attacks", US_national_yearly!$D:$AM, 10, FALSE), 1)</f>
        <v>2.3080467493334306E-4</v>
      </c>
      <c r="O13" s="7">
        <f>$B13 * IFERROR(VLOOKUP("LULUCF|SO2|Non-fatal heart attacks", US_national_yearly!$D:$AM, 23, FALSE) / VLOOKUP("LULUCF|SO2|Non-fatal heart attacks", US_national_yearly!$D:$AM, 10, FALSE), 1)</f>
        <v>2.3337559107742411E-4</v>
      </c>
      <c r="P13" s="7">
        <f>$B13 * IFERROR(VLOOKUP("LULUCF|SO2|Non-fatal heart attacks", US_national_yearly!$D:$AM, 24, FALSE) / VLOOKUP("LULUCF|SO2|Non-fatal heart attacks", US_national_yearly!$D:$AM, 10, FALSE), 1)</f>
        <v>2.3594650722150515E-4</v>
      </c>
      <c r="Q13" s="7">
        <f>$B13 * IFERROR(VLOOKUP("LULUCF|SO2|Non-fatal heart attacks", US_national_yearly!$D:$AM, 25, FALSE) / VLOOKUP("LULUCF|SO2|Non-fatal heart attacks", US_national_yearly!$D:$AM, 10, FALSE), 1)</f>
        <v>2.3851742336558618E-4</v>
      </c>
      <c r="R13" s="7">
        <f>$B13 * IFERROR(VLOOKUP("LULUCF|SO2|Non-fatal heart attacks", US_national_yearly!$D:$AM, 26, FALSE) / VLOOKUP("LULUCF|SO2|Non-fatal heart attacks", US_national_yearly!$D:$AM, 10, FALSE), 1)</f>
        <v>2.4108833950966719E-4</v>
      </c>
      <c r="S13" s="7">
        <f>$B13 * IFERROR(VLOOKUP("LULUCF|SO2|Non-fatal heart attacks", US_national_yearly!$D:$AM, 27, FALSE) / VLOOKUP("LULUCF|SO2|Non-fatal heart attacks", US_national_yearly!$D:$AM, 10, FALSE), 1)</f>
        <v>2.4243060036763093E-4</v>
      </c>
      <c r="T13" s="7">
        <f>$B13 * IFERROR(VLOOKUP("LULUCF|SO2|Non-fatal heart attacks", US_national_yearly!$D:$AM, 28, FALSE) / VLOOKUP("LULUCF|SO2|Non-fatal heart attacks", US_national_yearly!$D:$AM, 10, FALSE), 1)</f>
        <v>2.4377286122559467E-4</v>
      </c>
      <c r="U13" s="7">
        <f>$B13 * IFERROR(VLOOKUP("LULUCF|SO2|Non-fatal heart attacks", US_national_yearly!$D:$AM, 29, FALSE) / VLOOKUP("LULUCF|SO2|Non-fatal heart attacks", US_national_yearly!$D:$AM, 10, FALSE), 1)</f>
        <v>2.4511512208355839E-4</v>
      </c>
      <c r="V13" s="7">
        <f>$B13 * IFERROR(VLOOKUP("LULUCF|SO2|Non-fatal heart attacks", US_national_yearly!$D:$AM, 30, FALSE) / VLOOKUP("LULUCF|SO2|Non-fatal heart attacks", US_national_yearly!$D:$AM, 10, FALSE), 1)</f>
        <v>2.4645738294152208E-4</v>
      </c>
      <c r="W13" s="7">
        <f>$B13 * IFERROR(VLOOKUP("LULUCF|SO2|Non-fatal heart attacks", US_national_yearly!$D:$AM, 31, FALSE) / VLOOKUP("LULUCF|SO2|Non-fatal heart attacks", US_national_yearly!$D:$AM, 10, FALSE), 1)</f>
        <v>2.4779964379948588E-4</v>
      </c>
      <c r="X13" s="7">
        <f>$B13 * IFERROR(VLOOKUP("LULUCF|SO2|Non-fatal heart attacks", US_national_yearly!$D:$AM, 32, FALSE) / VLOOKUP("LULUCF|SO2|Non-fatal heart attacks", US_national_yearly!$D:$AM, 10, FALSE), 1)</f>
        <v>2.4881293333452198E-4</v>
      </c>
      <c r="Y13" s="7">
        <f>$B13 * IFERROR(VLOOKUP("LULUCF|SO2|Non-fatal heart attacks", US_national_yearly!$D:$AM, 33, FALSE) / VLOOKUP("LULUCF|SO2|Non-fatal heart attacks", US_national_yearly!$D:$AM, 10, FALSE), 1)</f>
        <v>2.4982622286955802E-4</v>
      </c>
      <c r="Z13" s="7">
        <f>$B13 * IFERROR(VLOOKUP("LULUCF|SO2|Non-fatal heart attacks", US_national_yearly!$D:$AM, 34, FALSE) / VLOOKUP("LULUCF|SO2|Non-fatal heart attacks", US_national_yearly!$D:$AM, 10, FALSE), 1)</f>
        <v>2.5083951240459411E-4</v>
      </c>
      <c r="AA13" s="7">
        <f>$B13 * IFERROR(VLOOKUP("LULUCF|SO2|Non-fatal heart attacks", US_national_yearly!$D:$AM, 35, FALSE) / VLOOKUP("LULUCF|SO2|Non-fatal heart attacks", US_national_yearly!$D:$AM, 10, FALSE), 1)</f>
        <v>2.5185280193963021E-4</v>
      </c>
      <c r="AB13" s="7">
        <f>$B13 * IFERROR(VLOOKUP("LULUCF|SO2|Non-fatal heart attacks", US_national_yearly!$D:$AM, 36, FALSE) / VLOOKUP("LULUCF|SO2|Non-fatal heart attacks", US_national_yearly!$D:$AM, 10, FALSE), 1)</f>
        <v>2.5286609147466625E-4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0.14781093313842605</v>
      </c>
      <c r="C14" s="7">
        <f>$B14 * IFERROR(VLOOKUP("LULUCF|SO2|Minor restricted activity days", US_national_yearly!$D:$AM, 11, FALSE) / VLOOKUP("LULUCF|SO2|Minor restricted activity days", US_national_yearly!$D:$AM, 10, FALSE), 1)</f>
        <v>0.14818351525139994</v>
      </c>
      <c r="D14" s="7">
        <f>$B14 * IFERROR(VLOOKUP("LULUCF|SO2|Minor restricted activity days", US_national_yearly!$D:$AM, 12, FALSE) / VLOOKUP("LULUCF|SO2|Minor restricted activity days", US_national_yearly!$D:$AM, 10, FALSE), 1)</f>
        <v>0.14855609736437378</v>
      </c>
      <c r="E14" s="7">
        <f>$B14 * IFERROR(VLOOKUP("LULUCF|SO2|Minor restricted activity days", US_national_yearly!$D:$AM, 13, FALSE) / VLOOKUP("LULUCF|SO2|Minor restricted activity days", US_national_yearly!$D:$AM, 10, FALSE), 1)</f>
        <v>0.14892867947734767</v>
      </c>
      <c r="F14" s="7">
        <f>$B14 * IFERROR(VLOOKUP("LULUCF|SO2|Minor restricted activity days", US_national_yearly!$D:$AM, 14, FALSE) / VLOOKUP("LULUCF|SO2|Minor restricted activity days", US_national_yearly!$D:$AM, 10, FALSE), 1)</f>
        <v>0.14930126159032153</v>
      </c>
      <c r="G14" s="7">
        <f>$B14 * IFERROR(VLOOKUP("LULUCF|SO2|Minor restricted activity days", US_national_yearly!$D:$AM, 15, FALSE) / VLOOKUP("LULUCF|SO2|Minor restricted activity days", US_national_yearly!$D:$AM, 10, FALSE), 1)</f>
        <v>0.1498496658579479</v>
      </c>
      <c r="H14" s="7">
        <f>$B14 * IFERROR(VLOOKUP("LULUCF|SO2|Minor restricted activity days", US_national_yearly!$D:$AM, 16, FALSE) / VLOOKUP("LULUCF|SO2|Minor restricted activity days", US_national_yearly!$D:$AM, 10, FALSE), 1)</f>
        <v>0.15039807012557427</v>
      </c>
      <c r="I14" s="7">
        <f>$B14 * IFERROR(VLOOKUP("LULUCF|SO2|Minor restricted activity days", US_national_yearly!$D:$AM, 17, FALSE) / VLOOKUP("LULUCF|SO2|Minor restricted activity days", US_national_yearly!$D:$AM, 10, FALSE), 1)</f>
        <v>0.15133332248674422</v>
      </c>
      <c r="J14" s="7">
        <f>$B14 * IFERROR(VLOOKUP("LULUCF|SO2|Minor restricted activity days", US_national_yearly!$D:$AM, 18, FALSE) / VLOOKUP("LULUCF|SO2|Minor restricted activity days", US_national_yearly!$D:$AM, 10, FALSE), 1)</f>
        <v>0.15226857484791417</v>
      </c>
      <c r="K14" s="7">
        <f>$B14 * IFERROR(VLOOKUP("LULUCF|SO2|Minor restricted activity days", US_national_yearly!$D:$AM, 19, FALSE) / VLOOKUP("LULUCF|SO2|Minor restricted activity days", US_national_yearly!$D:$AM, 10, FALSE), 1)</f>
        <v>0.15320382720908418</v>
      </c>
      <c r="L14" s="7">
        <f>$B14 * IFERROR(VLOOKUP("LULUCF|SO2|Minor restricted activity days", US_national_yearly!$D:$AM, 20, FALSE) / VLOOKUP("LULUCF|SO2|Minor restricted activity days", US_national_yearly!$D:$AM, 10, FALSE), 1)</f>
        <v>0.15413907957025413</v>
      </c>
      <c r="M14" s="7">
        <f>$B14 * IFERROR(VLOOKUP("LULUCF|SO2|Minor restricted activity days", US_national_yearly!$D:$AM, 21, FALSE) / VLOOKUP("LULUCF|SO2|Minor restricted activity days", US_national_yearly!$D:$AM, 10, FALSE), 1)</f>
        <v>0.15507433193142409</v>
      </c>
      <c r="N14" s="7">
        <f>$B14 * IFERROR(VLOOKUP("LULUCF|SO2|Minor restricted activity days", US_national_yearly!$D:$AM, 22, FALSE) / VLOOKUP("LULUCF|SO2|Minor restricted activity days", US_national_yearly!$D:$AM, 10, FALSE), 1)</f>
        <v>0.15635360709186619</v>
      </c>
      <c r="O14" s="7">
        <f>$B14 * IFERROR(VLOOKUP("LULUCF|SO2|Minor restricted activity days", US_national_yearly!$D:$AM, 23, FALSE) / VLOOKUP("LULUCF|SO2|Minor restricted activity days", US_national_yearly!$D:$AM, 10, FALSE), 1)</f>
        <v>0.15763288225230826</v>
      </c>
      <c r="P14" s="7">
        <f>$B14 * IFERROR(VLOOKUP("LULUCF|SO2|Minor restricted activity days", US_national_yearly!$D:$AM, 24, FALSE) / VLOOKUP("LULUCF|SO2|Minor restricted activity days", US_national_yearly!$D:$AM, 10, FALSE), 1)</f>
        <v>0.15891215741275036</v>
      </c>
      <c r="Q14" s="7">
        <f>$B14 * IFERROR(VLOOKUP("LULUCF|SO2|Minor restricted activity days", US_national_yearly!$D:$AM, 25, FALSE) / VLOOKUP("LULUCF|SO2|Minor restricted activity days", US_national_yearly!$D:$AM, 10, FALSE), 1)</f>
        <v>0.16019143257319246</v>
      </c>
      <c r="R14" s="7">
        <f>$B14 * IFERROR(VLOOKUP("LULUCF|SO2|Minor restricted activity days", US_national_yearly!$D:$AM, 26, FALSE) / VLOOKUP("LULUCF|SO2|Minor restricted activity days", US_national_yearly!$D:$AM, 10, FALSE), 1)</f>
        <v>0.16147070773363453</v>
      </c>
      <c r="S14" s="7">
        <f>$B14 * IFERROR(VLOOKUP("LULUCF|SO2|Minor restricted activity days", US_national_yearly!$D:$AM, 27, FALSE) / VLOOKUP("LULUCF|SO2|Minor restricted activity days", US_national_yearly!$D:$AM, 10, FALSE), 1)</f>
        <v>0.1627750539673862</v>
      </c>
      <c r="T14" s="7">
        <f>$B14 * IFERROR(VLOOKUP("LULUCF|SO2|Minor restricted activity days", US_national_yearly!$D:$AM, 28, FALSE) / VLOOKUP("LULUCF|SO2|Minor restricted activity days", US_national_yearly!$D:$AM, 10, FALSE), 1)</f>
        <v>0.16407940020113787</v>
      </c>
      <c r="U14" s="7">
        <f>$B14 * IFERROR(VLOOKUP("LULUCF|SO2|Minor restricted activity days", US_national_yearly!$D:$AM, 29, FALSE) / VLOOKUP("LULUCF|SO2|Minor restricted activity days", US_national_yearly!$D:$AM, 10, FALSE), 1)</f>
        <v>0.16538374643488954</v>
      </c>
      <c r="V14" s="7">
        <f>$B14 * IFERROR(VLOOKUP("LULUCF|SO2|Minor restricted activity days", US_national_yearly!$D:$AM, 30, FALSE) / VLOOKUP("LULUCF|SO2|Minor restricted activity days", US_national_yearly!$D:$AM, 10, FALSE), 1)</f>
        <v>0.16668809266864121</v>
      </c>
      <c r="W14" s="7">
        <f>$B14 * IFERROR(VLOOKUP("LULUCF|SO2|Minor restricted activity days", US_national_yearly!$D:$AM, 31, FALSE) / VLOOKUP("LULUCF|SO2|Minor restricted activity days", US_national_yearly!$D:$AM, 10, FALSE), 1)</f>
        <v>0.1679924389023929</v>
      </c>
      <c r="X14" s="7">
        <f>$B14 * IFERROR(VLOOKUP("LULUCF|SO2|Minor restricted activity days", US_national_yearly!$D:$AM, 32, FALSE) / VLOOKUP("LULUCF|SO2|Minor restricted activity days", US_national_yearly!$D:$AM, 10, FALSE), 1)</f>
        <v>0.16913950747316991</v>
      </c>
      <c r="Y14" s="7">
        <f>$B14 * IFERROR(VLOOKUP("LULUCF|SO2|Minor restricted activity days", US_national_yearly!$D:$AM, 33, FALSE) / VLOOKUP("LULUCF|SO2|Minor restricted activity days", US_national_yearly!$D:$AM, 10, FALSE), 1)</f>
        <v>0.17028657604394695</v>
      </c>
      <c r="Z14" s="7">
        <f>$B14 * IFERROR(VLOOKUP("LULUCF|SO2|Minor restricted activity days", US_national_yearly!$D:$AM, 34, FALSE) / VLOOKUP("LULUCF|SO2|Minor restricted activity days", US_national_yearly!$D:$AM, 10, FALSE), 1)</f>
        <v>0.17143364461472402</v>
      </c>
      <c r="AA14" s="7">
        <f>$B14 * IFERROR(VLOOKUP("LULUCF|SO2|Minor restricted activity days", US_national_yearly!$D:$AM, 35, FALSE) / VLOOKUP("LULUCF|SO2|Minor restricted activity days", US_national_yearly!$D:$AM, 10, FALSE), 1)</f>
        <v>0.17258071318550106</v>
      </c>
      <c r="AB14" s="7">
        <f>$B14 * IFERROR(VLOOKUP("LULUCF|SO2|Minor restricted activity days", US_national_yearly!$D:$AM, 36, FALSE) / VLOOKUP("LULUCF|SO2|Minor restricted activity days", US_national_yearly!$D:$AM, 10, FALSE), 1)</f>
        <v>0.17372778175627812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2.5079529851918005E-2</v>
      </c>
      <c r="C15" s="7">
        <f>$B15 * IFERROR(VLOOKUP("LULUCF|SO2|Work loss days", US_national_yearly!$D:$AM, 11, FALSE) / VLOOKUP("LULUCF|SO2|Work loss days", US_national_yearly!$D:$AM, 10, FALSE), 1)</f>
        <v>2.5160783542599534E-2</v>
      </c>
      <c r="D15" s="7">
        <f>$B15 * IFERROR(VLOOKUP("LULUCF|SO2|Work loss days", US_national_yearly!$D:$AM, 12, FALSE) / VLOOKUP("LULUCF|SO2|Work loss days", US_national_yearly!$D:$AM, 10, FALSE), 1)</f>
        <v>2.524203723328106E-2</v>
      </c>
      <c r="E15" s="7">
        <f>$B15 * IFERROR(VLOOKUP("LULUCF|SO2|Work loss days", US_national_yearly!$D:$AM, 13, FALSE) / VLOOKUP("LULUCF|SO2|Work loss days", US_national_yearly!$D:$AM, 10, FALSE), 1)</f>
        <v>2.5323290923962589E-2</v>
      </c>
      <c r="F15" s="7">
        <f>$B15 * IFERROR(VLOOKUP("LULUCF|SO2|Work loss days", US_national_yearly!$D:$AM, 14, FALSE) / VLOOKUP("LULUCF|SO2|Work loss days", US_national_yearly!$D:$AM, 10, FALSE), 1)</f>
        <v>2.5404544614644115E-2</v>
      </c>
      <c r="G15" s="7">
        <f>$B15 * IFERROR(VLOOKUP("LULUCF|SO2|Work loss days", US_national_yearly!$D:$AM, 15, FALSE) / VLOOKUP("LULUCF|SO2|Work loss days", US_national_yearly!$D:$AM, 10, FALSE), 1)</f>
        <v>2.5510712503544038E-2</v>
      </c>
      <c r="H15" s="7">
        <f>$B15 * IFERROR(VLOOKUP("LULUCF|SO2|Work loss days", US_national_yearly!$D:$AM, 16, FALSE) / VLOOKUP("LULUCF|SO2|Work loss days", US_national_yearly!$D:$AM, 10, FALSE), 1)</f>
        <v>2.5616880392443957E-2</v>
      </c>
      <c r="I15" s="7">
        <f>$B15 * IFERROR(VLOOKUP("LULUCF|SO2|Work loss days", US_national_yearly!$D:$AM, 17, FALSE) / VLOOKUP("LULUCF|SO2|Work loss days", US_national_yearly!$D:$AM, 10, FALSE), 1)</f>
        <v>2.577218976189366E-2</v>
      </c>
      <c r="J15" s="7">
        <f>$B15 * IFERROR(VLOOKUP("LULUCF|SO2|Work loss days", US_national_yearly!$D:$AM, 18, FALSE) / VLOOKUP("LULUCF|SO2|Work loss days", US_national_yearly!$D:$AM, 10, FALSE), 1)</f>
        <v>2.5927499131343356E-2</v>
      </c>
      <c r="K15" s="7">
        <f>$B15 * IFERROR(VLOOKUP("LULUCF|SO2|Work loss days", US_national_yearly!$D:$AM, 19, FALSE) / VLOOKUP("LULUCF|SO2|Work loss days", US_national_yearly!$D:$AM, 10, FALSE), 1)</f>
        <v>2.6082808500793059E-2</v>
      </c>
      <c r="L15" s="7">
        <f>$B15 * IFERROR(VLOOKUP("LULUCF|SO2|Work loss days", US_national_yearly!$D:$AM, 20, FALSE) / VLOOKUP("LULUCF|SO2|Work loss days", US_national_yearly!$D:$AM, 10, FALSE), 1)</f>
        <v>2.6238117870242762E-2</v>
      </c>
      <c r="M15" s="7">
        <f>$B15 * IFERROR(VLOOKUP("LULUCF|SO2|Work loss days", US_national_yearly!$D:$AM, 21, FALSE) / VLOOKUP("LULUCF|SO2|Work loss days", US_national_yearly!$D:$AM, 10, FALSE), 1)</f>
        <v>2.6393427239692464E-2</v>
      </c>
      <c r="N15" s="7">
        <f>$B15 * IFERROR(VLOOKUP("LULUCF|SO2|Work loss days", US_national_yearly!$D:$AM, 22, FALSE) / VLOOKUP("LULUCF|SO2|Work loss days", US_national_yearly!$D:$AM, 10, FALSE), 1)</f>
        <v>2.6588160021009281E-2</v>
      </c>
      <c r="O15" s="7">
        <f>$B15 * IFERROR(VLOOKUP("LULUCF|SO2|Work loss days", US_national_yearly!$D:$AM, 23, FALSE) / VLOOKUP("LULUCF|SO2|Work loss days", US_national_yearly!$D:$AM, 10, FALSE), 1)</f>
        <v>2.6782892802326094E-2</v>
      </c>
      <c r="P15" s="7">
        <f>$B15 * IFERROR(VLOOKUP("LULUCF|SO2|Work loss days", US_national_yearly!$D:$AM, 24, FALSE) / VLOOKUP("LULUCF|SO2|Work loss days", US_national_yearly!$D:$AM, 10, FALSE), 1)</f>
        <v>2.6977625583642903E-2</v>
      </c>
      <c r="Q15" s="7">
        <f>$B15 * IFERROR(VLOOKUP("LULUCF|SO2|Work loss days", US_national_yearly!$D:$AM, 25, FALSE) / VLOOKUP("LULUCF|SO2|Work loss days", US_national_yearly!$D:$AM, 10, FALSE), 1)</f>
        <v>2.7172358364959719E-2</v>
      </c>
      <c r="R15" s="7">
        <f>$B15 * IFERROR(VLOOKUP("LULUCF|SO2|Work loss days", US_national_yearly!$D:$AM, 26, FALSE) / VLOOKUP("LULUCF|SO2|Work loss days", US_national_yearly!$D:$AM, 10, FALSE), 1)</f>
        <v>2.7367091146276536E-2</v>
      </c>
      <c r="S15" s="7">
        <f>$B15 * IFERROR(VLOOKUP("LULUCF|SO2|Work loss days", US_national_yearly!$D:$AM, 27, FALSE) / VLOOKUP("LULUCF|SO2|Work loss days", US_national_yearly!$D:$AM, 10, FALSE), 1)</f>
        <v>2.7584704387372296E-2</v>
      </c>
      <c r="T15" s="7">
        <f>$B15 * IFERROR(VLOOKUP("LULUCF|SO2|Work loss days", US_national_yearly!$D:$AM, 28, FALSE) / VLOOKUP("LULUCF|SO2|Work loss days", US_national_yearly!$D:$AM, 10, FALSE), 1)</f>
        <v>2.7802317628468059E-2</v>
      </c>
      <c r="U15" s="7">
        <f>$B15 * IFERROR(VLOOKUP("LULUCF|SO2|Work loss days", US_national_yearly!$D:$AM, 29, FALSE) / VLOOKUP("LULUCF|SO2|Work loss days", US_national_yearly!$D:$AM, 10, FALSE), 1)</f>
        <v>2.8019930869563819E-2</v>
      </c>
      <c r="V15" s="7">
        <f>$B15 * IFERROR(VLOOKUP("LULUCF|SO2|Work loss days", US_national_yearly!$D:$AM, 30, FALSE) / VLOOKUP("LULUCF|SO2|Work loss days", US_national_yearly!$D:$AM, 10, FALSE), 1)</f>
        <v>2.8237544110659579E-2</v>
      </c>
      <c r="W15" s="7">
        <f>$B15 * IFERROR(VLOOKUP("LULUCF|SO2|Work loss days", US_national_yearly!$D:$AM, 31, FALSE) / VLOOKUP("LULUCF|SO2|Work loss days", US_national_yearly!$D:$AM, 10, FALSE), 1)</f>
        <v>2.8455157351755345E-2</v>
      </c>
      <c r="X15" s="7">
        <f>$B15 * IFERROR(VLOOKUP("LULUCF|SO2|Work loss days", US_national_yearly!$D:$AM, 32, FALSE) / VLOOKUP("LULUCF|SO2|Work loss days", US_national_yearly!$D:$AM, 10, FALSE), 1)</f>
        <v>2.8650544047186723E-2</v>
      </c>
      <c r="Y15" s="7">
        <f>$B15 * IFERROR(VLOOKUP("LULUCF|SO2|Work loss days", US_national_yearly!$D:$AM, 33, FALSE) / VLOOKUP("LULUCF|SO2|Work loss days", US_national_yearly!$D:$AM, 10, FALSE), 1)</f>
        <v>2.8845930742618108E-2</v>
      </c>
      <c r="Z15" s="7">
        <f>$B15 * IFERROR(VLOOKUP("LULUCF|SO2|Work loss days", US_national_yearly!$D:$AM, 34, FALSE) / VLOOKUP("LULUCF|SO2|Work loss days", US_national_yearly!$D:$AM, 10, FALSE), 1)</f>
        <v>2.9041317438049493E-2</v>
      </c>
      <c r="AA15" s="7">
        <f>$B15 * IFERROR(VLOOKUP("LULUCF|SO2|Work loss days", US_national_yearly!$D:$AM, 35, FALSE) / VLOOKUP("LULUCF|SO2|Work loss days", US_national_yearly!$D:$AM, 10, FALSE), 1)</f>
        <v>2.9236704133480878E-2</v>
      </c>
      <c r="AB15" s="7">
        <f>$B15 * IFERROR(VLOOKUP("LULUCF|SO2|Work loss days", US_national_yearly!$D:$AM, 36, FALSE) / VLOOKUP("LULUCF|SO2|Work loss days", US_national_yearly!$D:$AM, 10, FALSE), 1)</f>
        <v>2.9432090828912263E-2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4.317204534836505E-5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4.4477733323669978E-5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4.5783421298974906E-5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4.7089109274279833E-5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4.8394797249584768E-5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4.964552217840596E-5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5.0896247107227165E-5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5.1967874294387761E-5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5.3039501481548356E-5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5.4111128668708952E-5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5.518275585586954E-5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5.6254383043030129E-5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5.6974272407089914E-5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5.7694161771149692E-5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5.841405113520947E-5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5.9133940499269248E-5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5.9853829863329033E-5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6.0232440412653885E-5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6.0611050961978736E-5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6.0989661511303581E-5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6.1368272060628433E-5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6.1746882609953278E-5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6.2001056387623593E-5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6.2255230165293894E-5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6.2509403942964195E-5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6.276357772063451E-5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6.3017751498304798E-5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2026-06-15T17:15:32Z</dcterms:modified>
</cp:coreProperties>
</file>