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4B8AEA70-B58C-4E4F-A8E1-8669070CED3E}"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N43" i="9" s="1"/>
  <c r="M23" i="9"/>
  <c r="L23" i="9"/>
  <c r="K23" i="9"/>
  <c r="J23" i="9"/>
  <c r="I23" i="9"/>
  <c r="H23" i="9"/>
  <c r="G23" i="9"/>
  <c r="F23" i="9"/>
  <c r="E23" i="9"/>
  <c r="D23" i="9"/>
  <c r="C23" i="9"/>
  <c r="B23" i="9"/>
  <c r="AB22" i="9"/>
  <c r="AA22" i="9"/>
  <c r="Z22" i="9"/>
  <c r="Y22" i="9"/>
  <c r="X22" i="9"/>
  <c r="W22" i="9"/>
  <c r="V22" i="9"/>
  <c r="U22" i="9"/>
  <c r="U42" i="9" s="1"/>
  <c r="T22" i="9"/>
  <c r="T42" i="9" s="1"/>
  <c r="S22" i="9"/>
  <c r="S42" i="9" s="1"/>
  <c r="R22" i="9"/>
  <c r="Q22" i="9"/>
  <c r="P22" i="9"/>
  <c r="O22" i="9"/>
  <c r="N22" i="9"/>
  <c r="M22" i="9"/>
  <c r="L22" i="9"/>
  <c r="K22" i="9"/>
  <c r="J22" i="9"/>
  <c r="I22" i="9"/>
  <c r="H22" i="9"/>
  <c r="G22" i="9"/>
  <c r="F22" i="9"/>
  <c r="E22" i="9"/>
  <c r="D22" i="9"/>
  <c r="C22" i="9"/>
  <c r="B22" i="9"/>
  <c r="AB21" i="9"/>
  <c r="AA21" i="9"/>
  <c r="Z21" i="9"/>
  <c r="Z41" i="9" s="1"/>
  <c r="Y21" i="9"/>
  <c r="Y41" i="9" s="1"/>
  <c r="X21" i="9"/>
  <c r="X41" i="9" s="1"/>
  <c r="W21" i="9"/>
  <c r="V21" i="9"/>
  <c r="U21" i="9"/>
  <c r="T21" i="9"/>
  <c r="S21" i="9"/>
  <c r="R21" i="9"/>
  <c r="Q21" i="9"/>
  <c r="P21" i="9"/>
  <c r="O21" i="9"/>
  <c r="N21" i="9"/>
  <c r="M21" i="9"/>
  <c r="L21" i="9"/>
  <c r="K21" i="9"/>
  <c r="J21" i="9"/>
  <c r="I21" i="9"/>
  <c r="H21" i="9"/>
  <c r="G21" i="9"/>
  <c r="F21" i="9"/>
  <c r="E21" i="9"/>
  <c r="D21" i="9"/>
  <c r="D41" i="9" s="1"/>
  <c r="C21" i="9"/>
  <c r="C41" i="9" s="1"/>
  <c r="B21" i="9"/>
  <c r="B41" i="9" s="1"/>
  <c r="AB20" i="9"/>
  <c r="AA20" i="9"/>
  <c r="Z20" i="9"/>
  <c r="Y20" i="9"/>
  <c r="X20" i="9"/>
  <c r="W20" i="9"/>
  <c r="V20" i="9"/>
  <c r="U20" i="9"/>
  <c r="T20" i="9"/>
  <c r="S20" i="9"/>
  <c r="R20" i="9"/>
  <c r="Q20" i="9"/>
  <c r="P20" i="9"/>
  <c r="O20" i="9"/>
  <c r="N20" i="9"/>
  <c r="M20" i="9"/>
  <c r="L20" i="9"/>
  <c r="K20" i="9"/>
  <c r="J20" i="9"/>
  <c r="I20" i="9"/>
  <c r="I40" i="9" s="1"/>
  <c r="H20" i="9"/>
  <c r="G20" i="9"/>
  <c r="G40" i="9" s="1"/>
  <c r="F20" i="9"/>
  <c r="E20" i="9"/>
  <c r="D20" i="9"/>
  <c r="C20" i="9"/>
  <c r="B20" i="9"/>
  <c r="AB19" i="9"/>
  <c r="AA19" i="9"/>
  <c r="Z19" i="9"/>
  <c r="Y19" i="9"/>
  <c r="X19" i="9"/>
  <c r="W19" i="9"/>
  <c r="V19" i="9"/>
  <c r="U19" i="9"/>
  <c r="T19" i="9"/>
  <c r="S19" i="9"/>
  <c r="R19" i="9"/>
  <c r="Q19" i="9"/>
  <c r="P19" i="9"/>
  <c r="O19" i="9"/>
  <c r="N19" i="9"/>
  <c r="N39" i="9" s="1"/>
  <c r="M19" i="9"/>
  <c r="M39" i="9" s="1"/>
  <c r="L19" i="9"/>
  <c r="L39" i="9" s="1"/>
  <c r="K19" i="9"/>
  <c r="J19" i="9"/>
  <c r="I19" i="9"/>
  <c r="H19" i="9"/>
  <c r="G19" i="9"/>
  <c r="F19" i="9"/>
  <c r="E19" i="9"/>
  <c r="D19" i="9"/>
  <c r="C19" i="9"/>
  <c r="B19" i="9"/>
  <c r="AB18" i="9"/>
  <c r="AA18" i="9"/>
  <c r="Z18" i="9"/>
  <c r="Y18" i="9"/>
  <c r="X18" i="9"/>
  <c r="W18" i="9"/>
  <c r="V18" i="9"/>
  <c r="U18" i="9"/>
  <c r="T18" i="9"/>
  <c r="S18" i="9"/>
  <c r="S38" i="9" s="1"/>
  <c r="R18" i="9"/>
  <c r="R38" i="9" s="1"/>
  <c r="Q18" i="9"/>
  <c r="Q38" i="9" s="1"/>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E45" i="9" l="1"/>
  <c r="H40" i="9"/>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D4" i="1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M4" i="1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<sst xmlns="http://schemas.openxmlformats.org/spreadsheetml/2006/main" count="5677" uniqueCount="335">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</sst>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98</v>
      </c>
    </row>
    <row r="2" spans="1:2" x14ac:dyDescent="0.25">
      <c r="A2" s="3" t="s">
        <v>2</v>
      </c>
      <c r="B2" s="4" t="str">
        <f>IFERROR(INDEX(Geography!B:B, MATCH($B$1, Geography!C:C, 0)), "")</f>
        <v>MD</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3045012</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6263220</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0.98066714429468149</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3218208</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6263220</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1.0190075742118405</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3551301</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6263220</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0.75453070347945339</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1976758</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6263220</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2.3103016022682832</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458331</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6263220</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1.1333041871826439</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276830</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6263220</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0.93354378632511015</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830949</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6263220</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0.6798781929870944</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5432271</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6263220</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1.0776140479469429</v>
      </c>
    </row>
    <row r="12" spans="1:28" x14ac:dyDescent="0.25">
      <c r="A12" s="4" t="s">
        <v>319</v>
      </c>
    </row>
    <row r="13" spans="1:28" x14ac:dyDescent="0.25">
      <c r="A13" s="4" t="s">
        <v>320</v>
      </c>
      <c r="B13" s="37">
        <f>INDEX(Census_pop_2020_2025!G:G, MATCH("."&amp;About!$B$1, Census_pop_2020_2025!A:A, 0))</f>
        <v>6245314</v>
      </c>
      <c r="C13" s="37">
        <f>INDEX(Census_pop_2020_2025!H:H, MATCH("."&amp;About!$B$1, Census_pop_2020_2025!A:A, 0))</f>
        <v>6265347</v>
      </c>
      <c r="D13" s="37">
        <f>INDEX(Census_pop_2020_2025!H:H, MATCH("."&amp;About!$B$1, Census_pop_2020_2025!A:A, 0))+0.2*(INDEX(Cooper_pop_2030_2050!D:D, MATCH(About!$B$1, Cooper_pop_2030_2050!B:B, 0))-INDEX(Census_pop_2020_2025!H:H, MATCH("."&amp;About!$B$1, Census_pop_2020_2025!A:A, 0)))</f>
        <v>6311095.5714549385</v>
      </c>
      <c r="E13" s="37">
        <f>INDEX(Census_pop_2020_2025!H:H, MATCH("."&amp;About!$B$1, Census_pop_2020_2025!A:A, 0))+0.4*(INDEX(Cooper_pop_2030_2050!D:D, MATCH(About!$B$1, Cooper_pop_2030_2050!B:B, 0))-INDEX(Census_pop_2020_2025!H:H, MATCH("."&amp;About!$B$1, Census_pop_2020_2025!A:A, 0)))</f>
        <v>6356844.1429098761</v>
      </c>
      <c r="F13" s="37">
        <f>INDEX(Census_pop_2020_2025!H:H, MATCH("."&amp;About!$B$1, Census_pop_2020_2025!A:A, 0))+0.6*(INDEX(Cooper_pop_2030_2050!D:D, MATCH(About!$B$1, Cooper_pop_2030_2050!B:B, 0))-INDEX(Census_pop_2020_2025!H:H, MATCH("."&amp;About!$B$1, Census_pop_2020_2025!A:A, 0)))</f>
        <v>6402592.7143648146</v>
      </c>
      <c r="G13" s="37">
        <f>INDEX(Census_pop_2020_2025!H:H, MATCH("."&amp;About!$B$1, Census_pop_2020_2025!A:A, 0))+0.8*(INDEX(Cooper_pop_2030_2050!D:D, MATCH(About!$B$1, Cooper_pop_2030_2050!B:B, 0))-INDEX(Census_pop_2020_2025!H:H, MATCH("."&amp;About!$B$1, Census_pop_2020_2025!A:A, 0)))</f>
        <v>6448341.2858197521</v>
      </c>
      <c r="H13" s="37">
        <f>INDEX(Cooper_pop_2030_2050!D:D, MATCH(About!$B$1, Cooper_pop_2030_2050!B:B, 0))</f>
        <v>6494089.8572746906</v>
      </c>
      <c r="I13" s="37">
        <f>INDEX(Cooper_pop_2030_2050!D:D, MATCH(About!$B$1, Cooper_pop_2030_2050!B:B, 0))+0.1*(INDEX(Cooper_pop_2030_2050!E:E, MATCH(About!$B$1, Cooper_pop_2030_2050!B:B, 0))-INDEX(Cooper_pop_2030_2050!D:D, MATCH(About!$B$1, Cooper_pop_2030_2050!B:B, 0)))</f>
        <v>6512708.903988569</v>
      </c>
      <c r="J13" s="37">
        <f>INDEX(Cooper_pop_2030_2050!D:D, MATCH(About!$B$1, Cooper_pop_2030_2050!B:B, 0))+0.2*(INDEX(Cooper_pop_2030_2050!E:E, MATCH(About!$B$1, Cooper_pop_2030_2050!B:B, 0))-INDEX(Cooper_pop_2030_2050!D:D, MATCH(About!$B$1, Cooper_pop_2030_2050!B:B, 0)))</f>
        <v>6531327.9507024484</v>
      </c>
      <c r="K13" s="37">
        <f>INDEX(Cooper_pop_2030_2050!D:D, MATCH(About!$B$1, Cooper_pop_2030_2050!B:B, 0))+0.3*(INDEX(Cooper_pop_2030_2050!E:E, MATCH(About!$B$1, Cooper_pop_2030_2050!B:B, 0))-INDEX(Cooper_pop_2030_2050!D:D, MATCH(About!$B$1, Cooper_pop_2030_2050!B:B, 0)))</f>
        <v>6549946.9974163268</v>
      </c>
      <c r="L13" s="37">
        <f>INDEX(Cooper_pop_2030_2050!D:D, MATCH(About!$B$1, Cooper_pop_2030_2050!B:B, 0))+0.4*(INDEX(Cooper_pop_2030_2050!E:E, MATCH(About!$B$1, Cooper_pop_2030_2050!B:B, 0))-INDEX(Cooper_pop_2030_2050!D:D, MATCH(About!$B$1, Cooper_pop_2030_2050!B:B, 0)))</f>
        <v>6568566.0441302061</v>
      </c>
      <c r="M13" s="37">
        <f>INDEX(Cooper_pop_2030_2050!D:D, MATCH(About!$B$1, Cooper_pop_2030_2050!B:B, 0))+0.5*(INDEX(Cooper_pop_2030_2050!E:E, MATCH(About!$B$1, Cooper_pop_2030_2050!B:B, 0))-INDEX(Cooper_pop_2030_2050!D:D, MATCH(About!$B$1, Cooper_pop_2030_2050!B:B, 0)))</f>
        <v>6587185.0908440845</v>
      </c>
      <c r="N13" s="37">
        <f>INDEX(Cooper_pop_2030_2050!D:D, MATCH(About!$B$1, Cooper_pop_2030_2050!B:B, 0))+0.6*(INDEX(Cooper_pop_2030_2050!E:E, MATCH(About!$B$1, Cooper_pop_2030_2050!B:B, 0))-INDEX(Cooper_pop_2030_2050!D:D, MATCH(About!$B$1, Cooper_pop_2030_2050!B:B, 0)))</f>
        <v>6605804.1375579629</v>
      </c>
      <c r="O13" s="37">
        <f>INDEX(Cooper_pop_2030_2050!D:D, MATCH(About!$B$1, Cooper_pop_2030_2050!B:B, 0))+0.7*(INDEX(Cooper_pop_2030_2050!E:E, MATCH(About!$B$1, Cooper_pop_2030_2050!B:B, 0))-INDEX(Cooper_pop_2030_2050!D:D, MATCH(About!$B$1, Cooper_pop_2030_2050!B:B, 0)))</f>
        <v>6624423.1842718422</v>
      </c>
      <c r="P13" s="37">
        <f>INDEX(Cooper_pop_2030_2050!D:D, MATCH(About!$B$1, Cooper_pop_2030_2050!B:B, 0))+0.8*(INDEX(Cooper_pop_2030_2050!E:E, MATCH(About!$B$1, Cooper_pop_2030_2050!B:B, 0))-INDEX(Cooper_pop_2030_2050!D:D, MATCH(About!$B$1, Cooper_pop_2030_2050!B:B, 0)))</f>
        <v>6643042.2309857206</v>
      </c>
      <c r="Q13" s="37">
        <f>INDEX(Cooper_pop_2030_2050!D:D, MATCH(About!$B$1, Cooper_pop_2030_2050!B:B, 0))+0.9*(INDEX(Cooper_pop_2030_2050!E:E, MATCH(About!$B$1, Cooper_pop_2030_2050!B:B, 0))-INDEX(Cooper_pop_2030_2050!D:D, MATCH(About!$B$1, Cooper_pop_2030_2050!B:B, 0)))</f>
        <v>6661661.2776996</v>
      </c>
      <c r="R13" s="37">
        <f>INDEX(Cooper_pop_2030_2050!E:E, MATCH(About!$B$1, Cooper_pop_2030_2050!B:B, 0))</f>
        <v>6680280.3244134784</v>
      </c>
      <c r="S13" s="37">
        <f>INDEX(Cooper_pop_2030_2050!E:E, MATCH(About!$B$1, Cooper_pop_2030_2050!B:B, 0))+0.1*(INDEX(Cooper_pop_2030_2050!F:F, MATCH(About!$B$1, Cooper_pop_2030_2050!B:B, 0))-INDEX(Cooper_pop_2030_2050!E:E, MATCH(About!$B$1, Cooper_pop_2030_2050!B:B, 0)))</f>
        <v>6691380.878146572</v>
      </c>
      <c r="T13" s="37">
        <f>INDEX(Cooper_pop_2030_2050!E:E, MATCH(About!$B$1, Cooper_pop_2030_2050!B:B, 0))+0.2*(INDEX(Cooper_pop_2030_2050!F:F, MATCH(About!$B$1, Cooper_pop_2030_2050!B:B, 0))-INDEX(Cooper_pop_2030_2050!E:E, MATCH(About!$B$1, Cooper_pop_2030_2050!B:B, 0)))</f>
        <v>6702481.4318796648</v>
      </c>
      <c r="U13" s="37">
        <f>INDEX(Cooper_pop_2030_2050!E:E, MATCH(About!$B$1, Cooper_pop_2030_2050!B:B, 0))+0.3*(INDEX(Cooper_pop_2030_2050!F:F, MATCH(About!$B$1, Cooper_pop_2030_2050!B:B, 0))-INDEX(Cooper_pop_2030_2050!E:E, MATCH(About!$B$1, Cooper_pop_2030_2050!B:B, 0)))</f>
        <v>6713581.9856127584</v>
      </c>
      <c r="V13" s="37">
        <f>INDEX(Cooper_pop_2030_2050!E:E, MATCH(About!$B$1, Cooper_pop_2030_2050!B:B, 0))+0.4*(INDEX(Cooper_pop_2030_2050!F:F, MATCH(About!$B$1, Cooper_pop_2030_2050!B:B, 0))-INDEX(Cooper_pop_2030_2050!E:E, MATCH(About!$B$1, Cooper_pop_2030_2050!B:B, 0)))</f>
        <v>6724682.5393458521</v>
      </c>
      <c r="W13" s="37">
        <f>INDEX(Cooper_pop_2030_2050!E:E, MATCH(About!$B$1, Cooper_pop_2030_2050!B:B, 0))+0.5*(INDEX(Cooper_pop_2030_2050!F:F, MATCH(About!$B$1, Cooper_pop_2030_2050!B:B, 0))-INDEX(Cooper_pop_2030_2050!E:E, MATCH(About!$B$1, Cooper_pop_2030_2050!B:B, 0)))</f>
        <v>6735783.0930789448</v>
      </c>
      <c r="X13" s="37">
        <f>INDEX(Cooper_pop_2030_2050!E:E, MATCH(About!$B$1, Cooper_pop_2030_2050!B:B, 0))+0.6*(INDEX(Cooper_pop_2030_2050!F:F, MATCH(About!$B$1, Cooper_pop_2030_2050!B:B, 0))-INDEX(Cooper_pop_2030_2050!E:E, MATCH(About!$B$1, Cooper_pop_2030_2050!B:B, 0)))</f>
        <v>6746883.6468120385</v>
      </c>
      <c r="Y13" s="37">
        <f>INDEX(Cooper_pop_2030_2050!E:E, MATCH(About!$B$1, Cooper_pop_2030_2050!B:B, 0))+0.7*(INDEX(Cooper_pop_2030_2050!F:F, MATCH(About!$B$1, Cooper_pop_2030_2050!B:B, 0))-INDEX(Cooper_pop_2030_2050!E:E, MATCH(About!$B$1, Cooper_pop_2030_2050!B:B, 0)))</f>
        <v>6757984.2005451322</v>
      </c>
      <c r="Z13" s="37">
        <f>INDEX(Cooper_pop_2030_2050!E:E, MATCH(About!$B$1, Cooper_pop_2030_2050!B:B, 0))+0.8*(INDEX(Cooper_pop_2030_2050!F:F, MATCH(About!$B$1, Cooper_pop_2030_2050!B:B, 0))-INDEX(Cooper_pop_2030_2050!E:E, MATCH(About!$B$1, Cooper_pop_2030_2050!B:B, 0)))</f>
        <v>6769084.7542782258</v>
      </c>
      <c r="AA13" s="37">
        <f>INDEX(Cooper_pop_2030_2050!E:E, MATCH(About!$B$1, Cooper_pop_2030_2050!B:B, 0))+0.9*(INDEX(Cooper_pop_2030_2050!F:F, MATCH(About!$B$1, Cooper_pop_2030_2050!B:B, 0))-INDEX(Cooper_pop_2030_2050!E:E, MATCH(About!$B$1, Cooper_pop_2030_2050!B:B, 0)))</f>
        <v>6780185.3080113186</v>
      </c>
      <c r="AB13" s="37">
        <f>INDEX(Cooper_pop_2030_2050!F:F, MATCH(About!$B$1, Cooper_pop_2030_2050!B:B, 0))</f>
        <v>6791285.8617444122</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1.8560609131595941E-2</v>
      </c>
      <c r="C15" s="39">
        <f t="shared" si="1"/>
        <v>1.8535637955806143E-2</v>
      </c>
      <c r="D15" s="39">
        <f t="shared" si="1"/>
        <v>1.8588668872664197E-2</v>
      </c>
      <c r="E15" s="39">
        <f t="shared" si="1"/>
        <v>1.8643384742912994E-2</v>
      </c>
      <c r="F15" s="39">
        <f t="shared" si="1"/>
        <v>1.8699992360830968E-2</v>
      </c>
      <c r="G15" s="39">
        <f t="shared" si="1"/>
        <v>1.8758604136586095E-2</v>
      </c>
      <c r="H15" s="39">
        <f t="shared" si="1"/>
        <v>1.8819435957879563E-2</v>
      </c>
      <c r="I15" s="39">
        <f t="shared" si="1"/>
        <v>1.8804419772597798E-2</v>
      </c>
      <c r="J15" s="39">
        <f t="shared" si="1"/>
        <v>1.8792749454064946E-2</v>
      </c>
      <c r="K15" s="39">
        <f t="shared" si="1"/>
        <v>1.8783805452138938E-2</v>
      </c>
      <c r="L15" s="39">
        <f t="shared" si="1"/>
        <v>1.8777651376301118E-2</v>
      </c>
      <c r="M15" s="39">
        <f t="shared" si="1"/>
        <v>1.8774339450094397E-2</v>
      </c>
      <c r="N15" s="39">
        <f t="shared" si="1"/>
        <v>1.8773905573214067E-2</v>
      </c>
      <c r="O15" s="39">
        <f t="shared" si="1"/>
        <v>1.8776387878271947E-2</v>
      </c>
      <c r="P15" s="39">
        <f t="shared" si="1"/>
        <v>1.8781802321353017E-2</v>
      </c>
      <c r="Q15" s="39">
        <f t="shared" si="1"/>
        <v>1.879012788719826E-2</v>
      </c>
      <c r="R15" s="39">
        <f t="shared" si="1"/>
        <v>1.8801322676125491E-2</v>
      </c>
      <c r="S15" s="39">
        <f t="shared" si="1"/>
        <v>1.8794242873196282E-2</v>
      </c>
      <c r="T15" s="39">
        <f t="shared" si="1"/>
        <v>1.8789961616031067E-2</v>
      </c>
      <c r="U15" s="39">
        <f t="shared" si="1"/>
        <v>1.8788320785133945E-2</v>
      </c>
      <c r="V15" s="39">
        <f t="shared" si="1"/>
        <v>1.8789099662312372E-2</v>
      </c>
      <c r="W15" s="39">
        <f t="shared" si="1"/>
        <v>1.8792046603496849E-2</v>
      </c>
      <c r="X15" s="39">
        <f t="shared" si="1"/>
        <v>1.8796901988710972E-2</v>
      </c>
      <c r="Y15" s="39">
        <f t="shared" si="1"/>
        <v>1.8803500527010186E-2</v>
      </c>
      <c r="Z15" s="39">
        <f t="shared" si="1"/>
        <v>1.8811595317384352E-2</v>
      </c>
      <c r="AA15" s="39">
        <f t="shared" si="1"/>
        <v>1.8820934929793136E-2</v>
      </c>
      <c r="AB15" s="39">
        <f t="shared" si="1"/>
        <v>1.8831271356848797E-2</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171.29694737753658</v>
      </c>
      <c r="C48" s="37">
        <f t="shared" si="10"/>
        <v>169.77589926441684</v>
      </c>
      <c r="D48" s="37">
        <f t="shared" si="10"/>
        <v>168.94912292400676</v>
      </c>
      <c r="E48" s="37">
        <f t="shared" si="10"/>
        <v>168.13005303803632</v>
      </c>
      <c r="F48" s="37">
        <f t="shared" si="10"/>
        <v>167.28350607048924</v>
      </c>
      <c r="G48" s="37">
        <f t="shared" si="10"/>
        <v>166.40973429670325</v>
      </c>
      <c r="H48" s="37">
        <f t="shared" si="10"/>
        <v>165.50984338187595</v>
      </c>
      <c r="I48" s="37">
        <f t="shared" si="10"/>
        <v>163.99471594628656</v>
      </c>
      <c r="J48" s="37">
        <f t="shared" si="10"/>
        <v>162.38172482830331</v>
      </c>
      <c r="K48" s="37">
        <f t="shared" si="10"/>
        <v>160.81236923565496</v>
      </c>
      <c r="L48" s="37">
        <f t="shared" si="10"/>
        <v>159.1576103724471</v>
      </c>
      <c r="M48" s="37">
        <f t="shared" si="10"/>
        <v>157.5461603013249</v>
      </c>
      <c r="N48" s="37">
        <f t="shared" si="10"/>
        <v>155.99599939493066</v>
      </c>
      <c r="O48" s="37">
        <f t="shared" si="10"/>
        <v>154.24894022467814</v>
      </c>
      <c r="P48" s="37">
        <f t="shared" si="10"/>
        <v>152.5804813685094</v>
      </c>
      <c r="Q48" s="37">
        <f t="shared" si="10"/>
        <v>150.82385774393765</v>
      </c>
      <c r="R48" s="37">
        <f t="shared" si="10"/>
        <v>149.0699316925801</v>
      </c>
      <c r="S48" s="37">
        <f t="shared" si="10"/>
        <v>147.11541576432705</v>
      </c>
      <c r="T48" s="37">
        <f t="shared" si="10"/>
        <v>145.18395353727155</v>
      </c>
      <c r="U48" s="37">
        <f t="shared" si="10"/>
        <v>143.27349121213697</v>
      </c>
      <c r="V48" s="37">
        <f t="shared" si="10"/>
        <v>141.38156784158977</v>
      </c>
      <c r="W48" s="37">
        <f t="shared" si="10"/>
        <v>139.52401081592404</v>
      </c>
      <c r="X48" s="37">
        <f t="shared" si="10"/>
        <v>137.82731086493988</v>
      </c>
      <c r="Y48" s="37">
        <f t="shared" si="10"/>
        <v>136.14233663999534</v>
      </c>
      <c r="Z48" s="37">
        <f t="shared" si="10"/>
        <v>134.55908077378641</v>
      </c>
      <c r="AA48" s="37">
        <f t="shared" si="10"/>
        <v>133.00166451106838</v>
      </c>
      <c r="AB48" s="37">
        <f t="shared" si="10"/>
        <v>131.44959440909918</v>
      </c>
    </row>
    <row r="49" spans="1:28" x14ac:dyDescent="0.25">
      <c r="A49" s="4" t="s">
        <v>216</v>
      </c>
      <c r="B49" s="37">
        <f t="shared" ref="B49:AB49" si="11">B29*B15*$F$5</f>
        <v>141.9261632582612</v>
      </c>
      <c r="C49" s="37">
        <f t="shared" si="11"/>
        <v>140.96081167122887</v>
      </c>
      <c r="D49" s="37">
        <f t="shared" si="11"/>
        <v>140.58748225689584</v>
      </c>
      <c r="E49" s="37">
        <f t="shared" si="11"/>
        <v>140.20339693336672</v>
      </c>
      <c r="F49" s="37">
        <f t="shared" si="11"/>
        <v>139.79066274847133</v>
      </c>
      <c r="G49" s="37">
        <f t="shared" si="11"/>
        <v>139.38774450923182</v>
      </c>
      <c r="H49" s="37">
        <f t="shared" si="11"/>
        <v>138.97678998683563</v>
      </c>
      <c r="I49" s="37">
        <f t="shared" si="11"/>
        <v>137.90780693540876</v>
      </c>
      <c r="J49" s="37">
        <f t="shared" si="11"/>
        <v>136.92217134279693</v>
      </c>
      <c r="K49" s="37">
        <f t="shared" si="11"/>
        <v>135.84254168049907</v>
      </c>
      <c r="L49" s="37">
        <f t="shared" si="11"/>
        <v>134.8221730215262</v>
      </c>
      <c r="M49" s="37">
        <f t="shared" si="11"/>
        <v>133.70791556818727</v>
      </c>
      <c r="N49" s="37">
        <f t="shared" si="11"/>
        <v>132.51871894220619</v>
      </c>
      <c r="O49" s="37">
        <f t="shared" si="11"/>
        <v>131.44564365973073</v>
      </c>
      <c r="P49" s="37">
        <f t="shared" si="11"/>
        <v>130.20124839156455</v>
      </c>
      <c r="Q49" s="37">
        <f t="shared" si="11"/>
        <v>129.01439041123348</v>
      </c>
      <c r="R49" s="37">
        <f t="shared" si="11"/>
        <v>127.75014633476761</v>
      </c>
      <c r="S49" s="37">
        <f t="shared" si="11"/>
        <v>126.36143758812311</v>
      </c>
      <c r="T49" s="37">
        <f t="shared" si="11"/>
        <v>124.95406078160819</v>
      </c>
      <c r="U49" s="37">
        <f t="shared" si="11"/>
        <v>123.56467741943452</v>
      </c>
      <c r="V49" s="37">
        <f t="shared" si="11"/>
        <v>122.22956340061535</v>
      </c>
      <c r="W49" s="37">
        <f t="shared" si="11"/>
        <v>120.92743685796123</v>
      </c>
      <c r="X49" s="37">
        <f t="shared" si="11"/>
        <v>119.61788843634699</v>
      </c>
      <c r="Y49" s="37">
        <f t="shared" si="11"/>
        <v>118.39525954542911</v>
      </c>
      <c r="Z49" s="37">
        <f t="shared" si="11"/>
        <v>117.16189437701522</v>
      </c>
      <c r="AA49" s="37">
        <f t="shared" si="11"/>
        <v>115.99262789511036</v>
      </c>
      <c r="AB49" s="37">
        <f t="shared" si="11"/>
        <v>114.94335678655777</v>
      </c>
    </row>
    <row r="50" spans="1:28" x14ac:dyDescent="0.25">
      <c r="A50" s="4" t="s">
        <v>217</v>
      </c>
      <c r="B50" s="37">
        <f t="shared" ref="B50:AB50" si="12">B30*B15*$F$6</f>
        <v>138.05684862666254</v>
      </c>
      <c r="C50" s="37">
        <f t="shared" si="12"/>
        <v>136.96203791747806</v>
      </c>
      <c r="D50" s="37">
        <f t="shared" si="12"/>
        <v>136.45624351264385</v>
      </c>
      <c r="E50" s="37">
        <f t="shared" si="12"/>
        <v>135.9294809618936</v>
      </c>
      <c r="F50" s="37">
        <f t="shared" si="12"/>
        <v>135.39685768078635</v>
      </c>
      <c r="G50" s="37">
        <f t="shared" si="12"/>
        <v>134.8729207074621</v>
      </c>
      <c r="H50" s="37">
        <f t="shared" si="12"/>
        <v>134.30210802306098</v>
      </c>
      <c r="I50" s="37">
        <f t="shared" si="12"/>
        <v>133.20175140273241</v>
      </c>
      <c r="J50" s="37">
        <f t="shared" si="12"/>
        <v>132.05560631682181</v>
      </c>
      <c r="K50" s="37">
        <f t="shared" si="12"/>
        <v>130.87309363479898</v>
      </c>
      <c r="L50" s="37">
        <f t="shared" si="12"/>
        <v>129.64007769926954</v>
      </c>
      <c r="M50" s="37">
        <f t="shared" si="12"/>
        <v>128.35645472248717</v>
      </c>
      <c r="N50" s="37">
        <f t="shared" si="12"/>
        <v>127.02193250301229</v>
      </c>
      <c r="O50" s="37">
        <f t="shared" si="12"/>
        <v>125.59365663549012</v>
      </c>
      <c r="P50" s="37">
        <f t="shared" si="12"/>
        <v>124.12770005241036</v>
      </c>
      <c r="Q50" s="37">
        <f t="shared" si="12"/>
        <v>122.60899531732419</v>
      </c>
      <c r="R50" s="37">
        <f t="shared" si="12"/>
        <v>121.03644702107508</v>
      </c>
      <c r="S50" s="37">
        <f t="shared" si="12"/>
        <v>119.30335052325674</v>
      </c>
      <c r="T50" s="37">
        <f t="shared" si="12"/>
        <v>117.58903892117655</v>
      </c>
      <c r="U50" s="37">
        <f t="shared" si="12"/>
        <v>115.89178305099885</v>
      </c>
      <c r="V50" s="37">
        <f t="shared" si="12"/>
        <v>114.22370698500006</v>
      </c>
      <c r="W50" s="37">
        <f t="shared" si="12"/>
        <v>112.61101693211501</v>
      </c>
      <c r="X50" s="37">
        <f t="shared" si="12"/>
        <v>111.06581754016018</v>
      </c>
      <c r="Y50" s="37">
        <f t="shared" si="12"/>
        <v>109.55833430658524</v>
      </c>
      <c r="Z50" s="37">
        <f t="shared" si="12"/>
        <v>108.10094230779008</v>
      </c>
      <c r="AA50" s="37">
        <f t="shared" si="12"/>
        <v>106.72031414447451</v>
      </c>
      <c r="AB50" s="37">
        <f t="shared" si="12"/>
        <v>105.38646507100049</v>
      </c>
    </row>
    <row r="51" spans="1:28" x14ac:dyDescent="0.25">
      <c r="A51" s="4" t="s">
        <v>218</v>
      </c>
      <c r="B51" s="37">
        <f t="shared" ref="B51:AB51" si="13">B31*B15*$F$7</f>
        <v>200.59547026391908</v>
      </c>
      <c r="C51" s="37">
        <f t="shared" si="13"/>
        <v>197.62774842549865</v>
      </c>
      <c r="D51" s="37">
        <f t="shared" si="13"/>
        <v>195.53054953094713</v>
      </c>
      <c r="E51" s="37">
        <f t="shared" si="13"/>
        <v>193.34949713657599</v>
      </c>
      <c r="F51" s="37">
        <f t="shared" si="13"/>
        <v>191.08519849319626</v>
      </c>
      <c r="G51" s="37">
        <f t="shared" si="13"/>
        <v>188.82381062221165</v>
      </c>
      <c r="H51" s="37">
        <f t="shared" si="13"/>
        <v>186.43612122671306</v>
      </c>
      <c r="I51" s="37">
        <f t="shared" si="13"/>
        <v>183.33317837011109</v>
      </c>
      <c r="J51" s="37">
        <f t="shared" si="13"/>
        <v>180.26704841357301</v>
      </c>
      <c r="K51" s="37">
        <f t="shared" si="13"/>
        <v>177.23030882104209</v>
      </c>
      <c r="L51" s="37">
        <f t="shared" si="13"/>
        <v>174.3090289311219</v>
      </c>
      <c r="M51" s="37">
        <f t="shared" si="13"/>
        <v>171.54569865923821</v>
      </c>
      <c r="N51" s="37">
        <f t="shared" si="13"/>
        <v>168.80921102084361</v>
      </c>
      <c r="O51" s="37">
        <f t="shared" si="13"/>
        <v>166.22878400793275</v>
      </c>
      <c r="P51" s="37">
        <f t="shared" si="13"/>
        <v>163.6732208028283</v>
      </c>
      <c r="Q51" s="37">
        <f t="shared" si="13"/>
        <v>161.22794356499901</v>
      </c>
      <c r="R51" s="37">
        <f t="shared" si="13"/>
        <v>158.8481066287913</v>
      </c>
      <c r="S51" s="37">
        <f t="shared" si="13"/>
        <v>156.31332992411265</v>
      </c>
      <c r="T51" s="37">
        <f t="shared" si="13"/>
        <v>153.84673554910177</v>
      </c>
      <c r="U51" s="37">
        <f t="shared" si="13"/>
        <v>151.40252639702317</v>
      </c>
      <c r="V51" s="37">
        <f t="shared" si="13"/>
        <v>149.06474454693432</v>
      </c>
      <c r="W51" s="37">
        <f t="shared" si="13"/>
        <v>146.70028308212355</v>
      </c>
      <c r="X51" s="37">
        <f t="shared" si="13"/>
        <v>144.43658151359332</v>
      </c>
      <c r="Y51" s="37">
        <f t="shared" si="13"/>
        <v>142.31519722865437</v>
      </c>
      <c r="Z51" s="37">
        <f t="shared" si="13"/>
        <v>140.20344009839928</v>
      </c>
      <c r="AA51" s="37">
        <f t="shared" si="13"/>
        <v>138.18591080362344</v>
      </c>
      <c r="AB51" s="37">
        <f t="shared" si="13"/>
        <v>136.17351829593179</v>
      </c>
    </row>
    <row r="52" spans="1:28" x14ac:dyDescent="0.25">
      <c r="A52" s="4" t="s">
        <v>219</v>
      </c>
      <c r="B52" s="37">
        <f t="shared" ref="B52:AB52" si="14">B32*B15*$F$8</f>
        <v>18.110976615173861</v>
      </c>
      <c r="C52" s="37">
        <f t="shared" si="14"/>
        <v>18.149629916807978</v>
      </c>
      <c r="D52" s="37">
        <f t="shared" si="14"/>
        <v>18.264756303958926</v>
      </c>
      <c r="E52" s="37">
        <f t="shared" si="14"/>
        <v>18.403033239380676</v>
      </c>
      <c r="F52" s="37">
        <f t="shared" si="14"/>
        <v>18.543682187461542</v>
      </c>
      <c r="G52" s="37">
        <f t="shared" si="14"/>
        <v>18.68684085543763</v>
      </c>
      <c r="H52" s="37">
        <f t="shared" si="14"/>
        <v>18.832752539617299</v>
      </c>
      <c r="I52" s="37">
        <f t="shared" si="14"/>
        <v>18.902970239586939</v>
      </c>
      <c r="J52" s="37">
        <f t="shared" si="14"/>
        <v>18.976430365664839</v>
      </c>
      <c r="K52" s="37">
        <f t="shared" si="14"/>
        <v>19.095125537009512</v>
      </c>
      <c r="L52" s="37">
        <f t="shared" si="14"/>
        <v>19.17399262812641</v>
      </c>
      <c r="M52" s="37">
        <f t="shared" si="14"/>
        <v>19.255718946894152</v>
      </c>
      <c r="N52" s="37">
        <f t="shared" si="14"/>
        <v>19.340380128468624</v>
      </c>
      <c r="O52" s="37">
        <f t="shared" si="14"/>
        <v>19.428054769383877</v>
      </c>
      <c r="P52" s="37">
        <f t="shared" si="14"/>
        <v>19.497513615681488</v>
      </c>
      <c r="Q52" s="37">
        <f t="shared" si="14"/>
        <v>19.591336163278424</v>
      </c>
      <c r="R52" s="37">
        <f t="shared" si="14"/>
        <v>19.645623531777861</v>
      </c>
      <c r="S52" s="37">
        <f t="shared" si="14"/>
        <v>19.702124582386844</v>
      </c>
      <c r="T52" s="37">
        <f t="shared" si="14"/>
        <v>19.782815481921276</v>
      </c>
      <c r="U52" s="37">
        <f t="shared" si="14"/>
        <v>19.823673715424313</v>
      </c>
      <c r="V52" s="37">
        <f t="shared" si="14"/>
        <v>19.888376809525031</v>
      </c>
      <c r="W52" s="37">
        <f t="shared" si="14"/>
        <v>19.955387480081477</v>
      </c>
      <c r="X52" s="37">
        <f t="shared" si="14"/>
        <v>20.003148658345967</v>
      </c>
      <c r="Y52" s="37">
        <f t="shared" si="14"/>
        <v>20.095410985737448</v>
      </c>
      <c r="Z52" s="37">
        <f t="shared" si="14"/>
        <v>20.14670045503436</v>
      </c>
      <c r="AA52" s="37">
        <f t="shared" si="14"/>
        <v>20.199362611407427</v>
      </c>
      <c r="AB52" s="37">
        <f t="shared" si="14"/>
        <v>20.253139186076176</v>
      </c>
    </row>
    <row r="53" spans="1:28" x14ac:dyDescent="0.25">
      <c r="A53" s="4" t="s">
        <v>220</v>
      </c>
      <c r="B53" s="37">
        <f t="shared" ref="B53:AB53" si="15">B33*B15*$F$9</f>
        <v>26.302600531669523</v>
      </c>
      <c r="C53" s="37">
        <f t="shared" si="15"/>
        <v>26.492163177637693</v>
      </c>
      <c r="D53" s="37">
        <f t="shared" si="15"/>
        <v>26.741491272403334</v>
      </c>
      <c r="E53" s="37">
        <f t="shared" si="15"/>
        <v>27.029058021311364</v>
      </c>
      <c r="F53" s="37">
        <f t="shared" si="15"/>
        <v>27.303157256229138</v>
      </c>
      <c r="G53" s="37">
        <f t="shared" si="15"/>
        <v>27.546341915988183</v>
      </c>
      <c r="H53" s="37">
        <f t="shared" si="15"/>
        <v>27.864065255986198</v>
      </c>
      <c r="I53" s="37">
        <f t="shared" si="15"/>
        <v>27.999825028481556</v>
      </c>
      <c r="J53" s="37">
        <f t="shared" si="15"/>
        <v>28.157886441695133</v>
      </c>
      <c r="K53" s="37">
        <f t="shared" si="15"/>
        <v>28.267233839775059</v>
      </c>
      <c r="L53" s="37">
        <f t="shared" si="15"/>
        <v>28.3982108178826</v>
      </c>
      <c r="M53" s="37">
        <f t="shared" si="15"/>
        <v>28.480835395990265</v>
      </c>
      <c r="N53" s="37">
        <f t="shared" si="15"/>
        <v>28.602861041259061</v>
      </c>
      <c r="O53" s="37">
        <f t="shared" si="15"/>
        <v>28.694285842060896</v>
      </c>
      <c r="P53" s="37">
        <f t="shared" si="15"/>
        <v>28.755161159060449</v>
      </c>
      <c r="Q53" s="37">
        <f t="shared" si="15"/>
        <v>28.785449105824242</v>
      </c>
      <c r="R53" s="37">
        <f t="shared" si="15"/>
        <v>28.820150768662145</v>
      </c>
      <c r="S53" s="37">
        <f t="shared" si="15"/>
        <v>28.809298288156008</v>
      </c>
      <c r="T53" s="37">
        <f t="shared" si="15"/>
        <v>28.732570631746462</v>
      </c>
      <c r="U53" s="37">
        <f t="shared" si="15"/>
        <v>28.694982123591544</v>
      </c>
      <c r="V53" s="37">
        <f t="shared" si="15"/>
        <v>28.62600989632454</v>
      </c>
      <c r="W53" s="37">
        <f t="shared" si="15"/>
        <v>28.560326895934939</v>
      </c>
      <c r="X53" s="37">
        <f t="shared" si="15"/>
        <v>28.532610693353977</v>
      </c>
      <c r="Y53" s="37">
        <f t="shared" si="15"/>
        <v>28.454857437683245</v>
      </c>
      <c r="Z53" s="37">
        <f t="shared" si="15"/>
        <v>28.431984181519447</v>
      </c>
      <c r="AA53" s="37">
        <f t="shared" si="15"/>
        <v>28.358249306451693</v>
      </c>
      <c r="AB53" s="37">
        <f t="shared" si="15"/>
        <v>28.338663978426609</v>
      </c>
    </row>
    <row r="54" spans="1:28" x14ac:dyDescent="0.25">
      <c r="A54" s="4" t="s">
        <v>221</v>
      </c>
      <c r="B54" s="37">
        <f t="shared" ref="B54:AB54" si="16">B34*B15*$F$10</f>
        <v>48.469399998373298</v>
      </c>
      <c r="C54" s="37">
        <f t="shared" si="16"/>
        <v>48.605821583412251</v>
      </c>
      <c r="D54" s="37">
        <f t="shared" si="16"/>
        <v>48.972368587331729</v>
      </c>
      <c r="E54" s="37">
        <f t="shared" si="16"/>
        <v>49.357348463300873</v>
      </c>
      <c r="F54" s="37">
        <f t="shared" si="16"/>
        <v>49.786915831343961</v>
      </c>
      <c r="G54" s="37">
        <f t="shared" si="16"/>
        <v>50.172528185068963</v>
      </c>
      <c r="H54" s="37">
        <f t="shared" si="16"/>
        <v>50.552745166826121</v>
      </c>
      <c r="I54" s="37">
        <f t="shared" si="16"/>
        <v>50.716964147797889</v>
      </c>
      <c r="J54" s="37">
        <f t="shared" si="16"/>
        <v>50.86436333009383</v>
      </c>
      <c r="K54" s="37">
        <f t="shared" si="16"/>
        <v>50.993403934927862</v>
      </c>
      <c r="L54" s="37">
        <f t="shared" si="16"/>
        <v>51.091595776417442</v>
      </c>
      <c r="M54" s="37">
        <f t="shared" si="16"/>
        <v>51.159170031264843</v>
      </c>
      <c r="N54" s="37">
        <f t="shared" si="16"/>
        <v>51.196279644669183</v>
      </c>
      <c r="O54" s="37">
        <f t="shared" si="16"/>
        <v>51.203048869293809</v>
      </c>
      <c r="P54" s="37">
        <f t="shared" si="16"/>
        <v>51.141197982245629</v>
      </c>
      <c r="Q54" s="37">
        <f t="shared" si="16"/>
        <v>51.048892783003275</v>
      </c>
      <c r="R54" s="37">
        <f t="shared" si="16"/>
        <v>50.887567570796499</v>
      </c>
      <c r="S54" s="37">
        <f t="shared" si="16"/>
        <v>50.67673847272863</v>
      </c>
      <c r="T54" s="37">
        <f t="shared" si="16"/>
        <v>50.422471686276644</v>
      </c>
      <c r="U54" s="37">
        <f t="shared" si="16"/>
        <v>50.12427185020087</v>
      </c>
      <c r="V54" s="37">
        <f t="shared" si="16"/>
        <v>49.832540891568975</v>
      </c>
      <c r="W54" s="37">
        <f t="shared" si="16"/>
        <v>49.482620307969839</v>
      </c>
      <c r="X54" s="37">
        <f t="shared" si="16"/>
        <v>49.201474467685294</v>
      </c>
      <c r="Y54" s="37">
        <f t="shared" si="16"/>
        <v>48.911928187478665</v>
      </c>
      <c r="Z54" s="37">
        <f t="shared" si="16"/>
        <v>48.626034226896664</v>
      </c>
      <c r="AA54" s="37">
        <f t="shared" si="16"/>
        <v>48.355869467664384</v>
      </c>
      <c r="AB54" s="37">
        <f t="shared" si="16"/>
        <v>48.113564047473915</v>
      </c>
    </row>
    <row r="55" spans="1:28" x14ac:dyDescent="0.25">
      <c r="A55" s="4" t="s">
        <v>222</v>
      </c>
      <c r="B55" s="37">
        <f t="shared" ref="B55:AB55" si="17">B35*B15*$F$11</f>
        <v>261.49533761484207</v>
      </c>
      <c r="C55" s="37">
        <f t="shared" si="17"/>
        <v>258.58681978702123</v>
      </c>
      <c r="D55" s="37">
        <f t="shared" si="17"/>
        <v>256.70252824630489</v>
      </c>
      <c r="E55" s="37">
        <f t="shared" si="17"/>
        <v>254.78611419367851</v>
      </c>
      <c r="F55" s="37">
        <f t="shared" si="17"/>
        <v>252.73853853415994</v>
      </c>
      <c r="G55" s="37">
        <f t="shared" si="17"/>
        <v>250.74109632586388</v>
      </c>
      <c r="H55" s="37">
        <f t="shared" si="17"/>
        <v>248.7150061323255</v>
      </c>
      <c r="I55" s="37">
        <f t="shared" si="17"/>
        <v>245.6593434752962</v>
      </c>
      <c r="J55" s="37">
        <f t="shared" si="17"/>
        <v>242.6109431187466</v>
      </c>
      <c r="K55" s="37">
        <f t="shared" si="17"/>
        <v>239.54019057309242</v>
      </c>
      <c r="L55" s="37">
        <f t="shared" si="17"/>
        <v>236.4871568616251</v>
      </c>
      <c r="M55" s="37">
        <f t="shared" si="17"/>
        <v>233.4309539154105</v>
      </c>
      <c r="N55" s="37">
        <f t="shared" si="17"/>
        <v>230.41113666979788</v>
      </c>
      <c r="O55" s="37">
        <f t="shared" si="17"/>
        <v>227.34584586656106</v>
      </c>
      <c r="P55" s="37">
        <f t="shared" si="17"/>
        <v>224.29451609001237</v>
      </c>
      <c r="Q55" s="37">
        <f t="shared" si="17"/>
        <v>221.2554225921096</v>
      </c>
      <c r="R55" s="37">
        <f t="shared" si="17"/>
        <v>218.24685396218166</v>
      </c>
      <c r="S55" s="37">
        <f t="shared" si="17"/>
        <v>214.96470665320967</v>
      </c>
      <c r="T55" s="37">
        <f t="shared" si="17"/>
        <v>211.75699955999025</v>
      </c>
      <c r="U55" s="37">
        <f t="shared" si="17"/>
        <v>208.6610310290493</v>
      </c>
      <c r="V55" s="37">
        <f t="shared" si="17"/>
        <v>205.63257149195346</v>
      </c>
      <c r="W55" s="37">
        <f t="shared" si="17"/>
        <v>202.76899155034323</v>
      </c>
      <c r="X55" s="37">
        <f t="shared" si="17"/>
        <v>199.96531328713039</v>
      </c>
      <c r="Y55" s="37">
        <f t="shared" si="17"/>
        <v>197.27975327675946</v>
      </c>
      <c r="Z55" s="37">
        <f t="shared" si="17"/>
        <v>194.68882458925378</v>
      </c>
      <c r="AA55" s="37">
        <f t="shared" si="17"/>
        <v>192.16914422358772</v>
      </c>
      <c r="AB55" s="37">
        <f t="shared" si="17"/>
        <v>189.73807788776477</v>
      </c>
    </row>
    <row r="57" spans="1:28" x14ac:dyDescent="0.25">
      <c r="A57" s="4" t="s">
        <v>327</v>
      </c>
    </row>
    <row r="58" spans="1:28" x14ac:dyDescent="0.25">
      <c r="A58" s="4" t="s">
        <v>215</v>
      </c>
      <c r="B58" s="37">
        <f t="shared" ref="B58:AB58" si="18">B38*B15*$F$4</f>
        <v>27163.207295239423</v>
      </c>
      <c r="C58" s="37">
        <f t="shared" si="18"/>
        <v>27620.775613079866</v>
      </c>
      <c r="D58" s="37">
        <f t="shared" si="18"/>
        <v>28191.22471627051</v>
      </c>
      <c r="E58" s="37">
        <f t="shared" si="18"/>
        <v>28765.066545908499</v>
      </c>
      <c r="F58" s="37">
        <f t="shared" si="18"/>
        <v>29344.776541312345</v>
      </c>
      <c r="G58" s="37">
        <f t="shared" si="18"/>
        <v>29931.25393053185</v>
      </c>
      <c r="H58" s="37">
        <f t="shared" si="18"/>
        <v>30522.484479234838</v>
      </c>
      <c r="I58" s="37">
        <f t="shared" si="18"/>
        <v>30987.643404069393</v>
      </c>
      <c r="J58" s="37">
        <f t="shared" si="18"/>
        <v>31448.388110879918</v>
      </c>
      <c r="K58" s="37">
        <f t="shared" si="18"/>
        <v>31904.1977613288</v>
      </c>
      <c r="L58" s="37">
        <f t="shared" si="18"/>
        <v>32352.398178503652</v>
      </c>
      <c r="M58" s="37">
        <f t="shared" si="18"/>
        <v>32792.468273970924</v>
      </c>
      <c r="N58" s="37">
        <f t="shared" si="18"/>
        <v>33221.072256839536</v>
      </c>
      <c r="O58" s="37">
        <f t="shared" si="18"/>
        <v>33636.967146641349</v>
      </c>
      <c r="P58" s="37">
        <f t="shared" si="18"/>
        <v>34035.835489973811</v>
      </c>
      <c r="Q58" s="37">
        <f t="shared" si="18"/>
        <v>34416.972432947427</v>
      </c>
      <c r="R58" s="37">
        <f t="shared" si="18"/>
        <v>34775.129542010058</v>
      </c>
      <c r="S58" s="37">
        <f t="shared" si="18"/>
        <v>35071.231381502097</v>
      </c>
      <c r="T58" s="37">
        <f t="shared" si="18"/>
        <v>35342.240922566947</v>
      </c>
      <c r="U58" s="37">
        <f t="shared" si="18"/>
        <v>35589.993826237122</v>
      </c>
      <c r="V58" s="37">
        <f t="shared" si="18"/>
        <v>35805.854019613049</v>
      </c>
      <c r="W58" s="37">
        <f t="shared" si="18"/>
        <v>35991.813597646404</v>
      </c>
      <c r="X58" s="37">
        <f t="shared" si="18"/>
        <v>36145.760671080272</v>
      </c>
      <c r="Y58" s="37">
        <f t="shared" si="18"/>
        <v>36282.476693826116</v>
      </c>
      <c r="Z58" s="37">
        <f t="shared" si="18"/>
        <v>36388.583090569889</v>
      </c>
      <c r="AA58" s="37">
        <f t="shared" si="18"/>
        <v>36466.154957136292</v>
      </c>
      <c r="AB58" s="37">
        <f t="shared" si="18"/>
        <v>36518.333521574452</v>
      </c>
    </row>
    <row r="59" spans="1:28" x14ac:dyDescent="0.25">
      <c r="A59" s="4" t="s">
        <v>216</v>
      </c>
      <c r="B59" s="37">
        <f t="shared" ref="B59:AB59" si="19">B39*B15*$F$5</f>
        <v>26522.603066097858</v>
      </c>
      <c r="C59" s="37">
        <f t="shared" si="19"/>
        <v>26899.527325758048</v>
      </c>
      <c r="D59" s="37">
        <f t="shared" si="19"/>
        <v>27388.229667912383</v>
      </c>
      <c r="E59" s="37">
        <f t="shared" si="19"/>
        <v>27893.959761400118</v>
      </c>
      <c r="F59" s="37">
        <f t="shared" si="19"/>
        <v>28424.800124763795</v>
      </c>
      <c r="G59" s="37">
        <f t="shared" si="19"/>
        <v>28982.519823280898</v>
      </c>
      <c r="H59" s="37">
        <f t="shared" si="19"/>
        <v>29570.087961840938</v>
      </c>
      <c r="I59" s="37">
        <f t="shared" si="19"/>
        <v>30059.839600529602</v>
      </c>
      <c r="J59" s="37">
        <f t="shared" si="19"/>
        <v>30572.365416500375</v>
      </c>
      <c r="K59" s="37">
        <f t="shared" si="19"/>
        <v>31099.902892022423</v>
      </c>
      <c r="L59" s="37">
        <f t="shared" si="19"/>
        <v>31641.860856496416</v>
      </c>
      <c r="M59" s="37">
        <f t="shared" si="19"/>
        <v>32196.364831534065</v>
      </c>
      <c r="N59" s="37">
        <f t="shared" si="19"/>
        <v>32756.591810503054</v>
      </c>
      <c r="O59" s="37">
        <f t="shared" si="19"/>
        <v>33316.036815805877</v>
      </c>
      <c r="P59" s="37">
        <f t="shared" si="19"/>
        <v>33873.281566517755</v>
      </c>
      <c r="Q59" s="37">
        <f t="shared" si="19"/>
        <v>34419.021238127105</v>
      </c>
      <c r="R59" s="37">
        <f t="shared" si="19"/>
        <v>34950.642952050519</v>
      </c>
      <c r="S59" s="37">
        <f t="shared" si="19"/>
        <v>35422.052622639829</v>
      </c>
      <c r="T59" s="37">
        <f t="shared" si="19"/>
        <v>35869.550878056732</v>
      </c>
      <c r="U59" s="37">
        <f t="shared" si="19"/>
        <v>36289.800860704949</v>
      </c>
      <c r="V59" s="37">
        <f t="shared" si="19"/>
        <v>36674.536305705682</v>
      </c>
      <c r="W59" s="37">
        <f t="shared" si="19"/>
        <v>37016.280981597323</v>
      </c>
      <c r="X59" s="37">
        <f t="shared" si="19"/>
        <v>37316.873738298622</v>
      </c>
      <c r="Y59" s="37">
        <f t="shared" si="19"/>
        <v>37593.570231641868</v>
      </c>
      <c r="Z59" s="37">
        <f t="shared" si="19"/>
        <v>37830.065164679036</v>
      </c>
      <c r="AA59" s="37">
        <f t="shared" si="19"/>
        <v>38020.34281297087</v>
      </c>
      <c r="AB59" s="37">
        <f t="shared" si="19"/>
        <v>38164.840402684669</v>
      </c>
    </row>
    <row r="60" spans="1:28" x14ac:dyDescent="0.25">
      <c r="A60" s="4" t="s">
        <v>217</v>
      </c>
      <c r="B60" s="37">
        <f t="shared" ref="B60:AB60" si="20">B40*B15*$F$6</f>
        <v>32829.548883314477</v>
      </c>
      <c r="C60" s="37">
        <f t="shared" si="20"/>
        <v>33333.941904586623</v>
      </c>
      <c r="D60" s="37">
        <f t="shared" si="20"/>
        <v>33972.906017978908</v>
      </c>
      <c r="E60" s="37">
        <f t="shared" si="20"/>
        <v>34620.899786144757</v>
      </c>
      <c r="F60" s="37">
        <f t="shared" si="20"/>
        <v>35285.118131701442</v>
      </c>
      <c r="G60" s="37">
        <f t="shared" si="20"/>
        <v>35965.876289610307</v>
      </c>
      <c r="H60" s="37">
        <f t="shared" si="20"/>
        <v>36664.674288087183</v>
      </c>
      <c r="I60" s="37">
        <f t="shared" si="20"/>
        <v>37223.121596801764</v>
      </c>
      <c r="J60" s="37">
        <f t="shared" si="20"/>
        <v>37789.569998090919</v>
      </c>
      <c r="K60" s="37">
        <f t="shared" si="20"/>
        <v>38357.395741634573</v>
      </c>
      <c r="L60" s="37">
        <f t="shared" si="20"/>
        <v>38924.624601451462</v>
      </c>
      <c r="M60" s="37">
        <f t="shared" si="20"/>
        <v>39489.803197235095</v>
      </c>
      <c r="N60" s="37">
        <f t="shared" si="20"/>
        <v>40045.820917149911</v>
      </c>
      <c r="O60" s="37">
        <f t="shared" si="20"/>
        <v>40588.738837775236</v>
      </c>
      <c r="P60" s="37">
        <f t="shared" si="20"/>
        <v>41113.350351644003</v>
      </c>
      <c r="Q60" s="37">
        <f t="shared" si="20"/>
        <v>41614.128172932738</v>
      </c>
      <c r="R60" s="37">
        <f t="shared" si="20"/>
        <v>42085.728827579325</v>
      </c>
      <c r="S60" s="37">
        <f t="shared" si="20"/>
        <v>42476.828450433495</v>
      </c>
      <c r="T60" s="37">
        <f t="shared" si="20"/>
        <v>42831.913759060742</v>
      </c>
      <c r="U60" s="37">
        <f t="shared" si="20"/>
        <v>43150.813356633778</v>
      </c>
      <c r="V60" s="37">
        <f t="shared" si="20"/>
        <v>43421.893404829891</v>
      </c>
      <c r="W60" s="37">
        <f t="shared" si="20"/>
        <v>43641.703414492527</v>
      </c>
      <c r="X60" s="37">
        <f t="shared" si="20"/>
        <v>43810.961967994554</v>
      </c>
      <c r="Y60" s="37">
        <f t="shared" si="20"/>
        <v>43951.832794612172</v>
      </c>
      <c r="Z60" s="37">
        <f t="shared" si="20"/>
        <v>44044.44865116146</v>
      </c>
      <c r="AA60" s="37">
        <f t="shared" si="20"/>
        <v>44085.842251183778</v>
      </c>
      <c r="AB60" s="37">
        <f t="shared" si="20"/>
        <v>44079.51947258164</v>
      </c>
    </row>
    <row r="61" spans="1:28" x14ac:dyDescent="0.25">
      <c r="A61" s="4" t="s">
        <v>218</v>
      </c>
      <c r="B61" s="37">
        <f t="shared" ref="B61:AB61" si="21">B41*B15*$F$7</f>
        <v>15508.37113243481</v>
      </c>
      <c r="C61" s="37">
        <f t="shared" si="21"/>
        <v>15721.148212777696</v>
      </c>
      <c r="D61" s="37">
        <f t="shared" si="21"/>
        <v>15999.921734119873</v>
      </c>
      <c r="E61" s="37">
        <f t="shared" si="21"/>
        <v>16282.146793508546</v>
      </c>
      <c r="F61" s="37">
        <f t="shared" si="21"/>
        <v>16573.217161466422</v>
      </c>
      <c r="G61" s="37">
        <f t="shared" si="21"/>
        <v>16873.706561755505</v>
      </c>
      <c r="H61" s="37">
        <f t="shared" si="21"/>
        <v>17183.340768305545</v>
      </c>
      <c r="I61" s="37">
        <f t="shared" si="21"/>
        <v>17430.423655478877</v>
      </c>
      <c r="J61" s="37">
        <f t="shared" si="21"/>
        <v>17684.970270532824</v>
      </c>
      <c r="K61" s="37">
        <f t="shared" si="21"/>
        <v>17945.914052061329</v>
      </c>
      <c r="L61" s="37">
        <f t="shared" si="21"/>
        <v>18213.341331589469</v>
      </c>
      <c r="M61" s="37">
        <f t="shared" si="21"/>
        <v>18486.380403807998</v>
      </c>
      <c r="N61" s="37">
        <f t="shared" si="21"/>
        <v>18765.971749611821</v>
      </c>
      <c r="O61" s="37">
        <f t="shared" si="21"/>
        <v>19047.424119940293</v>
      </c>
      <c r="P61" s="37">
        <f t="shared" si="21"/>
        <v>19332.879504076176</v>
      </c>
      <c r="Q61" s="37">
        <f t="shared" si="21"/>
        <v>19618.454064515932</v>
      </c>
      <c r="R61" s="37">
        <f t="shared" si="21"/>
        <v>19903.706853640866</v>
      </c>
      <c r="S61" s="37">
        <f t="shared" si="21"/>
        <v>20166.112954618049</v>
      </c>
      <c r="T61" s="37">
        <f t="shared" si="21"/>
        <v>20423.892122276535</v>
      </c>
      <c r="U61" s="37">
        <f t="shared" si="21"/>
        <v>20677.339931784729</v>
      </c>
      <c r="V61" s="37">
        <f t="shared" si="21"/>
        <v>20924.019381182461</v>
      </c>
      <c r="W61" s="37">
        <f t="shared" si="21"/>
        <v>21160.007153081937</v>
      </c>
      <c r="X61" s="37">
        <f t="shared" si="21"/>
        <v>21383.822865133658</v>
      </c>
      <c r="Y61" s="37">
        <f t="shared" si="21"/>
        <v>21600.805680460067</v>
      </c>
      <c r="Z61" s="37">
        <f t="shared" si="21"/>
        <v>21804.937930170116</v>
      </c>
      <c r="AA61" s="37">
        <f t="shared" si="21"/>
        <v>21995.953240041967</v>
      </c>
      <c r="AB61" s="37">
        <f t="shared" si="21"/>
        <v>22171.485109895446</v>
      </c>
    </row>
    <row r="62" spans="1:28" x14ac:dyDescent="0.25">
      <c r="A62" s="4" t="s">
        <v>219</v>
      </c>
      <c r="B62" s="37">
        <f t="shared" ref="B62:AB62" si="22">B42*B15*$F$8</f>
        <v>2563.1554395920793</v>
      </c>
      <c r="C62" s="37">
        <f t="shared" si="22"/>
        <v>2619.9747019492188</v>
      </c>
      <c r="D62" s="37">
        <f t="shared" si="22"/>
        <v>2689.7434318072287</v>
      </c>
      <c r="E62" s="37">
        <f t="shared" si="22"/>
        <v>2764.0679809518019</v>
      </c>
      <c r="F62" s="37">
        <f t="shared" si="22"/>
        <v>2843.8167147098166</v>
      </c>
      <c r="G62" s="37">
        <f t="shared" si="22"/>
        <v>2929.0081748563994</v>
      </c>
      <c r="H62" s="37">
        <f t="shared" si="22"/>
        <v>3019.9161159026412</v>
      </c>
      <c r="I62" s="37">
        <f t="shared" si="22"/>
        <v>3103.7313221231143</v>
      </c>
      <c r="J62" s="37">
        <f t="shared" si="22"/>
        <v>3191.1923908751478</v>
      </c>
      <c r="K62" s="37">
        <f t="shared" si="22"/>
        <v>3281.6793339289993</v>
      </c>
      <c r="L62" s="37">
        <f t="shared" si="22"/>
        <v>3376.0485155425731</v>
      </c>
      <c r="M62" s="37">
        <f t="shared" si="22"/>
        <v>3473.6678669071739</v>
      </c>
      <c r="N62" s="37">
        <f t="shared" si="22"/>
        <v>3574.1192689776385</v>
      </c>
      <c r="O62" s="37">
        <f t="shared" si="22"/>
        <v>3676.7966039841531</v>
      </c>
      <c r="P62" s="37">
        <f t="shared" si="22"/>
        <v>3781.389510195886</v>
      </c>
      <c r="Q62" s="37">
        <f t="shared" si="22"/>
        <v>3887.1979288923985</v>
      </c>
      <c r="R62" s="37">
        <f t="shared" si="22"/>
        <v>3993.878556586671</v>
      </c>
      <c r="S62" s="37">
        <f t="shared" si="22"/>
        <v>4096.1675488518686</v>
      </c>
      <c r="T62" s="37">
        <f t="shared" si="22"/>
        <v>4198.5139569930707</v>
      </c>
      <c r="U62" s="37">
        <f t="shared" si="22"/>
        <v>4300.0124727551856</v>
      </c>
      <c r="V62" s="37">
        <f t="shared" si="22"/>
        <v>4400.8037725924496</v>
      </c>
      <c r="W62" s="37">
        <f t="shared" si="22"/>
        <v>4500.5894384639678</v>
      </c>
      <c r="X62" s="37">
        <f t="shared" si="22"/>
        <v>4599.7442714639983</v>
      </c>
      <c r="Y62" s="37">
        <f t="shared" si="22"/>
        <v>4697.9576030569679</v>
      </c>
      <c r="Z62" s="37">
        <f t="shared" si="22"/>
        <v>4795.3624127527346</v>
      </c>
      <c r="AA62" s="37">
        <f t="shared" si="22"/>
        <v>4891.8931553466073</v>
      </c>
      <c r="AB62" s="37">
        <f t="shared" si="22"/>
        <v>4987.1807982708369</v>
      </c>
    </row>
    <row r="63" spans="1:28" x14ac:dyDescent="0.25">
      <c r="A63" s="4" t="s">
        <v>220</v>
      </c>
      <c r="B63" s="37">
        <f t="shared" ref="B63:AB63" si="23">B43*B15*$F$9</f>
        <v>1159.7575503203136</v>
      </c>
      <c r="C63" s="37">
        <f t="shared" si="23"/>
        <v>1183.8068971075948</v>
      </c>
      <c r="D63" s="37">
        <f t="shared" si="23"/>
        <v>1213.8832290693613</v>
      </c>
      <c r="E63" s="37">
        <f t="shared" si="23"/>
        <v>1246.4694638572294</v>
      </c>
      <c r="F63" s="37">
        <f t="shared" si="23"/>
        <v>1279.5299943064672</v>
      </c>
      <c r="G63" s="37">
        <f t="shared" si="23"/>
        <v>1314.9044050247226</v>
      </c>
      <c r="H63" s="37">
        <f t="shared" si="23"/>
        <v>1351.4247336828312</v>
      </c>
      <c r="I63" s="37">
        <f t="shared" si="23"/>
        <v>1383.0860279115839</v>
      </c>
      <c r="J63" s="37">
        <f t="shared" si="23"/>
        <v>1415.4908110749461</v>
      </c>
      <c r="K63" s="37">
        <f t="shared" si="23"/>
        <v>1450.1687166969959</v>
      </c>
      <c r="L63" s="37">
        <f t="shared" si="23"/>
        <v>1485.7347888084196</v>
      </c>
      <c r="M63" s="37">
        <f t="shared" si="23"/>
        <v>1522.6468036074157</v>
      </c>
      <c r="N63" s="37">
        <f t="shared" si="23"/>
        <v>1560.2405015171603</v>
      </c>
      <c r="O63" s="37">
        <f t="shared" si="23"/>
        <v>1598.6415744457163</v>
      </c>
      <c r="P63" s="37">
        <f t="shared" si="23"/>
        <v>1638.2727061329099</v>
      </c>
      <c r="Q63" s="37">
        <f t="shared" si="23"/>
        <v>1678.9231595470139</v>
      </c>
      <c r="R63" s="37">
        <f t="shared" si="23"/>
        <v>1720.2751504186026</v>
      </c>
      <c r="S63" s="37">
        <f t="shared" si="23"/>
        <v>1759.8410756375836</v>
      </c>
      <c r="T63" s="37">
        <f t="shared" si="23"/>
        <v>1799.9955649430181</v>
      </c>
      <c r="U63" s="37">
        <f t="shared" si="23"/>
        <v>1840.2674354567389</v>
      </c>
      <c r="V63" s="37">
        <f t="shared" si="23"/>
        <v>1880.1254588034528</v>
      </c>
      <c r="W63" s="37">
        <f t="shared" si="23"/>
        <v>1920.7170701483026</v>
      </c>
      <c r="X63" s="37">
        <f t="shared" si="23"/>
        <v>1961.1168748330549</v>
      </c>
      <c r="Y63" s="37">
        <f t="shared" si="23"/>
        <v>2001.8808463345299</v>
      </c>
      <c r="Z63" s="37">
        <f t="shared" si="23"/>
        <v>2042.2383399957246</v>
      </c>
      <c r="AA63" s="37">
        <f t="shared" si="23"/>
        <v>2082.4864565042631</v>
      </c>
      <c r="AB63" s="37">
        <f t="shared" si="23"/>
        <v>2122.9386240910653</v>
      </c>
    </row>
    <row r="64" spans="1:28" x14ac:dyDescent="0.25">
      <c r="A64" s="4" t="s">
        <v>221</v>
      </c>
      <c r="B64" s="37">
        <f t="shared" ref="B64:AB64" si="24">B44*B15*$F$10</f>
        <v>3155.8740550880443</v>
      </c>
      <c r="C64" s="37">
        <f t="shared" si="24"/>
        <v>3262.7650143478563</v>
      </c>
      <c r="D64" s="37">
        <f t="shared" si="24"/>
        <v>3385.6904845007512</v>
      </c>
      <c r="E64" s="37">
        <f t="shared" si="24"/>
        <v>3512.2303839470705</v>
      </c>
      <c r="F64" s="37">
        <f t="shared" si="24"/>
        <v>3642.4672111246709</v>
      </c>
      <c r="G64" s="37">
        <f t="shared" si="24"/>
        <v>3776.8920149565483</v>
      </c>
      <c r="H64" s="37">
        <f t="shared" si="24"/>
        <v>3916.7949641138903</v>
      </c>
      <c r="I64" s="37">
        <f t="shared" si="24"/>
        <v>4045.4417775042575</v>
      </c>
      <c r="J64" s="37">
        <f t="shared" si="24"/>
        <v>4177.7005938761013</v>
      </c>
      <c r="K64" s="37">
        <f t="shared" si="24"/>
        <v>4314.5553550231671</v>
      </c>
      <c r="L64" s="37">
        <f t="shared" si="24"/>
        <v>4456.7650930424234</v>
      </c>
      <c r="M64" s="37">
        <f t="shared" si="24"/>
        <v>4603.2658689035079</v>
      </c>
      <c r="N64" s="37">
        <f t="shared" si="24"/>
        <v>4755.2804694639062</v>
      </c>
      <c r="O64" s="37">
        <f t="shared" si="24"/>
        <v>4912.045964153599</v>
      </c>
      <c r="P64" s="37">
        <f t="shared" si="24"/>
        <v>5073.372841230469</v>
      </c>
      <c r="Q64" s="37">
        <f t="shared" si="24"/>
        <v>5239.5122092681167</v>
      </c>
      <c r="R64" s="37">
        <f t="shared" si="24"/>
        <v>5409.4340762578904</v>
      </c>
      <c r="S64" s="37">
        <f t="shared" si="24"/>
        <v>5576.894568809721</v>
      </c>
      <c r="T64" s="37">
        <f t="shared" si="24"/>
        <v>5747.7018763701444</v>
      </c>
      <c r="U64" s="37">
        <f t="shared" si="24"/>
        <v>5921.4852712819111</v>
      </c>
      <c r="V64" s="37">
        <f t="shared" si="24"/>
        <v>6097.4667818473154</v>
      </c>
      <c r="W64" s="37">
        <f t="shared" si="24"/>
        <v>6274.8127625181833</v>
      </c>
      <c r="X64" s="37">
        <f t="shared" si="24"/>
        <v>6454.2877594822303</v>
      </c>
      <c r="Y64" s="37">
        <f t="shared" si="24"/>
        <v>6634.5975188814336</v>
      </c>
      <c r="Z64" s="37">
        <f t="shared" si="24"/>
        <v>6815.6510772537067</v>
      </c>
      <c r="AA64" s="37">
        <f t="shared" si="24"/>
        <v>6995.9132464108707</v>
      </c>
      <c r="AB64" s="37">
        <f t="shared" si="24"/>
        <v>7175.1816957663259</v>
      </c>
    </row>
    <row r="65" spans="1:28" x14ac:dyDescent="0.25">
      <c r="A65" s="4" t="s">
        <v>222</v>
      </c>
      <c r="B65" s="37">
        <f t="shared" ref="B65:AB65" si="25">B45*B15*$F$11</f>
        <v>52894.422442613781</v>
      </c>
      <c r="C65" s="37">
        <f t="shared" si="25"/>
        <v>53626.404224756676</v>
      </c>
      <c r="D65" s="37">
        <f t="shared" si="25"/>
        <v>54575.217913503642</v>
      </c>
      <c r="E65" s="37">
        <f t="shared" si="25"/>
        <v>55540.037892254077</v>
      </c>
      <c r="F65" s="37">
        <f t="shared" si="25"/>
        <v>56532.000927440662</v>
      </c>
      <c r="G65" s="37">
        <f t="shared" si="25"/>
        <v>57553.187635456081</v>
      </c>
      <c r="H65" s="37">
        <f t="shared" si="25"/>
        <v>58602.479595589619</v>
      </c>
      <c r="I65" s="37">
        <f t="shared" si="25"/>
        <v>59427.635573744577</v>
      </c>
      <c r="J65" s="37">
        <f t="shared" si="25"/>
        <v>60266.299885146422</v>
      </c>
      <c r="K65" s="37">
        <f t="shared" si="25"/>
        <v>61108.131678695492</v>
      </c>
      <c r="L65" s="37">
        <f t="shared" si="25"/>
        <v>61948.364168818596</v>
      </c>
      <c r="M65" s="37">
        <f t="shared" si="25"/>
        <v>62786.128821956161</v>
      </c>
      <c r="N65" s="37">
        <f t="shared" si="25"/>
        <v>63608.606527100848</v>
      </c>
      <c r="O65" s="37">
        <f t="shared" si="25"/>
        <v>64408.761577782439</v>
      </c>
      <c r="P65" s="37">
        <f t="shared" si="25"/>
        <v>65180.650232473687</v>
      </c>
      <c r="Q65" s="37">
        <f t="shared" si="25"/>
        <v>65913.259971501466</v>
      </c>
      <c r="R65" s="37">
        <f t="shared" si="25"/>
        <v>66599.692905367352</v>
      </c>
      <c r="S65" s="37">
        <f t="shared" si="25"/>
        <v>67158.162171240852</v>
      </c>
      <c r="T65" s="37">
        <f t="shared" si="25"/>
        <v>67658.467185383066</v>
      </c>
      <c r="U65" s="37">
        <f t="shared" si="25"/>
        <v>68099.683914787194</v>
      </c>
      <c r="V65" s="37">
        <f t="shared" si="25"/>
        <v>68464.813949027259</v>
      </c>
      <c r="W65" s="37">
        <f t="shared" si="25"/>
        <v>68749.46144062026</v>
      </c>
      <c r="X65" s="37">
        <f t="shared" si="25"/>
        <v>68952.038517436071</v>
      </c>
      <c r="Y65" s="37">
        <f t="shared" si="25"/>
        <v>69109.087391231311</v>
      </c>
      <c r="Z65" s="37">
        <f t="shared" si="25"/>
        <v>69188.808015867209</v>
      </c>
      <c r="AA65" s="37">
        <f t="shared" si="25"/>
        <v>69189.55220804656</v>
      </c>
      <c r="AB65" s="37">
        <f t="shared" si="25"/>
        <v>69115.554800273923</v>
      </c>
    </row>
    <row r="67" spans="1:28" x14ac:dyDescent="0.25">
      <c r="A67" s="4" t="s">
        <v>328</v>
      </c>
    </row>
    <row r="68" spans="1:28" x14ac:dyDescent="0.25">
      <c r="A68" s="4" t="s">
        <v>329</v>
      </c>
      <c r="B68" s="40">
        <f t="shared" ref="B68:AB68" si="26">B48+B49</f>
        <v>313.22311063579775</v>
      </c>
      <c r="C68" s="40">
        <f t="shared" si="26"/>
        <v>310.7367109356457</v>
      </c>
      <c r="D68" s="40">
        <f t="shared" si="26"/>
        <v>309.5366051809026</v>
      </c>
      <c r="E68" s="40">
        <f t="shared" si="26"/>
        <v>308.33344997140307</v>
      </c>
      <c r="F68" s="40">
        <f t="shared" si="26"/>
        <v>307.07416881896057</v>
      </c>
      <c r="G68" s="40">
        <f t="shared" si="26"/>
        <v>305.79747880593504</v>
      </c>
      <c r="H68" s="40">
        <f t="shared" si="26"/>
        <v>304.48663336871158</v>
      </c>
      <c r="I68" s="40">
        <f t="shared" si="26"/>
        <v>301.90252288169529</v>
      </c>
      <c r="J68" s="40">
        <f t="shared" si="26"/>
        <v>299.30389617110023</v>
      </c>
      <c r="K68" s="40">
        <f t="shared" si="26"/>
        <v>296.65491091615399</v>
      </c>
      <c r="L68" s="40">
        <f t="shared" si="26"/>
        <v>293.97978339397332</v>
      </c>
      <c r="M68" s="40">
        <f t="shared" si="26"/>
        <v>291.25407586951218</v>
      </c>
      <c r="N68" s="40">
        <f t="shared" si="26"/>
        <v>288.51471833713686</v>
      </c>
      <c r="O68" s="40">
        <f t="shared" si="26"/>
        <v>285.69458388440887</v>
      </c>
      <c r="P68" s="40">
        <f t="shared" si="26"/>
        <v>282.78172976007397</v>
      </c>
      <c r="Q68" s="40">
        <f t="shared" si="26"/>
        <v>279.83824815517113</v>
      </c>
      <c r="R68" s="40">
        <f t="shared" si="26"/>
        <v>276.82007802734768</v>
      </c>
      <c r="S68" s="40">
        <f t="shared" si="26"/>
        <v>273.47685335245018</v>
      </c>
      <c r="T68" s="40">
        <f t="shared" si="26"/>
        <v>270.13801431887975</v>
      </c>
      <c r="U68" s="40">
        <f t="shared" si="26"/>
        <v>266.83816863157148</v>
      </c>
      <c r="V68" s="40">
        <f t="shared" si="26"/>
        <v>263.61113124220515</v>
      </c>
      <c r="W68" s="40">
        <f t="shared" si="26"/>
        <v>260.45144767388524</v>
      </c>
      <c r="X68" s="40">
        <f t="shared" si="26"/>
        <v>257.44519930128683</v>
      </c>
      <c r="Y68" s="40">
        <f t="shared" si="26"/>
        <v>254.53759618542443</v>
      </c>
      <c r="Z68" s="40">
        <f t="shared" si="26"/>
        <v>251.72097515080162</v>
      </c>
      <c r="AA68" s="40">
        <f t="shared" si="26"/>
        <v>248.99429240617874</v>
      </c>
      <c r="AB68" s="40">
        <f t="shared" si="26"/>
        <v>246.39295119565696</v>
      </c>
    </row>
    <row r="69" spans="1:28" x14ac:dyDescent="0.25">
      <c r="A69" s="4" t="s">
        <v>330</v>
      </c>
      <c r="B69" s="40">
        <f t="shared" ref="B69:AB69" si="27">B50+B51+B52+B53</f>
        <v>383.06589603742498</v>
      </c>
      <c r="C69" s="40">
        <f t="shared" si="27"/>
        <v>379.23157943742234</v>
      </c>
      <c r="D69" s="40">
        <f t="shared" si="27"/>
        <v>376.99304061995321</v>
      </c>
      <c r="E69" s="40">
        <f t="shared" si="27"/>
        <v>374.71106935916157</v>
      </c>
      <c r="F69" s="40">
        <f t="shared" si="27"/>
        <v>372.32889561767331</v>
      </c>
      <c r="G69" s="40">
        <f t="shared" si="27"/>
        <v>369.9299141010996</v>
      </c>
      <c r="H69" s="40">
        <f t="shared" si="27"/>
        <v>367.43504704537747</v>
      </c>
      <c r="I69" s="40">
        <f t="shared" si="27"/>
        <v>363.43772504091197</v>
      </c>
      <c r="J69" s="40">
        <f t="shared" si="27"/>
        <v>359.45697153775478</v>
      </c>
      <c r="K69" s="40">
        <f t="shared" si="27"/>
        <v>355.46576183262562</v>
      </c>
      <c r="L69" s="40">
        <f t="shared" si="27"/>
        <v>351.52131007640048</v>
      </c>
      <c r="M69" s="40">
        <f t="shared" si="27"/>
        <v>347.63870772460979</v>
      </c>
      <c r="N69" s="40">
        <f t="shared" si="27"/>
        <v>343.77438469358356</v>
      </c>
      <c r="O69" s="40">
        <f t="shared" si="27"/>
        <v>339.94478125486762</v>
      </c>
      <c r="P69" s="40">
        <f t="shared" si="27"/>
        <v>336.05359562998058</v>
      </c>
      <c r="Q69" s="40">
        <f t="shared" si="27"/>
        <v>332.21372415142582</v>
      </c>
      <c r="R69" s="40">
        <f t="shared" si="27"/>
        <v>328.35032795030634</v>
      </c>
      <c r="S69" s="40">
        <f t="shared" si="27"/>
        <v>324.12810331791223</v>
      </c>
      <c r="T69" s="40">
        <f t="shared" si="27"/>
        <v>319.95116058394603</v>
      </c>
      <c r="U69" s="40">
        <f t="shared" si="27"/>
        <v>315.81296528703791</v>
      </c>
      <c r="V69" s="40">
        <f t="shared" si="27"/>
        <v>311.80283823778393</v>
      </c>
      <c r="W69" s="40">
        <f t="shared" si="27"/>
        <v>307.82701439025499</v>
      </c>
      <c r="X69" s="40">
        <f t="shared" si="27"/>
        <v>304.03815840545349</v>
      </c>
      <c r="Y69" s="40">
        <f t="shared" si="27"/>
        <v>300.42379995866031</v>
      </c>
      <c r="Z69" s="40">
        <f t="shared" si="27"/>
        <v>296.88306704274316</v>
      </c>
      <c r="AA69" s="40">
        <f t="shared" si="27"/>
        <v>293.46383686595709</v>
      </c>
      <c r="AB69" s="40">
        <f t="shared" si="27"/>
        <v>290.15178653143505</v>
      </c>
    </row>
    <row r="70" spans="1:28" x14ac:dyDescent="0.25">
      <c r="A70" s="4" t="s">
        <v>331</v>
      </c>
      <c r="B70" s="40">
        <f t="shared" ref="B70:AB70" si="28">B54+B55</f>
        <v>309.96473761321539</v>
      </c>
      <c r="C70" s="40">
        <f t="shared" si="28"/>
        <v>307.19264137043348</v>
      </c>
      <c r="D70" s="40">
        <f t="shared" si="28"/>
        <v>305.67489683363664</v>
      </c>
      <c r="E70" s="40">
        <f t="shared" si="28"/>
        <v>304.14346265697941</v>
      </c>
      <c r="F70" s="40">
        <f t="shared" si="28"/>
        <v>302.52545436550389</v>
      </c>
      <c r="G70" s="40">
        <f t="shared" si="28"/>
        <v>300.91362451093283</v>
      </c>
      <c r="H70" s="40">
        <f t="shared" si="28"/>
        <v>299.2677512991516</v>
      </c>
      <c r="I70" s="40">
        <f t="shared" si="28"/>
        <v>296.37630762309408</v>
      </c>
      <c r="J70" s="40">
        <f t="shared" si="28"/>
        <v>293.47530644884046</v>
      </c>
      <c r="K70" s="40">
        <f t="shared" si="28"/>
        <v>290.53359450802026</v>
      </c>
      <c r="L70" s="40">
        <f t="shared" si="28"/>
        <v>287.57875263804254</v>
      </c>
      <c r="M70" s="40">
        <f t="shared" si="28"/>
        <v>284.59012394667536</v>
      </c>
      <c r="N70" s="40">
        <f t="shared" si="28"/>
        <v>281.60741631446706</v>
      </c>
      <c r="O70" s="40">
        <f t="shared" si="28"/>
        <v>278.5488947358549</v>
      </c>
      <c r="P70" s="40">
        <f t="shared" si="28"/>
        <v>275.43571407225801</v>
      </c>
      <c r="Q70" s="40">
        <f t="shared" si="28"/>
        <v>272.30431537511288</v>
      </c>
      <c r="R70" s="40">
        <f t="shared" si="28"/>
        <v>269.13442153297814</v>
      </c>
      <c r="S70" s="40">
        <f t="shared" si="28"/>
        <v>265.64144512593828</v>
      </c>
      <c r="T70" s="40">
        <f t="shared" si="28"/>
        <v>262.17947124626687</v>
      </c>
      <c r="U70" s="40">
        <f t="shared" si="28"/>
        <v>258.78530287925014</v>
      </c>
      <c r="V70" s="40">
        <f t="shared" si="28"/>
        <v>255.46511238352244</v>
      </c>
      <c r="W70" s="40">
        <f t="shared" si="28"/>
        <v>252.25161185831308</v>
      </c>
      <c r="X70" s="40">
        <f t="shared" si="28"/>
        <v>249.16678775481569</v>
      </c>
      <c r="Y70" s="40">
        <f t="shared" si="28"/>
        <v>246.19168146423812</v>
      </c>
      <c r="Z70" s="40">
        <f t="shared" si="28"/>
        <v>243.31485881615043</v>
      </c>
      <c r="AA70" s="40">
        <f t="shared" si="28"/>
        <v>240.5250136912521</v>
      </c>
      <c r="AB70" s="40">
        <f t="shared" si="28"/>
        <v>237.85164193523869</v>
      </c>
    </row>
    <row r="71" spans="1:28" x14ac:dyDescent="0.25">
      <c r="A71" s="4" t="s">
        <v>332</v>
      </c>
      <c r="B71" s="40">
        <f t="shared" ref="B71:AB71" si="29">B58+B59</f>
        <v>53685.81036133728</v>
      </c>
      <c r="C71" s="40">
        <f t="shared" si="29"/>
        <v>54520.302938837915</v>
      </c>
      <c r="D71" s="40">
        <f t="shared" si="29"/>
        <v>55579.454384182893</v>
      </c>
      <c r="E71" s="40">
        <f t="shared" si="29"/>
        <v>56659.026307308617</v>
      </c>
      <c r="F71" s="40">
        <f t="shared" si="29"/>
        <v>57769.576666076144</v>
      </c>
      <c r="G71" s="40">
        <f t="shared" si="29"/>
        <v>58913.773753812748</v>
      </c>
      <c r="H71" s="40">
        <f t="shared" si="29"/>
        <v>60092.572441075776</v>
      </c>
      <c r="I71" s="40">
        <f t="shared" si="29"/>
        <v>61047.483004598995</v>
      </c>
      <c r="J71" s="40">
        <f t="shared" si="29"/>
        <v>62020.753527380293</v>
      </c>
      <c r="K71" s="40">
        <f t="shared" si="29"/>
        <v>63004.100653351226</v>
      </c>
      <c r="L71" s="40">
        <f t="shared" si="29"/>
        <v>63994.259035000068</v>
      </c>
      <c r="M71" s="40">
        <f t="shared" si="29"/>
        <v>64988.833105504993</v>
      </c>
      <c r="N71" s="40">
        <f t="shared" si="29"/>
        <v>65977.664067342586</v>
      </c>
      <c r="O71" s="40">
        <f t="shared" si="29"/>
        <v>66953.003962447227</v>
      </c>
      <c r="P71" s="40">
        <f t="shared" si="29"/>
        <v>67909.117056491566</v>
      </c>
      <c r="Q71" s="40">
        <f t="shared" si="29"/>
        <v>68835.993671074539</v>
      </c>
      <c r="R71" s="40">
        <f t="shared" si="29"/>
        <v>69725.772494060569</v>
      </c>
      <c r="S71" s="40">
        <f t="shared" si="29"/>
        <v>70493.284004141926</v>
      </c>
      <c r="T71" s="40">
        <f t="shared" si="29"/>
        <v>71211.791800623672</v>
      </c>
      <c r="U71" s="40">
        <f t="shared" si="29"/>
        <v>71879.79468694207</v>
      </c>
      <c r="V71" s="40">
        <f t="shared" si="29"/>
        <v>72480.390325318731</v>
      </c>
      <c r="W71" s="40">
        <f t="shared" si="29"/>
        <v>73008.094579243727</v>
      </c>
      <c r="X71" s="40">
        <f t="shared" si="29"/>
        <v>73462.634409378894</v>
      </c>
      <c r="Y71" s="40">
        <f t="shared" si="29"/>
        <v>73876.046925467992</v>
      </c>
      <c r="Z71" s="40">
        <f t="shared" si="29"/>
        <v>74218.648255248932</v>
      </c>
      <c r="AA71" s="40">
        <f t="shared" si="29"/>
        <v>74486.497770107162</v>
      </c>
      <c r="AB71" s="40">
        <f t="shared" si="29"/>
        <v>74683.173924259114</v>
      </c>
    </row>
    <row r="72" spans="1:28" x14ac:dyDescent="0.25">
      <c r="A72" s="4" t="s">
        <v>333</v>
      </c>
      <c r="B72" s="40">
        <f t="shared" ref="B72:AB72" si="30">B60+B61+B62+B63</f>
        <v>52060.833005661683</v>
      </c>
      <c r="C72" s="40">
        <f t="shared" si="30"/>
        <v>52858.871716421134</v>
      </c>
      <c r="D72" s="40">
        <f t="shared" si="30"/>
        <v>53876.45441297537</v>
      </c>
      <c r="E72" s="40">
        <f t="shared" si="30"/>
        <v>54913.58402446234</v>
      </c>
      <c r="F72" s="40">
        <f t="shared" si="30"/>
        <v>55981.682002184149</v>
      </c>
      <c r="G72" s="40">
        <f t="shared" si="30"/>
        <v>57083.495431246934</v>
      </c>
      <c r="H72" s="40">
        <f t="shared" si="30"/>
        <v>58219.355905978206</v>
      </c>
      <c r="I72" s="40">
        <f t="shared" si="30"/>
        <v>59140.362602315341</v>
      </c>
      <c r="J72" s="40">
        <f t="shared" si="30"/>
        <v>60081.223470573837</v>
      </c>
      <c r="K72" s="40">
        <f t="shared" si="30"/>
        <v>61035.157844321897</v>
      </c>
      <c r="L72" s="40">
        <f t="shared" si="30"/>
        <v>61999.749237391923</v>
      </c>
      <c r="M72" s="40">
        <f t="shared" si="30"/>
        <v>62972.498271557684</v>
      </c>
      <c r="N72" s="40">
        <f t="shared" si="30"/>
        <v>63946.152437256525</v>
      </c>
      <c r="O72" s="40">
        <f t="shared" si="30"/>
        <v>64911.6011361454</v>
      </c>
      <c r="P72" s="40">
        <f t="shared" si="30"/>
        <v>65865.89207204897</v>
      </c>
      <c r="Q72" s="40">
        <f t="shared" si="30"/>
        <v>66798.703325888084</v>
      </c>
      <c r="R72" s="40">
        <f t="shared" si="30"/>
        <v>67703.58938822546</v>
      </c>
      <c r="S72" s="40">
        <f t="shared" si="30"/>
        <v>68498.950029540996</v>
      </c>
      <c r="T72" s="40">
        <f t="shared" si="30"/>
        <v>69254.315403273373</v>
      </c>
      <c r="U72" s="40">
        <f t="shared" si="30"/>
        <v>69968.433196630431</v>
      </c>
      <c r="V72" s="40">
        <f t="shared" si="30"/>
        <v>70626.842017408257</v>
      </c>
      <c r="W72" s="40">
        <f t="shared" si="30"/>
        <v>71223.017076186734</v>
      </c>
      <c r="X72" s="40">
        <f t="shared" si="30"/>
        <v>71755.645979425273</v>
      </c>
      <c r="Y72" s="40">
        <f t="shared" si="30"/>
        <v>72252.476924463743</v>
      </c>
      <c r="Z72" s="40">
        <f t="shared" si="30"/>
        <v>72686.987334080026</v>
      </c>
      <c r="AA72" s="40">
        <f t="shared" si="30"/>
        <v>73056.175103076617</v>
      </c>
      <c r="AB72" s="40">
        <f t="shared" si="30"/>
        <v>73361.124004839003</v>
      </c>
    </row>
    <row r="73" spans="1:28" x14ac:dyDescent="0.25">
      <c r="A73" s="4" t="s">
        <v>334</v>
      </c>
      <c r="B73" s="40">
        <f t="shared" ref="B73:AB73" si="31">B64+B65</f>
        <v>56050.296497701827</v>
      </c>
      <c r="C73" s="40">
        <f t="shared" si="31"/>
        <v>56889.169239104529</v>
      </c>
      <c r="D73" s="40">
        <f t="shared" si="31"/>
        <v>57960.908398004394</v>
      </c>
      <c r="E73" s="40">
        <f t="shared" si="31"/>
        <v>59052.268276201146</v>
      </c>
      <c r="F73" s="40">
        <f t="shared" si="31"/>
        <v>60174.468138565331</v>
      </c>
      <c r="G73" s="40">
        <f t="shared" si="31"/>
        <v>61330.079650412627</v>
      </c>
      <c r="H73" s="40">
        <f t="shared" si="31"/>
        <v>62519.27455970351</v>
      </c>
      <c r="I73" s="40">
        <f t="shared" si="31"/>
        <v>63473.077351248838</v>
      </c>
      <c r="J73" s="40">
        <f t="shared" si="31"/>
        <v>64444.000479022521</v>
      </c>
      <c r="K73" s="40">
        <f t="shared" si="31"/>
        <v>65422.687033718656</v>
      </c>
      <c r="L73" s="40">
        <f t="shared" si="31"/>
        <v>66405.129261861017</v>
      </c>
      <c r="M73" s="40">
        <f t="shared" si="31"/>
        <v>67389.39469085967</v>
      </c>
      <c r="N73" s="40">
        <f t="shared" si="31"/>
        <v>68363.886996564761</v>
      </c>
      <c r="O73" s="40">
        <f t="shared" si="31"/>
        <v>69320.807541936039</v>
      </c>
      <c r="P73" s="40">
        <f t="shared" si="31"/>
        <v>70254.023073704157</v>
      </c>
      <c r="Q73" s="40">
        <f t="shared" si="31"/>
        <v>71152.772180769578</v>
      </c>
      <c r="R73" s="40">
        <f t="shared" si="31"/>
        <v>72009.126981625246</v>
      </c>
      <c r="S73" s="40">
        <f t="shared" si="31"/>
        <v>72735.056740050568</v>
      </c>
      <c r="T73" s="40">
        <f t="shared" si="31"/>
        <v>73406.169061753215</v>
      </c>
      <c r="U73" s="40">
        <f t="shared" si="31"/>
        <v>74021.169186069106</v>
      </c>
      <c r="V73" s="40">
        <f t="shared" si="31"/>
        <v>74562.280730874569</v>
      </c>
      <c r="W73" s="40">
        <f t="shared" si="31"/>
        <v>75024.27420313844</v>
      </c>
      <c r="X73" s="40">
        <f t="shared" si="31"/>
        <v>75406.326276918306</v>
      </c>
      <c r="Y73" s="40">
        <f t="shared" si="31"/>
        <v>75743.684910112745</v>
      </c>
      <c r="Z73" s="40">
        <f t="shared" si="31"/>
        <v>76004.45909312091</v>
      </c>
      <c r="AA73" s="40">
        <f t="shared" si="31"/>
        <v>76185.46545445743</v>
      </c>
      <c r="AB73" s="40">
        <f t="shared" si="31"/>
        <v>76290.736496040248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171.29694737753658</v>
      </c>
      <c r="C2" s="37">
        <f>BDbDT_calcs!C48</f>
        <v>169.77589926441684</v>
      </c>
      <c r="D2" s="37">
        <f>BDbDT_calcs!D48</f>
        <v>168.94912292400676</v>
      </c>
      <c r="E2" s="37">
        <f>BDbDT_calcs!E48</f>
        <v>168.13005303803632</v>
      </c>
      <c r="F2" s="37">
        <f>BDbDT_calcs!F48</f>
        <v>167.28350607048924</v>
      </c>
      <c r="G2" s="37">
        <f>BDbDT_calcs!G48</f>
        <v>166.40973429670325</v>
      </c>
      <c r="H2" s="37">
        <f>BDbDT_calcs!H48</f>
        <v>165.50984338187595</v>
      </c>
      <c r="I2" s="37">
        <f>BDbDT_calcs!I48</f>
        <v>163.99471594628656</v>
      </c>
      <c r="J2" s="37">
        <f>BDbDT_calcs!J48</f>
        <v>162.38172482830331</v>
      </c>
      <c r="K2" s="37">
        <f>BDbDT_calcs!K48</f>
        <v>160.81236923565496</v>
      </c>
      <c r="L2" s="37">
        <f>BDbDT_calcs!L48</f>
        <v>159.1576103724471</v>
      </c>
      <c r="M2" s="37">
        <f>BDbDT_calcs!M48</f>
        <v>157.5461603013249</v>
      </c>
      <c r="N2" s="37">
        <f>BDbDT_calcs!N48</f>
        <v>155.99599939493066</v>
      </c>
      <c r="O2" s="37">
        <f>BDbDT_calcs!O48</f>
        <v>154.24894022467814</v>
      </c>
      <c r="P2" s="37">
        <f>BDbDT_calcs!P48</f>
        <v>152.5804813685094</v>
      </c>
      <c r="Q2" s="37">
        <f>BDbDT_calcs!Q48</f>
        <v>150.82385774393765</v>
      </c>
      <c r="R2" s="37">
        <f>BDbDT_calcs!R48</f>
        <v>149.0699316925801</v>
      </c>
      <c r="S2" s="37">
        <f>BDbDT_calcs!S48</f>
        <v>147.11541576432705</v>
      </c>
      <c r="T2" s="37">
        <f>BDbDT_calcs!T48</f>
        <v>145.18395353727155</v>
      </c>
      <c r="U2" s="37">
        <f>BDbDT_calcs!U48</f>
        <v>143.27349121213697</v>
      </c>
      <c r="V2" s="37">
        <f>BDbDT_calcs!V48</f>
        <v>141.38156784158977</v>
      </c>
      <c r="W2" s="37">
        <f>BDbDT_calcs!W48</f>
        <v>139.52401081592404</v>
      </c>
      <c r="X2" s="37">
        <f>BDbDT_calcs!X48</f>
        <v>137.82731086493988</v>
      </c>
      <c r="Y2" s="37">
        <f>BDbDT_calcs!Y48</f>
        <v>136.14233663999534</v>
      </c>
      <c r="Z2" s="37">
        <f>BDbDT_calcs!Z48</f>
        <v>134.55908077378641</v>
      </c>
      <c r="AA2" s="37">
        <f>BDbDT_calcs!AA48</f>
        <v>133.00166451106838</v>
      </c>
      <c r="AB2" s="37">
        <f>BDbDT_calcs!AB48</f>
        <v>131.44959440909918</v>
      </c>
    </row>
    <row r="3" spans="1:28" x14ac:dyDescent="0.25">
      <c r="A3" s="4" t="s">
        <v>216</v>
      </c>
      <c r="B3" s="37">
        <f>BDbDT_calcs!B49</f>
        <v>141.9261632582612</v>
      </c>
      <c r="C3" s="37">
        <f>BDbDT_calcs!C49</f>
        <v>140.96081167122887</v>
      </c>
      <c r="D3" s="37">
        <f>BDbDT_calcs!D49</f>
        <v>140.58748225689584</v>
      </c>
      <c r="E3" s="37">
        <f>BDbDT_calcs!E49</f>
        <v>140.20339693336672</v>
      </c>
      <c r="F3" s="37">
        <f>BDbDT_calcs!F49</f>
        <v>139.79066274847133</v>
      </c>
      <c r="G3" s="37">
        <f>BDbDT_calcs!G49</f>
        <v>139.38774450923182</v>
      </c>
      <c r="H3" s="37">
        <f>BDbDT_calcs!H49</f>
        <v>138.97678998683563</v>
      </c>
      <c r="I3" s="37">
        <f>BDbDT_calcs!I49</f>
        <v>137.90780693540876</v>
      </c>
      <c r="J3" s="37">
        <f>BDbDT_calcs!J49</f>
        <v>136.92217134279693</v>
      </c>
      <c r="K3" s="37">
        <f>BDbDT_calcs!K49</f>
        <v>135.84254168049907</v>
      </c>
      <c r="L3" s="37">
        <f>BDbDT_calcs!L49</f>
        <v>134.8221730215262</v>
      </c>
      <c r="M3" s="37">
        <f>BDbDT_calcs!M49</f>
        <v>133.70791556818727</v>
      </c>
      <c r="N3" s="37">
        <f>BDbDT_calcs!N49</f>
        <v>132.51871894220619</v>
      </c>
      <c r="O3" s="37">
        <f>BDbDT_calcs!O49</f>
        <v>131.44564365973073</v>
      </c>
      <c r="P3" s="37">
        <f>BDbDT_calcs!P49</f>
        <v>130.20124839156455</v>
      </c>
      <c r="Q3" s="37">
        <f>BDbDT_calcs!Q49</f>
        <v>129.01439041123348</v>
      </c>
      <c r="R3" s="37">
        <f>BDbDT_calcs!R49</f>
        <v>127.75014633476761</v>
      </c>
      <c r="S3" s="37">
        <f>BDbDT_calcs!S49</f>
        <v>126.36143758812311</v>
      </c>
      <c r="T3" s="37">
        <f>BDbDT_calcs!T49</f>
        <v>124.95406078160819</v>
      </c>
      <c r="U3" s="37">
        <f>BDbDT_calcs!U49</f>
        <v>123.56467741943452</v>
      </c>
      <c r="V3" s="37">
        <f>BDbDT_calcs!V49</f>
        <v>122.22956340061535</v>
      </c>
      <c r="W3" s="37">
        <f>BDbDT_calcs!W49</f>
        <v>120.92743685796123</v>
      </c>
      <c r="X3" s="37">
        <f>BDbDT_calcs!X49</f>
        <v>119.61788843634699</v>
      </c>
      <c r="Y3" s="37">
        <f>BDbDT_calcs!Y49</f>
        <v>118.39525954542911</v>
      </c>
      <c r="Z3" s="37">
        <f>BDbDT_calcs!Z49</f>
        <v>117.16189437701522</v>
      </c>
      <c r="AA3" s="37">
        <f>BDbDT_calcs!AA49</f>
        <v>115.99262789511036</v>
      </c>
      <c r="AB3" s="37">
        <f>BDbDT_calcs!AB49</f>
        <v>114.94335678655777</v>
      </c>
    </row>
    <row r="4" spans="1:28" x14ac:dyDescent="0.25">
      <c r="A4" s="4" t="s">
        <v>217</v>
      </c>
      <c r="B4" s="37">
        <f>BDbDT_calcs!B50</f>
        <v>138.05684862666254</v>
      </c>
      <c r="C4" s="37">
        <f>BDbDT_calcs!C50</f>
        <v>136.96203791747806</v>
      </c>
      <c r="D4" s="37">
        <f>BDbDT_calcs!D50</f>
        <v>136.45624351264385</v>
      </c>
      <c r="E4" s="37">
        <f>BDbDT_calcs!E50</f>
        <v>135.9294809618936</v>
      </c>
      <c r="F4" s="37">
        <f>BDbDT_calcs!F50</f>
        <v>135.39685768078635</v>
      </c>
      <c r="G4" s="37">
        <f>BDbDT_calcs!G50</f>
        <v>134.8729207074621</v>
      </c>
      <c r="H4" s="37">
        <f>BDbDT_calcs!H50</f>
        <v>134.30210802306098</v>
      </c>
      <c r="I4" s="37">
        <f>BDbDT_calcs!I50</f>
        <v>133.20175140273241</v>
      </c>
      <c r="J4" s="37">
        <f>BDbDT_calcs!J50</f>
        <v>132.05560631682181</v>
      </c>
      <c r="K4" s="37">
        <f>BDbDT_calcs!K50</f>
        <v>130.87309363479898</v>
      </c>
      <c r="L4" s="37">
        <f>BDbDT_calcs!L50</f>
        <v>129.64007769926954</v>
      </c>
      <c r="M4" s="37">
        <f>BDbDT_calcs!M50</f>
        <v>128.35645472248717</v>
      </c>
      <c r="N4" s="37">
        <f>BDbDT_calcs!N50</f>
        <v>127.02193250301229</v>
      </c>
      <c r="O4" s="37">
        <f>BDbDT_calcs!O50</f>
        <v>125.59365663549012</v>
      </c>
      <c r="P4" s="37">
        <f>BDbDT_calcs!P50</f>
        <v>124.12770005241036</v>
      </c>
      <c r="Q4" s="37">
        <f>BDbDT_calcs!Q50</f>
        <v>122.60899531732419</v>
      </c>
      <c r="R4" s="37">
        <f>BDbDT_calcs!R50</f>
        <v>121.03644702107508</v>
      </c>
      <c r="S4" s="37">
        <f>BDbDT_calcs!S50</f>
        <v>119.30335052325674</v>
      </c>
      <c r="T4" s="37">
        <f>BDbDT_calcs!T50</f>
        <v>117.58903892117655</v>
      </c>
      <c r="U4" s="37">
        <f>BDbDT_calcs!U50</f>
        <v>115.89178305099885</v>
      </c>
      <c r="V4" s="37">
        <f>BDbDT_calcs!V50</f>
        <v>114.22370698500006</v>
      </c>
      <c r="W4" s="37">
        <f>BDbDT_calcs!W50</f>
        <v>112.61101693211501</v>
      </c>
      <c r="X4" s="37">
        <f>BDbDT_calcs!X50</f>
        <v>111.06581754016018</v>
      </c>
      <c r="Y4" s="37">
        <f>BDbDT_calcs!Y50</f>
        <v>109.55833430658524</v>
      </c>
      <c r="Z4" s="37">
        <f>BDbDT_calcs!Z50</f>
        <v>108.10094230779008</v>
      </c>
      <c r="AA4" s="37">
        <f>BDbDT_calcs!AA50</f>
        <v>106.72031414447451</v>
      </c>
      <c r="AB4" s="37">
        <f>BDbDT_calcs!AB50</f>
        <v>105.38646507100049</v>
      </c>
    </row>
    <row r="5" spans="1:28" x14ac:dyDescent="0.25">
      <c r="A5" s="4" t="s">
        <v>218</v>
      </c>
      <c r="B5" s="37">
        <f>BDbDT_calcs!B51</f>
        <v>200.59547026391908</v>
      </c>
      <c r="C5" s="37">
        <f>BDbDT_calcs!C51</f>
        <v>197.62774842549865</v>
      </c>
      <c r="D5" s="37">
        <f>BDbDT_calcs!D51</f>
        <v>195.53054953094713</v>
      </c>
      <c r="E5" s="37">
        <f>BDbDT_calcs!E51</f>
        <v>193.34949713657599</v>
      </c>
      <c r="F5" s="37">
        <f>BDbDT_calcs!F51</f>
        <v>191.08519849319626</v>
      </c>
      <c r="G5" s="37">
        <f>BDbDT_calcs!G51</f>
        <v>188.82381062221165</v>
      </c>
      <c r="H5" s="37">
        <f>BDbDT_calcs!H51</f>
        <v>186.43612122671306</v>
      </c>
      <c r="I5" s="37">
        <f>BDbDT_calcs!I51</f>
        <v>183.33317837011109</v>
      </c>
      <c r="J5" s="37">
        <f>BDbDT_calcs!J51</f>
        <v>180.26704841357301</v>
      </c>
      <c r="K5" s="37">
        <f>BDbDT_calcs!K51</f>
        <v>177.23030882104209</v>
      </c>
      <c r="L5" s="37">
        <f>BDbDT_calcs!L51</f>
        <v>174.3090289311219</v>
      </c>
      <c r="M5" s="37">
        <f>BDbDT_calcs!M51</f>
        <v>171.54569865923821</v>
      </c>
      <c r="N5" s="37">
        <f>BDbDT_calcs!N51</f>
        <v>168.80921102084361</v>
      </c>
      <c r="O5" s="37">
        <f>BDbDT_calcs!O51</f>
        <v>166.22878400793275</v>
      </c>
      <c r="P5" s="37">
        <f>BDbDT_calcs!P51</f>
        <v>163.6732208028283</v>
      </c>
      <c r="Q5" s="37">
        <f>BDbDT_calcs!Q51</f>
        <v>161.22794356499901</v>
      </c>
      <c r="R5" s="37">
        <f>BDbDT_calcs!R51</f>
        <v>158.8481066287913</v>
      </c>
      <c r="S5" s="37">
        <f>BDbDT_calcs!S51</f>
        <v>156.31332992411265</v>
      </c>
      <c r="T5" s="37">
        <f>BDbDT_calcs!T51</f>
        <v>153.84673554910177</v>
      </c>
      <c r="U5" s="37">
        <f>BDbDT_calcs!U51</f>
        <v>151.40252639702317</v>
      </c>
      <c r="V5" s="37">
        <f>BDbDT_calcs!V51</f>
        <v>149.06474454693432</v>
      </c>
      <c r="W5" s="37">
        <f>BDbDT_calcs!W51</f>
        <v>146.70028308212355</v>
      </c>
      <c r="X5" s="37">
        <f>BDbDT_calcs!X51</f>
        <v>144.43658151359332</v>
      </c>
      <c r="Y5" s="37">
        <f>BDbDT_calcs!Y51</f>
        <v>142.31519722865437</v>
      </c>
      <c r="Z5" s="37">
        <f>BDbDT_calcs!Z51</f>
        <v>140.20344009839928</v>
      </c>
      <c r="AA5" s="37">
        <f>BDbDT_calcs!AA51</f>
        <v>138.18591080362344</v>
      </c>
      <c r="AB5" s="37">
        <f>BDbDT_calcs!AB51</f>
        <v>136.17351829593179</v>
      </c>
    </row>
    <row r="6" spans="1:28" x14ac:dyDescent="0.25">
      <c r="A6" s="4" t="s">
        <v>219</v>
      </c>
      <c r="B6" s="37">
        <f>BDbDT_calcs!B52</f>
        <v>18.110976615173861</v>
      </c>
      <c r="C6" s="37">
        <f>BDbDT_calcs!C52</f>
        <v>18.149629916807978</v>
      </c>
      <c r="D6" s="37">
        <f>BDbDT_calcs!D52</f>
        <v>18.264756303958926</v>
      </c>
      <c r="E6" s="37">
        <f>BDbDT_calcs!E52</f>
        <v>18.403033239380676</v>
      </c>
      <c r="F6" s="37">
        <f>BDbDT_calcs!F52</f>
        <v>18.543682187461542</v>
      </c>
      <c r="G6" s="37">
        <f>BDbDT_calcs!G52</f>
        <v>18.68684085543763</v>
      </c>
      <c r="H6" s="37">
        <f>BDbDT_calcs!H52</f>
        <v>18.832752539617299</v>
      </c>
      <c r="I6" s="37">
        <f>BDbDT_calcs!I52</f>
        <v>18.902970239586939</v>
      </c>
      <c r="J6" s="37">
        <f>BDbDT_calcs!J52</f>
        <v>18.976430365664839</v>
      </c>
      <c r="K6" s="37">
        <f>BDbDT_calcs!K52</f>
        <v>19.095125537009512</v>
      </c>
      <c r="L6" s="37">
        <f>BDbDT_calcs!L52</f>
        <v>19.17399262812641</v>
      </c>
      <c r="M6" s="37">
        <f>BDbDT_calcs!M52</f>
        <v>19.255718946894152</v>
      </c>
      <c r="N6" s="37">
        <f>BDbDT_calcs!N52</f>
        <v>19.340380128468624</v>
      </c>
      <c r="O6" s="37">
        <f>BDbDT_calcs!O52</f>
        <v>19.428054769383877</v>
      </c>
      <c r="P6" s="37">
        <f>BDbDT_calcs!P52</f>
        <v>19.497513615681488</v>
      </c>
      <c r="Q6" s="37">
        <f>BDbDT_calcs!Q52</f>
        <v>19.591336163278424</v>
      </c>
      <c r="R6" s="37">
        <f>BDbDT_calcs!R52</f>
        <v>19.645623531777861</v>
      </c>
      <c r="S6" s="37">
        <f>BDbDT_calcs!S52</f>
        <v>19.702124582386844</v>
      </c>
      <c r="T6" s="37">
        <f>BDbDT_calcs!T52</f>
        <v>19.782815481921276</v>
      </c>
      <c r="U6" s="37">
        <f>BDbDT_calcs!U52</f>
        <v>19.823673715424313</v>
      </c>
      <c r="V6" s="37">
        <f>BDbDT_calcs!V52</f>
        <v>19.888376809525031</v>
      </c>
      <c r="W6" s="37">
        <f>BDbDT_calcs!W52</f>
        <v>19.955387480081477</v>
      </c>
      <c r="X6" s="37">
        <f>BDbDT_calcs!X52</f>
        <v>20.003148658345967</v>
      </c>
      <c r="Y6" s="37">
        <f>BDbDT_calcs!Y52</f>
        <v>20.095410985737448</v>
      </c>
      <c r="Z6" s="37">
        <f>BDbDT_calcs!Z52</f>
        <v>20.14670045503436</v>
      </c>
      <c r="AA6" s="37">
        <f>BDbDT_calcs!AA52</f>
        <v>20.199362611407427</v>
      </c>
      <c r="AB6" s="37">
        <f>BDbDT_calcs!AB52</f>
        <v>20.253139186076176</v>
      </c>
    </row>
    <row r="7" spans="1:28" x14ac:dyDescent="0.25">
      <c r="A7" s="4" t="s">
        <v>220</v>
      </c>
      <c r="B7" s="37">
        <f>BDbDT_calcs!B53</f>
        <v>26.302600531669523</v>
      </c>
      <c r="C7" s="37">
        <f>BDbDT_calcs!C53</f>
        <v>26.492163177637693</v>
      </c>
      <c r="D7" s="37">
        <f>BDbDT_calcs!D53</f>
        <v>26.741491272403334</v>
      </c>
      <c r="E7" s="37">
        <f>BDbDT_calcs!E53</f>
        <v>27.029058021311364</v>
      </c>
      <c r="F7" s="37">
        <f>BDbDT_calcs!F53</f>
        <v>27.303157256229138</v>
      </c>
      <c r="G7" s="37">
        <f>BDbDT_calcs!G53</f>
        <v>27.546341915988183</v>
      </c>
      <c r="H7" s="37">
        <f>BDbDT_calcs!H53</f>
        <v>27.864065255986198</v>
      </c>
      <c r="I7" s="37">
        <f>BDbDT_calcs!I53</f>
        <v>27.999825028481556</v>
      </c>
      <c r="J7" s="37">
        <f>BDbDT_calcs!J53</f>
        <v>28.157886441695133</v>
      </c>
      <c r="K7" s="37">
        <f>BDbDT_calcs!K53</f>
        <v>28.267233839775059</v>
      </c>
      <c r="L7" s="37">
        <f>BDbDT_calcs!L53</f>
        <v>28.3982108178826</v>
      </c>
      <c r="M7" s="37">
        <f>BDbDT_calcs!M53</f>
        <v>28.480835395990265</v>
      </c>
      <c r="N7" s="37">
        <f>BDbDT_calcs!N53</f>
        <v>28.602861041259061</v>
      </c>
      <c r="O7" s="37">
        <f>BDbDT_calcs!O53</f>
        <v>28.694285842060896</v>
      </c>
      <c r="P7" s="37">
        <f>BDbDT_calcs!P53</f>
        <v>28.755161159060449</v>
      </c>
      <c r="Q7" s="37">
        <f>BDbDT_calcs!Q53</f>
        <v>28.785449105824242</v>
      </c>
      <c r="R7" s="37">
        <f>BDbDT_calcs!R53</f>
        <v>28.820150768662145</v>
      </c>
      <c r="S7" s="37">
        <f>BDbDT_calcs!S53</f>
        <v>28.809298288156008</v>
      </c>
      <c r="T7" s="37">
        <f>BDbDT_calcs!T53</f>
        <v>28.732570631746462</v>
      </c>
      <c r="U7" s="37">
        <f>BDbDT_calcs!U53</f>
        <v>28.694982123591544</v>
      </c>
      <c r="V7" s="37">
        <f>BDbDT_calcs!V53</f>
        <v>28.62600989632454</v>
      </c>
      <c r="W7" s="37">
        <f>BDbDT_calcs!W53</f>
        <v>28.560326895934939</v>
      </c>
      <c r="X7" s="37">
        <f>BDbDT_calcs!X53</f>
        <v>28.532610693353977</v>
      </c>
      <c r="Y7" s="37">
        <f>BDbDT_calcs!Y53</f>
        <v>28.454857437683245</v>
      </c>
      <c r="Z7" s="37">
        <f>BDbDT_calcs!Z53</f>
        <v>28.431984181519447</v>
      </c>
      <c r="AA7" s="37">
        <f>BDbDT_calcs!AA53</f>
        <v>28.358249306451693</v>
      </c>
      <c r="AB7" s="37">
        <f>BDbDT_calcs!AB53</f>
        <v>28.338663978426609</v>
      </c>
    </row>
    <row r="8" spans="1:28" x14ac:dyDescent="0.25">
      <c r="A8" s="4" t="s">
        <v>221</v>
      </c>
      <c r="B8" s="37">
        <f>BDbDT_calcs!B54</f>
        <v>48.469399998373298</v>
      </c>
      <c r="C8" s="37">
        <f>BDbDT_calcs!C54</f>
        <v>48.605821583412251</v>
      </c>
      <c r="D8" s="37">
        <f>BDbDT_calcs!D54</f>
        <v>48.972368587331729</v>
      </c>
      <c r="E8" s="37">
        <f>BDbDT_calcs!E54</f>
        <v>49.357348463300873</v>
      </c>
      <c r="F8" s="37">
        <f>BDbDT_calcs!F54</f>
        <v>49.786915831343961</v>
      </c>
      <c r="G8" s="37">
        <f>BDbDT_calcs!G54</f>
        <v>50.172528185068963</v>
      </c>
      <c r="H8" s="37">
        <f>BDbDT_calcs!H54</f>
        <v>50.552745166826121</v>
      </c>
      <c r="I8" s="37">
        <f>BDbDT_calcs!I54</f>
        <v>50.716964147797889</v>
      </c>
      <c r="J8" s="37">
        <f>BDbDT_calcs!J54</f>
        <v>50.86436333009383</v>
      </c>
      <c r="K8" s="37">
        <f>BDbDT_calcs!K54</f>
        <v>50.993403934927862</v>
      </c>
      <c r="L8" s="37">
        <f>BDbDT_calcs!L54</f>
        <v>51.091595776417442</v>
      </c>
      <c r="M8" s="37">
        <f>BDbDT_calcs!M54</f>
        <v>51.159170031264843</v>
      </c>
      <c r="N8" s="37">
        <f>BDbDT_calcs!N54</f>
        <v>51.196279644669183</v>
      </c>
      <c r="O8" s="37">
        <f>BDbDT_calcs!O54</f>
        <v>51.203048869293809</v>
      </c>
      <c r="P8" s="37">
        <f>BDbDT_calcs!P54</f>
        <v>51.141197982245629</v>
      </c>
      <c r="Q8" s="37">
        <f>BDbDT_calcs!Q54</f>
        <v>51.048892783003275</v>
      </c>
      <c r="R8" s="37">
        <f>BDbDT_calcs!R54</f>
        <v>50.887567570796499</v>
      </c>
      <c r="S8" s="37">
        <f>BDbDT_calcs!S54</f>
        <v>50.67673847272863</v>
      </c>
      <c r="T8" s="37">
        <f>BDbDT_calcs!T54</f>
        <v>50.422471686276644</v>
      </c>
      <c r="U8" s="37">
        <f>BDbDT_calcs!U54</f>
        <v>50.12427185020087</v>
      </c>
      <c r="V8" s="37">
        <f>BDbDT_calcs!V54</f>
        <v>49.832540891568975</v>
      </c>
      <c r="W8" s="37">
        <f>BDbDT_calcs!W54</f>
        <v>49.482620307969839</v>
      </c>
      <c r="X8" s="37">
        <f>BDbDT_calcs!X54</f>
        <v>49.201474467685294</v>
      </c>
      <c r="Y8" s="37">
        <f>BDbDT_calcs!Y54</f>
        <v>48.911928187478665</v>
      </c>
      <c r="Z8" s="37">
        <f>BDbDT_calcs!Z54</f>
        <v>48.626034226896664</v>
      </c>
      <c r="AA8" s="37">
        <f>BDbDT_calcs!AA54</f>
        <v>48.355869467664384</v>
      </c>
      <c r="AB8" s="37">
        <f>BDbDT_calcs!AB54</f>
        <v>48.113564047473915</v>
      </c>
    </row>
    <row r="9" spans="1:28" x14ac:dyDescent="0.25">
      <c r="A9" s="4" t="s">
        <v>222</v>
      </c>
      <c r="B9" s="37">
        <f>BDbDT_calcs!B55</f>
        <v>261.49533761484207</v>
      </c>
      <c r="C9" s="37">
        <f>BDbDT_calcs!C55</f>
        <v>258.58681978702123</v>
      </c>
      <c r="D9" s="37">
        <f>BDbDT_calcs!D55</f>
        <v>256.70252824630489</v>
      </c>
      <c r="E9" s="37">
        <f>BDbDT_calcs!E55</f>
        <v>254.78611419367851</v>
      </c>
      <c r="F9" s="37">
        <f>BDbDT_calcs!F55</f>
        <v>252.73853853415994</v>
      </c>
      <c r="G9" s="37">
        <f>BDbDT_calcs!G55</f>
        <v>250.74109632586388</v>
      </c>
      <c r="H9" s="37">
        <f>BDbDT_calcs!H55</f>
        <v>248.7150061323255</v>
      </c>
      <c r="I9" s="37">
        <f>BDbDT_calcs!I55</f>
        <v>245.6593434752962</v>
      </c>
      <c r="J9" s="37">
        <f>BDbDT_calcs!J55</f>
        <v>242.6109431187466</v>
      </c>
      <c r="K9" s="37">
        <f>BDbDT_calcs!K55</f>
        <v>239.54019057309242</v>
      </c>
      <c r="L9" s="37">
        <f>BDbDT_calcs!L55</f>
        <v>236.4871568616251</v>
      </c>
      <c r="M9" s="37">
        <f>BDbDT_calcs!M55</f>
        <v>233.4309539154105</v>
      </c>
      <c r="N9" s="37">
        <f>BDbDT_calcs!N55</f>
        <v>230.41113666979788</v>
      </c>
      <c r="O9" s="37">
        <f>BDbDT_calcs!O55</f>
        <v>227.34584586656106</v>
      </c>
      <c r="P9" s="37">
        <f>BDbDT_calcs!P55</f>
        <v>224.29451609001237</v>
      </c>
      <c r="Q9" s="37">
        <f>BDbDT_calcs!Q55</f>
        <v>221.2554225921096</v>
      </c>
      <c r="R9" s="37">
        <f>BDbDT_calcs!R55</f>
        <v>218.24685396218166</v>
      </c>
      <c r="S9" s="37">
        <f>BDbDT_calcs!S55</f>
        <v>214.96470665320967</v>
      </c>
      <c r="T9" s="37">
        <f>BDbDT_calcs!T55</f>
        <v>211.75699955999025</v>
      </c>
      <c r="U9" s="37">
        <f>BDbDT_calcs!U55</f>
        <v>208.6610310290493</v>
      </c>
      <c r="V9" s="37">
        <f>BDbDT_calcs!V55</f>
        <v>205.63257149195346</v>
      </c>
      <c r="W9" s="37">
        <f>BDbDT_calcs!W55</f>
        <v>202.76899155034323</v>
      </c>
      <c r="X9" s="37">
        <f>BDbDT_calcs!X55</f>
        <v>199.96531328713039</v>
      </c>
      <c r="Y9" s="37">
        <f>BDbDT_calcs!Y55</f>
        <v>197.27975327675946</v>
      </c>
      <c r="Z9" s="37">
        <f>BDbDT_calcs!Z55</f>
        <v>194.68882458925378</v>
      </c>
      <c r="AA9" s="37">
        <f>BDbDT_calcs!AA55</f>
        <v>192.16914422358772</v>
      </c>
      <c r="AB9" s="37">
        <f>BDbDT_calcs!AB55</f>
        <v>189.73807788776477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27163.207295239423</v>
      </c>
      <c r="C2" s="37">
        <f>BDbDT_calcs!C58</f>
        <v>27620.775613079866</v>
      </c>
      <c r="D2" s="37">
        <f>BDbDT_calcs!D58</f>
        <v>28191.22471627051</v>
      </c>
      <c r="E2" s="37">
        <f>BDbDT_calcs!E58</f>
        <v>28765.066545908499</v>
      </c>
      <c r="F2" s="37">
        <f>BDbDT_calcs!F58</f>
        <v>29344.776541312345</v>
      </c>
      <c r="G2" s="37">
        <f>BDbDT_calcs!G58</f>
        <v>29931.25393053185</v>
      </c>
      <c r="H2" s="37">
        <f>BDbDT_calcs!H58</f>
        <v>30522.484479234838</v>
      </c>
      <c r="I2" s="37">
        <f>BDbDT_calcs!I58</f>
        <v>30987.643404069393</v>
      </c>
      <c r="J2" s="37">
        <f>BDbDT_calcs!J58</f>
        <v>31448.388110879918</v>
      </c>
      <c r="K2" s="37">
        <f>BDbDT_calcs!K58</f>
        <v>31904.1977613288</v>
      </c>
      <c r="L2" s="37">
        <f>BDbDT_calcs!L58</f>
        <v>32352.398178503652</v>
      </c>
      <c r="M2" s="37">
        <f>BDbDT_calcs!M58</f>
        <v>32792.468273970924</v>
      </c>
      <c r="N2" s="37">
        <f>BDbDT_calcs!N58</f>
        <v>33221.072256839536</v>
      </c>
      <c r="O2" s="37">
        <f>BDbDT_calcs!O58</f>
        <v>33636.967146641349</v>
      </c>
      <c r="P2" s="37">
        <f>BDbDT_calcs!P58</f>
        <v>34035.835489973811</v>
      </c>
      <c r="Q2" s="37">
        <f>BDbDT_calcs!Q58</f>
        <v>34416.972432947427</v>
      </c>
      <c r="R2" s="37">
        <f>BDbDT_calcs!R58</f>
        <v>34775.129542010058</v>
      </c>
      <c r="S2" s="37">
        <f>BDbDT_calcs!S58</f>
        <v>35071.231381502097</v>
      </c>
      <c r="T2" s="37">
        <f>BDbDT_calcs!T58</f>
        <v>35342.240922566947</v>
      </c>
      <c r="U2" s="37">
        <f>BDbDT_calcs!U58</f>
        <v>35589.993826237122</v>
      </c>
      <c r="V2" s="37">
        <f>BDbDT_calcs!V58</f>
        <v>35805.854019613049</v>
      </c>
      <c r="W2" s="37">
        <f>BDbDT_calcs!W58</f>
        <v>35991.813597646404</v>
      </c>
      <c r="X2" s="37">
        <f>BDbDT_calcs!X58</f>
        <v>36145.760671080272</v>
      </c>
      <c r="Y2" s="37">
        <f>BDbDT_calcs!Y58</f>
        <v>36282.476693826116</v>
      </c>
      <c r="Z2" s="37">
        <f>BDbDT_calcs!Z58</f>
        <v>36388.583090569889</v>
      </c>
      <c r="AA2" s="37">
        <f>BDbDT_calcs!AA58</f>
        <v>36466.154957136292</v>
      </c>
      <c r="AB2" s="37">
        <f>BDbDT_calcs!AB58</f>
        <v>36518.333521574452</v>
      </c>
    </row>
    <row r="3" spans="1:28" x14ac:dyDescent="0.25">
      <c r="A3" s="4" t="s">
        <v>216</v>
      </c>
      <c r="B3" s="37">
        <f>BDbDT_calcs!B59</f>
        <v>26522.603066097858</v>
      </c>
      <c r="C3" s="37">
        <f>BDbDT_calcs!C59</f>
        <v>26899.527325758048</v>
      </c>
      <c r="D3" s="37">
        <f>BDbDT_calcs!D59</f>
        <v>27388.229667912383</v>
      </c>
      <c r="E3" s="37">
        <f>BDbDT_calcs!E59</f>
        <v>27893.959761400118</v>
      </c>
      <c r="F3" s="37">
        <f>BDbDT_calcs!F59</f>
        <v>28424.800124763795</v>
      </c>
      <c r="G3" s="37">
        <f>BDbDT_calcs!G59</f>
        <v>28982.519823280898</v>
      </c>
      <c r="H3" s="37">
        <f>BDbDT_calcs!H59</f>
        <v>29570.087961840938</v>
      </c>
      <c r="I3" s="37">
        <f>BDbDT_calcs!I59</f>
        <v>30059.839600529602</v>
      </c>
      <c r="J3" s="37">
        <f>BDbDT_calcs!J59</f>
        <v>30572.365416500375</v>
      </c>
      <c r="K3" s="37">
        <f>BDbDT_calcs!K59</f>
        <v>31099.902892022423</v>
      </c>
      <c r="L3" s="37">
        <f>BDbDT_calcs!L59</f>
        <v>31641.860856496416</v>
      </c>
      <c r="M3" s="37">
        <f>BDbDT_calcs!M59</f>
        <v>32196.364831534065</v>
      </c>
      <c r="N3" s="37">
        <f>BDbDT_calcs!N59</f>
        <v>32756.591810503054</v>
      </c>
      <c r="O3" s="37">
        <f>BDbDT_calcs!O59</f>
        <v>33316.036815805877</v>
      </c>
      <c r="P3" s="37">
        <f>BDbDT_calcs!P59</f>
        <v>33873.281566517755</v>
      </c>
      <c r="Q3" s="37">
        <f>BDbDT_calcs!Q59</f>
        <v>34419.021238127105</v>
      </c>
      <c r="R3" s="37">
        <f>BDbDT_calcs!R59</f>
        <v>34950.642952050519</v>
      </c>
      <c r="S3" s="37">
        <f>BDbDT_calcs!S59</f>
        <v>35422.052622639829</v>
      </c>
      <c r="T3" s="37">
        <f>BDbDT_calcs!T59</f>
        <v>35869.550878056732</v>
      </c>
      <c r="U3" s="37">
        <f>BDbDT_calcs!U59</f>
        <v>36289.800860704949</v>
      </c>
      <c r="V3" s="37">
        <f>BDbDT_calcs!V59</f>
        <v>36674.536305705682</v>
      </c>
      <c r="W3" s="37">
        <f>BDbDT_calcs!W59</f>
        <v>37016.280981597323</v>
      </c>
      <c r="X3" s="37">
        <f>BDbDT_calcs!X59</f>
        <v>37316.873738298622</v>
      </c>
      <c r="Y3" s="37">
        <f>BDbDT_calcs!Y59</f>
        <v>37593.570231641868</v>
      </c>
      <c r="Z3" s="37">
        <f>BDbDT_calcs!Z59</f>
        <v>37830.065164679036</v>
      </c>
      <c r="AA3" s="37">
        <f>BDbDT_calcs!AA59</f>
        <v>38020.34281297087</v>
      </c>
      <c r="AB3" s="37">
        <f>BDbDT_calcs!AB59</f>
        <v>38164.840402684669</v>
      </c>
    </row>
    <row r="4" spans="1:28" x14ac:dyDescent="0.25">
      <c r="A4" s="4" t="s">
        <v>217</v>
      </c>
      <c r="B4" s="37">
        <f>BDbDT_calcs!B60</f>
        <v>32829.548883314477</v>
      </c>
      <c r="C4" s="37">
        <f>BDbDT_calcs!C60</f>
        <v>33333.941904586623</v>
      </c>
      <c r="D4" s="37">
        <f>BDbDT_calcs!D60</f>
        <v>33972.906017978908</v>
      </c>
      <c r="E4" s="37">
        <f>BDbDT_calcs!E60</f>
        <v>34620.899786144757</v>
      </c>
      <c r="F4" s="37">
        <f>BDbDT_calcs!F60</f>
        <v>35285.118131701442</v>
      </c>
      <c r="G4" s="37">
        <f>BDbDT_calcs!G60</f>
        <v>35965.876289610307</v>
      </c>
      <c r="H4" s="37">
        <f>BDbDT_calcs!H60</f>
        <v>36664.674288087183</v>
      </c>
      <c r="I4" s="37">
        <f>BDbDT_calcs!I60</f>
        <v>37223.121596801764</v>
      </c>
      <c r="J4" s="37">
        <f>BDbDT_calcs!J60</f>
        <v>37789.569998090919</v>
      </c>
      <c r="K4" s="37">
        <f>BDbDT_calcs!K60</f>
        <v>38357.395741634573</v>
      </c>
      <c r="L4" s="37">
        <f>BDbDT_calcs!L60</f>
        <v>38924.624601451462</v>
      </c>
      <c r="M4" s="37">
        <f>BDbDT_calcs!M60</f>
        <v>39489.803197235095</v>
      </c>
      <c r="N4" s="37">
        <f>BDbDT_calcs!N60</f>
        <v>40045.820917149911</v>
      </c>
      <c r="O4" s="37">
        <f>BDbDT_calcs!O60</f>
        <v>40588.738837775236</v>
      </c>
      <c r="P4" s="37">
        <f>BDbDT_calcs!P60</f>
        <v>41113.350351644003</v>
      </c>
      <c r="Q4" s="37">
        <f>BDbDT_calcs!Q60</f>
        <v>41614.128172932738</v>
      </c>
      <c r="R4" s="37">
        <f>BDbDT_calcs!R60</f>
        <v>42085.728827579325</v>
      </c>
      <c r="S4" s="37">
        <f>BDbDT_calcs!S60</f>
        <v>42476.828450433495</v>
      </c>
      <c r="T4" s="37">
        <f>BDbDT_calcs!T60</f>
        <v>42831.913759060742</v>
      </c>
      <c r="U4" s="37">
        <f>BDbDT_calcs!U60</f>
        <v>43150.813356633778</v>
      </c>
      <c r="V4" s="37">
        <f>BDbDT_calcs!V60</f>
        <v>43421.893404829891</v>
      </c>
      <c r="W4" s="37">
        <f>BDbDT_calcs!W60</f>
        <v>43641.703414492527</v>
      </c>
      <c r="X4" s="37">
        <f>BDbDT_calcs!X60</f>
        <v>43810.961967994554</v>
      </c>
      <c r="Y4" s="37">
        <f>BDbDT_calcs!Y60</f>
        <v>43951.832794612172</v>
      </c>
      <c r="Z4" s="37">
        <f>BDbDT_calcs!Z60</f>
        <v>44044.44865116146</v>
      </c>
      <c r="AA4" s="37">
        <f>BDbDT_calcs!AA60</f>
        <v>44085.842251183778</v>
      </c>
      <c r="AB4" s="37">
        <f>BDbDT_calcs!AB60</f>
        <v>44079.51947258164</v>
      </c>
    </row>
    <row r="5" spans="1:28" x14ac:dyDescent="0.25">
      <c r="A5" s="4" t="s">
        <v>218</v>
      </c>
      <c r="B5" s="37">
        <f>BDbDT_calcs!B61</f>
        <v>15508.37113243481</v>
      </c>
      <c r="C5" s="37">
        <f>BDbDT_calcs!C61</f>
        <v>15721.148212777696</v>
      </c>
      <c r="D5" s="37">
        <f>BDbDT_calcs!D61</f>
        <v>15999.921734119873</v>
      </c>
      <c r="E5" s="37">
        <f>BDbDT_calcs!E61</f>
        <v>16282.146793508546</v>
      </c>
      <c r="F5" s="37">
        <f>BDbDT_calcs!F61</f>
        <v>16573.217161466422</v>
      </c>
      <c r="G5" s="37">
        <f>BDbDT_calcs!G61</f>
        <v>16873.706561755505</v>
      </c>
      <c r="H5" s="37">
        <f>BDbDT_calcs!H61</f>
        <v>17183.340768305545</v>
      </c>
      <c r="I5" s="37">
        <f>BDbDT_calcs!I61</f>
        <v>17430.423655478877</v>
      </c>
      <c r="J5" s="37">
        <f>BDbDT_calcs!J61</f>
        <v>17684.970270532824</v>
      </c>
      <c r="K5" s="37">
        <f>BDbDT_calcs!K61</f>
        <v>17945.914052061329</v>
      </c>
      <c r="L5" s="37">
        <f>BDbDT_calcs!L61</f>
        <v>18213.341331589469</v>
      </c>
      <c r="M5" s="37">
        <f>BDbDT_calcs!M61</f>
        <v>18486.380403807998</v>
      </c>
      <c r="N5" s="37">
        <f>BDbDT_calcs!N61</f>
        <v>18765.971749611821</v>
      </c>
      <c r="O5" s="37">
        <f>BDbDT_calcs!O61</f>
        <v>19047.424119940293</v>
      </c>
      <c r="P5" s="37">
        <f>BDbDT_calcs!P61</f>
        <v>19332.879504076176</v>
      </c>
      <c r="Q5" s="37">
        <f>BDbDT_calcs!Q61</f>
        <v>19618.454064515932</v>
      </c>
      <c r="R5" s="37">
        <f>BDbDT_calcs!R61</f>
        <v>19903.706853640866</v>
      </c>
      <c r="S5" s="37">
        <f>BDbDT_calcs!S61</f>
        <v>20166.112954618049</v>
      </c>
      <c r="T5" s="37">
        <f>BDbDT_calcs!T61</f>
        <v>20423.892122276535</v>
      </c>
      <c r="U5" s="37">
        <f>BDbDT_calcs!U61</f>
        <v>20677.339931784729</v>
      </c>
      <c r="V5" s="37">
        <f>BDbDT_calcs!V61</f>
        <v>20924.019381182461</v>
      </c>
      <c r="W5" s="37">
        <f>BDbDT_calcs!W61</f>
        <v>21160.007153081937</v>
      </c>
      <c r="X5" s="37">
        <f>BDbDT_calcs!X61</f>
        <v>21383.822865133658</v>
      </c>
      <c r="Y5" s="37">
        <f>BDbDT_calcs!Y61</f>
        <v>21600.805680460067</v>
      </c>
      <c r="Z5" s="37">
        <f>BDbDT_calcs!Z61</f>
        <v>21804.937930170116</v>
      </c>
      <c r="AA5" s="37">
        <f>BDbDT_calcs!AA61</f>
        <v>21995.953240041967</v>
      </c>
      <c r="AB5" s="37">
        <f>BDbDT_calcs!AB61</f>
        <v>22171.485109895446</v>
      </c>
    </row>
    <row r="6" spans="1:28" x14ac:dyDescent="0.25">
      <c r="A6" s="4" t="s">
        <v>219</v>
      </c>
      <c r="B6" s="37">
        <f>BDbDT_calcs!B62</f>
        <v>2563.1554395920793</v>
      </c>
      <c r="C6" s="37">
        <f>BDbDT_calcs!C62</f>
        <v>2619.9747019492188</v>
      </c>
      <c r="D6" s="37">
        <f>BDbDT_calcs!D62</f>
        <v>2689.7434318072287</v>
      </c>
      <c r="E6" s="37">
        <f>BDbDT_calcs!E62</f>
        <v>2764.0679809518019</v>
      </c>
      <c r="F6" s="37">
        <f>BDbDT_calcs!F62</f>
        <v>2843.8167147098166</v>
      </c>
      <c r="G6" s="37">
        <f>BDbDT_calcs!G62</f>
        <v>2929.0081748563994</v>
      </c>
      <c r="H6" s="37">
        <f>BDbDT_calcs!H62</f>
        <v>3019.9161159026412</v>
      </c>
      <c r="I6" s="37">
        <f>BDbDT_calcs!I62</f>
        <v>3103.7313221231143</v>
      </c>
      <c r="J6" s="37">
        <f>BDbDT_calcs!J62</f>
        <v>3191.1923908751478</v>
      </c>
      <c r="K6" s="37">
        <f>BDbDT_calcs!K62</f>
        <v>3281.6793339289993</v>
      </c>
      <c r="L6" s="37">
        <f>BDbDT_calcs!L62</f>
        <v>3376.0485155425731</v>
      </c>
      <c r="M6" s="37">
        <f>BDbDT_calcs!M62</f>
        <v>3473.6678669071739</v>
      </c>
      <c r="N6" s="37">
        <f>BDbDT_calcs!N62</f>
        <v>3574.1192689776385</v>
      </c>
      <c r="O6" s="37">
        <f>BDbDT_calcs!O62</f>
        <v>3676.7966039841531</v>
      </c>
      <c r="P6" s="37">
        <f>BDbDT_calcs!P62</f>
        <v>3781.389510195886</v>
      </c>
      <c r="Q6" s="37">
        <f>BDbDT_calcs!Q62</f>
        <v>3887.1979288923985</v>
      </c>
      <c r="R6" s="37">
        <f>BDbDT_calcs!R62</f>
        <v>3993.878556586671</v>
      </c>
      <c r="S6" s="37">
        <f>BDbDT_calcs!S62</f>
        <v>4096.1675488518686</v>
      </c>
      <c r="T6" s="37">
        <f>BDbDT_calcs!T62</f>
        <v>4198.5139569930707</v>
      </c>
      <c r="U6" s="37">
        <f>BDbDT_calcs!U62</f>
        <v>4300.0124727551856</v>
      </c>
      <c r="V6" s="37">
        <f>BDbDT_calcs!V62</f>
        <v>4400.8037725924496</v>
      </c>
      <c r="W6" s="37">
        <f>BDbDT_calcs!W62</f>
        <v>4500.5894384639678</v>
      </c>
      <c r="X6" s="37">
        <f>BDbDT_calcs!X62</f>
        <v>4599.7442714639983</v>
      </c>
      <c r="Y6" s="37">
        <f>BDbDT_calcs!Y62</f>
        <v>4697.9576030569679</v>
      </c>
      <c r="Z6" s="37">
        <f>BDbDT_calcs!Z62</f>
        <v>4795.3624127527346</v>
      </c>
      <c r="AA6" s="37">
        <f>BDbDT_calcs!AA62</f>
        <v>4891.8931553466073</v>
      </c>
      <c r="AB6" s="37">
        <f>BDbDT_calcs!AB62</f>
        <v>4987.1807982708369</v>
      </c>
    </row>
    <row r="7" spans="1:28" x14ac:dyDescent="0.25">
      <c r="A7" s="4" t="s">
        <v>220</v>
      </c>
      <c r="B7" s="37">
        <f>BDbDT_calcs!B63</f>
        <v>1159.7575503203136</v>
      </c>
      <c r="C7" s="37">
        <f>BDbDT_calcs!C63</f>
        <v>1183.8068971075948</v>
      </c>
      <c r="D7" s="37">
        <f>BDbDT_calcs!D63</f>
        <v>1213.8832290693613</v>
      </c>
      <c r="E7" s="37">
        <f>BDbDT_calcs!E63</f>
        <v>1246.4694638572294</v>
      </c>
      <c r="F7" s="37">
        <f>BDbDT_calcs!F63</f>
        <v>1279.5299943064672</v>
      </c>
      <c r="G7" s="37">
        <f>BDbDT_calcs!G63</f>
        <v>1314.9044050247226</v>
      </c>
      <c r="H7" s="37">
        <f>BDbDT_calcs!H63</f>
        <v>1351.4247336828312</v>
      </c>
      <c r="I7" s="37">
        <f>BDbDT_calcs!I63</f>
        <v>1383.0860279115839</v>
      </c>
      <c r="J7" s="37">
        <f>BDbDT_calcs!J63</f>
        <v>1415.4908110749461</v>
      </c>
      <c r="K7" s="37">
        <f>BDbDT_calcs!K63</f>
        <v>1450.1687166969959</v>
      </c>
      <c r="L7" s="37">
        <f>BDbDT_calcs!L63</f>
        <v>1485.7347888084196</v>
      </c>
      <c r="M7" s="37">
        <f>BDbDT_calcs!M63</f>
        <v>1522.6468036074157</v>
      </c>
      <c r="N7" s="37">
        <f>BDbDT_calcs!N63</f>
        <v>1560.2405015171603</v>
      </c>
      <c r="O7" s="37">
        <f>BDbDT_calcs!O63</f>
        <v>1598.6415744457163</v>
      </c>
      <c r="P7" s="37">
        <f>BDbDT_calcs!P63</f>
        <v>1638.2727061329099</v>
      </c>
      <c r="Q7" s="37">
        <f>BDbDT_calcs!Q63</f>
        <v>1678.9231595470139</v>
      </c>
      <c r="R7" s="37">
        <f>BDbDT_calcs!R63</f>
        <v>1720.2751504186026</v>
      </c>
      <c r="S7" s="37">
        <f>BDbDT_calcs!S63</f>
        <v>1759.8410756375836</v>
      </c>
      <c r="T7" s="37">
        <f>BDbDT_calcs!T63</f>
        <v>1799.9955649430181</v>
      </c>
      <c r="U7" s="37">
        <f>BDbDT_calcs!U63</f>
        <v>1840.2674354567389</v>
      </c>
      <c r="V7" s="37">
        <f>BDbDT_calcs!V63</f>
        <v>1880.1254588034528</v>
      </c>
      <c r="W7" s="37">
        <f>BDbDT_calcs!W63</f>
        <v>1920.7170701483026</v>
      </c>
      <c r="X7" s="37">
        <f>BDbDT_calcs!X63</f>
        <v>1961.1168748330549</v>
      </c>
      <c r="Y7" s="37">
        <f>BDbDT_calcs!Y63</f>
        <v>2001.8808463345299</v>
      </c>
      <c r="Z7" s="37">
        <f>BDbDT_calcs!Z63</f>
        <v>2042.2383399957246</v>
      </c>
      <c r="AA7" s="37">
        <f>BDbDT_calcs!AA63</f>
        <v>2082.4864565042631</v>
      </c>
      <c r="AB7" s="37">
        <f>BDbDT_calcs!AB63</f>
        <v>2122.9386240910653</v>
      </c>
    </row>
    <row r="8" spans="1:28" x14ac:dyDescent="0.25">
      <c r="A8" s="4" t="s">
        <v>221</v>
      </c>
      <c r="B8" s="37">
        <f>BDbDT_calcs!B64</f>
        <v>3155.8740550880443</v>
      </c>
      <c r="C8" s="37">
        <f>BDbDT_calcs!C64</f>
        <v>3262.7650143478563</v>
      </c>
      <c r="D8" s="37">
        <f>BDbDT_calcs!D64</f>
        <v>3385.6904845007512</v>
      </c>
      <c r="E8" s="37">
        <f>BDbDT_calcs!E64</f>
        <v>3512.2303839470705</v>
      </c>
      <c r="F8" s="37">
        <f>BDbDT_calcs!F64</f>
        <v>3642.4672111246709</v>
      </c>
      <c r="G8" s="37">
        <f>BDbDT_calcs!G64</f>
        <v>3776.8920149565483</v>
      </c>
      <c r="H8" s="37">
        <f>BDbDT_calcs!H64</f>
        <v>3916.7949641138903</v>
      </c>
      <c r="I8" s="37">
        <f>BDbDT_calcs!I64</f>
        <v>4045.4417775042575</v>
      </c>
      <c r="J8" s="37">
        <f>BDbDT_calcs!J64</f>
        <v>4177.7005938761013</v>
      </c>
      <c r="K8" s="37">
        <f>BDbDT_calcs!K64</f>
        <v>4314.5553550231671</v>
      </c>
      <c r="L8" s="37">
        <f>BDbDT_calcs!L64</f>
        <v>4456.7650930424234</v>
      </c>
      <c r="M8" s="37">
        <f>BDbDT_calcs!M64</f>
        <v>4603.2658689035079</v>
      </c>
      <c r="N8" s="37">
        <f>BDbDT_calcs!N64</f>
        <v>4755.2804694639062</v>
      </c>
      <c r="O8" s="37">
        <f>BDbDT_calcs!O64</f>
        <v>4912.045964153599</v>
      </c>
      <c r="P8" s="37">
        <f>BDbDT_calcs!P64</f>
        <v>5073.372841230469</v>
      </c>
      <c r="Q8" s="37">
        <f>BDbDT_calcs!Q64</f>
        <v>5239.5122092681167</v>
      </c>
      <c r="R8" s="37">
        <f>BDbDT_calcs!R64</f>
        <v>5409.4340762578904</v>
      </c>
      <c r="S8" s="37">
        <f>BDbDT_calcs!S64</f>
        <v>5576.894568809721</v>
      </c>
      <c r="T8" s="37">
        <f>BDbDT_calcs!T64</f>
        <v>5747.7018763701444</v>
      </c>
      <c r="U8" s="37">
        <f>BDbDT_calcs!U64</f>
        <v>5921.4852712819111</v>
      </c>
      <c r="V8" s="37">
        <f>BDbDT_calcs!V64</f>
        <v>6097.4667818473154</v>
      </c>
      <c r="W8" s="37">
        <f>BDbDT_calcs!W64</f>
        <v>6274.8127625181833</v>
      </c>
      <c r="X8" s="37">
        <f>BDbDT_calcs!X64</f>
        <v>6454.2877594822303</v>
      </c>
      <c r="Y8" s="37">
        <f>BDbDT_calcs!Y64</f>
        <v>6634.5975188814336</v>
      </c>
      <c r="Z8" s="37">
        <f>BDbDT_calcs!Z64</f>
        <v>6815.6510772537067</v>
      </c>
      <c r="AA8" s="37">
        <f>BDbDT_calcs!AA64</f>
        <v>6995.9132464108707</v>
      </c>
      <c r="AB8" s="37">
        <f>BDbDT_calcs!AB64</f>
        <v>7175.1816957663259</v>
      </c>
    </row>
    <row r="9" spans="1:28" x14ac:dyDescent="0.25">
      <c r="A9" s="4" t="s">
        <v>222</v>
      </c>
      <c r="B9" s="37">
        <f>BDbDT_calcs!B65</f>
        <v>52894.422442613781</v>
      </c>
      <c r="C9" s="37">
        <f>BDbDT_calcs!C65</f>
        <v>53626.404224756676</v>
      </c>
      <c r="D9" s="37">
        <f>BDbDT_calcs!D65</f>
        <v>54575.217913503642</v>
      </c>
      <c r="E9" s="37">
        <f>BDbDT_calcs!E65</f>
        <v>55540.037892254077</v>
      </c>
      <c r="F9" s="37">
        <f>BDbDT_calcs!F65</f>
        <v>56532.000927440662</v>
      </c>
      <c r="G9" s="37">
        <f>BDbDT_calcs!G65</f>
        <v>57553.187635456081</v>
      </c>
      <c r="H9" s="37">
        <f>BDbDT_calcs!H65</f>
        <v>58602.479595589619</v>
      </c>
      <c r="I9" s="37">
        <f>BDbDT_calcs!I65</f>
        <v>59427.635573744577</v>
      </c>
      <c r="J9" s="37">
        <f>BDbDT_calcs!J65</f>
        <v>60266.299885146422</v>
      </c>
      <c r="K9" s="37">
        <f>BDbDT_calcs!K65</f>
        <v>61108.131678695492</v>
      </c>
      <c r="L9" s="37">
        <f>BDbDT_calcs!L65</f>
        <v>61948.364168818596</v>
      </c>
      <c r="M9" s="37">
        <f>BDbDT_calcs!M65</f>
        <v>62786.128821956161</v>
      </c>
      <c r="N9" s="37">
        <f>BDbDT_calcs!N65</f>
        <v>63608.606527100848</v>
      </c>
      <c r="O9" s="37">
        <f>BDbDT_calcs!O65</f>
        <v>64408.761577782439</v>
      </c>
      <c r="P9" s="37">
        <f>BDbDT_calcs!P65</f>
        <v>65180.650232473687</v>
      </c>
      <c r="Q9" s="37">
        <f>BDbDT_calcs!Q65</f>
        <v>65913.259971501466</v>
      </c>
      <c r="R9" s="37">
        <f>BDbDT_calcs!R65</f>
        <v>66599.692905367352</v>
      </c>
      <c r="S9" s="37">
        <f>BDbDT_calcs!S65</f>
        <v>67158.162171240852</v>
      </c>
      <c r="T9" s="37">
        <f>BDbDT_calcs!T65</f>
        <v>67658.467185383066</v>
      </c>
      <c r="U9" s="37">
        <f>BDbDT_calcs!U65</f>
        <v>68099.683914787194</v>
      </c>
      <c r="V9" s="37">
        <f>BDbDT_calcs!V65</f>
        <v>68464.813949027259</v>
      </c>
      <c r="W9" s="37">
        <f>BDbDT_calcs!W65</f>
        <v>68749.46144062026</v>
      </c>
      <c r="X9" s="37">
        <f>BDbDT_calcs!X65</f>
        <v>68952.038517436071</v>
      </c>
      <c r="Y9" s="37">
        <f>BDbDT_calcs!Y65</f>
        <v>69109.087391231311</v>
      </c>
      <c r="Z9" s="37">
        <f>BDbDT_calcs!Z65</f>
        <v>69188.808015867209</v>
      </c>
      <c r="AA9" s="37">
        <f>BDbDT_calcs!AA65</f>
        <v>69189.55220804656</v>
      </c>
      <c r="AB9" s="37">
        <f>BDbDT_calcs!AB65</f>
        <v>69115.554800273923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2026-08-17T20:28:56Z</dcterms:modified>
</cp:coreProperties>
</file>