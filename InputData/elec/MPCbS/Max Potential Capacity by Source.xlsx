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D\elec\MPCbS\"/>
    </mc:Choice>
  </mc:AlternateContent>
  <xr:revisionPtr revIDLastSave="0" documentId="8_{B1176F66-91B7-46C8-9A95-E581FAB65958}" xr6:coauthVersionLast="47" xr6:coauthVersionMax="47" xr10:uidLastSave="{00000000-0000-0000-0000-000000000000}"/>
  <bookViews>
    <workbookView xWindow="330" yWindow="495" windowWidth="19650" windowHeight="14565" firstSheet="1" activeTab="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B1" i="8"/>
  <c r="C1" i="8" s="1"/>
  <c r="B7" i="3" s="1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4" i="3"/>
  <c r="E36" i="2"/>
  <c r="E37" i="2" s="1"/>
  <c r="B2" i="3" l="1"/>
  <c r="B22" i="3" s="1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9" i="3" l="1"/>
  <c r="B14" i="3"/>
  <c r="B1" i="10"/>
  <c r="B11" i="3" s="1"/>
  <c r="E9" i="2"/>
  <c r="B22" i="2"/>
  <c r="B13" i="3"/>
  <c r="B12" i="3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<sst xmlns="http://schemas.openxmlformats.org/spreadsheetml/2006/main" count="1067" uniqueCount="282">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</sst>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139</v>
      </c>
      <c r="C1" s="24">
        <v>45336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MD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tabSelected="1" topLeftCell="A19" workbookViewId="0">
      <selection activeCell="L23" sqref="L23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279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279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MD</v>
      </c>
      <c r="B1" s="32">
        <f>SUMIFS(E3:E52,A3:A52,A1)</f>
        <v>404000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MD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MD</v>
      </c>
      <c r="B1" s="32">
        <f>SUMIFS(C4:C53,A4:A53,A1)</f>
        <v>52000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Maryland</v>
      </c>
      <c r="B1" s="32" t="str">
        <f>LOOKUP(A1,M4:N53,N4:N53)</f>
        <v>MD</v>
      </c>
      <c r="C1" s="32">
        <f>SUMIFS(L5:L52,A5:A52,B1)</f>
        <v>7283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MD</v>
      </c>
      <c r="B1" s="32">
        <f>SUMIFS(D4:D53,A4:A53,A1)</f>
        <v>542.88975864318331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MD</v>
      </c>
      <c r="B1" s="32">
        <f>SUMIFS(C3:C52,A3:A52,A1)</f>
        <v>11000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MD</v>
      </c>
      <c r="B1" s="32">
        <f>SUMIFS(D5:D54,A5:A54,A1)</f>
        <v>185.84474885844747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" sqref="B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185.84474885844747</v>
      </c>
    </row>
    <row r="7" spans="1:2" x14ac:dyDescent="0.25">
      <c r="A7" t="s">
        <v>55</v>
      </c>
      <c r="B7">
        <f>'onshore wind'!C1</f>
        <v>7283</v>
      </c>
    </row>
    <row r="8" spans="1:2" x14ac:dyDescent="0.25">
      <c r="A8" t="s">
        <v>33</v>
      </c>
      <c r="B8">
        <f>'solar PV'!B1</f>
        <v>404000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542.88975864318331</v>
      </c>
    </row>
    <row r="11" spans="1:2" x14ac:dyDescent="0.25">
      <c r="A11" t="s">
        <v>39</v>
      </c>
      <c r="B11">
        <f>geothermal!B1</f>
        <v>11000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52000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148.80499974396105</v>
      </c>
    </row>
    <row r="19" spans="1:2" x14ac:dyDescent="0.25">
      <c r="A19" t="s">
        <v>92</v>
      </c>
      <c r="B19" s="14">
        <f>B2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542.88975864318331</v>
      </c>
    </row>
    <row r="22" spans="1:2" x14ac:dyDescent="0.25">
      <c r="A22" t="s">
        <v>95</v>
      </c>
      <c r="B22" s="14">
        <f>B2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2024-02-14T23:08:45Z</dcterms:modified>
</cp:coreProperties>
</file>