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SYTaDC\"/>
    </mc:Choice>
  </mc:AlternateContent>
  <xr:revisionPtr revIDLastSave="0" documentId="8_{2D42758C-C0B5-47E2-9444-1266E5CFD30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<sst xmlns="http://schemas.openxmlformats.org/spreadsheetml/2006/main" count="264" uniqueCount="144">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</sst>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56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MD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Maryland</v>
      </c>
    </row>
    <row r="44" spans="1:42" x14ac:dyDescent="0.25">
      <c r="A44" t="s">
        <v>143</v>
      </c>
      <c r="B44" s="15">
        <f>SUMIFS('HIFLD Outputs'!$F$2:$F$49,'HIFLD Outputs'!$B$2:$B$49,'Data National'!$A$43)*B34</f>
        <v>1439827.3028452075</v>
      </c>
      <c r="C44" s="15">
        <f>SUMIFS('HIFLD Outputs'!$F$2:$F$49,'HIFLD Outputs'!$B$2:$B$49,'Data National'!$A$43)*C34</f>
        <v>1440921.3965403787</v>
      </c>
      <c r="D44" s="15">
        <f>SUMIFS('HIFLD Outputs'!$F$2:$F$49,'HIFLD Outputs'!$B$2:$B$49,'Data National'!$A$43)*D34</f>
        <v>1442015.4902355499</v>
      </c>
      <c r="E44" s="15">
        <f>SUMIFS('HIFLD Outputs'!$F$2:$F$49,'HIFLD Outputs'!$B$2:$B$49,'Data National'!$A$43)*E34</f>
        <v>1443109.583930721</v>
      </c>
      <c r="F44" s="15">
        <f>SUMIFS('HIFLD Outputs'!$F$2:$F$49,'HIFLD Outputs'!$B$2:$B$49,'Data National'!$A$43)*F34</f>
        <v>1444203.6776258922</v>
      </c>
      <c r="G44" s="15">
        <f>SUMIFS('HIFLD Outputs'!$F$2:$F$49,'HIFLD Outputs'!$B$2:$B$49,'Data National'!$A$43)*G34</f>
        <v>1445297.7713210634</v>
      </c>
      <c r="H44" s="15">
        <f>SUMIFS('HIFLD Outputs'!$F$2:$F$49,'HIFLD Outputs'!$B$2:$B$49,'Data National'!$A$43)*H34</f>
        <v>1446391.8650162346</v>
      </c>
      <c r="I44" s="15">
        <f>SUMIFS('HIFLD Outputs'!$F$2:$F$49,'HIFLD Outputs'!$B$2:$B$49,'Data National'!$A$43)*I34</f>
        <v>1447485.9587114058</v>
      </c>
      <c r="J44" s="15">
        <f>SUMIFS('HIFLD Outputs'!$F$2:$F$49,'HIFLD Outputs'!$B$2:$B$49,'Data National'!$A$43)*J34</f>
        <v>1448580.0524065769</v>
      </c>
      <c r="K44" s="15">
        <f>SUMIFS('HIFLD Outputs'!$F$2:$F$49,'HIFLD Outputs'!$B$2:$B$49,'Data National'!$A$43)*K34</f>
        <v>1449674.1461017481</v>
      </c>
      <c r="L44" s="15">
        <f>SUMIFS('HIFLD Outputs'!$F$2:$F$49,'HIFLD Outputs'!$B$2:$B$49,'Data National'!$A$43)*L34</f>
        <v>1450768.239796919</v>
      </c>
      <c r="M44" s="15">
        <f>SUMIFS('HIFLD Outputs'!$F$2:$F$49,'HIFLD Outputs'!$B$2:$B$49,'Data National'!$A$43)*M34</f>
        <v>1451862.3334920902</v>
      </c>
      <c r="N44" s="15">
        <f>SUMIFS('HIFLD Outputs'!$F$2:$F$49,'HIFLD Outputs'!$B$2:$B$49,'Data National'!$A$43)*N34</f>
        <v>1452956.4271872614</v>
      </c>
      <c r="O44" s="15">
        <f>SUMIFS('HIFLD Outputs'!$F$2:$F$49,'HIFLD Outputs'!$B$2:$B$49,'Data National'!$A$43)*O34</f>
        <v>1454050.5208824326</v>
      </c>
      <c r="P44" s="15">
        <f>SUMIFS('HIFLD Outputs'!$F$2:$F$49,'HIFLD Outputs'!$B$2:$B$49,'Data National'!$A$43)*P34</f>
        <v>1455144.6145776038</v>
      </c>
      <c r="Q44" s="15">
        <f>SUMIFS('HIFLD Outputs'!$F$2:$F$49,'HIFLD Outputs'!$B$2:$B$49,'Data National'!$A$43)*Q34</f>
        <v>1456238.7082727749</v>
      </c>
      <c r="R44" s="15">
        <f>SUMIFS('HIFLD Outputs'!$F$2:$F$49,'HIFLD Outputs'!$B$2:$B$49,'Data National'!$A$43)*R34</f>
        <v>1457332.8019679461</v>
      </c>
      <c r="S44" s="15">
        <f>SUMIFS('HIFLD Outputs'!$F$2:$F$49,'HIFLD Outputs'!$B$2:$B$49,'Data National'!$A$43)*S34</f>
        <v>1458426.8956631173</v>
      </c>
      <c r="T44" s="15">
        <f>SUMIFS('HIFLD Outputs'!$F$2:$F$49,'HIFLD Outputs'!$B$2:$B$49,'Data National'!$A$43)*T34</f>
        <v>1459520.9893582885</v>
      </c>
      <c r="U44" s="15">
        <f>SUMIFS('HIFLD Outputs'!$F$2:$F$49,'HIFLD Outputs'!$B$2:$B$49,'Data National'!$A$43)*U34</f>
        <v>1460615.0830534596</v>
      </c>
      <c r="V44" s="15">
        <f>SUMIFS('HIFLD Outputs'!$F$2:$F$49,'HIFLD Outputs'!$B$2:$B$49,'Data National'!$A$43)*V34</f>
        <v>1461709.1767486308</v>
      </c>
      <c r="W44" s="15">
        <f>SUMIFS('HIFLD Outputs'!$F$2:$F$49,'HIFLD Outputs'!$B$2:$B$49,'Data National'!$A$43)*W34</f>
        <v>1462803.2704438018</v>
      </c>
      <c r="X44" s="15">
        <f>SUMIFS('HIFLD Outputs'!$F$2:$F$49,'HIFLD Outputs'!$B$2:$B$49,'Data National'!$A$43)*X34</f>
        <v>1463897.3641389729</v>
      </c>
      <c r="Y44" s="15">
        <f>SUMIFS('HIFLD Outputs'!$F$2:$F$49,'HIFLD Outputs'!$B$2:$B$49,'Data National'!$A$43)*Y34</f>
        <v>1464991.4578341441</v>
      </c>
      <c r="Z44" s="15">
        <f>SUMIFS('HIFLD Outputs'!$F$2:$F$49,'HIFLD Outputs'!$B$2:$B$49,'Data National'!$A$43)*Z34</f>
        <v>1466085.5515293153</v>
      </c>
      <c r="AA44" s="15">
        <f>SUMIFS('HIFLD Outputs'!$F$2:$F$49,'HIFLD Outputs'!$B$2:$B$49,'Data National'!$A$43)*AA34</f>
        <v>1467179.6452244865</v>
      </c>
      <c r="AB44" s="15">
        <f>SUMIFS('HIFLD Outputs'!$F$2:$F$49,'HIFLD Outputs'!$B$2:$B$49,'Data National'!$A$43)*AB34</f>
        <v>1468273.7389196577</v>
      </c>
      <c r="AC44" s="15">
        <f>SUMIFS('HIFLD Outputs'!$F$2:$F$49,'HIFLD Outputs'!$B$2:$B$49,'Data National'!$A$43)*AC34</f>
        <v>1469367.8326148288</v>
      </c>
      <c r="AD44" s="15">
        <f>SUMIFS('HIFLD Outputs'!$F$2:$F$49,'HIFLD Outputs'!$B$2:$B$49,'Data National'!$A$43)*AD34</f>
        <v>1470461.92631</v>
      </c>
      <c r="AE44" s="15">
        <f>SUMIFS('HIFLD Outputs'!$F$2:$F$49,'HIFLD Outputs'!$B$2:$B$49,'Data National'!$A$43)*AE34</f>
        <v>1471556.0200051712</v>
      </c>
      <c r="AF44" s="15">
        <f>SUMIFS('HIFLD Outputs'!$F$2:$F$49,'HIFLD Outputs'!$B$2:$B$49,'Data National'!$A$43)*AF34</f>
        <v>1472650.1137003424</v>
      </c>
      <c r="AG44" s="15">
        <f>SUMIFS('HIFLD Outputs'!$F$2:$F$49,'HIFLD Outputs'!$B$2:$B$49,'Data National'!$A$43)*AG34</f>
        <v>1473744.2073955135</v>
      </c>
      <c r="AH44" s="15">
        <f>SUMIFS('HIFLD Outputs'!$F$2:$F$49,'HIFLD Outputs'!$B$2:$B$49,'Data National'!$A$43)*AH34</f>
        <v>1474838.3010906845</v>
      </c>
      <c r="AI44" s="15">
        <f>SUMIFS('HIFLD Outputs'!$F$2:$F$49,'HIFLD Outputs'!$B$2:$B$49,'Data National'!$A$43)*AI34</f>
        <v>1475932.3947858557</v>
      </c>
      <c r="AJ44" s="15">
        <f>SUMIFS('HIFLD Outputs'!$F$2:$F$49,'HIFLD Outputs'!$B$2:$B$49,'Data National'!$A$43)*AJ34</f>
        <v>1477026.4884810268</v>
      </c>
      <c r="AK44" s="15">
        <f>SUMIFS('HIFLD Outputs'!$F$2:$F$49,'HIFLD Outputs'!$B$2:$B$49,'Data National'!$A$43)*AK34</f>
        <v>1478120.582176198</v>
      </c>
      <c r="AL44" s="15">
        <f>SUMIFS('HIFLD Outputs'!$F$2:$F$49,'HIFLD Outputs'!$B$2:$B$49,'Data National'!$A$43)*AL34</f>
        <v>1479214.6758713692</v>
      </c>
      <c r="AM44" s="15">
        <f>SUMIFS('HIFLD Outputs'!$F$2:$F$49,'HIFLD Outputs'!$B$2:$B$49,'Data National'!$A$43)*AM34</f>
        <v>1480308.7695665404</v>
      </c>
      <c r="AN44" s="15">
        <f>SUMIFS('HIFLD Outputs'!$F$2:$F$49,'HIFLD Outputs'!$B$2:$B$49,'Data National'!$A$43)*AN34</f>
        <v>1481402.8632617116</v>
      </c>
      <c r="AO44" s="15">
        <f>SUMIFS('HIFLD Outputs'!$F$2:$F$49,'HIFLD Outputs'!$B$2:$B$49,'Data National'!$A$43)*AO34</f>
        <v>1482496.9569568827</v>
      </c>
      <c r="AP44" s="15">
        <f>SUMIFS('HIFLD Outputs'!$F$2:$F$49,'HIFLD Outputs'!$B$2:$B$49,'Data National'!$A$43)*AP34</f>
        <v>1483591.0506520539</v>
      </c>
    </row>
    <row r="45" spans="1:42" x14ac:dyDescent="0.25">
      <c r="A45" s="16" t="s">
        <v>15</v>
      </c>
      <c r="B45" s="17">
        <f>B37*SUMIFS('HIFLD Outputs'!$F$2:$F$49,'HIFLD Outputs'!$B$2:$B$49,$A$43)</f>
        <v>115723022.20430826</v>
      </c>
    </row>
    <row r="46" spans="1:42" x14ac:dyDescent="0.25">
      <c r="A46" s="16" t="s">
        <v>14</v>
      </c>
      <c r="B46" s="17">
        <f>B38*SUMIFS('HIFLD Outputs'!$F$2:$F$49,'HIFLD Outputs'!$B$2:$B$49,$A$43)</f>
        <v>181950052.98388225</v>
      </c>
    </row>
    <row r="47" spans="1:42" x14ac:dyDescent="0.25">
      <c r="A47" s="16" t="s">
        <v>16</v>
      </c>
      <c r="B47" s="17">
        <f>B39*SUMIFS('HIFLD Outputs'!$F$2:$F$49,'HIFLD Outputs'!$B$2:$B$49,$A$43)</f>
        <v>163824760.34947252</v>
      </c>
    </row>
    <row r="48" spans="1:42" x14ac:dyDescent="0.25">
      <c r="A48" s="16" t="s">
        <v>17</v>
      </c>
      <c r="B48" s="17">
        <f>B40*SUMIFS('HIFLD Outputs'!$F$2:$F$49,'HIFLD Outputs'!$B$2:$B$49,$A$43)</f>
        <v>218897764.89248669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115723022.20430826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181950052.98388225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163824760.34947252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218897764.89248669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2026-06-12T20:49:11Z</dcterms:modified>
</cp:coreProperties>
</file>